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185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P0500 Produktion\Zellenmontage\Zelldaten Produktion\"/>
    </mc:Choice>
  </mc:AlternateContent>
  <bookViews>
    <workbookView xWindow="0" yWindow="0" windowWidth="22260" windowHeight="12645" activeTab="10"/>
  </bookViews>
  <sheets>
    <sheet name="Jan" sheetId="1" r:id="rId1"/>
    <sheet name="Feb" sheetId="2" r:id="rId2"/>
    <sheet name="März" sheetId="3" r:id="rId3"/>
    <sheet name="April" sheetId="4" r:id="rId4"/>
    <sheet name="Mai" sheetId="5" r:id="rId5"/>
    <sheet name="Juni" sheetId="6" r:id="rId6"/>
    <sheet name="Juli" sheetId="7" r:id="rId7"/>
    <sheet name="Aug" sheetId="8" r:id="rId8"/>
    <sheet name="Sept" sheetId="10" r:id="rId9"/>
    <sheet name="Okt" sheetId="11" r:id="rId10"/>
    <sheet name="Nov" sheetId="12" r:id="rId11"/>
    <sheet name="Dez" sheetId="13" r:id="rId12"/>
    <sheet name="Tabelle1" sheetId="14" state="hidden" r:id="rId13"/>
    <sheet name="Vorlage" sheetId="9" r:id="rId14"/>
  </sheets>
  <calcPr calcId="162913"/>
  <customWorkbookViews>
    <customWorkbookView name="Zellenmontage - Persönliche Ansicht" guid="{C2C34B0E-C0A2-4B0B-812E-0757ABB9DC2E}" mergeInterval="0" personalView="1" maximized="1" xWindow="-8" yWindow="-8" windowWidth="1936" windowHeight="1066" activeSheetId="8"/>
    <customWorkbookView name="Vogel Daniel - Persönliche Ansicht" guid="{3652BF58-5AAC-43BD-BC8A-2FFF29529405}" mergeInterval="0" personalView="1" maximized="1" xWindow="-9" yWindow="-9" windowWidth="3458" windowHeight="1420" activeSheetId="7"/>
    <customWorkbookView name="Patrick Huwiler - Persönliche Ansicht" guid="{E2377352-22A7-452B-BFAD-18D3D497CC88}" mergeInterval="0" personalView="1" xWindow="1720" windowWidth="1720" windowHeight="1400" activeSheetId="9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64" i="13" l="1"/>
  <c r="M164" i="13" s="1"/>
  <c r="J164" i="13"/>
  <c r="K164" i="13" s="1"/>
  <c r="L163" i="13"/>
  <c r="M163" i="13" s="1"/>
  <c r="J163" i="13"/>
  <c r="K163" i="13" s="1"/>
  <c r="L162" i="13"/>
  <c r="M162" i="13" s="1"/>
  <c r="J162" i="13"/>
  <c r="K162" i="13" s="1"/>
  <c r="L161" i="13"/>
  <c r="M161" i="13" s="1"/>
  <c r="J161" i="13"/>
  <c r="K161" i="13" s="1"/>
  <c r="L160" i="13"/>
  <c r="M160" i="13" s="1"/>
  <c r="J160" i="13"/>
  <c r="K160" i="13" s="1"/>
  <c r="L159" i="13"/>
  <c r="M159" i="13" s="1"/>
  <c r="J159" i="13"/>
  <c r="K159" i="13" s="1"/>
  <c r="M158" i="13"/>
  <c r="L158" i="13"/>
  <c r="J158" i="13"/>
  <c r="K158" i="13" s="1"/>
  <c r="L157" i="13"/>
  <c r="M157" i="13" s="1"/>
  <c r="J157" i="13"/>
  <c r="K157" i="13" s="1"/>
  <c r="L156" i="13"/>
  <c r="M156" i="13" s="1"/>
  <c r="J156" i="13"/>
  <c r="K156" i="13" s="1"/>
  <c r="L155" i="13"/>
  <c r="M155" i="13" s="1"/>
  <c r="J155" i="13"/>
  <c r="K155" i="13" s="1"/>
  <c r="M154" i="13"/>
  <c r="L154" i="13"/>
  <c r="J154" i="13"/>
  <c r="K154" i="13" s="1"/>
  <c r="L153" i="13"/>
  <c r="M153" i="13" s="1"/>
  <c r="J153" i="13"/>
  <c r="K153" i="13" s="1"/>
  <c r="L152" i="13"/>
  <c r="M152" i="13" s="1"/>
  <c r="J152" i="13"/>
  <c r="K152" i="13" s="1"/>
  <c r="L151" i="13"/>
  <c r="M151" i="13" s="1"/>
  <c r="J151" i="13"/>
  <c r="K151" i="13" s="1"/>
  <c r="L150" i="13"/>
  <c r="M150" i="13" s="1"/>
  <c r="J150" i="13"/>
  <c r="K150" i="13" s="1"/>
  <c r="L149" i="13"/>
  <c r="M149" i="13" s="1"/>
  <c r="J149" i="13"/>
  <c r="K149" i="13" s="1"/>
  <c r="L148" i="13"/>
  <c r="M148" i="13" s="1"/>
  <c r="J148" i="13"/>
  <c r="K148" i="13" s="1"/>
  <c r="L147" i="13"/>
  <c r="M147" i="13" s="1"/>
  <c r="J147" i="13"/>
  <c r="K147" i="13" s="1"/>
  <c r="L146" i="13"/>
  <c r="M146" i="13" s="1"/>
  <c r="J146" i="13"/>
  <c r="K146" i="13" s="1"/>
  <c r="L145" i="13"/>
  <c r="M145" i="13" s="1"/>
  <c r="J145" i="13"/>
  <c r="K145" i="13" s="1"/>
  <c r="L144" i="13" l="1"/>
  <c r="M144" i="13" s="1"/>
  <c r="J144" i="13"/>
  <c r="K144" i="13" s="1"/>
  <c r="L143" i="13"/>
  <c r="M143" i="13" s="1"/>
  <c r="J143" i="13"/>
  <c r="K143" i="13" s="1"/>
  <c r="L142" i="13"/>
  <c r="M142" i="13" s="1"/>
  <c r="J142" i="13"/>
  <c r="K142" i="13" s="1"/>
  <c r="L141" i="13"/>
  <c r="M141" i="13" s="1"/>
  <c r="J141" i="13"/>
  <c r="K141" i="13" s="1"/>
  <c r="L140" i="13"/>
  <c r="M140" i="13" s="1"/>
  <c r="J140" i="13"/>
  <c r="K140" i="13" s="1"/>
  <c r="L139" i="13"/>
  <c r="M139" i="13" s="1"/>
  <c r="J139" i="13"/>
  <c r="K139" i="13" s="1"/>
  <c r="L138" i="13"/>
  <c r="M138" i="13" s="1"/>
  <c r="J138" i="13"/>
  <c r="K138" i="13" s="1"/>
  <c r="L137" i="13"/>
  <c r="M137" i="13" s="1"/>
  <c r="J137" i="13"/>
  <c r="K137" i="13" s="1"/>
  <c r="L136" i="13"/>
  <c r="M136" i="13" s="1"/>
  <c r="J136" i="13"/>
  <c r="K136" i="13" s="1"/>
  <c r="L135" i="13"/>
  <c r="M135" i="13" s="1"/>
  <c r="J135" i="13"/>
  <c r="K135" i="13" s="1"/>
  <c r="L134" i="13" l="1"/>
  <c r="M134" i="13" s="1"/>
  <c r="J134" i="13"/>
  <c r="K134" i="13" s="1"/>
  <c r="L133" i="13"/>
  <c r="M133" i="13" s="1"/>
  <c r="J133" i="13"/>
  <c r="K133" i="13" s="1"/>
  <c r="L132" i="13"/>
  <c r="M132" i="13" s="1"/>
  <c r="J132" i="13"/>
  <c r="K132" i="13" s="1"/>
  <c r="L131" i="13"/>
  <c r="M131" i="13" s="1"/>
  <c r="J131" i="13"/>
  <c r="K131" i="13" s="1"/>
  <c r="L130" i="13"/>
  <c r="M130" i="13" s="1"/>
  <c r="J130" i="13"/>
  <c r="K130" i="13" s="1"/>
  <c r="L129" i="13"/>
  <c r="M129" i="13" s="1"/>
  <c r="J129" i="13"/>
  <c r="K129" i="13" s="1"/>
  <c r="L128" i="13"/>
  <c r="M128" i="13" s="1"/>
  <c r="J128" i="13"/>
  <c r="K128" i="13" s="1"/>
  <c r="L127" i="13"/>
  <c r="M127" i="13" s="1"/>
  <c r="J127" i="13"/>
  <c r="K127" i="13" s="1"/>
  <c r="L126" i="13"/>
  <c r="M126" i="13" s="1"/>
  <c r="J126" i="13"/>
  <c r="K126" i="13" s="1"/>
  <c r="L125" i="13"/>
  <c r="M125" i="13" s="1"/>
  <c r="J125" i="13"/>
  <c r="K125" i="13" s="1"/>
  <c r="L124" i="13"/>
  <c r="M124" i="13" s="1"/>
  <c r="J124" i="13"/>
  <c r="K124" i="13" s="1"/>
  <c r="L123" i="13"/>
  <c r="M123" i="13" s="1"/>
  <c r="J123" i="13"/>
  <c r="K123" i="13" s="1"/>
  <c r="L122" i="13"/>
  <c r="M122" i="13" s="1"/>
  <c r="J122" i="13"/>
  <c r="K122" i="13" s="1"/>
  <c r="L121" i="13" l="1"/>
  <c r="M121" i="13" s="1"/>
  <c r="J121" i="13"/>
  <c r="K121" i="13" s="1"/>
  <c r="L120" i="13"/>
  <c r="M120" i="13" s="1"/>
  <c r="J120" i="13"/>
  <c r="K120" i="13" s="1"/>
  <c r="L119" i="13"/>
  <c r="M119" i="13" s="1"/>
  <c r="J119" i="13"/>
  <c r="K119" i="13" s="1"/>
  <c r="L118" i="13"/>
  <c r="M118" i="13" s="1"/>
  <c r="J118" i="13"/>
  <c r="K118" i="13" s="1"/>
  <c r="L117" i="13"/>
  <c r="M117" i="13" s="1"/>
  <c r="J117" i="13"/>
  <c r="K117" i="13" s="1"/>
  <c r="L116" i="13"/>
  <c r="M116" i="13" s="1"/>
  <c r="J116" i="13"/>
  <c r="K116" i="13" s="1"/>
  <c r="L115" i="13"/>
  <c r="M115" i="13" s="1"/>
  <c r="J115" i="13"/>
  <c r="K115" i="13" s="1"/>
  <c r="L114" i="13"/>
  <c r="M114" i="13" s="1"/>
  <c r="J114" i="13"/>
  <c r="K114" i="13" s="1"/>
  <c r="L113" i="13"/>
  <c r="M113" i="13" s="1"/>
  <c r="J113" i="13"/>
  <c r="K113" i="13" s="1"/>
  <c r="M112" i="13"/>
  <c r="L112" i="13"/>
  <c r="J112" i="13"/>
  <c r="K112" i="13" s="1"/>
  <c r="L111" i="13"/>
  <c r="M111" i="13" s="1"/>
  <c r="J111" i="13"/>
  <c r="K111" i="13" s="1"/>
  <c r="L110" i="13"/>
  <c r="M110" i="13" s="1"/>
  <c r="J110" i="13"/>
  <c r="K110" i="13" s="1"/>
  <c r="L109" i="13"/>
  <c r="M109" i="13" s="1"/>
  <c r="J109" i="13"/>
  <c r="K109" i="13" s="1"/>
  <c r="L108" i="13"/>
  <c r="M108" i="13" s="1"/>
  <c r="J108" i="13"/>
  <c r="K108" i="13" s="1"/>
  <c r="L107" i="13"/>
  <c r="M107" i="13" s="1"/>
  <c r="J107" i="13"/>
  <c r="K107" i="13" s="1"/>
  <c r="L106" i="13"/>
  <c r="M106" i="13" s="1"/>
  <c r="J106" i="13"/>
  <c r="K106" i="13" s="1"/>
  <c r="L105" i="13"/>
  <c r="M105" i="13" s="1"/>
  <c r="J105" i="13"/>
  <c r="K105" i="13" s="1"/>
  <c r="L104" i="13"/>
  <c r="M104" i="13" s="1"/>
  <c r="J104" i="13"/>
  <c r="K104" i="13" s="1"/>
  <c r="L103" i="13"/>
  <c r="M103" i="13" s="1"/>
  <c r="J103" i="13"/>
  <c r="K103" i="13" s="1"/>
  <c r="L102" i="13"/>
  <c r="M102" i="13" s="1"/>
  <c r="J102" i="13"/>
  <c r="K102" i="13" s="1"/>
  <c r="L101" i="13" l="1"/>
  <c r="M101" i="13" s="1"/>
  <c r="J101" i="13"/>
  <c r="K101" i="13" s="1"/>
  <c r="L100" i="13"/>
  <c r="M100" i="13" s="1"/>
  <c r="J100" i="13"/>
  <c r="K100" i="13" s="1"/>
  <c r="L99" i="13"/>
  <c r="M99" i="13" s="1"/>
  <c r="J99" i="13"/>
  <c r="K99" i="13" s="1"/>
  <c r="L98" i="13"/>
  <c r="M98" i="13" s="1"/>
  <c r="J98" i="13"/>
  <c r="K98" i="13" s="1"/>
  <c r="L97" i="13"/>
  <c r="M97" i="13" s="1"/>
  <c r="J97" i="13"/>
  <c r="K97" i="13" s="1"/>
  <c r="L96" i="13"/>
  <c r="M96" i="13" s="1"/>
  <c r="J96" i="13"/>
  <c r="K96" i="13" s="1"/>
  <c r="L95" i="13"/>
  <c r="M95" i="13" s="1"/>
  <c r="J95" i="13"/>
  <c r="K95" i="13" s="1"/>
  <c r="L94" i="13"/>
  <c r="M94" i="13" s="1"/>
  <c r="J94" i="13"/>
  <c r="K94" i="13" s="1"/>
  <c r="L93" i="13"/>
  <c r="M93" i="13" s="1"/>
  <c r="J93" i="13"/>
  <c r="K93" i="13" s="1"/>
  <c r="L92" i="13"/>
  <c r="M92" i="13" s="1"/>
  <c r="J92" i="13"/>
  <c r="K92" i="13" s="1"/>
  <c r="L91" i="13"/>
  <c r="M91" i="13" s="1"/>
  <c r="J91" i="13"/>
  <c r="K91" i="13" s="1"/>
  <c r="L90" i="13"/>
  <c r="M90" i="13" s="1"/>
  <c r="J90" i="13"/>
  <c r="K90" i="13" s="1"/>
  <c r="L89" i="13"/>
  <c r="M89" i="13" s="1"/>
  <c r="J89" i="13"/>
  <c r="K89" i="13" s="1"/>
  <c r="L88" i="13"/>
  <c r="M88" i="13" s="1"/>
  <c r="J88" i="13"/>
  <c r="K88" i="13" s="1"/>
  <c r="L87" i="13"/>
  <c r="M87" i="13" s="1"/>
  <c r="J87" i="13"/>
  <c r="K87" i="13" s="1"/>
  <c r="L86" i="13"/>
  <c r="M86" i="13" s="1"/>
  <c r="J86" i="13"/>
  <c r="K86" i="13" s="1"/>
  <c r="L85" i="13"/>
  <c r="M85" i="13" s="1"/>
  <c r="J85" i="13"/>
  <c r="K85" i="13" s="1"/>
  <c r="L84" i="13"/>
  <c r="M84" i="13" s="1"/>
  <c r="J84" i="13"/>
  <c r="K84" i="13" s="1"/>
  <c r="L83" i="13"/>
  <c r="M83" i="13" s="1"/>
  <c r="J83" i="13"/>
  <c r="K83" i="13" s="1"/>
  <c r="L82" i="13"/>
  <c r="M82" i="13" s="1"/>
  <c r="J82" i="13"/>
  <c r="K82" i="13" s="1"/>
  <c r="L81" i="13" l="1"/>
  <c r="M81" i="13" s="1"/>
  <c r="J81" i="13"/>
  <c r="K81" i="13" s="1"/>
  <c r="L80" i="13"/>
  <c r="M80" i="13" s="1"/>
  <c r="J80" i="13"/>
  <c r="K80" i="13" s="1"/>
  <c r="L79" i="13"/>
  <c r="M79" i="13" s="1"/>
  <c r="J79" i="13"/>
  <c r="K79" i="13" s="1"/>
  <c r="L78" i="13"/>
  <c r="M78" i="13" s="1"/>
  <c r="J78" i="13"/>
  <c r="K78" i="13" s="1"/>
  <c r="L77" i="13"/>
  <c r="M77" i="13" s="1"/>
  <c r="J77" i="13"/>
  <c r="K77" i="13" s="1"/>
  <c r="L76" i="13"/>
  <c r="M76" i="13" s="1"/>
  <c r="J76" i="13"/>
  <c r="K76" i="13" s="1"/>
  <c r="L75" i="13"/>
  <c r="M75" i="13" s="1"/>
  <c r="J75" i="13"/>
  <c r="K75" i="13" s="1"/>
  <c r="L74" i="13"/>
  <c r="M74" i="13" s="1"/>
  <c r="J74" i="13"/>
  <c r="K74" i="13" s="1"/>
  <c r="L73" i="13"/>
  <c r="M73" i="13" s="1"/>
  <c r="J73" i="13"/>
  <c r="K73" i="13" s="1"/>
  <c r="L72" i="13"/>
  <c r="M72" i="13" s="1"/>
  <c r="J72" i="13"/>
  <c r="K72" i="13" s="1"/>
  <c r="L71" i="13"/>
  <c r="M71" i="13" s="1"/>
  <c r="J71" i="13"/>
  <c r="K71" i="13" s="1"/>
  <c r="L70" i="13"/>
  <c r="M70" i="13" s="1"/>
  <c r="J70" i="13"/>
  <c r="K70" i="13" s="1"/>
  <c r="L69" i="13"/>
  <c r="M69" i="13" s="1"/>
  <c r="J69" i="13"/>
  <c r="K69" i="13" s="1"/>
  <c r="L68" i="13"/>
  <c r="M68" i="13" s="1"/>
  <c r="J68" i="13"/>
  <c r="K68" i="13" s="1"/>
  <c r="L67" i="13"/>
  <c r="M67" i="13" s="1"/>
  <c r="J67" i="13"/>
  <c r="K67" i="13" s="1"/>
  <c r="L66" i="13"/>
  <c r="M66" i="13" s="1"/>
  <c r="J66" i="13"/>
  <c r="K66" i="13" s="1"/>
  <c r="L65" i="13"/>
  <c r="M65" i="13" s="1"/>
  <c r="J65" i="13"/>
  <c r="K65" i="13" s="1"/>
  <c r="L64" i="13"/>
  <c r="M64" i="13" s="1"/>
  <c r="J64" i="13"/>
  <c r="K64" i="13" s="1"/>
  <c r="L63" i="13"/>
  <c r="M63" i="13" s="1"/>
  <c r="J63" i="13"/>
  <c r="K63" i="13" s="1"/>
  <c r="L62" i="13"/>
  <c r="M62" i="13" s="1"/>
  <c r="J62" i="13"/>
  <c r="K62" i="13" s="1"/>
  <c r="L61" i="13"/>
  <c r="M61" i="13" s="1"/>
  <c r="J61" i="13"/>
  <c r="K61" i="13" s="1"/>
  <c r="L60" i="13"/>
  <c r="M60" i="13" s="1"/>
  <c r="J60" i="13"/>
  <c r="K60" i="13" s="1"/>
  <c r="L59" i="13"/>
  <c r="M59" i="13" s="1"/>
  <c r="J59" i="13"/>
  <c r="K59" i="13" s="1"/>
  <c r="L58" i="13"/>
  <c r="M58" i="13" s="1"/>
  <c r="J58" i="13"/>
  <c r="K58" i="13" s="1"/>
  <c r="L57" i="13"/>
  <c r="M57" i="13" s="1"/>
  <c r="J57" i="13"/>
  <c r="K57" i="13" s="1"/>
  <c r="L56" i="13"/>
  <c r="M56" i="13" s="1"/>
  <c r="J56" i="13"/>
  <c r="K56" i="13" s="1"/>
  <c r="L55" i="13"/>
  <c r="M55" i="13" s="1"/>
  <c r="J55" i="13"/>
  <c r="K55" i="13" s="1"/>
  <c r="L54" i="13"/>
  <c r="M54" i="13" s="1"/>
  <c r="J54" i="13"/>
  <c r="K54" i="13" s="1"/>
  <c r="L53" i="13"/>
  <c r="M53" i="13" s="1"/>
  <c r="J53" i="13"/>
  <c r="K53" i="13" s="1"/>
  <c r="L52" i="13"/>
  <c r="M52" i="13" s="1"/>
  <c r="J52" i="13"/>
  <c r="K52" i="13" s="1"/>
  <c r="L51" i="13"/>
  <c r="M51" i="13" s="1"/>
  <c r="J51" i="13"/>
  <c r="K51" i="13" s="1"/>
  <c r="L50" i="13"/>
  <c r="M50" i="13" s="1"/>
  <c r="J50" i="13"/>
  <c r="K50" i="13" s="1"/>
  <c r="L49" i="13"/>
  <c r="M49" i="13" s="1"/>
  <c r="J49" i="13"/>
  <c r="K49" i="13" s="1"/>
  <c r="L48" i="13"/>
  <c r="M48" i="13" s="1"/>
  <c r="J48" i="13"/>
  <c r="K48" i="13" s="1"/>
  <c r="L47" i="13"/>
  <c r="M47" i="13" s="1"/>
  <c r="J47" i="13"/>
  <c r="K47" i="13" s="1"/>
  <c r="L46" i="13"/>
  <c r="M46" i="13" s="1"/>
  <c r="J46" i="13"/>
  <c r="K46" i="13" s="1"/>
  <c r="L45" i="13"/>
  <c r="M45" i="13" s="1"/>
  <c r="J45" i="13"/>
  <c r="K45" i="13" s="1"/>
  <c r="L44" i="13"/>
  <c r="M44" i="13" s="1"/>
  <c r="J44" i="13"/>
  <c r="K44" i="13" s="1"/>
  <c r="L43" i="13"/>
  <c r="M43" i="13" s="1"/>
  <c r="J43" i="13"/>
  <c r="K43" i="13" s="1"/>
  <c r="L42" i="13"/>
  <c r="M42" i="13" s="1"/>
  <c r="J42" i="13"/>
  <c r="K42" i="13" s="1"/>
  <c r="L41" i="13"/>
  <c r="M41" i="13" s="1"/>
  <c r="J41" i="13"/>
  <c r="K41" i="13" s="1"/>
  <c r="L40" i="13"/>
  <c r="M40" i="13" s="1"/>
  <c r="J40" i="13"/>
  <c r="K40" i="13" s="1"/>
  <c r="L39" i="13"/>
  <c r="M39" i="13" s="1"/>
  <c r="J39" i="13"/>
  <c r="K39" i="13" s="1"/>
  <c r="L38" i="13"/>
  <c r="M38" i="13" s="1"/>
  <c r="J38" i="13"/>
  <c r="K38" i="13" s="1"/>
  <c r="L37" i="13"/>
  <c r="M37" i="13" s="1"/>
  <c r="J37" i="13"/>
  <c r="K37" i="13" s="1"/>
  <c r="L36" i="13"/>
  <c r="M36" i="13" s="1"/>
  <c r="J36" i="13"/>
  <c r="K36" i="13" s="1"/>
  <c r="L35" i="13"/>
  <c r="M35" i="13" s="1"/>
  <c r="J35" i="13"/>
  <c r="K35" i="13" s="1"/>
  <c r="L34" i="13"/>
  <c r="M34" i="13" s="1"/>
  <c r="J34" i="13"/>
  <c r="K34" i="13" s="1"/>
  <c r="L33" i="13"/>
  <c r="M33" i="13" s="1"/>
  <c r="J33" i="13"/>
  <c r="K33" i="13" s="1"/>
  <c r="L32" i="13"/>
  <c r="M32" i="13" s="1"/>
  <c r="J32" i="13"/>
  <c r="K32" i="13" s="1"/>
  <c r="L31" i="13"/>
  <c r="M31" i="13" s="1"/>
  <c r="J31" i="13"/>
  <c r="K31" i="13" s="1"/>
  <c r="L30" i="13"/>
  <c r="M30" i="13" s="1"/>
  <c r="J30" i="13"/>
  <c r="K30" i="13" s="1"/>
  <c r="L29" i="13"/>
  <c r="M29" i="13" s="1"/>
  <c r="J29" i="13"/>
  <c r="K29" i="13" s="1"/>
  <c r="L28" i="13"/>
  <c r="M28" i="13" s="1"/>
  <c r="J28" i="13"/>
  <c r="K28" i="13" s="1"/>
  <c r="L27" i="13"/>
  <c r="M27" i="13" s="1"/>
  <c r="J27" i="13"/>
  <c r="K27" i="13" s="1"/>
  <c r="L26" i="13"/>
  <c r="M26" i="13" s="1"/>
  <c r="J26" i="13"/>
  <c r="K26" i="13" s="1"/>
  <c r="L25" i="13"/>
  <c r="M25" i="13" s="1"/>
  <c r="J25" i="13"/>
  <c r="K25" i="13" s="1"/>
  <c r="L24" i="13"/>
  <c r="M24" i="13" s="1"/>
  <c r="J24" i="13"/>
  <c r="K24" i="13" s="1"/>
  <c r="L23" i="13"/>
  <c r="M23" i="13" s="1"/>
  <c r="J23" i="13"/>
  <c r="K23" i="13" s="1"/>
  <c r="L22" i="13"/>
  <c r="M22" i="13" s="1"/>
  <c r="J22" i="13"/>
  <c r="K22" i="13" s="1"/>
  <c r="L21" i="13"/>
  <c r="M21" i="13" s="1"/>
  <c r="J21" i="13"/>
  <c r="K21" i="13" s="1"/>
  <c r="L20" i="13"/>
  <c r="M20" i="13" s="1"/>
  <c r="J20" i="13"/>
  <c r="K20" i="13" s="1"/>
  <c r="L19" i="13"/>
  <c r="M19" i="13" s="1"/>
  <c r="J19" i="13"/>
  <c r="K19" i="13" s="1"/>
  <c r="L18" i="13"/>
  <c r="M18" i="13" s="1"/>
  <c r="J18" i="13"/>
  <c r="K18" i="13" s="1"/>
  <c r="L17" i="13"/>
  <c r="M17" i="13" s="1"/>
  <c r="J17" i="13"/>
  <c r="K17" i="13" s="1"/>
  <c r="L16" i="13"/>
  <c r="M16" i="13" s="1"/>
  <c r="J16" i="13"/>
  <c r="K16" i="13" s="1"/>
  <c r="L15" i="13"/>
  <c r="M15" i="13" s="1"/>
  <c r="J15" i="13"/>
  <c r="K15" i="13" s="1"/>
  <c r="L14" i="13"/>
  <c r="M14" i="13" s="1"/>
  <c r="J14" i="13"/>
  <c r="K14" i="13" s="1"/>
  <c r="L13" i="13"/>
  <c r="M13" i="13" s="1"/>
  <c r="J13" i="13"/>
  <c r="K13" i="13" s="1"/>
  <c r="L12" i="13"/>
  <c r="M12" i="13" s="1"/>
  <c r="J12" i="13"/>
  <c r="K12" i="13" s="1"/>
  <c r="L11" i="13"/>
  <c r="M11" i="13" s="1"/>
  <c r="J11" i="13"/>
  <c r="K11" i="13" s="1"/>
  <c r="L10" i="13"/>
  <c r="M10" i="13" s="1"/>
  <c r="J10" i="13"/>
  <c r="K10" i="13" s="1"/>
  <c r="L9" i="13"/>
  <c r="M9" i="13" s="1"/>
  <c r="J9" i="13"/>
  <c r="K9" i="13" s="1"/>
  <c r="L8" i="13"/>
  <c r="M8" i="13" s="1"/>
  <c r="J8" i="13"/>
  <c r="K8" i="13" s="1"/>
  <c r="L7" i="13"/>
  <c r="M7" i="13" s="1"/>
  <c r="J7" i="13"/>
  <c r="K7" i="13" s="1"/>
  <c r="L6" i="13"/>
  <c r="M6" i="13" s="1"/>
  <c r="J6" i="13"/>
  <c r="K6" i="13" s="1"/>
  <c r="L5" i="13"/>
  <c r="M5" i="13" s="1"/>
  <c r="J5" i="13"/>
  <c r="K5" i="13" s="1"/>
  <c r="L4" i="13"/>
  <c r="M4" i="13" s="1"/>
  <c r="J4" i="13"/>
  <c r="K4" i="13" s="1"/>
  <c r="L3" i="13"/>
  <c r="M3" i="13" s="1"/>
  <c r="J3" i="13"/>
  <c r="K3" i="13" s="1"/>
  <c r="L2" i="13"/>
  <c r="M2" i="13" s="1"/>
  <c r="J2" i="13"/>
  <c r="K2" i="13" s="1"/>
  <c r="M243" i="12" l="1"/>
  <c r="K243" i="12"/>
  <c r="L242" i="12"/>
  <c r="M242" i="12" s="1"/>
  <c r="J242" i="12"/>
  <c r="K242" i="12" s="1"/>
  <c r="M241" i="12"/>
  <c r="K241" i="12"/>
  <c r="L240" i="12"/>
  <c r="M240" i="12" s="1"/>
  <c r="J240" i="12"/>
  <c r="K240" i="12" s="1"/>
  <c r="M239" i="12"/>
  <c r="K239" i="12"/>
  <c r="L238" i="12"/>
  <c r="M238" i="12" s="1"/>
  <c r="J238" i="12"/>
  <c r="K238" i="12" s="1"/>
  <c r="M237" i="12"/>
  <c r="K237" i="12"/>
  <c r="L236" i="12"/>
  <c r="M236" i="12" s="1"/>
  <c r="J236" i="12"/>
  <c r="K236" i="12" s="1"/>
  <c r="M235" i="12"/>
  <c r="K235" i="12"/>
  <c r="L234" i="12"/>
  <c r="M234" i="12" s="1"/>
  <c r="J234" i="12"/>
  <c r="K234" i="12" s="1"/>
  <c r="M233" i="12"/>
  <c r="K233" i="12"/>
  <c r="L232" i="12"/>
  <c r="M232" i="12" s="1"/>
  <c r="J232" i="12"/>
  <c r="K232" i="12" s="1"/>
  <c r="M231" i="12"/>
  <c r="K231" i="12"/>
  <c r="L230" i="12"/>
  <c r="M230" i="12" s="1"/>
  <c r="J230" i="12"/>
  <c r="K230" i="12" s="1"/>
  <c r="M229" i="12"/>
  <c r="K229" i="12"/>
  <c r="L228" i="12"/>
  <c r="M228" i="12" s="1"/>
  <c r="J228" i="12"/>
  <c r="K228" i="12" s="1"/>
  <c r="M227" i="12"/>
  <c r="K227" i="12"/>
  <c r="L226" i="12"/>
  <c r="M226" i="12" s="1"/>
  <c r="J226" i="12"/>
  <c r="K226" i="12" s="1"/>
  <c r="M225" i="12"/>
  <c r="K225" i="12"/>
  <c r="L224" i="12"/>
  <c r="M224" i="12" s="1"/>
  <c r="J224" i="12"/>
  <c r="K224" i="12" s="1"/>
  <c r="M223" i="12"/>
  <c r="K223" i="12"/>
  <c r="L222" i="12"/>
  <c r="M222" i="12" s="1"/>
  <c r="J222" i="12"/>
  <c r="K222" i="12" s="1"/>
  <c r="M221" i="12"/>
  <c r="K221" i="12"/>
  <c r="L220" i="12"/>
  <c r="M220" i="12" s="1"/>
  <c r="J220" i="12"/>
  <c r="K220" i="12" s="1"/>
  <c r="M219" i="12"/>
  <c r="K219" i="12"/>
  <c r="L218" i="12"/>
  <c r="M218" i="12" s="1"/>
  <c r="J218" i="12"/>
  <c r="K218" i="12" s="1"/>
  <c r="M217" i="12"/>
  <c r="K217" i="12"/>
  <c r="L216" i="12"/>
  <c r="M216" i="12" s="1"/>
  <c r="J216" i="12"/>
  <c r="K216" i="12" s="1"/>
  <c r="M215" i="12"/>
  <c r="K215" i="12"/>
  <c r="L214" i="12"/>
  <c r="M214" i="12" s="1"/>
  <c r="J214" i="12"/>
  <c r="K214" i="12" s="1"/>
  <c r="M213" i="12"/>
  <c r="K213" i="12"/>
  <c r="L212" i="12"/>
  <c r="M212" i="12" s="1"/>
  <c r="J212" i="12"/>
  <c r="K212" i="12" s="1"/>
  <c r="M211" i="12"/>
  <c r="K211" i="12"/>
  <c r="L210" i="12"/>
  <c r="M210" i="12" s="1"/>
  <c r="J210" i="12"/>
  <c r="K210" i="12" s="1"/>
  <c r="M209" i="12"/>
  <c r="K209" i="12"/>
  <c r="L208" i="12"/>
  <c r="M208" i="12" s="1"/>
  <c r="J208" i="12"/>
  <c r="K208" i="12" s="1"/>
  <c r="M207" i="12"/>
  <c r="K207" i="12"/>
  <c r="L206" i="12"/>
  <c r="M206" i="12" s="1"/>
  <c r="J206" i="12"/>
  <c r="K206" i="12" s="1"/>
  <c r="M205" i="12"/>
  <c r="K205" i="12"/>
  <c r="L204" i="12"/>
  <c r="M204" i="12" s="1"/>
  <c r="J204" i="12"/>
  <c r="K204" i="12" s="1"/>
  <c r="M203" i="12"/>
  <c r="K203" i="12"/>
  <c r="L202" i="12"/>
  <c r="M202" i="12" s="1"/>
  <c r="J202" i="12"/>
  <c r="K202" i="12" s="1"/>
  <c r="M201" i="12"/>
  <c r="K201" i="12"/>
  <c r="L200" i="12"/>
  <c r="M200" i="12" s="1"/>
  <c r="J200" i="12"/>
  <c r="K200" i="12" s="1"/>
  <c r="M199" i="12"/>
  <c r="K199" i="12"/>
  <c r="L198" i="12"/>
  <c r="M198" i="12" s="1"/>
  <c r="J198" i="12"/>
  <c r="K198" i="12" s="1"/>
  <c r="M197" i="12"/>
  <c r="K197" i="12"/>
  <c r="L196" i="12"/>
  <c r="M196" i="12" s="1"/>
  <c r="J196" i="12"/>
  <c r="K196" i="12" s="1"/>
  <c r="M195" i="12"/>
  <c r="K195" i="12"/>
  <c r="L194" i="12"/>
  <c r="M194" i="12" s="1"/>
  <c r="J194" i="12"/>
  <c r="K194" i="12" s="1"/>
  <c r="M193" i="12" l="1"/>
  <c r="J193" i="12"/>
  <c r="M192" i="12"/>
  <c r="J192" i="12"/>
  <c r="M191" i="12"/>
  <c r="J191" i="12"/>
  <c r="L190" i="12"/>
  <c r="M190" i="12" s="1"/>
  <c r="J190" i="12"/>
  <c r="K190" i="12" s="1"/>
  <c r="M189" i="12"/>
  <c r="J189" i="12"/>
  <c r="M188" i="12"/>
  <c r="J188" i="12"/>
  <c r="M187" i="12"/>
  <c r="J187" i="12"/>
  <c r="L186" i="12"/>
  <c r="M186" i="12" s="1"/>
  <c r="J186" i="12"/>
  <c r="K186" i="12" s="1"/>
  <c r="M185" i="12"/>
  <c r="J185" i="12"/>
  <c r="M184" i="12"/>
  <c r="J184" i="12"/>
  <c r="M183" i="12"/>
  <c r="J183" i="12"/>
  <c r="L182" i="12"/>
  <c r="M182" i="12" s="1"/>
  <c r="J182" i="12"/>
  <c r="K182" i="12" s="1"/>
  <c r="M181" i="12"/>
  <c r="J181" i="12"/>
  <c r="M180" i="12"/>
  <c r="J180" i="12"/>
  <c r="M179" i="12"/>
  <c r="J179" i="12"/>
  <c r="L178" i="12"/>
  <c r="M178" i="12" s="1"/>
  <c r="J178" i="12"/>
  <c r="K178" i="12" s="1"/>
  <c r="M177" i="12"/>
  <c r="J177" i="12"/>
  <c r="M176" i="12"/>
  <c r="J176" i="12"/>
  <c r="M175" i="12"/>
  <c r="J175" i="12"/>
  <c r="L174" i="12"/>
  <c r="M174" i="12" s="1"/>
  <c r="J174" i="12"/>
  <c r="K174" i="12" s="1"/>
  <c r="M173" i="12"/>
  <c r="J173" i="12"/>
  <c r="M172" i="12"/>
  <c r="J172" i="12"/>
  <c r="M171" i="12"/>
  <c r="J171" i="12"/>
  <c r="L170" i="12"/>
  <c r="M170" i="12" s="1"/>
  <c r="J170" i="12"/>
  <c r="K170" i="12" s="1"/>
  <c r="M169" i="12"/>
  <c r="J169" i="12"/>
  <c r="M168" i="12"/>
  <c r="J168" i="12"/>
  <c r="M167" i="12"/>
  <c r="J167" i="12"/>
  <c r="L166" i="12"/>
  <c r="M166" i="12" s="1"/>
  <c r="K166" i="12"/>
  <c r="J166" i="12"/>
  <c r="M165" i="12"/>
  <c r="J165" i="12"/>
  <c r="M164" i="12"/>
  <c r="J164" i="12"/>
  <c r="M163" i="12"/>
  <c r="J163" i="12"/>
  <c r="L162" i="12"/>
  <c r="M162" i="12" s="1"/>
  <c r="J162" i="12"/>
  <c r="K162" i="12" s="1"/>
  <c r="M161" i="12"/>
  <c r="J161" i="12"/>
  <c r="M160" i="12"/>
  <c r="J160" i="12"/>
  <c r="M159" i="12"/>
  <c r="J159" i="12"/>
  <c r="L158" i="12"/>
  <c r="M158" i="12" s="1"/>
  <c r="J158" i="12"/>
  <c r="K158" i="12" s="1"/>
  <c r="M157" i="12"/>
  <c r="J157" i="12"/>
  <c r="M156" i="12"/>
  <c r="J156" i="12"/>
  <c r="M155" i="12"/>
  <c r="J155" i="12"/>
  <c r="L154" i="12"/>
  <c r="M154" i="12" s="1"/>
  <c r="J154" i="12"/>
  <c r="K154" i="12" s="1"/>
  <c r="L153" i="12" l="1"/>
  <c r="M153" i="12" s="1"/>
  <c r="J153" i="12"/>
  <c r="K153" i="12" s="1"/>
  <c r="L152" i="12"/>
  <c r="M152" i="12" s="1"/>
  <c r="J152" i="12"/>
  <c r="K152" i="12" s="1"/>
  <c r="L151" i="12"/>
  <c r="M151" i="12" s="1"/>
  <c r="J151" i="12"/>
  <c r="K151" i="12" s="1"/>
  <c r="L150" i="12"/>
  <c r="M150" i="12" s="1"/>
  <c r="K150" i="12"/>
  <c r="J150" i="12"/>
  <c r="L149" i="12"/>
  <c r="M149" i="12" s="1"/>
  <c r="J149" i="12"/>
  <c r="K149" i="12" s="1"/>
  <c r="L148" i="12"/>
  <c r="M148" i="12" s="1"/>
  <c r="J148" i="12"/>
  <c r="K148" i="12" s="1"/>
  <c r="L147" i="12"/>
  <c r="M147" i="12" s="1"/>
  <c r="J147" i="12"/>
  <c r="K147" i="12" s="1"/>
  <c r="L146" i="12"/>
  <c r="M146" i="12" s="1"/>
  <c r="J146" i="12"/>
  <c r="K146" i="12" s="1"/>
  <c r="L145" i="12"/>
  <c r="M145" i="12" s="1"/>
  <c r="J145" i="12"/>
  <c r="K145" i="12" s="1"/>
  <c r="L144" i="12"/>
  <c r="M144" i="12" s="1"/>
  <c r="J144" i="12"/>
  <c r="K144" i="12" s="1"/>
  <c r="L143" i="12"/>
  <c r="M143" i="12" s="1"/>
  <c r="J143" i="12"/>
  <c r="K143" i="12" s="1"/>
  <c r="L142" i="12"/>
  <c r="M142" i="12" s="1"/>
  <c r="J142" i="12"/>
  <c r="K142" i="12" s="1"/>
  <c r="L141" i="12"/>
  <c r="M141" i="12" s="1"/>
  <c r="J141" i="12"/>
  <c r="K141" i="12" s="1"/>
  <c r="L140" i="12"/>
  <c r="M140" i="12" s="1"/>
  <c r="J140" i="12"/>
  <c r="K140" i="12" s="1"/>
  <c r="L139" i="12"/>
  <c r="M139" i="12" s="1"/>
  <c r="K139" i="12"/>
  <c r="J139" i="12"/>
  <c r="L138" i="12"/>
  <c r="M138" i="12" s="1"/>
  <c r="J138" i="12"/>
  <c r="K138" i="12" s="1"/>
  <c r="L137" i="12"/>
  <c r="M137" i="12" s="1"/>
  <c r="J137" i="12"/>
  <c r="K137" i="12" s="1"/>
  <c r="L136" i="12"/>
  <c r="M136" i="12" s="1"/>
  <c r="J136" i="12"/>
  <c r="K136" i="12" s="1"/>
  <c r="L135" i="12"/>
  <c r="M135" i="12" s="1"/>
  <c r="J135" i="12"/>
  <c r="K135" i="12" s="1"/>
  <c r="L134" i="12"/>
  <c r="M134" i="12" s="1"/>
  <c r="J134" i="12"/>
  <c r="K134" i="12" s="1"/>
  <c r="L133" i="12"/>
  <c r="M133" i="12" s="1"/>
  <c r="J133" i="12"/>
  <c r="K133" i="12" s="1"/>
  <c r="L132" i="12"/>
  <c r="M132" i="12" s="1"/>
  <c r="J132" i="12"/>
  <c r="K132" i="12" s="1"/>
  <c r="L131" i="12"/>
  <c r="M131" i="12" s="1"/>
  <c r="J131" i="12"/>
  <c r="K131" i="12" s="1"/>
  <c r="L130" i="12"/>
  <c r="M130" i="12" s="1"/>
  <c r="J130" i="12"/>
  <c r="K130" i="12" s="1"/>
  <c r="L129" i="12"/>
  <c r="M129" i="12" s="1"/>
  <c r="J129" i="12"/>
  <c r="K129" i="12" s="1"/>
  <c r="L128" i="12"/>
  <c r="M128" i="12" s="1"/>
  <c r="J128" i="12"/>
  <c r="K128" i="12" s="1"/>
  <c r="L127" i="12"/>
  <c r="M127" i="12" s="1"/>
  <c r="J127" i="12"/>
  <c r="K127" i="12" s="1"/>
  <c r="L126" i="12"/>
  <c r="M126" i="12" s="1"/>
  <c r="J126" i="12"/>
  <c r="K126" i="12" s="1"/>
  <c r="L125" i="12"/>
  <c r="M125" i="12" s="1"/>
  <c r="J125" i="12"/>
  <c r="K125" i="12" s="1"/>
  <c r="L124" i="12"/>
  <c r="M124" i="12" s="1"/>
  <c r="J124" i="12"/>
  <c r="K124" i="12" s="1"/>
  <c r="M123" i="12"/>
  <c r="L123" i="12"/>
  <c r="J123" i="12"/>
  <c r="K123" i="12" s="1"/>
  <c r="L122" i="12"/>
  <c r="M122" i="12" s="1"/>
  <c r="J122" i="12"/>
  <c r="K122" i="12" s="1"/>
  <c r="M121" i="12"/>
  <c r="L121" i="12"/>
  <c r="J121" i="12"/>
  <c r="K121" i="12" s="1"/>
  <c r="L120" i="12"/>
  <c r="M120" i="12" s="1"/>
  <c r="J120" i="12"/>
  <c r="K120" i="12" s="1"/>
  <c r="L119" i="12"/>
  <c r="M119" i="12" s="1"/>
  <c r="J119" i="12"/>
  <c r="K119" i="12" s="1"/>
  <c r="M118" i="12" l="1"/>
  <c r="J118" i="12"/>
  <c r="M117" i="12"/>
  <c r="J117" i="12"/>
  <c r="M116" i="12"/>
  <c r="J116" i="12"/>
  <c r="L115" i="12"/>
  <c r="M115" i="12" s="1"/>
  <c r="J115" i="12"/>
  <c r="K115" i="12" s="1"/>
  <c r="M114" i="12"/>
  <c r="J114" i="12"/>
  <c r="M113" i="12"/>
  <c r="J113" i="12"/>
  <c r="M112" i="12"/>
  <c r="J112" i="12"/>
  <c r="L111" i="12"/>
  <c r="M111" i="12" s="1"/>
  <c r="J111" i="12"/>
  <c r="K111" i="12" s="1"/>
  <c r="M110" i="12"/>
  <c r="J110" i="12"/>
  <c r="M109" i="12"/>
  <c r="J109" i="12"/>
  <c r="M108" i="12"/>
  <c r="J108" i="12"/>
  <c r="L107" i="12"/>
  <c r="M107" i="12" s="1"/>
  <c r="J107" i="12"/>
  <c r="K107" i="12" s="1"/>
  <c r="M106" i="12"/>
  <c r="J106" i="12"/>
  <c r="M105" i="12"/>
  <c r="J105" i="12"/>
  <c r="M104" i="12"/>
  <c r="J104" i="12"/>
  <c r="L103" i="12"/>
  <c r="M103" i="12" s="1"/>
  <c r="J103" i="12"/>
  <c r="K103" i="12" s="1"/>
  <c r="M102" i="12"/>
  <c r="J102" i="12"/>
  <c r="M101" i="12"/>
  <c r="J101" i="12"/>
  <c r="M100" i="12"/>
  <c r="J100" i="12"/>
  <c r="L99" i="12"/>
  <c r="M99" i="12" s="1"/>
  <c r="J99" i="12"/>
  <c r="K99" i="12" s="1"/>
  <c r="M98" i="12"/>
  <c r="J98" i="12"/>
  <c r="M97" i="12"/>
  <c r="J97" i="12"/>
  <c r="M96" i="12"/>
  <c r="J96" i="12"/>
  <c r="L95" i="12"/>
  <c r="M95" i="12" s="1"/>
  <c r="J95" i="12"/>
  <c r="K95" i="12" s="1"/>
  <c r="M94" i="12"/>
  <c r="J94" i="12"/>
  <c r="M93" i="12"/>
  <c r="J93" i="12"/>
  <c r="M92" i="12"/>
  <c r="J92" i="12"/>
  <c r="L91" i="12"/>
  <c r="M91" i="12" s="1"/>
  <c r="J91" i="12"/>
  <c r="K91" i="12" s="1"/>
  <c r="M90" i="12"/>
  <c r="J90" i="12"/>
  <c r="M89" i="12"/>
  <c r="J89" i="12"/>
  <c r="M88" i="12"/>
  <c r="J88" i="12"/>
  <c r="L87" i="12"/>
  <c r="M87" i="12" s="1"/>
  <c r="J87" i="12"/>
  <c r="K87" i="12" s="1"/>
  <c r="M86" i="12"/>
  <c r="J86" i="12"/>
  <c r="M85" i="12"/>
  <c r="J85" i="12"/>
  <c r="M84" i="12"/>
  <c r="J84" i="12"/>
  <c r="L83" i="12"/>
  <c r="M83" i="12" s="1"/>
  <c r="J83" i="12"/>
  <c r="K83" i="12" s="1"/>
  <c r="M82" i="12"/>
  <c r="J82" i="12"/>
  <c r="M81" i="12"/>
  <c r="J81" i="12"/>
  <c r="M80" i="12"/>
  <c r="J80" i="12"/>
  <c r="L79" i="12"/>
  <c r="M79" i="12" s="1"/>
  <c r="J79" i="12"/>
  <c r="K79" i="12" s="1"/>
  <c r="L78" i="12"/>
  <c r="M78" i="12" s="1"/>
  <c r="J78" i="12"/>
  <c r="K78" i="12" s="1"/>
  <c r="L77" i="12"/>
  <c r="M77" i="12" s="1"/>
  <c r="J77" i="12"/>
  <c r="K77" i="12" s="1"/>
  <c r="L280" i="12" l="1"/>
  <c r="M280" i="12" s="1"/>
  <c r="J280" i="12"/>
  <c r="K280" i="12" s="1"/>
  <c r="L279" i="12"/>
  <c r="M279" i="12" s="1"/>
  <c r="J279" i="12"/>
  <c r="K279" i="12" s="1"/>
  <c r="M76" i="12" l="1"/>
  <c r="J76" i="12"/>
  <c r="M75" i="12"/>
  <c r="J75" i="12"/>
  <c r="L74" i="12"/>
  <c r="M74" i="12" s="1"/>
  <c r="J74" i="12"/>
  <c r="K74" i="12" s="1"/>
  <c r="M73" i="12"/>
  <c r="J73" i="12"/>
  <c r="M72" i="12"/>
  <c r="J72" i="12"/>
  <c r="L71" i="12"/>
  <c r="M71" i="12" s="1"/>
  <c r="J71" i="12"/>
  <c r="K71" i="12" s="1"/>
  <c r="M70" i="12"/>
  <c r="J70" i="12"/>
  <c r="M69" i="12"/>
  <c r="J69" i="12"/>
  <c r="L68" i="12"/>
  <c r="M68" i="12" s="1"/>
  <c r="J68" i="12"/>
  <c r="K68" i="12" s="1"/>
  <c r="M67" i="12"/>
  <c r="J67" i="12"/>
  <c r="M66" i="12"/>
  <c r="J66" i="12"/>
  <c r="L65" i="12"/>
  <c r="M65" i="12" s="1"/>
  <c r="J65" i="12"/>
  <c r="K65" i="12" s="1"/>
  <c r="M64" i="12"/>
  <c r="J64" i="12"/>
  <c r="M63" i="12"/>
  <c r="J63" i="12"/>
  <c r="L62" i="12"/>
  <c r="M62" i="12" s="1"/>
  <c r="J62" i="12"/>
  <c r="K62" i="12" s="1"/>
  <c r="M61" i="12"/>
  <c r="J61" i="12"/>
  <c r="M60" i="12"/>
  <c r="J60" i="12"/>
  <c r="L59" i="12"/>
  <c r="M59" i="12" s="1"/>
  <c r="J59" i="12"/>
  <c r="K59" i="12" s="1"/>
  <c r="M58" i="12"/>
  <c r="J58" i="12"/>
  <c r="M57" i="12"/>
  <c r="J57" i="12"/>
  <c r="L56" i="12"/>
  <c r="M56" i="12" s="1"/>
  <c r="J56" i="12"/>
  <c r="K56" i="12" s="1"/>
  <c r="M55" i="12"/>
  <c r="J55" i="12"/>
  <c r="M54" i="12"/>
  <c r="J54" i="12"/>
  <c r="L53" i="12"/>
  <c r="M53" i="12" s="1"/>
  <c r="J53" i="12"/>
  <c r="K53" i="12" s="1"/>
  <c r="M52" i="12"/>
  <c r="J52" i="12"/>
  <c r="M51" i="12"/>
  <c r="J51" i="12"/>
  <c r="L50" i="12"/>
  <c r="M50" i="12" s="1"/>
  <c r="J50" i="12"/>
  <c r="K50" i="12" s="1"/>
  <c r="M49" i="12"/>
  <c r="J49" i="12"/>
  <c r="M48" i="12"/>
  <c r="J48" i="12"/>
  <c r="L47" i="12"/>
  <c r="M47" i="12" s="1"/>
  <c r="J47" i="12"/>
  <c r="K47" i="12" s="1"/>
  <c r="M46" i="12"/>
  <c r="J46" i="12"/>
  <c r="M45" i="12"/>
  <c r="J45" i="12"/>
  <c r="L44" i="12"/>
  <c r="M44" i="12" s="1"/>
  <c r="J44" i="12"/>
  <c r="K44" i="12" s="1"/>
  <c r="M43" i="12"/>
  <c r="J43" i="12"/>
  <c r="M42" i="12"/>
  <c r="J42" i="12"/>
  <c r="L41" i="12"/>
  <c r="M41" i="12" s="1"/>
  <c r="J41" i="12"/>
  <c r="K41" i="12" s="1"/>
  <c r="M40" i="12"/>
  <c r="J40" i="12"/>
  <c r="M39" i="12"/>
  <c r="J39" i="12"/>
  <c r="L38" i="12"/>
  <c r="M38" i="12" s="1"/>
  <c r="J38" i="12"/>
  <c r="K38" i="12" s="1"/>
  <c r="M37" i="12"/>
  <c r="J37" i="12"/>
  <c r="M36" i="12"/>
  <c r="J36" i="12"/>
  <c r="L35" i="12"/>
  <c r="M35" i="12" s="1"/>
  <c r="J35" i="12"/>
  <c r="K35" i="12" s="1"/>
  <c r="M34" i="12"/>
  <c r="J34" i="12"/>
  <c r="M33" i="12"/>
  <c r="J33" i="12"/>
  <c r="L32" i="12"/>
  <c r="M32" i="12" s="1"/>
  <c r="J32" i="12"/>
  <c r="K32" i="12" s="1"/>
  <c r="L31" i="12" l="1"/>
  <c r="M31" i="12" s="1"/>
  <c r="J31" i="12"/>
  <c r="K31" i="12" s="1"/>
  <c r="L30" i="12"/>
  <c r="M30" i="12" s="1"/>
  <c r="J30" i="12"/>
  <c r="K30" i="12" s="1"/>
  <c r="L29" i="12"/>
  <c r="M29" i="12" s="1"/>
  <c r="J29" i="12"/>
  <c r="K29" i="12" s="1"/>
  <c r="L28" i="12"/>
  <c r="M28" i="12" s="1"/>
  <c r="J28" i="12"/>
  <c r="K28" i="12" s="1"/>
  <c r="L27" i="12"/>
  <c r="M27" i="12" s="1"/>
  <c r="J27" i="12"/>
  <c r="K27" i="12" s="1"/>
  <c r="L26" i="12"/>
  <c r="M26" i="12" s="1"/>
  <c r="J26" i="12"/>
  <c r="K26" i="12" s="1"/>
  <c r="L25" i="12"/>
  <c r="M25" i="12" s="1"/>
  <c r="J25" i="12"/>
  <c r="K25" i="12" s="1"/>
  <c r="L24" i="12"/>
  <c r="M24" i="12" s="1"/>
  <c r="J24" i="12"/>
  <c r="K24" i="12" s="1"/>
  <c r="L23" i="12"/>
  <c r="M23" i="12" s="1"/>
  <c r="J23" i="12"/>
  <c r="K23" i="12" s="1"/>
  <c r="L22" i="12"/>
  <c r="M22" i="12" s="1"/>
  <c r="J22" i="12"/>
  <c r="K22" i="12" s="1"/>
  <c r="L21" i="12"/>
  <c r="M21" i="12" s="1"/>
  <c r="J21" i="12"/>
  <c r="K21" i="12" s="1"/>
  <c r="L20" i="12"/>
  <c r="M20" i="12" s="1"/>
  <c r="J20" i="12"/>
  <c r="K20" i="12" s="1"/>
  <c r="L19" i="12"/>
  <c r="M19" i="12" s="1"/>
  <c r="J19" i="12"/>
  <c r="K19" i="12" s="1"/>
  <c r="L18" i="12"/>
  <c r="M18" i="12" s="1"/>
  <c r="J18" i="12"/>
  <c r="K18" i="12" s="1"/>
  <c r="L17" i="12"/>
  <c r="M17" i="12" s="1"/>
  <c r="J17" i="12"/>
  <c r="K17" i="12" s="1"/>
  <c r="L16" i="12"/>
  <c r="M16" i="12" s="1"/>
  <c r="J16" i="12"/>
  <c r="K16" i="12" s="1"/>
  <c r="L15" i="12"/>
  <c r="M15" i="12" s="1"/>
  <c r="J15" i="12"/>
  <c r="K15" i="12" s="1"/>
  <c r="L14" i="12"/>
  <c r="M14" i="12" s="1"/>
  <c r="J14" i="12"/>
  <c r="K14" i="12" s="1"/>
  <c r="L13" i="12"/>
  <c r="M13" i="12" s="1"/>
  <c r="J13" i="12"/>
  <c r="K13" i="12" s="1"/>
  <c r="L12" i="12"/>
  <c r="M12" i="12" s="1"/>
  <c r="J12" i="12"/>
  <c r="K12" i="12" s="1"/>
  <c r="L11" i="12"/>
  <c r="M11" i="12" s="1"/>
  <c r="J11" i="12"/>
  <c r="K11" i="12" s="1"/>
  <c r="L10" i="12"/>
  <c r="M10" i="12" s="1"/>
  <c r="J10" i="12"/>
  <c r="K10" i="12" s="1"/>
  <c r="L9" i="12"/>
  <c r="M9" i="12" s="1"/>
  <c r="J9" i="12"/>
  <c r="K9" i="12" s="1"/>
  <c r="L8" i="12"/>
  <c r="M8" i="12" s="1"/>
  <c r="J8" i="12"/>
  <c r="K8" i="12" s="1"/>
  <c r="L7" i="12"/>
  <c r="M7" i="12" s="1"/>
  <c r="J7" i="12"/>
  <c r="K7" i="12" s="1"/>
  <c r="L6" i="12"/>
  <c r="M6" i="12" s="1"/>
  <c r="J6" i="12"/>
  <c r="K6" i="12" s="1"/>
  <c r="L5" i="12"/>
  <c r="M5" i="12" s="1"/>
  <c r="J5" i="12"/>
  <c r="K5" i="12" s="1"/>
  <c r="L4" i="12"/>
  <c r="M4" i="12" s="1"/>
  <c r="J4" i="12"/>
  <c r="K4" i="12" s="1"/>
  <c r="L3" i="12"/>
  <c r="M3" i="12" s="1"/>
  <c r="J3" i="12"/>
  <c r="K3" i="12" s="1"/>
  <c r="L2" i="12"/>
  <c r="M2" i="12" s="1"/>
  <c r="J2" i="12"/>
  <c r="K2" i="12" s="1"/>
  <c r="M272" i="11" l="1"/>
  <c r="K272" i="11"/>
  <c r="L271" i="11"/>
  <c r="M271" i="11" s="1"/>
  <c r="J271" i="11"/>
  <c r="K271" i="11" s="1"/>
  <c r="M270" i="11"/>
  <c r="K270" i="11"/>
  <c r="L269" i="11"/>
  <c r="M269" i="11" s="1"/>
  <c r="J269" i="11"/>
  <c r="K269" i="11" s="1"/>
  <c r="M268" i="11"/>
  <c r="K268" i="11"/>
  <c r="L267" i="11"/>
  <c r="M267" i="11" s="1"/>
  <c r="J267" i="11"/>
  <c r="K267" i="11" s="1"/>
  <c r="M266" i="11"/>
  <c r="K266" i="11"/>
  <c r="L265" i="11"/>
  <c r="M265" i="11" s="1"/>
  <c r="J265" i="11"/>
  <c r="K265" i="11" s="1"/>
  <c r="M264" i="11"/>
  <c r="K264" i="11"/>
  <c r="L263" i="11"/>
  <c r="M263" i="11" s="1"/>
  <c r="J263" i="11"/>
  <c r="K263" i="11" s="1"/>
  <c r="M262" i="11"/>
  <c r="K262" i="11"/>
  <c r="L261" i="11"/>
  <c r="M261" i="11" s="1"/>
  <c r="J261" i="11"/>
  <c r="K261" i="11" s="1"/>
  <c r="M260" i="11"/>
  <c r="K260" i="11"/>
  <c r="L259" i="11"/>
  <c r="M259" i="11" s="1"/>
  <c r="J259" i="11"/>
  <c r="K259" i="11" s="1"/>
  <c r="M258" i="11"/>
  <c r="K258" i="11"/>
  <c r="L257" i="11"/>
  <c r="M257" i="11" s="1"/>
  <c r="J257" i="11"/>
  <c r="K257" i="11" s="1"/>
  <c r="M256" i="11"/>
  <c r="K256" i="11"/>
  <c r="L255" i="11"/>
  <c r="M255" i="11" s="1"/>
  <c r="J255" i="11"/>
  <c r="K255" i="11" s="1"/>
  <c r="M254" i="11"/>
  <c r="K254" i="11"/>
  <c r="L253" i="11"/>
  <c r="M253" i="11" s="1"/>
  <c r="J253" i="11"/>
  <c r="K253" i="11" s="1"/>
  <c r="M252" i="11"/>
  <c r="K252" i="11"/>
  <c r="L251" i="11"/>
  <c r="M251" i="11" s="1"/>
  <c r="J251" i="11"/>
  <c r="K251" i="11" s="1"/>
  <c r="M250" i="11"/>
  <c r="K250" i="11"/>
  <c r="L249" i="11"/>
  <c r="M249" i="11" s="1"/>
  <c r="J249" i="11"/>
  <c r="K249" i="11" s="1"/>
  <c r="M248" i="11"/>
  <c r="K248" i="11"/>
  <c r="L247" i="11"/>
  <c r="M247" i="11" s="1"/>
  <c r="J247" i="11"/>
  <c r="K247" i="11" s="1"/>
  <c r="M246" i="11"/>
  <c r="K246" i="11"/>
  <c r="L245" i="11"/>
  <c r="M245" i="11" s="1"/>
  <c r="J245" i="11"/>
  <c r="K245" i="11" s="1"/>
  <c r="M244" i="11"/>
  <c r="K244" i="11"/>
  <c r="L243" i="11"/>
  <c r="M243" i="11" s="1"/>
  <c r="J243" i="11"/>
  <c r="K243" i="11" s="1"/>
  <c r="M242" i="11"/>
  <c r="K242" i="11"/>
  <c r="L241" i="11"/>
  <c r="M241" i="11" s="1"/>
  <c r="J241" i="11"/>
  <c r="K241" i="11" s="1"/>
  <c r="M240" i="11"/>
  <c r="K240" i="11"/>
  <c r="L239" i="11"/>
  <c r="M239" i="11" s="1"/>
  <c r="J239" i="11"/>
  <c r="K239" i="11" s="1"/>
  <c r="M238" i="11"/>
  <c r="K238" i="11"/>
  <c r="L237" i="11"/>
  <c r="M237" i="11" s="1"/>
  <c r="J237" i="11"/>
  <c r="K237" i="11" s="1"/>
  <c r="M236" i="11"/>
  <c r="K236" i="11"/>
  <c r="L235" i="11"/>
  <c r="M235" i="11" s="1"/>
  <c r="J235" i="11"/>
  <c r="K235" i="11" s="1"/>
  <c r="M234" i="11"/>
  <c r="K234" i="11"/>
  <c r="L233" i="11"/>
  <c r="M233" i="11" s="1"/>
  <c r="J233" i="11"/>
  <c r="K233" i="11" s="1"/>
  <c r="M232" i="11" l="1"/>
  <c r="J232" i="11"/>
  <c r="M231" i="11"/>
  <c r="J231" i="11"/>
  <c r="L230" i="11"/>
  <c r="M230" i="11" s="1"/>
  <c r="J230" i="11"/>
  <c r="K230" i="11" s="1"/>
  <c r="M229" i="11"/>
  <c r="J229" i="11"/>
  <c r="M228" i="11"/>
  <c r="J228" i="11"/>
  <c r="L227" i="11"/>
  <c r="M227" i="11" s="1"/>
  <c r="J227" i="11"/>
  <c r="K227" i="11" s="1"/>
  <c r="M226" i="11"/>
  <c r="J226" i="11"/>
  <c r="M225" i="11"/>
  <c r="J225" i="11"/>
  <c r="L224" i="11"/>
  <c r="M224" i="11" s="1"/>
  <c r="J224" i="11"/>
  <c r="K224" i="11" s="1"/>
  <c r="M223" i="11"/>
  <c r="J223" i="11"/>
  <c r="M222" i="11"/>
  <c r="J222" i="11"/>
  <c r="L221" i="11"/>
  <c r="M221" i="11" s="1"/>
  <c r="J221" i="11"/>
  <c r="K221" i="11" s="1"/>
  <c r="M220" i="11"/>
  <c r="J220" i="11"/>
  <c r="M219" i="11"/>
  <c r="J219" i="11"/>
  <c r="L218" i="11"/>
  <c r="M218" i="11" s="1"/>
  <c r="J218" i="11"/>
  <c r="K218" i="11" s="1"/>
  <c r="M217" i="11"/>
  <c r="J217" i="11"/>
  <c r="M216" i="11"/>
  <c r="J216" i="11"/>
  <c r="M215" i="11"/>
  <c r="L215" i="11"/>
  <c r="J215" i="11"/>
  <c r="K215" i="11" s="1"/>
  <c r="M214" i="11"/>
  <c r="J214" i="11"/>
  <c r="M213" i="11"/>
  <c r="J213" i="11"/>
  <c r="L212" i="11"/>
  <c r="M212" i="11" s="1"/>
  <c r="J212" i="11"/>
  <c r="K212" i="11" s="1"/>
  <c r="M211" i="11"/>
  <c r="J211" i="11"/>
  <c r="M210" i="11"/>
  <c r="J210" i="11"/>
  <c r="L209" i="11"/>
  <c r="M209" i="11" s="1"/>
  <c r="J209" i="11"/>
  <c r="K209" i="11" s="1"/>
  <c r="M208" i="11"/>
  <c r="J208" i="11"/>
  <c r="M207" i="11"/>
  <c r="J207" i="11"/>
  <c r="L206" i="11"/>
  <c r="M206" i="11" s="1"/>
  <c r="J206" i="11"/>
  <c r="K206" i="11" s="1"/>
  <c r="M205" i="11"/>
  <c r="J205" i="11"/>
  <c r="M204" i="11"/>
  <c r="J204" i="11"/>
  <c r="L203" i="11"/>
  <c r="M203" i="11" s="1"/>
  <c r="J203" i="11"/>
  <c r="K203" i="11" s="1"/>
  <c r="M202" i="11"/>
  <c r="J202" i="11"/>
  <c r="M201" i="11"/>
  <c r="J201" i="11"/>
  <c r="M200" i="11"/>
  <c r="L200" i="11"/>
  <c r="J200" i="11"/>
  <c r="K200" i="11" s="1"/>
  <c r="M199" i="11"/>
  <c r="J199" i="11"/>
  <c r="M198" i="11"/>
  <c r="J198" i="11"/>
  <c r="L197" i="11"/>
  <c r="M197" i="11" s="1"/>
  <c r="J197" i="11"/>
  <c r="K197" i="11" s="1"/>
  <c r="M196" i="11"/>
  <c r="J196" i="11"/>
  <c r="M195" i="11"/>
  <c r="J195" i="11"/>
  <c r="L194" i="11"/>
  <c r="M194" i="11" s="1"/>
  <c r="J194" i="11"/>
  <c r="K194" i="11" s="1"/>
  <c r="M193" i="11"/>
  <c r="J193" i="11"/>
  <c r="M192" i="11"/>
  <c r="J192" i="11"/>
  <c r="M191" i="11"/>
  <c r="L191" i="11"/>
  <c r="J191" i="11"/>
  <c r="K191" i="11" s="1"/>
  <c r="M190" i="11"/>
  <c r="J190" i="11"/>
  <c r="M189" i="11"/>
  <c r="J189" i="11"/>
  <c r="L188" i="11"/>
  <c r="M188" i="11" s="1"/>
  <c r="J188" i="11"/>
  <c r="K188" i="11" s="1"/>
  <c r="L298" i="11"/>
  <c r="M298" i="11" s="1"/>
  <c r="J298" i="11"/>
  <c r="K298" i="11" s="1"/>
  <c r="M187" i="11" l="1"/>
  <c r="J187" i="11"/>
  <c r="M186" i="11"/>
  <c r="J186" i="11"/>
  <c r="M185" i="11"/>
  <c r="J185" i="11"/>
  <c r="L184" i="11"/>
  <c r="M184" i="11" s="1"/>
  <c r="J184" i="11"/>
  <c r="K184" i="11" s="1"/>
  <c r="M183" i="11"/>
  <c r="J183" i="11"/>
  <c r="M182" i="11"/>
  <c r="J182" i="11"/>
  <c r="M181" i="11"/>
  <c r="J181" i="11"/>
  <c r="M180" i="11"/>
  <c r="L180" i="11"/>
  <c r="J180" i="11"/>
  <c r="K180" i="11" s="1"/>
  <c r="M179" i="11"/>
  <c r="J179" i="11"/>
  <c r="M178" i="11"/>
  <c r="J178" i="11"/>
  <c r="M177" i="11"/>
  <c r="J177" i="11"/>
  <c r="L176" i="11"/>
  <c r="M176" i="11" s="1"/>
  <c r="J176" i="11"/>
  <c r="K176" i="11" s="1"/>
  <c r="M175" i="11"/>
  <c r="J175" i="11"/>
  <c r="M174" i="11"/>
  <c r="J174" i="11"/>
  <c r="M173" i="11"/>
  <c r="J173" i="11"/>
  <c r="L172" i="11"/>
  <c r="M172" i="11" s="1"/>
  <c r="J172" i="11"/>
  <c r="K172" i="11" s="1"/>
  <c r="M171" i="11"/>
  <c r="J171" i="11"/>
  <c r="M170" i="11"/>
  <c r="J170" i="11"/>
  <c r="M169" i="11"/>
  <c r="J169" i="11"/>
  <c r="L168" i="11"/>
  <c r="M168" i="11" s="1"/>
  <c r="J168" i="11"/>
  <c r="K168" i="11" s="1"/>
  <c r="M167" i="11" l="1"/>
  <c r="J167" i="11"/>
  <c r="M166" i="11"/>
  <c r="J166" i="11"/>
  <c r="M165" i="11"/>
  <c r="J165" i="11"/>
  <c r="M164" i="11"/>
  <c r="J164" i="11"/>
  <c r="M163" i="11"/>
  <c r="J163" i="11"/>
  <c r="M162" i="11"/>
  <c r="J162" i="11"/>
  <c r="M161" i="11"/>
  <c r="J161" i="11"/>
  <c r="M160" i="11"/>
  <c r="J160" i="11"/>
  <c r="M159" i="11"/>
  <c r="J159" i="11"/>
  <c r="M158" i="11"/>
  <c r="J158" i="11"/>
  <c r="M157" i="11"/>
  <c r="J157" i="11"/>
  <c r="L156" i="11"/>
  <c r="M156" i="11" s="1"/>
  <c r="J156" i="11"/>
  <c r="K156" i="11" s="1"/>
  <c r="L155" i="11" l="1"/>
  <c r="M155" i="11" s="1"/>
  <c r="J155" i="11"/>
  <c r="K155" i="11" s="1"/>
  <c r="L154" i="11"/>
  <c r="M154" i="11" s="1"/>
  <c r="J154" i="11"/>
  <c r="K154" i="11" s="1"/>
  <c r="L153" i="11"/>
  <c r="M153" i="11" s="1"/>
  <c r="J153" i="11"/>
  <c r="K153" i="11" s="1"/>
  <c r="L152" i="11"/>
  <c r="M152" i="11" s="1"/>
  <c r="J152" i="11"/>
  <c r="K152" i="11" s="1"/>
  <c r="L151" i="11"/>
  <c r="M151" i="11" s="1"/>
  <c r="J151" i="11"/>
  <c r="K151" i="11" s="1"/>
  <c r="L150" i="11"/>
  <c r="M150" i="11" s="1"/>
  <c r="J150" i="11"/>
  <c r="K150" i="11" s="1"/>
  <c r="L149" i="11"/>
  <c r="M149" i="11" s="1"/>
  <c r="J149" i="11"/>
  <c r="K149" i="11" s="1"/>
  <c r="L148" i="11"/>
  <c r="M148" i="11" s="1"/>
  <c r="J148" i="11"/>
  <c r="K148" i="11" s="1"/>
  <c r="L147" i="11"/>
  <c r="M147" i="11" s="1"/>
  <c r="J147" i="11"/>
  <c r="K147" i="11" s="1"/>
  <c r="L146" i="11"/>
  <c r="M146" i="11" s="1"/>
  <c r="J146" i="11"/>
  <c r="K146" i="11" s="1"/>
  <c r="L145" i="11"/>
  <c r="M145" i="11" s="1"/>
  <c r="J145" i="11"/>
  <c r="K145" i="11" s="1"/>
  <c r="L144" i="11"/>
  <c r="M144" i="11" s="1"/>
  <c r="J144" i="11"/>
  <c r="K144" i="11" s="1"/>
  <c r="L143" i="11"/>
  <c r="M143" i="11" s="1"/>
  <c r="J143" i="11"/>
  <c r="K143" i="11" s="1"/>
  <c r="L142" i="11"/>
  <c r="M142" i="11" s="1"/>
  <c r="J142" i="11"/>
  <c r="K142" i="11" s="1"/>
  <c r="L141" i="11"/>
  <c r="M141" i="11" s="1"/>
  <c r="J141" i="11"/>
  <c r="K141" i="11" s="1"/>
  <c r="L140" i="11"/>
  <c r="M140" i="11" s="1"/>
  <c r="J140" i="11"/>
  <c r="K140" i="11" s="1"/>
  <c r="L139" i="11"/>
  <c r="M139" i="11" s="1"/>
  <c r="J139" i="11"/>
  <c r="K139" i="11" s="1"/>
  <c r="L138" i="11"/>
  <c r="M138" i="11" s="1"/>
  <c r="J138" i="11"/>
  <c r="K138" i="11" s="1"/>
  <c r="L137" i="11"/>
  <c r="M137" i="11" s="1"/>
  <c r="K137" i="11"/>
  <c r="J137" i="11"/>
  <c r="L136" i="11"/>
  <c r="M136" i="11" s="1"/>
  <c r="J136" i="11"/>
  <c r="K136" i="11" s="1"/>
  <c r="L135" i="11"/>
  <c r="M135" i="11" s="1"/>
  <c r="J135" i="11"/>
  <c r="K135" i="11" s="1"/>
  <c r="L134" i="11"/>
  <c r="M134" i="11" s="1"/>
  <c r="J134" i="11"/>
  <c r="K134" i="11" s="1"/>
  <c r="L133" i="11"/>
  <c r="M133" i="11" s="1"/>
  <c r="J133" i="11"/>
  <c r="K133" i="11" s="1"/>
  <c r="L132" i="11"/>
  <c r="M132" i="11" s="1"/>
  <c r="J132" i="11"/>
  <c r="K132" i="11" s="1"/>
  <c r="L131" i="11"/>
  <c r="M131" i="11" s="1"/>
  <c r="J131" i="11"/>
  <c r="K131" i="11" s="1"/>
  <c r="L130" i="11"/>
  <c r="M130" i="11" s="1"/>
  <c r="J130" i="11"/>
  <c r="K130" i="11" s="1"/>
  <c r="L129" i="11"/>
  <c r="M129" i="11" s="1"/>
  <c r="J129" i="11"/>
  <c r="K129" i="11" s="1"/>
  <c r="L128" i="11"/>
  <c r="M128" i="11" s="1"/>
  <c r="J128" i="11"/>
  <c r="K128" i="11" s="1"/>
  <c r="L127" i="11"/>
  <c r="M127" i="11" s="1"/>
  <c r="J127" i="11"/>
  <c r="K127" i="11" s="1"/>
  <c r="L126" i="11"/>
  <c r="M126" i="11" s="1"/>
  <c r="J126" i="11"/>
  <c r="K126" i="11" s="1"/>
  <c r="L125" i="11"/>
  <c r="M125" i="11" s="1"/>
  <c r="J125" i="11"/>
  <c r="K125" i="11" s="1"/>
  <c r="L124" i="11"/>
  <c r="M124" i="11" s="1"/>
  <c r="J124" i="11"/>
  <c r="K124" i="11" s="1"/>
  <c r="L123" i="11"/>
  <c r="M123" i="11" s="1"/>
  <c r="J123" i="11"/>
  <c r="K123" i="11" s="1"/>
  <c r="L122" i="11"/>
  <c r="M122" i="11" s="1"/>
  <c r="J122" i="11"/>
  <c r="K122" i="11" s="1"/>
  <c r="L121" i="11"/>
  <c r="M121" i="11" s="1"/>
  <c r="J121" i="11"/>
  <c r="K121" i="11" s="1"/>
  <c r="L120" i="11"/>
  <c r="M120" i="11" s="1"/>
  <c r="J120" i="11"/>
  <c r="K120" i="11" s="1"/>
  <c r="L119" i="11"/>
  <c r="M119" i="11" s="1"/>
  <c r="J119" i="11"/>
  <c r="K119" i="11" s="1"/>
  <c r="L118" i="11"/>
  <c r="M118" i="11" s="1"/>
  <c r="J118" i="11"/>
  <c r="K118" i="11" s="1"/>
  <c r="L117" i="11"/>
  <c r="M117" i="11" s="1"/>
  <c r="J117" i="11"/>
  <c r="K117" i="11" s="1"/>
  <c r="L116" i="11"/>
  <c r="M116" i="11" s="1"/>
  <c r="J116" i="11"/>
  <c r="K116" i="11" s="1"/>
  <c r="L115" i="11"/>
  <c r="M115" i="11" s="1"/>
  <c r="J115" i="11"/>
  <c r="K115" i="11" s="1"/>
  <c r="L114" i="11"/>
  <c r="M114" i="11" s="1"/>
  <c r="J114" i="11"/>
  <c r="K114" i="11" s="1"/>
  <c r="L113" i="11"/>
  <c r="M113" i="11" s="1"/>
  <c r="J113" i="11"/>
  <c r="K113" i="11" s="1"/>
  <c r="L112" i="11"/>
  <c r="M112" i="11" s="1"/>
  <c r="J112" i="11"/>
  <c r="K112" i="11" s="1"/>
  <c r="L111" i="11"/>
  <c r="M111" i="11" s="1"/>
  <c r="J111" i="11"/>
  <c r="K111" i="11" s="1"/>
  <c r="L110" i="11"/>
  <c r="M110" i="11" s="1"/>
  <c r="J110" i="11"/>
  <c r="K110" i="11" s="1"/>
  <c r="L109" i="11"/>
  <c r="M109" i="11" s="1"/>
  <c r="J109" i="11"/>
  <c r="K109" i="11" s="1"/>
  <c r="L108" i="11"/>
  <c r="M108" i="11" s="1"/>
  <c r="J108" i="11"/>
  <c r="K108" i="11" s="1"/>
  <c r="L107" i="11"/>
  <c r="M107" i="11" s="1"/>
  <c r="J107" i="11"/>
  <c r="K107" i="11" s="1"/>
  <c r="L106" i="11"/>
  <c r="M106" i="11" s="1"/>
  <c r="J106" i="11"/>
  <c r="K106" i="11" s="1"/>
  <c r="M297" i="11"/>
  <c r="J297" i="11"/>
  <c r="M296" i="11"/>
  <c r="J296" i="11"/>
  <c r="M295" i="11"/>
  <c r="J295" i="11"/>
  <c r="L294" i="11"/>
  <c r="M294" i="11" s="1"/>
  <c r="J294" i="11"/>
  <c r="K294" i="11" s="1"/>
  <c r="M79" i="11" l="1"/>
  <c r="J79" i="11"/>
  <c r="M78" i="11"/>
  <c r="J78" i="11"/>
  <c r="M77" i="11"/>
  <c r="J77" i="11"/>
  <c r="M76" i="11"/>
  <c r="J76" i="11"/>
  <c r="M75" i="11"/>
  <c r="J75" i="11"/>
  <c r="M74" i="11"/>
  <c r="J74" i="11"/>
  <c r="M73" i="11"/>
  <c r="J73" i="11"/>
  <c r="M72" i="11"/>
  <c r="J72" i="11"/>
  <c r="M71" i="11"/>
  <c r="J71" i="11"/>
  <c r="M70" i="11"/>
  <c r="J70" i="11"/>
  <c r="M69" i="11"/>
  <c r="J69" i="11"/>
  <c r="L68" i="11"/>
  <c r="M68" i="11" s="1"/>
  <c r="J68" i="11"/>
  <c r="K68" i="11" s="1"/>
  <c r="M85" i="11" l="1"/>
  <c r="J85" i="11"/>
  <c r="M84" i="11"/>
  <c r="J84" i="11"/>
  <c r="M83" i="11"/>
  <c r="J83" i="11"/>
  <c r="M82" i="11"/>
  <c r="J82" i="11"/>
  <c r="M81" i="11"/>
  <c r="J81" i="11"/>
  <c r="L80" i="11"/>
  <c r="M80" i="11" s="1"/>
  <c r="J80" i="11"/>
  <c r="K80" i="11" s="1"/>
  <c r="K68" i="10" l="1"/>
  <c r="J71" i="10"/>
  <c r="J70" i="10"/>
  <c r="J69" i="10"/>
  <c r="J33" i="11"/>
  <c r="M41" i="9"/>
  <c r="J41" i="9"/>
  <c r="M40" i="9"/>
  <c r="J40" i="9"/>
  <c r="J37" i="9"/>
  <c r="M20" i="9"/>
  <c r="J20" i="9"/>
  <c r="L8" i="11"/>
  <c r="J8" i="11"/>
  <c r="M39" i="9"/>
  <c r="J39" i="9"/>
  <c r="M38" i="9"/>
  <c r="J38" i="9"/>
  <c r="M37" i="9"/>
  <c r="L36" i="9"/>
  <c r="M36" i="9" s="1"/>
  <c r="J36" i="9"/>
  <c r="K36" i="9" s="1"/>
  <c r="M35" i="9"/>
  <c r="K35" i="9"/>
  <c r="M67" i="11"/>
  <c r="J67" i="11"/>
  <c r="M66" i="11"/>
  <c r="J66" i="11"/>
  <c r="M65" i="11"/>
  <c r="J65" i="11"/>
  <c r="M64" i="11"/>
  <c r="J64" i="11"/>
  <c r="M63" i="11"/>
  <c r="J63" i="11"/>
  <c r="M62" i="11"/>
  <c r="J62" i="11"/>
  <c r="M61" i="11"/>
  <c r="J61" i="11"/>
  <c r="M60" i="11"/>
  <c r="J60" i="11"/>
  <c r="M59" i="11"/>
  <c r="J59" i="11"/>
  <c r="M58" i="11"/>
  <c r="J58" i="11"/>
  <c r="M57" i="11"/>
  <c r="J57" i="11"/>
  <c r="L56" i="11"/>
  <c r="M56" i="11" s="1"/>
  <c r="J56" i="11"/>
  <c r="K56" i="11" s="1"/>
  <c r="M105" i="11" l="1"/>
  <c r="K105" i="11"/>
  <c r="L104" i="11"/>
  <c r="M104" i="11" s="1"/>
  <c r="J104" i="11"/>
  <c r="K104" i="11" s="1"/>
  <c r="M103" i="11"/>
  <c r="K103" i="11"/>
  <c r="L102" i="11"/>
  <c r="M102" i="11" s="1"/>
  <c r="J102" i="11"/>
  <c r="K102" i="11" s="1"/>
  <c r="M101" i="11"/>
  <c r="K101" i="11"/>
  <c r="L100" i="11"/>
  <c r="M100" i="11" s="1"/>
  <c r="J100" i="11"/>
  <c r="K100" i="11" s="1"/>
  <c r="M99" i="11"/>
  <c r="K99" i="11"/>
  <c r="L98" i="11"/>
  <c r="M98" i="11" s="1"/>
  <c r="J98" i="11"/>
  <c r="K98" i="11" s="1"/>
  <c r="M97" i="11"/>
  <c r="K97" i="11"/>
  <c r="L96" i="11"/>
  <c r="M96" i="11" s="1"/>
  <c r="J96" i="11"/>
  <c r="K96" i="11" s="1"/>
  <c r="M95" i="11"/>
  <c r="K95" i="11"/>
  <c r="L94" i="11"/>
  <c r="M94" i="11" s="1"/>
  <c r="J94" i="11"/>
  <c r="K94" i="11" s="1"/>
  <c r="M93" i="11"/>
  <c r="K93" i="11"/>
  <c r="L92" i="11"/>
  <c r="M92" i="11" s="1"/>
  <c r="J92" i="11"/>
  <c r="K92" i="11" s="1"/>
  <c r="M91" i="11"/>
  <c r="K91" i="11"/>
  <c r="L90" i="11"/>
  <c r="M90" i="11" s="1"/>
  <c r="J90" i="11"/>
  <c r="K90" i="11" s="1"/>
  <c r="M89" i="11"/>
  <c r="K89" i="11"/>
  <c r="L88" i="11"/>
  <c r="M88" i="11" s="1"/>
  <c r="J88" i="11"/>
  <c r="K88" i="11" s="1"/>
  <c r="M87" i="11"/>
  <c r="K87" i="11"/>
  <c r="L86" i="11"/>
  <c r="M86" i="11" s="1"/>
  <c r="J86" i="11"/>
  <c r="K86" i="11" s="1"/>
  <c r="M55" i="11" l="1"/>
  <c r="J55" i="11"/>
  <c r="M54" i="11"/>
  <c r="J54" i="11"/>
  <c r="M53" i="11"/>
  <c r="J53" i="11"/>
  <c r="M52" i="11"/>
  <c r="J52" i="11"/>
  <c r="M51" i="11"/>
  <c r="J51" i="11"/>
  <c r="M50" i="11"/>
  <c r="J50" i="11"/>
  <c r="M49" i="11"/>
  <c r="J49" i="11"/>
  <c r="M48" i="11"/>
  <c r="J48" i="11"/>
  <c r="M47" i="11"/>
  <c r="J47" i="11"/>
  <c r="M46" i="11"/>
  <c r="J46" i="11"/>
  <c r="M45" i="11"/>
  <c r="J45" i="11"/>
  <c r="L44" i="11"/>
  <c r="M44" i="11" s="1"/>
  <c r="J44" i="11"/>
  <c r="K44" i="11" s="1"/>
  <c r="M43" i="11" l="1"/>
  <c r="J43" i="11"/>
  <c r="M42" i="11"/>
  <c r="J42" i="11"/>
  <c r="M41" i="11"/>
  <c r="J41" i="11"/>
  <c r="M40" i="11"/>
  <c r="J40" i="11"/>
  <c r="M39" i="11"/>
  <c r="J39" i="11"/>
  <c r="M38" i="11"/>
  <c r="J38" i="11"/>
  <c r="M37" i="11"/>
  <c r="J37" i="11"/>
  <c r="M36" i="11"/>
  <c r="J36" i="11"/>
  <c r="M35" i="11"/>
  <c r="J35" i="11"/>
  <c r="M34" i="11"/>
  <c r="J34" i="11"/>
  <c r="M33" i="11"/>
  <c r="L32" i="11"/>
  <c r="M32" i="11" s="1"/>
  <c r="J32" i="11"/>
  <c r="K32" i="11" s="1"/>
  <c r="L31" i="11" l="1"/>
  <c r="M31" i="11" s="1"/>
  <c r="J31" i="11"/>
  <c r="K31" i="11" s="1"/>
  <c r="L30" i="11"/>
  <c r="M30" i="11" s="1"/>
  <c r="J30" i="11"/>
  <c r="K30" i="11" s="1"/>
  <c r="L29" i="11"/>
  <c r="M29" i="11" s="1"/>
  <c r="J29" i="11"/>
  <c r="K29" i="11" s="1"/>
  <c r="L28" i="11"/>
  <c r="M28" i="11" s="1"/>
  <c r="J28" i="11"/>
  <c r="K28" i="11" s="1"/>
  <c r="L27" i="11"/>
  <c r="M27" i="11" s="1"/>
  <c r="J27" i="11"/>
  <c r="K27" i="11" s="1"/>
  <c r="L26" i="11"/>
  <c r="M26" i="11" s="1"/>
  <c r="J26" i="11"/>
  <c r="K26" i="11" s="1"/>
  <c r="L25" i="11"/>
  <c r="M25" i="11" s="1"/>
  <c r="J25" i="11"/>
  <c r="K25" i="11" s="1"/>
  <c r="L24" i="11"/>
  <c r="M24" i="11" s="1"/>
  <c r="J24" i="11"/>
  <c r="K24" i="11" s="1"/>
  <c r="L23" i="11"/>
  <c r="M23" i="11" s="1"/>
  <c r="J23" i="11"/>
  <c r="K23" i="11" s="1"/>
  <c r="L22" i="11"/>
  <c r="M22" i="11" s="1"/>
  <c r="J22" i="11"/>
  <c r="K22" i="11" s="1"/>
  <c r="L21" i="11"/>
  <c r="M21" i="11" s="1"/>
  <c r="J21" i="11"/>
  <c r="K21" i="11" s="1"/>
  <c r="L20" i="11"/>
  <c r="M20" i="11" s="1"/>
  <c r="J20" i="11"/>
  <c r="K20" i="11" s="1"/>
  <c r="L19" i="11"/>
  <c r="M19" i="11" s="1"/>
  <c r="J19" i="11"/>
  <c r="K19" i="11" s="1"/>
  <c r="L18" i="11"/>
  <c r="M18" i="11" s="1"/>
  <c r="J18" i="11"/>
  <c r="K18" i="11" s="1"/>
  <c r="L17" i="11"/>
  <c r="M17" i="11" s="1"/>
  <c r="J17" i="11"/>
  <c r="K17" i="11" s="1"/>
  <c r="L16" i="11"/>
  <c r="M16" i="11" s="1"/>
  <c r="J16" i="11"/>
  <c r="K16" i="11" s="1"/>
  <c r="L15" i="11"/>
  <c r="M15" i="11" s="1"/>
  <c r="J15" i="11"/>
  <c r="K15" i="11" s="1"/>
  <c r="L14" i="11"/>
  <c r="M14" i="11" s="1"/>
  <c r="J14" i="11"/>
  <c r="K14" i="11" s="1"/>
  <c r="L13" i="11"/>
  <c r="M13" i="11" s="1"/>
  <c r="J13" i="11"/>
  <c r="K13" i="11" s="1"/>
  <c r="L12" i="11"/>
  <c r="M12" i="11" s="1"/>
  <c r="J12" i="11"/>
  <c r="K12" i="11" s="1"/>
  <c r="L11" i="11"/>
  <c r="M11" i="11" s="1"/>
  <c r="J11" i="11"/>
  <c r="K11" i="11" s="1"/>
  <c r="L10" i="11"/>
  <c r="M10" i="11" s="1"/>
  <c r="J10" i="11"/>
  <c r="K10" i="11" s="1"/>
  <c r="L9" i="11"/>
  <c r="M9" i="11" s="1"/>
  <c r="J9" i="11"/>
  <c r="K9" i="11" s="1"/>
  <c r="M8" i="11"/>
  <c r="K8" i="11"/>
  <c r="L7" i="11"/>
  <c r="M7" i="11" s="1"/>
  <c r="J7" i="11"/>
  <c r="K7" i="11" s="1"/>
  <c r="L6" i="11"/>
  <c r="M6" i="11" s="1"/>
  <c r="J6" i="11"/>
  <c r="K6" i="11" s="1"/>
  <c r="L5" i="11"/>
  <c r="M5" i="11" s="1"/>
  <c r="J5" i="11"/>
  <c r="K5" i="11" s="1"/>
  <c r="L4" i="11"/>
  <c r="M4" i="11" s="1"/>
  <c r="J4" i="11"/>
  <c r="K4" i="11" s="1"/>
  <c r="L3" i="11"/>
  <c r="M3" i="11" s="1"/>
  <c r="J3" i="11"/>
  <c r="K3" i="11" s="1"/>
  <c r="L2" i="11"/>
  <c r="M2" i="11" s="1"/>
  <c r="J2" i="11"/>
  <c r="K2" i="11" s="1"/>
  <c r="M225" i="10" l="1"/>
  <c r="J225" i="10"/>
  <c r="M224" i="10"/>
  <c r="J224" i="10"/>
  <c r="M223" i="10"/>
  <c r="J223" i="10"/>
  <c r="M222" i="10"/>
  <c r="J222" i="10"/>
  <c r="M221" i="10"/>
  <c r="J221" i="10"/>
  <c r="M220" i="10"/>
  <c r="J220" i="10"/>
  <c r="M219" i="10"/>
  <c r="J219" i="10"/>
  <c r="M218" i="10"/>
  <c r="J218" i="10"/>
  <c r="M217" i="10"/>
  <c r="J217" i="10"/>
  <c r="M216" i="10"/>
  <c r="J216" i="10"/>
  <c r="M215" i="10"/>
  <c r="J215" i="10"/>
  <c r="L214" i="10"/>
  <c r="M214" i="10" s="1"/>
  <c r="J214" i="10"/>
  <c r="K214" i="10" s="1"/>
  <c r="M213" i="10"/>
  <c r="J213" i="10"/>
  <c r="M212" i="10"/>
  <c r="J212" i="10"/>
  <c r="M211" i="10"/>
  <c r="J211" i="10"/>
  <c r="M210" i="10"/>
  <c r="J210" i="10"/>
  <c r="M209" i="10"/>
  <c r="J209" i="10"/>
  <c r="M208" i="10"/>
  <c r="J208" i="10"/>
  <c r="M207" i="10"/>
  <c r="J207" i="10"/>
  <c r="M206" i="10"/>
  <c r="J206" i="10"/>
  <c r="M205" i="10"/>
  <c r="J205" i="10"/>
  <c r="M204" i="10"/>
  <c r="J204" i="10"/>
  <c r="M203" i="10"/>
  <c r="J203" i="10"/>
  <c r="L202" i="10"/>
  <c r="M202" i="10" s="1"/>
  <c r="J202" i="10"/>
  <c r="K202" i="10" s="1"/>
  <c r="M201" i="10"/>
  <c r="J201" i="10"/>
  <c r="M200" i="10"/>
  <c r="J200" i="10"/>
  <c r="M199" i="10"/>
  <c r="J199" i="10"/>
  <c r="M198" i="10"/>
  <c r="J198" i="10"/>
  <c r="M197" i="10"/>
  <c r="J197" i="10"/>
  <c r="M196" i="10"/>
  <c r="J196" i="10"/>
  <c r="M195" i="10"/>
  <c r="J195" i="10"/>
  <c r="M194" i="10"/>
  <c r="J194" i="10"/>
  <c r="M193" i="10"/>
  <c r="J193" i="10"/>
  <c r="M192" i="10"/>
  <c r="J192" i="10"/>
  <c r="M191" i="10"/>
  <c r="J191" i="10"/>
  <c r="M190" i="10"/>
  <c r="L190" i="10"/>
  <c r="J190" i="10"/>
  <c r="K190" i="10" s="1"/>
  <c r="M189" i="10"/>
  <c r="J189" i="10"/>
  <c r="M188" i="10"/>
  <c r="J188" i="10"/>
  <c r="M187" i="10"/>
  <c r="J187" i="10"/>
  <c r="M186" i="10"/>
  <c r="J186" i="10"/>
  <c r="M185" i="10"/>
  <c r="J185" i="10"/>
  <c r="M184" i="10"/>
  <c r="J184" i="10"/>
  <c r="M183" i="10"/>
  <c r="J183" i="10"/>
  <c r="M182" i="10"/>
  <c r="J182" i="10"/>
  <c r="M181" i="10"/>
  <c r="J181" i="10"/>
  <c r="M180" i="10"/>
  <c r="J180" i="10"/>
  <c r="M179" i="10"/>
  <c r="J179" i="10"/>
  <c r="L178" i="10"/>
  <c r="M178" i="10" s="1"/>
  <c r="J178" i="10"/>
  <c r="K178" i="10" s="1"/>
  <c r="L113" i="10" l="1"/>
  <c r="M113" i="10" s="1"/>
  <c r="J113" i="10"/>
  <c r="K113" i="10" s="1"/>
  <c r="L112" i="10"/>
  <c r="M112" i="10" s="1"/>
  <c r="J112" i="10"/>
  <c r="K112" i="10" s="1"/>
  <c r="L111" i="10"/>
  <c r="M111" i="10" s="1"/>
  <c r="J111" i="10"/>
  <c r="K111" i="10" s="1"/>
  <c r="L110" i="10"/>
  <c r="M110" i="10" s="1"/>
  <c r="J110" i="10"/>
  <c r="K110" i="10" s="1"/>
  <c r="L109" i="10"/>
  <c r="M109" i="10" s="1"/>
  <c r="J109" i="10"/>
  <c r="K109" i="10" s="1"/>
  <c r="L108" i="10"/>
  <c r="M108" i="10" s="1"/>
  <c r="J108" i="10"/>
  <c r="K108" i="10" s="1"/>
  <c r="L107" i="10"/>
  <c r="M107" i="10" s="1"/>
  <c r="J107" i="10"/>
  <c r="K107" i="10" s="1"/>
  <c r="L106" i="10"/>
  <c r="M106" i="10" s="1"/>
  <c r="J106" i="10"/>
  <c r="K106" i="10" s="1"/>
  <c r="L105" i="10"/>
  <c r="M105" i="10" s="1"/>
  <c r="J105" i="10"/>
  <c r="K105" i="10" s="1"/>
  <c r="L104" i="10"/>
  <c r="M104" i="10" s="1"/>
  <c r="J104" i="10"/>
  <c r="K104" i="10" s="1"/>
  <c r="L103" i="10"/>
  <c r="M103" i="10" s="1"/>
  <c r="J103" i="10"/>
  <c r="K103" i="10" s="1"/>
  <c r="L102" i="10"/>
  <c r="M102" i="10" s="1"/>
  <c r="J102" i="10"/>
  <c r="K102" i="10" s="1"/>
  <c r="L101" i="10"/>
  <c r="M101" i="10" s="1"/>
  <c r="J101" i="10"/>
  <c r="K101" i="10" s="1"/>
  <c r="L100" i="10"/>
  <c r="M100" i="10" s="1"/>
  <c r="J100" i="10"/>
  <c r="K100" i="10" s="1"/>
  <c r="L99" i="10"/>
  <c r="M99" i="10" s="1"/>
  <c r="J99" i="10"/>
  <c r="K99" i="10" s="1"/>
  <c r="L98" i="10"/>
  <c r="M98" i="10" s="1"/>
  <c r="J98" i="10"/>
  <c r="K98" i="10" s="1"/>
  <c r="L97" i="10"/>
  <c r="M97" i="10" s="1"/>
  <c r="J97" i="10"/>
  <c r="K97" i="10" s="1"/>
  <c r="L96" i="10"/>
  <c r="M96" i="10" s="1"/>
  <c r="J96" i="10"/>
  <c r="K96" i="10" s="1"/>
  <c r="L95" i="10"/>
  <c r="M95" i="10" s="1"/>
  <c r="J95" i="10"/>
  <c r="K95" i="10" s="1"/>
  <c r="L94" i="10"/>
  <c r="M94" i="10" s="1"/>
  <c r="J94" i="10"/>
  <c r="K94" i="10" s="1"/>
  <c r="L93" i="10"/>
  <c r="M93" i="10" s="1"/>
  <c r="J93" i="10"/>
  <c r="K93" i="10" s="1"/>
  <c r="L92" i="10"/>
  <c r="M92" i="10" s="1"/>
  <c r="J92" i="10"/>
  <c r="K92" i="10" s="1"/>
  <c r="L91" i="10"/>
  <c r="M91" i="10" s="1"/>
  <c r="J91" i="10"/>
  <c r="K91" i="10" s="1"/>
  <c r="L90" i="10"/>
  <c r="M90" i="10" s="1"/>
  <c r="J90" i="10"/>
  <c r="K90" i="10" s="1"/>
  <c r="L89" i="10"/>
  <c r="M89" i="10" s="1"/>
  <c r="J89" i="10"/>
  <c r="K89" i="10" s="1"/>
  <c r="L88" i="10"/>
  <c r="M88" i="10" s="1"/>
  <c r="J88" i="10"/>
  <c r="K88" i="10" s="1"/>
  <c r="L87" i="10"/>
  <c r="M87" i="10" s="1"/>
  <c r="J87" i="10"/>
  <c r="K87" i="10" s="1"/>
  <c r="L86" i="10"/>
  <c r="M86" i="10" s="1"/>
  <c r="J86" i="10"/>
  <c r="K86" i="10" s="1"/>
  <c r="L85" i="10"/>
  <c r="M85" i="10" s="1"/>
  <c r="J85" i="10"/>
  <c r="K85" i="10" s="1"/>
  <c r="L84" i="10"/>
  <c r="M84" i="10" s="1"/>
  <c r="J84" i="10"/>
  <c r="K84" i="10" s="1"/>
  <c r="M83" i="10" l="1"/>
  <c r="J83" i="10"/>
  <c r="M82" i="10"/>
  <c r="J82" i="10"/>
  <c r="M81" i="10"/>
  <c r="J81" i="10"/>
  <c r="L80" i="10"/>
  <c r="M80" i="10" s="1"/>
  <c r="J80" i="10"/>
  <c r="K80" i="10" s="1"/>
  <c r="M79" i="10"/>
  <c r="J79" i="10"/>
  <c r="M78" i="10"/>
  <c r="J78" i="10"/>
  <c r="M77" i="10"/>
  <c r="J77" i="10"/>
  <c r="L76" i="10"/>
  <c r="M76" i="10" s="1"/>
  <c r="J76" i="10"/>
  <c r="K76" i="10" s="1"/>
  <c r="M75" i="10"/>
  <c r="J75" i="10"/>
  <c r="M74" i="10"/>
  <c r="J74" i="10"/>
  <c r="M73" i="10"/>
  <c r="J73" i="10"/>
  <c r="L72" i="10"/>
  <c r="M72" i="10" s="1"/>
  <c r="J72" i="10"/>
  <c r="K72" i="10" s="1"/>
  <c r="M71" i="10"/>
  <c r="M70" i="10"/>
  <c r="M69" i="10"/>
  <c r="L68" i="10"/>
  <c r="M68" i="10" s="1"/>
  <c r="J68" i="10"/>
  <c r="M67" i="10"/>
  <c r="J67" i="10"/>
  <c r="M66" i="10"/>
  <c r="J66" i="10"/>
  <c r="M65" i="10"/>
  <c r="J65" i="10"/>
  <c r="L64" i="10"/>
  <c r="M64" i="10" s="1"/>
  <c r="J64" i="10"/>
  <c r="K64" i="10" s="1"/>
  <c r="L63" i="10" l="1"/>
  <c r="M63" i="10" s="1"/>
  <c r="J63" i="10"/>
  <c r="K63" i="10" s="1"/>
  <c r="L62" i="10"/>
  <c r="M62" i="10" s="1"/>
  <c r="J62" i="10"/>
  <c r="K62" i="10" s="1"/>
  <c r="L61" i="10"/>
  <c r="M61" i="10" s="1"/>
  <c r="J61" i="10"/>
  <c r="K61" i="10" s="1"/>
  <c r="L60" i="10"/>
  <c r="M60" i="10" s="1"/>
  <c r="J60" i="10"/>
  <c r="K60" i="10" s="1"/>
  <c r="L59" i="10"/>
  <c r="M59" i="10" s="1"/>
  <c r="J59" i="10"/>
  <c r="K59" i="10" s="1"/>
  <c r="L176" i="10" l="1"/>
  <c r="M176" i="10" s="1"/>
  <c r="J176" i="10"/>
  <c r="K176" i="10" s="1"/>
  <c r="L175" i="10"/>
  <c r="M175" i="10" s="1"/>
  <c r="J175" i="10"/>
  <c r="K175" i="10" s="1"/>
  <c r="L174" i="10"/>
  <c r="M174" i="10" s="1"/>
  <c r="J174" i="10"/>
  <c r="K174" i="10" s="1"/>
  <c r="L173" i="10"/>
  <c r="M173" i="10" s="1"/>
  <c r="J173" i="10"/>
  <c r="K173" i="10" s="1"/>
  <c r="L172" i="10"/>
  <c r="M172" i="10" s="1"/>
  <c r="J172" i="10"/>
  <c r="K172" i="10" s="1"/>
  <c r="L58" i="10" l="1"/>
  <c r="M58" i="10" s="1"/>
  <c r="J58" i="10"/>
  <c r="K58" i="10" s="1"/>
  <c r="L57" i="10"/>
  <c r="M57" i="10" s="1"/>
  <c r="J57" i="10"/>
  <c r="K57" i="10" s="1"/>
  <c r="L56" i="10"/>
  <c r="M56" i="10" s="1"/>
  <c r="J56" i="10"/>
  <c r="K56" i="10" s="1"/>
  <c r="L55" i="10"/>
  <c r="M55" i="10" s="1"/>
  <c r="J55" i="10"/>
  <c r="K55" i="10" s="1"/>
  <c r="L54" i="10"/>
  <c r="M54" i="10" s="1"/>
  <c r="J54" i="10"/>
  <c r="K54" i="10" s="1"/>
  <c r="L53" i="10"/>
  <c r="M53" i="10" s="1"/>
  <c r="J53" i="10"/>
  <c r="K53" i="10" s="1"/>
  <c r="L52" i="10"/>
  <c r="M52" i="10" s="1"/>
  <c r="J52" i="10"/>
  <c r="K52" i="10" s="1"/>
  <c r="L51" i="10"/>
  <c r="M51" i="10" s="1"/>
  <c r="J51" i="10"/>
  <c r="K51" i="10" s="1"/>
  <c r="L50" i="10"/>
  <c r="M50" i="10" s="1"/>
  <c r="J50" i="10"/>
  <c r="K50" i="10" s="1"/>
  <c r="L49" i="10"/>
  <c r="M49" i="10" s="1"/>
  <c r="J49" i="10"/>
  <c r="K49" i="10" s="1"/>
  <c r="L48" i="10"/>
  <c r="M48" i="10" s="1"/>
  <c r="J48" i="10"/>
  <c r="K48" i="10" s="1"/>
  <c r="L47" i="10"/>
  <c r="M47" i="10" s="1"/>
  <c r="J47" i="10"/>
  <c r="K47" i="10" s="1"/>
  <c r="L46" i="10"/>
  <c r="M46" i="10" s="1"/>
  <c r="J46" i="10"/>
  <c r="K46" i="10" s="1"/>
  <c r="L45" i="10"/>
  <c r="M45" i="10" s="1"/>
  <c r="J45" i="10"/>
  <c r="K45" i="10" s="1"/>
  <c r="L44" i="10"/>
  <c r="M44" i="10" s="1"/>
  <c r="J44" i="10"/>
  <c r="K44" i="10" s="1"/>
  <c r="L43" i="10"/>
  <c r="M43" i="10" s="1"/>
  <c r="J43" i="10"/>
  <c r="K43" i="10" s="1"/>
  <c r="L42" i="10"/>
  <c r="M42" i="10" s="1"/>
  <c r="J42" i="10"/>
  <c r="K42" i="10" s="1"/>
  <c r="L41" i="10"/>
  <c r="M41" i="10" s="1"/>
  <c r="J41" i="10"/>
  <c r="K41" i="10" s="1"/>
  <c r="L40" i="10"/>
  <c r="M40" i="10" s="1"/>
  <c r="J40" i="10"/>
  <c r="K40" i="10" s="1"/>
  <c r="L39" i="10"/>
  <c r="M39" i="10" s="1"/>
  <c r="J39" i="10"/>
  <c r="K39" i="10" s="1"/>
  <c r="L170" i="10" l="1"/>
  <c r="M170" i="10" s="1"/>
  <c r="J170" i="10"/>
  <c r="K170" i="10" s="1"/>
  <c r="L169" i="10"/>
  <c r="M169" i="10" s="1"/>
  <c r="J169" i="10"/>
  <c r="K169" i="10" s="1"/>
  <c r="M168" i="10" l="1"/>
  <c r="J168" i="10"/>
  <c r="M167" i="10"/>
  <c r="J167" i="10"/>
  <c r="L166" i="10"/>
  <c r="M166" i="10" s="1"/>
  <c r="J166" i="10"/>
  <c r="K166" i="10" s="1"/>
  <c r="M165" i="10"/>
  <c r="K165" i="10"/>
  <c r="L164" i="10"/>
  <c r="M164" i="10" s="1"/>
  <c r="J164" i="10"/>
  <c r="K164" i="10" s="1"/>
  <c r="M163" i="10"/>
  <c r="K163" i="10"/>
  <c r="L162" i="10"/>
  <c r="M162" i="10" s="1"/>
  <c r="J162" i="10"/>
  <c r="K162" i="10" s="1"/>
  <c r="M38" i="10" l="1"/>
  <c r="J38" i="10"/>
  <c r="M37" i="10"/>
  <c r="J37" i="10"/>
  <c r="L36" i="10"/>
  <c r="M36" i="10" s="1"/>
  <c r="J36" i="10"/>
  <c r="K36" i="10" s="1"/>
  <c r="M35" i="10"/>
  <c r="K35" i="10"/>
  <c r="L34" i="10"/>
  <c r="M34" i="10" s="1"/>
  <c r="J34" i="10"/>
  <c r="K34" i="10" s="1"/>
  <c r="M33" i="10"/>
  <c r="K33" i="10"/>
  <c r="L32" i="10"/>
  <c r="M32" i="10" s="1"/>
  <c r="J32" i="10"/>
  <c r="K32" i="10" s="1"/>
  <c r="L31" i="10" l="1"/>
  <c r="M31" i="10" s="1"/>
  <c r="J31" i="10"/>
  <c r="K31" i="10" s="1"/>
  <c r="L30" i="10"/>
  <c r="M30" i="10" s="1"/>
  <c r="J30" i="10"/>
  <c r="K30" i="10" s="1"/>
  <c r="L29" i="10"/>
  <c r="M29" i="10" s="1"/>
  <c r="J29" i="10"/>
  <c r="K29" i="10" s="1"/>
  <c r="L28" i="10"/>
  <c r="M28" i="10" s="1"/>
  <c r="J28" i="10"/>
  <c r="K28" i="10" s="1"/>
  <c r="L27" i="10"/>
  <c r="M27" i="10" s="1"/>
  <c r="J27" i="10"/>
  <c r="K27" i="10" s="1"/>
  <c r="L26" i="10"/>
  <c r="M26" i="10" s="1"/>
  <c r="J26" i="10"/>
  <c r="K26" i="10" s="1"/>
  <c r="L25" i="10"/>
  <c r="M25" i="10" s="1"/>
  <c r="J25" i="10"/>
  <c r="K25" i="10" s="1"/>
  <c r="L24" i="10"/>
  <c r="M24" i="10" s="1"/>
  <c r="J24" i="10"/>
  <c r="K24" i="10" s="1"/>
  <c r="L23" i="10"/>
  <c r="M23" i="10" s="1"/>
  <c r="J23" i="10"/>
  <c r="K23" i="10" s="1"/>
  <c r="L22" i="10"/>
  <c r="M22" i="10" s="1"/>
  <c r="J22" i="10"/>
  <c r="K22" i="10" s="1"/>
  <c r="L21" i="10"/>
  <c r="M21" i="10" s="1"/>
  <c r="J21" i="10"/>
  <c r="K21" i="10" s="1"/>
  <c r="L20" i="10"/>
  <c r="M20" i="10" s="1"/>
  <c r="J20" i="10"/>
  <c r="K20" i="10" s="1"/>
  <c r="L19" i="10"/>
  <c r="M19" i="10" s="1"/>
  <c r="J19" i="10"/>
  <c r="K19" i="10" s="1"/>
  <c r="L18" i="10"/>
  <c r="M18" i="10" s="1"/>
  <c r="J18" i="10"/>
  <c r="K18" i="10" s="1"/>
  <c r="L17" i="10"/>
  <c r="M17" i="10" s="1"/>
  <c r="J17" i="10"/>
  <c r="K17" i="10" s="1"/>
  <c r="L16" i="10"/>
  <c r="M16" i="10" s="1"/>
  <c r="J16" i="10"/>
  <c r="K16" i="10" s="1"/>
  <c r="L15" i="10"/>
  <c r="M15" i="10" s="1"/>
  <c r="J15" i="10"/>
  <c r="K15" i="10" s="1"/>
  <c r="L14" i="10"/>
  <c r="M14" i="10" s="1"/>
  <c r="J14" i="10"/>
  <c r="K14" i="10" s="1"/>
  <c r="L13" i="10"/>
  <c r="M13" i="10" s="1"/>
  <c r="J13" i="10"/>
  <c r="K13" i="10" s="1"/>
  <c r="L12" i="10"/>
  <c r="M12" i="10" s="1"/>
  <c r="J12" i="10"/>
  <c r="K12" i="10" s="1"/>
  <c r="L11" i="10"/>
  <c r="M11" i="10" s="1"/>
  <c r="J11" i="10"/>
  <c r="K11" i="10" s="1"/>
  <c r="L10" i="10"/>
  <c r="M10" i="10" s="1"/>
  <c r="J10" i="10"/>
  <c r="K10" i="10" s="1"/>
  <c r="L9" i="10"/>
  <c r="M9" i="10" s="1"/>
  <c r="J9" i="10"/>
  <c r="K9" i="10" s="1"/>
  <c r="L8" i="10"/>
  <c r="M8" i="10" s="1"/>
  <c r="J8" i="10"/>
  <c r="K8" i="10" s="1"/>
  <c r="L7" i="10"/>
  <c r="M7" i="10" s="1"/>
  <c r="J7" i="10"/>
  <c r="K7" i="10" s="1"/>
  <c r="L6" i="10"/>
  <c r="M6" i="10" s="1"/>
  <c r="J6" i="10"/>
  <c r="K6" i="10" s="1"/>
  <c r="L5" i="10"/>
  <c r="M5" i="10" s="1"/>
  <c r="J5" i="10"/>
  <c r="K5" i="10" s="1"/>
  <c r="L4" i="10"/>
  <c r="M4" i="10" s="1"/>
  <c r="J4" i="10"/>
  <c r="K4" i="10" s="1"/>
  <c r="L3" i="10"/>
  <c r="M3" i="10" s="1"/>
  <c r="J3" i="10"/>
  <c r="K3" i="10" s="1"/>
  <c r="L2" i="10"/>
  <c r="M2" i="10" s="1"/>
  <c r="J2" i="10"/>
  <c r="K2" i="10" s="1"/>
  <c r="L226" i="7" l="1"/>
  <c r="M226" i="7" s="1"/>
  <c r="J226" i="7"/>
  <c r="K226" i="7" s="1"/>
  <c r="L225" i="7"/>
  <c r="M225" i="7" s="1"/>
  <c r="J225" i="7"/>
  <c r="K225" i="7" s="1"/>
  <c r="L224" i="7"/>
  <c r="M224" i="7" s="1"/>
  <c r="J224" i="7"/>
  <c r="K224" i="7" s="1"/>
  <c r="L223" i="7"/>
  <c r="M223" i="7" s="1"/>
  <c r="J223" i="7"/>
  <c r="K223" i="7" s="1"/>
  <c r="L222" i="7"/>
  <c r="M222" i="7" s="1"/>
  <c r="J222" i="7"/>
  <c r="K222" i="7" s="1"/>
  <c r="K218" i="7"/>
  <c r="K214" i="7"/>
  <c r="L219" i="7"/>
  <c r="M219" i="7" s="1"/>
  <c r="J219" i="7"/>
  <c r="K219" i="7" s="1"/>
  <c r="L218" i="7"/>
  <c r="M218" i="7" s="1"/>
  <c r="J218" i="7"/>
  <c r="L215" i="7"/>
  <c r="M215" i="7" s="1"/>
  <c r="L217" i="7"/>
  <c r="L216" i="7"/>
  <c r="L211" i="7"/>
  <c r="L214" i="7"/>
  <c r="M217" i="7"/>
  <c r="M216" i="7"/>
  <c r="M214" i="7"/>
  <c r="L184" i="7" l="1"/>
  <c r="M184" i="7" s="1"/>
  <c r="J184" i="7"/>
  <c r="K184" i="7" s="1"/>
  <c r="L183" i="7"/>
  <c r="M183" i="7" s="1"/>
  <c r="J183" i="7"/>
  <c r="K183" i="7" s="1"/>
  <c r="L182" i="7"/>
  <c r="M182" i="7" s="1"/>
  <c r="J182" i="7"/>
  <c r="K182" i="7" s="1"/>
  <c r="L181" i="7"/>
  <c r="M181" i="7" s="1"/>
  <c r="J181" i="7"/>
  <c r="K181" i="7" s="1"/>
  <c r="L180" i="7"/>
  <c r="M180" i="7" s="1"/>
  <c r="J180" i="7"/>
  <c r="K180" i="7" s="1"/>
  <c r="L179" i="7"/>
  <c r="M179" i="7" s="1"/>
  <c r="J179" i="7"/>
  <c r="K179" i="7" s="1"/>
  <c r="L178" i="7"/>
  <c r="M178" i="7" s="1"/>
  <c r="J178" i="7"/>
  <c r="K178" i="7" s="1"/>
  <c r="L177" i="7"/>
  <c r="M177" i="7" s="1"/>
  <c r="J177" i="7"/>
  <c r="K177" i="7" s="1"/>
  <c r="L176" i="7"/>
  <c r="M176" i="7" s="1"/>
  <c r="J176" i="7"/>
  <c r="K176" i="7" s="1"/>
  <c r="L175" i="7"/>
  <c r="M175" i="7" s="1"/>
  <c r="J175" i="7"/>
  <c r="K175" i="7" s="1"/>
  <c r="L174" i="7"/>
  <c r="M174" i="7" s="1"/>
  <c r="J174" i="7"/>
  <c r="K174" i="7" s="1"/>
  <c r="L173" i="7"/>
  <c r="M173" i="7" s="1"/>
  <c r="J173" i="7"/>
  <c r="K173" i="7" s="1"/>
  <c r="L172" i="7"/>
  <c r="M172" i="7" s="1"/>
  <c r="J172" i="7"/>
  <c r="K172" i="7" s="1"/>
  <c r="L171" i="7"/>
  <c r="M171" i="7" s="1"/>
  <c r="J171" i="7"/>
  <c r="K171" i="7" s="1"/>
  <c r="L170" i="7"/>
  <c r="M170" i="7" s="1"/>
  <c r="J170" i="7"/>
  <c r="K170" i="7" s="1"/>
  <c r="L169" i="7" l="1"/>
  <c r="M169" i="7" s="1"/>
  <c r="J169" i="7"/>
  <c r="K169" i="7" s="1"/>
  <c r="L168" i="7"/>
  <c r="M168" i="7" s="1"/>
  <c r="J168" i="7"/>
  <c r="K168" i="7" s="1"/>
  <c r="L167" i="7"/>
  <c r="M167" i="7" s="1"/>
  <c r="J167" i="7"/>
  <c r="K167" i="7" s="1"/>
  <c r="L166" i="7"/>
  <c r="M166" i="7" s="1"/>
  <c r="J166" i="7"/>
  <c r="K166" i="7" s="1"/>
  <c r="L165" i="7"/>
  <c r="M165" i="7" s="1"/>
  <c r="J165" i="7"/>
  <c r="K165" i="7" s="1"/>
  <c r="L164" i="7"/>
  <c r="M164" i="7" s="1"/>
  <c r="J164" i="7"/>
  <c r="K164" i="7" s="1"/>
  <c r="L163" i="7"/>
  <c r="M163" i="7" s="1"/>
  <c r="J163" i="7"/>
  <c r="K163" i="7" s="1"/>
  <c r="L162" i="7"/>
  <c r="M162" i="7" s="1"/>
  <c r="J162" i="7"/>
  <c r="K162" i="7" s="1"/>
  <c r="M161" i="7"/>
  <c r="K161" i="7"/>
  <c r="L160" i="7"/>
  <c r="M160" i="7" s="1"/>
  <c r="J160" i="7"/>
  <c r="K160" i="7" s="1"/>
  <c r="M159" i="7"/>
  <c r="K159" i="7"/>
  <c r="L158" i="7"/>
  <c r="M158" i="7" s="1"/>
  <c r="J158" i="7"/>
  <c r="K158" i="7" s="1"/>
  <c r="M157" i="7"/>
  <c r="K157" i="7"/>
  <c r="L156" i="7"/>
  <c r="M156" i="7" s="1"/>
  <c r="J156" i="7"/>
  <c r="K156" i="7" s="1"/>
  <c r="M155" i="7"/>
  <c r="K155" i="7"/>
  <c r="L154" i="7"/>
  <c r="M154" i="7" s="1"/>
  <c r="J154" i="7"/>
  <c r="K154" i="7" s="1"/>
  <c r="M153" i="7"/>
  <c r="K153" i="7"/>
  <c r="L152" i="7"/>
  <c r="M152" i="7" s="1"/>
  <c r="J152" i="7"/>
  <c r="K152" i="7" s="1"/>
  <c r="M151" i="7"/>
  <c r="K151" i="7"/>
  <c r="L150" i="7"/>
  <c r="M150" i="7" s="1"/>
  <c r="J150" i="7"/>
  <c r="K150" i="7" s="1"/>
  <c r="M149" i="7"/>
  <c r="K149" i="7"/>
  <c r="L148" i="7"/>
  <c r="M148" i="7" s="1"/>
  <c r="J148" i="7"/>
  <c r="K148" i="7" s="1"/>
  <c r="M147" i="7"/>
  <c r="K147" i="7"/>
  <c r="L146" i="7"/>
  <c r="M146" i="7" s="1"/>
  <c r="J146" i="7"/>
  <c r="K146" i="7" s="1"/>
  <c r="M145" i="7"/>
  <c r="K145" i="7"/>
  <c r="L144" i="7"/>
  <c r="M144" i="7" s="1"/>
  <c r="J144" i="7"/>
  <c r="K144" i="7" s="1"/>
  <c r="M143" i="7"/>
  <c r="K143" i="7"/>
  <c r="L142" i="7"/>
  <c r="M142" i="7" s="1"/>
  <c r="J142" i="7"/>
  <c r="K142" i="7" s="1"/>
  <c r="M141" i="7"/>
  <c r="K141" i="7"/>
  <c r="L140" i="7"/>
  <c r="M140" i="7" s="1"/>
  <c r="J140" i="7"/>
  <c r="K140" i="7" s="1"/>
  <c r="M139" i="7"/>
  <c r="K139" i="7"/>
  <c r="L138" i="7"/>
  <c r="M138" i="7" s="1"/>
  <c r="J138" i="7"/>
  <c r="K138" i="7" s="1"/>
  <c r="M137" i="7"/>
  <c r="K137" i="7"/>
  <c r="L136" i="7"/>
  <c r="M136" i="7" s="1"/>
  <c r="J136" i="7"/>
  <c r="K136" i="7" s="1"/>
  <c r="M135" i="7"/>
  <c r="K135" i="7"/>
  <c r="L134" i="7"/>
  <c r="M134" i="7" s="1"/>
  <c r="J134" i="7"/>
  <c r="K134" i="7" s="1"/>
  <c r="M133" i="7"/>
  <c r="K133" i="7"/>
  <c r="L132" i="7"/>
  <c r="M132" i="7" s="1"/>
  <c r="J132" i="7"/>
  <c r="K132" i="7" s="1"/>
  <c r="M131" i="7"/>
  <c r="K131" i="7"/>
  <c r="L130" i="7"/>
  <c r="M130" i="7" s="1"/>
  <c r="J130" i="7"/>
  <c r="K130" i="7" s="1"/>
  <c r="M129" i="7"/>
  <c r="K129" i="7"/>
  <c r="L128" i="7"/>
  <c r="M128" i="7" s="1"/>
  <c r="J128" i="7"/>
  <c r="K128" i="7" s="1"/>
  <c r="M127" i="7"/>
  <c r="K127" i="7"/>
  <c r="L126" i="7"/>
  <c r="M126" i="7" s="1"/>
  <c r="J126" i="7"/>
  <c r="K126" i="7" s="1"/>
  <c r="M125" i="7"/>
  <c r="K125" i="7"/>
  <c r="L124" i="7"/>
  <c r="M124" i="7" s="1"/>
  <c r="J124" i="7"/>
  <c r="K124" i="7" s="1"/>
  <c r="M123" i="7"/>
  <c r="K123" i="7"/>
  <c r="L122" i="7"/>
  <c r="M122" i="7" s="1"/>
  <c r="J122" i="7"/>
  <c r="K122" i="7" s="1"/>
  <c r="L121" i="7" l="1"/>
  <c r="M121" i="7" s="1"/>
  <c r="J121" i="7"/>
  <c r="K121" i="7" s="1"/>
  <c r="L120" i="7"/>
  <c r="M120" i="7" s="1"/>
  <c r="J120" i="7"/>
  <c r="K120" i="7" s="1"/>
  <c r="L119" i="7"/>
  <c r="M119" i="7" s="1"/>
  <c r="J119" i="7"/>
  <c r="K119" i="7" s="1"/>
  <c r="L118" i="7"/>
  <c r="M118" i="7" s="1"/>
  <c r="J118" i="7"/>
  <c r="K118" i="7" s="1"/>
  <c r="L117" i="7"/>
  <c r="M117" i="7" s="1"/>
  <c r="J117" i="7"/>
  <c r="K117" i="7" s="1"/>
  <c r="L116" i="7"/>
  <c r="M116" i="7" s="1"/>
  <c r="J116" i="7"/>
  <c r="K116" i="7" s="1"/>
  <c r="L115" i="7"/>
  <c r="M115" i="7" s="1"/>
  <c r="J115" i="7"/>
  <c r="K115" i="7" s="1"/>
  <c r="L114" i="7"/>
  <c r="M114" i="7" s="1"/>
  <c r="J114" i="7"/>
  <c r="K114" i="7" s="1"/>
  <c r="L113" i="7"/>
  <c r="M113" i="7" s="1"/>
  <c r="J113" i="7"/>
  <c r="K113" i="7" s="1"/>
  <c r="L112" i="7"/>
  <c r="M112" i="7" s="1"/>
  <c r="J112" i="7"/>
  <c r="K112" i="7" s="1"/>
  <c r="L111" i="7"/>
  <c r="M111" i="7" s="1"/>
  <c r="J111" i="7"/>
  <c r="K111" i="7" s="1"/>
  <c r="L110" i="7"/>
  <c r="M110" i="7" s="1"/>
  <c r="J110" i="7"/>
  <c r="K110" i="7" s="1"/>
  <c r="L109" i="7"/>
  <c r="M109" i="7" s="1"/>
  <c r="J109" i="7"/>
  <c r="K109" i="7" s="1"/>
  <c r="L108" i="7"/>
  <c r="M108" i="7" s="1"/>
  <c r="J108" i="7"/>
  <c r="K108" i="7" s="1"/>
  <c r="L107" i="7"/>
  <c r="M107" i="7" s="1"/>
  <c r="J107" i="7"/>
  <c r="K107" i="7" s="1"/>
  <c r="L106" i="7"/>
  <c r="M106" i="7" s="1"/>
  <c r="J106" i="7"/>
  <c r="K106" i="7" s="1"/>
  <c r="L105" i="7"/>
  <c r="M105" i="7" s="1"/>
  <c r="J105" i="7"/>
  <c r="K105" i="7" s="1"/>
  <c r="L104" i="7"/>
  <c r="M104" i="7" s="1"/>
  <c r="J104" i="7"/>
  <c r="K104" i="7" s="1"/>
  <c r="L103" i="7"/>
  <c r="M103" i="7" s="1"/>
  <c r="J103" i="7"/>
  <c r="K103" i="7" s="1"/>
  <c r="L102" i="7"/>
  <c r="M102" i="7" s="1"/>
  <c r="J102" i="7"/>
  <c r="K102" i="7" s="1"/>
  <c r="L101" i="7"/>
  <c r="M101" i="7" s="1"/>
  <c r="J101" i="7"/>
  <c r="K101" i="7" s="1"/>
  <c r="L100" i="7"/>
  <c r="M100" i="7" s="1"/>
  <c r="J100" i="7"/>
  <c r="K100" i="7" s="1"/>
  <c r="L99" i="7"/>
  <c r="M99" i="7" s="1"/>
  <c r="J99" i="7"/>
  <c r="K99" i="7" s="1"/>
  <c r="L98" i="7"/>
  <c r="M98" i="7" s="1"/>
  <c r="J98" i="7"/>
  <c r="K98" i="7" s="1"/>
  <c r="L97" i="7"/>
  <c r="M97" i="7" s="1"/>
  <c r="J97" i="7"/>
  <c r="K97" i="7" s="1"/>
  <c r="L96" i="7"/>
  <c r="M96" i="7" s="1"/>
  <c r="J96" i="7"/>
  <c r="K96" i="7" s="1"/>
  <c r="L95" i="7"/>
  <c r="M95" i="7" s="1"/>
  <c r="J95" i="7"/>
  <c r="K95" i="7" s="1"/>
  <c r="L94" i="7"/>
  <c r="M94" i="7" s="1"/>
  <c r="J94" i="7"/>
  <c r="K94" i="7" s="1"/>
  <c r="L93" i="7"/>
  <c r="M93" i="7" s="1"/>
  <c r="J93" i="7"/>
  <c r="K93" i="7" s="1"/>
  <c r="L92" i="7"/>
  <c r="M92" i="7" s="1"/>
  <c r="J92" i="7"/>
  <c r="K92" i="7" s="1"/>
  <c r="J217" i="7"/>
  <c r="K217" i="7" s="1"/>
  <c r="J216" i="7"/>
  <c r="K216" i="7" s="1"/>
  <c r="J215" i="7"/>
  <c r="K215" i="7" s="1"/>
  <c r="J214" i="7"/>
  <c r="M211" i="7"/>
  <c r="J211" i="7"/>
  <c r="K211" i="7" s="1"/>
  <c r="L210" i="7"/>
  <c r="M210" i="7" s="1"/>
  <c r="J210" i="7"/>
  <c r="K210" i="7" s="1"/>
  <c r="L209" i="7"/>
  <c r="M209" i="7" s="1"/>
  <c r="K209" i="7"/>
  <c r="J209" i="7"/>
  <c r="L91" i="7" l="1"/>
  <c r="M91" i="7" s="1"/>
  <c r="J91" i="7"/>
  <c r="K91" i="7" s="1"/>
  <c r="L90" i="7"/>
  <c r="M90" i="7" s="1"/>
  <c r="J90" i="7"/>
  <c r="K90" i="7" s="1"/>
  <c r="M89" i="7"/>
  <c r="L89" i="7"/>
  <c r="J89" i="7"/>
  <c r="K89" i="7" s="1"/>
  <c r="L88" i="7"/>
  <c r="M88" i="7" s="1"/>
  <c r="J88" i="7"/>
  <c r="K88" i="7" s="1"/>
  <c r="L87" i="7"/>
  <c r="M87" i="7" s="1"/>
  <c r="J87" i="7"/>
  <c r="K87" i="7" s="1"/>
  <c r="L86" i="7"/>
  <c r="M86" i="7" s="1"/>
  <c r="J86" i="7"/>
  <c r="K86" i="7" s="1"/>
  <c r="M85" i="7"/>
  <c r="L85" i="7"/>
  <c r="J85" i="7"/>
  <c r="K85" i="7" s="1"/>
  <c r="L84" i="7"/>
  <c r="M84" i="7" s="1"/>
  <c r="J84" i="7"/>
  <c r="K84" i="7" s="1"/>
  <c r="L83" i="7"/>
  <c r="M83" i="7" s="1"/>
  <c r="J83" i="7"/>
  <c r="K83" i="7" s="1"/>
  <c r="L82" i="7"/>
  <c r="M82" i="7" s="1"/>
  <c r="J82" i="7"/>
  <c r="K82" i="7" s="1"/>
  <c r="M81" i="7"/>
  <c r="L81" i="7"/>
  <c r="J81" i="7"/>
  <c r="K81" i="7" s="1"/>
  <c r="L80" i="7"/>
  <c r="M80" i="7" s="1"/>
  <c r="J80" i="7"/>
  <c r="K80" i="7" s="1"/>
  <c r="L79" i="7"/>
  <c r="M79" i="7" s="1"/>
  <c r="J79" i="7"/>
  <c r="K79" i="7" s="1"/>
  <c r="M78" i="7"/>
  <c r="L78" i="7"/>
  <c r="J78" i="7"/>
  <c r="K78" i="7" s="1"/>
  <c r="L77" i="7"/>
  <c r="M77" i="7" s="1"/>
  <c r="J77" i="7"/>
  <c r="K77" i="7" s="1"/>
  <c r="L76" i="7"/>
  <c r="M76" i="7" s="1"/>
  <c r="J76" i="7"/>
  <c r="K76" i="7" s="1"/>
  <c r="L75" i="7"/>
  <c r="M75" i="7" s="1"/>
  <c r="J75" i="7"/>
  <c r="K75" i="7" s="1"/>
  <c r="M74" i="7"/>
  <c r="L74" i="7"/>
  <c r="J74" i="7"/>
  <c r="K74" i="7" s="1"/>
  <c r="L73" i="7"/>
  <c r="M73" i="7" s="1"/>
  <c r="J73" i="7"/>
  <c r="K73" i="7" s="1"/>
  <c r="L72" i="7"/>
  <c r="M72" i="7" s="1"/>
  <c r="J72" i="7"/>
  <c r="K72" i="7" s="1"/>
  <c r="L71" i="7"/>
  <c r="M71" i="7" s="1"/>
  <c r="J71" i="7"/>
  <c r="K71" i="7" s="1"/>
  <c r="L70" i="7"/>
  <c r="M70" i="7" s="1"/>
  <c r="J70" i="7"/>
  <c r="K70" i="7" s="1"/>
  <c r="L69" i="7"/>
  <c r="M69" i="7" s="1"/>
  <c r="J69" i="7"/>
  <c r="K69" i="7" s="1"/>
  <c r="M68" i="7"/>
  <c r="L68" i="7"/>
  <c r="J68" i="7"/>
  <c r="K68" i="7" s="1"/>
  <c r="L67" i="7"/>
  <c r="M67" i="7" s="1"/>
  <c r="J67" i="7"/>
  <c r="K67" i="7" s="1"/>
  <c r="L66" i="7"/>
  <c r="M66" i="7" s="1"/>
  <c r="J66" i="7"/>
  <c r="K66" i="7" s="1"/>
  <c r="L65" i="7"/>
  <c r="M65" i="7" s="1"/>
  <c r="J65" i="7"/>
  <c r="K65" i="7" s="1"/>
  <c r="L64" i="7"/>
  <c r="M64" i="7" s="1"/>
  <c r="J64" i="7"/>
  <c r="K64" i="7" s="1"/>
  <c r="L63" i="7"/>
  <c r="M63" i="7" s="1"/>
  <c r="J63" i="7"/>
  <c r="K63" i="7" s="1"/>
  <c r="L62" i="7"/>
  <c r="M62" i="7" s="1"/>
  <c r="J62" i="7"/>
  <c r="K62" i="7" s="1"/>
  <c r="L61" i="7" l="1"/>
  <c r="M61" i="7" s="1"/>
  <c r="J61" i="7"/>
  <c r="K61" i="7" s="1"/>
  <c r="L60" i="7"/>
  <c r="M60" i="7" s="1"/>
  <c r="J60" i="7"/>
  <c r="K60" i="7" s="1"/>
  <c r="L59" i="7"/>
  <c r="M59" i="7" s="1"/>
  <c r="J59" i="7"/>
  <c r="K59" i="7" s="1"/>
  <c r="L58" i="7"/>
  <c r="M58" i="7" s="1"/>
  <c r="J58" i="7"/>
  <c r="K58" i="7" s="1"/>
  <c r="L57" i="7"/>
  <c r="M57" i="7" s="1"/>
  <c r="J57" i="7"/>
  <c r="K57" i="7" s="1"/>
  <c r="L56" i="7"/>
  <c r="M56" i="7" s="1"/>
  <c r="J56" i="7"/>
  <c r="K56" i="7" s="1"/>
  <c r="L55" i="7"/>
  <c r="M55" i="7" s="1"/>
  <c r="J55" i="7"/>
  <c r="K55" i="7" s="1"/>
  <c r="L54" i="7"/>
  <c r="M54" i="7" s="1"/>
  <c r="J54" i="7"/>
  <c r="K54" i="7" s="1"/>
  <c r="L53" i="7"/>
  <c r="M53" i="7" s="1"/>
  <c r="J53" i="7"/>
  <c r="K53" i="7" s="1"/>
  <c r="L52" i="7"/>
  <c r="M52" i="7" s="1"/>
  <c r="J52" i="7"/>
  <c r="K52" i="7" s="1"/>
  <c r="L51" i="7"/>
  <c r="M51" i="7" s="1"/>
  <c r="J51" i="7"/>
  <c r="K51" i="7" s="1"/>
  <c r="L50" i="7"/>
  <c r="M50" i="7" s="1"/>
  <c r="J50" i="7"/>
  <c r="K50" i="7" s="1"/>
  <c r="L49" i="7"/>
  <c r="M49" i="7" s="1"/>
  <c r="J49" i="7"/>
  <c r="K49" i="7" s="1"/>
  <c r="L48" i="7"/>
  <c r="M48" i="7" s="1"/>
  <c r="J48" i="7"/>
  <c r="K48" i="7" s="1"/>
  <c r="L47" i="7"/>
  <c r="M47" i="7" s="1"/>
  <c r="J47" i="7"/>
  <c r="K47" i="7" s="1"/>
  <c r="L46" i="7"/>
  <c r="M46" i="7" s="1"/>
  <c r="J46" i="7"/>
  <c r="K46" i="7" s="1"/>
  <c r="L45" i="7"/>
  <c r="M45" i="7" s="1"/>
  <c r="J45" i="7"/>
  <c r="K45" i="7" s="1"/>
  <c r="L44" i="7"/>
  <c r="M44" i="7" s="1"/>
  <c r="J44" i="7"/>
  <c r="K44" i="7" s="1"/>
  <c r="L43" i="7"/>
  <c r="M43" i="7" s="1"/>
  <c r="J43" i="7"/>
  <c r="K43" i="7" s="1"/>
  <c r="L42" i="7"/>
  <c r="M42" i="7" s="1"/>
  <c r="J42" i="7"/>
  <c r="K42" i="7" s="1"/>
  <c r="L41" i="7"/>
  <c r="M41" i="7" s="1"/>
  <c r="J41" i="7"/>
  <c r="K41" i="7" s="1"/>
  <c r="L40" i="7"/>
  <c r="M40" i="7" s="1"/>
  <c r="J40" i="7"/>
  <c r="K40" i="7" s="1"/>
  <c r="L39" i="7"/>
  <c r="M39" i="7" s="1"/>
  <c r="J39" i="7"/>
  <c r="K39" i="7" s="1"/>
  <c r="L38" i="7"/>
  <c r="M38" i="7" s="1"/>
  <c r="J38" i="7"/>
  <c r="K38" i="7" s="1"/>
  <c r="L37" i="7"/>
  <c r="M37" i="7" s="1"/>
  <c r="J37" i="7"/>
  <c r="K37" i="7" s="1"/>
  <c r="L36" i="7"/>
  <c r="M36" i="7" s="1"/>
  <c r="J36" i="7"/>
  <c r="K36" i="7" s="1"/>
  <c r="L35" i="7"/>
  <c r="M35" i="7" s="1"/>
  <c r="J35" i="7"/>
  <c r="K35" i="7" s="1"/>
  <c r="L34" i="7"/>
  <c r="M34" i="7" s="1"/>
  <c r="J34" i="7"/>
  <c r="K34" i="7" s="1"/>
  <c r="L33" i="7"/>
  <c r="M33" i="7" s="1"/>
  <c r="J33" i="7"/>
  <c r="K33" i="7" s="1"/>
  <c r="L32" i="7"/>
  <c r="M32" i="7" s="1"/>
  <c r="J32" i="7"/>
  <c r="K32" i="7" s="1"/>
  <c r="L31" i="7" l="1"/>
  <c r="M31" i="7" s="1"/>
  <c r="J31" i="7"/>
  <c r="K31" i="7" s="1"/>
  <c r="L30" i="7"/>
  <c r="M30" i="7" s="1"/>
  <c r="J30" i="7"/>
  <c r="K30" i="7" s="1"/>
  <c r="L29" i="7"/>
  <c r="M29" i="7" s="1"/>
  <c r="J29" i="7"/>
  <c r="K29" i="7" s="1"/>
  <c r="L28" i="7"/>
  <c r="M28" i="7" s="1"/>
  <c r="J28" i="7"/>
  <c r="K28" i="7" s="1"/>
  <c r="L27" i="7"/>
  <c r="M27" i="7" s="1"/>
  <c r="J27" i="7"/>
  <c r="K27" i="7" s="1"/>
  <c r="L26" i="7"/>
  <c r="M26" i="7" s="1"/>
  <c r="J26" i="7"/>
  <c r="K26" i="7" s="1"/>
  <c r="L25" i="7"/>
  <c r="M25" i="7" s="1"/>
  <c r="J25" i="7"/>
  <c r="K25" i="7" s="1"/>
  <c r="L24" i="7"/>
  <c r="M24" i="7" s="1"/>
  <c r="J24" i="7"/>
  <c r="K24" i="7" s="1"/>
  <c r="L23" i="7"/>
  <c r="M23" i="7" s="1"/>
  <c r="J23" i="7"/>
  <c r="K23" i="7" s="1"/>
  <c r="L22" i="7"/>
  <c r="M22" i="7" s="1"/>
  <c r="J22" i="7"/>
  <c r="K22" i="7" s="1"/>
  <c r="L21" i="7"/>
  <c r="M21" i="7" s="1"/>
  <c r="J21" i="7"/>
  <c r="K21" i="7" s="1"/>
  <c r="L20" i="7"/>
  <c r="M20" i="7" s="1"/>
  <c r="J20" i="7"/>
  <c r="K20" i="7" s="1"/>
  <c r="L19" i="7"/>
  <c r="M19" i="7" s="1"/>
  <c r="J19" i="7"/>
  <c r="K19" i="7" s="1"/>
  <c r="L18" i="7"/>
  <c r="M18" i="7" s="1"/>
  <c r="J18" i="7"/>
  <c r="K18" i="7" s="1"/>
  <c r="L17" i="7"/>
  <c r="M17" i="7" s="1"/>
  <c r="J17" i="7"/>
  <c r="K17" i="7" s="1"/>
  <c r="L16" i="7"/>
  <c r="M16" i="7" s="1"/>
  <c r="J16" i="7"/>
  <c r="K16" i="7" s="1"/>
  <c r="L15" i="7"/>
  <c r="M15" i="7" s="1"/>
  <c r="J15" i="7"/>
  <c r="K15" i="7" s="1"/>
  <c r="L14" i="7"/>
  <c r="M14" i="7" s="1"/>
  <c r="J14" i="7"/>
  <c r="K14" i="7" s="1"/>
  <c r="L13" i="7"/>
  <c r="M13" i="7" s="1"/>
  <c r="J13" i="7"/>
  <c r="K13" i="7" s="1"/>
  <c r="L12" i="7"/>
  <c r="M12" i="7" s="1"/>
  <c r="J12" i="7"/>
  <c r="K12" i="7" s="1"/>
  <c r="L11" i="7"/>
  <c r="M11" i="7" s="1"/>
  <c r="J11" i="7"/>
  <c r="K11" i="7" s="1"/>
  <c r="L10" i="7"/>
  <c r="M10" i="7" s="1"/>
  <c r="J10" i="7"/>
  <c r="K10" i="7" s="1"/>
  <c r="L9" i="7"/>
  <c r="M9" i="7" s="1"/>
  <c r="J9" i="7"/>
  <c r="K9" i="7" s="1"/>
  <c r="L8" i="7"/>
  <c r="M8" i="7" s="1"/>
  <c r="J8" i="7"/>
  <c r="K8" i="7" s="1"/>
  <c r="L7" i="7"/>
  <c r="M7" i="7" s="1"/>
  <c r="J7" i="7"/>
  <c r="K7" i="7" s="1"/>
  <c r="L6" i="7"/>
  <c r="M6" i="7" s="1"/>
  <c r="J6" i="7"/>
  <c r="K6" i="7" s="1"/>
  <c r="L5" i="7"/>
  <c r="M5" i="7" s="1"/>
  <c r="J5" i="7"/>
  <c r="K5" i="7" s="1"/>
  <c r="L4" i="7"/>
  <c r="M4" i="7" s="1"/>
  <c r="J4" i="7"/>
  <c r="K4" i="7" s="1"/>
  <c r="L3" i="7"/>
  <c r="M3" i="7" s="1"/>
  <c r="J3" i="7"/>
  <c r="K3" i="7" s="1"/>
  <c r="L2" i="7"/>
  <c r="M2" i="7" s="1"/>
  <c r="J2" i="7"/>
  <c r="K2" i="7" s="1"/>
  <c r="L126" i="6" l="1"/>
  <c r="M126" i="6" s="1"/>
  <c r="J126" i="6"/>
  <c r="K126" i="6" s="1"/>
  <c r="L125" i="6"/>
  <c r="M125" i="6" s="1"/>
  <c r="J125" i="6"/>
  <c r="K125" i="6" s="1"/>
  <c r="L124" i="6"/>
  <c r="M124" i="6" s="1"/>
  <c r="J124" i="6"/>
  <c r="K124" i="6" s="1"/>
  <c r="L123" i="6"/>
  <c r="M123" i="6" s="1"/>
  <c r="J123" i="6"/>
  <c r="K123" i="6" s="1"/>
  <c r="L122" i="6"/>
  <c r="M122" i="6" s="1"/>
  <c r="J122" i="6"/>
  <c r="K122" i="6" s="1"/>
  <c r="L121" i="6"/>
  <c r="M121" i="6" s="1"/>
  <c r="J121" i="6"/>
  <c r="K121" i="6" s="1"/>
  <c r="L120" i="6"/>
  <c r="M120" i="6" s="1"/>
  <c r="J120" i="6"/>
  <c r="K120" i="6" s="1"/>
  <c r="L119" i="6"/>
  <c r="M119" i="6" s="1"/>
  <c r="J119" i="6"/>
  <c r="K119" i="6" s="1"/>
  <c r="L118" i="6"/>
  <c r="M118" i="6" s="1"/>
  <c r="J118" i="6"/>
  <c r="K118" i="6" s="1"/>
  <c r="L117" i="6"/>
  <c r="M117" i="6" s="1"/>
  <c r="J117" i="6"/>
  <c r="K117" i="6" s="1"/>
  <c r="L116" i="6"/>
  <c r="M116" i="6" s="1"/>
  <c r="J116" i="6"/>
  <c r="K116" i="6" s="1"/>
  <c r="L115" i="6"/>
  <c r="M115" i="6" s="1"/>
  <c r="J115" i="6"/>
  <c r="K115" i="6" s="1"/>
  <c r="L114" i="6"/>
  <c r="M114" i="6" s="1"/>
  <c r="J114" i="6"/>
  <c r="K114" i="6" s="1"/>
  <c r="L113" i="6"/>
  <c r="M113" i="6" s="1"/>
  <c r="J113" i="6"/>
  <c r="K113" i="6" s="1"/>
  <c r="L112" i="6"/>
  <c r="M112" i="6" s="1"/>
  <c r="J112" i="6"/>
  <c r="K112" i="6" s="1"/>
  <c r="L111" i="6"/>
  <c r="M111" i="6" s="1"/>
  <c r="J111" i="6"/>
  <c r="K111" i="6" s="1"/>
  <c r="L110" i="6"/>
  <c r="M110" i="6" s="1"/>
  <c r="J110" i="6"/>
  <c r="K110" i="6" s="1"/>
  <c r="L109" i="6"/>
  <c r="M109" i="6" s="1"/>
  <c r="J109" i="6"/>
  <c r="K109" i="6" s="1"/>
  <c r="L108" i="6"/>
  <c r="M108" i="6" s="1"/>
  <c r="J108" i="6"/>
  <c r="K108" i="6" s="1"/>
  <c r="L107" i="6"/>
  <c r="M107" i="6" s="1"/>
  <c r="J107" i="6"/>
  <c r="K107" i="6" s="1"/>
  <c r="M427" i="6" l="1"/>
  <c r="J427" i="6"/>
  <c r="M426" i="6"/>
  <c r="J426" i="6"/>
  <c r="M425" i="6"/>
  <c r="J425" i="6"/>
  <c r="M424" i="6"/>
  <c r="J424" i="6"/>
  <c r="M423" i="6"/>
  <c r="J423" i="6"/>
  <c r="M422" i="6"/>
  <c r="J422" i="6"/>
  <c r="M421" i="6"/>
  <c r="J421" i="6"/>
  <c r="M420" i="6"/>
  <c r="J420" i="6"/>
  <c r="M419" i="6"/>
  <c r="J419" i="6"/>
  <c r="M418" i="6"/>
  <c r="J418" i="6"/>
  <c r="M417" i="6"/>
  <c r="J417" i="6"/>
  <c r="L416" i="6"/>
  <c r="M416" i="6" s="1"/>
  <c r="J416" i="6"/>
  <c r="K416" i="6" s="1"/>
  <c r="M415" i="6"/>
  <c r="J415" i="6"/>
  <c r="M414" i="6"/>
  <c r="J414" i="6"/>
  <c r="M413" i="6"/>
  <c r="J413" i="6"/>
  <c r="M412" i="6"/>
  <c r="J412" i="6"/>
  <c r="M411" i="6"/>
  <c r="J411" i="6"/>
  <c r="M410" i="6"/>
  <c r="J410" i="6"/>
  <c r="M409" i="6"/>
  <c r="J409" i="6"/>
  <c r="M408" i="6"/>
  <c r="J408" i="6"/>
  <c r="M407" i="6"/>
  <c r="J407" i="6"/>
  <c r="M406" i="6"/>
  <c r="J406" i="6"/>
  <c r="M405" i="6"/>
  <c r="J405" i="6"/>
  <c r="L404" i="6"/>
  <c r="M404" i="6" s="1"/>
  <c r="J404" i="6"/>
  <c r="K404" i="6" s="1"/>
  <c r="M403" i="6"/>
  <c r="J403" i="6"/>
  <c r="M402" i="6"/>
  <c r="J402" i="6"/>
  <c r="M401" i="6"/>
  <c r="J401" i="6"/>
  <c r="M400" i="6"/>
  <c r="J400" i="6"/>
  <c r="M399" i="6"/>
  <c r="J399" i="6"/>
  <c r="M398" i="6"/>
  <c r="J398" i="6"/>
  <c r="M397" i="6"/>
  <c r="J397" i="6"/>
  <c r="M396" i="6"/>
  <c r="J396" i="6"/>
  <c r="M395" i="6"/>
  <c r="J395" i="6"/>
  <c r="M394" i="6"/>
  <c r="J394" i="6"/>
  <c r="M393" i="6"/>
  <c r="J393" i="6"/>
  <c r="L392" i="6"/>
  <c r="M392" i="6" s="1"/>
  <c r="J392" i="6"/>
  <c r="K392" i="6" s="1"/>
  <c r="M391" i="6"/>
  <c r="J391" i="6"/>
  <c r="M390" i="6"/>
  <c r="J390" i="6"/>
  <c r="M389" i="6"/>
  <c r="J389" i="6"/>
  <c r="M388" i="6"/>
  <c r="J388" i="6"/>
  <c r="M387" i="6"/>
  <c r="J387" i="6"/>
  <c r="M386" i="6"/>
  <c r="J386" i="6"/>
  <c r="M385" i="6"/>
  <c r="J385" i="6"/>
  <c r="M384" i="6"/>
  <c r="J384" i="6"/>
  <c r="M383" i="6"/>
  <c r="J383" i="6"/>
  <c r="M382" i="6"/>
  <c r="J382" i="6"/>
  <c r="M381" i="6"/>
  <c r="J381" i="6"/>
  <c r="L380" i="6"/>
  <c r="M380" i="6" s="1"/>
  <c r="J380" i="6"/>
  <c r="K380" i="6" s="1"/>
  <c r="M379" i="6" l="1"/>
  <c r="J379" i="6"/>
  <c r="M378" i="6"/>
  <c r="J378" i="6"/>
  <c r="M377" i="6"/>
  <c r="J377" i="6"/>
  <c r="M376" i="6"/>
  <c r="J376" i="6"/>
  <c r="M375" i="6"/>
  <c r="J375" i="6"/>
  <c r="M374" i="6"/>
  <c r="J374" i="6"/>
  <c r="M373" i="6"/>
  <c r="J373" i="6"/>
  <c r="M372" i="6"/>
  <c r="J372" i="6"/>
  <c r="M371" i="6"/>
  <c r="J371" i="6"/>
  <c r="M370" i="6"/>
  <c r="J370" i="6"/>
  <c r="M369" i="6"/>
  <c r="J369" i="6"/>
  <c r="L368" i="6"/>
  <c r="M368" i="6" s="1"/>
  <c r="J368" i="6"/>
  <c r="K368" i="6" s="1"/>
  <c r="M367" i="6"/>
  <c r="J367" i="6"/>
  <c r="M366" i="6"/>
  <c r="J366" i="6"/>
  <c r="M365" i="6"/>
  <c r="J365" i="6"/>
  <c r="M364" i="6"/>
  <c r="J364" i="6"/>
  <c r="M363" i="6"/>
  <c r="J363" i="6"/>
  <c r="M362" i="6"/>
  <c r="J362" i="6"/>
  <c r="M361" i="6"/>
  <c r="J361" i="6"/>
  <c r="M360" i="6"/>
  <c r="J360" i="6"/>
  <c r="M359" i="6"/>
  <c r="J359" i="6"/>
  <c r="M358" i="6"/>
  <c r="J358" i="6"/>
  <c r="M357" i="6"/>
  <c r="J357" i="6"/>
  <c r="L356" i="6"/>
  <c r="M356" i="6" s="1"/>
  <c r="J356" i="6"/>
  <c r="K356" i="6" s="1"/>
  <c r="M355" i="6"/>
  <c r="J355" i="6"/>
  <c r="M354" i="6"/>
  <c r="J354" i="6"/>
  <c r="M353" i="6"/>
  <c r="J353" i="6"/>
  <c r="M352" i="6"/>
  <c r="J352" i="6"/>
  <c r="M351" i="6"/>
  <c r="J351" i="6"/>
  <c r="M350" i="6"/>
  <c r="J350" i="6"/>
  <c r="M349" i="6"/>
  <c r="J349" i="6"/>
  <c r="M348" i="6"/>
  <c r="J348" i="6"/>
  <c r="M347" i="6"/>
  <c r="J347" i="6"/>
  <c r="M346" i="6"/>
  <c r="J346" i="6"/>
  <c r="M345" i="6"/>
  <c r="J345" i="6"/>
  <c r="L344" i="6"/>
  <c r="M344" i="6" s="1"/>
  <c r="J344" i="6"/>
  <c r="K344" i="6" s="1"/>
  <c r="M343" i="6"/>
  <c r="J343" i="6"/>
  <c r="M342" i="6"/>
  <c r="J342" i="6"/>
  <c r="M341" i="6"/>
  <c r="J341" i="6"/>
  <c r="M340" i="6"/>
  <c r="J340" i="6"/>
  <c r="M339" i="6"/>
  <c r="J339" i="6"/>
  <c r="M338" i="6"/>
  <c r="J338" i="6"/>
  <c r="M337" i="6"/>
  <c r="J337" i="6"/>
  <c r="M336" i="6"/>
  <c r="J336" i="6"/>
  <c r="M335" i="6"/>
  <c r="J335" i="6"/>
  <c r="M334" i="6"/>
  <c r="J334" i="6"/>
  <c r="M333" i="6"/>
  <c r="J333" i="6"/>
  <c r="M332" i="6"/>
  <c r="L332" i="6"/>
  <c r="J332" i="6"/>
  <c r="K332" i="6" s="1"/>
  <c r="M331" i="6"/>
  <c r="J331" i="6"/>
  <c r="M330" i="6"/>
  <c r="J330" i="6"/>
  <c r="M329" i="6"/>
  <c r="J329" i="6"/>
  <c r="M328" i="6"/>
  <c r="J328" i="6"/>
  <c r="M327" i="6"/>
  <c r="J327" i="6"/>
  <c r="M326" i="6"/>
  <c r="J326" i="6"/>
  <c r="M325" i="6"/>
  <c r="J325" i="6"/>
  <c r="M324" i="6"/>
  <c r="J324" i="6"/>
  <c r="M323" i="6"/>
  <c r="J323" i="6"/>
  <c r="M322" i="6"/>
  <c r="J322" i="6"/>
  <c r="M321" i="6"/>
  <c r="J321" i="6"/>
  <c r="L320" i="6"/>
  <c r="M320" i="6" s="1"/>
  <c r="J320" i="6"/>
  <c r="K320" i="6" s="1"/>
  <c r="M319" i="6"/>
  <c r="J319" i="6"/>
  <c r="M318" i="6"/>
  <c r="J318" i="6"/>
  <c r="M317" i="6"/>
  <c r="J317" i="6"/>
  <c r="M316" i="6"/>
  <c r="J316" i="6"/>
  <c r="M315" i="6"/>
  <c r="J315" i="6"/>
  <c r="M314" i="6"/>
  <c r="J314" i="6"/>
  <c r="M313" i="6"/>
  <c r="J313" i="6"/>
  <c r="M312" i="6"/>
  <c r="J312" i="6"/>
  <c r="M311" i="6"/>
  <c r="J311" i="6"/>
  <c r="M310" i="6"/>
  <c r="J310" i="6"/>
  <c r="M309" i="6"/>
  <c r="J309" i="6"/>
  <c r="L308" i="6"/>
  <c r="M308" i="6" s="1"/>
  <c r="J308" i="6"/>
  <c r="K308" i="6" s="1"/>
  <c r="M106" i="6" l="1"/>
  <c r="J106" i="6"/>
  <c r="M105" i="6"/>
  <c r="J105" i="6"/>
  <c r="L104" i="6"/>
  <c r="M104" i="6" s="1"/>
  <c r="J104" i="6"/>
  <c r="K104" i="6" s="1"/>
  <c r="M103" i="6"/>
  <c r="J103" i="6"/>
  <c r="M102" i="6"/>
  <c r="J102" i="6"/>
  <c r="L101" i="6"/>
  <c r="M101" i="6" s="1"/>
  <c r="J101" i="6"/>
  <c r="K101" i="6" s="1"/>
  <c r="M100" i="6"/>
  <c r="J100" i="6"/>
  <c r="M99" i="6"/>
  <c r="J99" i="6"/>
  <c r="L98" i="6"/>
  <c r="M98" i="6" s="1"/>
  <c r="J98" i="6"/>
  <c r="K98" i="6" s="1"/>
  <c r="M97" i="6"/>
  <c r="J97" i="6"/>
  <c r="M96" i="6"/>
  <c r="J96" i="6"/>
  <c r="L95" i="6"/>
  <c r="M95" i="6" s="1"/>
  <c r="J95" i="6"/>
  <c r="K95" i="6" s="1"/>
  <c r="M94" i="6"/>
  <c r="J94" i="6"/>
  <c r="M93" i="6"/>
  <c r="J93" i="6"/>
  <c r="L92" i="6"/>
  <c r="M92" i="6" s="1"/>
  <c r="J92" i="6"/>
  <c r="K92" i="6" s="1"/>
  <c r="M91" i="6" l="1"/>
  <c r="J91" i="6"/>
  <c r="M90" i="6"/>
  <c r="J90" i="6"/>
  <c r="M89" i="6"/>
  <c r="J89" i="6"/>
  <c r="L88" i="6"/>
  <c r="M88" i="6" s="1"/>
  <c r="J88" i="6"/>
  <c r="K88" i="6" s="1"/>
  <c r="M87" i="6"/>
  <c r="J87" i="6"/>
  <c r="M86" i="6"/>
  <c r="J86" i="6"/>
  <c r="M85" i="6"/>
  <c r="J85" i="6"/>
  <c r="L84" i="6"/>
  <c r="M84" i="6" s="1"/>
  <c r="J84" i="6"/>
  <c r="K84" i="6" s="1"/>
  <c r="M83" i="6"/>
  <c r="J83" i="6"/>
  <c r="M82" i="6"/>
  <c r="J82" i="6"/>
  <c r="M81" i="6"/>
  <c r="J81" i="6"/>
  <c r="L80" i="6"/>
  <c r="M80" i="6" s="1"/>
  <c r="J80" i="6"/>
  <c r="K80" i="6" s="1"/>
  <c r="M79" i="6"/>
  <c r="J79" i="6"/>
  <c r="M78" i="6"/>
  <c r="J78" i="6"/>
  <c r="M77" i="6"/>
  <c r="J77" i="6"/>
  <c r="L76" i="6"/>
  <c r="M76" i="6" s="1"/>
  <c r="J76" i="6"/>
  <c r="K76" i="6" s="1"/>
  <c r="M75" i="6"/>
  <c r="J75" i="6"/>
  <c r="M74" i="6"/>
  <c r="J74" i="6"/>
  <c r="M73" i="6"/>
  <c r="J73" i="6"/>
  <c r="M72" i="6"/>
  <c r="L72" i="6"/>
  <c r="J72" i="6"/>
  <c r="K72" i="6" s="1"/>
  <c r="L71" i="6" l="1"/>
  <c r="M71" i="6" s="1"/>
  <c r="J71" i="6"/>
  <c r="K71" i="6" s="1"/>
  <c r="L70" i="6"/>
  <c r="M70" i="6" s="1"/>
  <c r="J70" i="6"/>
  <c r="K70" i="6" s="1"/>
  <c r="L69" i="6"/>
  <c r="M69" i="6" s="1"/>
  <c r="J69" i="6"/>
  <c r="K69" i="6" s="1"/>
  <c r="L68" i="6"/>
  <c r="M68" i="6" s="1"/>
  <c r="J68" i="6"/>
  <c r="K68" i="6" s="1"/>
  <c r="L67" i="6"/>
  <c r="M67" i="6" s="1"/>
  <c r="J67" i="6"/>
  <c r="K67" i="6" s="1"/>
  <c r="L66" i="6"/>
  <c r="M66" i="6" s="1"/>
  <c r="J66" i="6"/>
  <c r="K66" i="6" s="1"/>
  <c r="L65" i="6"/>
  <c r="M65" i="6" s="1"/>
  <c r="J65" i="6"/>
  <c r="K65" i="6" s="1"/>
  <c r="L64" i="6"/>
  <c r="M64" i="6" s="1"/>
  <c r="J64" i="6"/>
  <c r="K64" i="6" s="1"/>
  <c r="L63" i="6"/>
  <c r="M63" i="6" s="1"/>
  <c r="J63" i="6"/>
  <c r="K63" i="6" s="1"/>
  <c r="L62" i="6"/>
  <c r="M62" i="6" s="1"/>
  <c r="J62" i="6"/>
  <c r="K62" i="6" s="1"/>
  <c r="L61" i="6"/>
  <c r="M61" i="6" s="1"/>
  <c r="J61" i="6"/>
  <c r="K61" i="6" s="1"/>
  <c r="L60" i="6"/>
  <c r="M60" i="6" s="1"/>
  <c r="J60" i="6"/>
  <c r="K60" i="6" s="1"/>
  <c r="L59" i="6"/>
  <c r="M59" i="6" s="1"/>
  <c r="J59" i="6"/>
  <c r="K59" i="6" s="1"/>
  <c r="L58" i="6"/>
  <c r="M58" i="6" s="1"/>
  <c r="J58" i="6"/>
  <c r="K58" i="6" s="1"/>
  <c r="L57" i="6"/>
  <c r="M57" i="6" s="1"/>
  <c r="J57" i="6"/>
  <c r="K57" i="6" s="1"/>
  <c r="L56" i="6"/>
  <c r="M56" i="6" s="1"/>
  <c r="J56" i="6"/>
  <c r="K56" i="6" s="1"/>
  <c r="L55" i="6"/>
  <c r="M55" i="6" s="1"/>
  <c r="J55" i="6"/>
  <c r="K55" i="6" s="1"/>
  <c r="L54" i="6"/>
  <c r="M54" i="6" s="1"/>
  <c r="J54" i="6"/>
  <c r="K54" i="6" s="1"/>
  <c r="L53" i="6"/>
  <c r="M53" i="6" s="1"/>
  <c r="J53" i="6"/>
  <c r="K53" i="6" s="1"/>
  <c r="L52" i="6"/>
  <c r="M52" i="6" s="1"/>
  <c r="J52" i="6"/>
  <c r="K52" i="6" s="1"/>
  <c r="L51" i="6"/>
  <c r="M51" i="6" s="1"/>
  <c r="J51" i="6"/>
  <c r="K51" i="6" s="1"/>
  <c r="L50" i="6"/>
  <c r="M50" i="6" s="1"/>
  <c r="J50" i="6"/>
  <c r="K50" i="6" s="1"/>
  <c r="L49" i="6"/>
  <c r="M49" i="6" s="1"/>
  <c r="J49" i="6"/>
  <c r="K49" i="6" s="1"/>
  <c r="L48" i="6"/>
  <c r="M48" i="6" s="1"/>
  <c r="J48" i="6"/>
  <c r="K48" i="6" s="1"/>
  <c r="L47" i="6"/>
  <c r="M47" i="6" s="1"/>
  <c r="J47" i="6"/>
  <c r="K47" i="6" s="1"/>
  <c r="L46" i="6"/>
  <c r="M46" i="6" s="1"/>
  <c r="J46" i="6"/>
  <c r="K46" i="6" s="1"/>
  <c r="L45" i="6"/>
  <c r="M45" i="6" s="1"/>
  <c r="J45" i="6"/>
  <c r="K45" i="6" s="1"/>
  <c r="L44" i="6"/>
  <c r="M44" i="6" s="1"/>
  <c r="J44" i="6"/>
  <c r="K44" i="6" s="1"/>
  <c r="L43" i="6"/>
  <c r="M43" i="6" s="1"/>
  <c r="J43" i="6"/>
  <c r="K43" i="6" s="1"/>
  <c r="L42" i="6"/>
  <c r="M42" i="6" s="1"/>
  <c r="J42" i="6"/>
  <c r="K42" i="6" s="1"/>
  <c r="M41" i="6" l="1"/>
  <c r="K41" i="6"/>
  <c r="L40" i="6"/>
  <c r="M40" i="6" s="1"/>
  <c r="J40" i="6"/>
  <c r="K40" i="6" s="1"/>
  <c r="M39" i="6"/>
  <c r="K39" i="6"/>
  <c r="L38" i="6"/>
  <c r="M38" i="6" s="1"/>
  <c r="J38" i="6"/>
  <c r="K38" i="6" s="1"/>
  <c r="M37" i="6"/>
  <c r="K37" i="6"/>
  <c r="L36" i="6"/>
  <c r="M36" i="6" s="1"/>
  <c r="J36" i="6"/>
  <c r="K36" i="6" s="1"/>
  <c r="M35" i="6"/>
  <c r="K35" i="6"/>
  <c r="L34" i="6"/>
  <c r="M34" i="6" s="1"/>
  <c r="J34" i="6"/>
  <c r="K34" i="6" s="1"/>
  <c r="M33" i="6"/>
  <c r="K33" i="6"/>
  <c r="L32" i="6"/>
  <c r="M32" i="6" s="1"/>
  <c r="J32" i="6"/>
  <c r="K32" i="6" s="1"/>
  <c r="M31" i="6"/>
  <c r="K31" i="6"/>
  <c r="L30" i="6"/>
  <c r="M30" i="6" s="1"/>
  <c r="J30" i="6"/>
  <c r="K30" i="6" s="1"/>
  <c r="M29" i="6"/>
  <c r="K29" i="6"/>
  <c r="L28" i="6"/>
  <c r="M28" i="6" s="1"/>
  <c r="J28" i="6"/>
  <c r="K28" i="6" s="1"/>
  <c r="M27" i="6"/>
  <c r="K27" i="6"/>
  <c r="L26" i="6"/>
  <c r="M26" i="6" s="1"/>
  <c r="J26" i="6"/>
  <c r="K26" i="6" s="1"/>
  <c r="M25" i="6"/>
  <c r="K25" i="6"/>
  <c r="L24" i="6"/>
  <c r="M24" i="6" s="1"/>
  <c r="J24" i="6"/>
  <c r="K24" i="6" s="1"/>
  <c r="M23" i="6"/>
  <c r="K23" i="6"/>
  <c r="L22" i="6"/>
  <c r="M22" i="6" s="1"/>
  <c r="J22" i="6"/>
  <c r="K22" i="6" s="1"/>
  <c r="M21" i="6"/>
  <c r="K21" i="6"/>
  <c r="L20" i="6"/>
  <c r="M20" i="6" s="1"/>
  <c r="J20" i="6"/>
  <c r="K20" i="6" s="1"/>
  <c r="M19" i="6"/>
  <c r="K19" i="6"/>
  <c r="L18" i="6"/>
  <c r="M18" i="6" s="1"/>
  <c r="J18" i="6"/>
  <c r="K18" i="6" s="1"/>
  <c r="M17" i="6"/>
  <c r="K17" i="6"/>
  <c r="M16" i="6"/>
  <c r="L16" i="6"/>
  <c r="J16" i="6"/>
  <c r="K16" i="6" s="1"/>
  <c r="M15" i="6"/>
  <c r="K15" i="6"/>
  <c r="L14" i="6"/>
  <c r="M14" i="6" s="1"/>
  <c r="J14" i="6"/>
  <c r="K14" i="6" s="1"/>
  <c r="M13" i="6"/>
  <c r="K13" i="6"/>
  <c r="L12" i="6"/>
  <c r="M12" i="6" s="1"/>
  <c r="J12" i="6"/>
  <c r="K12" i="6" s="1"/>
  <c r="M11" i="6"/>
  <c r="K11" i="6"/>
  <c r="L10" i="6"/>
  <c r="M10" i="6" s="1"/>
  <c r="J10" i="6"/>
  <c r="K10" i="6" s="1"/>
  <c r="M9" i="6"/>
  <c r="K9" i="6"/>
  <c r="L8" i="6"/>
  <c r="M8" i="6" s="1"/>
  <c r="J8" i="6"/>
  <c r="K8" i="6" s="1"/>
  <c r="M7" i="6"/>
  <c r="K7" i="6"/>
  <c r="L6" i="6"/>
  <c r="M6" i="6" s="1"/>
  <c r="J6" i="6"/>
  <c r="K6" i="6" s="1"/>
  <c r="M5" i="6"/>
  <c r="K5" i="6"/>
  <c r="L4" i="6"/>
  <c r="M4" i="6" s="1"/>
  <c r="J4" i="6"/>
  <c r="K4" i="6" s="1"/>
  <c r="M3" i="6"/>
  <c r="K3" i="6"/>
  <c r="L2" i="6"/>
  <c r="M2" i="6" s="1"/>
  <c r="J2" i="6"/>
  <c r="K2" i="6" s="1"/>
  <c r="L131" i="5" l="1"/>
  <c r="M131" i="5" s="1"/>
  <c r="J131" i="5"/>
  <c r="K131" i="5" s="1"/>
  <c r="L130" i="5"/>
  <c r="M130" i="5" s="1"/>
  <c r="J130" i="5"/>
  <c r="K130" i="5" s="1"/>
  <c r="L129" i="5"/>
  <c r="M129" i="5" s="1"/>
  <c r="J129" i="5"/>
  <c r="K129" i="5" s="1"/>
  <c r="L128" i="5"/>
  <c r="M128" i="5" s="1"/>
  <c r="J128" i="5"/>
  <c r="K128" i="5" s="1"/>
  <c r="L127" i="5"/>
  <c r="M127" i="5" s="1"/>
  <c r="J127" i="5"/>
  <c r="K127" i="5" s="1"/>
  <c r="L126" i="5"/>
  <c r="M126" i="5" s="1"/>
  <c r="J126" i="5"/>
  <c r="K126" i="5" s="1"/>
  <c r="L125" i="5"/>
  <c r="M125" i="5" s="1"/>
  <c r="J125" i="5"/>
  <c r="K125" i="5" s="1"/>
  <c r="L124" i="5"/>
  <c r="M124" i="5" s="1"/>
  <c r="J124" i="5"/>
  <c r="K124" i="5" s="1"/>
  <c r="L123" i="5"/>
  <c r="M123" i="5" s="1"/>
  <c r="J123" i="5"/>
  <c r="K123" i="5" s="1"/>
  <c r="L122" i="5"/>
  <c r="M122" i="5" s="1"/>
  <c r="J122" i="5"/>
  <c r="K122" i="5" s="1"/>
  <c r="L121" i="5"/>
  <c r="M121" i="5" s="1"/>
  <c r="J121" i="5"/>
  <c r="K121" i="5" s="1"/>
  <c r="J112" i="5"/>
  <c r="K112" i="5" s="1"/>
  <c r="L112" i="5"/>
  <c r="M112" i="5" s="1"/>
  <c r="J113" i="5"/>
  <c r="K113" i="5" s="1"/>
  <c r="L113" i="5"/>
  <c r="M113" i="5" s="1"/>
  <c r="J114" i="5"/>
  <c r="K114" i="5" s="1"/>
  <c r="L114" i="5"/>
  <c r="M114" i="5" s="1"/>
  <c r="J115" i="5"/>
  <c r="K115" i="5" s="1"/>
  <c r="L115" i="5"/>
  <c r="M115" i="5" s="1"/>
  <c r="J116" i="5"/>
  <c r="K116" i="5" s="1"/>
  <c r="L116" i="5"/>
  <c r="M116" i="5" s="1"/>
  <c r="J117" i="5"/>
  <c r="K117" i="5" s="1"/>
  <c r="L117" i="5"/>
  <c r="M117" i="5" s="1"/>
  <c r="J118" i="5"/>
  <c r="K118" i="5" s="1"/>
  <c r="L118" i="5"/>
  <c r="M118" i="5" s="1"/>
  <c r="J119" i="5"/>
  <c r="K119" i="5" s="1"/>
  <c r="L119" i="5"/>
  <c r="M119" i="5" s="1"/>
  <c r="J120" i="5"/>
  <c r="K120" i="5" s="1"/>
  <c r="L120" i="5"/>
  <c r="M120" i="5" s="1"/>
  <c r="L111" i="5" l="1"/>
  <c r="M111" i="5" s="1"/>
  <c r="J111" i="5"/>
  <c r="K111" i="5" s="1"/>
  <c r="L110" i="5"/>
  <c r="M110" i="5" s="1"/>
  <c r="J110" i="5"/>
  <c r="K110" i="5" s="1"/>
  <c r="L109" i="5"/>
  <c r="M109" i="5" s="1"/>
  <c r="J109" i="5"/>
  <c r="K109" i="5" s="1"/>
  <c r="L108" i="5"/>
  <c r="M108" i="5" s="1"/>
  <c r="J108" i="5"/>
  <c r="K108" i="5" s="1"/>
  <c r="L107" i="5"/>
  <c r="M107" i="5" s="1"/>
  <c r="J107" i="5"/>
  <c r="K107" i="5" s="1"/>
  <c r="L106" i="5"/>
  <c r="M106" i="5" s="1"/>
  <c r="J106" i="5"/>
  <c r="K106" i="5" s="1"/>
  <c r="L105" i="5"/>
  <c r="M105" i="5" s="1"/>
  <c r="J105" i="5"/>
  <c r="K105" i="5" s="1"/>
  <c r="L104" i="5"/>
  <c r="M104" i="5" s="1"/>
  <c r="J104" i="5"/>
  <c r="K104" i="5" s="1"/>
  <c r="L103" i="5"/>
  <c r="M103" i="5" s="1"/>
  <c r="J103" i="5"/>
  <c r="K103" i="5" s="1"/>
  <c r="L102" i="5"/>
  <c r="M102" i="5" s="1"/>
  <c r="J102" i="5"/>
  <c r="K102" i="5" s="1"/>
  <c r="M272" i="4" l="1"/>
  <c r="J272" i="4"/>
  <c r="M271" i="4"/>
  <c r="J271" i="4"/>
  <c r="L270" i="4"/>
  <c r="M270" i="4" s="1"/>
  <c r="J270" i="4"/>
  <c r="K270" i="4" s="1"/>
  <c r="L101" i="5" l="1"/>
  <c r="M101" i="5" s="1"/>
  <c r="J101" i="5"/>
  <c r="K101" i="5" s="1"/>
  <c r="L100" i="5"/>
  <c r="M100" i="5" s="1"/>
  <c r="J100" i="5"/>
  <c r="K100" i="5" s="1"/>
  <c r="L99" i="5"/>
  <c r="M99" i="5" s="1"/>
  <c r="J99" i="5"/>
  <c r="K99" i="5" s="1"/>
  <c r="L98" i="5"/>
  <c r="M98" i="5" s="1"/>
  <c r="J98" i="5"/>
  <c r="K98" i="5" s="1"/>
  <c r="L97" i="5"/>
  <c r="M97" i="5" s="1"/>
  <c r="J97" i="5"/>
  <c r="K97" i="5" s="1"/>
  <c r="L96" i="5"/>
  <c r="M96" i="5" s="1"/>
  <c r="J96" i="5"/>
  <c r="K96" i="5" s="1"/>
  <c r="L95" i="5"/>
  <c r="M95" i="5" s="1"/>
  <c r="J95" i="5"/>
  <c r="K95" i="5" s="1"/>
  <c r="L94" i="5"/>
  <c r="M94" i="5" s="1"/>
  <c r="J94" i="5"/>
  <c r="K94" i="5" s="1"/>
  <c r="L93" i="5"/>
  <c r="M93" i="5" s="1"/>
  <c r="J93" i="5"/>
  <c r="K93" i="5" s="1"/>
  <c r="L92" i="5"/>
  <c r="M92" i="5" s="1"/>
  <c r="J92" i="5"/>
  <c r="K92" i="5" s="1"/>
  <c r="L91" i="5"/>
  <c r="M91" i="5" s="1"/>
  <c r="J91" i="5"/>
  <c r="K91" i="5" s="1"/>
  <c r="L90" i="5"/>
  <c r="M90" i="5" s="1"/>
  <c r="J90" i="5"/>
  <c r="K90" i="5" s="1"/>
  <c r="L89" i="5"/>
  <c r="M89" i="5" s="1"/>
  <c r="J89" i="5"/>
  <c r="K89" i="5" s="1"/>
  <c r="L88" i="5"/>
  <c r="M88" i="5" s="1"/>
  <c r="J88" i="5"/>
  <c r="K88" i="5" s="1"/>
  <c r="L87" i="5"/>
  <c r="M87" i="5" s="1"/>
  <c r="J87" i="5"/>
  <c r="K87" i="5" s="1"/>
  <c r="L86" i="5"/>
  <c r="M86" i="5" s="1"/>
  <c r="J86" i="5"/>
  <c r="K86" i="5" s="1"/>
  <c r="L85" i="5"/>
  <c r="M85" i="5" s="1"/>
  <c r="J85" i="5"/>
  <c r="K85" i="5" s="1"/>
  <c r="L84" i="5"/>
  <c r="M84" i="5" s="1"/>
  <c r="J84" i="5"/>
  <c r="K84" i="5" s="1"/>
  <c r="L83" i="5"/>
  <c r="M83" i="5" s="1"/>
  <c r="J83" i="5"/>
  <c r="K83" i="5" s="1"/>
  <c r="L82" i="5"/>
  <c r="M82" i="5" s="1"/>
  <c r="J82" i="5"/>
  <c r="K82" i="5" s="1"/>
  <c r="L81" i="5"/>
  <c r="M81" i="5" s="1"/>
  <c r="J81" i="5"/>
  <c r="K81" i="5" s="1"/>
  <c r="L80" i="5"/>
  <c r="M80" i="5" s="1"/>
  <c r="J80" i="5"/>
  <c r="K80" i="5" s="1"/>
  <c r="L79" i="5"/>
  <c r="M79" i="5" s="1"/>
  <c r="J79" i="5"/>
  <c r="K79" i="5" s="1"/>
  <c r="L78" i="5"/>
  <c r="M78" i="5" s="1"/>
  <c r="J78" i="5"/>
  <c r="K78" i="5" s="1"/>
  <c r="L77" i="5"/>
  <c r="M77" i="5" s="1"/>
  <c r="J77" i="5"/>
  <c r="K77" i="5" s="1"/>
  <c r="L76" i="5"/>
  <c r="M76" i="5" s="1"/>
  <c r="J76" i="5"/>
  <c r="K76" i="5" s="1"/>
  <c r="L75" i="5"/>
  <c r="M75" i="5" s="1"/>
  <c r="J75" i="5"/>
  <c r="K75" i="5" s="1"/>
  <c r="L74" i="5"/>
  <c r="M74" i="5" s="1"/>
  <c r="J74" i="5"/>
  <c r="K74" i="5" s="1"/>
  <c r="L73" i="5"/>
  <c r="M73" i="5" s="1"/>
  <c r="J73" i="5"/>
  <c r="K73" i="5" s="1"/>
  <c r="L72" i="5"/>
  <c r="M72" i="5" s="1"/>
  <c r="J72" i="5"/>
  <c r="K72" i="5" s="1"/>
  <c r="L71" i="5" l="1"/>
  <c r="M71" i="5" s="1"/>
  <c r="J71" i="5"/>
  <c r="K71" i="5" s="1"/>
  <c r="L70" i="5"/>
  <c r="M70" i="5" s="1"/>
  <c r="J70" i="5"/>
  <c r="K70" i="5" s="1"/>
  <c r="L69" i="5"/>
  <c r="M69" i="5" s="1"/>
  <c r="J69" i="5"/>
  <c r="K69" i="5" s="1"/>
  <c r="L68" i="5"/>
  <c r="M68" i="5" s="1"/>
  <c r="J68" i="5"/>
  <c r="K68" i="5" s="1"/>
  <c r="L67" i="5"/>
  <c r="M67" i="5" s="1"/>
  <c r="J67" i="5"/>
  <c r="K67" i="5" s="1"/>
  <c r="L66" i="5"/>
  <c r="M66" i="5" s="1"/>
  <c r="J66" i="5"/>
  <c r="K66" i="5" s="1"/>
  <c r="L65" i="5"/>
  <c r="M65" i="5" s="1"/>
  <c r="J65" i="5"/>
  <c r="K65" i="5" s="1"/>
  <c r="L64" i="5"/>
  <c r="M64" i="5" s="1"/>
  <c r="J64" i="5"/>
  <c r="K64" i="5" s="1"/>
  <c r="L63" i="5"/>
  <c r="M63" i="5" s="1"/>
  <c r="J63" i="5"/>
  <c r="K63" i="5" s="1"/>
  <c r="L62" i="5"/>
  <c r="M62" i="5" s="1"/>
  <c r="J62" i="5"/>
  <c r="K62" i="5" s="1"/>
  <c r="L61" i="5"/>
  <c r="M61" i="5" s="1"/>
  <c r="J61" i="5"/>
  <c r="K61" i="5" s="1"/>
  <c r="L60" i="5"/>
  <c r="M60" i="5" s="1"/>
  <c r="J60" i="5"/>
  <c r="K60" i="5" s="1"/>
  <c r="L59" i="5"/>
  <c r="M59" i="5" s="1"/>
  <c r="J59" i="5"/>
  <c r="K59" i="5" s="1"/>
  <c r="L58" i="5"/>
  <c r="M58" i="5" s="1"/>
  <c r="J58" i="5"/>
  <c r="K58" i="5" s="1"/>
  <c r="L57" i="5"/>
  <c r="M57" i="5" s="1"/>
  <c r="J57" i="5"/>
  <c r="K57" i="5" s="1"/>
  <c r="L56" i="5"/>
  <c r="M56" i="5" s="1"/>
  <c r="J56" i="5"/>
  <c r="K56" i="5" s="1"/>
  <c r="L55" i="5"/>
  <c r="M55" i="5" s="1"/>
  <c r="J55" i="5"/>
  <c r="K55" i="5" s="1"/>
  <c r="L54" i="5"/>
  <c r="M54" i="5" s="1"/>
  <c r="J54" i="5"/>
  <c r="K54" i="5" s="1"/>
  <c r="L53" i="5"/>
  <c r="M53" i="5" s="1"/>
  <c r="J53" i="5"/>
  <c r="K53" i="5" s="1"/>
  <c r="L52" i="5"/>
  <c r="M52" i="5" s="1"/>
  <c r="J52" i="5"/>
  <c r="K52" i="5" s="1"/>
  <c r="L51" i="5"/>
  <c r="M51" i="5" s="1"/>
  <c r="J51" i="5"/>
  <c r="K51" i="5" s="1"/>
  <c r="L50" i="5"/>
  <c r="M50" i="5" s="1"/>
  <c r="J50" i="5"/>
  <c r="K50" i="5" s="1"/>
  <c r="L49" i="5"/>
  <c r="M49" i="5" s="1"/>
  <c r="J49" i="5"/>
  <c r="K49" i="5" s="1"/>
  <c r="L48" i="5"/>
  <c r="M48" i="5" s="1"/>
  <c r="J48" i="5"/>
  <c r="K48" i="5" s="1"/>
  <c r="L47" i="5"/>
  <c r="M47" i="5" s="1"/>
  <c r="J47" i="5"/>
  <c r="K47" i="5" s="1"/>
  <c r="L46" i="5"/>
  <c r="M46" i="5" s="1"/>
  <c r="J46" i="5"/>
  <c r="K46" i="5" s="1"/>
  <c r="L45" i="5"/>
  <c r="M45" i="5" s="1"/>
  <c r="J45" i="5"/>
  <c r="K45" i="5" s="1"/>
  <c r="L44" i="5"/>
  <c r="M44" i="5" s="1"/>
  <c r="J44" i="5"/>
  <c r="K44" i="5" s="1"/>
  <c r="L43" i="5"/>
  <c r="M43" i="5" s="1"/>
  <c r="J43" i="5"/>
  <c r="K43" i="5" s="1"/>
  <c r="L42" i="5"/>
  <c r="M42" i="5" s="1"/>
  <c r="J42" i="5"/>
  <c r="K42" i="5" s="1"/>
  <c r="M41" i="5" l="1"/>
  <c r="K41" i="5"/>
  <c r="L40" i="5"/>
  <c r="M40" i="5" s="1"/>
  <c r="J40" i="5"/>
  <c r="K40" i="5" s="1"/>
  <c r="M39" i="5"/>
  <c r="K39" i="5"/>
  <c r="L38" i="5"/>
  <c r="M38" i="5" s="1"/>
  <c r="J38" i="5"/>
  <c r="K38" i="5" s="1"/>
  <c r="M37" i="5"/>
  <c r="K37" i="5"/>
  <c r="L36" i="5"/>
  <c r="M36" i="5" s="1"/>
  <c r="J36" i="5"/>
  <c r="K36" i="5" s="1"/>
  <c r="M35" i="5"/>
  <c r="K35" i="5"/>
  <c r="L34" i="5"/>
  <c r="M34" i="5" s="1"/>
  <c r="J34" i="5"/>
  <c r="K34" i="5" s="1"/>
  <c r="M33" i="5"/>
  <c r="K33" i="5"/>
  <c r="L32" i="5"/>
  <c r="M32" i="5" s="1"/>
  <c r="J32" i="5"/>
  <c r="K32" i="5" s="1"/>
  <c r="M31" i="5"/>
  <c r="K31" i="5"/>
  <c r="L30" i="5"/>
  <c r="M30" i="5" s="1"/>
  <c r="J30" i="5"/>
  <c r="K30" i="5" s="1"/>
  <c r="M29" i="5"/>
  <c r="K29" i="5"/>
  <c r="L28" i="5"/>
  <c r="M28" i="5" s="1"/>
  <c r="J28" i="5"/>
  <c r="K28" i="5" s="1"/>
  <c r="M27" i="5"/>
  <c r="K27" i="5"/>
  <c r="L26" i="5"/>
  <c r="M26" i="5" s="1"/>
  <c r="J26" i="5"/>
  <c r="K26" i="5" s="1"/>
  <c r="M25" i="5"/>
  <c r="K25" i="5"/>
  <c r="L24" i="5"/>
  <c r="M24" i="5" s="1"/>
  <c r="J24" i="5"/>
  <c r="K24" i="5" s="1"/>
  <c r="M23" i="5"/>
  <c r="K23" i="5"/>
  <c r="L22" i="5"/>
  <c r="M22" i="5" s="1"/>
  <c r="J22" i="5"/>
  <c r="K22" i="5" s="1"/>
  <c r="M21" i="5"/>
  <c r="K21" i="5"/>
  <c r="L20" i="5"/>
  <c r="M20" i="5" s="1"/>
  <c r="J20" i="5"/>
  <c r="K20" i="5" s="1"/>
  <c r="M19" i="5"/>
  <c r="K19" i="5"/>
  <c r="L18" i="5"/>
  <c r="M18" i="5" s="1"/>
  <c r="J18" i="5"/>
  <c r="K18" i="5" s="1"/>
  <c r="M17" i="5"/>
  <c r="K17" i="5"/>
  <c r="L16" i="5"/>
  <c r="M16" i="5" s="1"/>
  <c r="J16" i="5"/>
  <c r="K16" i="5" s="1"/>
  <c r="M15" i="5"/>
  <c r="K15" i="5"/>
  <c r="L14" i="5"/>
  <c r="M14" i="5" s="1"/>
  <c r="J14" i="5"/>
  <c r="K14" i="5" s="1"/>
  <c r="M13" i="5"/>
  <c r="K13" i="5"/>
  <c r="L12" i="5"/>
  <c r="M12" i="5" s="1"/>
  <c r="J12" i="5"/>
  <c r="K12" i="5" s="1"/>
  <c r="M11" i="5"/>
  <c r="K11" i="5"/>
  <c r="L10" i="5"/>
  <c r="M10" i="5" s="1"/>
  <c r="J10" i="5"/>
  <c r="K10" i="5" s="1"/>
  <c r="M9" i="5"/>
  <c r="K9" i="5"/>
  <c r="L8" i="5"/>
  <c r="M8" i="5" s="1"/>
  <c r="J8" i="5"/>
  <c r="K8" i="5" s="1"/>
  <c r="M7" i="5"/>
  <c r="K7" i="5"/>
  <c r="L6" i="5"/>
  <c r="M6" i="5" s="1"/>
  <c r="J6" i="5"/>
  <c r="K6" i="5" s="1"/>
  <c r="M5" i="5"/>
  <c r="K5" i="5"/>
  <c r="L4" i="5"/>
  <c r="M4" i="5" s="1"/>
  <c r="J4" i="5"/>
  <c r="K4" i="5" s="1"/>
  <c r="M3" i="5"/>
  <c r="K3" i="5"/>
  <c r="L2" i="5"/>
  <c r="M2" i="5" s="1"/>
  <c r="J2" i="5"/>
  <c r="K2" i="5" s="1"/>
  <c r="L162" i="4" l="1"/>
  <c r="M162" i="4" s="1"/>
  <c r="J162" i="4"/>
  <c r="K162" i="4" s="1"/>
  <c r="M161" i="4" l="1"/>
  <c r="J161" i="4"/>
  <c r="M160" i="4"/>
  <c r="J160" i="4"/>
  <c r="M159" i="4"/>
  <c r="J159" i="4"/>
  <c r="L158" i="4"/>
  <c r="M158" i="4" s="1"/>
  <c r="J158" i="4"/>
  <c r="K158" i="4" s="1"/>
  <c r="M157" i="4"/>
  <c r="J157" i="4"/>
  <c r="M156" i="4"/>
  <c r="J156" i="4"/>
  <c r="M155" i="4"/>
  <c r="J155" i="4"/>
  <c r="L154" i="4"/>
  <c r="M154" i="4" s="1"/>
  <c r="J154" i="4"/>
  <c r="K154" i="4" s="1"/>
  <c r="M153" i="4"/>
  <c r="J153" i="4"/>
  <c r="M152" i="4"/>
  <c r="J152" i="4"/>
  <c r="M151" i="4"/>
  <c r="J151" i="4"/>
  <c r="L150" i="4"/>
  <c r="M150" i="4" s="1"/>
  <c r="J150" i="4"/>
  <c r="K150" i="4" s="1"/>
  <c r="M149" i="4" l="1"/>
  <c r="L149" i="4"/>
  <c r="J149" i="4"/>
  <c r="K149" i="4" s="1"/>
  <c r="L148" i="4"/>
  <c r="M148" i="4" s="1"/>
  <c r="J148" i="4"/>
  <c r="K148" i="4" s="1"/>
  <c r="L147" i="4"/>
  <c r="M147" i="4" s="1"/>
  <c r="J147" i="4"/>
  <c r="K147" i="4" s="1"/>
  <c r="M146" i="4"/>
  <c r="L146" i="4"/>
  <c r="J146" i="4"/>
  <c r="K146" i="4" s="1"/>
  <c r="L145" i="4"/>
  <c r="M145" i="4" s="1"/>
  <c r="J145" i="4"/>
  <c r="K145" i="4" s="1"/>
  <c r="L144" i="4" l="1"/>
  <c r="M144" i="4" s="1"/>
  <c r="J144" i="4"/>
  <c r="K144" i="4" s="1"/>
  <c r="L143" i="4"/>
  <c r="M143" i="4" s="1"/>
  <c r="J143" i="4"/>
  <c r="K143" i="4" s="1"/>
  <c r="L142" i="4"/>
  <c r="M142" i="4" s="1"/>
  <c r="J142" i="4"/>
  <c r="K142" i="4" s="1"/>
  <c r="L141" i="4"/>
  <c r="M141" i="4" s="1"/>
  <c r="J141" i="4"/>
  <c r="K141" i="4" s="1"/>
  <c r="L140" i="4"/>
  <c r="M140" i="4" s="1"/>
  <c r="J140" i="4"/>
  <c r="K140" i="4" s="1"/>
  <c r="L139" i="4"/>
  <c r="M139" i="4" s="1"/>
  <c r="J139" i="4"/>
  <c r="K139" i="4" s="1"/>
  <c r="L138" i="4"/>
  <c r="M138" i="4" s="1"/>
  <c r="J138" i="4"/>
  <c r="K138" i="4" s="1"/>
  <c r="L137" i="4"/>
  <c r="M137" i="4" s="1"/>
  <c r="J137" i="4"/>
  <c r="K137" i="4" s="1"/>
  <c r="L136" i="4"/>
  <c r="M136" i="4" s="1"/>
  <c r="J136" i="4"/>
  <c r="K136" i="4" s="1"/>
  <c r="L135" i="4"/>
  <c r="M135" i="4" s="1"/>
  <c r="J135" i="4"/>
  <c r="K135" i="4" s="1"/>
  <c r="L134" i="4"/>
  <c r="M134" i="4" s="1"/>
  <c r="J134" i="4"/>
  <c r="K134" i="4" s="1"/>
  <c r="L133" i="4"/>
  <c r="M133" i="4" s="1"/>
  <c r="J133" i="4"/>
  <c r="K133" i="4" s="1"/>
  <c r="L132" i="4"/>
  <c r="M132" i="4" s="1"/>
  <c r="J132" i="4"/>
  <c r="K132" i="4" s="1"/>
  <c r="L131" i="4"/>
  <c r="M131" i="4" s="1"/>
  <c r="J131" i="4"/>
  <c r="K131" i="4" s="1"/>
  <c r="L130" i="4"/>
  <c r="M130" i="4" s="1"/>
  <c r="J130" i="4"/>
  <c r="K130" i="4" s="1"/>
  <c r="L129" i="4"/>
  <c r="M129" i="4" s="1"/>
  <c r="J129" i="4"/>
  <c r="K129" i="4" s="1"/>
  <c r="L128" i="4"/>
  <c r="M128" i="4" s="1"/>
  <c r="J128" i="4"/>
  <c r="K128" i="4" s="1"/>
  <c r="L127" i="4"/>
  <c r="M127" i="4" s="1"/>
  <c r="J127" i="4"/>
  <c r="K127" i="4" s="1"/>
  <c r="M126" i="4"/>
  <c r="L126" i="4"/>
  <c r="J126" i="4"/>
  <c r="K126" i="4" s="1"/>
  <c r="L125" i="4"/>
  <c r="M125" i="4" s="1"/>
  <c r="J125" i="4"/>
  <c r="K125" i="4" s="1"/>
  <c r="L124" i="4"/>
  <c r="M124" i="4" s="1"/>
  <c r="J124" i="4"/>
  <c r="K124" i="4" s="1"/>
  <c r="L123" i="4"/>
  <c r="M123" i="4" s="1"/>
  <c r="J123" i="4"/>
  <c r="K123" i="4" s="1"/>
  <c r="L122" i="4"/>
  <c r="M122" i="4" s="1"/>
  <c r="J122" i="4"/>
  <c r="K122" i="4" s="1"/>
  <c r="L121" i="4"/>
  <c r="M121" i="4" s="1"/>
  <c r="J121" i="4"/>
  <c r="K121" i="4" s="1"/>
  <c r="L120" i="4"/>
  <c r="M120" i="4" s="1"/>
  <c r="J120" i="4"/>
  <c r="K120" i="4" s="1"/>
  <c r="M111" i="4"/>
  <c r="J111" i="4"/>
  <c r="M110" i="4"/>
  <c r="J110" i="4"/>
  <c r="M109" i="4"/>
  <c r="J109" i="4"/>
  <c r="L108" i="4"/>
  <c r="M108" i="4" s="1"/>
  <c r="J108" i="4"/>
  <c r="K108" i="4" s="1"/>
  <c r="L269" i="4" l="1"/>
  <c r="M269" i="4" s="1"/>
  <c r="J269" i="4"/>
  <c r="K269" i="4" s="1"/>
  <c r="L268" i="4" l="1"/>
  <c r="M268" i="4" s="1"/>
  <c r="K268" i="4"/>
  <c r="J268" i="4"/>
  <c r="M119" i="4" l="1"/>
  <c r="K119" i="4"/>
  <c r="M118" i="4"/>
  <c r="L118" i="4"/>
  <c r="J118" i="4"/>
  <c r="K118" i="4" s="1"/>
  <c r="M117" i="4"/>
  <c r="J117" i="4"/>
  <c r="M116" i="4"/>
  <c r="J116" i="4"/>
  <c r="L115" i="4"/>
  <c r="M115" i="4" s="1"/>
  <c r="J115" i="4"/>
  <c r="K115" i="4" s="1"/>
  <c r="M114" i="4"/>
  <c r="J114" i="4"/>
  <c r="M113" i="4"/>
  <c r="J113" i="4"/>
  <c r="L112" i="4"/>
  <c r="M112" i="4" s="1"/>
  <c r="J112" i="4"/>
  <c r="K112" i="4" s="1"/>
  <c r="L107" i="4"/>
  <c r="M107" i="4" s="1"/>
  <c r="J107" i="4"/>
  <c r="K107" i="4" s="1"/>
  <c r="M106" i="4"/>
  <c r="J106" i="4"/>
  <c r="M105" i="4"/>
  <c r="J105" i="4"/>
  <c r="M104" i="4"/>
  <c r="J104" i="4"/>
  <c r="L103" i="4"/>
  <c r="M103" i="4" s="1"/>
  <c r="J103" i="4"/>
  <c r="K103" i="4" s="1"/>
  <c r="M267" i="4" l="1"/>
  <c r="J267" i="4"/>
  <c r="M266" i="4"/>
  <c r="J266" i="4"/>
  <c r="M265" i="4"/>
  <c r="J265" i="4"/>
  <c r="L264" i="4"/>
  <c r="M264" i="4" s="1"/>
  <c r="J264" i="4"/>
  <c r="K264" i="4" s="1"/>
  <c r="L102" i="4" l="1"/>
  <c r="M102" i="4" s="1"/>
  <c r="J102" i="4"/>
  <c r="K102" i="4" s="1"/>
  <c r="L101" i="4"/>
  <c r="M101" i="4" s="1"/>
  <c r="J101" i="4"/>
  <c r="K101" i="4" s="1"/>
  <c r="L100" i="4"/>
  <c r="M100" i="4" s="1"/>
  <c r="J100" i="4"/>
  <c r="K100" i="4" s="1"/>
  <c r="L99" i="4"/>
  <c r="M99" i="4" s="1"/>
  <c r="J99" i="4"/>
  <c r="K99" i="4" s="1"/>
  <c r="L98" i="4"/>
  <c r="M98" i="4" s="1"/>
  <c r="J98" i="4"/>
  <c r="K98" i="4" s="1"/>
  <c r="L97" i="4"/>
  <c r="M97" i="4" s="1"/>
  <c r="J97" i="4"/>
  <c r="K97" i="4" s="1"/>
  <c r="L96" i="4"/>
  <c r="M96" i="4" s="1"/>
  <c r="J96" i="4"/>
  <c r="K96" i="4" s="1"/>
  <c r="L95" i="4"/>
  <c r="M95" i="4" s="1"/>
  <c r="J95" i="4"/>
  <c r="K95" i="4" s="1"/>
  <c r="L94" i="4"/>
  <c r="M94" i="4" s="1"/>
  <c r="J94" i="4"/>
  <c r="K94" i="4" s="1"/>
  <c r="L93" i="4"/>
  <c r="M93" i="4" s="1"/>
  <c r="J93" i="4"/>
  <c r="K93" i="4" s="1"/>
  <c r="L92" i="4"/>
  <c r="M92" i="4" s="1"/>
  <c r="J92" i="4"/>
  <c r="K92" i="4" s="1"/>
  <c r="L91" i="4"/>
  <c r="M91" i="4" s="1"/>
  <c r="J91" i="4"/>
  <c r="K91" i="4" s="1"/>
  <c r="L90" i="4"/>
  <c r="M90" i="4" s="1"/>
  <c r="J90" i="4"/>
  <c r="K90" i="4" s="1"/>
  <c r="L89" i="4"/>
  <c r="M89" i="4" s="1"/>
  <c r="J89" i="4"/>
  <c r="K89" i="4" s="1"/>
  <c r="L88" i="4"/>
  <c r="M88" i="4" s="1"/>
  <c r="J88" i="4"/>
  <c r="K88" i="4" s="1"/>
  <c r="L87" i="4"/>
  <c r="M87" i="4" s="1"/>
  <c r="J87" i="4"/>
  <c r="K87" i="4" s="1"/>
  <c r="L86" i="4"/>
  <c r="M86" i="4" s="1"/>
  <c r="J86" i="4"/>
  <c r="K86" i="4" s="1"/>
  <c r="L85" i="4"/>
  <c r="M85" i="4" s="1"/>
  <c r="J85" i="4"/>
  <c r="K85" i="4" s="1"/>
  <c r="L84" i="4"/>
  <c r="M84" i="4" s="1"/>
  <c r="J84" i="4"/>
  <c r="K84" i="4" s="1"/>
  <c r="L83" i="4"/>
  <c r="M83" i="4" s="1"/>
  <c r="J83" i="4"/>
  <c r="K83" i="4" s="1"/>
  <c r="L82" i="4"/>
  <c r="M82" i="4" s="1"/>
  <c r="J82" i="4"/>
  <c r="K82" i="4" s="1"/>
  <c r="L81" i="4"/>
  <c r="M81" i="4" s="1"/>
  <c r="J81" i="4"/>
  <c r="K81" i="4" s="1"/>
  <c r="L80" i="4"/>
  <c r="M80" i="4" s="1"/>
  <c r="J80" i="4"/>
  <c r="K80" i="4" s="1"/>
  <c r="L79" i="4"/>
  <c r="M79" i="4" s="1"/>
  <c r="J79" i="4"/>
  <c r="K79" i="4" s="1"/>
  <c r="L78" i="4"/>
  <c r="M78" i="4" s="1"/>
  <c r="J78" i="4"/>
  <c r="K78" i="4" s="1"/>
  <c r="L77" i="4"/>
  <c r="M77" i="4" s="1"/>
  <c r="J77" i="4"/>
  <c r="K77" i="4" s="1"/>
  <c r="L76" i="4"/>
  <c r="M76" i="4" s="1"/>
  <c r="J76" i="4"/>
  <c r="K76" i="4" s="1"/>
  <c r="L75" i="4"/>
  <c r="M75" i="4" s="1"/>
  <c r="J75" i="4"/>
  <c r="K75" i="4" s="1"/>
  <c r="L74" i="4"/>
  <c r="M74" i="4" s="1"/>
  <c r="J74" i="4"/>
  <c r="K74" i="4" s="1"/>
  <c r="L73" i="4"/>
  <c r="M73" i="4" s="1"/>
  <c r="J73" i="4"/>
  <c r="K73" i="4" s="1"/>
  <c r="L72" i="4" l="1"/>
  <c r="M72" i="4" s="1"/>
  <c r="J72" i="4"/>
  <c r="K72" i="4" s="1"/>
  <c r="L71" i="4"/>
  <c r="M71" i="4" s="1"/>
  <c r="J71" i="4"/>
  <c r="K71" i="4" s="1"/>
  <c r="L70" i="4"/>
  <c r="M70" i="4" s="1"/>
  <c r="J70" i="4"/>
  <c r="K70" i="4" s="1"/>
  <c r="L69" i="4"/>
  <c r="M69" i="4" s="1"/>
  <c r="J69" i="4"/>
  <c r="K69" i="4" s="1"/>
  <c r="L68" i="4"/>
  <c r="M68" i="4" s="1"/>
  <c r="J68" i="4"/>
  <c r="K68" i="4" s="1"/>
  <c r="L67" i="4"/>
  <c r="M67" i="4" s="1"/>
  <c r="J67" i="4"/>
  <c r="K67" i="4" s="1"/>
  <c r="L66" i="4"/>
  <c r="M66" i="4" s="1"/>
  <c r="J66" i="4"/>
  <c r="K66" i="4" s="1"/>
  <c r="L65" i="4"/>
  <c r="M65" i="4" s="1"/>
  <c r="J65" i="4"/>
  <c r="K65" i="4" s="1"/>
  <c r="L64" i="4"/>
  <c r="M64" i="4" s="1"/>
  <c r="J64" i="4"/>
  <c r="K64" i="4" s="1"/>
  <c r="L63" i="4"/>
  <c r="M63" i="4" s="1"/>
  <c r="J63" i="4"/>
  <c r="K63" i="4" s="1"/>
  <c r="L62" i="4"/>
  <c r="M62" i="4" s="1"/>
  <c r="J62" i="4"/>
  <c r="K62" i="4" s="1"/>
  <c r="L61" i="4"/>
  <c r="M61" i="4" s="1"/>
  <c r="J61" i="4"/>
  <c r="K61" i="4" s="1"/>
  <c r="L60" i="4"/>
  <c r="M60" i="4" s="1"/>
  <c r="J60" i="4"/>
  <c r="K60" i="4" s="1"/>
  <c r="L59" i="4"/>
  <c r="M59" i="4" s="1"/>
  <c r="J59" i="4"/>
  <c r="K59" i="4" s="1"/>
  <c r="L58" i="4"/>
  <c r="M58" i="4" s="1"/>
  <c r="J58" i="4"/>
  <c r="K58" i="4" s="1"/>
  <c r="L57" i="4"/>
  <c r="M57" i="4" s="1"/>
  <c r="J57" i="4"/>
  <c r="K57" i="4" s="1"/>
  <c r="L56" i="4"/>
  <c r="M56" i="4" s="1"/>
  <c r="J56" i="4"/>
  <c r="K56" i="4" s="1"/>
  <c r="L55" i="4"/>
  <c r="M55" i="4" s="1"/>
  <c r="J55" i="4"/>
  <c r="K55" i="4" s="1"/>
  <c r="L54" i="4"/>
  <c r="M54" i="4" s="1"/>
  <c r="J54" i="4"/>
  <c r="K54" i="4" s="1"/>
  <c r="L53" i="4"/>
  <c r="M53" i="4" s="1"/>
  <c r="J53" i="4"/>
  <c r="K53" i="4" s="1"/>
  <c r="M52" i="4"/>
  <c r="J52" i="4"/>
  <c r="M51" i="4"/>
  <c r="J51" i="4"/>
  <c r="L50" i="4"/>
  <c r="M50" i="4" s="1"/>
  <c r="J50" i="4"/>
  <c r="K50" i="4" s="1"/>
  <c r="L49" i="4"/>
  <c r="M49" i="4" s="1"/>
  <c r="J49" i="4"/>
  <c r="K49" i="4" s="1"/>
  <c r="L48" i="4" l="1"/>
  <c r="M48" i="4" s="1"/>
  <c r="J48" i="4"/>
  <c r="K48" i="4" s="1"/>
  <c r="L47" i="4"/>
  <c r="M47" i="4" s="1"/>
  <c r="J47" i="4"/>
  <c r="K47" i="4" s="1"/>
  <c r="L46" i="4"/>
  <c r="M46" i="4" s="1"/>
  <c r="J46" i="4"/>
  <c r="K46" i="4" s="1"/>
  <c r="L45" i="4"/>
  <c r="M45" i="4" s="1"/>
  <c r="J45" i="4"/>
  <c r="K45" i="4" s="1"/>
  <c r="L44" i="4"/>
  <c r="M44" i="4" s="1"/>
  <c r="J44" i="4"/>
  <c r="K44" i="4" s="1"/>
  <c r="M43" i="4" l="1"/>
  <c r="J43" i="4"/>
  <c r="M42" i="4"/>
  <c r="J42" i="4"/>
  <c r="M41" i="4"/>
  <c r="J41" i="4"/>
  <c r="L40" i="4"/>
  <c r="M40" i="4" s="1"/>
  <c r="J40" i="4"/>
  <c r="K40" i="4" s="1"/>
  <c r="M39" i="4"/>
  <c r="J39" i="4"/>
  <c r="M38" i="4"/>
  <c r="J38" i="4"/>
  <c r="M37" i="4"/>
  <c r="J37" i="4"/>
  <c r="L36" i="4"/>
  <c r="M36" i="4" s="1"/>
  <c r="J36" i="4"/>
  <c r="K36" i="4" s="1"/>
  <c r="M35" i="4"/>
  <c r="J35" i="4"/>
  <c r="M34" i="4"/>
  <c r="J34" i="4"/>
  <c r="M33" i="4"/>
  <c r="J33" i="4"/>
  <c r="L32" i="4"/>
  <c r="M32" i="4" s="1"/>
  <c r="J32" i="4"/>
  <c r="K32" i="4" s="1"/>
  <c r="M31" i="4"/>
  <c r="J31" i="4"/>
  <c r="M30" i="4"/>
  <c r="J30" i="4"/>
  <c r="L29" i="4"/>
  <c r="M29" i="4" s="1"/>
  <c r="J29" i="4"/>
  <c r="K29" i="4" s="1"/>
  <c r="M28" i="4"/>
  <c r="J28" i="4"/>
  <c r="M27" i="4"/>
  <c r="J27" i="4"/>
  <c r="L26" i="4"/>
  <c r="M26" i="4" s="1"/>
  <c r="J26" i="4"/>
  <c r="K26" i="4" s="1"/>
  <c r="M25" i="4"/>
  <c r="J25" i="4"/>
  <c r="M24" i="4"/>
  <c r="J24" i="4"/>
  <c r="L23" i="4"/>
  <c r="M23" i="4" s="1"/>
  <c r="J23" i="4"/>
  <c r="K23" i="4" s="1"/>
  <c r="M22" i="4"/>
  <c r="J22" i="4"/>
  <c r="M21" i="4"/>
  <c r="J21" i="4"/>
  <c r="L20" i="4"/>
  <c r="M20" i="4" s="1"/>
  <c r="J20" i="4"/>
  <c r="K20" i="4" s="1"/>
  <c r="M19" i="4"/>
  <c r="J19" i="4"/>
  <c r="M18" i="4"/>
  <c r="J18" i="4"/>
  <c r="L17" i="4"/>
  <c r="M17" i="4" s="1"/>
  <c r="J17" i="4"/>
  <c r="K17" i="4" s="1"/>
  <c r="M16" i="4"/>
  <c r="J16" i="4"/>
  <c r="M15" i="4"/>
  <c r="J15" i="4"/>
  <c r="L14" i="4"/>
  <c r="M14" i="4" s="1"/>
  <c r="J14" i="4"/>
  <c r="K14" i="4" s="1"/>
  <c r="M13" i="4"/>
  <c r="J13" i="4"/>
  <c r="M12" i="4"/>
  <c r="J12" i="4"/>
  <c r="L11" i="4"/>
  <c r="M11" i="4" s="1"/>
  <c r="J11" i="4"/>
  <c r="K11" i="4" s="1"/>
  <c r="M10" i="4"/>
  <c r="J10" i="4"/>
  <c r="M9" i="4"/>
  <c r="J9" i="4"/>
  <c r="L8" i="4"/>
  <c r="M8" i="4" s="1"/>
  <c r="J8" i="4"/>
  <c r="K8" i="4" s="1"/>
  <c r="M7" i="4"/>
  <c r="J7" i="4"/>
  <c r="M6" i="4"/>
  <c r="J6" i="4"/>
  <c r="L5" i="4"/>
  <c r="M5" i="4" s="1"/>
  <c r="J5" i="4"/>
  <c r="K5" i="4" s="1"/>
  <c r="M4" i="4"/>
  <c r="J4" i="4"/>
  <c r="M3" i="4"/>
  <c r="J3" i="4"/>
  <c r="L2" i="4"/>
  <c r="M2" i="4" s="1"/>
  <c r="J2" i="4"/>
  <c r="K2" i="4" s="1"/>
  <c r="L351" i="3" l="1"/>
  <c r="M351" i="3" s="1"/>
  <c r="J351" i="3"/>
  <c r="K351" i="3" s="1"/>
  <c r="M350" i="3" l="1"/>
  <c r="K350" i="3"/>
  <c r="L349" i="3"/>
  <c r="M349" i="3" s="1"/>
  <c r="J349" i="3"/>
  <c r="K349" i="3" s="1"/>
  <c r="M287" i="3" l="1"/>
  <c r="K287" i="3"/>
  <c r="L286" i="3"/>
  <c r="M286" i="3" s="1"/>
  <c r="J286" i="3"/>
  <c r="K286" i="3" s="1"/>
  <c r="M285" i="3"/>
  <c r="K285" i="3"/>
  <c r="L284" i="3"/>
  <c r="M284" i="3" s="1"/>
  <c r="J284" i="3"/>
  <c r="K284" i="3" s="1"/>
  <c r="M283" i="3"/>
  <c r="K283" i="3"/>
  <c r="L282" i="3"/>
  <c r="M282" i="3" s="1"/>
  <c r="J282" i="3"/>
  <c r="K282" i="3" s="1"/>
  <c r="M281" i="3"/>
  <c r="K281" i="3"/>
  <c r="L280" i="3"/>
  <c r="M280" i="3" s="1"/>
  <c r="J280" i="3"/>
  <c r="K280" i="3" s="1"/>
  <c r="M279" i="3"/>
  <c r="K279" i="3"/>
  <c r="L278" i="3"/>
  <c r="M278" i="3" s="1"/>
  <c r="J278" i="3"/>
  <c r="K278" i="3" s="1"/>
  <c r="M277" i="3"/>
  <c r="K277" i="3"/>
  <c r="M276" i="3"/>
  <c r="L276" i="3"/>
  <c r="J276" i="3"/>
  <c r="K276" i="3" s="1"/>
  <c r="M275" i="3"/>
  <c r="K275" i="3"/>
  <c r="L274" i="3"/>
  <c r="M274" i="3" s="1"/>
  <c r="J274" i="3"/>
  <c r="K274" i="3" s="1"/>
  <c r="M273" i="3"/>
  <c r="K273" i="3"/>
  <c r="L272" i="3"/>
  <c r="M272" i="3" s="1"/>
  <c r="J272" i="3"/>
  <c r="K272" i="3" s="1"/>
  <c r="M271" i="3"/>
  <c r="K271" i="3"/>
  <c r="L270" i="3"/>
  <c r="M270" i="3" s="1"/>
  <c r="J270" i="3"/>
  <c r="K270" i="3" s="1"/>
  <c r="M269" i="3"/>
  <c r="K269" i="3"/>
  <c r="L268" i="3"/>
  <c r="M268" i="3" s="1"/>
  <c r="J268" i="3"/>
  <c r="K268" i="3" s="1"/>
  <c r="M267" i="3"/>
  <c r="K267" i="3"/>
  <c r="L266" i="3"/>
  <c r="M266" i="3" s="1"/>
  <c r="J266" i="3"/>
  <c r="K266" i="3" s="1"/>
  <c r="M265" i="3"/>
  <c r="K265" i="3"/>
  <c r="L264" i="3"/>
  <c r="M264" i="3" s="1"/>
  <c r="J264" i="3"/>
  <c r="K264" i="3" s="1"/>
  <c r="M263" i="3"/>
  <c r="K263" i="3"/>
  <c r="L262" i="3"/>
  <c r="M262" i="3" s="1"/>
  <c r="J262" i="3"/>
  <c r="K262" i="3" s="1"/>
  <c r="M261" i="3"/>
  <c r="K261" i="3"/>
  <c r="L260" i="3"/>
  <c r="M260" i="3" s="1"/>
  <c r="J260" i="3"/>
  <c r="K260" i="3" s="1"/>
  <c r="M259" i="3"/>
  <c r="K259" i="3"/>
  <c r="L258" i="3"/>
  <c r="M258" i="3" s="1"/>
  <c r="J258" i="3"/>
  <c r="K258" i="3" s="1"/>
  <c r="M257" i="3"/>
  <c r="K257" i="3"/>
  <c r="L256" i="3"/>
  <c r="M256" i="3" s="1"/>
  <c r="J256" i="3"/>
  <c r="K256" i="3" s="1"/>
  <c r="M255" i="3"/>
  <c r="K255" i="3"/>
  <c r="L254" i="3"/>
  <c r="M254" i="3" s="1"/>
  <c r="J254" i="3"/>
  <c r="K254" i="3" s="1"/>
  <c r="M253" i="3"/>
  <c r="K253" i="3"/>
  <c r="L252" i="3"/>
  <c r="M252" i="3" s="1"/>
  <c r="J252" i="3"/>
  <c r="K252" i="3" s="1"/>
  <c r="M251" i="3"/>
  <c r="K251" i="3"/>
  <c r="L250" i="3"/>
  <c r="M250" i="3" s="1"/>
  <c r="J250" i="3"/>
  <c r="K250" i="3" s="1"/>
  <c r="M249" i="3"/>
  <c r="K249" i="3"/>
  <c r="L248" i="3"/>
  <c r="M248" i="3" s="1"/>
  <c r="J248" i="3"/>
  <c r="K248" i="3" s="1"/>
  <c r="M247" i="3"/>
  <c r="K247" i="3"/>
  <c r="L246" i="3"/>
  <c r="M246" i="3" s="1"/>
  <c r="J246" i="3"/>
  <c r="K246" i="3" s="1"/>
  <c r="M245" i="3"/>
  <c r="K245" i="3"/>
  <c r="M244" i="3"/>
  <c r="L244" i="3"/>
  <c r="J244" i="3"/>
  <c r="K244" i="3" s="1"/>
  <c r="M243" i="3"/>
  <c r="K243" i="3"/>
  <c r="L242" i="3"/>
  <c r="M242" i="3" s="1"/>
  <c r="J242" i="3"/>
  <c r="K242" i="3" s="1"/>
  <c r="M241" i="3"/>
  <c r="K241" i="3"/>
  <c r="L240" i="3"/>
  <c r="M240" i="3" s="1"/>
  <c r="J240" i="3"/>
  <c r="K240" i="3" s="1"/>
  <c r="M239" i="3"/>
  <c r="K239" i="3"/>
  <c r="L238" i="3"/>
  <c r="M238" i="3" s="1"/>
  <c r="J238" i="3"/>
  <c r="K238" i="3" s="1"/>
  <c r="M237" i="3" l="1"/>
  <c r="K237" i="3"/>
  <c r="L236" i="3"/>
  <c r="M236" i="3" s="1"/>
  <c r="J236" i="3"/>
  <c r="K236" i="3" s="1"/>
  <c r="M235" i="3"/>
  <c r="K235" i="3"/>
  <c r="L234" i="3"/>
  <c r="M234" i="3" s="1"/>
  <c r="K234" i="3"/>
  <c r="J234" i="3"/>
  <c r="L233" i="3"/>
  <c r="M233" i="3" s="1"/>
  <c r="J233" i="3"/>
  <c r="K233" i="3" s="1"/>
  <c r="L232" i="3"/>
  <c r="M232" i="3" s="1"/>
  <c r="J232" i="3"/>
  <c r="K232" i="3" s="1"/>
  <c r="L231" i="3"/>
  <c r="M231" i="3" s="1"/>
  <c r="J231" i="3"/>
  <c r="K231" i="3" s="1"/>
  <c r="L230" i="3"/>
  <c r="M230" i="3" s="1"/>
  <c r="J230" i="3"/>
  <c r="K230" i="3" s="1"/>
  <c r="L229" i="3"/>
  <c r="M229" i="3" s="1"/>
  <c r="J229" i="3"/>
  <c r="K229" i="3" s="1"/>
  <c r="L228" i="3"/>
  <c r="M228" i="3" s="1"/>
  <c r="J228" i="3"/>
  <c r="K228" i="3" s="1"/>
  <c r="L227" i="3"/>
  <c r="M227" i="3" s="1"/>
  <c r="J227" i="3"/>
  <c r="K227" i="3" s="1"/>
  <c r="L226" i="3"/>
  <c r="M226" i="3" s="1"/>
  <c r="J226" i="3"/>
  <c r="K226" i="3" s="1"/>
  <c r="L225" i="3"/>
  <c r="M225" i="3" s="1"/>
  <c r="J225" i="3"/>
  <c r="K225" i="3" s="1"/>
  <c r="L224" i="3"/>
  <c r="M224" i="3" s="1"/>
  <c r="J224" i="3"/>
  <c r="K224" i="3" s="1"/>
  <c r="L223" i="3"/>
  <c r="M223" i="3" s="1"/>
  <c r="J223" i="3"/>
  <c r="K223" i="3" s="1"/>
  <c r="L222" i="3"/>
  <c r="M222" i="3" s="1"/>
  <c r="J222" i="3"/>
  <c r="K222" i="3" s="1"/>
  <c r="L221" i="3"/>
  <c r="M221" i="3" s="1"/>
  <c r="J221" i="3"/>
  <c r="K221" i="3" s="1"/>
  <c r="L220" i="3"/>
  <c r="M220" i="3" s="1"/>
  <c r="J220" i="3"/>
  <c r="K220" i="3" s="1"/>
  <c r="L219" i="3"/>
  <c r="M219" i="3" s="1"/>
  <c r="J219" i="3"/>
  <c r="K219" i="3" s="1"/>
  <c r="M218" i="3"/>
  <c r="L218" i="3"/>
  <c r="J218" i="3"/>
  <c r="K218" i="3" s="1"/>
  <c r="M217" i="3"/>
  <c r="L217" i="3"/>
  <c r="J217" i="3"/>
  <c r="K217" i="3" s="1"/>
  <c r="L216" i="3"/>
  <c r="M216" i="3" s="1"/>
  <c r="J216" i="3"/>
  <c r="K216" i="3" s="1"/>
  <c r="L215" i="3"/>
  <c r="M215" i="3" s="1"/>
  <c r="J215" i="3"/>
  <c r="K215" i="3" s="1"/>
  <c r="L214" i="3"/>
  <c r="M214" i="3" s="1"/>
  <c r="J214" i="3"/>
  <c r="K214" i="3" s="1"/>
  <c r="L213" i="3"/>
  <c r="M213" i="3" s="1"/>
  <c r="J213" i="3"/>
  <c r="K213" i="3" s="1"/>
  <c r="L212" i="3"/>
  <c r="M212" i="3" s="1"/>
  <c r="J212" i="3"/>
  <c r="K212" i="3" s="1"/>
  <c r="L211" i="3"/>
  <c r="M211" i="3" s="1"/>
  <c r="J211" i="3"/>
  <c r="K211" i="3" s="1"/>
  <c r="M210" i="3"/>
  <c r="L210" i="3"/>
  <c r="J210" i="3"/>
  <c r="K210" i="3" s="1"/>
  <c r="L209" i="3"/>
  <c r="M209" i="3" s="1"/>
  <c r="J209" i="3"/>
  <c r="K209" i="3" s="1"/>
  <c r="L208" i="3"/>
  <c r="M208" i="3" s="1"/>
  <c r="J208" i="3"/>
  <c r="K208" i="3" s="1"/>
  <c r="L207" i="3"/>
  <c r="M207" i="3" s="1"/>
  <c r="J207" i="3"/>
  <c r="K207" i="3" s="1"/>
  <c r="L206" i="3"/>
  <c r="M206" i="3" s="1"/>
  <c r="J206" i="3"/>
  <c r="K206" i="3" s="1"/>
  <c r="L205" i="3"/>
  <c r="M205" i="3" s="1"/>
  <c r="J205" i="3"/>
  <c r="K205" i="3" s="1"/>
  <c r="L204" i="3"/>
  <c r="M204" i="3" s="1"/>
  <c r="J204" i="3"/>
  <c r="K204" i="3" s="1"/>
  <c r="L203" i="3"/>
  <c r="M203" i="3" s="1"/>
  <c r="J203" i="3"/>
  <c r="K203" i="3" s="1"/>
  <c r="L202" i="3"/>
  <c r="M202" i="3" s="1"/>
  <c r="J202" i="3"/>
  <c r="K202" i="3" s="1"/>
  <c r="L201" i="3"/>
  <c r="M201" i="3" s="1"/>
  <c r="J201" i="3"/>
  <c r="K201" i="3" s="1"/>
  <c r="L200" i="3"/>
  <c r="M200" i="3" s="1"/>
  <c r="J200" i="3"/>
  <c r="K200" i="3" s="1"/>
  <c r="L199" i="3"/>
  <c r="M199" i="3" s="1"/>
  <c r="J199" i="3"/>
  <c r="K199" i="3" s="1"/>
  <c r="L198" i="3"/>
  <c r="M198" i="3" s="1"/>
  <c r="J198" i="3"/>
  <c r="K198" i="3" s="1"/>
  <c r="L197" i="3"/>
  <c r="M197" i="3" s="1"/>
  <c r="J197" i="3"/>
  <c r="K197" i="3" s="1"/>
  <c r="L196" i="3"/>
  <c r="M196" i="3" s="1"/>
  <c r="J196" i="3"/>
  <c r="K196" i="3" s="1"/>
  <c r="L195" i="3"/>
  <c r="M195" i="3" s="1"/>
  <c r="J195" i="3"/>
  <c r="K195" i="3" s="1"/>
  <c r="L194" i="3"/>
  <c r="M194" i="3" s="1"/>
  <c r="J194" i="3"/>
  <c r="K194" i="3" s="1"/>
  <c r="L193" i="3"/>
  <c r="M193" i="3" s="1"/>
  <c r="J193" i="3"/>
  <c r="K193" i="3" s="1"/>
  <c r="L192" i="3"/>
  <c r="M192" i="3" s="1"/>
  <c r="J192" i="3"/>
  <c r="K192" i="3" s="1"/>
  <c r="L191" i="3"/>
  <c r="M191" i="3" s="1"/>
  <c r="J191" i="3"/>
  <c r="K191" i="3" s="1"/>
  <c r="L190" i="3"/>
  <c r="M190" i="3" s="1"/>
  <c r="J190" i="3"/>
  <c r="K190" i="3" s="1"/>
  <c r="L189" i="3"/>
  <c r="M189" i="3" s="1"/>
  <c r="J189" i="3"/>
  <c r="K189" i="3" s="1"/>
  <c r="L188" i="3"/>
  <c r="M188" i="3" s="1"/>
  <c r="J188" i="3"/>
  <c r="K188" i="3" s="1"/>
  <c r="L187" i="3"/>
  <c r="M187" i="3" s="1"/>
  <c r="J187" i="3"/>
  <c r="K187" i="3" s="1"/>
  <c r="L186" i="3"/>
  <c r="M186" i="3" s="1"/>
  <c r="J186" i="3"/>
  <c r="K186" i="3" s="1"/>
  <c r="L185" i="3"/>
  <c r="M185" i="3" s="1"/>
  <c r="J185" i="3"/>
  <c r="K185" i="3" s="1"/>
  <c r="L184" i="3"/>
  <c r="M184" i="3" s="1"/>
  <c r="J184" i="3"/>
  <c r="K184" i="3" s="1"/>
  <c r="M183" i="3" l="1"/>
  <c r="K183" i="3"/>
  <c r="L182" i="3"/>
  <c r="M182" i="3" s="1"/>
  <c r="J182" i="3"/>
  <c r="K182" i="3" s="1"/>
  <c r="M181" i="3"/>
  <c r="K181" i="3"/>
  <c r="L180" i="3"/>
  <c r="M180" i="3" s="1"/>
  <c r="J180" i="3"/>
  <c r="K180" i="3" s="1"/>
  <c r="M179" i="3"/>
  <c r="K179" i="3"/>
  <c r="L178" i="3"/>
  <c r="M178" i="3" s="1"/>
  <c r="J178" i="3"/>
  <c r="K178" i="3" s="1"/>
  <c r="M177" i="3"/>
  <c r="K177" i="3"/>
  <c r="L176" i="3"/>
  <c r="M176" i="3" s="1"/>
  <c r="J176" i="3"/>
  <c r="K176" i="3" s="1"/>
  <c r="M175" i="3"/>
  <c r="K175" i="3"/>
  <c r="L174" i="3"/>
  <c r="M174" i="3" s="1"/>
  <c r="J174" i="3"/>
  <c r="K174" i="3" s="1"/>
  <c r="M173" i="3"/>
  <c r="K173" i="3"/>
  <c r="L172" i="3"/>
  <c r="M172" i="3" s="1"/>
  <c r="J172" i="3"/>
  <c r="K172" i="3" s="1"/>
  <c r="M171" i="3"/>
  <c r="K171" i="3"/>
  <c r="L170" i="3"/>
  <c r="M170" i="3" s="1"/>
  <c r="J170" i="3"/>
  <c r="K170" i="3" s="1"/>
  <c r="M169" i="3"/>
  <c r="K169" i="3"/>
  <c r="L168" i="3"/>
  <c r="M168" i="3" s="1"/>
  <c r="J168" i="3"/>
  <c r="K168" i="3" s="1"/>
  <c r="M167" i="3"/>
  <c r="K167" i="3"/>
  <c r="L166" i="3"/>
  <c r="M166" i="3" s="1"/>
  <c r="J166" i="3"/>
  <c r="K166" i="3" s="1"/>
  <c r="M165" i="3"/>
  <c r="K165" i="3"/>
  <c r="L164" i="3"/>
  <c r="M164" i="3" s="1"/>
  <c r="J164" i="3"/>
  <c r="K164" i="3" s="1"/>
  <c r="M163" i="3"/>
  <c r="K163" i="3"/>
  <c r="L162" i="3"/>
  <c r="M162" i="3" s="1"/>
  <c r="J162" i="3"/>
  <c r="K162" i="3" s="1"/>
  <c r="M161" i="3"/>
  <c r="K161" i="3"/>
  <c r="L160" i="3"/>
  <c r="M160" i="3" s="1"/>
  <c r="J160" i="3"/>
  <c r="K160" i="3" s="1"/>
  <c r="M159" i="3"/>
  <c r="K159" i="3"/>
  <c r="L158" i="3"/>
  <c r="M158" i="3" s="1"/>
  <c r="J158" i="3"/>
  <c r="K158" i="3" s="1"/>
  <c r="M157" i="3"/>
  <c r="K157" i="3"/>
  <c r="L156" i="3"/>
  <c r="M156" i="3" s="1"/>
  <c r="J156" i="3"/>
  <c r="K156" i="3" s="1"/>
  <c r="M155" i="3"/>
  <c r="K155" i="3"/>
  <c r="L154" i="3"/>
  <c r="M154" i="3" s="1"/>
  <c r="J154" i="3"/>
  <c r="K154" i="3" s="1"/>
  <c r="M153" i="3"/>
  <c r="K153" i="3"/>
  <c r="L152" i="3"/>
  <c r="M152" i="3" s="1"/>
  <c r="J152" i="3"/>
  <c r="K152" i="3" s="1"/>
  <c r="M151" i="3"/>
  <c r="K151" i="3"/>
  <c r="L150" i="3"/>
  <c r="M150" i="3" s="1"/>
  <c r="J150" i="3"/>
  <c r="K150" i="3" s="1"/>
  <c r="M149" i="3"/>
  <c r="K149" i="3"/>
  <c r="L148" i="3"/>
  <c r="M148" i="3" s="1"/>
  <c r="J148" i="3"/>
  <c r="K148" i="3" s="1"/>
  <c r="M147" i="3"/>
  <c r="K147" i="3"/>
  <c r="L146" i="3"/>
  <c r="M146" i="3" s="1"/>
  <c r="J146" i="3"/>
  <c r="K146" i="3" s="1"/>
  <c r="M145" i="3"/>
  <c r="K145" i="3"/>
  <c r="L144" i="3"/>
  <c r="M144" i="3" s="1"/>
  <c r="J144" i="3"/>
  <c r="K144" i="3" s="1"/>
  <c r="L143" i="3" l="1"/>
  <c r="M143" i="3" s="1"/>
  <c r="J143" i="3"/>
  <c r="K143" i="3" s="1"/>
  <c r="L142" i="3"/>
  <c r="M142" i="3" s="1"/>
  <c r="J142" i="3"/>
  <c r="K142" i="3" s="1"/>
  <c r="L141" i="3" l="1"/>
  <c r="M141" i="3" s="1"/>
  <c r="J141" i="3"/>
  <c r="K141" i="3" s="1"/>
  <c r="L140" i="3"/>
  <c r="M140" i="3" s="1"/>
  <c r="J140" i="3"/>
  <c r="K140" i="3" s="1"/>
  <c r="L139" i="3"/>
  <c r="M139" i="3" s="1"/>
  <c r="J139" i="3"/>
  <c r="K139" i="3" s="1"/>
  <c r="L138" i="3"/>
  <c r="M138" i="3" s="1"/>
  <c r="J138" i="3"/>
  <c r="K138" i="3" s="1"/>
  <c r="L137" i="3"/>
  <c r="M137" i="3" s="1"/>
  <c r="J137" i="3"/>
  <c r="K137" i="3" s="1"/>
  <c r="L136" i="3"/>
  <c r="M136" i="3" s="1"/>
  <c r="J136" i="3"/>
  <c r="K136" i="3" s="1"/>
  <c r="L135" i="3"/>
  <c r="M135" i="3" s="1"/>
  <c r="J135" i="3"/>
  <c r="K135" i="3" s="1"/>
  <c r="L134" i="3"/>
  <c r="M134" i="3" s="1"/>
  <c r="J134" i="3"/>
  <c r="K134" i="3" s="1"/>
  <c r="L133" i="3"/>
  <c r="M133" i="3" s="1"/>
  <c r="J133" i="3"/>
  <c r="K133" i="3" s="1"/>
  <c r="L132" i="3"/>
  <c r="M132" i="3" s="1"/>
  <c r="J132" i="3"/>
  <c r="K132" i="3" s="1"/>
  <c r="L131" i="3"/>
  <c r="M131" i="3" s="1"/>
  <c r="J131" i="3"/>
  <c r="K131" i="3" s="1"/>
  <c r="L130" i="3"/>
  <c r="M130" i="3" s="1"/>
  <c r="J130" i="3"/>
  <c r="K130" i="3" s="1"/>
  <c r="L129" i="3"/>
  <c r="M129" i="3" s="1"/>
  <c r="J129" i="3"/>
  <c r="K129" i="3" s="1"/>
  <c r="L128" i="3"/>
  <c r="M128" i="3" s="1"/>
  <c r="J128" i="3"/>
  <c r="K128" i="3" s="1"/>
  <c r="L127" i="3"/>
  <c r="M127" i="3" s="1"/>
  <c r="J127" i="3"/>
  <c r="K127" i="3" s="1"/>
  <c r="L126" i="3"/>
  <c r="M126" i="3" s="1"/>
  <c r="J126" i="3"/>
  <c r="K126" i="3" s="1"/>
  <c r="L125" i="3"/>
  <c r="M125" i="3" s="1"/>
  <c r="J125" i="3"/>
  <c r="K125" i="3" s="1"/>
  <c r="L124" i="3"/>
  <c r="M124" i="3" s="1"/>
  <c r="J124" i="3"/>
  <c r="K124" i="3" s="1"/>
  <c r="L123" i="3"/>
  <c r="M123" i="3" s="1"/>
  <c r="J123" i="3"/>
  <c r="K123" i="3" s="1"/>
  <c r="L122" i="3"/>
  <c r="M122" i="3" s="1"/>
  <c r="J122" i="3"/>
  <c r="K122" i="3" s="1"/>
  <c r="L121" i="3"/>
  <c r="M121" i="3" s="1"/>
  <c r="J121" i="3"/>
  <c r="K121" i="3" s="1"/>
  <c r="L120" i="3"/>
  <c r="M120" i="3" s="1"/>
  <c r="J120" i="3"/>
  <c r="K120" i="3" s="1"/>
  <c r="L119" i="3"/>
  <c r="M119" i="3" s="1"/>
  <c r="J119" i="3"/>
  <c r="K119" i="3" s="1"/>
  <c r="L118" i="3"/>
  <c r="M118" i="3" s="1"/>
  <c r="J118" i="3"/>
  <c r="K118" i="3" s="1"/>
  <c r="L117" i="3"/>
  <c r="M117" i="3" s="1"/>
  <c r="J117" i="3"/>
  <c r="K117" i="3" s="1"/>
  <c r="L116" i="3" l="1"/>
  <c r="M116" i="3" s="1"/>
  <c r="J116" i="3"/>
  <c r="K116" i="3" s="1"/>
  <c r="L115" i="3"/>
  <c r="M115" i="3" s="1"/>
  <c r="J115" i="3"/>
  <c r="K115" i="3" s="1"/>
  <c r="L114" i="3"/>
  <c r="M114" i="3" s="1"/>
  <c r="J114" i="3"/>
  <c r="K114" i="3" s="1"/>
  <c r="L113" i="3"/>
  <c r="M113" i="3" s="1"/>
  <c r="J113" i="3"/>
  <c r="K113" i="3" s="1"/>
  <c r="L112" i="3"/>
  <c r="M112" i="3" s="1"/>
  <c r="J112" i="3"/>
  <c r="K112" i="3" s="1"/>
  <c r="L111" i="3"/>
  <c r="M111" i="3" s="1"/>
  <c r="J111" i="3"/>
  <c r="K111" i="3" s="1"/>
  <c r="L110" i="3"/>
  <c r="M110" i="3" s="1"/>
  <c r="J110" i="3"/>
  <c r="K110" i="3" s="1"/>
  <c r="L109" i="3"/>
  <c r="M109" i="3" s="1"/>
  <c r="J109" i="3"/>
  <c r="K109" i="3" s="1"/>
  <c r="L108" i="3"/>
  <c r="M108" i="3" s="1"/>
  <c r="J108" i="3"/>
  <c r="K108" i="3" s="1"/>
  <c r="L107" i="3"/>
  <c r="M107" i="3" s="1"/>
  <c r="J107" i="3"/>
  <c r="K107" i="3" s="1"/>
  <c r="L106" i="3"/>
  <c r="M106" i="3" s="1"/>
  <c r="J106" i="3"/>
  <c r="K106" i="3" s="1"/>
  <c r="L105" i="3"/>
  <c r="M105" i="3" s="1"/>
  <c r="J105" i="3"/>
  <c r="K105" i="3" s="1"/>
  <c r="L104" i="3"/>
  <c r="M104" i="3" s="1"/>
  <c r="J104" i="3"/>
  <c r="K104" i="3" s="1"/>
  <c r="L103" i="3"/>
  <c r="M103" i="3" s="1"/>
  <c r="J103" i="3"/>
  <c r="K103" i="3" s="1"/>
  <c r="L102" i="3"/>
  <c r="M102" i="3" s="1"/>
  <c r="J102" i="3"/>
  <c r="K102" i="3" s="1"/>
  <c r="L101" i="3"/>
  <c r="M101" i="3" s="1"/>
  <c r="J101" i="3"/>
  <c r="K101" i="3" s="1"/>
  <c r="L100" i="3"/>
  <c r="M100" i="3" s="1"/>
  <c r="J100" i="3"/>
  <c r="K100" i="3" s="1"/>
  <c r="L99" i="3"/>
  <c r="M99" i="3" s="1"/>
  <c r="J99" i="3"/>
  <c r="K99" i="3" s="1"/>
  <c r="L98" i="3"/>
  <c r="M98" i="3" s="1"/>
  <c r="J98" i="3"/>
  <c r="K98" i="3" s="1"/>
  <c r="L97" i="3"/>
  <c r="M97" i="3" s="1"/>
  <c r="J97" i="3"/>
  <c r="K97" i="3" s="1"/>
  <c r="L96" i="3"/>
  <c r="M96" i="3" s="1"/>
  <c r="J96" i="3"/>
  <c r="K96" i="3" s="1"/>
  <c r="L95" i="3"/>
  <c r="M95" i="3" s="1"/>
  <c r="J95" i="3"/>
  <c r="K95" i="3" s="1"/>
  <c r="L94" i="3"/>
  <c r="M94" i="3" s="1"/>
  <c r="J94" i="3"/>
  <c r="K94" i="3" s="1"/>
  <c r="M93" i="3"/>
  <c r="L93" i="3"/>
  <c r="J93" i="3"/>
  <c r="K93" i="3" s="1"/>
  <c r="L92" i="3"/>
  <c r="M92" i="3" s="1"/>
  <c r="J92" i="3"/>
  <c r="K92" i="3" s="1"/>
  <c r="L91" i="3"/>
  <c r="M91" i="3" s="1"/>
  <c r="J91" i="3"/>
  <c r="K91" i="3" s="1"/>
  <c r="L90" i="3"/>
  <c r="M90" i="3" s="1"/>
  <c r="J90" i="3"/>
  <c r="K90" i="3" s="1"/>
  <c r="L89" i="3"/>
  <c r="M89" i="3" s="1"/>
  <c r="J89" i="3"/>
  <c r="K89" i="3" s="1"/>
  <c r="L88" i="3"/>
  <c r="M88" i="3" s="1"/>
  <c r="J88" i="3"/>
  <c r="K88" i="3" s="1"/>
  <c r="L87" i="3"/>
  <c r="M87" i="3" s="1"/>
  <c r="J87" i="3"/>
  <c r="K87" i="3" s="1"/>
  <c r="L86" i="3" l="1"/>
  <c r="M86" i="3" s="1"/>
  <c r="J86" i="3"/>
  <c r="K86" i="3" s="1"/>
  <c r="L85" i="3"/>
  <c r="M85" i="3" s="1"/>
  <c r="J85" i="3"/>
  <c r="K85" i="3" s="1"/>
  <c r="L84" i="3"/>
  <c r="M84" i="3" s="1"/>
  <c r="J84" i="3"/>
  <c r="K84" i="3" s="1"/>
  <c r="L83" i="3"/>
  <c r="M83" i="3" s="1"/>
  <c r="J83" i="3"/>
  <c r="K83" i="3" s="1"/>
  <c r="L82" i="3"/>
  <c r="M82" i="3" s="1"/>
  <c r="J82" i="3"/>
  <c r="K82" i="3" s="1"/>
  <c r="L81" i="3"/>
  <c r="M81" i="3" s="1"/>
  <c r="J81" i="3"/>
  <c r="K81" i="3" s="1"/>
  <c r="L80" i="3"/>
  <c r="M80" i="3" s="1"/>
  <c r="J80" i="3"/>
  <c r="K80" i="3" s="1"/>
  <c r="L79" i="3"/>
  <c r="M79" i="3" s="1"/>
  <c r="J79" i="3"/>
  <c r="K79" i="3" s="1"/>
  <c r="L78" i="3"/>
  <c r="M78" i="3" s="1"/>
  <c r="J78" i="3"/>
  <c r="K78" i="3" s="1"/>
  <c r="L77" i="3"/>
  <c r="M77" i="3" s="1"/>
  <c r="J77" i="3"/>
  <c r="K77" i="3" s="1"/>
  <c r="L76" i="3"/>
  <c r="M76" i="3" s="1"/>
  <c r="J76" i="3"/>
  <c r="K76" i="3" s="1"/>
  <c r="L75" i="3"/>
  <c r="M75" i="3" s="1"/>
  <c r="J75" i="3"/>
  <c r="K75" i="3" s="1"/>
  <c r="L74" i="3"/>
  <c r="M74" i="3" s="1"/>
  <c r="J74" i="3"/>
  <c r="K74" i="3" s="1"/>
  <c r="L73" i="3"/>
  <c r="M73" i="3" s="1"/>
  <c r="J73" i="3"/>
  <c r="K73" i="3" s="1"/>
  <c r="L72" i="3"/>
  <c r="M72" i="3" s="1"/>
  <c r="J72" i="3"/>
  <c r="K72" i="3" s="1"/>
  <c r="L71" i="3"/>
  <c r="M71" i="3" s="1"/>
  <c r="J71" i="3"/>
  <c r="K71" i="3" s="1"/>
  <c r="L70" i="3"/>
  <c r="M70" i="3" s="1"/>
  <c r="J70" i="3"/>
  <c r="K70" i="3" s="1"/>
  <c r="L69" i="3"/>
  <c r="M69" i="3" s="1"/>
  <c r="J69" i="3"/>
  <c r="K69" i="3" s="1"/>
  <c r="L68" i="3"/>
  <c r="M68" i="3" s="1"/>
  <c r="J68" i="3"/>
  <c r="K68" i="3" s="1"/>
  <c r="L67" i="3"/>
  <c r="M67" i="3" s="1"/>
  <c r="J67" i="3"/>
  <c r="K67" i="3" s="1"/>
  <c r="L66" i="3"/>
  <c r="M66" i="3" s="1"/>
  <c r="J66" i="3"/>
  <c r="K66" i="3" s="1"/>
  <c r="L65" i="3"/>
  <c r="M65" i="3" s="1"/>
  <c r="J65" i="3"/>
  <c r="K65" i="3" s="1"/>
  <c r="L64" i="3"/>
  <c r="M64" i="3" s="1"/>
  <c r="J64" i="3"/>
  <c r="K64" i="3" s="1"/>
  <c r="L63" i="3"/>
  <c r="M63" i="3" s="1"/>
  <c r="J63" i="3"/>
  <c r="K63" i="3" s="1"/>
  <c r="M62" i="3"/>
  <c r="L62" i="3"/>
  <c r="J62" i="3"/>
  <c r="K62" i="3" s="1"/>
  <c r="L61" i="3"/>
  <c r="M61" i="3" s="1"/>
  <c r="J61" i="3"/>
  <c r="K61" i="3" s="1"/>
  <c r="L60" i="3"/>
  <c r="M60" i="3" s="1"/>
  <c r="J60" i="3"/>
  <c r="K60" i="3" s="1"/>
  <c r="L59" i="3"/>
  <c r="M59" i="3" s="1"/>
  <c r="J59" i="3"/>
  <c r="K59" i="3" s="1"/>
  <c r="L58" i="3"/>
  <c r="M58" i="3" s="1"/>
  <c r="J58" i="3"/>
  <c r="K58" i="3" s="1"/>
  <c r="L57" i="3"/>
  <c r="M57" i="3" s="1"/>
  <c r="J57" i="3"/>
  <c r="K57" i="3" s="1"/>
  <c r="L56" i="3" l="1"/>
  <c r="M56" i="3" s="1"/>
  <c r="J56" i="3"/>
  <c r="K56" i="3" s="1"/>
  <c r="L55" i="3"/>
  <c r="M55" i="3" s="1"/>
  <c r="J55" i="3"/>
  <c r="K55" i="3" s="1"/>
  <c r="L54" i="3"/>
  <c r="M54" i="3" s="1"/>
  <c r="J54" i="3"/>
  <c r="K54" i="3" s="1"/>
  <c r="L53" i="3"/>
  <c r="M53" i="3" s="1"/>
  <c r="J53" i="3"/>
  <c r="K53" i="3" s="1"/>
  <c r="L52" i="3"/>
  <c r="M52" i="3" s="1"/>
  <c r="J52" i="3"/>
  <c r="K52" i="3" s="1"/>
  <c r="M51" i="3" l="1"/>
  <c r="J51" i="3"/>
  <c r="M50" i="3"/>
  <c r="J50" i="3"/>
  <c r="M49" i="3"/>
  <c r="J49" i="3"/>
  <c r="L48" i="3"/>
  <c r="M48" i="3" s="1"/>
  <c r="J48" i="3"/>
  <c r="K48" i="3" s="1"/>
  <c r="M47" i="3"/>
  <c r="J47" i="3"/>
  <c r="M46" i="3"/>
  <c r="J46" i="3"/>
  <c r="M45" i="3"/>
  <c r="J45" i="3"/>
  <c r="L44" i="3"/>
  <c r="M44" i="3" s="1"/>
  <c r="J44" i="3"/>
  <c r="K44" i="3" s="1"/>
  <c r="M43" i="3"/>
  <c r="J43" i="3"/>
  <c r="M42" i="3"/>
  <c r="J42" i="3"/>
  <c r="M41" i="3"/>
  <c r="J41" i="3"/>
  <c r="L40" i="3"/>
  <c r="M40" i="3" s="1"/>
  <c r="J40" i="3"/>
  <c r="K40" i="3" s="1"/>
  <c r="M39" i="3"/>
  <c r="J39" i="3"/>
  <c r="M38" i="3"/>
  <c r="J38" i="3"/>
  <c r="M37" i="3"/>
  <c r="J37" i="3"/>
  <c r="L36" i="3"/>
  <c r="M36" i="3" s="1"/>
  <c r="J36" i="3"/>
  <c r="K36" i="3" s="1"/>
  <c r="M35" i="3"/>
  <c r="J35" i="3"/>
  <c r="M34" i="3"/>
  <c r="J34" i="3"/>
  <c r="M33" i="3"/>
  <c r="J33" i="3"/>
  <c r="L32" i="3"/>
  <c r="M32" i="3" s="1"/>
  <c r="J32" i="3"/>
  <c r="K32" i="3" s="1"/>
  <c r="L348" i="3" l="1"/>
  <c r="M348" i="3" s="1"/>
  <c r="J348" i="3"/>
  <c r="K348" i="3" s="1"/>
  <c r="L31" i="3" l="1"/>
  <c r="M31" i="3" s="1"/>
  <c r="J31" i="3"/>
  <c r="K31" i="3" s="1"/>
  <c r="L30" i="3"/>
  <c r="M30" i="3" s="1"/>
  <c r="J30" i="3"/>
  <c r="K30" i="3" s="1"/>
  <c r="L29" i="3"/>
  <c r="M29" i="3" s="1"/>
  <c r="J29" i="3"/>
  <c r="K29" i="3" s="1"/>
  <c r="L28" i="3"/>
  <c r="M28" i="3" s="1"/>
  <c r="J28" i="3"/>
  <c r="K28" i="3" s="1"/>
  <c r="L27" i="3"/>
  <c r="M27" i="3" s="1"/>
  <c r="J27" i="3"/>
  <c r="K27" i="3" s="1"/>
  <c r="L26" i="3"/>
  <c r="M26" i="3" s="1"/>
  <c r="J26" i="3"/>
  <c r="K26" i="3" s="1"/>
  <c r="L25" i="3"/>
  <c r="M25" i="3" s="1"/>
  <c r="J25" i="3"/>
  <c r="K25" i="3" s="1"/>
  <c r="L24" i="3"/>
  <c r="M24" i="3" s="1"/>
  <c r="J24" i="3"/>
  <c r="K24" i="3" s="1"/>
  <c r="L23" i="3"/>
  <c r="M23" i="3" s="1"/>
  <c r="J23" i="3"/>
  <c r="K23" i="3" s="1"/>
  <c r="L22" i="3"/>
  <c r="M22" i="3" s="1"/>
  <c r="J22" i="3"/>
  <c r="K22" i="3" s="1"/>
  <c r="L21" i="3"/>
  <c r="M21" i="3" s="1"/>
  <c r="J21" i="3"/>
  <c r="K21" i="3" s="1"/>
  <c r="L20" i="3"/>
  <c r="M20" i="3" s="1"/>
  <c r="J20" i="3"/>
  <c r="K20" i="3" s="1"/>
  <c r="L19" i="3"/>
  <c r="M19" i="3" s="1"/>
  <c r="J19" i="3"/>
  <c r="K19" i="3" s="1"/>
  <c r="L18" i="3"/>
  <c r="M18" i="3" s="1"/>
  <c r="J18" i="3"/>
  <c r="K18" i="3" s="1"/>
  <c r="L17" i="3"/>
  <c r="M17" i="3" s="1"/>
  <c r="J17" i="3"/>
  <c r="K17" i="3" s="1"/>
  <c r="L16" i="3"/>
  <c r="M16" i="3" s="1"/>
  <c r="J16" i="3"/>
  <c r="K16" i="3" s="1"/>
  <c r="L15" i="3"/>
  <c r="M15" i="3" s="1"/>
  <c r="J15" i="3"/>
  <c r="K15" i="3" s="1"/>
  <c r="L14" i="3"/>
  <c r="M14" i="3" s="1"/>
  <c r="J14" i="3"/>
  <c r="K14" i="3" s="1"/>
  <c r="L13" i="3"/>
  <c r="M13" i="3" s="1"/>
  <c r="J13" i="3"/>
  <c r="K13" i="3" s="1"/>
  <c r="L12" i="3"/>
  <c r="M12" i="3" s="1"/>
  <c r="J12" i="3"/>
  <c r="K12" i="3" s="1"/>
  <c r="L11" i="3"/>
  <c r="M11" i="3" s="1"/>
  <c r="J11" i="3"/>
  <c r="K11" i="3" s="1"/>
  <c r="L10" i="3"/>
  <c r="M10" i="3" s="1"/>
  <c r="J10" i="3"/>
  <c r="K10" i="3" s="1"/>
  <c r="L9" i="3"/>
  <c r="M9" i="3" s="1"/>
  <c r="J9" i="3"/>
  <c r="K9" i="3" s="1"/>
  <c r="L8" i="3"/>
  <c r="M8" i="3" s="1"/>
  <c r="J8" i="3"/>
  <c r="K8" i="3" s="1"/>
  <c r="L7" i="3"/>
  <c r="M7" i="3" s="1"/>
  <c r="J7" i="3"/>
  <c r="K7" i="3" s="1"/>
  <c r="L6" i="3"/>
  <c r="M6" i="3" s="1"/>
  <c r="J6" i="3"/>
  <c r="K6" i="3" s="1"/>
  <c r="L5" i="3"/>
  <c r="M5" i="3" s="1"/>
  <c r="J5" i="3"/>
  <c r="K5" i="3" s="1"/>
  <c r="L4" i="3"/>
  <c r="M4" i="3" s="1"/>
  <c r="J4" i="3"/>
  <c r="K4" i="3" s="1"/>
  <c r="L3" i="3"/>
  <c r="M3" i="3" s="1"/>
  <c r="J3" i="3"/>
  <c r="K3" i="3" s="1"/>
  <c r="L2" i="3"/>
  <c r="M2" i="3" s="1"/>
  <c r="J2" i="3"/>
  <c r="K2" i="3" s="1"/>
  <c r="M222" i="2" l="1"/>
  <c r="K222" i="2"/>
  <c r="L221" i="2"/>
  <c r="M221" i="2" s="1"/>
  <c r="J221" i="2"/>
  <c r="K221" i="2" s="1"/>
  <c r="M220" i="2"/>
  <c r="K220" i="2"/>
  <c r="L219" i="2"/>
  <c r="M219" i="2" s="1"/>
  <c r="J219" i="2"/>
  <c r="K219" i="2" s="1"/>
  <c r="M218" i="2"/>
  <c r="K218" i="2"/>
  <c r="L217" i="2"/>
  <c r="M217" i="2" s="1"/>
  <c r="J217" i="2"/>
  <c r="K217" i="2" s="1"/>
  <c r="M216" i="2"/>
  <c r="K216" i="2"/>
  <c r="L215" i="2"/>
  <c r="M215" i="2" s="1"/>
  <c r="J215" i="2"/>
  <c r="K215" i="2" s="1"/>
  <c r="M214" i="2"/>
  <c r="K214" i="2"/>
  <c r="L213" i="2"/>
  <c r="M213" i="2" s="1"/>
  <c r="J213" i="2"/>
  <c r="K213" i="2" s="1"/>
  <c r="M212" i="2"/>
  <c r="K212" i="2"/>
  <c r="L211" i="2"/>
  <c r="M211" i="2" s="1"/>
  <c r="J211" i="2"/>
  <c r="K211" i="2" s="1"/>
  <c r="M210" i="2"/>
  <c r="K210" i="2"/>
  <c r="L209" i="2"/>
  <c r="M209" i="2" s="1"/>
  <c r="J209" i="2"/>
  <c r="K209" i="2" s="1"/>
  <c r="M208" i="2"/>
  <c r="K208" i="2"/>
  <c r="L207" i="2"/>
  <c r="M207" i="2" s="1"/>
  <c r="J207" i="2"/>
  <c r="K207" i="2" s="1"/>
  <c r="M206" i="2"/>
  <c r="K206" i="2"/>
  <c r="L205" i="2"/>
  <c r="M205" i="2" s="1"/>
  <c r="J205" i="2"/>
  <c r="K205" i="2" s="1"/>
  <c r="M204" i="2"/>
  <c r="K204" i="2"/>
  <c r="L203" i="2"/>
  <c r="M203" i="2" s="1"/>
  <c r="J203" i="2"/>
  <c r="K203" i="2" s="1"/>
  <c r="M202" i="2"/>
  <c r="J202" i="2"/>
  <c r="M201" i="2"/>
  <c r="J201" i="2"/>
  <c r="L200" i="2"/>
  <c r="M200" i="2" s="1"/>
  <c r="J200" i="2"/>
  <c r="K200" i="2" s="1"/>
  <c r="L199" i="2"/>
  <c r="M199" i="2" s="1"/>
  <c r="J199" i="2"/>
  <c r="K199" i="2" s="1"/>
  <c r="L261" i="2" l="1"/>
  <c r="M261" i="2" s="1"/>
  <c r="J261" i="2"/>
  <c r="K261" i="2" s="1"/>
  <c r="L198" i="2"/>
  <c r="M198" i="2" s="1"/>
  <c r="J198" i="2"/>
  <c r="K198" i="2" s="1"/>
  <c r="L197" i="2"/>
  <c r="M197" i="2" s="1"/>
  <c r="J197" i="2"/>
  <c r="K197" i="2" s="1"/>
  <c r="L196" i="2"/>
  <c r="M196" i="2" s="1"/>
  <c r="J196" i="2"/>
  <c r="K196" i="2" s="1"/>
  <c r="M195" i="2"/>
  <c r="L195" i="2"/>
  <c r="J195" i="2"/>
  <c r="K195" i="2" s="1"/>
  <c r="L194" i="2"/>
  <c r="M194" i="2" s="1"/>
  <c r="J194" i="2"/>
  <c r="K194" i="2" s="1"/>
  <c r="L193" i="2"/>
  <c r="M193" i="2" s="1"/>
  <c r="J193" i="2"/>
  <c r="K193" i="2" s="1"/>
  <c r="L192" i="2"/>
  <c r="M192" i="2" s="1"/>
  <c r="J192" i="2"/>
  <c r="K192" i="2" s="1"/>
  <c r="L191" i="2"/>
  <c r="M191" i="2" s="1"/>
  <c r="J191" i="2"/>
  <c r="K191" i="2" s="1"/>
  <c r="L190" i="2"/>
  <c r="M190" i="2" s="1"/>
  <c r="J190" i="2"/>
  <c r="K190" i="2" s="1"/>
  <c r="L189" i="2"/>
  <c r="M189" i="2" s="1"/>
  <c r="J189" i="2"/>
  <c r="K189" i="2" s="1"/>
  <c r="L188" i="2"/>
  <c r="M188" i="2" s="1"/>
  <c r="J188" i="2"/>
  <c r="K188" i="2" s="1"/>
  <c r="L187" i="2"/>
  <c r="M187" i="2" s="1"/>
  <c r="J187" i="2"/>
  <c r="K187" i="2" s="1"/>
  <c r="L186" i="2"/>
  <c r="M186" i="2" s="1"/>
  <c r="J186" i="2"/>
  <c r="K186" i="2" s="1"/>
  <c r="L185" i="2"/>
  <c r="M185" i="2" s="1"/>
  <c r="J185" i="2"/>
  <c r="K185" i="2" s="1"/>
  <c r="L184" i="2"/>
  <c r="M184" i="2" s="1"/>
  <c r="J184" i="2"/>
  <c r="K184" i="2" s="1"/>
  <c r="L260" i="2" l="1"/>
  <c r="M260" i="2" s="1"/>
  <c r="J260" i="2"/>
  <c r="K260" i="2" s="1"/>
  <c r="L183" i="2" l="1"/>
  <c r="M183" i="2" s="1"/>
  <c r="J183" i="2"/>
  <c r="K183" i="2" s="1"/>
  <c r="L182" i="2"/>
  <c r="M182" i="2" s="1"/>
  <c r="J182" i="2"/>
  <c r="K182" i="2" s="1"/>
  <c r="L181" i="2"/>
  <c r="M181" i="2" s="1"/>
  <c r="J181" i="2"/>
  <c r="K181" i="2" s="1"/>
  <c r="L180" i="2"/>
  <c r="M180" i="2" s="1"/>
  <c r="J180" i="2"/>
  <c r="K180" i="2" s="1"/>
  <c r="L179" i="2"/>
  <c r="M179" i="2" s="1"/>
  <c r="J179" i="2"/>
  <c r="K179" i="2" s="1"/>
  <c r="L178" i="2"/>
  <c r="M178" i="2" s="1"/>
  <c r="J178" i="2"/>
  <c r="K178" i="2" s="1"/>
  <c r="L177" i="2"/>
  <c r="M177" i="2" s="1"/>
  <c r="J177" i="2"/>
  <c r="K177" i="2" s="1"/>
  <c r="L176" i="2"/>
  <c r="M176" i="2" s="1"/>
  <c r="J176" i="2"/>
  <c r="K176" i="2" s="1"/>
  <c r="L175" i="2"/>
  <c r="M175" i="2" s="1"/>
  <c r="J175" i="2"/>
  <c r="K175" i="2" s="1"/>
  <c r="L174" i="2"/>
  <c r="M174" i="2" s="1"/>
  <c r="J174" i="2"/>
  <c r="K174" i="2" s="1"/>
  <c r="L173" i="2"/>
  <c r="M173" i="2" s="1"/>
  <c r="J173" i="2"/>
  <c r="K173" i="2" s="1"/>
  <c r="L172" i="2"/>
  <c r="M172" i="2" s="1"/>
  <c r="J172" i="2"/>
  <c r="K172" i="2" s="1"/>
  <c r="L171" i="2"/>
  <c r="M171" i="2" s="1"/>
  <c r="J171" i="2"/>
  <c r="K171" i="2" s="1"/>
  <c r="L170" i="2"/>
  <c r="M170" i="2" s="1"/>
  <c r="J170" i="2"/>
  <c r="K170" i="2" s="1"/>
  <c r="L169" i="2"/>
  <c r="M169" i="2" s="1"/>
  <c r="J169" i="2"/>
  <c r="K169" i="2" s="1"/>
  <c r="L168" i="2"/>
  <c r="M168" i="2" s="1"/>
  <c r="J168" i="2"/>
  <c r="K168" i="2" s="1"/>
  <c r="L167" i="2"/>
  <c r="M167" i="2" s="1"/>
  <c r="J167" i="2"/>
  <c r="K167" i="2" s="1"/>
  <c r="L166" i="2"/>
  <c r="M166" i="2" s="1"/>
  <c r="J166" i="2"/>
  <c r="K166" i="2" s="1"/>
  <c r="L165" i="2"/>
  <c r="M165" i="2" s="1"/>
  <c r="J165" i="2"/>
  <c r="K165" i="2" s="1"/>
  <c r="L164" i="2"/>
  <c r="M164" i="2" s="1"/>
  <c r="J164" i="2"/>
  <c r="K164" i="2" s="1"/>
  <c r="L163" i="2"/>
  <c r="M163" i="2" s="1"/>
  <c r="J163" i="2"/>
  <c r="K163" i="2" s="1"/>
  <c r="L162" i="2"/>
  <c r="M162" i="2" s="1"/>
  <c r="J162" i="2"/>
  <c r="K162" i="2" s="1"/>
  <c r="L161" i="2"/>
  <c r="M161" i="2" s="1"/>
  <c r="J161" i="2"/>
  <c r="K161" i="2" s="1"/>
  <c r="L160" i="2"/>
  <c r="M160" i="2" s="1"/>
  <c r="J160" i="2"/>
  <c r="K160" i="2" s="1"/>
  <c r="L159" i="2"/>
  <c r="M159" i="2" s="1"/>
  <c r="J159" i="2"/>
  <c r="K159" i="2" s="1"/>
  <c r="L158" i="2"/>
  <c r="M158" i="2" s="1"/>
  <c r="J158" i="2"/>
  <c r="K158" i="2" s="1"/>
  <c r="L157" i="2"/>
  <c r="M157" i="2" s="1"/>
  <c r="J157" i="2"/>
  <c r="K157" i="2" s="1"/>
  <c r="L156" i="2"/>
  <c r="M156" i="2" s="1"/>
  <c r="J156" i="2"/>
  <c r="K156" i="2" s="1"/>
  <c r="L155" i="2"/>
  <c r="M155" i="2" s="1"/>
  <c r="J155" i="2"/>
  <c r="K155" i="2" s="1"/>
  <c r="L154" i="2"/>
  <c r="M154" i="2" s="1"/>
  <c r="J154" i="2"/>
  <c r="K154" i="2" s="1"/>
  <c r="L153" i="2"/>
  <c r="M153" i="2" s="1"/>
  <c r="J153" i="2"/>
  <c r="K153" i="2" s="1"/>
  <c r="L152" i="2"/>
  <c r="M152" i="2" s="1"/>
  <c r="J152" i="2"/>
  <c r="K152" i="2" s="1"/>
  <c r="L151" i="2"/>
  <c r="M151" i="2" s="1"/>
  <c r="J151" i="2"/>
  <c r="K151" i="2" s="1"/>
  <c r="L150" i="2"/>
  <c r="M150" i="2" s="1"/>
  <c r="J150" i="2"/>
  <c r="K150" i="2" s="1"/>
  <c r="L149" i="2"/>
  <c r="M149" i="2" s="1"/>
  <c r="J149" i="2"/>
  <c r="K149" i="2" s="1"/>
  <c r="L148" i="2"/>
  <c r="M148" i="2" s="1"/>
  <c r="J148" i="2"/>
  <c r="K148" i="2" s="1"/>
  <c r="L147" i="2"/>
  <c r="M147" i="2" s="1"/>
  <c r="J147" i="2"/>
  <c r="K147" i="2" s="1"/>
  <c r="L146" i="2"/>
  <c r="M146" i="2" s="1"/>
  <c r="J146" i="2"/>
  <c r="K146" i="2" s="1"/>
  <c r="L145" i="2"/>
  <c r="M145" i="2" s="1"/>
  <c r="J145" i="2"/>
  <c r="K145" i="2" s="1"/>
  <c r="L144" i="2"/>
  <c r="M144" i="2" s="1"/>
  <c r="J144" i="2"/>
  <c r="K144" i="2" s="1"/>
  <c r="L143" i="2"/>
  <c r="M143" i="2" s="1"/>
  <c r="J143" i="2"/>
  <c r="K143" i="2" s="1"/>
  <c r="L142" i="2"/>
  <c r="M142" i="2" s="1"/>
  <c r="J142" i="2"/>
  <c r="K142" i="2" s="1"/>
  <c r="L141" i="2"/>
  <c r="M141" i="2" s="1"/>
  <c r="J141" i="2"/>
  <c r="K141" i="2" s="1"/>
  <c r="L140" i="2"/>
  <c r="M140" i="2" s="1"/>
  <c r="J140" i="2"/>
  <c r="K140" i="2" s="1"/>
  <c r="L139" i="2"/>
  <c r="M139" i="2" s="1"/>
  <c r="J139" i="2"/>
  <c r="K139" i="2" s="1"/>
  <c r="L138" i="2"/>
  <c r="M138" i="2" s="1"/>
  <c r="J138" i="2"/>
  <c r="K138" i="2" s="1"/>
  <c r="L137" i="2"/>
  <c r="M137" i="2" s="1"/>
  <c r="J137" i="2"/>
  <c r="K137" i="2" s="1"/>
  <c r="L136" i="2"/>
  <c r="M136" i="2" s="1"/>
  <c r="J136" i="2"/>
  <c r="K136" i="2" s="1"/>
  <c r="L135" i="2"/>
  <c r="M135" i="2" s="1"/>
  <c r="J135" i="2"/>
  <c r="K135" i="2" s="1"/>
  <c r="L134" i="2"/>
  <c r="M134" i="2" s="1"/>
  <c r="J134" i="2"/>
  <c r="K134" i="2" s="1"/>
  <c r="M133" i="2" l="1"/>
  <c r="J133" i="2"/>
  <c r="M132" i="2"/>
  <c r="J132" i="2"/>
  <c r="L131" i="2"/>
  <c r="M131" i="2" s="1"/>
  <c r="J131" i="2"/>
  <c r="K131" i="2" s="1"/>
  <c r="M130" i="2"/>
  <c r="J130" i="2"/>
  <c r="M129" i="2"/>
  <c r="J129" i="2"/>
  <c r="L128" i="2"/>
  <c r="M128" i="2" s="1"/>
  <c r="J128" i="2"/>
  <c r="K128" i="2" s="1"/>
  <c r="M127" i="2"/>
  <c r="J127" i="2"/>
  <c r="M126" i="2"/>
  <c r="J126" i="2"/>
  <c r="L125" i="2"/>
  <c r="M125" i="2" s="1"/>
  <c r="J125" i="2"/>
  <c r="K125" i="2" s="1"/>
  <c r="M124" i="2"/>
  <c r="J124" i="2"/>
  <c r="M123" i="2"/>
  <c r="J123" i="2"/>
  <c r="L122" i="2"/>
  <c r="M122" i="2" s="1"/>
  <c r="J122" i="2"/>
  <c r="K122" i="2" s="1"/>
  <c r="M121" i="2"/>
  <c r="J121" i="2"/>
  <c r="M120" i="2"/>
  <c r="J120" i="2"/>
  <c r="L119" i="2"/>
  <c r="M119" i="2" s="1"/>
  <c r="J119" i="2"/>
  <c r="K119" i="2" s="1"/>
  <c r="M118" i="2"/>
  <c r="J118" i="2"/>
  <c r="M117" i="2"/>
  <c r="J117" i="2"/>
  <c r="L116" i="2"/>
  <c r="M116" i="2" s="1"/>
  <c r="J116" i="2"/>
  <c r="K116" i="2" s="1"/>
  <c r="M115" i="2"/>
  <c r="J115" i="2"/>
  <c r="M114" i="2"/>
  <c r="J114" i="2"/>
  <c r="L113" i="2"/>
  <c r="M113" i="2" s="1"/>
  <c r="J113" i="2"/>
  <c r="K113" i="2" s="1"/>
  <c r="M112" i="2"/>
  <c r="J112" i="2"/>
  <c r="M111" i="2"/>
  <c r="J111" i="2"/>
  <c r="L110" i="2"/>
  <c r="M110" i="2" s="1"/>
  <c r="J110" i="2"/>
  <c r="K110" i="2" s="1"/>
  <c r="M109" i="2"/>
  <c r="J109" i="2"/>
  <c r="M108" i="2"/>
  <c r="J108" i="2"/>
  <c r="L107" i="2"/>
  <c r="M107" i="2" s="1"/>
  <c r="J107" i="2"/>
  <c r="K107" i="2" s="1"/>
  <c r="M106" i="2"/>
  <c r="J106" i="2"/>
  <c r="M105" i="2"/>
  <c r="J105" i="2"/>
  <c r="L104" i="2"/>
  <c r="M104" i="2" s="1"/>
  <c r="J104" i="2"/>
  <c r="K104" i="2" s="1"/>
  <c r="L103" i="2" l="1"/>
  <c r="M103" i="2" s="1"/>
  <c r="J103" i="2"/>
  <c r="K103" i="2" s="1"/>
  <c r="L102" i="2"/>
  <c r="M102" i="2" s="1"/>
  <c r="J102" i="2"/>
  <c r="K102" i="2" s="1"/>
  <c r="L101" i="2"/>
  <c r="M101" i="2" s="1"/>
  <c r="J101" i="2"/>
  <c r="K101" i="2" s="1"/>
  <c r="L100" i="2"/>
  <c r="M100" i="2" s="1"/>
  <c r="J100" i="2"/>
  <c r="K100" i="2" s="1"/>
  <c r="L99" i="2"/>
  <c r="M99" i="2" s="1"/>
  <c r="J99" i="2"/>
  <c r="K99" i="2" s="1"/>
  <c r="L98" i="2"/>
  <c r="M98" i="2" s="1"/>
  <c r="J98" i="2"/>
  <c r="K98" i="2" s="1"/>
  <c r="L97" i="2"/>
  <c r="M97" i="2" s="1"/>
  <c r="J97" i="2"/>
  <c r="K97" i="2" s="1"/>
  <c r="L96" i="2"/>
  <c r="M96" i="2" s="1"/>
  <c r="J96" i="2"/>
  <c r="K96" i="2" s="1"/>
  <c r="L95" i="2"/>
  <c r="M95" i="2" s="1"/>
  <c r="J95" i="2"/>
  <c r="K95" i="2" s="1"/>
  <c r="L94" i="2"/>
  <c r="M94" i="2" s="1"/>
  <c r="J94" i="2"/>
  <c r="K94" i="2" s="1"/>
  <c r="L93" i="2"/>
  <c r="M93" i="2" s="1"/>
  <c r="J93" i="2"/>
  <c r="K93" i="2" s="1"/>
  <c r="L92" i="2"/>
  <c r="M92" i="2" s="1"/>
  <c r="J92" i="2"/>
  <c r="K92" i="2" s="1"/>
  <c r="L91" i="2"/>
  <c r="M91" i="2" s="1"/>
  <c r="J91" i="2"/>
  <c r="K91" i="2" s="1"/>
  <c r="L90" i="2"/>
  <c r="M90" i="2" s="1"/>
  <c r="J90" i="2"/>
  <c r="K90" i="2" s="1"/>
  <c r="L89" i="2"/>
  <c r="M89" i="2" s="1"/>
  <c r="J89" i="2"/>
  <c r="K89" i="2" s="1"/>
  <c r="L88" i="2" l="1"/>
  <c r="M88" i="2" s="1"/>
  <c r="J88" i="2"/>
  <c r="K88" i="2" s="1"/>
  <c r="L87" i="2"/>
  <c r="M87" i="2" s="1"/>
  <c r="J87" i="2"/>
  <c r="K87" i="2" s="1"/>
  <c r="L86" i="2"/>
  <c r="M86" i="2" s="1"/>
  <c r="J86" i="2"/>
  <c r="K86" i="2" s="1"/>
  <c r="L85" i="2"/>
  <c r="M85" i="2" s="1"/>
  <c r="J85" i="2"/>
  <c r="K85" i="2" s="1"/>
  <c r="L84" i="2"/>
  <c r="M84" i="2" s="1"/>
  <c r="J84" i="2"/>
  <c r="K84" i="2" s="1"/>
  <c r="L83" i="2"/>
  <c r="M83" i="2" s="1"/>
  <c r="J83" i="2"/>
  <c r="K83" i="2" s="1"/>
  <c r="L82" i="2"/>
  <c r="M82" i="2" s="1"/>
  <c r="J82" i="2"/>
  <c r="K82" i="2" s="1"/>
  <c r="L81" i="2"/>
  <c r="M81" i="2" s="1"/>
  <c r="J81" i="2"/>
  <c r="K81" i="2" s="1"/>
  <c r="L80" i="2"/>
  <c r="M80" i="2" s="1"/>
  <c r="J80" i="2"/>
  <c r="K80" i="2" s="1"/>
  <c r="L79" i="2"/>
  <c r="M79" i="2" s="1"/>
  <c r="J79" i="2"/>
  <c r="K79" i="2" s="1"/>
  <c r="L78" i="2"/>
  <c r="M78" i="2" s="1"/>
  <c r="J78" i="2"/>
  <c r="K78" i="2" s="1"/>
  <c r="L77" i="2"/>
  <c r="M77" i="2" s="1"/>
  <c r="J77" i="2"/>
  <c r="K77" i="2" s="1"/>
  <c r="L76" i="2"/>
  <c r="M76" i="2" s="1"/>
  <c r="J76" i="2"/>
  <c r="K76" i="2" s="1"/>
  <c r="L75" i="2"/>
  <c r="M75" i="2" s="1"/>
  <c r="J75" i="2"/>
  <c r="K75" i="2" s="1"/>
  <c r="L74" i="2"/>
  <c r="M74" i="2" s="1"/>
  <c r="J74" i="2"/>
  <c r="K74" i="2" s="1"/>
  <c r="L73" i="2"/>
  <c r="M73" i="2" s="1"/>
  <c r="J73" i="2"/>
  <c r="K73" i="2" s="1"/>
  <c r="L72" i="2"/>
  <c r="M72" i="2" s="1"/>
  <c r="J72" i="2"/>
  <c r="K72" i="2" s="1"/>
  <c r="L71" i="2"/>
  <c r="M71" i="2" s="1"/>
  <c r="J71" i="2"/>
  <c r="K71" i="2" s="1"/>
  <c r="L70" i="2"/>
  <c r="M70" i="2" s="1"/>
  <c r="J70" i="2"/>
  <c r="K70" i="2" s="1"/>
  <c r="L69" i="2"/>
  <c r="M69" i="2" s="1"/>
  <c r="J69" i="2"/>
  <c r="K69" i="2" s="1"/>
  <c r="L68" i="2" l="1"/>
  <c r="M68" i="2" s="1"/>
  <c r="J68" i="2"/>
  <c r="K68" i="2" s="1"/>
  <c r="L67" i="2"/>
  <c r="M67" i="2" s="1"/>
  <c r="J67" i="2"/>
  <c r="K67" i="2" s="1"/>
  <c r="L66" i="2"/>
  <c r="M66" i="2" s="1"/>
  <c r="J66" i="2"/>
  <c r="K66" i="2" s="1"/>
  <c r="L65" i="2"/>
  <c r="M65" i="2" s="1"/>
  <c r="J65" i="2"/>
  <c r="K65" i="2" s="1"/>
  <c r="L64" i="2"/>
  <c r="M64" i="2" s="1"/>
  <c r="J64" i="2"/>
  <c r="K64" i="2" s="1"/>
  <c r="L63" i="2"/>
  <c r="M63" i="2" s="1"/>
  <c r="J63" i="2"/>
  <c r="K63" i="2" s="1"/>
  <c r="L62" i="2"/>
  <c r="M62" i="2" s="1"/>
  <c r="J62" i="2"/>
  <c r="K62" i="2" s="1"/>
  <c r="L61" i="2"/>
  <c r="M61" i="2" s="1"/>
  <c r="J61" i="2"/>
  <c r="K61" i="2" s="1"/>
  <c r="L60" i="2"/>
  <c r="M60" i="2" s="1"/>
  <c r="J60" i="2"/>
  <c r="K60" i="2" s="1"/>
  <c r="L59" i="2"/>
  <c r="M59" i="2" s="1"/>
  <c r="J59" i="2"/>
  <c r="K59" i="2" s="1"/>
  <c r="L58" i="2"/>
  <c r="M58" i="2" s="1"/>
  <c r="J58" i="2"/>
  <c r="K58" i="2" s="1"/>
  <c r="L57" i="2"/>
  <c r="M57" i="2" s="1"/>
  <c r="J57" i="2"/>
  <c r="K57" i="2" s="1"/>
  <c r="L56" i="2"/>
  <c r="M56" i="2" s="1"/>
  <c r="J56" i="2"/>
  <c r="K56" i="2" s="1"/>
  <c r="L55" i="2"/>
  <c r="M55" i="2" s="1"/>
  <c r="J55" i="2"/>
  <c r="K55" i="2" s="1"/>
  <c r="L54" i="2"/>
  <c r="M54" i="2" s="1"/>
  <c r="J54" i="2"/>
  <c r="K54" i="2" s="1"/>
  <c r="L53" i="2"/>
  <c r="M53" i="2" s="1"/>
  <c r="J53" i="2"/>
  <c r="K53" i="2" s="1"/>
  <c r="L52" i="2"/>
  <c r="M52" i="2" s="1"/>
  <c r="J52" i="2"/>
  <c r="K52" i="2" s="1"/>
  <c r="L51" i="2"/>
  <c r="M51" i="2" s="1"/>
  <c r="J51" i="2"/>
  <c r="K51" i="2" s="1"/>
  <c r="L50" i="2"/>
  <c r="M50" i="2" s="1"/>
  <c r="J50" i="2"/>
  <c r="K50" i="2" s="1"/>
  <c r="L49" i="2"/>
  <c r="M49" i="2" s="1"/>
  <c r="J49" i="2"/>
  <c r="K49" i="2" s="1"/>
  <c r="L48" i="2"/>
  <c r="M48" i="2" s="1"/>
  <c r="J48" i="2"/>
  <c r="K48" i="2" s="1"/>
  <c r="L47" i="2"/>
  <c r="M47" i="2" s="1"/>
  <c r="J47" i="2"/>
  <c r="K47" i="2" s="1"/>
  <c r="L46" i="2"/>
  <c r="M46" i="2" s="1"/>
  <c r="J46" i="2"/>
  <c r="K46" i="2" s="1"/>
  <c r="L45" i="2"/>
  <c r="M45" i="2" s="1"/>
  <c r="J45" i="2"/>
  <c r="K45" i="2" s="1"/>
  <c r="L44" i="2"/>
  <c r="M44" i="2" s="1"/>
  <c r="J44" i="2"/>
  <c r="K44" i="2" s="1"/>
  <c r="L43" i="2"/>
  <c r="M43" i="2" s="1"/>
  <c r="J43" i="2"/>
  <c r="K43" i="2" s="1"/>
  <c r="L42" i="2"/>
  <c r="M42" i="2" s="1"/>
  <c r="J42" i="2"/>
  <c r="K42" i="2" s="1"/>
  <c r="L41" i="2" l="1"/>
  <c r="M41" i="2" s="1"/>
  <c r="J41" i="2"/>
  <c r="K41" i="2" s="1"/>
  <c r="L40" i="2"/>
  <c r="M40" i="2" s="1"/>
  <c r="J40" i="2"/>
  <c r="K40" i="2" s="1"/>
  <c r="L39" i="2"/>
  <c r="M39" i="2" s="1"/>
  <c r="J39" i="2"/>
  <c r="K39" i="2" s="1"/>
  <c r="L38" i="2"/>
  <c r="M38" i="2" s="1"/>
  <c r="J38" i="2"/>
  <c r="K38" i="2" s="1"/>
  <c r="L37" i="2"/>
  <c r="M37" i="2" s="1"/>
  <c r="J37" i="2"/>
  <c r="K37" i="2" s="1"/>
  <c r="L36" i="2"/>
  <c r="M36" i="2" s="1"/>
  <c r="J36" i="2"/>
  <c r="K36" i="2" s="1"/>
  <c r="L35" i="2"/>
  <c r="M35" i="2" s="1"/>
  <c r="J35" i="2"/>
  <c r="K35" i="2" s="1"/>
  <c r="L34" i="2"/>
  <c r="M34" i="2" s="1"/>
  <c r="J34" i="2"/>
  <c r="K34" i="2" s="1"/>
  <c r="L33" i="2"/>
  <c r="M33" i="2" s="1"/>
  <c r="J33" i="2"/>
  <c r="K33" i="2" s="1"/>
  <c r="L32" i="2"/>
  <c r="M32" i="2" s="1"/>
  <c r="J32" i="2"/>
  <c r="K32" i="2" s="1"/>
  <c r="M31" i="2" l="1"/>
  <c r="K31" i="2"/>
  <c r="L30" i="2"/>
  <c r="M30" i="2" s="1"/>
  <c r="J30" i="2"/>
  <c r="K30" i="2" s="1"/>
  <c r="M29" i="2"/>
  <c r="K29" i="2"/>
  <c r="L28" i="2"/>
  <c r="M28" i="2" s="1"/>
  <c r="J28" i="2"/>
  <c r="K28" i="2" s="1"/>
  <c r="M27" i="2"/>
  <c r="K27" i="2"/>
  <c r="L26" i="2"/>
  <c r="M26" i="2" s="1"/>
  <c r="J26" i="2"/>
  <c r="K26" i="2" s="1"/>
  <c r="M25" i="2"/>
  <c r="K25" i="2"/>
  <c r="L24" i="2"/>
  <c r="M24" i="2" s="1"/>
  <c r="J24" i="2"/>
  <c r="K24" i="2" s="1"/>
  <c r="M23" i="2"/>
  <c r="K23" i="2"/>
  <c r="L22" i="2"/>
  <c r="M22" i="2" s="1"/>
  <c r="J22" i="2"/>
  <c r="K22" i="2" s="1"/>
  <c r="M21" i="2"/>
  <c r="K21" i="2"/>
  <c r="L20" i="2"/>
  <c r="M20" i="2" s="1"/>
  <c r="J20" i="2"/>
  <c r="K20" i="2" s="1"/>
  <c r="M19" i="2"/>
  <c r="K19" i="2"/>
  <c r="L18" i="2"/>
  <c r="M18" i="2" s="1"/>
  <c r="J18" i="2"/>
  <c r="K18" i="2" s="1"/>
  <c r="M17" i="2"/>
  <c r="K17" i="2"/>
  <c r="L16" i="2"/>
  <c r="M16" i="2" s="1"/>
  <c r="J16" i="2"/>
  <c r="K16" i="2" s="1"/>
  <c r="M15" i="2"/>
  <c r="K15" i="2"/>
  <c r="L14" i="2"/>
  <c r="M14" i="2" s="1"/>
  <c r="J14" i="2"/>
  <c r="K14" i="2" s="1"/>
  <c r="M13" i="2"/>
  <c r="K13" i="2"/>
  <c r="L12" i="2"/>
  <c r="M12" i="2" s="1"/>
  <c r="J12" i="2"/>
  <c r="K12" i="2" s="1"/>
  <c r="M11" i="2"/>
  <c r="K11" i="2"/>
  <c r="L10" i="2"/>
  <c r="M10" i="2" s="1"/>
  <c r="J10" i="2"/>
  <c r="K10" i="2" s="1"/>
  <c r="M9" i="2"/>
  <c r="K9" i="2"/>
  <c r="L8" i="2"/>
  <c r="M8" i="2" s="1"/>
  <c r="J8" i="2"/>
  <c r="K8" i="2" s="1"/>
  <c r="M7" i="2"/>
  <c r="K7" i="2"/>
  <c r="L6" i="2"/>
  <c r="M6" i="2" s="1"/>
  <c r="J6" i="2"/>
  <c r="K6" i="2" s="1"/>
  <c r="M5" i="2"/>
  <c r="K5" i="2"/>
  <c r="L4" i="2"/>
  <c r="M4" i="2" s="1"/>
  <c r="J4" i="2"/>
  <c r="K4" i="2" s="1"/>
  <c r="M3" i="2"/>
  <c r="K3" i="2"/>
  <c r="L2" i="2"/>
  <c r="M2" i="2" s="1"/>
  <c r="J2" i="2"/>
  <c r="K2" i="2" s="1"/>
  <c r="L192" i="1" l="1"/>
  <c r="M192" i="1" s="1"/>
  <c r="J192" i="1"/>
  <c r="K192" i="1" s="1"/>
  <c r="L191" i="1"/>
  <c r="M191" i="1" s="1"/>
  <c r="J191" i="1"/>
  <c r="K191" i="1" s="1"/>
  <c r="L190" i="1"/>
  <c r="M190" i="1" s="1"/>
  <c r="J190" i="1"/>
  <c r="K190" i="1" s="1"/>
  <c r="L189" i="1"/>
  <c r="M189" i="1" s="1"/>
  <c r="J189" i="1"/>
  <c r="K189" i="1" s="1"/>
  <c r="L188" i="1"/>
  <c r="M188" i="1" s="1"/>
  <c r="J188" i="1"/>
  <c r="K188" i="1" s="1"/>
  <c r="L187" i="1"/>
  <c r="M187" i="1" s="1"/>
  <c r="J187" i="1"/>
  <c r="K187" i="1" s="1"/>
  <c r="L186" i="1"/>
  <c r="M186" i="1" s="1"/>
  <c r="J186" i="1"/>
  <c r="K186" i="1" s="1"/>
  <c r="L185" i="1"/>
  <c r="M185" i="1" s="1"/>
  <c r="J185" i="1"/>
  <c r="K185" i="1" s="1"/>
  <c r="L184" i="1"/>
  <c r="M184" i="1" s="1"/>
  <c r="J184" i="1"/>
  <c r="K184" i="1" s="1"/>
  <c r="L183" i="1"/>
  <c r="M183" i="1" s="1"/>
  <c r="J183" i="1"/>
  <c r="K183" i="1" s="1"/>
  <c r="L182" i="1"/>
  <c r="M182" i="1" s="1"/>
  <c r="J182" i="1"/>
  <c r="K182" i="1" s="1"/>
  <c r="L181" i="1"/>
  <c r="M181" i="1" s="1"/>
  <c r="J181" i="1"/>
  <c r="K181" i="1" s="1"/>
  <c r="L180" i="1"/>
  <c r="M180" i="1" s="1"/>
  <c r="J180" i="1"/>
  <c r="K180" i="1" s="1"/>
  <c r="L179" i="1"/>
  <c r="M179" i="1" s="1"/>
  <c r="J179" i="1"/>
  <c r="K179" i="1" s="1"/>
  <c r="L178" i="1"/>
  <c r="M178" i="1" s="1"/>
  <c r="J178" i="1"/>
  <c r="K178" i="1" s="1"/>
  <c r="L177" i="1"/>
  <c r="M177" i="1" s="1"/>
  <c r="J177" i="1"/>
  <c r="K177" i="1" s="1"/>
  <c r="L176" i="1"/>
  <c r="M176" i="1" s="1"/>
  <c r="J176" i="1"/>
  <c r="K176" i="1" s="1"/>
  <c r="L175" i="1"/>
  <c r="M175" i="1" s="1"/>
  <c r="J175" i="1"/>
  <c r="K175" i="1" s="1"/>
  <c r="L174" i="1"/>
  <c r="M174" i="1" s="1"/>
  <c r="J174" i="1"/>
  <c r="K174" i="1" s="1"/>
  <c r="L173" i="1"/>
  <c r="M173" i="1" s="1"/>
  <c r="J173" i="1"/>
  <c r="K173" i="1" s="1"/>
  <c r="L172" i="1"/>
  <c r="M172" i="1" s="1"/>
  <c r="J172" i="1"/>
  <c r="K172" i="1" s="1"/>
  <c r="L171" i="1"/>
  <c r="M171" i="1" s="1"/>
  <c r="J171" i="1"/>
  <c r="K171" i="1" s="1"/>
  <c r="L170" i="1"/>
  <c r="M170" i="1" s="1"/>
  <c r="J170" i="1"/>
  <c r="K170" i="1" s="1"/>
  <c r="L169" i="1"/>
  <c r="M169" i="1" s="1"/>
  <c r="J169" i="1"/>
  <c r="K169" i="1" s="1"/>
  <c r="L168" i="1"/>
  <c r="M168" i="1" s="1"/>
  <c r="J168" i="1"/>
  <c r="K168" i="1" s="1"/>
  <c r="M167" i="1" l="1"/>
  <c r="K167" i="1"/>
  <c r="L166" i="1"/>
  <c r="M166" i="1" s="1"/>
  <c r="J166" i="1"/>
  <c r="K166" i="1" s="1"/>
  <c r="M165" i="1"/>
  <c r="K165" i="1"/>
  <c r="L164" i="1"/>
  <c r="M164" i="1" s="1"/>
  <c r="J164" i="1"/>
  <c r="K164" i="1" s="1"/>
  <c r="M163" i="1"/>
  <c r="K163" i="1"/>
  <c r="M162" i="1"/>
  <c r="L162" i="1"/>
  <c r="J162" i="1"/>
  <c r="K162" i="1" s="1"/>
  <c r="M161" i="1"/>
  <c r="K161" i="1"/>
  <c r="L160" i="1"/>
  <c r="M160" i="1" s="1"/>
  <c r="J160" i="1"/>
  <c r="K160" i="1" s="1"/>
  <c r="M159" i="1"/>
  <c r="K159" i="1"/>
  <c r="L158" i="1"/>
  <c r="M158" i="1" s="1"/>
  <c r="J158" i="1"/>
  <c r="K158" i="1" s="1"/>
  <c r="M157" i="1"/>
  <c r="K157" i="1"/>
  <c r="L156" i="1"/>
  <c r="M156" i="1" s="1"/>
  <c r="J156" i="1"/>
  <c r="K156" i="1" s="1"/>
  <c r="M155" i="1"/>
  <c r="K155" i="1"/>
  <c r="L154" i="1"/>
  <c r="M154" i="1" s="1"/>
  <c r="J154" i="1"/>
  <c r="K154" i="1" s="1"/>
  <c r="M153" i="1"/>
  <c r="K153" i="1"/>
  <c r="L152" i="1"/>
  <c r="M152" i="1" s="1"/>
  <c r="J152" i="1"/>
  <c r="K152" i="1" s="1"/>
  <c r="M151" i="1"/>
  <c r="K151" i="1"/>
  <c r="L150" i="1"/>
  <c r="M150" i="1" s="1"/>
  <c r="J150" i="1"/>
  <c r="K150" i="1" s="1"/>
  <c r="M149" i="1"/>
  <c r="K149" i="1"/>
  <c r="L148" i="1"/>
  <c r="M148" i="1" s="1"/>
  <c r="J148" i="1"/>
  <c r="K148" i="1" s="1"/>
  <c r="M147" i="1"/>
  <c r="K147" i="1"/>
  <c r="L146" i="1"/>
  <c r="M146" i="1" s="1"/>
  <c r="J146" i="1"/>
  <c r="K146" i="1" s="1"/>
  <c r="M145" i="1"/>
  <c r="K145" i="1"/>
  <c r="L144" i="1"/>
  <c r="M144" i="1" s="1"/>
  <c r="J144" i="1"/>
  <c r="K144" i="1" s="1"/>
  <c r="M143" i="1"/>
  <c r="K143" i="1"/>
  <c r="L142" i="1"/>
  <c r="M142" i="1" s="1"/>
  <c r="J142" i="1"/>
  <c r="K142" i="1" s="1"/>
  <c r="M141" i="1"/>
  <c r="K141" i="1"/>
  <c r="M140" i="1"/>
  <c r="L140" i="1"/>
  <c r="J140" i="1"/>
  <c r="K140" i="1" s="1"/>
  <c r="M139" i="1"/>
  <c r="K139" i="1"/>
  <c r="L138" i="1"/>
  <c r="M138" i="1" s="1"/>
  <c r="J138" i="1"/>
  <c r="K138" i="1" s="1"/>
  <c r="M137" i="1"/>
  <c r="J137" i="1"/>
  <c r="M136" i="1"/>
  <c r="J136" i="1"/>
  <c r="L135" i="1"/>
  <c r="M135" i="1" s="1"/>
  <c r="J135" i="1"/>
  <c r="K135" i="1" s="1"/>
  <c r="M134" i="1"/>
  <c r="J134" i="1"/>
  <c r="M133" i="1"/>
  <c r="J133" i="1"/>
  <c r="L132" i="1"/>
  <c r="M132" i="1" s="1"/>
  <c r="J132" i="1"/>
  <c r="K132" i="1" s="1"/>
  <c r="M131" i="1"/>
  <c r="J131" i="1"/>
  <c r="M130" i="1"/>
  <c r="J130" i="1"/>
  <c r="L129" i="1"/>
  <c r="M129" i="1" s="1"/>
  <c r="J129" i="1"/>
  <c r="K129" i="1" s="1"/>
  <c r="M128" i="1"/>
  <c r="J128" i="1"/>
  <c r="M127" i="1"/>
  <c r="J127" i="1"/>
  <c r="L126" i="1"/>
  <c r="M126" i="1" s="1"/>
  <c r="J126" i="1"/>
  <c r="K126" i="1" s="1"/>
  <c r="M125" i="1"/>
  <c r="J125" i="1"/>
  <c r="M124" i="1"/>
  <c r="J124" i="1"/>
  <c r="L123" i="1"/>
  <c r="M123" i="1" s="1"/>
  <c r="J123" i="1"/>
  <c r="K123" i="1" s="1"/>
  <c r="M122" i="1"/>
  <c r="J122" i="1"/>
  <c r="M121" i="1"/>
  <c r="J121" i="1"/>
  <c r="L120" i="1"/>
  <c r="M120" i="1" s="1"/>
  <c r="J120" i="1"/>
  <c r="K120" i="1" s="1"/>
  <c r="M119" i="1"/>
  <c r="J119" i="1"/>
  <c r="M118" i="1"/>
  <c r="J118" i="1"/>
  <c r="L117" i="1"/>
  <c r="M117" i="1" s="1"/>
  <c r="J117" i="1"/>
  <c r="K117" i="1" s="1"/>
  <c r="M116" i="1"/>
  <c r="J116" i="1"/>
  <c r="M115" i="1"/>
  <c r="J115" i="1"/>
  <c r="M114" i="1"/>
  <c r="L114" i="1"/>
  <c r="J114" i="1"/>
  <c r="K114" i="1" s="1"/>
  <c r="M113" i="1"/>
  <c r="J113" i="1"/>
  <c r="M112" i="1"/>
  <c r="J112" i="1"/>
  <c r="L111" i="1"/>
  <c r="M111" i="1" s="1"/>
  <c r="J111" i="1"/>
  <c r="K111" i="1" s="1"/>
  <c r="M110" i="1"/>
  <c r="J110" i="1"/>
  <c r="M109" i="1"/>
  <c r="J109" i="1"/>
  <c r="L108" i="1"/>
  <c r="M108" i="1" s="1"/>
  <c r="J108" i="1"/>
  <c r="K108" i="1" s="1"/>
  <c r="L107" i="1"/>
  <c r="M107" i="1" s="1"/>
  <c r="J107" i="1"/>
  <c r="K107" i="1" s="1"/>
  <c r="L106" i="1"/>
  <c r="M106" i="1" s="1"/>
  <c r="J106" i="1"/>
  <c r="K106" i="1" s="1"/>
  <c r="L105" i="1"/>
  <c r="M105" i="1" s="1"/>
  <c r="J105" i="1"/>
  <c r="K105" i="1" s="1"/>
  <c r="L104" i="1"/>
  <c r="M104" i="1" s="1"/>
  <c r="J104" i="1"/>
  <c r="K104" i="1" s="1"/>
  <c r="L103" i="1"/>
  <c r="M103" i="1" s="1"/>
  <c r="J103" i="1"/>
  <c r="K103" i="1" s="1"/>
  <c r="L102" i="1"/>
  <c r="M102" i="1" s="1"/>
  <c r="J102" i="1"/>
  <c r="K102" i="1" s="1"/>
  <c r="L101" i="1"/>
  <c r="M101" i="1" s="1"/>
  <c r="J101" i="1"/>
  <c r="K101" i="1" s="1"/>
  <c r="L100" i="1"/>
  <c r="M100" i="1" s="1"/>
  <c r="J100" i="1"/>
  <c r="K100" i="1" s="1"/>
  <c r="L99" i="1"/>
  <c r="M99" i="1" s="1"/>
  <c r="J99" i="1"/>
  <c r="K99" i="1" s="1"/>
  <c r="L98" i="1"/>
  <c r="M98" i="1" s="1"/>
  <c r="J98" i="1"/>
  <c r="K98" i="1" s="1"/>
  <c r="L97" i="1"/>
  <c r="M97" i="1" s="1"/>
  <c r="J97" i="1"/>
  <c r="K97" i="1" s="1"/>
  <c r="L96" i="1"/>
  <c r="M96" i="1" s="1"/>
  <c r="J96" i="1"/>
  <c r="K96" i="1" s="1"/>
  <c r="L95" i="1"/>
  <c r="M95" i="1" s="1"/>
  <c r="J95" i="1"/>
  <c r="K95" i="1" s="1"/>
  <c r="L94" i="1"/>
  <c r="M94" i="1" s="1"/>
  <c r="J94" i="1"/>
  <c r="K94" i="1" s="1"/>
  <c r="L93" i="1"/>
  <c r="M93" i="1" s="1"/>
  <c r="J93" i="1"/>
  <c r="K93" i="1" s="1"/>
  <c r="L92" i="1"/>
  <c r="M92" i="1" s="1"/>
  <c r="J92" i="1"/>
  <c r="K92" i="1" s="1"/>
  <c r="L91" i="1"/>
  <c r="M91" i="1" s="1"/>
  <c r="J91" i="1"/>
  <c r="K91" i="1" s="1"/>
  <c r="L90" i="1"/>
  <c r="M90" i="1" s="1"/>
  <c r="J90" i="1"/>
  <c r="K90" i="1" s="1"/>
  <c r="L89" i="1"/>
  <c r="M89" i="1" s="1"/>
  <c r="J89" i="1"/>
  <c r="K89" i="1" s="1"/>
  <c r="L88" i="1"/>
  <c r="M88" i="1" s="1"/>
  <c r="J88" i="1"/>
  <c r="K88" i="1" s="1"/>
  <c r="M87" i="1" l="1"/>
  <c r="J87" i="1"/>
  <c r="M86" i="1"/>
  <c r="J86" i="1"/>
  <c r="L85" i="1"/>
  <c r="M85" i="1" s="1"/>
  <c r="J85" i="1"/>
  <c r="K85" i="1" s="1"/>
  <c r="M84" i="1"/>
  <c r="J84" i="1"/>
  <c r="M83" i="1"/>
  <c r="J83" i="1"/>
  <c r="L82" i="1"/>
  <c r="M82" i="1" s="1"/>
  <c r="J82" i="1"/>
  <c r="K82" i="1" s="1"/>
  <c r="M81" i="1"/>
  <c r="J81" i="1"/>
  <c r="M80" i="1"/>
  <c r="J80" i="1"/>
  <c r="L79" i="1"/>
  <c r="M79" i="1" s="1"/>
  <c r="J79" i="1"/>
  <c r="K79" i="1" s="1"/>
  <c r="M78" i="1"/>
  <c r="J78" i="1"/>
  <c r="M77" i="1"/>
  <c r="J77" i="1"/>
  <c r="L76" i="1"/>
  <c r="M76" i="1" s="1"/>
  <c r="J76" i="1"/>
  <c r="K76" i="1" s="1"/>
  <c r="L75" i="1" l="1"/>
  <c r="M75" i="1" s="1"/>
  <c r="J75" i="1"/>
  <c r="K75" i="1" s="1"/>
  <c r="L74" i="1"/>
  <c r="M74" i="1" s="1"/>
  <c r="J74" i="1"/>
  <c r="K74" i="1" s="1"/>
  <c r="L73" i="1"/>
  <c r="M73" i="1" s="1"/>
  <c r="J73" i="1"/>
  <c r="K73" i="1" s="1"/>
  <c r="L72" i="1"/>
  <c r="M72" i="1" s="1"/>
  <c r="J72" i="1"/>
  <c r="K72" i="1" s="1"/>
  <c r="L71" i="1"/>
  <c r="M71" i="1" s="1"/>
  <c r="J71" i="1"/>
  <c r="K71" i="1" s="1"/>
  <c r="L70" i="1"/>
  <c r="M70" i="1" s="1"/>
  <c r="J70" i="1"/>
  <c r="K70" i="1" s="1"/>
  <c r="L69" i="1"/>
  <c r="M69" i="1" s="1"/>
  <c r="J69" i="1"/>
  <c r="K69" i="1" s="1"/>
  <c r="L68" i="1"/>
  <c r="M68" i="1" s="1"/>
  <c r="J68" i="1"/>
  <c r="K68" i="1" s="1"/>
  <c r="L67" i="1" l="1"/>
  <c r="M67" i="1" s="1"/>
  <c r="J67" i="1"/>
  <c r="K67" i="1" s="1"/>
  <c r="L66" i="1"/>
  <c r="M66" i="1" s="1"/>
  <c r="J66" i="1"/>
  <c r="K66" i="1" s="1"/>
  <c r="L65" i="1"/>
  <c r="M65" i="1" s="1"/>
  <c r="J65" i="1"/>
  <c r="K65" i="1" s="1"/>
  <c r="L64" i="1"/>
  <c r="M64" i="1" s="1"/>
  <c r="J64" i="1"/>
  <c r="K64" i="1" s="1"/>
  <c r="L63" i="1"/>
  <c r="M63" i="1" s="1"/>
  <c r="J63" i="1"/>
  <c r="K63" i="1" s="1"/>
  <c r="L62" i="1"/>
  <c r="M62" i="1" s="1"/>
  <c r="J62" i="1"/>
  <c r="K62" i="1" s="1"/>
  <c r="L61" i="1"/>
  <c r="M61" i="1" s="1"/>
  <c r="J61" i="1"/>
  <c r="K61" i="1" s="1"/>
  <c r="L60" i="1"/>
  <c r="M60" i="1" s="1"/>
  <c r="J60" i="1"/>
  <c r="K60" i="1" s="1"/>
  <c r="L59" i="1"/>
  <c r="M59" i="1" s="1"/>
  <c r="J59" i="1"/>
  <c r="K59" i="1" s="1"/>
  <c r="L58" i="1"/>
  <c r="M58" i="1" s="1"/>
  <c r="J58" i="1"/>
  <c r="K58" i="1" s="1"/>
  <c r="L57" i="1"/>
  <c r="M57" i="1" s="1"/>
  <c r="J57" i="1"/>
  <c r="K57" i="1" s="1"/>
  <c r="L56" i="1"/>
  <c r="M56" i="1" s="1"/>
  <c r="J56" i="1"/>
  <c r="K56" i="1" s="1"/>
  <c r="L55" i="1"/>
  <c r="M55" i="1" s="1"/>
  <c r="J55" i="1"/>
  <c r="K55" i="1" s="1"/>
  <c r="L54" i="1"/>
  <c r="M54" i="1" s="1"/>
  <c r="J54" i="1"/>
  <c r="K54" i="1" s="1"/>
  <c r="L53" i="1"/>
  <c r="M53" i="1" s="1"/>
  <c r="J53" i="1"/>
  <c r="K53" i="1" s="1"/>
  <c r="L52" i="1"/>
  <c r="M52" i="1" s="1"/>
  <c r="J52" i="1"/>
  <c r="K52" i="1" s="1"/>
  <c r="L51" i="1"/>
  <c r="M51" i="1" s="1"/>
  <c r="J51" i="1"/>
  <c r="K51" i="1" s="1"/>
  <c r="L50" i="1"/>
  <c r="M50" i="1" s="1"/>
  <c r="J50" i="1"/>
  <c r="K50" i="1" s="1"/>
  <c r="L49" i="1"/>
  <c r="M49" i="1" s="1"/>
  <c r="J49" i="1"/>
  <c r="K49" i="1" s="1"/>
  <c r="L48" i="1"/>
  <c r="M48" i="1" s="1"/>
  <c r="J48" i="1"/>
  <c r="K48" i="1" s="1"/>
  <c r="L47" i="1" l="1"/>
  <c r="M47" i="1" s="1"/>
  <c r="J47" i="1"/>
  <c r="K47" i="1" s="1"/>
  <c r="L46" i="1"/>
  <c r="M46" i="1" s="1"/>
  <c r="J46" i="1"/>
  <c r="K46" i="1" s="1"/>
  <c r="L45" i="1"/>
  <c r="M45" i="1" s="1"/>
  <c r="J45" i="1"/>
  <c r="K45" i="1" s="1"/>
  <c r="L44" i="1"/>
  <c r="M44" i="1" s="1"/>
  <c r="J44" i="1"/>
  <c r="K44" i="1" s="1"/>
  <c r="L43" i="1"/>
  <c r="M43" i="1" s="1"/>
  <c r="J43" i="1"/>
  <c r="K43" i="1" s="1"/>
  <c r="L42" i="1"/>
  <c r="M42" i="1" s="1"/>
  <c r="J42" i="1"/>
  <c r="K42" i="1" s="1"/>
  <c r="L41" i="1"/>
  <c r="M41" i="1" s="1"/>
  <c r="J41" i="1"/>
  <c r="K41" i="1" s="1"/>
  <c r="L40" i="1"/>
  <c r="M40" i="1" s="1"/>
  <c r="J40" i="1"/>
  <c r="K40" i="1" s="1"/>
  <c r="L39" i="1"/>
  <c r="M39" i="1" s="1"/>
  <c r="J39" i="1"/>
  <c r="K39" i="1" s="1"/>
  <c r="L38" i="1"/>
  <c r="M38" i="1" s="1"/>
  <c r="J38" i="1"/>
  <c r="K38" i="1" s="1"/>
  <c r="L37" i="1"/>
  <c r="M37" i="1" s="1"/>
  <c r="J37" i="1"/>
  <c r="K37" i="1" s="1"/>
  <c r="L36" i="1"/>
  <c r="M36" i="1" s="1"/>
  <c r="J36" i="1"/>
  <c r="K36" i="1" s="1"/>
  <c r="L35" i="1"/>
  <c r="M35" i="1" s="1"/>
  <c r="J35" i="1"/>
  <c r="K35" i="1" s="1"/>
  <c r="L34" i="1"/>
  <c r="M34" i="1" s="1"/>
  <c r="J34" i="1"/>
  <c r="K34" i="1" s="1"/>
  <c r="L33" i="1"/>
  <c r="M33" i="1" s="1"/>
  <c r="J33" i="1"/>
  <c r="K33" i="1" s="1"/>
  <c r="L32" i="1"/>
  <c r="M32" i="1" s="1"/>
  <c r="J32" i="1"/>
  <c r="K32" i="1" s="1"/>
  <c r="L31" i="1"/>
  <c r="M31" i="1" s="1"/>
  <c r="J31" i="1"/>
  <c r="K31" i="1" s="1"/>
  <c r="L30" i="1"/>
  <c r="M30" i="1" s="1"/>
  <c r="J30" i="1"/>
  <c r="K30" i="1" s="1"/>
  <c r="L29" i="1"/>
  <c r="M29" i="1" s="1"/>
  <c r="J29" i="1"/>
  <c r="K29" i="1" s="1"/>
  <c r="L28" i="1"/>
  <c r="M28" i="1" s="1"/>
  <c r="J28" i="1"/>
  <c r="K28" i="1" s="1"/>
  <c r="L27" i="1"/>
  <c r="M27" i="1" s="1"/>
  <c r="J27" i="1"/>
  <c r="K27" i="1" s="1"/>
  <c r="L26" i="1"/>
  <c r="M26" i="1" s="1"/>
  <c r="J26" i="1"/>
  <c r="K26" i="1" s="1"/>
  <c r="L25" i="1"/>
  <c r="M25" i="1" s="1"/>
  <c r="J25" i="1"/>
  <c r="K25" i="1" s="1"/>
  <c r="L24" i="1"/>
  <c r="M24" i="1" s="1"/>
  <c r="J24" i="1"/>
  <c r="K24" i="1" s="1"/>
  <c r="L23" i="1"/>
  <c r="M23" i="1" s="1"/>
  <c r="J23" i="1"/>
  <c r="K23" i="1" s="1"/>
  <c r="L22" i="1" l="1"/>
  <c r="M22" i="1" s="1"/>
  <c r="J22" i="1"/>
  <c r="K22" i="1" s="1"/>
  <c r="M21" i="1" l="1"/>
  <c r="J21" i="1"/>
  <c r="M20" i="1"/>
  <c r="J20" i="1"/>
  <c r="M19" i="1"/>
  <c r="J19" i="1"/>
  <c r="L18" i="1"/>
  <c r="M18" i="1" s="1"/>
  <c r="J18" i="1"/>
  <c r="K18" i="1" s="1"/>
  <c r="M17" i="1"/>
  <c r="J17" i="1"/>
  <c r="M16" i="1"/>
  <c r="J16" i="1"/>
  <c r="M15" i="1"/>
  <c r="J15" i="1"/>
  <c r="L14" i="1"/>
  <c r="M14" i="1" s="1"/>
  <c r="J14" i="1"/>
  <c r="K14" i="1" s="1"/>
  <c r="M13" i="1"/>
  <c r="J13" i="1"/>
  <c r="M12" i="1"/>
  <c r="J12" i="1"/>
  <c r="M11" i="1"/>
  <c r="J11" i="1"/>
  <c r="L10" i="1"/>
  <c r="M10" i="1" s="1"/>
  <c r="J10" i="1"/>
  <c r="K10" i="1" s="1"/>
  <c r="M9" i="1"/>
  <c r="J9" i="1"/>
  <c r="M8" i="1"/>
  <c r="J8" i="1"/>
  <c r="M7" i="1"/>
  <c r="J7" i="1"/>
  <c r="L6" i="1"/>
  <c r="M6" i="1" s="1"/>
  <c r="J6" i="1"/>
  <c r="K6" i="1" s="1"/>
  <c r="M5" i="1"/>
  <c r="J5" i="1"/>
  <c r="M4" i="1"/>
  <c r="J4" i="1"/>
  <c r="M3" i="1"/>
  <c r="J3" i="1"/>
  <c r="L2" i="1"/>
  <c r="M2" i="1" s="1"/>
  <c r="J2" i="1"/>
  <c r="K2" i="1" s="1"/>
  <c r="L32" i="9" l="1"/>
  <c r="M32" i="9" s="1"/>
  <c r="J32" i="9"/>
  <c r="K32" i="9" s="1"/>
  <c r="M31" i="9"/>
  <c r="K31" i="9"/>
  <c r="M30" i="9"/>
  <c r="J30" i="9"/>
  <c r="M29" i="9"/>
  <c r="J29" i="9"/>
  <c r="M28" i="9"/>
  <c r="J28" i="9"/>
  <c r="M27" i="9"/>
  <c r="J27" i="9"/>
  <c r="M26" i="9"/>
  <c r="J26" i="9"/>
  <c r="M25" i="9"/>
  <c r="J25" i="9"/>
  <c r="M24" i="9"/>
  <c r="J24" i="9"/>
  <c r="M23" i="9"/>
  <c r="J23" i="9"/>
  <c r="M22" i="9"/>
  <c r="J22" i="9"/>
  <c r="M21" i="9"/>
  <c r="J21" i="9"/>
  <c r="L19" i="9"/>
  <c r="M19" i="9" s="1"/>
  <c r="J19" i="9"/>
  <c r="K19" i="9" s="1"/>
  <c r="M18" i="9"/>
  <c r="K18" i="9"/>
  <c r="M17" i="9"/>
  <c r="J17" i="9"/>
  <c r="M16" i="9"/>
  <c r="J16" i="9"/>
  <c r="M15" i="9"/>
  <c r="J15" i="9"/>
  <c r="L14" i="9"/>
  <c r="M14" i="9" s="1"/>
  <c r="J14" i="9"/>
  <c r="K14" i="9" s="1"/>
  <c r="M13" i="9"/>
  <c r="K13" i="9"/>
  <c r="M12" i="9"/>
  <c r="J12" i="9"/>
  <c r="M11" i="9"/>
  <c r="J11" i="9"/>
  <c r="L10" i="9"/>
  <c r="M10" i="9" s="1"/>
  <c r="J10" i="9"/>
  <c r="K10" i="9" s="1"/>
  <c r="M9" i="9"/>
  <c r="K9" i="9"/>
  <c r="M8" i="9"/>
  <c r="K8" i="9"/>
  <c r="L7" i="9"/>
  <c r="M7" i="9" s="1"/>
  <c r="J7" i="9"/>
  <c r="K7" i="9" s="1"/>
  <c r="M6" i="9"/>
  <c r="K6" i="9"/>
  <c r="L5" i="9"/>
  <c r="M5" i="9" s="1"/>
  <c r="J5" i="9"/>
  <c r="K5" i="9" s="1"/>
  <c r="M4" i="9"/>
  <c r="K4" i="9"/>
  <c r="L3" i="9"/>
  <c r="M3" i="9" s="1"/>
  <c r="J3" i="9"/>
  <c r="K3" i="9" s="1"/>
  <c r="M2" i="9"/>
  <c r="K2" i="9"/>
</calcChain>
</file>

<file path=xl/comments1.xml><?xml version="1.0" encoding="utf-8"?>
<comments xmlns="http://schemas.openxmlformats.org/spreadsheetml/2006/main">
  <authors>
    <author>Autor</author>
  </authors>
  <commentList>
    <comment ref="Q1" authorId="0" guid="{88CCE516-D414-4652-89A5-7789B8C40DDF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26DD39CF-5401-4145-B02D-6BCEB1F1E06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6" authorId="0" guid="{5EF15145-071B-418F-8FE7-C5936A2CCF2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2" authorId="0" guid="{924A2272-9A99-405C-8FCE-F45228DA462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3" authorId="0" guid="{272E1939-0D4E-43A9-8EA5-BB9E2241D4CC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31" authorId="0" guid="{820E9931-282F-44E7-AFFF-DEA2E022C81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48" authorId="0" guid="{498E3FF1-318C-4614-A37D-A5694529C96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68" authorId="0" guid="{1BDB3281-A2D4-4B39-A437-6CCAC13947D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76" authorId="0" guid="{B956360B-FB0D-46B2-A133-128647D17FA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78" authorId="0" guid="{FC5A1B79-9767-4100-B41B-180E3EF5ABA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88" authorId="0" guid="{50602C10-2ADA-4E5E-A407-E33D0391A95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8" authorId="0" guid="{20E08C85-6BCC-49DD-90F6-F37EDE5B18F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23" authorId="0" guid="{9E1AA011-37CD-4197-A7AD-2E059C786E7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27" authorId="0" guid="{B855F027-BFA6-4262-9E52-A6663D50787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29" authorId="0" guid="{D624AA3C-2A82-4CBE-9D79-F325A844F5C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38" authorId="0" guid="{933181BD-E9A9-4493-87A0-A277FE9BE8AC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68" authorId="0" guid="{FBE0C989-2525-413A-9B3B-BBF4248CC8F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187" authorId="0" guid="{A5E9EE4F-333F-4763-B01A-CD16BAF3158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IIridium-Seite ist heller gefärbt</t>
        </r>
      </text>
    </comment>
    <comment ref="C192" authorId="0" guid="{9056E57C-A2D9-48A7-B8EE-03A52526B05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Q1" authorId="0" guid="{F028C47F-296A-4795-B713-B1DEF54BCC45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2CD5B075-C9F9-43B7-B9C0-6647D6CF8B1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1" authorId="0" guid="{43DDFED4-DC2B-46AF-A3FB-20EB7A785F6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32" authorId="0" guid="{44CF3212-02AC-4483-B45A-965064C4A4C2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42" authorId="0" guid="{E2135EB3-48A2-4F66-8754-5F5BA2B83F66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46" authorId="0" guid="{121ACA44-8ACF-4660-B6A1-8233FAEE3161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60" authorId="0" guid="{4BBB0488-E178-438A-A5F8-5C807CF2FF4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Nr.1-6   1/2 PL+IR;
5min Presszeit</t>
        </r>
      </text>
    </comment>
    <comment ref="C69" authorId="0" guid="{9569F4D2-7A84-4DAA-BCED-9CF04AC3CE91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71" authorId="0" guid="{9558974A-7BD3-4E08-BC6C-2924A35ADEF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81" authorId="0" guid="{5832388C-27F8-4A31-829C-5109305E055C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89" authorId="0" guid="{FE160239-216D-46EE-8534-5F5DBACC1ACC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101" authorId="0" guid="{D16950CF-6233-4C74-A35B-2EF1872B2B67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104" authorId="0" guid="{0D69BA5C-C211-487D-B4A7-CC67400D06C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1/2 PL+IR;
5min Presszeit
</t>
        </r>
      </text>
    </comment>
    <comment ref="C113" authorId="0" guid="{6BDF1A9B-0BD8-4FFE-98E2-50F0CEE47B5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Nr.1-6   1/2 PL+IR;
5min Presszeit</t>
        </r>
      </text>
    </comment>
    <comment ref="C116" authorId="0" guid="{E8FD12DD-996F-423E-90A2-CF1786978C4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1/2 PL+IR;
5min Presszeit
</t>
        </r>
      </text>
    </comment>
    <comment ref="C118" authorId="0" guid="{46181D14-E560-4594-8385-7009D4AD6E2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Nr.1-6   1/2 PL+IR;
5min Presszeit</t>
        </r>
      </text>
    </comment>
    <comment ref="C121" authorId="0" guid="{CD049C56-FB72-45E9-A125-54304601785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34" authorId="0" guid="{9C157122-2D51-4DB9-B469-5FE24692C48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1/2 PL+IR;
5min Presszeit
</t>
        </r>
      </text>
    </comment>
    <comment ref="C137" authorId="0" guid="{8495DD69-5B21-4893-9BBC-90BA949C3ECC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39" authorId="0" guid="{1C6EBABF-FDAD-4B17-A741-D6FBDA01C71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59" authorId="0" guid="{FF79DCF9-2285-42B5-9798-56F0F1BC13E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64" authorId="0" guid="{F0C79EE8-6D72-4AA8-9DB1-9FC8ADFBB1D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1/2 PL. + IR.
8 Min Presszeit</t>
        </r>
      </text>
    </comment>
    <comment ref="C174" authorId="0" guid="{67C299FF-D22D-4380-83C8-5B8F625E234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84" authorId="0" guid="{EC7CDEB2-66E4-4911-B716-9D4B919AD285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199" authorId="0" guid="{99D85275-34C4-4C02-B666-4FD7EB934D8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00" authorId="0" guid="{8A701706-CD3C-4C5B-9487-0DE0391C735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03" authorId="0" guid="{C795940F-7B99-48AA-9503-6F6A4439AA5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05" authorId="0" guid="{E8305B7B-FECB-44BE-B6B3-71E6C7BD47D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60" authorId="0" guid="{8CC90F9A-4BC2-4DCC-8359-42AEE62E895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Prototyp
5 Min Presszeit
Kat- 1/2
Mit gorsser Beschitigung auf PL. seite</t>
        </r>
      </text>
    </comment>
    <comment ref="C261" authorId="0" guid="{5C481F8E-D822-4E44-A58A-2F3BB475FD2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Prototyp
5 Min Presszeit
Kat- 1/2
Mit gorsser Beschitigung auf PL. seite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Q1" authorId="0" guid="{FC36C201-8A6F-470F-B031-68594FC3C34B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72E879A5-54E2-4FCF-95C9-636BB653FDF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4" authorId="0" guid="{D1E8DF81-2455-411F-AF31-41F65423C1A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11" authorId="0" guid="{D5C44CE3-EEC9-4E70-8EB8-BDC5F646AD6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Iridium Seite heller</t>
        </r>
      </text>
    </comment>
    <comment ref="C18" authorId="0" guid="{7430C9BA-7C1C-4072-8C5B-F7591FB0A02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22" authorId="0" guid="{D6DFD79E-3613-406A-99C8-871AE0D6AEE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Mem. schlecht geschnitten</t>
        </r>
      </text>
    </comment>
    <comment ref="C32" authorId="0" guid="{3FA4389D-6A72-42DE-A4DD-A81EF47949A6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38" authorId="0" guid="{EE0D513A-2830-4BAC-9686-11CF79E5199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45" authorId="0" guid="{C03854BA-588C-4613-A47D-BD160CF2A6E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MEM. KNAPP GESCHNITTEN</t>
        </r>
      </text>
    </comment>
    <comment ref="C52" authorId="0" guid="{F81CB81F-DC5C-4AF8-ACA2-F8AC85130E19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54" authorId="0" guid="{A0F96245-624E-408B-8BB9-69B0EB96B3FD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R54" authorId="0" guid="{D1DF39D9-4984-4EAF-9685-0D258061661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Mem. schlecht geschnitten</t>
        </r>
      </text>
    </comment>
    <comment ref="C57" authorId="0" guid="{FC351A4D-8790-48FE-A6A3-58D89864BA82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R58" authorId="0" guid="{FC599B8A-38BF-484A-8D80-0249A45A912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Zwei mal beschriftet</t>
        </r>
      </text>
    </comment>
    <comment ref="R62" authorId="0" guid="{BF11DB75-4CAB-4E27-B2F5-E2D4139E2876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Knapp geschnitten</t>
        </r>
      </text>
    </comment>
    <comment ref="C72" authorId="0" guid="{B6B8DBEA-6FFE-43BB-B7A9-7AD00A90D7E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82" authorId="0" guid="{43333B35-2C88-4A22-8E01-3B1252061B43}" shapeId="0">
      <text>
        <r>
          <rPr>
            <b/>
            <sz val="9"/>
            <color indexed="81"/>
            <rFont val="Segoe UI"/>
            <family val="2"/>
          </rPr>
          <t>Autor:
NDE</t>
        </r>
      </text>
    </comment>
    <comment ref="C87" authorId="0" guid="{FEEE8630-FAA9-4E54-ACBB-E4FBF079C9A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1/2 PL.+IR.
15 Min. Presszeit</t>
        </r>
      </text>
    </comment>
    <comment ref="C103" authorId="0" guid="{DF844307-0085-47A5-9F46-B689621F053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4" authorId="0" guid="{7D9DA873-0F27-4DAD-9816-71FF678ADD6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1/2 PL.+IR.
15 Min. Presszeit</t>
        </r>
      </text>
    </comment>
    <comment ref="C107" authorId="0" guid="{719B6C77-5024-4799-8261-726C30F9F386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13" authorId="0" guid="{7C9EB816-9BF3-453A-8919-4AA9F9E679A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17" authorId="0" guid="{0CAE8F6A-370A-42D2-B14D-A0B719C1F8D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32" authorId="0" guid="{9D85354E-A0FA-4D49-B45C-3FF31FE5E54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42" authorId="0" guid="{3C211C49-0171-4857-BBC1-00C19ABF841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44" authorId="0" guid="{03BE7B3F-2C68-4500-879C-53255A62FF2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46" authorId="0" guid="{43FA5E75-4719-4478-9E6C-7814B73A796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61" authorId="0" guid="{1C47A669-BD58-4003-B734-E5A73216DB3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169" authorId="0" guid="{E58D0133-9F79-4C2E-B2C1-4C5C675B6DE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MEM. KNAPP GESCHNITTEN</t>
        </r>
      </text>
    </comment>
    <comment ref="C171" authorId="0" guid="{51794560-60B9-4AEC-830B-BAC5FFB270D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84" authorId="0" guid="{803DC347-10E1-4DC3-82D8-590C76E47E9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222" authorId="0" guid="{61F22323-C02F-4181-BFBB-611F8F74536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MEM. VIELE PUNKTE</t>
        </r>
      </text>
    </comment>
    <comment ref="C224" authorId="0" guid="{2DD31463-BA9A-4721-AD2E-3802D3C9F77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27" authorId="0" guid="{805DA1F1-B74A-4990-A3F9-6462E769475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34" authorId="0" guid="{DF654719-116C-4EC0-B6FA-EDB999F1529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35" authorId="0" guid="{9428B0A1-369F-49E7-9C81-6C45872FA18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38" authorId="0" guid="{1ED09341-9092-450B-B699-F4160B2D2F7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42" authorId="0" guid="{40965DD1-67A3-4BAA-99D7-B40E856B6B1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55" authorId="0" guid="{F3980CCF-7E93-47E5-96F1-7C58A84440F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75" authorId="0" guid="{31BED04F-A8AB-44D9-899A-0D6F138B4BB1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278" authorId="0" guid="{CFBF20B9-5A16-48DA-8C8B-C1671F5A430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Built Version 1.0.0.69, SVN Revision 201
Tool update Flowmeter</t>
        </r>
      </text>
    </comment>
    <comment ref="C348" authorId="0" guid="{1BC0D47D-8295-4385-B8DA-F95353D656E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PL.120 / XC72 120
IR.85  / PL.85
8 Min. Presszeit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Q1" authorId="0" guid="{F79C17B2-DCEC-494D-9095-207D1FEA7E1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02124E06-9B64-46B3-B820-16588AA41C8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9" authorId="0" guid="{9F6DC2A2-2286-4BEC-BA74-A515A158F53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29" authorId="0" guid="{53BAAA5E-D2E0-44B1-AADB-B44949974B8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32" authorId="0" guid="{1DBBBAF8-BF9B-4EEF-832F-AF38CABBB97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44" authorId="0" guid="{72E5FEB5-660D-4D60-B9CD-2D2DF29FB60B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49" authorId="0" guid="{69A79A21-C6CA-4680-8BBD-6E1380580BE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50" authorId="0" guid="{72DBC040-F876-47E7-8118-BB1CA908A1C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53" authorId="0" guid="{8CB0DD88-E806-4883-8824-0212506D0D9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68" authorId="0" guid="{934A3E65-B61E-4504-8DFF-D7BFA8FDF8C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68" authorId="0" guid="{7811AC03-2A06-4B69-9951-1AE6F9B10E71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Membran unregelmäßig geschnitten</t>
        </r>
      </text>
    </comment>
    <comment ref="C73" authorId="0" guid="{1F3307BC-7C9E-4F78-B599-3E580874D78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89" authorId="0" guid="{F89EA630-0D5C-4913-8A7B-2F6DCCA1A87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3" authorId="0" guid="{EED054BE-4325-44CC-9B37-B11077479F4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103" authorId="0" guid="{CA46CB03-E943-4241-8FF5-3FFC22825A6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Doppelbeschreibung</t>
        </r>
      </text>
    </comment>
    <comment ref="C104" authorId="0" guid="{08039A9E-8FDA-42E6-98D3-BA380E0BBDB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7" authorId="0" guid="{B6618E2A-1818-4286-A6F3-9A8EDF25CD2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8" authorId="0" guid="{78F5C6EA-710D-4A31-8C34-998F083DA19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12" authorId="0" guid="{266EDAE3-5072-481B-A57C-6295FAF888F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18" authorId="0" guid="{86015790-02F3-442C-A329-B9582F28F83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19" authorId="0" guid="{65C30EF6-8889-4797-AC74-C5D826424B1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20" authorId="0" guid="{DA02F1D5-2501-4476-911C-5300F0609BA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35" authorId="0" guid="{FFDBB4D7-4B61-4A1F-9B36-200E31B07FD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45" authorId="0" guid="{91B0FD5E-B12E-4A0B-99DD-F5EEF94FD68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50" authorId="0" guid="{E3BA42B7-900E-4CBF-90F8-3F7F967EAAB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55" authorId="0" guid="{D3ECC5BA-795B-4F0C-9EEA-F7C07414D28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62" authorId="0" guid="{265AB060-BB1C-4ECE-BB38-0809A0A3FDE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Q1" authorId="0" guid="{2C4B8E03-365E-4035-A1C4-A2E90C3DE1CC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5071DC14-0C4B-4433-A53A-396CE975B97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4" authorId="0" guid="{EDBCA38C-8EB3-4074-BAF7-B4A15A14D746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14" authorId="0" guid="{504B48F7-AC03-45CA-B1DB-7EE420C8CED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Die Membran ist knapp geschnitten</t>
        </r>
      </text>
    </comment>
    <comment ref="C28" authorId="0" guid="{CE166746-D70A-4E3A-B382-F44261AE9A5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28" authorId="0" guid="{B321F52A-107A-4805-A49F-AA567F2BF0B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Die Membran ist knapp geschnitten</t>
        </r>
      </text>
    </comment>
    <comment ref="C33" authorId="0" guid="{97BC7229-C623-413D-8C49-66ED61290E6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42" authorId="0" guid="{FFD93F32-00A8-4FD4-8978-B335955CDF51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53" authorId="0" guid="{04A167C8-E0F2-441F-BA0E-EB470F8D1E1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54" authorId="0" guid="{5A787AE7-25F0-43BC-A3ED-D7ED9FAC641A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Abdruck von der Schablone</t>
        </r>
      </text>
    </comment>
    <comment ref="R55" authorId="0" guid="{180D9140-ED01-425B-ACBF-33657CAA9BD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Abdruck von der Schablone</t>
        </r>
      </text>
    </comment>
    <comment ref="C72" authorId="0" guid="{A95CE81A-764D-420D-AC79-56705E1A73F1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82" authorId="0" guid="{03E35CB5-4B0D-421E-A8FF-D2109E2E5B61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F82" authorId="0" guid="{33FD1AD7-E1C3-4F0A-B5D0-6942416C2B6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Corriflowsensor 
Nullpunkt eingestellt</t>
        </r>
      </text>
    </comment>
    <comment ref="C102" authorId="0" guid="{7DAAC206-288A-4270-8C06-9688FF605FF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F102" authorId="0" guid="{8A3587B2-3117-45B9-8129-7F93B64D32BC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Corriflowsensor 
Nullpunkt eingestellt
</t>
        </r>
      </text>
    </comment>
    <comment ref="F107" authorId="0" guid="{5A68A302-2954-420C-9416-AAA14230EEC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Corriflowsensor 
Nullpunkt eingestellt</t>
        </r>
      </text>
    </comment>
  </commentList>
</comments>
</file>

<file path=xl/comments6.xml><?xml version="1.0" encoding="utf-8"?>
<comments xmlns="http://schemas.openxmlformats.org/spreadsheetml/2006/main">
  <authors>
    <author>Autor</author>
    <author>Zellenmontage</author>
  </authors>
  <commentList>
    <comment ref="Q1" authorId="0" guid="{543CC5C3-C9CC-4A58-9F00-5DD70E1B45C0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DBB61921-471D-4222-A324-8E2EA0E3597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" authorId="0" guid="{892E2390-8556-462D-99BC-C396D71A0FC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32" authorId="0" guid="{2D7F7084-93B1-4378-9DAD-96279F850D7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33" authorId="0" guid="{9FCF8402-1C74-47F1-9454-E2320793848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Mem. unregelmäßig geschnitten</t>
        </r>
      </text>
    </comment>
    <comment ref="C42" authorId="0" guid="{39FDCC76-048A-4DD7-8097-444A19F5752F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R44" authorId="0" guid="{9990570F-DA7B-44E9-A590-81ED5442F9A5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Mem. unregelmäßig geschnitten</t>
        </r>
      </text>
    </comment>
    <comment ref="E45" authorId="0" guid="{115ECABF-E0B7-4EFF-9004-7BF378B6E52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Neue Spülstation</t>
        </r>
      </text>
    </comment>
    <comment ref="C47" authorId="0" guid="{BEA5A5EA-2A5C-4998-BA01-223E4A20FF1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62" authorId="0" guid="{E4A66E7B-E74D-4A11-B19A-C8602A262FA1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72" authorId="0" guid="{D2C05826-D62D-4294-826D-A98A1842A8B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82" authorId="0" guid="{E72F1295-C226-40FA-8333-B42D8DF3E7B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92" authorId="0" guid="{35ED6622-D0D8-4758-B649-A4958D9F9082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2" authorId="0" guid="{E562A7F4-11ED-40B0-B065-572FB570EB6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</t>
        </r>
      </text>
    </comment>
    <comment ref="C107" authorId="1" guid="{78BDB948-97CA-4A1B-85FE-F8E336BE73F8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R123" authorId="1" guid="{DF226EA8-9AC4-4733-8C82-19B2D6C20A94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Mem. unregelmäßig geschnitten
</t>
        </r>
      </text>
    </comment>
  </commentList>
</comments>
</file>

<file path=xl/comments7.xml><?xml version="1.0" encoding="utf-8"?>
<comments xmlns="http://schemas.openxmlformats.org/spreadsheetml/2006/main">
  <authors>
    <author>Autor</author>
    <author>Zellenmontage</author>
  </authors>
  <commentList>
    <comment ref="Q1" authorId="0" guid="{8A54888E-D6AA-46A1-B200-23A754A4F449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7DDE497B-848A-48DD-A396-B4A006413353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22" authorId="0" guid="{BF835C6B-FA99-4E49-9E06-52BA8A705160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32" authorId="0" guid="{8719FC7A-0069-4CC7-BAB5-8194A74BB72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42" authorId="0" guid="{CFEC5A71-AAAB-4AD2-B4E1-65438886EF1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62" authorId="0" guid="{84C941F5-F579-4864-A7D3-0F4A051E2BFE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R65" authorId="1" guid="{288E1C05-90A9-4A6A-9E75-F5AADF181DB5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Mem. unregelmäßig geschnitten
</t>
        </r>
      </text>
    </comment>
    <comment ref="C81" authorId="0" guid="{4B2FBCB1-B904-44F1-B488-998E9093A499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92" authorId="1" guid="{4E2340FE-EFF3-4617-A15A-19ED2CF261C1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112" authorId="1" guid="{B822926F-B0BD-4BC4-B5C3-39084F53D087}" shapeId="0">
      <text>
        <r>
          <rPr>
            <b/>
            <sz val="9"/>
            <color indexed="81"/>
            <rFont val="Segoe UI"/>
            <family val="2"/>
          </rPr>
          <t>Zellenmontage: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122" authorId="0" guid="{B6371A84-040F-4EB2-B8AE-5CAE70EB8C77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131" authorId="0" guid="{92769FE7-F533-4B8E-90F1-F935D98D801D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142" authorId="0" guid="{E7706D46-629D-4B07-87C1-C51F1723B094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161" authorId="0" guid="{AE6AD8D1-2027-46CC-A76A-C4976C382716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162" authorId="0" guid="{8EBF683D-24A0-4088-B22A-A6CDC50A8338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170" authorId="1" guid="{F841F523-471B-476E-85A1-844FDAE5B78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80" authorId="1" guid="{FE2B0FAB-2F0D-4E9F-BA59-5BA00FA2536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8.xml><?xml version="1.0" encoding="utf-8"?>
<comments xmlns="http://schemas.openxmlformats.org/spreadsheetml/2006/main">
  <authors>
    <author>Autor</author>
  </authors>
  <commentList>
    <comment ref="Q1" authorId="0" guid="{75E6370A-7213-4C91-9CC2-54CD6B0D4ABA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comments9.xml><?xml version="1.0" encoding="utf-8"?>
<comments xmlns="http://schemas.openxmlformats.org/spreadsheetml/2006/main">
  <authors>
    <author>Autor</author>
    <author>Zellenmontage</author>
  </authors>
  <commentList>
    <comment ref="Q1" authorId="0" guid="{0EC5C4FF-92C1-43B1-9F60-70412A55150A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0" guid="{174CF59A-A4FB-4911-B2E6-4A10315CCA26}" shapeId="0">
      <text>
        <r>
          <rPr>
            <b/>
            <sz val="9"/>
            <color indexed="81"/>
            <rFont val="Segoe UI"/>
            <family val="2"/>
          </rPr>
          <t>Autor:</t>
        </r>
        <r>
          <rPr>
            <sz val="9"/>
            <color indexed="81"/>
            <rFont val="Segoe UI"/>
            <family val="2"/>
          </rPr>
          <t xml:space="preserve">
NDE
</t>
        </r>
      </text>
    </comment>
    <comment ref="C21" authorId="1" guid="{DB9C3010-B496-4AB8-A063-3E24E627C71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2" authorId="1" guid="{8EE5070E-03B6-4C05-8F9D-1BC6023691D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32" authorId="1" guid="{348D3AF6-0E35-471C-9F47-F928F81D2EC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C36" authorId="1" guid="{D1C1C1A9-3D0C-4AD1-8168-99F2E2DF287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9" authorId="1" guid="{E5000EFA-45DE-4B96-828D-C16D980A555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9" authorId="1" guid="{1D6A11D5-2146-4510-B932-513A3E778EE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1" authorId="1" guid="{0A341C7C-B247-4143-853D-8380365F0BC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4" authorId="1" guid="{F5262CCC-F309-45DF-A795-F28FE2BC89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1" authorId="1" guid="{1A6AF3DE-9336-459F-9EF7-C8BF6D2E59D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4" authorId="1" guid="{2FB800CD-2754-4470-A5A1-DCBC6A268E9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91" authorId="1" guid="{303870D7-36DB-4CED-9371-C0E7FD27D97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1" authorId="1" guid="{869FA83C-2520-482E-B3A0-27CAE5E4182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62" authorId="1" guid="{860C3379-EDC8-4FF8-84B3-4C22C400914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162" authorId="1" guid="{2EBBC25C-5EDC-4D13-995C-67AB3CF6705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C166" authorId="1" guid="{8435A8AF-E04C-43D3-80C2-A4A43470A70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72" authorId="1" guid="{53199322-1DB3-439B-BECC-D33349C48B3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10.xml><?xml version="1.0" encoding="utf-8"?>
<comments xmlns="http://schemas.openxmlformats.org/spreadsheetml/2006/main">
  <authors>
    <author>Autor</author>
    <author>Zellenmontage</author>
  </authors>
  <commentList>
    <comment ref="Q1" authorId="0" guid="{DE2F3991-2837-4BE6-B78F-17974C469EFD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7D98C6A8-DA2E-4975-8673-1ABEDCEE424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" authorId="1" guid="{2376DA7A-B740-4769-9C23-9E1ABB04715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4" authorId="1" guid="{C0E3D7F6-23D3-47AF-B2AD-8E58664B491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7" authorId="1" guid="{6F3E0E68-20C5-4F78-95BF-BA96F2076D0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21" authorId="1" guid="{411B10CE-C3CA-49CB-96C6-ABB4141CC84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B32" authorId="1" guid="{30DDF3EB-F267-4F81-9DFD-D581D33D35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Zelle für Testing
</t>
        </r>
      </text>
    </comment>
    <comment ref="C32" authorId="1" guid="{03E40411-BDF3-4604-8AA6-ED08397A24D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B44" authorId="1" guid="{B4F17933-42BC-45FD-9FFE-5DA49CA8C65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Zelle für Testing
</t>
        </r>
      </text>
    </comment>
    <comment ref="C48" authorId="1" guid="{AF4832AB-0FD4-4BAF-B747-1B225CF23E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B56" authorId="1" guid="{2D7D67B5-655A-46FB-AD00-9E07EA4F7FE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Zelle für Testing
</t>
        </r>
      </text>
    </comment>
    <comment ref="B68" authorId="1" guid="{7017DFA4-9498-4ED4-8195-C8D86437229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Zelle für Testing
</t>
        </r>
      </text>
    </comment>
    <comment ref="C68" authorId="1" guid="{352F9299-F495-41E2-954F-0C461452FF9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B80" authorId="1" guid="{7B7581F2-14B4-4166-9742-48FB554A858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Prototyp für Patrick
</t>
        </r>
        <r>
          <rPr>
            <b/>
            <sz val="9"/>
            <color indexed="81"/>
            <rFont val="Segoe UI"/>
            <charset val="1"/>
          </rPr>
          <t xml:space="preserve">Zellenmontage:
</t>
        </r>
      </text>
    </comment>
    <comment ref="C80" authorId="1" guid="{C3D7FBC1-2D5C-4CD6-A037-741741ACE28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6" authorId="1" guid="{298CAA72-30D2-4DFE-926F-295ED9E9810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8" authorId="1" guid="{B39FF2E6-7D64-48B6-BD32-DA7E160D0FB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98" authorId="1" guid="{38EC69FF-5B3A-4CCF-B4EE-EE7FDAC4C4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Knapp geschnitten
</t>
        </r>
      </text>
    </comment>
    <comment ref="C106" authorId="1" guid="{235C89C9-8AE5-4037-B8B9-2710F88A99B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8" authorId="1" guid="{D7FECECA-2A44-4B9A-BCAC-CF4FDF4DB73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115" authorId="1" guid="{A7C58BDD-59C7-4D50-975B-BFF73B9D31A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Irridium-Seite ist heller gefärbt
</t>
        </r>
      </text>
    </comment>
    <comment ref="R116" authorId="1" guid="{DD819DA1-E4F3-4B1A-80AB-F9423D93850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R126" authorId="1" guid="{8F57D89F-AF9A-49F6-AB99-505C79E4043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C128" authorId="1" guid="{0EAAAA09-D2B9-4F6D-8C27-770C8CA1265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6" authorId="1" guid="{CFE9F79C-9FF8-4CED-8FFB-1B03CECDFEC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B156" authorId="1" guid="{EAA9B822-5790-4482-8636-CBEEA240E52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Zelle mit neuen Membranen
</t>
        </r>
      </text>
    </comment>
    <comment ref="C156" authorId="1" guid="{0AE54179-FAD9-47A8-AA84-17E393AB787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68" authorId="1" guid="{8D243C7A-B895-4CF4-B658-F28435ADE0B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88" authorId="1" guid="{90F1BD73-E17D-429B-A74E-66023C83384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08" authorId="1" guid="{A4EDB00B-095A-4BD7-8306-752638B00AA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18" authorId="1" guid="{CC80A914-6589-440F-98BC-158659E3C2D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33" authorId="1" guid="{F66F4EB6-5E60-425B-B325-44D8C95265CA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40" authorId="1" guid="{8B49CD3C-08C1-4D82-A1A2-6A0EE9DF271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58" authorId="1" guid="{BB24D7A2-1D61-49AD-85DA-7DDBF7C23CC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11.xml><?xml version="1.0" encoding="utf-8"?>
<comments xmlns="http://schemas.openxmlformats.org/spreadsheetml/2006/main">
  <authors>
    <author>Autor</author>
    <author>Zellenmontage</author>
  </authors>
  <commentList>
    <comment ref="Q1" authorId="0" guid="{DC36535C-2B7B-4213-BF6D-9BF7289DDFAB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15A8D711-959C-4AB3-93E4-C98EECD77B3C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6" authorId="1" guid="{5337A532-62D0-469E-9390-1B0E89B6584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7" authorId="1" guid="{7546C6ED-7533-464C-A69E-F830C4B4370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C26" authorId="1" guid="{BF42F0CC-8560-46F6-9F1A-825B3C68EDF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2" authorId="1" guid="{FB3B3980-0C3B-4705-8C4C-2F300817E469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7" authorId="1" guid="{445B6D96-B53C-40C1-8AC3-C794B85C5CD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57" authorId="1" guid="{06B7EA7D-DDD9-4D7B-ACA9-873ACEC28D2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65" authorId="1" guid="{9A63C670-FD42-4BCB-AD36-B6663543C4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R66" authorId="1" guid="{C5F05297-3A06-452C-B648-CEE4D62D14A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R69" authorId="1" guid="{37F44B82-CF55-472B-A6CA-CB772ABE7560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C75" authorId="1" guid="{265486BA-4D01-4DE1-9451-C783FA2E840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7" authorId="1" guid="{E2750052-B86F-4D88-BAEF-0D778DAFA9C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79" authorId="1" guid="{46887F65-BC05-4B6D-AEEE-8F46C70C169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95" authorId="1" guid="{5CA04590-CBCA-41E2-A3A8-B5FD555224D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knapp geschnitten
</t>
        </r>
      </text>
    </comment>
    <comment ref="C97" authorId="1" guid="{5587D8F0-AAEC-4A98-A02C-A109D527E0F6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7" authorId="1" guid="{40AB0014-8CF3-4139-A740-023A3018C02E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7" authorId="1" guid="{93EC4A86-DF9C-478A-9543-FDDBB15B3CD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19" authorId="1" guid="{C7E2B8E3-0236-460C-9E2C-24977480FC3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4" authorId="1" guid="{F6098D51-BDAB-46C1-9576-BBC3CC90A852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148" authorId="1" guid="{32C5C4E8-B8B8-4304-BFBE-8AC7911D8F6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C154" authorId="1" guid="{18490DB0-4231-424D-A694-0748B2F5F3F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156" authorId="1" guid="{19D1604D-495B-4986-BC9A-A98463C419C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C162" authorId="1" guid="{6B472A3E-BCDB-4E0F-98C0-31D113DA7D5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83" authorId="1" guid="{4B098B6E-4F3B-4673-AA8A-585ACFA049C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94" authorId="1" guid="{BFBFB246-5B62-4BDD-8895-099A548F241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22" authorId="1" guid="{1D2C3EA9-B5A2-4868-A39B-183C7B1D49C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24" authorId="1" guid="{6A7939E0-31FF-49B8-B299-313D91FDA09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279" authorId="1" guid="{79AFF9D8-B9AD-4DF1-B658-ACCEF6068EB7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Mit neuem Platin
</t>
        </r>
      </text>
    </comment>
  </commentList>
</comments>
</file>

<file path=xl/comments12.xml><?xml version="1.0" encoding="utf-8"?>
<comments xmlns="http://schemas.openxmlformats.org/spreadsheetml/2006/main">
  <authors>
    <author>Autor</author>
    <author>Zellenmontage</author>
  </authors>
  <commentList>
    <comment ref="Q1" authorId="0" guid="{406298E2-0369-4359-B265-2BD2692E0246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  <comment ref="C2" authorId="1" guid="{1D4948FB-6C50-45B0-AE5E-AFEAB1719BF3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0" authorId="1" guid="{210AAB8C-B71F-4DD8-9768-01A4D602C7A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32" authorId="1" guid="{B28D3141-7977-48B2-8EAA-4293307BB1E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82" authorId="1" guid="{EEFD940D-9846-4AD7-86FE-BD660159DB55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R89" authorId="1" guid="{5376A4C4-B8E9-439B-A58E-70FE094AFF04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 und knapp
</t>
        </r>
      </text>
    </comment>
    <comment ref="R107" authorId="1" guid="{9CD4E310-11D9-4E45-89D5-CE72BA104C5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 unregelmäßig geschnitten
</t>
        </r>
      </text>
    </comment>
    <comment ref="R117" authorId="1" guid="{5F6A2BC6-EF43-4FC8-B59D-D3377A079C91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Mem.Überlappung
</t>
        </r>
      </text>
    </comment>
    <comment ref="C122" authorId="1" guid="{ECAFBD7E-40C9-40F8-9375-FB7CE73E703F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29" authorId="1" guid="{9C0366E9-09D4-49F9-9B57-8D9E85018438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35" authorId="1" guid="{4AAB4650-FF3A-4FE6-AF4C-2057660EB29D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  <comment ref="C145" authorId="1" guid="{EEA5161E-00B0-4565-9F41-9D8A427BC63B}" shapeId="0">
      <text>
        <r>
          <rPr>
            <b/>
            <sz val="9"/>
            <color indexed="81"/>
            <rFont val="Segoe UI"/>
            <charset val="1"/>
          </rPr>
          <t>Zellenmontage:</t>
        </r>
        <r>
          <rPr>
            <sz val="9"/>
            <color indexed="81"/>
            <rFont val="Segoe UI"/>
            <charset val="1"/>
          </rPr>
          <t xml:space="preserve">
NDE
</t>
        </r>
      </text>
    </comment>
  </commentList>
</comments>
</file>

<file path=xl/comments13.xml><?xml version="1.0" encoding="utf-8"?>
<comments xmlns="http://schemas.openxmlformats.org/spreadsheetml/2006/main">
  <authors>
    <author>Autor</author>
  </authors>
  <commentList>
    <comment ref="Q1" authorId="0" guid="{66CA7373-E30C-4EA5-9FF8-64AFB487894B}" shapeId="0">
      <text>
        <r>
          <rPr>
            <sz val="9"/>
            <color indexed="81"/>
            <rFont val="Segoe UI"/>
            <family val="2"/>
          </rPr>
          <t xml:space="preserve">O-Elektrode mit Gravur
an falscher Position;
*= Flachdichtung DB-10093
b= Bächler- Elektrode
</t>
        </r>
      </text>
    </comment>
  </commentList>
</comments>
</file>

<file path=xl/sharedStrings.xml><?xml version="1.0" encoding="utf-8"?>
<sst xmlns="http://schemas.openxmlformats.org/spreadsheetml/2006/main" count="14954" uniqueCount="3831">
  <si>
    <t>FA 
#</t>
  </si>
  <si>
    <t>Cell
#</t>
  </si>
  <si>
    <t>Membran Batch FA</t>
  </si>
  <si>
    <t>Test Station Nr.</t>
  </si>
  <si>
    <t>Temp Kat T1-T2 / [°C]</t>
  </si>
  <si>
    <t>Gasfluss / [mln / min]</t>
  </si>
  <si>
    <t>Membrane V
@ 13 bar/[V]</t>
  </si>
  <si>
    <t>Cell V
@ 13 bar/[V]</t>
  </si>
  <si>
    <t>Cell V
@ 0 bar [V]</t>
  </si>
  <si>
    <t>Volt Diff. [V]</t>
  </si>
  <si>
    <t>H2 Prod  SmL/A</t>
  </si>
  <si>
    <t xml:space="preserve">Type </t>
  </si>
  <si>
    <t>Anz. Layer</t>
  </si>
  <si>
    <t>Strom / [A]</t>
  </si>
  <si>
    <t>Bemerkungen</t>
  </si>
  <si>
    <t xml:space="preserve">Visum
</t>
  </si>
  <si>
    <t>MI-V4</t>
  </si>
  <si>
    <t>MU1</t>
  </si>
  <si>
    <t>MU1-V2</t>
  </si>
  <si>
    <t>MU2</t>
  </si>
  <si>
    <t>MU2-V2</t>
  </si>
  <si>
    <t>"</t>
  </si>
  <si>
    <t>MU3</t>
  </si>
  <si>
    <t>MU3-V2</t>
  </si>
  <si>
    <t>MU4-V2</t>
  </si>
  <si>
    <t>MU12</t>
  </si>
  <si>
    <t>MU12-V1</t>
  </si>
  <si>
    <t>MA-V1-R</t>
  </si>
  <si>
    <t>Revision</t>
  </si>
  <si>
    <t xml:space="preserve">Reparatur </t>
  </si>
  <si>
    <t>Test</t>
  </si>
  <si>
    <t>LP</t>
  </si>
  <si>
    <t>FA667907</t>
  </si>
  <si>
    <t>24A-0001Z</t>
  </si>
  <si>
    <t>24A-0002Z</t>
  </si>
  <si>
    <t>24A-0003Z</t>
  </si>
  <si>
    <t>24A-0004Z</t>
  </si>
  <si>
    <t>24A-0005Z</t>
  </si>
  <si>
    <t>MEM.DIK19</t>
  </si>
  <si>
    <t>MEM.DIK20</t>
  </si>
  <si>
    <t>MEM.DIK14</t>
  </si>
  <si>
    <t>MEM.DIK15</t>
  </si>
  <si>
    <t>MEM.DIK12</t>
  </si>
  <si>
    <t>MEM.DIK5</t>
  </si>
  <si>
    <t>MEM.DIK6</t>
  </si>
  <si>
    <t>MEM.DIK7</t>
  </si>
  <si>
    <t>MEM.DIK8</t>
  </si>
  <si>
    <t>MEM.DIK9</t>
  </si>
  <si>
    <t>MEM.DIK10</t>
  </si>
  <si>
    <t>MEM.DIK2</t>
  </si>
  <si>
    <t>MEM.DIK3</t>
  </si>
  <si>
    <t>MEM.DIK4</t>
  </si>
  <si>
    <t>MEM.DIS15</t>
  </si>
  <si>
    <t>MEM.DIS12</t>
  </si>
  <si>
    <t>MEM.DIS13</t>
  </si>
  <si>
    <t>MEM.DIS14</t>
  </si>
  <si>
    <t>MEM.DIS11</t>
  </si>
  <si>
    <t>MEM.DIS10</t>
  </si>
  <si>
    <t xml:space="preserve">       NEUE SPÜLANLAGE LINKE SEITE</t>
  </si>
  <si>
    <t xml:space="preserve">JEDE STUNDE EIN/AUSSCHALTEN  </t>
  </si>
  <si>
    <t>68P</t>
  </si>
  <si>
    <t>70P</t>
  </si>
  <si>
    <t>69P</t>
  </si>
  <si>
    <t>19P</t>
  </si>
  <si>
    <t>18P</t>
  </si>
  <si>
    <t>FA768196</t>
  </si>
  <si>
    <t>19B-0065Z-R</t>
  </si>
  <si>
    <t>MEM.DIS2</t>
  </si>
  <si>
    <t>FA768890</t>
  </si>
  <si>
    <t>24A-0006Z</t>
  </si>
  <si>
    <t>24A-0007Z</t>
  </si>
  <si>
    <t>24A-0008Z</t>
  </si>
  <si>
    <t>24A-0009Z</t>
  </si>
  <si>
    <t>24A-0010Z</t>
  </si>
  <si>
    <t>24A-0011Z</t>
  </si>
  <si>
    <t>24A-0012Z</t>
  </si>
  <si>
    <t>24A-0013Z</t>
  </si>
  <si>
    <t>24A-0014Z</t>
  </si>
  <si>
    <t>24A-0015Z</t>
  </si>
  <si>
    <t>24A-0016Z</t>
  </si>
  <si>
    <t>24A-0017Z</t>
  </si>
  <si>
    <t>24A-0018Z</t>
  </si>
  <si>
    <t>24A-0019Z</t>
  </si>
  <si>
    <t>24A-0020Z</t>
  </si>
  <si>
    <t>24A-0021Z</t>
  </si>
  <si>
    <t>24A-0022Z</t>
  </si>
  <si>
    <t>24A-0023Z</t>
  </si>
  <si>
    <t>24A-0024Z</t>
  </si>
  <si>
    <t>24A-0025Z</t>
  </si>
  <si>
    <t>24A-0026Z</t>
  </si>
  <si>
    <t>24A-0027Z</t>
  </si>
  <si>
    <t>24A-0028Z</t>
  </si>
  <si>
    <t>24A-0029Z</t>
  </si>
  <si>
    <t>24A-0030Z</t>
  </si>
  <si>
    <t>MEM.DIS3</t>
  </si>
  <si>
    <t>MEM.DIS8</t>
  </si>
  <si>
    <t>MEM.DIS9</t>
  </si>
  <si>
    <t>MEM.DIS7</t>
  </si>
  <si>
    <t>MEM.DIS4</t>
  </si>
  <si>
    <t>MEM.DIS5</t>
  </si>
  <si>
    <t>MEM.DIS1</t>
  </si>
  <si>
    <t>MEM.DIT13</t>
  </si>
  <si>
    <t>MEM.DIT14</t>
  </si>
  <si>
    <t xml:space="preserve">       NEUE SPÜLANLAGE RECHTE SEITE</t>
  </si>
  <si>
    <t>46P</t>
  </si>
  <si>
    <t>52P</t>
  </si>
  <si>
    <t>43P</t>
  </si>
  <si>
    <t>37P</t>
  </si>
  <si>
    <t>44P</t>
  </si>
  <si>
    <t>55P</t>
  </si>
  <si>
    <t>42P</t>
  </si>
  <si>
    <t>35P</t>
  </si>
  <si>
    <t>MEM.DIT15</t>
  </si>
  <si>
    <t>MEM.DIT12</t>
  </si>
  <si>
    <t>MEM.DIT11</t>
  </si>
  <si>
    <t>MEM.DIT10</t>
  </si>
  <si>
    <t>MEM.DIT9</t>
  </si>
  <si>
    <t>MEM.DIT7</t>
  </si>
  <si>
    <t>MEM.DIT6</t>
  </si>
  <si>
    <t>MEM.DIT8</t>
  </si>
  <si>
    <t>MEM.DIT4</t>
  </si>
  <si>
    <t>MEM.DIT1</t>
  </si>
  <si>
    <t>MEM.DIT2</t>
  </si>
  <si>
    <t>MEM.DIU11</t>
  </si>
  <si>
    <t>MEM.DIU12</t>
  </si>
  <si>
    <t>MEM.DIU13</t>
  </si>
  <si>
    <t>MEM.DIU15</t>
  </si>
  <si>
    <t>57P</t>
  </si>
  <si>
    <t>33P</t>
  </si>
  <si>
    <t>36P</t>
  </si>
  <si>
    <t>38P</t>
  </si>
  <si>
    <t>30P</t>
  </si>
  <si>
    <t>31P</t>
  </si>
  <si>
    <t>23P</t>
  </si>
  <si>
    <t>41P</t>
  </si>
  <si>
    <t>NDE/LP</t>
  </si>
  <si>
    <t>24A-0031Z</t>
  </si>
  <si>
    <t>24A-0032Z</t>
  </si>
  <si>
    <t>24A-0033Z</t>
  </si>
  <si>
    <t>24A-0034Z</t>
  </si>
  <si>
    <t>24A-0035Z</t>
  </si>
  <si>
    <t>24A-0036Z</t>
  </si>
  <si>
    <t>24A-0037Z</t>
  </si>
  <si>
    <t>24A-0038Z</t>
  </si>
  <si>
    <t>24A-0039Z</t>
  </si>
  <si>
    <t>24A-0040Z</t>
  </si>
  <si>
    <t>24A-0041Z</t>
  </si>
  <si>
    <t>24A-0042Z</t>
  </si>
  <si>
    <t>24A-0043Z</t>
  </si>
  <si>
    <t>24A-0044Z</t>
  </si>
  <si>
    <t>24A-0045Z</t>
  </si>
  <si>
    <t>24A-0046Z</t>
  </si>
  <si>
    <t>24A-0047Z</t>
  </si>
  <si>
    <t>24A-0048Z</t>
  </si>
  <si>
    <t>24A-0049Z</t>
  </si>
  <si>
    <t>24A-0050Z</t>
  </si>
  <si>
    <t>24A-0051Z</t>
  </si>
  <si>
    <t>24A-0052Z</t>
  </si>
  <si>
    <t>24A-0053Z</t>
  </si>
  <si>
    <t>24A-0054Z</t>
  </si>
  <si>
    <t>24A-0055Z</t>
  </si>
  <si>
    <t>24A-0056Z</t>
  </si>
  <si>
    <t>24A-0057Z</t>
  </si>
  <si>
    <t>24A-0058Z</t>
  </si>
  <si>
    <t>MEM.DIU10</t>
  </si>
  <si>
    <t>MEM.DIU9</t>
  </si>
  <si>
    <t>MEM.DIU8</t>
  </si>
  <si>
    <t>MEM.DIU6</t>
  </si>
  <si>
    <t>MEM.DIU7</t>
  </si>
  <si>
    <t>MEM.DIU5</t>
  </si>
  <si>
    <t>MEM.DIU3</t>
  </si>
  <si>
    <t>MEM.DIU4</t>
  </si>
  <si>
    <t>24A-0059Z</t>
  </si>
  <si>
    <t>24A-0060Z</t>
  </si>
  <si>
    <t>24A-0061Z</t>
  </si>
  <si>
    <t>24A-0062Z</t>
  </si>
  <si>
    <t>MEM.DIU2</t>
  </si>
  <si>
    <t>MEM.DIU1</t>
  </si>
  <si>
    <t>MEM.DIY14</t>
  </si>
  <si>
    <t>MEM.DIb2</t>
  </si>
  <si>
    <t>MEM.DIb1</t>
  </si>
  <si>
    <t>MEM.DIb4</t>
  </si>
  <si>
    <t>MEM.DIb9</t>
  </si>
  <si>
    <t>MEM.DIb5</t>
  </si>
  <si>
    <t>MEM.DIb3</t>
  </si>
  <si>
    <t>MEM.DIb7</t>
  </si>
  <si>
    <t>MEM.DIb10</t>
  </si>
  <si>
    <t>MEM.DIb12</t>
  </si>
  <si>
    <t>MEM.DIb6</t>
  </si>
  <si>
    <t>MEM.DIb11</t>
  </si>
  <si>
    <t>MEM.DIb13</t>
  </si>
  <si>
    <t>MEM.DIb8</t>
  </si>
  <si>
    <t>MEM.DIb15</t>
  </si>
  <si>
    <t>MEM.DIb14</t>
  </si>
  <si>
    <t>MEM.Dia1</t>
  </si>
  <si>
    <t>MEM.Dia5</t>
  </si>
  <si>
    <t>MEM.Dia2</t>
  </si>
  <si>
    <t>MEM.Dia3</t>
  </si>
  <si>
    <t>MEM.Dia4</t>
  </si>
  <si>
    <t>MEM.DIY15</t>
  </si>
  <si>
    <t>MEM.DIY13</t>
  </si>
  <si>
    <t>MEM.DIY11</t>
  </si>
  <si>
    <t>MEM.DIY10</t>
  </si>
  <si>
    <t>MEM.DIY9</t>
  </si>
  <si>
    <t>MEM.DIY5</t>
  </si>
  <si>
    <t>MEM.DIY7</t>
  </si>
  <si>
    <t>MEM.DIY8</t>
  </si>
  <si>
    <t>MEM.DIY3</t>
  </si>
  <si>
    <t>24A-0063Z</t>
  </si>
  <si>
    <t>24A-0064Z</t>
  </si>
  <si>
    <t>24A-0065Z</t>
  </si>
  <si>
    <t>24A-0066Z</t>
  </si>
  <si>
    <t>24A-0067Z</t>
  </si>
  <si>
    <t>24A-0068Z</t>
  </si>
  <si>
    <t>24A-0069Z</t>
  </si>
  <si>
    <t>24A-0070Z</t>
  </si>
  <si>
    <t>24A-0071Z</t>
  </si>
  <si>
    <t>24A-0072Z</t>
  </si>
  <si>
    <t>24A-0073Z</t>
  </si>
  <si>
    <t>24A-0074Z</t>
  </si>
  <si>
    <t>24A-0075Z</t>
  </si>
  <si>
    <t>24A-0076Z</t>
  </si>
  <si>
    <t>24A-0077Z</t>
  </si>
  <si>
    <t>24A-0078Z</t>
  </si>
  <si>
    <t>24A-0079Z</t>
  </si>
  <si>
    <t>24A-0080Z</t>
  </si>
  <si>
    <t>24A-0081Z</t>
  </si>
  <si>
    <t>24A-0082Z</t>
  </si>
  <si>
    <t>FA771618</t>
  </si>
  <si>
    <t>FA771607</t>
  </si>
  <si>
    <t>FA771623</t>
  </si>
  <si>
    <t>61P</t>
  </si>
  <si>
    <t>51P</t>
  </si>
  <si>
    <t>60P</t>
  </si>
  <si>
    <t>53P</t>
  </si>
  <si>
    <t>49P</t>
  </si>
  <si>
    <t>54P</t>
  </si>
  <si>
    <t>50P</t>
  </si>
  <si>
    <t>17P</t>
  </si>
  <si>
    <t>14P</t>
  </si>
  <si>
    <t>26P</t>
  </si>
  <si>
    <t>24A-0083Z</t>
  </si>
  <si>
    <t>24A-0084Z</t>
  </si>
  <si>
    <t>24A-0085Z</t>
  </si>
  <si>
    <t>24A-0086Z</t>
  </si>
  <si>
    <t>24A-0087Z</t>
  </si>
  <si>
    <t>24A-0088Z</t>
  </si>
  <si>
    <t>24A-0089Z</t>
  </si>
  <si>
    <t>24A-0090Z</t>
  </si>
  <si>
    <t>24A-0091Z</t>
  </si>
  <si>
    <t>24A-0092Z</t>
  </si>
  <si>
    <t>24A-0093Z</t>
  </si>
  <si>
    <t>24A-0094Z</t>
  </si>
  <si>
    <t>24A-0095Z</t>
  </si>
  <si>
    <t>24A-0096Z</t>
  </si>
  <si>
    <t>24A-0097Z</t>
  </si>
  <si>
    <t>24A-0098Z</t>
  </si>
  <si>
    <t>24A-0099Z</t>
  </si>
  <si>
    <t>24A-0100Z</t>
  </si>
  <si>
    <t>24A-0101Z</t>
  </si>
  <si>
    <t>24A-0102Z</t>
  </si>
  <si>
    <t>24A-0103Z</t>
  </si>
  <si>
    <t>24A-0104Z</t>
  </si>
  <si>
    <t>24A-0105Z</t>
  </si>
  <si>
    <t>24A-0106Z</t>
  </si>
  <si>
    <t>24A-0107Z</t>
  </si>
  <si>
    <t>FA667905</t>
  </si>
  <si>
    <t>FA691476</t>
  </si>
  <si>
    <t>28P</t>
  </si>
  <si>
    <t>22P</t>
  </si>
  <si>
    <t>63P</t>
  </si>
  <si>
    <t>48P</t>
  </si>
  <si>
    <t>47P</t>
  </si>
  <si>
    <t>MEM.DCP5</t>
  </si>
  <si>
    <t>MEM.DCP7</t>
  </si>
  <si>
    <t>MEM.DCT4</t>
  </si>
  <si>
    <t>MEM.DCT6</t>
  </si>
  <si>
    <t>MEM.DCT2</t>
  </si>
  <si>
    <t>MEM.DCT7</t>
  </si>
  <si>
    <t>MEM.DCT9</t>
  </si>
  <si>
    <t>MEM.DCT10</t>
  </si>
  <si>
    <t>MEM.DCT1</t>
  </si>
  <si>
    <t>MEM.DCT3</t>
  </si>
  <si>
    <t>MEM.DCT5</t>
  </si>
  <si>
    <t>MEM.DCT8</t>
  </si>
  <si>
    <t>MEM.DEJ18</t>
  </si>
  <si>
    <t>MEM.DEJ19</t>
  </si>
  <si>
    <t>MEM.DEJ20</t>
  </si>
  <si>
    <t>MEM.DEJ17</t>
  </si>
  <si>
    <t>MEM.DEJ16</t>
  </si>
  <si>
    <t>MEM.DEJ15</t>
  </si>
  <si>
    <t>MEM.DEJ14</t>
  </si>
  <si>
    <t>MEM.DEJ13</t>
  </si>
  <si>
    <t>MEM.DIY1</t>
  </si>
  <si>
    <t>MEM.DIY2</t>
  </si>
  <si>
    <t>MEM.DIY4</t>
  </si>
  <si>
    <t>MEM.DIY6</t>
  </si>
  <si>
    <t>MEM.DIY12</t>
  </si>
  <si>
    <t>MEM.DIa8</t>
  </si>
  <si>
    <t>MEM.Dia6</t>
  </si>
  <si>
    <t>MEM.Dia7</t>
  </si>
  <si>
    <t>MEM.Dia10</t>
  </si>
  <si>
    <t>MEM.Dia9</t>
  </si>
  <si>
    <t>MEM.Dia11</t>
  </si>
  <si>
    <t>MEM.Dia12</t>
  </si>
  <si>
    <t>MEM.Dia13</t>
  </si>
  <si>
    <t>MEM.Dia14</t>
  </si>
  <si>
    <t>MEM.Dia15</t>
  </si>
  <si>
    <t>MEM.DIZ1</t>
  </si>
  <si>
    <t>MEM.DIZ2</t>
  </si>
  <si>
    <t>MEM.DIZ3</t>
  </si>
  <si>
    <t>MEM.DIZ4</t>
  </si>
  <si>
    <t>MEM.DIZ5</t>
  </si>
  <si>
    <t>MEM.DIZ6</t>
  </si>
  <si>
    <t>MEM.DIZ7</t>
  </si>
  <si>
    <t>MEM.DIZ8</t>
  </si>
  <si>
    <t>MEM.DIZ9</t>
  </si>
  <si>
    <t>MEM.DIZ10</t>
  </si>
  <si>
    <t>MEM.DIZ12</t>
  </si>
  <si>
    <t>MEM.DIZ13</t>
  </si>
  <si>
    <t>MEM.DIZ15</t>
  </si>
  <si>
    <t>MEM.DIZ14</t>
  </si>
  <si>
    <t>MEM.DJD3</t>
  </si>
  <si>
    <t>MEM.DJD2</t>
  </si>
  <si>
    <t>40P</t>
  </si>
  <si>
    <t>39P</t>
  </si>
  <si>
    <t>MEM.DJC13</t>
  </si>
  <si>
    <t>MEM.DJC12</t>
  </si>
  <si>
    <t>MEM.DJC10</t>
  </si>
  <si>
    <t>MEM.DJC8</t>
  </si>
  <si>
    <t>MEM.DJC9</t>
  </si>
  <si>
    <t>MEM.DJB15</t>
  </si>
  <si>
    <t>MEM.DJB14</t>
  </si>
  <si>
    <t>MEM.DJB13</t>
  </si>
  <si>
    <t>MEM.DJB12</t>
  </si>
  <si>
    <t>MEM.DJB11</t>
  </si>
  <si>
    <t>MEM.DJB10</t>
  </si>
  <si>
    <t>MEM.DJB9</t>
  </si>
  <si>
    <t>MEM.DJB8</t>
  </si>
  <si>
    <t>MEM.DJB7</t>
  </si>
  <si>
    <t>MEM.DJB6</t>
  </si>
  <si>
    <t>MEM.DJB5</t>
  </si>
  <si>
    <t>MEM.DJB4</t>
  </si>
  <si>
    <t>MEM.DJB3</t>
  </si>
  <si>
    <t>MEM.DJB2</t>
  </si>
  <si>
    <t>MEM.DJB1</t>
  </si>
  <si>
    <t>MEM.DJD4</t>
  </si>
  <si>
    <t>MEM.DJD1</t>
  </si>
  <si>
    <t>MEM.DJD5</t>
  </si>
  <si>
    <t>MEM.DJD14</t>
  </si>
  <si>
    <t>MEM.DJD15</t>
  </si>
  <si>
    <t>MEM.DJC5</t>
  </si>
  <si>
    <t>MEM.DJC3</t>
  </si>
  <si>
    <t>MEM.DJC4</t>
  </si>
  <si>
    <t>MEM.DJC7</t>
  </si>
  <si>
    <t>66P</t>
  </si>
  <si>
    <t>67P</t>
  </si>
  <si>
    <t>58P</t>
  </si>
  <si>
    <t>24P</t>
  </si>
  <si>
    <t>27P</t>
  </si>
  <si>
    <t>21P</t>
  </si>
  <si>
    <t>FA771645</t>
  </si>
  <si>
    <t>24A-0108Z</t>
  </si>
  <si>
    <t>24A-0109Z</t>
  </si>
  <si>
    <t>24A-0110Z</t>
  </si>
  <si>
    <t>24A-0111Z</t>
  </si>
  <si>
    <t>24A-0112Z</t>
  </si>
  <si>
    <t>24A-0113Z</t>
  </si>
  <si>
    <t>24A-0114Z</t>
  </si>
  <si>
    <t>24A-0115Z</t>
  </si>
  <si>
    <t>24A-0116Z</t>
  </si>
  <si>
    <t>24A-0117Z</t>
  </si>
  <si>
    <t>24A-0118Z</t>
  </si>
  <si>
    <t>24A-0119Z</t>
  </si>
  <si>
    <t>24A-0120Z</t>
  </si>
  <si>
    <t>24A-0121Z</t>
  </si>
  <si>
    <t>24A-0122Z</t>
  </si>
  <si>
    <t>24A-0123Z</t>
  </si>
  <si>
    <t>24A-0124Z</t>
  </si>
  <si>
    <t>24A-0125Z</t>
  </si>
  <si>
    <t>24A-0126Z</t>
  </si>
  <si>
    <t>24A-0127Z</t>
  </si>
  <si>
    <t>24A-0128Z</t>
  </si>
  <si>
    <t>24A-0129Z</t>
  </si>
  <si>
    <t>24A-0130Z</t>
  </si>
  <si>
    <t>24A-0131Z</t>
  </si>
  <si>
    <t>24A-0132Z</t>
  </si>
  <si>
    <t>MEM.DJC2</t>
  </si>
  <si>
    <t>MEM.DJC1</t>
  </si>
  <si>
    <t>MEM.DKU4</t>
  </si>
  <si>
    <t>MEM.DKU5</t>
  </si>
  <si>
    <t>MEM.DKU9</t>
  </si>
  <si>
    <t>MEM.DKU10</t>
  </si>
  <si>
    <t>MEM.DKU3</t>
  </si>
  <si>
    <t>MEM.DKU8</t>
  </si>
  <si>
    <t>MEM.DKU20</t>
  </si>
  <si>
    <t>MEM.DKU2</t>
  </si>
  <si>
    <t>MEM.DKU7</t>
  </si>
  <si>
    <t>MEM.DKU1</t>
  </si>
  <si>
    <t>MEM.DKU6</t>
  </si>
  <si>
    <t>MEM.DKU19</t>
  </si>
  <si>
    <t>MEM.DKU16</t>
  </si>
  <si>
    <t>MEM.DKU14</t>
  </si>
  <si>
    <t>MEM.DKU18</t>
  </si>
  <si>
    <t>MEM.DKU13</t>
  </si>
  <si>
    <t>MEM.DJC6</t>
  </si>
  <si>
    <t>MEM.DJC11</t>
  </si>
  <si>
    <t>64P</t>
  </si>
  <si>
    <t>62P</t>
  </si>
  <si>
    <t>65P</t>
  </si>
  <si>
    <t>MEM.DKU15</t>
  </si>
  <si>
    <t>MEM.DKU12</t>
  </si>
  <si>
    <t>MEM.DKU17</t>
  </si>
  <si>
    <t>MEM.DKU11</t>
  </si>
  <si>
    <t>MEM.DKb2</t>
  </si>
  <si>
    <t>FA768891</t>
  </si>
  <si>
    <t>24B-0001Z</t>
  </si>
  <si>
    <t>24B-0002Z</t>
  </si>
  <si>
    <t>24B-0003Z</t>
  </si>
  <si>
    <t>24B-0004Z</t>
  </si>
  <si>
    <t>24B-0005Z</t>
  </si>
  <si>
    <t>24B-0006Z</t>
  </si>
  <si>
    <t>24B-0007Z</t>
  </si>
  <si>
    <t>24B-0008Z</t>
  </si>
  <si>
    <t>24B-0009Z</t>
  </si>
  <si>
    <t>24B-0010Z</t>
  </si>
  <si>
    <t>24B-0011Z</t>
  </si>
  <si>
    <t>24B-0012Z</t>
  </si>
  <si>
    <t>24B-0013Z</t>
  </si>
  <si>
    <t>24B-0014Z</t>
  </si>
  <si>
    <t>24B-0015Z</t>
  </si>
  <si>
    <t>MEM.DKb10</t>
  </si>
  <si>
    <t>MEM.DKb4</t>
  </si>
  <si>
    <t>MEM.DKb3</t>
  </si>
  <si>
    <t>MEM.DKb6</t>
  </si>
  <si>
    <t>MEM.DKb12</t>
  </si>
  <si>
    <t>MEM.DKb13</t>
  </si>
  <si>
    <t>MEM.DKb9</t>
  </si>
  <si>
    <t>MEM.DKb8</t>
  </si>
  <si>
    <t>MEM.DKb14</t>
  </si>
  <si>
    <t>MEM.DKb17</t>
  </si>
  <si>
    <t>20P</t>
  </si>
  <si>
    <t>MEM.DKb15</t>
  </si>
  <si>
    <t>MEM.DKb18</t>
  </si>
  <si>
    <t>MEM.DKb19</t>
  </si>
  <si>
    <t>MEM.DKb20</t>
  </si>
  <si>
    <t>MEM.DKb16</t>
  </si>
  <si>
    <t>MEM.DKb11</t>
  </si>
  <si>
    <t>MEM.DKb1</t>
  </si>
  <si>
    <t>MEM.DKb5</t>
  </si>
  <si>
    <t>MEM.DKb7</t>
  </si>
  <si>
    <t>MEM.DKV8</t>
  </si>
  <si>
    <t>MEM.DKV9</t>
  </si>
  <si>
    <t>MEM.DKV10</t>
  </si>
  <si>
    <t>MEM.DKV6</t>
  </si>
  <si>
    <t>MEM.DKV7</t>
  </si>
  <si>
    <t>MEM.DKV4</t>
  </si>
  <si>
    <t>MEM.DKV5</t>
  </si>
  <si>
    <t>MEM.DKV3</t>
  </si>
  <si>
    <t>MEM.DKV2</t>
  </si>
  <si>
    <t>MEM.DKV1</t>
  </si>
  <si>
    <t>MEM.DKV14</t>
  </si>
  <si>
    <t>56P</t>
  </si>
  <si>
    <t>FA773480</t>
  </si>
  <si>
    <t>24B-0016Z</t>
  </si>
  <si>
    <t>24B-0017Z</t>
  </si>
  <si>
    <t>24B-0018Z</t>
  </si>
  <si>
    <t>24B-0019Z</t>
  </si>
  <si>
    <t>24B-0020Z</t>
  </si>
  <si>
    <t>24B-0021Z</t>
  </si>
  <si>
    <t>24B-0022Z</t>
  </si>
  <si>
    <t>24B-0023Z</t>
  </si>
  <si>
    <t>24B-0024Z</t>
  </si>
  <si>
    <t>24B-0025Z</t>
  </si>
  <si>
    <t>MEM.DEJ6</t>
  </si>
  <si>
    <t>MEM.DEJ7</t>
  </si>
  <si>
    <t>MEM.DEJ9</t>
  </si>
  <si>
    <t>MEM.DEJ10</t>
  </si>
  <si>
    <t>MEM.DEJ11</t>
  </si>
  <si>
    <t>MEM.DEJ12</t>
  </si>
  <si>
    <t>MEM.DEJ2</t>
  </si>
  <si>
    <t>MEM.DEJ3</t>
  </si>
  <si>
    <t>MEM.DEJ8</t>
  </si>
  <si>
    <t>MEM.DEJ5</t>
  </si>
  <si>
    <t>59P</t>
  </si>
  <si>
    <t>FA773481</t>
  </si>
  <si>
    <t>FA771646</t>
  </si>
  <si>
    <t>24B-0026Z</t>
  </si>
  <si>
    <t>24B-0027Z</t>
  </si>
  <si>
    <t>24B-0028Z</t>
  </si>
  <si>
    <t>24B-0029Z</t>
  </si>
  <si>
    <t>24B-0030Z</t>
  </si>
  <si>
    <t>24B-0031Z</t>
  </si>
  <si>
    <t>24B-0032Z</t>
  </si>
  <si>
    <t>24B-0033Z</t>
  </si>
  <si>
    <t>24B-0034Z</t>
  </si>
  <si>
    <t>24B-0035Z</t>
  </si>
  <si>
    <t>24B-0036Z</t>
  </si>
  <si>
    <t>24B-0037Z</t>
  </si>
  <si>
    <t>24B-0038Z</t>
  </si>
  <si>
    <t>24B-0039Z</t>
  </si>
  <si>
    <t>24B-0040Z</t>
  </si>
  <si>
    <t>24B-0041Z</t>
  </si>
  <si>
    <t>24B-0042Z</t>
  </si>
  <si>
    <t>24B-0043Z</t>
  </si>
  <si>
    <t>24B-0044Z</t>
  </si>
  <si>
    <t>24B-0045Z</t>
  </si>
  <si>
    <t>24B-0046Z</t>
  </si>
  <si>
    <t>24B-0047Z</t>
  </si>
  <si>
    <t>24B-0048Z</t>
  </si>
  <si>
    <t>24B-0049Z</t>
  </si>
  <si>
    <t>24B-0050Z</t>
  </si>
  <si>
    <t>24B-0051Z</t>
  </si>
  <si>
    <t>24B-0052Z</t>
  </si>
  <si>
    <t>MEM.DKV13</t>
  </si>
  <si>
    <t>MEM.DKV15</t>
  </si>
  <si>
    <t>MEM.DKV11</t>
  </si>
  <si>
    <t>MEM.DKV12</t>
  </si>
  <si>
    <t>MEM.DKW2</t>
  </si>
  <si>
    <t>MEM.DKW3</t>
  </si>
  <si>
    <t>MEM.DKW1</t>
  </si>
  <si>
    <t>MEM.DKW6</t>
  </si>
  <si>
    <t>MEM.DKW7</t>
  </si>
  <si>
    <t>MEM.DKW13</t>
  </si>
  <si>
    <t>MEM.DKW14</t>
  </si>
  <si>
    <t>MEM.DKW9</t>
  </si>
  <si>
    <t>MEM.DKW10</t>
  </si>
  <si>
    <t>MEM.DKW11</t>
  </si>
  <si>
    <t>MEM.DKW12</t>
  </si>
  <si>
    <t>MEM.DKW8</t>
  </si>
  <si>
    <t>MEM.DKW5</t>
  </si>
  <si>
    <t>MEM.DKW15</t>
  </si>
  <si>
    <t>MEM.DKT2</t>
  </si>
  <si>
    <t>MEM.DKT6</t>
  </si>
  <si>
    <t>MEM.DKT5</t>
  </si>
  <si>
    <t>MEM.DKT4</t>
  </si>
  <si>
    <t>34P</t>
  </si>
  <si>
    <t>29P</t>
  </si>
  <si>
    <t>25P</t>
  </si>
  <si>
    <t>16P</t>
  </si>
  <si>
    <t>MEM.DKT3</t>
  </si>
  <si>
    <t>MEM.DKT15</t>
  </si>
  <si>
    <t>MEM.DKT1</t>
  </si>
  <si>
    <t>MEM.DKT13</t>
  </si>
  <si>
    <t>MEM.DKT12</t>
  </si>
  <si>
    <t>FA773523</t>
  </si>
  <si>
    <t>24B-0053Z</t>
  </si>
  <si>
    <t>24B-0054Z</t>
  </si>
  <si>
    <t>24B-0055Z</t>
  </si>
  <si>
    <t>24B-0056Z</t>
  </si>
  <si>
    <t>24B-0057Z</t>
  </si>
  <si>
    <t>24B-0058Z</t>
  </si>
  <si>
    <t>24B-0059Z</t>
  </si>
  <si>
    <t>24B-0060Z</t>
  </si>
  <si>
    <t>24B-0061Z</t>
  </si>
  <si>
    <t>24B-0062Z</t>
  </si>
  <si>
    <t>24B-0063Z</t>
  </si>
  <si>
    <t>24B-0064Z</t>
  </si>
  <si>
    <t>24B-0065Z</t>
  </si>
  <si>
    <t>24B-0066Z</t>
  </si>
  <si>
    <t>24B-0067Z</t>
  </si>
  <si>
    <t>24B-0068Z</t>
  </si>
  <si>
    <t>24B-0069Z</t>
  </si>
  <si>
    <t>24B-0070Z</t>
  </si>
  <si>
    <t>24B-0071Z</t>
  </si>
  <si>
    <t>24B-0072Z</t>
  </si>
  <si>
    <t>8P</t>
  </si>
  <si>
    <t>6P</t>
  </si>
  <si>
    <t>5P</t>
  </si>
  <si>
    <t>MEM.DEJ4</t>
  </si>
  <si>
    <t>MEM.DEJ1</t>
  </si>
  <si>
    <t>MEM.DEK1</t>
  </si>
  <si>
    <t>MEM.DEK2</t>
  </si>
  <si>
    <t>MEM.DEK4</t>
  </si>
  <si>
    <t>MEM.DEK5</t>
  </si>
  <si>
    <t>MEM.DEK7</t>
  </si>
  <si>
    <t>MEM.DEK8</t>
  </si>
  <si>
    <t>MEM.DEK9</t>
  </si>
  <si>
    <t>MEM.DEK10</t>
  </si>
  <si>
    <t>MEM.DEK3</t>
  </si>
  <si>
    <t>MEM.DEK6</t>
  </si>
  <si>
    <t>MEM.DEO</t>
  </si>
  <si>
    <t>MEM.DEO16</t>
  </si>
  <si>
    <t>MEM.DEO8</t>
  </si>
  <si>
    <t>MEM.DEO9</t>
  </si>
  <si>
    <t>MEM.DEO2</t>
  </si>
  <si>
    <t>MEM.DEO3</t>
  </si>
  <si>
    <t>MEM.DEO13</t>
  </si>
  <si>
    <t>MEM.DEO6</t>
  </si>
  <si>
    <t>15P</t>
  </si>
  <si>
    <t>FA773524</t>
  </si>
  <si>
    <t>24B-0073Z</t>
  </si>
  <si>
    <t>24B-0074Z</t>
  </si>
  <si>
    <t>24B-0075Z</t>
  </si>
  <si>
    <t>24B-0076Z</t>
  </si>
  <si>
    <t>24B-0077Z</t>
  </si>
  <si>
    <t>24B-0078Z</t>
  </si>
  <si>
    <t>24B-0079Z</t>
  </si>
  <si>
    <t>24B-0080Z</t>
  </si>
  <si>
    <t>24B-0081Z</t>
  </si>
  <si>
    <t>24B-0082Z</t>
  </si>
  <si>
    <t>24B-0083Z</t>
  </si>
  <si>
    <t>24B-0084Z</t>
  </si>
  <si>
    <t>24B-0085Z</t>
  </si>
  <si>
    <t>24B-0086Z</t>
  </si>
  <si>
    <t>24B-0087Z</t>
  </si>
  <si>
    <t>MEM.DEO4</t>
  </si>
  <si>
    <t>MEM.DEO19</t>
  </si>
  <si>
    <t>MEM.DEO20</t>
  </si>
  <si>
    <t>MEM.DEO5</t>
  </si>
  <si>
    <t>MEM.DEO7</t>
  </si>
  <si>
    <t>MEM.DEO14</t>
  </si>
  <si>
    <t>MEM.DEO15</t>
  </si>
  <si>
    <t>MEM.DEO17</t>
  </si>
  <si>
    <t>MEM.DEO18</t>
  </si>
  <si>
    <t>MEM.DEO12</t>
  </si>
  <si>
    <t>MEM.DEO1</t>
  </si>
  <si>
    <t>MEM.DEO11</t>
  </si>
  <si>
    <t>MEM.DEP1</t>
  </si>
  <si>
    <t>MEM.DEP2</t>
  </si>
  <si>
    <t>MEM.DEP9</t>
  </si>
  <si>
    <t>FA774019</t>
  </si>
  <si>
    <t>24B-0088Z</t>
  </si>
  <si>
    <t>24B-0089Z</t>
  </si>
  <si>
    <t>24B-0090Z</t>
  </si>
  <si>
    <t>24B-0091Z</t>
  </si>
  <si>
    <t>24B-0092Z</t>
  </si>
  <si>
    <t>24B-0093Z</t>
  </si>
  <si>
    <t>24B-0094Z</t>
  </si>
  <si>
    <t>24B-0095Z</t>
  </si>
  <si>
    <t>24B-0096Z</t>
  </si>
  <si>
    <t>24B-0097Z</t>
  </si>
  <si>
    <t>MEM.EBF15</t>
  </si>
  <si>
    <t>MEM.EBF16</t>
  </si>
  <si>
    <t>MEM.EBF3</t>
  </si>
  <si>
    <t>MEM.EBF20</t>
  </si>
  <si>
    <t>MEM.EBF18</t>
  </si>
  <si>
    <t>MEM.EBF13</t>
  </si>
  <si>
    <t>MEM.EBF14</t>
  </si>
  <si>
    <t>MEM.EBF17</t>
  </si>
  <si>
    <t>MEM.EBF12</t>
  </si>
  <si>
    <t>MEM.EBF10</t>
  </si>
  <si>
    <t>MEM.EBF5</t>
  </si>
  <si>
    <t>MEM.DKT7</t>
  </si>
  <si>
    <t>32P</t>
  </si>
  <si>
    <t>13P</t>
  </si>
  <si>
    <t>12P</t>
  </si>
  <si>
    <t>MEM.DKT8</t>
  </si>
  <si>
    <t>MEM.DKT9</t>
  </si>
  <si>
    <t>MEM.DKT11</t>
  </si>
  <si>
    <t>MEM.DKT10</t>
  </si>
  <si>
    <t>MEM.DKT14</t>
  </si>
  <si>
    <t>MEM.DKa1</t>
  </si>
  <si>
    <t>MEM.DKa2</t>
  </si>
  <si>
    <t>MEM.DKa3</t>
  </si>
  <si>
    <t>MEM.DKa4</t>
  </si>
  <si>
    <t>MEM.DKa5</t>
  </si>
  <si>
    <t>MEM.DKa6</t>
  </si>
  <si>
    <t>MEM.DKa10</t>
  </si>
  <si>
    <t>MEM.DKa7</t>
  </si>
  <si>
    <t>MEM.DKa8</t>
  </si>
  <si>
    <t>MEM.DKa9</t>
  </si>
  <si>
    <t>MEM.DKa13</t>
  </si>
  <si>
    <t>MEM.DKa14</t>
  </si>
  <si>
    <t>MEM.DKa12</t>
  </si>
  <si>
    <t>FA691071</t>
  </si>
  <si>
    <t>24B-0098Z</t>
  </si>
  <si>
    <t>24B-0099Z</t>
  </si>
  <si>
    <t>24B-0100Z</t>
  </si>
  <si>
    <t>24B-0101Z</t>
  </si>
  <si>
    <t>24B-0102Z</t>
  </si>
  <si>
    <t>24B-0103Z</t>
  </si>
  <si>
    <t>24B-0104Z</t>
  </si>
  <si>
    <t>24B-0105Z</t>
  </si>
  <si>
    <t>24B-0106Z</t>
  </si>
  <si>
    <t>24B-0107Z</t>
  </si>
  <si>
    <t>24B-0108Z</t>
  </si>
  <si>
    <t>24B-0109Z</t>
  </si>
  <si>
    <t>24B-0110Z</t>
  </si>
  <si>
    <t>24B-0111Z</t>
  </si>
  <si>
    <t>24B-0112Z</t>
  </si>
  <si>
    <t>24B-0113Z</t>
  </si>
  <si>
    <t>24B-0114Z</t>
  </si>
  <si>
    <t>24B-0115Z</t>
  </si>
  <si>
    <t>24B-0116Z</t>
  </si>
  <si>
    <t>24B-0117Z</t>
  </si>
  <si>
    <t>24B-0118Z</t>
  </si>
  <si>
    <t>24B-0119Z</t>
  </si>
  <si>
    <t>24B-0120Z</t>
  </si>
  <si>
    <t>24B-0121Z</t>
  </si>
  <si>
    <t>24B-0122Z</t>
  </si>
  <si>
    <t>24B-0123Z</t>
  </si>
  <si>
    <t>24B-0124Z</t>
  </si>
  <si>
    <t>24B-0125Z</t>
  </si>
  <si>
    <t>24B-0126Z</t>
  </si>
  <si>
    <t>24B-0127Z</t>
  </si>
  <si>
    <t>24B-0128Z</t>
  </si>
  <si>
    <t>24B-0129Z</t>
  </si>
  <si>
    <t>24B-0130Z</t>
  </si>
  <si>
    <t>24B-0131Z</t>
  </si>
  <si>
    <t>24B-0132Z</t>
  </si>
  <si>
    <t>24B-0133Z</t>
  </si>
  <si>
    <t>24B-0134Z</t>
  </si>
  <si>
    <t>24B-0135Z</t>
  </si>
  <si>
    <t>24B-0136Z</t>
  </si>
  <si>
    <t>24B-0137Z</t>
  </si>
  <si>
    <t>24B-0138Z</t>
  </si>
  <si>
    <t>24B-0139Z</t>
  </si>
  <si>
    <t>24B-0140Z</t>
  </si>
  <si>
    <t>24B-0141Z</t>
  </si>
  <si>
    <t>24B-0142Z</t>
  </si>
  <si>
    <t>24B-0143Z</t>
  </si>
  <si>
    <t>24B-0144Z</t>
  </si>
  <si>
    <t>24B-0145Z</t>
  </si>
  <si>
    <t>24B-0146Z</t>
  </si>
  <si>
    <t>24B-0147Z</t>
  </si>
  <si>
    <t>MEM.EBF1</t>
  </si>
  <si>
    <t>MEM.EBF9</t>
  </si>
  <si>
    <t>MEM.EBF8</t>
  </si>
  <si>
    <t>MEM.Dka15</t>
  </si>
  <si>
    <t>MEM.Dka11</t>
  </si>
  <si>
    <t>MEM.Dkc2</t>
  </si>
  <si>
    <t>MEM.Dkc15</t>
  </si>
  <si>
    <t>MEM.Dkc16</t>
  </si>
  <si>
    <t>MEM.Dkc14</t>
  </si>
  <si>
    <t>MEM.Dkc13</t>
  </si>
  <si>
    <t>MEM.Dkc12</t>
  </si>
  <si>
    <t>MEM.Dkc19</t>
  </si>
  <si>
    <t>MEM.Dkc6</t>
  </si>
  <si>
    <t>MEM.Dkc5</t>
  </si>
  <si>
    <t>4P</t>
  </si>
  <si>
    <t>1P</t>
  </si>
  <si>
    <t>MEM.Dkc17</t>
  </si>
  <si>
    <t>MEM.Dkc18</t>
  </si>
  <si>
    <t>MEM.Dkc8</t>
  </si>
  <si>
    <t>MEM.Dkc9</t>
  </si>
  <si>
    <t>MEM.Dkc10</t>
  </si>
  <si>
    <t>MEM.Dkc11</t>
  </si>
  <si>
    <t>MEM.Dkc20</t>
  </si>
  <si>
    <t>MEM.Dkc3</t>
  </si>
  <si>
    <t>MEM.Dkc4</t>
  </si>
  <si>
    <t>MEM.Dkc1</t>
  </si>
  <si>
    <t>MEM.Dkc7</t>
  </si>
  <si>
    <t>MEM.Dkd4</t>
  </si>
  <si>
    <t>MEM.Dkd12</t>
  </si>
  <si>
    <t>MEM.Dkd11</t>
  </si>
  <si>
    <t>MEM.Dkd16</t>
  </si>
  <si>
    <t>MEM.Dkd14</t>
  </si>
  <si>
    <t>45P</t>
  </si>
  <si>
    <t>17B-0070Z-R</t>
  </si>
  <si>
    <t>MEM.Dkd15</t>
  </si>
  <si>
    <t>MEM.EBL10</t>
  </si>
  <si>
    <t>MEM.EBL11</t>
  </si>
  <si>
    <t>MEM.EBL16</t>
  </si>
  <si>
    <t>MEM.EBL17</t>
  </si>
  <si>
    <t>MEM.EBL19</t>
  </si>
  <si>
    <t>MEM.EBL18</t>
  </si>
  <si>
    <t>MEM.EBL15</t>
  </si>
  <si>
    <t>MEM.EBL14</t>
  </si>
  <si>
    <t>MEM.EBL7</t>
  </si>
  <si>
    <t>MEM.EBL13</t>
  </si>
  <si>
    <t>MEM.Dkd13</t>
  </si>
  <si>
    <t>MEM.Dkd18</t>
  </si>
  <si>
    <t>MEM.Dkd19</t>
  </si>
  <si>
    <t>MEM.Dkd20</t>
  </si>
  <si>
    <t>MEM.Dkd17</t>
  </si>
  <si>
    <t>MEM.Dkd3</t>
  </si>
  <si>
    <t>MEM.Dkd2</t>
  </si>
  <si>
    <t>MEM.Dkd7</t>
  </si>
  <si>
    <t>MEM.Dkd5</t>
  </si>
  <si>
    <t>10P</t>
  </si>
  <si>
    <t>7P</t>
  </si>
  <si>
    <t>9P</t>
  </si>
  <si>
    <t>FA775571</t>
  </si>
  <si>
    <t>24B-0148Z</t>
  </si>
  <si>
    <t>24B-0149Z</t>
  </si>
  <si>
    <t>24B-0150Z</t>
  </si>
  <si>
    <t>24B-0151Z</t>
  </si>
  <si>
    <t>24B-0152Z</t>
  </si>
  <si>
    <t>24B-0153Z</t>
  </si>
  <si>
    <t>24B-0154Z</t>
  </si>
  <si>
    <t>24B-0155Z</t>
  </si>
  <si>
    <t>24B-0156Z</t>
  </si>
  <si>
    <t>24B-0157Z</t>
  </si>
  <si>
    <t>24B-0158Z</t>
  </si>
  <si>
    <t>24B-0159Z</t>
  </si>
  <si>
    <t>24B-0160Z</t>
  </si>
  <si>
    <t>24B-0161Z</t>
  </si>
  <si>
    <t>24B-0162Z</t>
  </si>
  <si>
    <t>MEM.DEP12</t>
  </si>
  <si>
    <t>MEM.DEP13</t>
  </si>
  <si>
    <t>MEM.DEP5</t>
  </si>
  <si>
    <t>MEM.DEP6</t>
  </si>
  <si>
    <t>MEM.DEP7</t>
  </si>
  <si>
    <t>MEM.DEP8</t>
  </si>
  <si>
    <t>MEM.DEP14</t>
  </si>
  <si>
    <t>MEM.DEP4</t>
  </si>
  <si>
    <t>MEM.DEP3</t>
  </si>
  <si>
    <t>MEM.DEP11</t>
  </si>
  <si>
    <t>MEM.DEP16</t>
  </si>
  <si>
    <t>MEM.DEP17</t>
  </si>
  <si>
    <t>MEM.DEP20</t>
  </si>
  <si>
    <t>MEM.DEP10</t>
  </si>
  <si>
    <t>MEM.DEP18</t>
  </si>
  <si>
    <t>FA777079</t>
  </si>
  <si>
    <t>20A-0109Z-R</t>
  </si>
  <si>
    <t>MEM.Dkd1</t>
  </si>
  <si>
    <t>MEM.Dkd8</t>
  </si>
  <si>
    <t>MEM.Dkd9</t>
  </si>
  <si>
    <t>MEM.Dkd6</t>
  </si>
  <si>
    <t>FA775570</t>
  </si>
  <si>
    <t>24B-0163Z</t>
  </si>
  <si>
    <t>24B-0164Z</t>
  </si>
  <si>
    <t>24B-0165Z</t>
  </si>
  <si>
    <t>24B-0166Z</t>
  </si>
  <si>
    <t>24B-0167Z</t>
  </si>
  <si>
    <t>24B-0168Z</t>
  </si>
  <si>
    <t>24B-0169Z</t>
  </si>
  <si>
    <t>24B-0170Z</t>
  </si>
  <si>
    <t>24B-0171Z</t>
  </si>
  <si>
    <t>24B-0172Z</t>
  </si>
  <si>
    <t>MEM.Dkd10</t>
  </si>
  <si>
    <t>MEM.DLD18</t>
  </si>
  <si>
    <t>MEM.DLD12</t>
  </si>
  <si>
    <t>MEM.DLD13</t>
  </si>
  <si>
    <t>MEM.DLD14</t>
  </si>
  <si>
    <t>MEM.DLD15</t>
  </si>
  <si>
    <t>MEM.DLD8</t>
  </si>
  <si>
    <t>MEM.DLD16</t>
  </si>
  <si>
    <t>MEM.DLD11</t>
  </si>
  <si>
    <t>MEM.DLD17</t>
  </si>
  <si>
    <t>MEM.DLD10</t>
  </si>
  <si>
    <t>MEM.DLD20</t>
  </si>
  <si>
    <t>MEM.DLD9</t>
  </si>
  <si>
    <t>MEM.DLD19</t>
  </si>
  <si>
    <t>MEM.DLD</t>
  </si>
  <si>
    <t>MEM.DLD1</t>
  </si>
  <si>
    <t>MEM.DLD2</t>
  </si>
  <si>
    <t>MEM.DLD3</t>
  </si>
  <si>
    <t>MEM.DLD4</t>
  </si>
  <si>
    <t>24C-0001Z</t>
  </si>
  <si>
    <t>24C-0002Z</t>
  </si>
  <si>
    <t>24C-0003Z</t>
  </si>
  <si>
    <t>24C-0004Z</t>
  </si>
  <si>
    <t>24C-0005Z</t>
  </si>
  <si>
    <t>24C-0006Z</t>
  </si>
  <si>
    <t>24C-0007Z</t>
  </si>
  <si>
    <t>24C-0008Z</t>
  </si>
  <si>
    <t>24C-0009Z</t>
  </si>
  <si>
    <t>24C-0010Z</t>
  </si>
  <si>
    <t>24C-0011Z</t>
  </si>
  <si>
    <t>24C-0012Z</t>
  </si>
  <si>
    <t>24C-0013Z</t>
  </si>
  <si>
    <t>24C-0014Z</t>
  </si>
  <si>
    <t>24C-0015Z</t>
  </si>
  <si>
    <t>24C-0016Z</t>
  </si>
  <si>
    <t>24C-0017Z</t>
  </si>
  <si>
    <t>24C-0018Z</t>
  </si>
  <si>
    <t>24C-0019Z</t>
  </si>
  <si>
    <t>24C-0020Z</t>
  </si>
  <si>
    <t>24C-0021Z</t>
  </si>
  <si>
    <t>24C-0022Z</t>
  </si>
  <si>
    <t>24C-0023Z</t>
  </si>
  <si>
    <t>24C-0024Z</t>
  </si>
  <si>
    <t>24C-0025Z</t>
  </si>
  <si>
    <t>24C-0026Z</t>
  </si>
  <si>
    <t>24C-0027Z</t>
  </si>
  <si>
    <t>24C-0028Z</t>
  </si>
  <si>
    <t>24C-0029Z</t>
  </si>
  <si>
    <t>24C-0030Z</t>
  </si>
  <si>
    <t>FA772226</t>
  </si>
  <si>
    <t>MEM.DLD5</t>
  </si>
  <si>
    <t>MEM.DLD7</t>
  </si>
  <si>
    <t>MEM.DLE8</t>
  </si>
  <si>
    <t>MEM.DLE9</t>
  </si>
  <si>
    <t>MEM.DLE7</t>
  </si>
  <si>
    <t>MEM.DLE10</t>
  </si>
  <si>
    <t>MEM.DLE4</t>
  </si>
  <si>
    <t>MEM.DLE5</t>
  </si>
  <si>
    <t>MEM.DLE1</t>
  </si>
  <si>
    <t>MEM.DLE2</t>
  </si>
  <si>
    <t>MEM.DLE11</t>
  </si>
  <si>
    <t>MEM.DLE3</t>
  </si>
  <si>
    <t>MEM.DLE15</t>
  </si>
  <si>
    <t>MEM.DLE14</t>
  </si>
  <si>
    <t>MEM.DLE12</t>
  </si>
  <si>
    <t>MEM.DLE13</t>
  </si>
  <si>
    <t>MEM.DLF13</t>
  </si>
  <si>
    <t>MEM.DLF14</t>
  </si>
  <si>
    <t>MEM.DLF11</t>
  </si>
  <si>
    <t>MEM.DLF12</t>
  </si>
  <si>
    <t>TEST</t>
  </si>
  <si>
    <t>?</t>
  </si>
  <si>
    <t>MEM.EBV16</t>
  </si>
  <si>
    <t>18F-0029Z</t>
  </si>
  <si>
    <t>2P</t>
  </si>
  <si>
    <t>MEM.DLF18</t>
  </si>
  <si>
    <t>MEM.DLF19</t>
  </si>
  <si>
    <t>MEM.DLF17</t>
  </si>
  <si>
    <t>MEM.DLF16</t>
  </si>
  <si>
    <t>MEM.DLF20</t>
  </si>
  <si>
    <t>MEM.DLF2</t>
  </si>
  <si>
    <t>MEM.DLF3</t>
  </si>
  <si>
    <t>MEM.DLF15</t>
  </si>
  <si>
    <t>MEM.DLF4</t>
  </si>
  <si>
    <t>MEM.DLF5</t>
  </si>
  <si>
    <t>FA775569</t>
  </si>
  <si>
    <t>24C-0031Z</t>
  </si>
  <si>
    <t>24C-0032Z</t>
  </si>
  <si>
    <t>24C-0033Z</t>
  </si>
  <si>
    <t>24C-0034Z</t>
  </si>
  <si>
    <t>24C-0035Z</t>
  </si>
  <si>
    <t>MEM.DLF1</t>
  </si>
  <si>
    <t>MEM.DLF6</t>
  </si>
  <si>
    <t>MEM.DLF7</t>
  </si>
  <si>
    <t>MEM.DLF8</t>
  </si>
  <si>
    <t>MEM.DLF9</t>
  </si>
  <si>
    <t>MEM.DLF10</t>
  </si>
  <si>
    <t>MEM.DLK8</t>
  </si>
  <si>
    <t>MEM.DLK9</t>
  </si>
  <si>
    <t>MEM.DLK4</t>
  </si>
  <si>
    <t>MEM.DLK5</t>
  </si>
  <si>
    <t>MEM.DLK2</t>
  </si>
  <si>
    <t>MEM.DLK3</t>
  </si>
  <si>
    <t>MEM.DLK20</t>
  </si>
  <si>
    <t>MEM.DLK19</t>
  </si>
  <si>
    <t>MEM.DLK10</t>
  </si>
  <si>
    <t>MEM.DLK11</t>
  </si>
  <si>
    <t>MEM.DLK1</t>
  </si>
  <si>
    <t>MEM.DLK6</t>
  </si>
  <si>
    <t>MEM.DLK7</t>
  </si>
  <si>
    <t>MEM.DLK14</t>
  </si>
  <si>
    <t>FA765704</t>
  </si>
  <si>
    <t>MEM.DEP15</t>
  </si>
  <si>
    <t>19B-0017Z-R</t>
  </si>
  <si>
    <t>22G-0036Z-R</t>
  </si>
  <si>
    <t>23E-0011Z-R</t>
  </si>
  <si>
    <t>20H-0023Z-R</t>
  </si>
  <si>
    <t>19B-0051Z-R</t>
  </si>
  <si>
    <t>MEM.DEP19</t>
  </si>
  <si>
    <t>MEM.DFF2</t>
  </si>
  <si>
    <t>MEM.DFF7</t>
  </si>
  <si>
    <t>MEM.DFF9</t>
  </si>
  <si>
    <t>FA691063</t>
  </si>
  <si>
    <t>24C-0036Z</t>
  </si>
  <si>
    <t>24C-0037Z</t>
  </si>
  <si>
    <t>24C-0038Z</t>
  </si>
  <si>
    <t>24C-0039Z</t>
  </si>
  <si>
    <t>24C-0040Z</t>
  </si>
  <si>
    <t>24C-0041Z</t>
  </si>
  <si>
    <t>24C-0042Z</t>
  </si>
  <si>
    <t>24C-0043Z</t>
  </si>
  <si>
    <t>24C-0044Z</t>
  </si>
  <si>
    <t>24C-0045Z</t>
  </si>
  <si>
    <t>24C-0046Z</t>
  </si>
  <si>
    <t>24C-0047Z</t>
  </si>
  <si>
    <t>24C-0048Z</t>
  </si>
  <si>
    <t>24C-0049Z</t>
  </si>
  <si>
    <t>24C-0050Z</t>
  </si>
  <si>
    <t>24C-0051Z</t>
  </si>
  <si>
    <t>24C-0052Z</t>
  </si>
  <si>
    <t>24C-0053Z</t>
  </si>
  <si>
    <t>24C-0054Z</t>
  </si>
  <si>
    <t>24C-0055Z</t>
  </si>
  <si>
    <t>24C-0056Z</t>
  </si>
  <si>
    <t>24C-0057Z</t>
  </si>
  <si>
    <t>24C-0058Z</t>
  </si>
  <si>
    <t>24C-0059Z</t>
  </si>
  <si>
    <t>24C-0060Z</t>
  </si>
  <si>
    <t>24C-0061Z</t>
  </si>
  <si>
    <t>24C-0062Z</t>
  </si>
  <si>
    <t>24C-0063Z</t>
  </si>
  <si>
    <t>24C-0064Z</t>
  </si>
  <si>
    <t>24C-0065Z</t>
  </si>
  <si>
    <t>MEM.DFF10</t>
  </si>
  <si>
    <t>MEM.DFF14</t>
  </si>
  <si>
    <t>MEM.DFF15</t>
  </si>
  <si>
    <t>MEM.DFF17/19</t>
  </si>
  <si>
    <t>MEM.DFF6</t>
  </si>
  <si>
    <t>MEM.DFF12</t>
  </si>
  <si>
    <t>MEM.DFF13</t>
  </si>
  <si>
    <t>MEM.DFF8</t>
  </si>
  <si>
    <t>MEM.DFF4</t>
  </si>
  <si>
    <t>MEM.DFF5</t>
  </si>
  <si>
    <t>MEM.DFF11</t>
  </si>
  <si>
    <t>MEM.DFF3</t>
  </si>
  <si>
    <t>MEM.DFF18</t>
  </si>
  <si>
    <t>MEM.DFF</t>
  </si>
  <si>
    <t>MEM.DFF1</t>
  </si>
  <si>
    <t>MEM.DEV8</t>
  </si>
  <si>
    <t>MEM.DEV9</t>
  </si>
  <si>
    <t>MEM.DEV1</t>
  </si>
  <si>
    <t>MEM.DEV2</t>
  </si>
  <si>
    <t>MEM.DEV10</t>
  </si>
  <si>
    <t>MEM.DEV5</t>
  </si>
  <si>
    <t>MEM.DEV6</t>
  </si>
  <si>
    <t>MEM.DEV4</t>
  </si>
  <si>
    <t>MEM.DEV7</t>
  </si>
  <si>
    <t>MEM.DEV3</t>
  </si>
  <si>
    <t>MEM.DEe1</t>
  </si>
  <si>
    <t>MEM.DEe16</t>
  </si>
  <si>
    <t>MEM.DEe17</t>
  </si>
  <si>
    <t>MEM.DEe14</t>
  </si>
  <si>
    <t>MEM.DEe13</t>
  </si>
  <si>
    <t>FA772227</t>
  </si>
  <si>
    <t>24C-0066Z</t>
  </si>
  <si>
    <t>24C-0067Z</t>
  </si>
  <si>
    <t>24C-0068Z</t>
  </si>
  <si>
    <t>24C-0069Z</t>
  </si>
  <si>
    <t>24C-0070Z</t>
  </si>
  <si>
    <t>24C-0071Z</t>
  </si>
  <si>
    <t>24C-0072Z</t>
  </si>
  <si>
    <t>24C-0073Z</t>
  </si>
  <si>
    <t>24C-0074Z</t>
  </si>
  <si>
    <t>24C-0075Z</t>
  </si>
  <si>
    <t>24C-0076Z</t>
  </si>
  <si>
    <t>24C-0077Z</t>
  </si>
  <si>
    <t>24C-0078Z</t>
  </si>
  <si>
    <t>24C-0079Z</t>
  </si>
  <si>
    <t>24C-0080Z</t>
  </si>
  <si>
    <t>24C-0081Z</t>
  </si>
  <si>
    <t>24C-0082Z</t>
  </si>
  <si>
    <t>24C-0083Z</t>
  </si>
  <si>
    <t>24C-0084Z</t>
  </si>
  <si>
    <t>24C-0085Z</t>
  </si>
  <si>
    <t>24C-0086Z</t>
  </si>
  <si>
    <t>24C-0087Z</t>
  </si>
  <si>
    <t>24C-0088Z</t>
  </si>
  <si>
    <t>24C-0089Z</t>
  </si>
  <si>
    <t>24C-0090Z</t>
  </si>
  <si>
    <t>24C-0091Z</t>
  </si>
  <si>
    <t>24C-0092Z</t>
  </si>
  <si>
    <t>24C-0093Z</t>
  </si>
  <si>
    <t>24C-0094Z</t>
  </si>
  <si>
    <t>24C-0095Z</t>
  </si>
  <si>
    <t>MEM.EBa16</t>
  </si>
  <si>
    <t>MEM.EBa14</t>
  </si>
  <si>
    <t>MEM.EBa15</t>
  </si>
  <si>
    <t>MEM.EBa13</t>
  </si>
  <si>
    <t>MEM.EBa20</t>
  </si>
  <si>
    <t>MEM.EBa12</t>
  </si>
  <si>
    <t>MEM.EBa9</t>
  </si>
  <si>
    <t>MEM.EBa8</t>
  </si>
  <si>
    <t>MEM.EBa18</t>
  </si>
  <si>
    <t>MEM.EBa19</t>
  </si>
  <si>
    <t>MEM.Eba</t>
  </si>
  <si>
    <t>MEM.EBa17</t>
  </si>
  <si>
    <t>MEM.Eba10</t>
  </si>
  <si>
    <t>MEM.Eba7</t>
  </si>
  <si>
    <t>MEM.Eba1</t>
  </si>
  <si>
    <t>MEM.Eba3</t>
  </si>
  <si>
    <t>MEM.Eba4</t>
  </si>
  <si>
    <t>MEM.DLK17</t>
  </si>
  <si>
    <t>MEM.DLK18</t>
  </si>
  <si>
    <t>MEM.DLK13</t>
  </si>
  <si>
    <t>MEM.DLK16</t>
  </si>
  <si>
    <t>MEM.DLK15</t>
  </si>
  <si>
    <t>MEM.DLK12</t>
  </si>
  <si>
    <t>MEM.DLL7</t>
  </si>
  <si>
    <t>MEM.DLL12</t>
  </si>
  <si>
    <t>MEM.DLL4</t>
  </si>
  <si>
    <t>MEM.DLL2</t>
  </si>
  <si>
    <t>FA776968</t>
  </si>
  <si>
    <t>24C-0096Z</t>
  </si>
  <si>
    <t>24C-0097Z</t>
  </si>
  <si>
    <t>24C-0098Z</t>
  </si>
  <si>
    <t>24C-0099Z</t>
  </si>
  <si>
    <t>24C-0100Z</t>
  </si>
  <si>
    <t>24C-0101Z</t>
  </si>
  <si>
    <t>24C-0102Z</t>
  </si>
  <si>
    <t>24C-0103Z</t>
  </si>
  <si>
    <t>24C-0104Z</t>
  </si>
  <si>
    <t>24C-0105Z</t>
  </si>
  <si>
    <t>24C-0106Z</t>
  </si>
  <si>
    <t>24C-0107Z</t>
  </si>
  <si>
    <t>24C-0108Z</t>
  </si>
  <si>
    <t>24C-0109Z</t>
  </si>
  <si>
    <t>24C-0110Z</t>
  </si>
  <si>
    <t>24C-0111Z</t>
  </si>
  <si>
    <t>24C-0112Z</t>
  </si>
  <si>
    <t>24C-0113Z</t>
  </si>
  <si>
    <t>24C-0114Z</t>
  </si>
  <si>
    <t>24C-0115Z</t>
  </si>
  <si>
    <t>24C-0116Z</t>
  </si>
  <si>
    <t>24C-0117Z</t>
  </si>
  <si>
    <t>24C-0118Z</t>
  </si>
  <si>
    <t>24C-0119Z</t>
  </si>
  <si>
    <t>24C-0120Z</t>
  </si>
  <si>
    <t>MEM.DLL3</t>
  </si>
  <si>
    <t>3P</t>
  </si>
  <si>
    <t>0P</t>
  </si>
  <si>
    <t>MEM.DLL5</t>
  </si>
  <si>
    <t>MEM.DLL6</t>
  </si>
  <si>
    <t>MEM.DLL1</t>
  </si>
  <si>
    <t>MEM.DLL8</t>
  </si>
  <si>
    <t>MEM.DLL9</t>
  </si>
  <si>
    <t>MEM.DLL10</t>
  </si>
  <si>
    <t>MEM.DLL11</t>
  </si>
  <si>
    <t>MEM.DLL18</t>
  </si>
  <si>
    <t>MEM.DLL14</t>
  </si>
  <si>
    <t>MEM.DLL15</t>
  </si>
  <si>
    <t>MEM.DLL16</t>
  </si>
  <si>
    <t>MEM.DLL13</t>
  </si>
  <si>
    <t>MEM.DLL20</t>
  </si>
  <si>
    <t>MEM.DLL19</t>
  </si>
  <si>
    <t>MEM.DLL17</t>
  </si>
  <si>
    <t>MEM.DLM15</t>
  </si>
  <si>
    <t>MEM.DLM14</t>
  </si>
  <si>
    <t>MEM.DLM13</t>
  </si>
  <si>
    <t>MEM.DLM12</t>
  </si>
  <si>
    <t>MEM.DLM11</t>
  </si>
  <si>
    <t>MEM.DLM10</t>
  </si>
  <si>
    <t>MEM.DLM9</t>
  </si>
  <si>
    <t>MEM.DLM7</t>
  </si>
  <si>
    <t>MEM.DLM8</t>
  </si>
  <si>
    <t>MEM.DLM6</t>
  </si>
  <si>
    <t>17A-0048Z-R</t>
  </si>
  <si>
    <t>17E-0008Z-R</t>
  </si>
  <si>
    <t>FA780153</t>
  </si>
  <si>
    <t>MEM.DLM4</t>
  </si>
  <si>
    <t>MEM.DLM5</t>
  </si>
  <si>
    <t>FA691480</t>
  </si>
  <si>
    <t>24C-0121Z</t>
  </si>
  <si>
    <t>24C-0122Z</t>
  </si>
  <si>
    <t>24C-0123Z</t>
  </si>
  <si>
    <t>24C-0124Z</t>
  </si>
  <si>
    <t>24C-0125Z</t>
  </si>
  <si>
    <t>24C-0126Z</t>
  </si>
  <si>
    <t>24C-0127Z</t>
  </si>
  <si>
    <t>24C-0128Z</t>
  </si>
  <si>
    <t>24C-0129Z</t>
  </si>
  <si>
    <t>24C-0130Z</t>
  </si>
  <si>
    <t>24C-0131Z</t>
  </si>
  <si>
    <t>24C-0132Z</t>
  </si>
  <si>
    <t>24C-0133Z</t>
  </si>
  <si>
    <t>24C-0134Z</t>
  </si>
  <si>
    <t>24C-0135Z</t>
  </si>
  <si>
    <t>24C-0136Z</t>
  </si>
  <si>
    <t>24C-0137Z</t>
  </si>
  <si>
    <t>24C-0138Z</t>
  </si>
  <si>
    <t>24C-0139Z</t>
  </si>
  <si>
    <t>24C-0140Z</t>
  </si>
  <si>
    <t>60p</t>
  </si>
  <si>
    <t>MEM.DLM3</t>
  </si>
  <si>
    <t>MEM.DLM2</t>
  </si>
  <si>
    <t>MEM.EAO1</t>
  </si>
  <si>
    <t>MEM.EAO2</t>
  </si>
  <si>
    <t>MEM.EAO10</t>
  </si>
  <si>
    <t>MEM.EAO3</t>
  </si>
  <si>
    <t>MEM.EAO4</t>
  </si>
  <si>
    <t>MEM.EAO13</t>
  </si>
  <si>
    <t>MEM.EAO5</t>
  </si>
  <si>
    <t>MEM.EAO9</t>
  </si>
  <si>
    <t>MEM.EAO11</t>
  </si>
  <si>
    <t>MEM.EAO12</t>
  </si>
  <si>
    <t>MEM.EAO6</t>
  </si>
  <si>
    <t>MEM.EAO7</t>
  </si>
  <si>
    <t>MEM.EAO8</t>
  </si>
  <si>
    <t>MEM.EAO15</t>
  </si>
  <si>
    <t>MEM.EAO14</t>
  </si>
  <si>
    <t>MEM.EAP1</t>
  </si>
  <si>
    <t>MEM.EAP2</t>
  </si>
  <si>
    <t>MEM.EAP3</t>
  </si>
  <si>
    <t>MEM.EAP4</t>
  </si>
  <si>
    <t>MEM.EAP5</t>
  </si>
  <si>
    <t>MEM.EAP6</t>
  </si>
  <si>
    <t>MEM.EAP7</t>
  </si>
  <si>
    <t>MEM.EAP8</t>
  </si>
  <si>
    <t>MEM.EAP9</t>
  </si>
  <si>
    <t>MEM.EAP10</t>
  </si>
  <si>
    <t>MEM.EAQ1</t>
  </si>
  <si>
    <t>MEM.EAQ2</t>
  </si>
  <si>
    <t>MEM.EAQ3</t>
  </si>
  <si>
    <t>MEM.EAQ4</t>
  </si>
  <si>
    <t>MEM.EAQ5</t>
  </si>
  <si>
    <t>MEM.EAQ6</t>
  </si>
  <si>
    <t>MEM.EAQ8</t>
  </si>
  <si>
    <t>MEM.EAQ9</t>
  </si>
  <si>
    <t>MEM.EAQ10</t>
  </si>
  <si>
    <t>MEM.EAQ11</t>
  </si>
  <si>
    <t>MEM.EAQ12</t>
  </si>
  <si>
    <t>MEM.EAQ13</t>
  </si>
  <si>
    <t>MEM.EAQ15</t>
  </si>
  <si>
    <t>74P</t>
  </si>
  <si>
    <t>73P</t>
  </si>
  <si>
    <t>75P</t>
  </si>
  <si>
    <t>77P</t>
  </si>
  <si>
    <t>76P</t>
  </si>
  <si>
    <t>24C-0141Z</t>
  </si>
  <si>
    <t>24C-0142Z</t>
  </si>
  <si>
    <t>24C-0143Z</t>
  </si>
  <si>
    <t>24C-0144Z</t>
  </si>
  <si>
    <t>24C-0145Z</t>
  </si>
  <si>
    <t>24C-0146Z</t>
  </si>
  <si>
    <t>24C-0147Z</t>
  </si>
  <si>
    <t>24C-0148Z</t>
  </si>
  <si>
    <t>24C-0149Z</t>
  </si>
  <si>
    <t>24C-0150Z</t>
  </si>
  <si>
    <t>24C-0151Z</t>
  </si>
  <si>
    <t>24C-0152Z</t>
  </si>
  <si>
    <t>24C-0153Z</t>
  </si>
  <si>
    <t>24C-0154Z</t>
  </si>
  <si>
    <t>24C-0155Z</t>
  </si>
  <si>
    <t>24C-0156Z</t>
  </si>
  <si>
    <t>24C-0157Z</t>
  </si>
  <si>
    <t>24C-0158Z</t>
  </si>
  <si>
    <t>24C-0159Z</t>
  </si>
  <si>
    <t>24C-0160Z</t>
  </si>
  <si>
    <t>24C-0161Z</t>
  </si>
  <si>
    <t>24C-0162Z</t>
  </si>
  <si>
    <t>24C-0163Z</t>
  </si>
  <si>
    <t>24C-0164Z</t>
  </si>
  <si>
    <t>24C-0165Z</t>
  </si>
  <si>
    <t>24C-0166Z</t>
  </si>
  <si>
    <t>24C-0167Z</t>
  </si>
  <si>
    <t>24C-0168Z</t>
  </si>
  <si>
    <t>24C-0169Z</t>
  </si>
  <si>
    <t>24C-0170Z</t>
  </si>
  <si>
    <t>24C-0171Z</t>
  </si>
  <si>
    <t>24C-0172Z</t>
  </si>
  <si>
    <t>24C-0173Z</t>
  </si>
  <si>
    <t>24C-0174Z</t>
  </si>
  <si>
    <t>24C-0175Z</t>
  </si>
  <si>
    <t>24C-0176Z</t>
  </si>
  <si>
    <t>24C-0177Z</t>
  </si>
  <si>
    <t>24C-0178Z</t>
  </si>
  <si>
    <t>24C-0179Z</t>
  </si>
  <si>
    <t>24C-0180Z</t>
  </si>
  <si>
    <t>24C-0181Z</t>
  </si>
  <si>
    <t>24C-0182Z</t>
  </si>
  <si>
    <t>24C-0183Z</t>
  </si>
  <si>
    <t>24C-0184Z</t>
  </si>
  <si>
    <t>24C-0185Z</t>
  </si>
  <si>
    <t>24C-0186Z</t>
  </si>
  <si>
    <t>24C-0187Z</t>
  </si>
  <si>
    <t>24C-0188Z</t>
  </si>
  <si>
    <t>24C-0189Z</t>
  </si>
  <si>
    <t>24C-0190Z</t>
  </si>
  <si>
    <t>FA691072</t>
  </si>
  <si>
    <t>FA780661</t>
  </si>
  <si>
    <t>20E-0084Z-R</t>
  </si>
  <si>
    <t>22H-0033Z-R</t>
  </si>
  <si>
    <t>MEM.EAQ14</t>
  </si>
  <si>
    <t>MEM.EAc11</t>
  </si>
  <si>
    <t>MEM.EAc12</t>
  </si>
  <si>
    <t>MEM.EAc15</t>
  </si>
  <si>
    <t>MEM.EAc1</t>
  </si>
  <si>
    <t>MEM.EAe15</t>
  </si>
  <si>
    <t>MEM.EAe16</t>
  </si>
  <si>
    <t>MEM.EAc8</t>
  </si>
  <si>
    <t>MEM.EAc9</t>
  </si>
  <si>
    <t>MEM.EAc10</t>
  </si>
  <si>
    <t>MEM.EAc5</t>
  </si>
  <si>
    <t>MEM.EAc6</t>
  </si>
  <si>
    <t>MEM.EAc7</t>
  </si>
  <si>
    <t>MEM.EAc2</t>
  </si>
  <si>
    <t>MEM.EAc3</t>
  </si>
  <si>
    <t>MEM.EAc4</t>
  </si>
  <si>
    <t>MEM.EAd1</t>
  </si>
  <si>
    <t>MEM.EAd2</t>
  </si>
  <si>
    <t>MEM.EAd3</t>
  </si>
  <si>
    <t>MEM.EAd4</t>
  </si>
  <si>
    <t>MEM.EAd5</t>
  </si>
  <si>
    <t>MEM.EAd6</t>
  </si>
  <si>
    <t>MEM.EAd7</t>
  </si>
  <si>
    <t>MEM.EAd8</t>
  </si>
  <si>
    <t>MEM.EAc13</t>
  </si>
  <si>
    <t>MEM.EAc14</t>
  </si>
  <si>
    <t>MEM.EAe20</t>
  </si>
  <si>
    <t>84P</t>
  </si>
  <si>
    <t>85P</t>
  </si>
  <si>
    <t>MEM.EBA9</t>
  </si>
  <si>
    <t>MEM.EBA4</t>
  </si>
  <si>
    <t>MEM.EBA5</t>
  </si>
  <si>
    <t>MEM.EBA6</t>
  </si>
  <si>
    <t>MEM.EBA7</t>
  </si>
  <si>
    <t>MEM.EBA8</t>
  </si>
  <si>
    <t>MEM.EBA20</t>
  </si>
  <si>
    <t>MEM.EAd9</t>
  </si>
  <si>
    <t>MEM.EAd10</t>
  </si>
  <si>
    <t>MEM.EAd11</t>
  </si>
  <si>
    <t>MEM.EAd12</t>
  </si>
  <si>
    <t>MEM.EAd13</t>
  </si>
  <si>
    <t>MEM.EAd14</t>
  </si>
  <si>
    <t>MEM.EAd15</t>
  </si>
  <si>
    <t>MEM.EAe17</t>
  </si>
  <si>
    <t>MEM.EAe18</t>
  </si>
  <si>
    <t>MEM.EAe19</t>
  </si>
  <si>
    <t>MEM.EAe10</t>
  </si>
  <si>
    <t>MEM.EAe11</t>
  </si>
  <si>
    <t>MEM.EAe12</t>
  </si>
  <si>
    <t>MEM.EAe13</t>
  </si>
  <si>
    <t>MEM.EAe14</t>
  </si>
  <si>
    <t>MEM.EAe5</t>
  </si>
  <si>
    <t>MEM.EAe6</t>
  </si>
  <si>
    <t>MEM.EAe7</t>
  </si>
  <si>
    <t>MEM.EAe9</t>
  </si>
  <si>
    <t xml:space="preserve">MEM.EAe8 </t>
  </si>
  <si>
    <t>72P</t>
  </si>
  <si>
    <t>71P</t>
  </si>
  <si>
    <t>FA691479</t>
  </si>
  <si>
    <t>24C-0191Z</t>
  </si>
  <si>
    <t>24C-0192Z</t>
  </si>
  <si>
    <t>24C-0193Z</t>
  </si>
  <si>
    <t>24C-0194Z</t>
  </si>
  <si>
    <t>24C-0195Z</t>
  </si>
  <si>
    <t>24C-0196Z</t>
  </si>
  <si>
    <t>24C-0197Z</t>
  </si>
  <si>
    <t>24C-0198Z</t>
  </si>
  <si>
    <t>24C-0199Z</t>
  </si>
  <si>
    <t>24C-0200Z</t>
  </si>
  <si>
    <t>24C-0201Z</t>
  </si>
  <si>
    <t>24C-0202Z</t>
  </si>
  <si>
    <t>24C-0203Z</t>
  </si>
  <si>
    <t>24C-0204Z</t>
  </si>
  <si>
    <t>24C-0205Z</t>
  </si>
  <si>
    <t>24C-0206Z</t>
  </si>
  <si>
    <t>24C-0207Z</t>
  </si>
  <si>
    <t>24C-0208Z</t>
  </si>
  <si>
    <t>24C-0209Z</t>
  </si>
  <si>
    <t>24C-0210Z</t>
  </si>
  <si>
    <t>24C-0211Z</t>
  </si>
  <si>
    <t>24C-0212Z</t>
  </si>
  <si>
    <t>24C-0213Z</t>
  </si>
  <si>
    <t>24C-0214Z</t>
  </si>
  <si>
    <t>24C-0215Z</t>
  </si>
  <si>
    <t>MEM.EAe3</t>
  </si>
  <si>
    <t>MEM.EAe4</t>
  </si>
  <si>
    <t>MEM.EAe1</t>
  </si>
  <si>
    <t>MEM.EAe2</t>
  </si>
  <si>
    <t>MEM.EBA10</t>
  </si>
  <si>
    <t>MEM.EBA11</t>
  </si>
  <si>
    <t>MEM.EBA16</t>
  </si>
  <si>
    <t>MEM.EBA17</t>
  </si>
  <si>
    <t>MEM.EBA3</t>
  </si>
  <si>
    <t>MEM.EBA2</t>
  </si>
  <si>
    <t>MEM.EBA1</t>
  </si>
  <si>
    <t>MEM.EBA12</t>
  </si>
  <si>
    <t>MEM.EBA19</t>
  </si>
  <si>
    <t>MEM.EBA18</t>
  </si>
  <si>
    <t>MEM.EBA15</t>
  </si>
  <si>
    <t>MEM.EBA14</t>
  </si>
  <si>
    <t>MEM.EBA13</t>
  </si>
  <si>
    <t>MEM.EBG17</t>
  </si>
  <si>
    <t>MEM.EBG20</t>
  </si>
  <si>
    <t>MEM.EBG11</t>
  </si>
  <si>
    <t>MEM.EBG12</t>
  </si>
  <si>
    <t>MEM.EBG13</t>
  </si>
  <si>
    <t>MEM.EBG14</t>
  </si>
  <si>
    <t>MEM.EBG15</t>
  </si>
  <si>
    <t>% LEL</t>
  </si>
  <si>
    <t>MEM.EBG16</t>
  </si>
  <si>
    <t>MEM.EBG19</t>
  </si>
  <si>
    <t>MEM.EBG18</t>
  </si>
  <si>
    <t>MEM.EBG7</t>
  </si>
  <si>
    <t>MEM.EBG8</t>
  </si>
  <si>
    <t>MEM.EBG5</t>
  </si>
  <si>
    <t>MEM.EBG6</t>
  </si>
  <si>
    <t>MEM.EBG9</t>
  </si>
  <si>
    <t>MEM.EBG</t>
  </si>
  <si>
    <t>MEM.EBG4</t>
  </si>
  <si>
    <t>MEM.EBG2</t>
  </si>
  <si>
    <t>MEM.EBG3</t>
  </si>
  <si>
    <t>MEM.EBG1</t>
  </si>
  <si>
    <t>MEM.EBE1</t>
  </si>
  <si>
    <t>MEM.EBE3</t>
  </si>
  <si>
    <t>MEM.EBE4</t>
  </si>
  <si>
    <t>11P</t>
  </si>
  <si>
    <t>MEM.EBE5</t>
  </si>
  <si>
    <t>MEM.EBE6</t>
  </si>
  <si>
    <t>MEM.EBE2</t>
  </si>
  <si>
    <t>MEM.EBE7</t>
  </si>
  <si>
    <t>MEM.EBE10</t>
  </si>
  <si>
    <t>MEM.EBE11</t>
  </si>
  <si>
    <t>MEM.EBE8</t>
  </si>
  <si>
    <t>MEM.EBE9</t>
  </si>
  <si>
    <t>MEM.EBE12</t>
  </si>
  <si>
    <t>MEM.EBE13</t>
  </si>
  <si>
    <t>21A-0090Z</t>
  </si>
  <si>
    <t>REP.</t>
  </si>
  <si>
    <t>21B-0016Z</t>
  </si>
  <si>
    <t>FA691486</t>
  </si>
  <si>
    <t>24D-0001Z</t>
  </si>
  <si>
    <t>24D-0002Z</t>
  </si>
  <si>
    <t>24D-0003Z</t>
  </si>
  <si>
    <t>24D-0004Z</t>
  </si>
  <si>
    <t>24D-0005Z</t>
  </si>
  <si>
    <t>24D-0006Z</t>
  </si>
  <si>
    <t>24D-0007Z</t>
  </si>
  <si>
    <t>24D-0008Z</t>
  </si>
  <si>
    <t>24D-0009Z</t>
  </si>
  <si>
    <t>24D-0010Z</t>
  </si>
  <si>
    <t>MEM.EBE14</t>
  </si>
  <si>
    <t>MEM.EBE15</t>
  </si>
  <si>
    <t>MEM.EBE17</t>
  </si>
  <si>
    <t>MEM.EBE18</t>
  </si>
  <si>
    <t>MEM.EBE19</t>
  </si>
  <si>
    <t>MEM.EBE16</t>
  </si>
  <si>
    <t>MEM.EBE20</t>
  </si>
  <si>
    <t>MEM.EBM20</t>
  </si>
  <si>
    <t>MEM.EBM19</t>
  </si>
  <si>
    <t>MEM.EBM15</t>
  </si>
  <si>
    <t>MEM.EBM16</t>
  </si>
  <si>
    <t>MEM.EBM18</t>
  </si>
  <si>
    <t>MEM.EBM17</t>
  </si>
  <si>
    <t>MEM.EBM14</t>
  </si>
  <si>
    <t>MEM.EBM12</t>
  </si>
  <si>
    <t>MEM.EBM13</t>
  </si>
  <si>
    <t>MEM.EBM11</t>
  </si>
  <si>
    <t>MEM.EBM10</t>
  </si>
  <si>
    <t>MEM.EBM9</t>
  </si>
  <si>
    <t>MEM.EBM5</t>
  </si>
  <si>
    <t>MEM.EBM6</t>
  </si>
  <si>
    <t>MEM.EBM7</t>
  </si>
  <si>
    <t>MEM.EBM8</t>
  </si>
  <si>
    <t>MEM.EBM4</t>
  </si>
  <si>
    <t>MEM.EBM3</t>
  </si>
  <si>
    <t>MEM.EBM1</t>
  </si>
  <si>
    <t>MEM.EBM2</t>
  </si>
  <si>
    <t>MEM.EBH11</t>
  </si>
  <si>
    <t>MEM.EBH13</t>
  </si>
  <si>
    <t>MEM.EBH14</t>
  </si>
  <si>
    <t>FA780158</t>
  </si>
  <si>
    <t>24D-0011Z</t>
  </si>
  <si>
    <t>24D-0012Z</t>
  </si>
  <si>
    <t>24D-0013Z</t>
  </si>
  <si>
    <t>MEM.EBH15</t>
  </si>
  <si>
    <t>MEM.EBH12</t>
  </si>
  <si>
    <t>MEM.EBH16</t>
  </si>
  <si>
    <t>MEM.EBH17</t>
  </si>
  <si>
    <t>MEM.EBH18</t>
  </si>
  <si>
    <t>MEM.EBH19</t>
  </si>
  <si>
    <t>MEM.EBH20</t>
  </si>
  <si>
    <t>MEM.EBH1</t>
  </si>
  <si>
    <t>MEM.EBH2</t>
  </si>
  <si>
    <t>MEM.EBH8</t>
  </si>
  <si>
    <t>MEM.EBH9</t>
  </si>
  <si>
    <t>MEM.EBH10</t>
  </si>
  <si>
    <t>MEM.EBH6</t>
  </si>
  <si>
    <t>MEM.EBH7</t>
  </si>
  <si>
    <t>FA780152</t>
  </si>
  <si>
    <t>24D-0014Z-R</t>
  </si>
  <si>
    <t>24D-0015Z-R</t>
  </si>
  <si>
    <t>24D-0016Z-R</t>
  </si>
  <si>
    <t>19G-0024Z-R</t>
  </si>
  <si>
    <t>19H-0080Z-R</t>
  </si>
  <si>
    <t>MEM.EBH5</t>
  </si>
  <si>
    <t>MEM.EBH4</t>
  </si>
  <si>
    <t>MEM.EBH3</t>
  </si>
  <si>
    <t>FA782403</t>
  </si>
  <si>
    <t>FA782404</t>
  </si>
  <si>
    <t>19H-0004Z-R</t>
  </si>
  <si>
    <t>17C-0058Z-R</t>
  </si>
  <si>
    <t>FA782239</t>
  </si>
  <si>
    <t>*</t>
  </si>
  <si>
    <t>MEM.EBN10</t>
  </si>
  <si>
    <t>MEM.EBN9</t>
  </si>
  <si>
    <t>MEM.EBN8</t>
  </si>
  <si>
    <t>MEM.EBN7</t>
  </si>
  <si>
    <t>24D-0017Z</t>
  </si>
  <si>
    <t>24D-0018Z</t>
  </si>
  <si>
    <t>24D-0019Z</t>
  </si>
  <si>
    <t>24D-0020Z</t>
  </si>
  <si>
    <t>24D-0021Z</t>
  </si>
  <si>
    <t>24D-0022Z</t>
  </si>
  <si>
    <t>24D-0023Z</t>
  </si>
  <si>
    <t>24D-0024Z</t>
  </si>
  <si>
    <t>24D-0025Z</t>
  </si>
  <si>
    <t>24D-0026Z</t>
  </si>
  <si>
    <t>24D-0027Z</t>
  </si>
  <si>
    <t>24D-0028Z</t>
  </si>
  <si>
    <t>24D-0029Z</t>
  </si>
  <si>
    <t>24D-0030Z</t>
  </si>
  <si>
    <t>24D-0031Z</t>
  </si>
  <si>
    <t>24D-0032Z</t>
  </si>
  <si>
    <t>24D-0033Z</t>
  </si>
  <si>
    <t>24D-0034Z</t>
  </si>
  <si>
    <t>24D-0035Z</t>
  </si>
  <si>
    <t>24D-0036Z</t>
  </si>
  <si>
    <t>MEM.DEe6</t>
  </si>
  <si>
    <t>MEM.DEe7</t>
  </si>
  <si>
    <t>MEM.DEe19</t>
  </si>
  <si>
    <t>MEM.DEe20</t>
  </si>
  <si>
    <t>MEM.DEe8</t>
  </si>
  <si>
    <t>MEM.DEe3</t>
  </si>
  <si>
    <t>MEM.DEe4</t>
  </si>
  <si>
    <t>MEM.DEe15</t>
  </si>
  <si>
    <t>MEM.DEe11</t>
  </si>
  <si>
    <t>MEM.DEe12</t>
  </si>
  <si>
    <t>MEM.DEe5</t>
  </si>
  <si>
    <t>MEM.DEe9</t>
  </si>
  <si>
    <t>MEM.DEe2</t>
  </si>
  <si>
    <t>MEM.DEe10</t>
  </si>
  <si>
    <t>MEM.DEe18</t>
  </si>
  <si>
    <t>MEM.DFA16</t>
  </si>
  <si>
    <t>MEM.DFA14</t>
  </si>
  <si>
    <t>MEM.DFA5</t>
  </si>
  <si>
    <t>MEM.DFA18</t>
  </si>
  <si>
    <t>MEM.DFA11</t>
  </si>
  <si>
    <t>FA772228</t>
  </si>
  <si>
    <t>24D-0037Z</t>
  </si>
  <si>
    <t>24D-0038Z</t>
  </si>
  <si>
    <t>24D-0039Z</t>
  </si>
  <si>
    <t>24D-0040Z</t>
  </si>
  <si>
    <t>24D-0041Z</t>
  </si>
  <si>
    <t>24D-0042Z</t>
  </si>
  <si>
    <t>24D-0043Z</t>
  </si>
  <si>
    <t>24D-0044Z</t>
  </si>
  <si>
    <t>24D-0045Z</t>
  </si>
  <si>
    <t>24D-0046Z</t>
  </si>
  <si>
    <t>24D-0047Z</t>
  </si>
  <si>
    <t>24D-0048Z</t>
  </si>
  <si>
    <t>24D-0049Z</t>
  </si>
  <si>
    <t>24D-0050Z</t>
  </si>
  <si>
    <t>24D-0051Z</t>
  </si>
  <si>
    <t>24D-0052Z</t>
  </si>
  <si>
    <t>24D-0053Z</t>
  </si>
  <si>
    <t>24D-0054Z</t>
  </si>
  <si>
    <t>24D-0055Z</t>
  </si>
  <si>
    <t>24D-0056Z</t>
  </si>
  <si>
    <t>24D-0057Z</t>
  </si>
  <si>
    <t>24D-0058Z</t>
  </si>
  <si>
    <t>24D-0059Z</t>
  </si>
  <si>
    <t>24D-0060Z</t>
  </si>
  <si>
    <t>24D-0061Z</t>
  </si>
  <si>
    <t>24D-0062Z</t>
  </si>
  <si>
    <t>24D-0063Z</t>
  </si>
  <si>
    <t>24D-0064Z</t>
  </si>
  <si>
    <t>24D-0065Z</t>
  </si>
  <si>
    <t>24D-0066Z</t>
  </si>
  <si>
    <t>MEM.EBN6</t>
  </si>
  <si>
    <t>MEM.EBN2</t>
  </si>
  <si>
    <t>MEM.EBN3</t>
  </si>
  <si>
    <t>MEM.EBN5</t>
  </si>
  <si>
    <t>MEM.EBN4</t>
  </si>
  <si>
    <t>MEM.EBN1</t>
  </si>
  <si>
    <t>MEM.EBN18</t>
  </si>
  <si>
    <t>MEM.EBN19</t>
  </si>
  <si>
    <t>MEM.EBN17</t>
  </si>
  <si>
    <t>MEM.EBN20</t>
  </si>
  <si>
    <t>MEM.EBN16</t>
  </si>
  <si>
    <t>MEM.EBN11</t>
  </si>
  <si>
    <t>MEM.EBN12</t>
  </si>
  <si>
    <t>MEM.EBN15</t>
  </si>
  <si>
    <t>MEM.EBN13</t>
  </si>
  <si>
    <t>MEM.EBV1</t>
  </si>
  <si>
    <t>MEM.EBV2</t>
  </si>
  <si>
    <t>MEM.EBV3</t>
  </si>
  <si>
    <t>MEM.EBV6</t>
  </si>
  <si>
    <t>22G-0111Z</t>
  </si>
  <si>
    <t>Rep.</t>
  </si>
  <si>
    <t>MEM.EBV7</t>
  </si>
  <si>
    <t>MEM.EBV8</t>
  </si>
  <si>
    <t>MEM.EBV5</t>
  </si>
  <si>
    <t>MEM.EBV4</t>
  </si>
  <si>
    <t>MEM.EBV9</t>
  </si>
  <si>
    <t>MEM.EBV10</t>
  </si>
  <si>
    <t>MEM.EBV11</t>
  </si>
  <si>
    <t>MEM.EBV12</t>
  </si>
  <si>
    <t>MEM.EBV13</t>
  </si>
  <si>
    <t>MEM.EBV15</t>
  </si>
  <si>
    <t>FA783726</t>
  </si>
  <si>
    <t>19G-0230Z-R</t>
  </si>
  <si>
    <t>MEM.EBV14/19</t>
  </si>
  <si>
    <t>MEM.ECK19</t>
  </si>
  <si>
    <t>MEM.ECK17</t>
  </si>
  <si>
    <t>MEM.ECK18</t>
  </si>
  <si>
    <t>MEM.ECK12</t>
  </si>
  <si>
    <t>FA784436</t>
  </si>
  <si>
    <t>22D-0127Z-R</t>
  </si>
  <si>
    <t>MEM.ECK13</t>
  </si>
  <si>
    <t>MEM.ECK15</t>
  </si>
  <si>
    <t>FA784440</t>
  </si>
  <si>
    <t>22F-0011Z-R</t>
  </si>
  <si>
    <t>MEM.ECK16</t>
  </si>
  <si>
    <t>MEM.ECK14</t>
  </si>
  <si>
    <t>FA784439</t>
  </si>
  <si>
    <t>18B-0054Z-R</t>
  </si>
  <si>
    <t>22E-0066Z-R</t>
  </si>
  <si>
    <t>MEM.ECK</t>
  </si>
  <si>
    <t>MEM.ECK10</t>
  </si>
  <si>
    <t>MEM.ECK9</t>
  </si>
  <si>
    <t>MEM.ECK8</t>
  </si>
  <si>
    <t>MEM.ECK7</t>
  </si>
  <si>
    <t>MEM.ECK6</t>
  </si>
  <si>
    <t>MEM.ECK5</t>
  </si>
  <si>
    <t>MEM.ECK4</t>
  </si>
  <si>
    <t>22J-0066Z-R</t>
  </si>
  <si>
    <t>FA784437</t>
  </si>
  <si>
    <t>23E-0002Z</t>
  </si>
  <si>
    <t>Loch in der Membran</t>
  </si>
  <si>
    <t>17I-0002Z</t>
  </si>
  <si>
    <t>FA780159</t>
  </si>
  <si>
    <t>24D-0067Z</t>
  </si>
  <si>
    <t>24D-0068Z</t>
  </si>
  <si>
    <t>24D-0069Z</t>
  </si>
  <si>
    <t>24D-0070Z</t>
  </si>
  <si>
    <t>24D-0071Z</t>
  </si>
  <si>
    <t>24D-0072Z</t>
  </si>
  <si>
    <t>24D-0073Z</t>
  </si>
  <si>
    <t>24D-0074Z</t>
  </si>
  <si>
    <t>24D-0075Z</t>
  </si>
  <si>
    <t>24D-0076Z</t>
  </si>
  <si>
    <t>24D-0077Z</t>
  </si>
  <si>
    <t>24D-0078Z</t>
  </si>
  <si>
    <t>24D-0079Z</t>
  </si>
  <si>
    <t>24D-0080Z</t>
  </si>
  <si>
    <t>24D-0081Z</t>
  </si>
  <si>
    <t>24D-0082Z</t>
  </si>
  <si>
    <t>24D-0083Z</t>
  </si>
  <si>
    <t>24D-0084Z</t>
  </si>
  <si>
    <t>24D-0085Z</t>
  </si>
  <si>
    <t>24D-0086Z</t>
  </si>
  <si>
    <t>24D-0087Z</t>
  </si>
  <si>
    <t>24D-0088Z</t>
  </si>
  <si>
    <t>24D-0089Z</t>
  </si>
  <si>
    <t>24D-0090Z</t>
  </si>
  <si>
    <t>24D-0091Z</t>
  </si>
  <si>
    <t>MEM.DFA7</t>
  </si>
  <si>
    <t>MEM.DFA8</t>
  </si>
  <si>
    <t>MEM.DFA9</t>
  </si>
  <si>
    <t>MEM.DFA12</t>
  </si>
  <si>
    <t>MEM.DFA13</t>
  </si>
  <si>
    <t>MEM.DFA20</t>
  </si>
  <si>
    <t>MEM.DFA19</t>
  </si>
  <si>
    <t>MEM.DFA3</t>
  </si>
  <si>
    <t>MEM.DFA4</t>
  </si>
  <si>
    <t>MEM.DFA6</t>
  </si>
  <si>
    <t>MEM.DFA17</t>
  </si>
  <si>
    <t>MEM.DFA15</t>
  </si>
  <si>
    <t>MEM.DFA1</t>
  </si>
  <si>
    <t>MEM.DFA</t>
  </si>
  <si>
    <t>MEM.EBS3</t>
  </si>
  <si>
    <t>MEM.EBS4</t>
  </si>
  <si>
    <t>MEM.EBS8</t>
  </si>
  <si>
    <t>MEM.EBS9</t>
  </si>
  <si>
    <t>MEM.EBS5</t>
  </si>
  <si>
    <t>MEM.EBS6</t>
  </si>
  <si>
    <t>MEM.EBS10</t>
  </si>
  <si>
    <t>MEM.EBS15</t>
  </si>
  <si>
    <t>MEM.EBS7</t>
  </si>
  <si>
    <t>MEM.EBS</t>
  </si>
  <si>
    <t>FA784435</t>
  </si>
  <si>
    <t>20I-0037Z-R</t>
  </si>
  <si>
    <t>24D-0092Z-R</t>
  </si>
  <si>
    <t>24D-0093Z-R</t>
  </si>
  <si>
    <t>24D-0094Z-R</t>
  </si>
  <si>
    <t>24D-0095Z-R</t>
  </si>
  <si>
    <t>MEM.EBZ10</t>
  </si>
  <si>
    <t>MEM.EBZ1</t>
  </si>
  <si>
    <t>MEM.EBZ2</t>
  </si>
  <si>
    <t>MEM.EBZ4</t>
  </si>
  <si>
    <t>MEM.EBZ7</t>
  </si>
  <si>
    <t>FA783339</t>
  </si>
  <si>
    <t>24D-0096Z</t>
  </si>
  <si>
    <t>24D-0097Z</t>
  </si>
  <si>
    <t>24D-0098Z</t>
  </si>
  <si>
    <t>MEM.EBZ8</t>
  </si>
  <si>
    <t>MEM.EBZ3</t>
  </si>
  <si>
    <t>MEM.EBZ5</t>
  </si>
  <si>
    <t>MEM.EBZ6</t>
  </si>
  <si>
    <t>MEM.EBZ9</t>
  </si>
  <si>
    <t>MEM.EBb10</t>
  </si>
  <si>
    <t>MEM.EBb7</t>
  </si>
  <si>
    <t>MEM.EBb9</t>
  </si>
  <si>
    <t>MEM.EBb6</t>
  </si>
  <si>
    <t>MEM.EBb8</t>
  </si>
  <si>
    <t>MEM.EBb5</t>
  </si>
  <si>
    <t>MEM.EBb4</t>
  </si>
  <si>
    <t>MEM.EBb2</t>
  </si>
  <si>
    <t>20H-0020Z-R</t>
  </si>
  <si>
    <t>FA785251</t>
  </si>
  <si>
    <t>FA783338</t>
  </si>
  <si>
    <t>MEM.EBb3</t>
  </si>
  <si>
    <t>MEM.EBb20</t>
  </si>
  <si>
    <t>MEM.EBb1</t>
  </si>
  <si>
    <t>MEM.EBb18</t>
  </si>
  <si>
    <t>MEM.EBb19</t>
  </si>
  <si>
    <t>MEM.EBb15</t>
  </si>
  <si>
    <t>MEM.EBb16</t>
  </si>
  <si>
    <t>MEM.EBb17</t>
  </si>
  <si>
    <t>MEM.EBb11</t>
  </si>
  <si>
    <t>MEM.EBb12</t>
  </si>
  <si>
    <t>MEM.EBb13</t>
  </si>
  <si>
    <t>MEM.EBb14</t>
  </si>
  <si>
    <t>MEM.Ebc5</t>
  </si>
  <si>
    <t>MEM.Ebc6</t>
  </si>
  <si>
    <t>MEM.Ebc1</t>
  </si>
  <si>
    <t>MEM.Ebc2</t>
  </si>
  <si>
    <t>MEM.Ebc3</t>
  </si>
  <si>
    <t>MEM.Ebc7</t>
  </si>
  <si>
    <t>MEM.Ebc4</t>
  </si>
  <si>
    <t>MEM.Ebc9</t>
  </si>
  <si>
    <t>MEM.Ebc10</t>
  </si>
  <si>
    <t>MEM.Ebc8</t>
  </si>
  <si>
    <t>MEM.Ebc11</t>
  </si>
  <si>
    <t>MEM.Ebc12</t>
  </si>
  <si>
    <t>MEM.Ebc13</t>
  </si>
  <si>
    <t>MEM.Ebc14</t>
  </si>
  <si>
    <t>MEM.ECK3</t>
  </si>
  <si>
    <t>MEM.ECK2</t>
  </si>
  <si>
    <t>MEM.ECK20</t>
  </si>
  <si>
    <t>MEM.ECK1</t>
  </si>
  <si>
    <t>MEM.ECL9</t>
  </si>
  <si>
    <t>MEM.ECL10</t>
  </si>
  <si>
    <t>MEM.ECL7</t>
  </si>
  <si>
    <t>MEM.ECL8</t>
  </si>
  <si>
    <t>MEM.ECL11</t>
  </si>
  <si>
    <t>MEM.ECL2</t>
  </si>
  <si>
    <t>MEM.ECL6</t>
  </si>
  <si>
    <t>MEM.ECL1</t>
  </si>
  <si>
    <t>MEM.ECL4</t>
  </si>
  <si>
    <t>24E-0001Z</t>
  </si>
  <si>
    <t>24E-0002Z</t>
  </si>
  <si>
    <t>24E-0003Z</t>
  </si>
  <si>
    <t>24E-0004Z</t>
  </si>
  <si>
    <t>24E-0005Z</t>
  </si>
  <si>
    <t>24E-0006Z</t>
  </si>
  <si>
    <t>24E-0007Z</t>
  </si>
  <si>
    <t>24E-0008Z</t>
  </si>
  <si>
    <t>24E-0009Z</t>
  </si>
  <si>
    <t>24E-0010Z</t>
  </si>
  <si>
    <t>24E-0011Z</t>
  </si>
  <si>
    <t>24E-0012Z</t>
  </si>
  <si>
    <t>24E-0013Z</t>
  </si>
  <si>
    <t>24E-0014Z</t>
  </si>
  <si>
    <t>24E-0015Z</t>
  </si>
  <si>
    <t>24E-0016Z</t>
  </si>
  <si>
    <t>24E-0017Z</t>
  </si>
  <si>
    <t>24E-0018Z</t>
  </si>
  <si>
    <t>24E-0019Z</t>
  </si>
  <si>
    <t>24E-0020Z</t>
  </si>
  <si>
    <t>FA772229</t>
  </si>
  <si>
    <t>24E-0021Z</t>
  </si>
  <si>
    <t>24E-0022Z</t>
  </si>
  <si>
    <t>24E-0023Z</t>
  </si>
  <si>
    <t>24E-0024Z</t>
  </si>
  <si>
    <t>24E-0025Z</t>
  </si>
  <si>
    <t>24E-0026Z</t>
  </si>
  <si>
    <t>24E-0027Z</t>
  </si>
  <si>
    <t>24E-0028Z</t>
  </si>
  <si>
    <t>24E-0029Z</t>
  </si>
  <si>
    <t>24E-0030Z</t>
  </si>
  <si>
    <t>24E-0031Z</t>
  </si>
  <si>
    <t>24E-0032Z</t>
  </si>
  <si>
    <t>24E-0033Z</t>
  </si>
  <si>
    <t>24E-0034Z</t>
  </si>
  <si>
    <t>24E-0035Z</t>
  </si>
  <si>
    <t>24E-0036Z</t>
  </si>
  <si>
    <t>24E-0037Z</t>
  </si>
  <si>
    <t>24E-0038Z</t>
  </si>
  <si>
    <t>24E-0039Z</t>
  </si>
  <si>
    <t>24E-0040Z</t>
  </si>
  <si>
    <t>24E-0041Z</t>
  </si>
  <si>
    <t>24E-0042Z</t>
  </si>
  <si>
    <t>24E-0043Z</t>
  </si>
  <si>
    <t>24E-0044Z</t>
  </si>
  <si>
    <t>24E-0045Z</t>
  </si>
  <si>
    <t>24E-0046Z</t>
  </si>
  <si>
    <t>24E-0047Z</t>
  </si>
  <si>
    <t>24E-0048Z</t>
  </si>
  <si>
    <t>24E-0049Z</t>
  </si>
  <si>
    <t>24E-0050Z</t>
  </si>
  <si>
    <t>MEM.ECL3</t>
  </si>
  <si>
    <t>MEM.ECL5</t>
  </si>
  <si>
    <t>MEM.ECL19</t>
  </si>
  <si>
    <t>MEM.ECL20</t>
  </si>
  <si>
    <t>MEM.ECL17</t>
  </si>
  <si>
    <t>MEM.ECL18</t>
  </si>
  <si>
    <t>MEM.ECL16</t>
  </si>
  <si>
    <t>MEM.ECL15</t>
  </si>
  <si>
    <t>MEM.ECL12</t>
  </si>
  <si>
    <t>MEM.ECL14</t>
  </si>
  <si>
    <t>MEM.ECL13</t>
  </si>
  <si>
    <t>MEM.ECM6</t>
  </si>
  <si>
    <t>MEM.ECM7</t>
  </si>
  <si>
    <t>MEM.ECM9</t>
  </si>
  <si>
    <t>MEM.ECM8</t>
  </si>
  <si>
    <t>MEM.ECM5</t>
  </si>
  <si>
    <t>MEM.ECM4</t>
  </si>
  <si>
    <t>MEM.ECM3</t>
  </si>
  <si>
    <t>MEM.ECM20</t>
  </si>
  <si>
    <t>MEM.ECM2</t>
  </si>
  <si>
    <t>MEM.ECM1</t>
  </si>
  <si>
    <t>MEM.ECM19</t>
  </si>
  <si>
    <t>MEM.ECM18</t>
  </si>
  <si>
    <t>MEM.ECM16</t>
  </si>
  <si>
    <t>MEM.ECM12</t>
  </si>
  <si>
    <t>MEM.ECM13</t>
  </si>
  <si>
    <t>MEM.ECM15</t>
  </si>
  <si>
    <t>MEM.ECM14</t>
  </si>
  <si>
    <t>MEM.ECM11</t>
  </si>
  <si>
    <t>FA785756</t>
  </si>
  <si>
    <t>24E-0051Z</t>
  </si>
  <si>
    <t>24E-0052Z</t>
  </si>
  <si>
    <t>24E-0053Z</t>
  </si>
  <si>
    <t>24E-0054Z</t>
  </si>
  <si>
    <t>24E-0057Z</t>
  </si>
  <si>
    <t>24E-0055Z</t>
  </si>
  <si>
    <t>24E-0056Z</t>
  </si>
  <si>
    <t>24E-0058Z</t>
  </si>
  <si>
    <t>24E-0059Z</t>
  </si>
  <si>
    <t>24E-0060Z</t>
  </si>
  <si>
    <t>24E-0061Z</t>
  </si>
  <si>
    <t>24E-0062Z</t>
  </si>
  <si>
    <t>24E-0063Z</t>
  </si>
  <si>
    <t>24E-0064Z</t>
  </si>
  <si>
    <t>24E-0065Z</t>
  </si>
  <si>
    <t>24E-0066Z</t>
  </si>
  <si>
    <t>24E-0067Z</t>
  </si>
  <si>
    <t>24E-0068Z</t>
  </si>
  <si>
    <t>24E-0069Z</t>
  </si>
  <si>
    <t>24E-0070Z</t>
  </si>
  <si>
    <t>24E-0071Z</t>
  </si>
  <si>
    <t>24E-0072Z</t>
  </si>
  <si>
    <t>24E-0073Z</t>
  </si>
  <si>
    <t>24E-0074Z</t>
  </si>
  <si>
    <t>24E-0075Z</t>
  </si>
  <si>
    <t>24E-0076Z</t>
  </si>
  <si>
    <t>24E-0077Z</t>
  </si>
  <si>
    <t>24E-0078Z</t>
  </si>
  <si>
    <t>24E-0079Z</t>
  </si>
  <si>
    <t>24E-0080Z</t>
  </si>
  <si>
    <t>MEM.ECM10</t>
  </si>
  <si>
    <t>MEM.EBS19</t>
  </si>
  <si>
    <t>MEM.EBS1</t>
  </si>
  <si>
    <t>MEM.EBS13</t>
  </si>
  <si>
    <t>MEM.EBS14</t>
  </si>
  <si>
    <t>MEM.EBS2</t>
  </si>
  <si>
    <t>MEM.EBS17</t>
  </si>
  <si>
    <t>MEM.EBS11</t>
  </si>
  <si>
    <t>MEM.EBS12</t>
  </si>
  <si>
    <t>MEM.EBS16</t>
  </si>
  <si>
    <t>MEM.EBS20</t>
  </si>
  <si>
    <t>MEM.DFE10</t>
  </si>
  <si>
    <t>MEM.DFE15</t>
  </si>
  <si>
    <t>MEM.DFE7</t>
  </si>
  <si>
    <t>MEM.DFE8</t>
  </si>
  <si>
    <t>MEM.DFE6</t>
  </si>
  <si>
    <t>MEM.DFE18</t>
  </si>
  <si>
    <t>MEM.DFE5</t>
  </si>
  <si>
    <t>MEM.DFE14</t>
  </si>
  <si>
    <t>MEM.DFE9</t>
  </si>
  <si>
    <t>MEM.DFE12</t>
  </si>
  <si>
    <t>MEM.DFE13</t>
  </si>
  <si>
    <t>MEM.DFE16</t>
  </si>
  <si>
    <t>MEM.DFE17</t>
  </si>
  <si>
    <t>MEM.DFE4</t>
  </si>
  <si>
    <t>MEM.DFE2</t>
  </si>
  <si>
    <t>MEM.DFE3</t>
  </si>
  <si>
    <t>MEM.DFE19</t>
  </si>
  <si>
    <t>MEM.DFE</t>
  </si>
  <si>
    <t>MEM.DFE1</t>
  </si>
  <si>
    <t>test</t>
  </si>
  <si>
    <t>FA785757</t>
  </si>
  <si>
    <t>24E-0081Z</t>
  </si>
  <si>
    <t>24E-0082Z</t>
  </si>
  <si>
    <t>24E-0083Z</t>
  </si>
  <si>
    <t>24E-0084Z</t>
  </si>
  <si>
    <t>24E-0085Z</t>
  </si>
  <si>
    <t>24E-0086Z</t>
  </si>
  <si>
    <t>24E-0087Z</t>
  </si>
  <si>
    <t>24E-0088Z</t>
  </si>
  <si>
    <t>24E-0089Z</t>
  </si>
  <si>
    <t>24E-0090Z</t>
  </si>
  <si>
    <t>MEM.ECN8</t>
  </si>
  <si>
    <t>MEM.ECN9</t>
  </si>
  <si>
    <t>MEM.ECN10</t>
  </si>
  <si>
    <t>MEM.ECN7</t>
  </si>
  <si>
    <t>MEM.ECN5</t>
  </si>
  <si>
    <t>MEM.ECN6</t>
  </si>
  <si>
    <t>MEM.ECN4</t>
  </si>
  <si>
    <t>MEM.ECN3</t>
  </si>
  <si>
    <t>MEM.ECN1</t>
  </si>
  <si>
    <t>24E-0091Z</t>
  </si>
  <si>
    <t>24E-0092Z</t>
  </si>
  <si>
    <t>24E-0093Z</t>
  </si>
  <si>
    <t>24E-0094Z</t>
  </si>
  <si>
    <t>24E-0095Z</t>
  </si>
  <si>
    <t>24E-0096Z</t>
  </si>
  <si>
    <t>24E-0097Z</t>
  </si>
  <si>
    <t>24E-0098Z</t>
  </si>
  <si>
    <t>24E-0099Z</t>
  </si>
  <si>
    <t>24E-0100Z</t>
  </si>
  <si>
    <t>MEM.ECN16</t>
  </si>
  <si>
    <t>MEM.ECN17</t>
  </si>
  <si>
    <t>MEM.ECN18</t>
  </si>
  <si>
    <t>MEM.ECN19</t>
  </si>
  <si>
    <t>MEM.ECN20</t>
  </si>
  <si>
    <t>MEM.ECN11</t>
  </si>
  <si>
    <t>MEM.ECN12</t>
  </si>
  <si>
    <t>MEM.ECN13</t>
  </si>
  <si>
    <t>MEM.ECN14</t>
  </si>
  <si>
    <t>MEM.ECN15</t>
  </si>
  <si>
    <t>MEM.ECN2</t>
  </si>
  <si>
    <t>24E-0101Z</t>
  </si>
  <si>
    <t>24E-0102Z</t>
  </si>
  <si>
    <t>24E-0103Z</t>
  </si>
  <si>
    <t>24E-0104Z</t>
  </si>
  <si>
    <t>24E-0105Z</t>
  </si>
  <si>
    <t>24E-0106Z</t>
  </si>
  <si>
    <t>24E-0107Z</t>
  </si>
  <si>
    <t>24E-0108Z</t>
  </si>
  <si>
    <t>24E-0109Z</t>
  </si>
  <si>
    <t>24E-0110Z</t>
  </si>
  <si>
    <t>MEM.ECZ1</t>
  </si>
  <si>
    <t>MEM.ECZ2</t>
  </si>
  <si>
    <t>MEM.ECZ3</t>
  </si>
  <si>
    <t>MEM.ECZ4</t>
  </si>
  <si>
    <t>MEM.ECZ5</t>
  </si>
  <si>
    <t>MEM.ECZ6</t>
  </si>
  <si>
    <t>MEM.ECZ7</t>
  </si>
  <si>
    <t>MEM.ECZ8</t>
  </si>
  <si>
    <t>MEM.ECZ9</t>
  </si>
  <si>
    <t>MEM.ECZ10</t>
  </si>
  <si>
    <t>FA691481</t>
  </si>
  <si>
    <t>24F-0001Z</t>
  </si>
  <si>
    <t>24F-0002Z</t>
  </si>
  <si>
    <t>24F-0003Z</t>
  </si>
  <si>
    <t>24F-0004Z</t>
  </si>
  <si>
    <t>24F-0005Z</t>
  </si>
  <si>
    <t>24F-0006Z</t>
  </si>
  <si>
    <t>24F-0007Z</t>
  </si>
  <si>
    <t>24F-0008Z</t>
  </si>
  <si>
    <t>24F-0009Z</t>
  </si>
  <si>
    <t>24F-0010Z</t>
  </si>
  <si>
    <t>24F-0011Z</t>
  </si>
  <si>
    <t>24F-0012Z</t>
  </si>
  <si>
    <t>24F-0013Z</t>
  </si>
  <si>
    <t>24F-0014Z</t>
  </si>
  <si>
    <t>24F-0015Z</t>
  </si>
  <si>
    <t>24F-0016Z</t>
  </si>
  <si>
    <t>24F-0017Z</t>
  </si>
  <si>
    <t>24F-0018Z</t>
  </si>
  <si>
    <t>24F-0019Z</t>
  </si>
  <si>
    <t>24F-0020Z</t>
  </si>
  <si>
    <t>MEM.ECZ11</t>
  </si>
  <si>
    <t>MEM.ECZ12</t>
  </si>
  <si>
    <t>MEM.ECZ13</t>
  </si>
  <si>
    <t>MEM.ECZ14</t>
  </si>
  <si>
    <t>MEM.ECZ15</t>
  </si>
  <si>
    <t>MEM.ECZ16</t>
  </si>
  <si>
    <t>MEM.ECZ17</t>
  </si>
  <si>
    <t>MEM.ECZ18</t>
  </si>
  <si>
    <t>MEM.ECZ19</t>
  </si>
  <si>
    <t>MEM.ECZ20</t>
  </si>
  <si>
    <t>MEM.Eca11</t>
  </si>
  <si>
    <t>MEM.Eca12</t>
  </si>
  <si>
    <t>MEM.Eca13</t>
  </si>
  <si>
    <t>MEM.Eca14</t>
  </si>
  <si>
    <t>MEM.Eca15</t>
  </si>
  <si>
    <t>MEM.Eca16</t>
  </si>
  <si>
    <t>MEM.Eca17</t>
  </si>
  <si>
    <t>MEM.Eca18</t>
  </si>
  <si>
    <t>MEM.Eca19</t>
  </si>
  <si>
    <t>MEM.Eca20</t>
  </si>
  <si>
    <t>MEM.Eca1</t>
  </si>
  <si>
    <t>MEM.Eca2</t>
  </si>
  <si>
    <t>MEM.Eca3</t>
  </si>
  <si>
    <t>MEM.Eca4</t>
  </si>
  <si>
    <t>MEM.Eca5</t>
  </si>
  <si>
    <t>MEM.Eca6</t>
  </si>
  <si>
    <t>MEM.Eca7</t>
  </si>
  <si>
    <t>MEM.Eca8</t>
  </si>
  <si>
    <t>MEM.Eca9</t>
  </si>
  <si>
    <t>MEM.Eca10</t>
  </si>
  <si>
    <t>MEM.ECU15</t>
  </si>
  <si>
    <t>MEM.ECU4</t>
  </si>
  <si>
    <t>MEM.ECU3</t>
  </si>
  <si>
    <t>MEM.ECU14</t>
  </si>
  <si>
    <t>MEM.ECV4</t>
  </si>
  <si>
    <t>MEM.ECV5</t>
  </si>
  <si>
    <t>MEM.ECU5</t>
  </si>
  <si>
    <t>MEM.ECU1</t>
  </si>
  <si>
    <t>MEM.ECU11</t>
  </si>
  <si>
    <t>MEM.ECU12</t>
  </si>
  <si>
    <t>MEM.ECU13</t>
  </si>
  <si>
    <t>FA772230</t>
  </si>
  <si>
    <t>24F-0021Z</t>
  </si>
  <si>
    <t>24F-0022Z</t>
  </si>
  <si>
    <t>24F-0023Z</t>
  </si>
  <si>
    <t>24F-0024Z</t>
  </si>
  <si>
    <t>24F-0025Z</t>
  </si>
  <si>
    <t>24F-0026Z</t>
  </si>
  <si>
    <t>24F-0027Z</t>
  </si>
  <si>
    <t>24F-0028Z</t>
  </si>
  <si>
    <t>24F-0029Z</t>
  </si>
  <si>
    <t>24F-0030Z</t>
  </si>
  <si>
    <t>24F-0031Z</t>
  </si>
  <si>
    <t>24F-0032Z</t>
  </si>
  <si>
    <t>24F-0033Z</t>
  </si>
  <si>
    <t>24F-0034Z</t>
  </si>
  <si>
    <t>24F-0035Z</t>
  </si>
  <si>
    <t>24F-0036Z</t>
  </si>
  <si>
    <t>24F-0037Z</t>
  </si>
  <si>
    <t>24F-0038Z</t>
  </si>
  <si>
    <t>24F-0039Z</t>
  </si>
  <si>
    <t>24F-0040Z</t>
  </si>
  <si>
    <t>24F-0041Z</t>
  </si>
  <si>
    <t>24F-0042Z</t>
  </si>
  <si>
    <t>24F-0043Z</t>
  </si>
  <si>
    <t>24F-0044Z</t>
  </si>
  <si>
    <t>24F-0045Z</t>
  </si>
  <si>
    <t>24F-0046Z</t>
  </si>
  <si>
    <t>24F-0047Z</t>
  </si>
  <si>
    <t>24F-0048Z</t>
  </si>
  <si>
    <t>24F-0049Z</t>
  </si>
  <si>
    <t>24F-0050Z</t>
  </si>
  <si>
    <t>MEM.ECU9</t>
  </si>
  <si>
    <t>MEM.ECU10</t>
  </si>
  <si>
    <t>MEM.ECU8</t>
  </si>
  <si>
    <t>MEM.ECU7</t>
  </si>
  <si>
    <t>MEM.ECY13</t>
  </si>
  <si>
    <t>MEM.ECY14</t>
  </si>
  <si>
    <t>MEM.ECY11</t>
  </si>
  <si>
    <t>MEM.ECY12</t>
  </si>
  <si>
    <t>MEM.ECY1</t>
  </si>
  <si>
    <t>MEM.ECY3</t>
  </si>
  <si>
    <t>MEM.ECY4</t>
  </si>
  <si>
    <t>MEM.ECY6</t>
  </si>
  <si>
    <t>MEM.ECY7</t>
  </si>
  <si>
    <t>MEM.ECY8</t>
  </si>
  <si>
    <t>MEM.ECY10</t>
  </si>
  <si>
    <t>MEM.ECY5</t>
  </si>
  <si>
    <t>MEM.ECY2</t>
  </si>
  <si>
    <t>MEM.ECY15</t>
  </si>
  <si>
    <t>MEM.EDB16</t>
  </si>
  <si>
    <t>MEM.EDB17</t>
  </si>
  <si>
    <t>MEM.EDB14</t>
  </si>
  <si>
    <t>MEM.EDB15</t>
  </si>
  <si>
    <t>MEM.EDB20</t>
  </si>
  <si>
    <t>MEM.EDB19</t>
  </si>
  <si>
    <t>MEM.EDB18</t>
  </si>
  <si>
    <t>MEM.EDB13</t>
  </si>
  <si>
    <t>MEM.EDB11</t>
  </si>
  <si>
    <t>MEM.EDB10</t>
  </si>
  <si>
    <t>FA785759</t>
  </si>
  <si>
    <t>24F-0051Z</t>
  </si>
  <si>
    <t>24F-0052Z</t>
  </si>
  <si>
    <t>24F-0053Z</t>
  </si>
  <si>
    <t>24F-0054Z</t>
  </si>
  <si>
    <t>24F-0055Z</t>
  </si>
  <si>
    <t>MEM.EDB12</t>
  </si>
  <si>
    <t>MEM.EDB8</t>
  </si>
  <si>
    <t>MEM.EDB9</t>
  </si>
  <si>
    <t>MEM.EDB7</t>
  </si>
  <si>
    <t>MEM.EDB6</t>
  </si>
  <si>
    <t>MEM.EDB4</t>
  </si>
  <si>
    <t>MEM.EDB5</t>
  </si>
  <si>
    <t>MEM.EDB3</t>
  </si>
  <si>
    <t>MEM.EDB2</t>
  </si>
  <si>
    <t>MEM.EDB1</t>
  </si>
  <si>
    <t>MEM.EDC10</t>
  </si>
  <si>
    <t>MEM.EDC6</t>
  </si>
  <si>
    <t>MEM.EDC7</t>
  </si>
  <si>
    <t>MEM.EDC9</t>
  </si>
  <si>
    <t>MEM.EDC8</t>
  </si>
  <si>
    <t>MEM.EDC5</t>
  </si>
  <si>
    <t>MEM.EDC4</t>
  </si>
  <si>
    <t>MEM.EDC3</t>
  </si>
  <si>
    <t>MEM.EDC2</t>
  </si>
  <si>
    <t>MEM.EDC1</t>
  </si>
  <si>
    <t>FA787317</t>
  </si>
  <si>
    <t>24F-0056Z</t>
  </si>
  <si>
    <t>24F-0057Z</t>
  </si>
  <si>
    <t>24F-0058Z</t>
  </si>
  <si>
    <t>24F-0059Z</t>
  </si>
  <si>
    <t>24F-0060Z</t>
  </si>
  <si>
    <t>MEM.EDC20</t>
  </si>
  <si>
    <t>MEM.EDC19</t>
  </si>
  <si>
    <t>MEM.EDC14</t>
  </si>
  <si>
    <t>MEM.EDC13</t>
  </si>
  <si>
    <t>MEM.EDC15</t>
  </si>
  <si>
    <t>MEM.EDC18</t>
  </si>
  <si>
    <t>MEM.EDC12</t>
  </si>
  <si>
    <t>MEM.EDC17</t>
  </si>
  <si>
    <t>MEM.EDC11</t>
  </si>
  <si>
    <t>MEM.EDD9</t>
  </si>
  <si>
    <t>MEM.EDD11</t>
  </si>
  <si>
    <t>MEM.EDD8</t>
  </si>
  <si>
    <t>MEM.EDD7</t>
  </si>
  <si>
    <t>MEM.EDD6</t>
  </si>
  <si>
    <t>17K-0055Z</t>
  </si>
  <si>
    <t>Test für R&amp;D</t>
  </si>
  <si>
    <t>20A-0159Z</t>
  </si>
  <si>
    <t>20A-0160Z</t>
  </si>
  <si>
    <t>20A-0161Z</t>
  </si>
  <si>
    <t>17K-0032Z</t>
  </si>
  <si>
    <t>20A-0158Z</t>
  </si>
  <si>
    <t>21C-0039Z</t>
  </si>
  <si>
    <t>21C-0040Z</t>
  </si>
  <si>
    <t>Zellspannung nicht stabil</t>
  </si>
  <si>
    <t>21C-0037Z</t>
  </si>
  <si>
    <t>21C-0038Z</t>
  </si>
  <si>
    <t>FA691064</t>
  </si>
  <si>
    <t>24F-0061Z</t>
  </si>
  <si>
    <t>24F-0062Z</t>
  </si>
  <si>
    <t>24F-0063Z</t>
  </si>
  <si>
    <t>24F-0064Z</t>
  </si>
  <si>
    <t>24F-0065Z</t>
  </si>
  <si>
    <t>24F-0066Z</t>
  </si>
  <si>
    <t>24F-0067Z</t>
  </si>
  <si>
    <t>24F-0068Z</t>
  </si>
  <si>
    <t>24F-0069Z</t>
  </si>
  <si>
    <t>24F-0070Z</t>
  </si>
  <si>
    <t>24F-0071Z</t>
  </si>
  <si>
    <t>24F-0072Z</t>
  </si>
  <si>
    <t>24F-0073Z</t>
  </si>
  <si>
    <t>24F-0074Z</t>
  </si>
  <si>
    <t>24F-0075Z</t>
  </si>
  <si>
    <t>24F-0076Z</t>
  </si>
  <si>
    <t>24F-0077Z</t>
  </si>
  <si>
    <t>24F-0078Z</t>
  </si>
  <si>
    <t>24F-0079Z</t>
  </si>
  <si>
    <t>24F-0080Z</t>
  </si>
  <si>
    <t>MEM.ECD1</t>
  </si>
  <si>
    <t>MEM.ECD2</t>
  </si>
  <si>
    <t>MEM.ECD19</t>
  </si>
  <si>
    <t>MEM.ECD20</t>
  </si>
  <si>
    <t>MEM.ECD12</t>
  </si>
  <si>
    <t>MEM.ECD13</t>
  </si>
  <si>
    <t>MEM.ECD14</t>
  </si>
  <si>
    <t>MEM.ECD15</t>
  </si>
  <si>
    <t>MEM.ECD10</t>
  </si>
  <si>
    <t>MEM.ECD16</t>
  </si>
  <si>
    <t>MEM.ECD4</t>
  </si>
  <si>
    <t>MEM.ECD5</t>
  </si>
  <si>
    <t>MEM.ECD6</t>
  </si>
  <si>
    <t>MEM.ECD9</t>
  </si>
  <si>
    <t>MEM.ECD17</t>
  </si>
  <si>
    <t>MEM.ECD11</t>
  </si>
  <si>
    <t>MEM.ECD7</t>
  </si>
  <si>
    <t>MEM.ECD8</t>
  </si>
  <si>
    <t>MEM.ECD18</t>
  </si>
  <si>
    <t>MEM.ECD3</t>
  </si>
  <si>
    <t>FA787318</t>
  </si>
  <si>
    <t>24G-0001Z</t>
  </si>
  <si>
    <t>24G-0002Z</t>
  </si>
  <si>
    <t>24G-0003Z</t>
  </si>
  <si>
    <t>24G-0004Z</t>
  </si>
  <si>
    <t>24G-0005Z</t>
  </si>
  <si>
    <t>24G-0006Z</t>
  </si>
  <si>
    <t>24G-0007Z</t>
  </si>
  <si>
    <t>24G-0008Z</t>
  </si>
  <si>
    <t>24G-0009Z</t>
  </si>
  <si>
    <t>24G-0010Z</t>
  </si>
  <si>
    <t>24G-0011Z</t>
  </si>
  <si>
    <t>24G-0012Z</t>
  </si>
  <si>
    <t>24G-0013Z</t>
  </si>
  <si>
    <t>24G-0014Z</t>
  </si>
  <si>
    <t>24G-0015Z</t>
  </si>
  <si>
    <t>24G-0016Z</t>
  </si>
  <si>
    <t>24G-0017Z</t>
  </si>
  <si>
    <t>24G-0018Z</t>
  </si>
  <si>
    <t>24G-0019Z</t>
  </si>
  <si>
    <t>24G-0020Z</t>
  </si>
  <si>
    <t>24G-0021Z</t>
  </si>
  <si>
    <t>24G-0022Z</t>
  </si>
  <si>
    <t>24G-0023Z</t>
  </si>
  <si>
    <t>24G-0024Z</t>
  </si>
  <si>
    <t>24G-0025Z</t>
  </si>
  <si>
    <t>24G-0026Z</t>
  </si>
  <si>
    <t>24G-0027Z</t>
  </si>
  <si>
    <t>24G-0028Z</t>
  </si>
  <si>
    <t>24G-0029Z</t>
  </si>
  <si>
    <t>24G-0030Z</t>
  </si>
  <si>
    <t>MEM.EDD14</t>
  </si>
  <si>
    <t>MEM.EDD13</t>
  </si>
  <si>
    <t>MEM.EDD10</t>
  </si>
  <si>
    <t>MEM.EDD12</t>
  </si>
  <si>
    <t>MEM.EDD16</t>
  </si>
  <si>
    <t>MEM.EDD17</t>
  </si>
  <si>
    <t>MEM.EDD18</t>
  </si>
  <si>
    <t>MEM.EDD15</t>
  </si>
  <si>
    <t>MEM.EDD19</t>
  </si>
  <si>
    <t>MEM.EDD20</t>
  </si>
  <si>
    <t>MEM.EDD22</t>
  </si>
  <si>
    <t>MEM.EDD23</t>
  </si>
  <si>
    <t>MEM.EDD21</t>
  </si>
  <si>
    <t>MEM.EDD24</t>
  </si>
  <si>
    <t>MEM.EDD5</t>
  </si>
  <si>
    <t>MEM.EDD1</t>
  </si>
  <si>
    <t>MEM.EDD2</t>
  </si>
  <si>
    <t>MEM.EDD25</t>
  </si>
  <si>
    <t>MEM.EDD3</t>
  </si>
  <si>
    <t>MEM.EDD4</t>
  </si>
  <si>
    <t>MEM.EDH7</t>
  </si>
  <si>
    <t>MEM.EDH8</t>
  </si>
  <si>
    <t>MEM.EDH10</t>
  </si>
  <si>
    <t>MEM.EDH9</t>
  </si>
  <si>
    <t>MEM.EDH4</t>
  </si>
  <si>
    <t>MEM.EDH6</t>
  </si>
  <si>
    <t>MEM.EDH3</t>
  </si>
  <si>
    <t>MEM.EDH2</t>
  </si>
  <si>
    <t>MEM.EDH1</t>
  </si>
  <si>
    <t>FA772231</t>
  </si>
  <si>
    <t>24G-0031Z</t>
  </si>
  <si>
    <t>24G-0032Z</t>
  </si>
  <si>
    <t>24G-0033Z</t>
  </si>
  <si>
    <t>24G-0034Z</t>
  </si>
  <si>
    <t>24G-0035Z</t>
  </si>
  <si>
    <t>24G-0036Z</t>
  </si>
  <si>
    <t>24G-0037Z</t>
  </si>
  <si>
    <t>24G-0038Z</t>
  </si>
  <si>
    <t>24G-0039Z</t>
  </si>
  <si>
    <t>24G-0040Z</t>
  </si>
  <si>
    <t>24G-0041Z</t>
  </si>
  <si>
    <t>24G-0042Z</t>
  </si>
  <si>
    <t>24G-0043Z</t>
  </si>
  <si>
    <t>24G-0044Z</t>
  </si>
  <si>
    <t>24G-0045Z</t>
  </si>
  <si>
    <t>24G-0046Z</t>
  </si>
  <si>
    <t>24G-0047Z</t>
  </si>
  <si>
    <t>24G-0048Z</t>
  </si>
  <si>
    <t>24G-0049Z</t>
  </si>
  <si>
    <t>24G-0050Z</t>
  </si>
  <si>
    <t>24G-0051Z</t>
  </si>
  <si>
    <t>24G-0052Z</t>
  </si>
  <si>
    <t>24G-0053Z</t>
  </si>
  <si>
    <t>24G-0054Z</t>
  </si>
  <si>
    <t>24G-0055Z</t>
  </si>
  <si>
    <t>24G-0056Z</t>
  </si>
  <si>
    <t>24G-0057Z</t>
  </si>
  <si>
    <t>24G-0058Z</t>
  </si>
  <si>
    <t>24G-0059Z</t>
  </si>
  <si>
    <t>24G-0060Z</t>
  </si>
  <si>
    <t>MEM.EDH18</t>
  </si>
  <si>
    <t>MEM.EDH19</t>
  </si>
  <si>
    <t>MEM.EDH20</t>
  </si>
  <si>
    <t>MEM.EDH5</t>
  </si>
  <si>
    <t>MEM.EDH13</t>
  </si>
  <si>
    <t>MEM.EDH14</t>
  </si>
  <si>
    <t>MEM.EDH17</t>
  </si>
  <si>
    <t>MEM.EDH16</t>
  </si>
  <si>
    <t>MEM.EDH15</t>
  </si>
  <si>
    <t>MEM.EDH12</t>
  </si>
  <si>
    <t>MEM.EDP8</t>
  </si>
  <si>
    <t>MEM.EDH11</t>
  </si>
  <si>
    <t>MEM.EDP3</t>
  </si>
  <si>
    <t>MEM.EDP2</t>
  </si>
  <si>
    <t>MEM.EDP15</t>
  </si>
  <si>
    <t>MEM.EDP1</t>
  </si>
  <si>
    <t>MEM.EDP6</t>
  </si>
  <si>
    <t>MEM.EDP7</t>
  </si>
  <si>
    <t>MEM.EDP13</t>
  </si>
  <si>
    <t>MEM.EDP20</t>
  </si>
  <si>
    <t>MEM.EDP10</t>
  </si>
  <si>
    <t>MEM.EDP11</t>
  </si>
  <si>
    <t>MEM.EDP5</t>
  </si>
  <si>
    <t>MEM.EDP9</t>
  </si>
  <si>
    <t>MEM.EDP19</t>
  </si>
  <si>
    <t>MEM.EDP17</t>
  </si>
  <si>
    <t>MEM.EDP18</t>
  </si>
  <si>
    <t>MEM.EDP12</t>
  </si>
  <si>
    <t>MEM.EDP14</t>
  </si>
  <si>
    <t>MEM.EDP16</t>
  </si>
  <si>
    <t>MEM.EDP4</t>
  </si>
  <si>
    <t>FA772232</t>
  </si>
  <si>
    <t>24G-0061Z</t>
  </si>
  <si>
    <t>24G-0062Z</t>
  </si>
  <si>
    <t>24G-0063Z</t>
  </si>
  <si>
    <t>24G-0064Z</t>
  </si>
  <si>
    <t>24G-0065Z</t>
  </si>
  <si>
    <t>24G-0066Z</t>
  </si>
  <si>
    <t>24G-0067Z</t>
  </si>
  <si>
    <t>24G-0068Z</t>
  </si>
  <si>
    <t>24G-0069Z</t>
  </si>
  <si>
    <t>24G-0070Z</t>
  </si>
  <si>
    <t>24G-0071Z</t>
  </si>
  <si>
    <t>24G-0072Z</t>
  </si>
  <si>
    <t>24G-0073Z</t>
  </si>
  <si>
    <t>24G-0074Z</t>
  </si>
  <si>
    <t>24G-0075Z</t>
  </si>
  <si>
    <t>24G-0076Z</t>
  </si>
  <si>
    <t>24G-0077Z</t>
  </si>
  <si>
    <t>24G-0078Z</t>
  </si>
  <si>
    <t>24G-0079Z</t>
  </si>
  <si>
    <t>24G-0080Z</t>
  </si>
  <si>
    <t>24G-0081Z</t>
  </si>
  <si>
    <t>24G-0082Z</t>
  </si>
  <si>
    <t>24G-0083Z</t>
  </si>
  <si>
    <t>24G-0084Z</t>
  </si>
  <si>
    <t>24G-0085Z</t>
  </si>
  <si>
    <t>24G-0086Z</t>
  </si>
  <si>
    <t>24G-0087Z</t>
  </si>
  <si>
    <t>24G-0088Z</t>
  </si>
  <si>
    <t>24G-0089Z</t>
  </si>
  <si>
    <t>24G-0090Z</t>
  </si>
  <si>
    <t>MEM.EDQ10</t>
  </si>
  <si>
    <t>MEM.EDQ11</t>
  </si>
  <si>
    <t>MEM.EDQ8</t>
  </si>
  <si>
    <t>MEM.EDQ7</t>
  </si>
  <si>
    <t>MEM.EDQ2</t>
  </si>
  <si>
    <t>MEM.EDQ3</t>
  </si>
  <si>
    <t>MEM.EDQ4</t>
  </si>
  <si>
    <t>MEM.EDQ17</t>
  </si>
  <si>
    <t>MEM.EDQ18</t>
  </si>
  <si>
    <t>MEM.EDQ6</t>
  </si>
  <si>
    <t>MEM.EDQ13</t>
  </si>
  <si>
    <t>MEM.EDQ1</t>
  </si>
  <si>
    <t>MEM.EDQ16</t>
  </si>
  <si>
    <t>MEM.EDQ12</t>
  </si>
  <si>
    <t>MEM.EDQ20</t>
  </si>
  <si>
    <t>MEM.EDQ19</t>
  </si>
  <si>
    <t>MEM.EDQ15</t>
  </si>
  <si>
    <t>MEM.EDQ14</t>
  </si>
  <si>
    <t>MEM.EDQ5</t>
  </si>
  <si>
    <t>MEM.EDR17</t>
  </si>
  <si>
    <t>MEM.EDR18</t>
  </si>
  <si>
    <t>MEM.EDR19</t>
  </si>
  <si>
    <t>MEM.EDR20</t>
  </si>
  <si>
    <t>MEM.EDR13</t>
  </si>
  <si>
    <t>MEM.EDR14</t>
  </si>
  <si>
    <t>MEM.EDR15</t>
  </si>
  <si>
    <t>MEM.EDR16</t>
  </si>
  <si>
    <t>MEM.EDR10</t>
  </si>
  <si>
    <t>MEM.EDR11</t>
  </si>
  <si>
    <t>MEM.EDR9</t>
  </si>
  <si>
    <t>24RCH0019</t>
  </si>
  <si>
    <t>LP/DV</t>
  </si>
  <si>
    <t>Parker  60H</t>
  </si>
  <si>
    <t>LNI1500</t>
  </si>
  <si>
    <t>2342-0005-0524</t>
  </si>
  <si>
    <t>FA792174</t>
  </si>
  <si>
    <t>24G-0091Z</t>
  </si>
  <si>
    <t>24G-0092Z</t>
  </si>
  <si>
    <t>24G-0093Z</t>
  </si>
  <si>
    <t>24G-0094Z</t>
  </si>
  <si>
    <t>24G-0095Z</t>
  </si>
  <si>
    <t>24G-0096Z</t>
  </si>
  <si>
    <t>24G-0097Z</t>
  </si>
  <si>
    <t>24G-0098Z</t>
  </si>
  <si>
    <t>24G-0099Z</t>
  </si>
  <si>
    <t>24G-0100Z</t>
  </si>
  <si>
    <t>24G-0101Z</t>
  </si>
  <si>
    <t>24G-0102Z</t>
  </si>
  <si>
    <t>24G-0103Z</t>
  </si>
  <si>
    <t>24G-0104Z</t>
  </si>
  <si>
    <t>24G-0105Z</t>
  </si>
  <si>
    <t>24G-0106Z</t>
  </si>
  <si>
    <t>24G-0107Z</t>
  </si>
  <si>
    <t>24G-0108Z</t>
  </si>
  <si>
    <t>24G-0109Z</t>
  </si>
  <si>
    <t>24G-0110Z</t>
  </si>
  <si>
    <t>24G-0111Z</t>
  </si>
  <si>
    <t>24G-0112Z</t>
  </si>
  <si>
    <t>24G-0113Z</t>
  </si>
  <si>
    <t>24G-0114Z</t>
  </si>
  <si>
    <t>24G-0115Z</t>
  </si>
  <si>
    <t>24G-0116Z</t>
  </si>
  <si>
    <t>24G-0117Z</t>
  </si>
  <si>
    <t>24G-0118Z</t>
  </si>
  <si>
    <t>24G-0119Z</t>
  </si>
  <si>
    <t>24G-0120Z</t>
  </si>
  <si>
    <t>MEM.ECE18</t>
  </si>
  <si>
    <t>MEM.ECE19</t>
  </si>
  <si>
    <t>MEM.ECE15</t>
  </si>
  <si>
    <t>MEM.ECE16</t>
  </si>
  <si>
    <t>MEM.ECE20</t>
  </si>
  <si>
    <t>MEM.ECE17</t>
  </si>
  <si>
    <t>MEM.ECE11</t>
  </si>
  <si>
    <t>MEM.ECE12</t>
  </si>
  <si>
    <t>MEM.ECE14</t>
  </si>
  <si>
    <t>MEM.ECE10</t>
  </si>
  <si>
    <t>MEM.ECE13</t>
  </si>
  <si>
    <t>MEM.ECE2</t>
  </si>
  <si>
    <t>MEM.ECE3</t>
  </si>
  <si>
    <t>MEM.ECE6</t>
  </si>
  <si>
    <t>MEM.ECE7</t>
  </si>
  <si>
    <t>MEM.ECE8</t>
  </si>
  <si>
    <t>MEM.ECE9</t>
  </si>
  <si>
    <t>MEM.ECE4</t>
  </si>
  <si>
    <t>MEM.ECE5</t>
  </si>
  <si>
    <t>MEM.ECE1</t>
  </si>
  <si>
    <t>MEM.EBO6</t>
  </si>
  <si>
    <t>MEM.EBO7</t>
  </si>
  <si>
    <t>MEM.EBO8</t>
  </si>
  <si>
    <t>MEM.EBO2</t>
  </si>
  <si>
    <t>MEM.EBO15</t>
  </si>
  <si>
    <t>MEM.EBO1</t>
  </si>
  <si>
    <t>MEM.EBO4</t>
  </si>
  <si>
    <t>MEM.EBO9</t>
  </si>
  <si>
    <t>MEM.EBO14</t>
  </si>
  <si>
    <t>MEM.EBO12</t>
  </si>
  <si>
    <t>FA792175</t>
  </si>
  <si>
    <t>24G-0121Z</t>
  </si>
  <si>
    <t>24G-0122Z</t>
  </si>
  <si>
    <t>24G-0123Z</t>
  </si>
  <si>
    <t>24G-0124Z</t>
  </si>
  <si>
    <t>24G-0125Z</t>
  </si>
  <si>
    <t>24G-0126Z</t>
  </si>
  <si>
    <t>24G-0127Z</t>
  </si>
  <si>
    <t>24G-0128Z</t>
  </si>
  <si>
    <t>24G-0129Z</t>
  </si>
  <si>
    <t>24G-0130Z</t>
  </si>
  <si>
    <t>24G-0131Z</t>
  </si>
  <si>
    <t>24G-0132Z</t>
  </si>
  <si>
    <t>24G-0133Z</t>
  </si>
  <si>
    <t>24G-0134Z</t>
  </si>
  <si>
    <t>24G-0135Z</t>
  </si>
  <si>
    <t>24G-0136Z</t>
  </si>
  <si>
    <t>24G-0137Z</t>
  </si>
  <si>
    <t>24G-0138Z</t>
  </si>
  <si>
    <t>24G-0139Z</t>
  </si>
  <si>
    <t>24G-0140Z</t>
  </si>
  <si>
    <t>MEM.EDR12</t>
  </si>
  <si>
    <t>MEM.EDR3</t>
  </si>
  <si>
    <t>MEM.EDR4</t>
  </si>
  <si>
    <t>MEM.EDR6</t>
  </si>
  <si>
    <t>MEM.EDR7</t>
  </si>
  <si>
    <t>MEM.EDR8</t>
  </si>
  <si>
    <t>MEM.EDR1</t>
  </si>
  <si>
    <t>MEM.EDR2</t>
  </si>
  <si>
    <t>MEM.EDR5</t>
  </si>
  <si>
    <t>MEM.EDV14</t>
  </si>
  <si>
    <t>MEM.EDV15</t>
  </si>
  <si>
    <t>MEM.EDV20</t>
  </si>
  <si>
    <t>MEM.EDV16</t>
  </si>
  <si>
    <t>MEM.EDV19</t>
  </si>
  <si>
    <t>FA793520</t>
  </si>
  <si>
    <t>19D-0036Z-R</t>
  </si>
  <si>
    <t>22C-0072Z-R</t>
  </si>
  <si>
    <t>19D-0067Z-R</t>
  </si>
  <si>
    <t>19D-0033Z-R</t>
  </si>
  <si>
    <t>18G-0028Z-R</t>
  </si>
  <si>
    <t>21A-0029Z-R</t>
  </si>
  <si>
    <t>23G-0019Z-R</t>
  </si>
  <si>
    <t>21K-0059Z-R</t>
  </si>
  <si>
    <t>MEM.EDV18</t>
  </si>
  <si>
    <t>MEM.EDV17</t>
  </si>
  <si>
    <t>MEM.EDV13</t>
  </si>
  <si>
    <t>MEM.EDV12</t>
  </si>
  <si>
    <t>MEM.EDV11</t>
  </si>
  <si>
    <t>MEM.EDV9</t>
  </si>
  <si>
    <t>MEM.EDV10</t>
  </si>
  <si>
    <t>MEM.EDV3</t>
  </si>
  <si>
    <t>MEM.EDV5</t>
  </si>
  <si>
    <t>MEM.EDV6</t>
  </si>
  <si>
    <t>MEM.EDV8</t>
  </si>
  <si>
    <t>MEM.EDV7</t>
  </si>
  <si>
    <t>MEM.EDV4</t>
  </si>
  <si>
    <t>MEM.EDV2</t>
  </si>
  <si>
    <t>MEM.EDW11</t>
  </si>
  <si>
    <t>MEM.EDW12</t>
  </si>
  <si>
    <t>MEM.EDW13</t>
  </si>
  <si>
    <t>MEM.EDW14</t>
  </si>
  <si>
    <t>MEM.EDW15</t>
  </si>
  <si>
    <t>MEM.EDW18</t>
  </si>
  <si>
    <t>MEM.EDW19</t>
  </si>
  <si>
    <t>MEM.EDW20</t>
  </si>
  <si>
    <t>MEM.EDW16</t>
  </si>
  <si>
    <t>MEM.EDW17</t>
  </si>
  <si>
    <t>MEM.EDW2</t>
  </si>
  <si>
    <t>MEM.EDW3</t>
  </si>
  <si>
    <t>MEM.EDW1</t>
  </si>
  <si>
    <t>MEM.EDW9</t>
  </si>
  <si>
    <t>MEM.EDW4</t>
  </si>
  <si>
    <t>MEM.EDW7</t>
  </si>
  <si>
    <t>MEM.EDW8</t>
  </si>
  <si>
    <t>MEM.EDW6</t>
  </si>
  <si>
    <t>MEM.EDW5</t>
  </si>
  <si>
    <t>MEM.EDX8</t>
  </si>
  <si>
    <t>FA794041</t>
  </si>
  <si>
    <t>24G-0141Z</t>
  </si>
  <si>
    <t>24G-0142Z</t>
  </si>
  <si>
    <t>24G-0143Z</t>
  </si>
  <si>
    <t>24G-0144Z</t>
  </si>
  <si>
    <t>24G-0145Z</t>
  </si>
  <si>
    <t>24G-0146Z</t>
  </si>
  <si>
    <t>24G-0147Z</t>
  </si>
  <si>
    <t>24G-0148Z</t>
  </si>
  <si>
    <t>24G-0149Z</t>
  </si>
  <si>
    <t>24G-0150Z</t>
  </si>
  <si>
    <t>24G-0151Z</t>
  </si>
  <si>
    <t>24G-0152Z</t>
  </si>
  <si>
    <t>24G-0153Z</t>
  </si>
  <si>
    <t>24G-0154Z</t>
  </si>
  <si>
    <t>24G-0155Z</t>
  </si>
  <si>
    <t>NEM.EBO3</t>
  </si>
  <si>
    <t>NEM.EBO5</t>
  </si>
  <si>
    <t>NEM.EBO10</t>
  </si>
  <si>
    <t>NEM.EBO11</t>
  </si>
  <si>
    <t>NEM.EBO13</t>
  </si>
  <si>
    <t>NEM.EBO16</t>
  </si>
  <si>
    <t>NEM.EBO17</t>
  </si>
  <si>
    <t>NEM.EBO19</t>
  </si>
  <si>
    <t>NEM.EBO18</t>
  </si>
  <si>
    <t>NEM.EBO20</t>
  </si>
  <si>
    <t>NEM.EBT1</t>
  </si>
  <si>
    <t>NEM.EBT2</t>
  </si>
  <si>
    <t>NEM.EBT3</t>
  </si>
  <si>
    <t>NEM.EBT4</t>
  </si>
  <si>
    <t>NEM.EBT5</t>
  </si>
  <si>
    <t>4 Layer</t>
  </si>
  <si>
    <t xml:space="preserve"> --</t>
  </si>
  <si>
    <t xml:space="preserve"> ---</t>
  </si>
  <si>
    <t>1 Layer</t>
  </si>
  <si>
    <t>Peak SL 200</t>
  </si>
  <si>
    <t>2 Layer</t>
  </si>
  <si>
    <t>FA796669</t>
  </si>
  <si>
    <t>24I-0001Z</t>
  </si>
  <si>
    <t>24I-0002Z</t>
  </si>
  <si>
    <t>24I-0003Z</t>
  </si>
  <si>
    <t>24I-0004Z</t>
  </si>
  <si>
    <t>24I-0005Z</t>
  </si>
  <si>
    <t>24I-0006Z</t>
  </si>
  <si>
    <t>24I-0007Z</t>
  </si>
  <si>
    <t>24I-0008Z</t>
  </si>
  <si>
    <t>24I-0009Z</t>
  </si>
  <si>
    <t>24I-0010Z</t>
  </si>
  <si>
    <t>24I-0011Z</t>
  </si>
  <si>
    <t>24I-0012Z</t>
  </si>
  <si>
    <t>24I-0013Z</t>
  </si>
  <si>
    <t>24I-0014Z</t>
  </si>
  <si>
    <t>24I-0018Z</t>
  </si>
  <si>
    <t>24I-0017Z</t>
  </si>
  <si>
    <t>24I-0016Z</t>
  </si>
  <si>
    <t>24I-0015Z</t>
  </si>
  <si>
    <t>24I-0019Z</t>
  </si>
  <si>
    <t>24I-0020Z</t>
  </si>
  <si>
    <t>24I-0021Z</t>
  </si>
  <si>
    <t>24I-0022Z</t>
  </si>
  <si>
    <t>24I-0023Z</t>
  </si>
  <si>
    <t>24I-0024Z</t>
  </si>
  <si>
    <t>24I-0025Z</t>
  </si>
  <si>
    <t>24I-0026Z</t>
  </si>
  <si>
    <t>24I-0027Z</t>
  </si>
  <si>
    <t>24I-0028Z</t>
  </si>
  <si>
    <t>24I-0029Z</t>
  </si>
  <si>
    <t>24I-0030Z</t>
  </si>
  <si>
    <t>MEM.EDX10</t>
  </si>
  <si>
    <t>MEM.EDX9</t>
  </si>
  <si>
    <t>MEM.EDX6</t>
  </si>
  <si>
    <t>MEM.EDX7</t>
  </si>
  <si>
    <t>MEM.EDX5</t>
  </si>
  <si>
    <t>MEM.EDX4</t>
  </si>
  <si>
    <t>MEM.EDX3</t>
  </si>
  <si>
    <t>MEM.EDX2</t>
  </si>
  <si>
    <t>MEM.EDX1</t>
  </si>
  <si>
    <t>MEM.EDX18</t>
  </si>
  <si>
    <t>MEM.EDX19</t>
  </si>
  <si>
    <t>MEM.EDX20</t>
  </si>
  <si>
    <t>MEM.EDX17</t>
  </si>
  <si>
    <t>MEM.EDX16</t>
  </si>
  <si>
    <t>MEM.EDX15</t>
  </si>
  <si>
    <t>MEM.EDX14</t>
  </si>
  <si>
    <t>MEM.EDX13</t>
  </si>
  <si>
    <t>MEM.EDX12</t>
  </si>
  <si>
    <t>MEM.EDX11</t>
  </si>
  <si>
    <t>MEM.EEM1</t>
  </si>
  <si>
    <t>MEM.EEM2</t>
  </si>
  <si>
    <t>MEM.EEM3</t>
  </si>
  <si>
    <t>MEM.EEM4</t>
  </si>
  <si>
    <t>MEM.EEM5</t>
  </si>
  <si>
    <t>MEM.EEM7</t>
  </si>
  <si>
    <t>FA797056</t>
  </si>
  <si>
    <t>19D-0041Z-R</t>
  </si>
  <si>
    <t>20E-0032Z-R</t>
  </si>
  <si>
    <t>FA797057</t>
  </si>
  <si>
    <t>22D-0142Z-R</t>
  </si>
  <si>
    <t>MEM.EEM6</t>
  </si>
  <si>
    <t>MEM.EEM8</t>
  </si>
  <si>
    <t>MEM.EEM9</t>
  </si>
  <si>
    <t>MEM.EEM10</t>
  </si>
  <si>
    <t>MEM.EEM11</t>
  </si>
  <si>
    <t>MEM.EEM12</t>
  </si>
  <si>
    <t>MEM.EEM13</t>
  </si>
  <si>
    <t>MEM.EEM</t>
  </si>
  <si>
    <t>MEM.EEM15</t>
  </si>
  <si>
    <t>MEM.EEM16</t>
  </si>
  <si>
    <t>MEM.EEM18</t>
  </si>
  <si>
    <t>MEM.EEM20</t>
  </si>
  <si>
    <t>FA797059</t>
  </si>
  <si>
    <t>24I-0031Z</t>
  </si>
  <si>
    <t>24I-0032Z</t>
  </si>
  <si>
    <t>24I-0033Z</t>
  </si>
  <si>
    <t>24I-0034Z</t>
  </si>
  <si>
    <t>24I-0035Z</t>
  </si>
  <si>
    <t>24I-0036Z</t>
  </si>
  <si>
    <t>24I-0037Z</t>
  </si>
  <si>
    <t>24I-0038Z</t>
  </si>
  <si>
    <t>24I-0039Z</t>
  </si>
  <si>
    <t>24I-0040Z</t>
  </si>
  <si>
    <t>24I-0041Z</t>
  </si>
  <si>
    <t>24I-0042Z</t>
  </si>
  <si>
    <t>24I-0043Z</t>
  </si>
  <si>
    <t>24I-0044Z</t>
  </si>
  <si>
    <t>24I-0045Z</t>
  </si>
  <si>
    <t>24I-0046Z</t>
  </si>
  <si>
    <t>24I-0047Z</t>
  </si>
  <si>
    <t>24I-0048Z</t>
  </si>
  <si>
    <t>24I-0049Z</t>
  </si>
  <si>
    <t>24I-0050Z</t>
  </si>
  <si>
    <t>MEM.EBT6</t>
  </si>
  <si>
    <t>MEM.EBT7</t>
  </si>
  <si>
    <t>MEM.EBT16</t>
  </si>
  <si>
    <t>MEM.EBT17</t>
  </si>
  <si>
    <t>MEM.EBT15</t>
  </si>
  <si>
    <t>MEM.EBT12</t>
  </si>
  <si>
    <t>MEM.EBT13</t>
  </si>
  <si>
    <t>MEM.EBT10</t>
  </si>
  <si>
    <t>MEM.EBT19</t>
  </si>
  <si>
    <t>MEM.EBT</t>
  </si>
  <si>
    <t>MEM.EBT14</t>
  </si>
  <si>
    <t>MEM.EBT20</t>
  </si>
  <si>
    <t>MEM.EBT8</t>
  </si>
  <si>
    <t>MEM.EBT9</t>
  </si>
  <si>
    <t>MEM.EBT11</t>
  </si>
  <si>
    <t>MEM.EBU7</t>
  </si>
  <si>
    <t>MEM.EBU8</t>
  </si>
  <si>
    <t>MEM.EBU6</t>
  </si>
  <si>
    <t>MEM.EBU3</t>
  </si>
  <si>
    <t>MEM.EBU</t>
  </si>
  <si>
    <t>FA797727</t>
  </si>
  <si>
    <t>20F-0028Z-R</t>
  </si>
  <si>
    <t>24I-0051Z-R</t>
  </si>
  <si>
    <t>24I-0052Z-R</t>
  </si>
  <si>
    <t>24I-0053Z-R</t>
  </si>
  <si>
    <t>24I-0054Z-R</t>
  </si>
  <si>
    <t>MEM.EEM17</t>
  </si>
  <si>
    <t>MEM.EEM19</t>
  </si>
  <si>
    <t>MEM.EEN2</t>
  </si>
  <si>
    <t>MEM.EEN3</t>
  </si>
  <si>
    <t>MEM.EEN4</t>
  </si>
  <si>
    <t>FA797721</t>
  </si>
  <si>
    <t>24I-0055Z</t>
  </si>
  <si>
    <t>24I-0056Z</t>
  </si>
  <si>
    <t>24I-0057Z</t>
  </si>
  <si>
    <t>24I-0058Z</t>
  </si>
  <si>
    <t>24I-0059Z</t>
  </si>
  <si>
    <t>MEM.EEN5</t>
  </si>
  <si>
    <t>MEM.EEN10</t>
  </si>
  <si>
    <t>MEM.EEN11</t>
  </si>
  <si>
    <t>MEM.EEN6</t>
  </si>
  <si>
    <t>MEM.EEN7</t>
  </si>
  <si>
    <t>MEM.EEN8</t>
  </si>
  <si>
    <t>MEM.EEN12</t>
  </si>
  <si>
    <t>MEM.EEN9</t>
  </si>
  <si>
    <t>MEM.EEN13</t>
  </si>
  <si>
    <t>MEM.EEN14</t>
  </si>
  <si>
    <t>MEM.EEN15</t>
  </si>
  <si>
    <t>MEM.EEN16</t>
  </si>
  <si>
    <t>MEM.EEN17</t>
  </si>
  <si>
    <t>MEM.EEN18</t>
  </si>
  <si>
    <t>MEM.EEN19</t>
  </si>
  <si>
    <t>MEM.EEN20</t>
  </si>
  <si>
    <t>MEM.EEN1</t>
  </si>
  <si>
    <t>MEM.EDY2</t>
  </si>
  <si>
    <t>MEM.EDY3</t>
  </si>
  <si>
    <t>MEM.EDY1</t>
  </si>
  <si>
    <t>24I-0060Z</t>
  </si>
  <si>
    <t>24I-0061Z</t>
  </si>
  <si>
    <t>24I-0062Z</t>
  </si>
  <si>
    <t>24I-0063Z</t>
  </si>
  <si>
    <t>24I-0064Z</t>
  </si>
  <si>
    <t>24I-0065Z</t>
  </si>
  <si>
    <t>24I-0066Z</t>
  </si>
  <si>
    <t>24I-0067Z</t>
  </si>
  <si>
    <t>24I-0068Z</t>
  </si>
  <si>
    <t>24I-0069Z</t>
  </si>
  <si>
    <t>24I-0070Z</t>
  </si>
  <si>
    <t>24I-0071Z</t>
  </si>
  <si>
    <t>24I-0072Z</t>
  </si>
  <si>
    <t>24I-0073Z</t>
  </si>
  <si>
    <t>24I-0074Z</t>
  </si>
  <si>
    <t>24I-0075Z</t>
  </si>
  <si>
    <t>24I-0076Z</t>
  </si>
  <si>
    <t>24I-0077Z</t>
  </si>
  <si>
    <t>24I-0078Z</t>
  </si>
  <si>
    <t>24I-0079Z</t>
  </si>
  <si>
    <t>24I-0080Z</t>
  </si>
  <si>
    <t>24I-0081Z</t>
  </si>
  <si>
    <t>24I-0082Z</t>
  </si>
  <si>
    <t>24I-0083Z</t>
  </si>
  <si>
    <t>24I-0084Z</t>
  </si>
  <si>
    <t>24I-0085Z</t>
  </si>
  <si>
    <t>24I-0086Z</t>
  </si>
  <si>
    <t>24I-0087Z</t>
  </si>
  <si>
    <t>24I-0088Z</t>
  </si>
  <si>
    <t>24I-0089Z</t>
  </si>
  <si>
    <t>MEM.EDY4</t>
  </si>
  <si>
    <t>MEM.EDY5</t>
  </si>
  <si>
    <t>MEM.EDY6</t>
  </si>
  <si>
    <t>MEM.EDY7</t>
  </si>
  <si>
    <t>MEM.EDY8</t>
  </si>
  <si>
    <t>MEM.EDY9</t>
  </si>
  <si>
    <t>MEM.EDY10</t>
  </si>
  <si>
    <t>MEM.EDc2</t>
  </si>
  <si>
    <t>MEM.EDc20</t>
  </si>
  <si>
    <t>MEM.EDc16</t>
  </si>
  <si>
    <t>MEM.EDc17</t>
  </si>
  <si>
    <t>MEM.EDc19</t>
  </si>
  <si>
    <t>MEM.EDc18</t>
  </si>
  <si>
    <t>MEM.EDc15</t>
  </si>
  <si>
    <t>MEM.EDc14</t>
  </si>
  <si>
    <t>MEM.EDc11</t>
  </si>
  <si>
    <t>MEM.EDc12</t>
  </si>
  <si>
    <t>MEM.EDc13</t>
  </si>
  <si>
    <t>MEM.EDc9</t>
  </si>
  <si>
    <t>MEM.EDc10</t>
  </si>
  <si>
    <t>MEM.EDc8</t>
  </si>
  <si>
    <t>MEM.EDc7</t>
  </si>
  <si>
    <t>MEM.EDc6</t>
  </si>
  <si>
    <t>MEM.EDc5</t>
  </si>
  <si>
    <t>MEM.EDc4</t>
  </si>
  <si>
    <t>MEM.EDc3</t>
  </si>
  <si>
    <t>MEM.EDc1</t>
  </si>
  <si>
    <t>MEM.EEA10</t>
  </si>
  <si>
    <t>MEM.EEA9</t>
  </si>
  <si>
    <t>MEM.EEA5</t>
  </si>
  <si>
    <t>22G-0006Z</t>
  </si>
  <si>
    <t>22C-0077Z</t>
  </si>
  <si>
    <t>22G-0009Z</t>
  </si>
  <si>
    <t>FA691065</t>
  </si>
  <si>
    <t>24J-0001Z</t>
  </si>
  <si>
    <t>24J-0002Z</t>
  </si>
  <si>
    <t>24J-0003Z</t>
  </si>
  <si>
    <t>24J-0004Z</t>
  </si>
  <si>
    <t>24J-0005Z</t>
  </si>
  <si>
    <t>24J-0006Z</t>
  </si>
  <si>
    <t>24J-0007Z</t>
  </si>
  <si>
    <t>24J-0008Z</t>
  </si>
  <si>
    <t>24J-0009Z</t>
  </si>
  <si>
    <t>24J-0010Z</t>
  </si>
  <si>
    <t>24J-0011Z</t>
  </si>
  <si>
    <t>24J-0012Z</t>
  </si>
  <si>
    <t>24J-0013Z</t>
  </si>
  <si>
    <t>24J-0014Z</t>
  </si>
  <si>
    <t>24J-0015Z</t>
  </si>
  <si>
    <t>24J-0016Z</t>
  </si>
  <si>
    <t>24J-0017Z</t>
  </si>
  <si>
    <t>24J-0018Z</t>
  </si>
  <si>
    <t>24J-0019Z</t>
  </si>
  <si>
    <t>24J-0020Z</t>
  </si>
  <si>
    <t>24J-0021Z</t>
  </si>
  <si>
    <t>24J-0022Z</t>
  </si>
  <si>
    <t>24J-0023Z</t>
  </si>
  <si>
    <t>24J-0024Z</t>
  </si>
  <si>
    <t>24J-0025Z</t>
  </si>
  <si>
    <t>24J-0026Z</t>
  </si>
  <si>
    <t>24J-0027Z</t>
  </si>
  <si>
    <t>24J-0028Z</t>
  </si>
  <si>
    <t>24J-0029Z</t>
  </si>
  <si>
    <t>24J-0030Z</t>
  </si>
  <si>
    <t>MEM.EBU18</t>
  </si>
  <si>
    <t>MEM.EBU19</t>
  </si>
  <si>
    <t>MEM.EBU17</t>
  </si>
  <si>
    <t>MEM.EBU5</t>
  </si>
  <si>
    <t>MEM.EBU2</t>
  </si>
  <si>
    <t>MEM.EBU15</t>
  </si>
  <si>
    <t>MEM.EBU13</t>
  </si>
  <si>
    <t>MEM.EBU10</t>
  </si>
  <si>
    <t>MEM.EBU12</t>
  </si>
  <si>
    <t>MEM.EBU1</t>
  </si>
  <si>
    <t>MEM.EBU4</t>
  </si>
  <si>
    <t>MEM.EBU9</t>
  </si>
  <si>
    <t>MEM.EBU20</t>
  </si>
  <si>
    <t>MEM.ECF2</t>
  </si>
  <si>
    <t>MEM.ECF9</t>
  </si>
  <si>
    <t>MEM.ECF18</t>
  </si>
  <si>
    <t>MEM.ECF4</t>
  </si>
  <si>
    <t>MEM.ECF8</t>
  </si>
  <si>
    <t>Loch in der Membrane</t>
  </si>
  <si>
    <t>MEM.ECF3</t>
  </si>
  <si>
    <t>22G-0009Z-R</t>
  </si>
  <si>
    <t>MEM.EEA4</t>
  </si>
  <si>
    <t>MEM.EEA7</t>
  </si>
  <si>
    <t>MEM.EEA6</t>
  </si>
  <si>
    <t>MEM.EEA3</t>
  </si>
  <si>
    <t>kein</t>
  </si>
  <si>
    <t>MEM.EEA1</t>
  </si>
  <si>
    <t>MEM.EEA2</t>
  </si>
  <si>
    <t>MEM.EEA20</t>
  </si>
  <si>
    <t>MEM.EEA19</t>
  </si>
  <si>
    <t>MEM.EEA18</t>
  </si>
  <si>
    <t>MEM.EEA17/19</t>
  </si>
  <si>
    <t>MEM.EEA16</t>
  </si>
  <si>
    <t>MEM.EEA15</t>
  </si>
  <si>
    <t>MEM.ECF6</t>
  </si>
  <si>
    <t>MEM.ECF7</t>
  </si>
  <si>
    <t>MEM.ECF12</t>
  </si>
  <si>
    <t>MEM.ECF5</t>
  </si>
  <si>
    <t>MEM.ECF11</t>
  </si>
  <si>
    <t>22G-0006Z-R</t>
  </si>
  <si>
    <t>MEM.EEA14</t>
  </si>
  <si>
    <t>MEM.EEA13</t>
  </si>
  <si>
    <t>MEM.EEA11</t>
  </si>
  <si>
    <t>MEM.EEA12</t>
  </si>
  <si>
    <t>MEM.EDd19</t>
  </si>
  <si>
    <t>MEM.EDd20</t>
  </si>
  <si>
    <t>MEM.EDd17</t>
  </si>
  <si>
    <t>MEM.EDd18</t>
  </si>
  <si>
    <t>MEM.EDd16</t>
  </si>
  <si>
    <t>MEM.EDd15</t>
  </si>
  <si>
    <t>MEM.EDd14</t>
  </si>
  <si>
    <t>MEM.EDd13</t>
  </si>
  <si>
    <t>FA691482</t>
  </si>
  <si>
    <t>24J-0031Z</t>
  </si>
  <si>
    <t>24J-0032Z</t>
  </si>
  <si>
    <t>24J-0033Z</t>
  </si>
  <si>
    <t>24J-0034Z</t>
  </si>
  <si>
    <t>24J-0035Z</t>
  </si>
  <si>
    <t>24J-0036Z</t>
  </si>
  <si>
    <t>24J-0037Z</t>
  </si>
  <si>
    <t>24J-0038Z</t>
  </si>
  <si>
    <t>24J-0039Z</t>
  </si>
  <si>
    <t>24J-0040Z</t>
  </si>
  <si>
    <t>MEM.ECF10</t>
  </si>
  <si>
    <t>MEM.ECF14</t>
  </si>
  <si>
    <t>MEM.ECF15</t>
  </si>
  <si>
    <t>MEM.ECF1</t>
  </si>
  <si>
    <t>MEM.ECF20</t>
  </si>
  <si>
    <t>22C-0077Z-R</t>
  </si>
  <si>
    <t>MEM.EDd12</t>
  </si>
  <si>
    <t>MEM.EDd10</t>
  </si>
  <si>
    <t>MEM.EDd11</t>
  </si>
  <si>
    <t>MEM.EDd9</t>
  </si>
  <si>
    <t>MEM.EDd8</t>
  </si>
  <si>
    <t>MEM.EDd6</t>
  </si>
  <si>
    <t>MEM.EDd7</t>
  </si>
  <si>
    <t>MEM.EDd5</t>
  </si>
  <si>
    <t>MEM.EDd1</t>
  </si>
  <si>
    <t>MEM.EDd2</t>
  </si>
  <si>
    <t>MEM.EDd4</t>
  </si>
  <si>
    <t>MEM.EDd3</t>
  </si>
  <si>
    <t>MU6-V1</t>
  </si>
  <si>
    <t>22G-0007Z-R</t>
  </si>
  <si>
    <t>MEM.EEB</t>
  </si>
  <si>
    <t>MEM.EEB1</t>
  </si>
  <si>
    <t>MEM.EEB2</t>
  </si>
  <si>
    <t>MEM.EEB3</t>
  </si>
  <si>
    <t>MEM.EEB4</t>
  </si>
  <si>
    <t>MEM.EEB6</t>
  </si>
  <si>
    <t>MEM.EEB7</t>
  </si>
  <si>
    <t>MEM.EEB5</t>
  </si>
  <si>
    <t>MEM.EEB16</t>
  </si>
  <si>
    <t>MEM.EEB17</t>
  </si>
  <si>
    <t>MEM.EEB10</t>
  </si>
  <si>
    <t>MEM.EEB11</t>
  </si>
  <si>
    <t>MEM.EEB9</t>
  </si>
  <si>
    <t>MEM.EEB12</t>
  </si>
  <si>
    <t>Prototyp</t>
  </si>
  <si>
    <t>MEM.EEB15</t>
  </si>
  <si>
    <t>MEM.EEB13</t>
  </si>
  <si>
    <t>MEM.EEB14</t>
  </si>
  <si>
    <t>MEM.EEB18</t>
  </si>
  <si>
    <t>MEM.EEB19</t>
  </si>
  <si>
    <t>MEM.EEB20</t>
  </si>
  <si>
    <t>MEM.EEF1</t>
  </si>
  <si>
    <t>MEM.EEF2</t>
  </si>
  <si>
    <t>MEM.EEF3</t>
  </si>
  <si>
    <t>MEM.EEF4</t>
  </si>
  <si>
    <t>MEM.EEF5</t>
  </si>
  <si>
    <t>MEM.EEF6</t>
  </si>
  <si>
    <t>MEM.EEF7</t>
  </si>
  <si>
    <t>MEM.EEF8</t>
  </si>
  <si>
    <t>Vici Schweiz</t>
  </si>
  <si>
    <t>20B-0094Z</t>
  </si>
  <si>
    <t>MEM.EEF9</t>
  </si>
  <si>
    <t>MEM.EEF10</t>
  </si>
  <si>
    <t>MEM.EEF11</t>
  </si>
  <si>
    <t>MEM.EEF12</t>
  </si>
  <si>
    <t>MEM.EEF13</t>
  </si>
  <si>
    <t>MEM.EEF14</t>
  </si>
  <si>
    <t>MEM.EEF15</t>
  </si>
  <si>
    <t>MEM.EEF16</t>
  </si>
  <si>
    <t>MEM.EEF17</t>
  </si>
  <si>
    <t>MEM.EEF20</t>
  </si>
  <si>
    <t>FA691073</t>
  </si>
  <si>
    <t>24J-0041Z</t>
  </si>
  <si>
    <t>24J-0042Z</t>
  </si>
  <si>
    <t>24J-0043Z</t>
  </si>
  <si>
    <t>24J-0044Z</t>
  </si>
  <si>
    <t>24J-0045Z</t>
  </si>
  <si>
    <t>24J-0046Z</t>
  </si>
  <si>
    <t>24J-0047Z</t>
  </si>
  <si>
    <t>24J-0048Z</t>
  </si>
  <si>
    <t>24J-0049Z</t>
  </si>
  <si>
    <t>24J-0050Z</t>
  </si>
  <si>
    <t>24J-0051Z</t>
  </si>
  <si>
    <t>24J-0052Z</t>
  </si>
  <si>
    <t>24J-0053Z</t>
  </si>
  <si>
    <t>24J-0054Z</t>
  </si>
  <si>
    <t>24J-0055Z</t>
  </si>
  <si>
    <t>24J-0056Z</t>
  </si>
  <si>
    <t>24J-0057Z</t>
  </si>
  <si>
    <t>24J-0058Z</t>
  </si>
  <si>
    <t>24J-0059Z</t>
  </si>
  <si>
    <t>24J-0060Z</t>
  </si>
  <si>
    <t>24J-0061Z</t>
  </si>
  <si>
    <t>24J-0062Z</t>
  </si>
  <si>
    <t>24J-0063Z</t>
  </si>
  <si>
    <t>24J-0064Z</t>
  </si>
  <si>
    <t>24J-0065Z</t>
  </si>
  <si>
    <t>24J-0066Z</t>
  </si>
  <si>
    <t>24J-0067Z</t>
  </si>
  <si>
    <t>24J-0068Z</t>
  </si>
  <si>
    <t>24J-0069Z</t>
  </si>
  <si>
    <t>24J-0070Z</t>
  </si>
  <si>
    <t>24J-0071Z</t>
  </si>
  <si>
    <t>24J-0072Z</t>
  </si>
  <si>
    <t>24J-0073Z</t>
  </si>
  <si>
    <t>24J-0074Z</t>
  </si>
  <si>
    <t>24J-0075Z</t>
  </si>
  <si>
    <t>24J-0076Z</t>
  </si>
  <si>
    <t>24J-0077Z</t>
  </si>
  <si>
    <t>24J-0078Z</t>
  </si>
  <si>
    <t>24J-0079Z</t>
  </si>
  <si>
    <t>24J-0080Z</t>
  </si>
  <si>
    <t>24J-0081Z</t>
  </si>
  <si>
    <t>24J-0082Z</t>
  </si>
  <si>
    <t>24J-0083Z</t>
  </si>
  <si>
    <t>24J-0084Z</t>
  </si>
  <si>
    <t>24J-0085Z</t>
  </si>
  <si>
    <t>24J-0086Z</t>
  </si>
  <si>
    <t>24J-0087Z</t>
  </si>
  <si>
    <t>24J-0088Z</t>
  </si>
  <si>
    <t>24J-0089Z</t>
  </si>
  <si>
    <t>24J-0090Z</t>
  </si>
  <si>
    <t>MEM.EEF19</t>
  </si>
  <si>
    <t>MEM.EEF18</t>
  </si>
  <si>
    <t>MEM.EEG19</t>
  </si>
  <si>
    <t>MEM.EEG20</t>
  </si>
  <si>
    <t>MEM.EEG17</t>
  </si>
  <si>
    <t>MEM.EEG13</t>
  </si>
  <si>
    <t>MEM.EEG14</t>
  </si>
  <si>
    <t>MEM.EEG16</t>
  </si>
  <si>
    <t>MEM.EEG12</t>
  </si>
  <si>
    <t>MEM.EEG9</t>
  </si>
  <si>
    <t>MEM.EEG15</t>
  </si>
  <si>
    <t>MEM.EEG18</t>
  </si>
  <si>
    <t>MEM.EEG10</t>
  </si>
  <si>
    <t>MEM.EEG11</t>
  </si>
  <si>
    <t>MEM.EEG5</t>
  </si>
  <si>
    <t>MEM.EEG6</t>
  </si>
  <si>
    <t>MEM.EEG7</t>
  </si>
  <si>
    <t>MEM.EEG8</t>
  </si>
  <si>
    <t>MEM.EEG3</t>
  </si>
  <si>
    <t>MEM.EEG1</t>
  </si>
  <si>
    <t>MEM.EEG2</t>
  </si>
  <si>
    <t>MEM.EEG4</t>
  </si>
  <si>
    <t>MEM.EEO10</t>
  </si>
  <si>
    <t>MEM.EEO9</t>
  </si>
  <si>
    <t>MEM.EEO8</t>
  </si>
  <si>
    <t>22G-0008Z</t>
  </si>
  <si>
    <t>MEM.EEO7</t>
  </si>
  <si>
    <t>MEM.EEO17</t>
  </si>
  <si>
    <t>MEM.EEO6</t>
  </si>
  <si>
    <t>MEM.EEO5</t>
  </si>
  <si>
    <t>MEM.EEO4</t>
  </si>
  <si>
    <t>MEM.EEO3</t>
  </si>
  <si>
    <t>MEM.EEO2</t>
  </si>
  <si>
    <t>MEM.EEO1</t>
  </si>
  <si>
    <t>MEM.EEO20</t>
  </si>
  <si>
    <t>MEM.EEO19</t>
  </si>
  <si>
    <t>MEM.EEO16</t>
  </si>
  <si>
    <t>MEM.EEO15</t>
  </si>
  <si>
    <t>MEM.EEO18</t>
  </si>
  <si>
    <t>MEM.EEO14</t>
  </si>
  <si>
    <t>MEM.EEO13</t>
  </si>
  <si>
    <t>MEM.EEO12</t>
  </si>
  <si>
    <t>MEM.EEO11</t>
  </si>
  <si>
    <t>MEM.EEU1</t>
  </si>
  <si>
    <t>MEM.EEU2</t>
  </si>
  <si>
    <t>MEM.EEP10</t>
  </si>
  <si>
    <t>MEM.EEP9</t>
  </si>
  <si>
    <t>MEM.EEP8</t>
  </si>
  <si>
    <t>MEM.EEU3</t>
  </si>
  <si>
    <t>MEM.EEU4</t>
  </si>
  <si>
    <t>MEM.EEU5</t>
  </si>
  <si>
    <t>MEM.EEU6</t>
  </si>
  <si>
    <t>MEM.EEU7</t>
  </si>
  <si>
    <t>MEM.EEU8</t>
  </si>
  <si>
    <t>MEM.EEU9</t>
  </si>
  <si>
    <t>MEM.EEP7</t>
  </si>
  <si>
    <t>MEM.EEU10</t>
  </si>
  <si>
    <t>MEM.EEP6</t>
  </si>
  <si>
    <t>FA800538</t>
  </si>
  <si>
    <t>24J-0091Z</t>
  </si>
  <si>
    <t>24J-0092Z</t>
  </si>
  <si>
    <t>24J-0093Z</t>
  </si>
  <si>
    <t>24J-0094Z</t>
  </si>
  <si>
    <t>24J-0095Z</t>
  </si>
  <si>
    <t>MEM.EEP5</t>
  </si>
  <si>
    <t>MEM.EEP4</t>
  </si>
  <si>
    <t>MEM.EEP3</t>
  </si>
  <si>
    <t>MEM.EEP2</t>
  </si>
  <si>
    <t>MEM.EEP1</t>
  </si>
  <si>
    <t>MEM.EEW11</t>
  </si>
  <si>
    <t>MEM.EEW12</t>
  </si>
  <si>
    <t>MEM.EEW13</t>
  </si>
  <si>
    <t>MEM.EEW14</t>
  </si>
  <si>
    <t>MEM.EEW15</t>
  </si>
  <si>
    <t>MEM.EEW16</t>
  </si>
  <si>
    <t>MEM.EEW19</t>
  </si>
  <si>
    <t>MEM.EEW20</t>
  </si>
  <si>
    <t>MEM.EEW18</t>
  </si>
  <si>
    <t>MEM.EEW17</t>
  </si>
  <si>
    <t>MEM.EEW3</t>
  </si>
  <si>
    <t>MEM.EEW4</t>
  </si>
  <si>
    <t>MEM.EEW1</t>
  </si>
  <si>
    <t>MEM.EEW2</t>
  </si>
  <si>
    <t>MEM.EEW5</t>
  </si>
  <si>
    <t>MEM.EEW6</t>
  </si>
  <si>
    <t>MEM.EEW7</t>
  </si>
  <si>
    <t>MEM.EEW8</t>
  </si>
  <si>
    <t>MEM.EEW9</t>
  </si>
  <si>
    <t>MEM.EEW10</t>
  </si>
  <si>
    <t>ISVC</t>
  </si>
  <si>
    <t>23G-0053Z</t>
  </si>
  <si>
    <t>REP</t>
  </si>
  <si>
    <t>FA691487</t>
  </si>
  <si>
    <t>24J-0096Z</t>
  </si>
  <si>
    <t>24J-0097Z</t>
  </si>
  <si>
    <t>24J-0098Z</t>
  </si>
  <si>
    <t>24J-0099Z</t>
  </si>
  <si>
    <t>24J-0100Z</t>
  </si>
  <si>
    <t>24J-0101Z</t>
  </si>
  <si>
    <t>24J-0102Z</t>
  </si>
  <si>
    <t>24J-0103Z</t>
  </si>
  <si>
    <t>24J-0104Z</t>
  </si>
  <si>
    <t>24J-0105Z</t>
  </si>
  <si>
    <t>24J-0106Z</t>
  </si>
  <si>
    <t>24J-0107Z</t>
  </si>
  <si>
    <t>24J-0108Z</t>
  </si>
  <si>
    <t>24J-0109Z</t>
  </si>
  <si>
    <t>24J-0110Z</t>
  </si>
  <si>
    <t>MEM.EEV12</t>
  </si>
  <si>
    <t>MEM.EEV13</t>
  </si>
  <si>
    <t>MEM.EEV11</t>
  </si>
  <si>
    <t>MEM.EEV14</t>
  </si>
  <si>
    <t>MEM.EEV15</t>
  </si>
  <si>
    <t>MEM.EEV17</t>
  </si>
  <si>
    <t>MEM.EEV18</t>
  </si>
  <si>
    <t>MEM.EEV16</t>
  </si>
  <si>
    <t>MEM.EEV19</t>
  </si>
  <si>
    <t>MEM.EEV20</t>
  </si>
  <si>
    <t>MEM.EEV1</t>
  </si>
  <si>
    <t>MEM.EEV2</t>
  </si>
  <si>
    <t>MEM.EEV3</t>
  </si>
  <si>
    <t>MEM.EEV4</t>
  </si>
  <si>
    <t>MEM.EEV6</t>
  </si>
  <si>
    <t>MEM.EEV7</t>
  </si>
  <si>
    <t>MEM.EEV8</t>
  </si>
  <si>
    <t>MEM.EEV5</t>
  </si>
  <si>
    <t>MEM.EEV9</t>
  </si>
  <si>
    <t>MEM.EEV10</t>
  </si>
  <si>
    <t>MEM.EFX10</t>
  </si>
  <si>
    <t>MEM.EFX9</t>
  </si>
  <si>
    <t>MEM.EFX6</t>
  </si>
  <si>
    <t>MEM.EFX7</t>
  </si>
  <si>
    <t>MEM.EFX8</t>
  </si>
  <si>
    <t>MEM.EFX5</t>
  </si>
  <si>
    <t>MEM.EFX3</t>
  </si>
  <si>
    <t>MEM.EFX4</t>
  </si>
  <si>
    <t>MEM.EFX1</t>
  </si>
  <si>
    <t>MEM.EFX2</t>
  </si>
  <si>
    <t>MEM.EFU10</t>
  </si>
  <si>
    <t>MEM.EFU9</t>
  </si>
  <si>
    <t>MEM.EFU8</t>
  </si>
  <si>
    <t>MEM.EFU5</t>
  </si>
  <si>
    <t>MEM.EFU6</t>
  </si>
  <si>
    <t>MEM.EFU7</t>
  </si>
  <si>
    <t>MEM.EFU4</t>
  </si>
  <si>
    <t>MEM.EFU3</t>
  </si>
  <si>
    <t>MEM.EFT1</t>
  </si>
  <si>
    <t>MEM.EFT2</t>
  </si>
  <si>
    <t>MEM.EFU1</t>
  </si>
  <si>
    <t>MEM.EFU2</t>
  </si>
  <si>
    <t>MEM.EFT3</t>
  </si>
  <si>
    <t>MEM.EFT4</t>
  </si>
  <si>
    <t>MEM.EFT5</t>
  </si>
  <si>
    <t>FA800536</t>
  </si>
  <si>
    <t>24J-0111Z</t>
  </si>
  <si>
    <t>24J-0112Z</t>
  </si>
  <si>
    <t>24J-0113Z</t>
  </si>
  <si>
    <t>24J-0114Z</t>
  </si>
  <si>
    <t>24J-0115Z</t>
  </si>
  <si>
    <t>24J-0116Z</t>
  </si>
  <si>
    <t>24J-0117Z</t>
  </si>
  <si>
    <t>24J-0118Z</t>
  </si>
  <si>
    <t>24J-0119Z</t>
  </si>
  <si>
    <t>24J-0120Z</t>
  </si>
  <si>
    <t>24J-0121Z</t>
  </si>
  <si>
    <t>24J-0122Z</t>
  </si>
  <si>
    <t>24J-0123Z</t>
  </si>
  <si>
    <t>24J-0124Z</t>
  </si>
  <si>
    <t>24J-0125Z</t>
  </si>
  <si>
    <t>24J-0126Z</t>
  </si>
  <si>
    <t>24J-0127Z</t>
  </si>
  <si>
    <t>24J-0128Z</t>
  </si>
  <si>
    <t>24J-0129Z</t>
  </si>
  <si>
    <t>24J-0130Z</t>
  </si>
  <si>
    <t>MEM.EFT6</t>
  </si>
  <si>
    <t>MEM.EFT7</t>
  </si>
  <si>
    <t>MEM.EFT8</t>
  </si>
  <si>
    <t>MEM.EFT9</t>
  </si>
  <si>
    <t>MEM.EFT10</t>
  </si>
  <si>
    <t>MEM.EFY13</t>
  </si>
  <si>
    <t>MEM.EFY14</t>
  </si>
  <si>
    <t>MEM.EFY12</t>
  </si>
  <si>
    <t>MEM.EFY17</t>
  </si>
  <si>
    <t>MEM.EFY18</t>
  </si>
  <si>
    <t>MEM.EFY19</t>
  </si>
  <si>
    <t>MEM.EFY16</t>
  </si>
  <si>
    <t>MEM.EFY3</t>
  </si>
  <si>
    <t>MEM.EFY4</t>
  </si>
  <si>
    <t>MEM.EFY2</t>
  </si>
  <si>
    <t>MEM.EFY20</t>
  </si>
  <si>
    <t>MEM.EFY1</t>
  </si>
  <si>
    <t>MEM.EFY5</t>
  </si>
  <si>
    <t>MEM.EFY7</t>
  </si>
  <si>
    <t>MEM.EFY6</t>
  </si>
  <si>
    <t>MEM.EFY10</t>
  </si>
  <si>
    <t>MEM.EFY11</t>
  </si>
  <si>
    <t>MEM.EFY8</t>
  </si>
  <si>
    <t>MEM.EFY9</t>
  </si>
  <si>
    <t>MEM.EFY15</t>
  </si>
  <si>
    <t>MEM.EFZ13</t>
  </si>
  <si>
    <t>MEM.EFZ14</t>
  </si>
  <si>
    <t>MEM.EFZ15</t>
  </si>
  <si>
    <t>MEM.EFZ11</t>
  </si>
  <si>
    <t>MEM.EFZ12</t>
  </si>
  <si>
    <t>MEM.EFZ17</t>
  </si>
  <si>
    <t>MEM.EFZ18</t>
  </si>
  <si>
    <t>MEM.EFZ</t>
  </si>
  <si>
    <t>MEM.EFZ19</t>
  </si>
  <si>
    <t>MEM.EFZ20</t>
  </si>
  <si>
    <t>MEM.EFZ1</t>
  </si>
  <si>
    <t>MEM.EFZ2</t>
  </si>
  <si>
    <t>MEM.EFZ3</t>
  </si>
  <si>
    <t>MEM.EFZ4</t>
  </si>
  <si>
    <t>MEM.EFZ5</t>
  </si>
  <si>
    <t>FA800537</t>
  </si>
  <si>
    <t>24K-0001Z</t>
  </si>
  <si>
    <t>24K-0002Z</t>
  </si>
  <si>
    <t>24K-0003Z</t>
  </si>
  <si>
    <t>24K-0004Z</t>
  </si>
  <si>
    <t>24K-0005Z</t>
  </si>
  <si>
    <t>24K-0006Z</t>
  </si>
  <si>
    <t>24K-0007Z</t>
  </si>
  <si>
    <t>24K-0008Z</t>
  </si>
  <si>
    <t>24K-0009Z</t>
  </si>
  <si>
    <t>24K-0010Z</t>
  </si>
  <si>
    <t>24K-0011Z</t>
  </si>
  <si>
    <t>24K-0012Z</t>
  </si>
  <si>
    <t>24K-0013Z</t>
  </si>
  <si>
    <t>24K-0014Z</t>
  </si>
  <si>
    <t>24K-0015Z</t>
  </si>
  <si>
    <t>24K-0016Z</t>
  </si>
  <si>
    <t>24K-0017Z</t>
  </si>
  <si>
    <t>24K-0018Z</t>
  </si>
  <si>
    <t>24K-0019Z</t>
  </si>
  <si>
    <t>24K-0020Z</t>
  </si>
  <si>
    <t>24K-0021Z</t>
  </si>
  <si>
    <t>24K-0022Z</t>
  </si>
  <si>
    <t>24K-0023Z</t>
  </si>
  <si>
    <t>24K-0024Z</t>
  </si>
  <si>
    <t>24K-0025Z</t>
  </si>
  <si>
    <t>24K-0026Z</t>
  </si>
  <si>
    <t>24K-0027Z</t>
  </si>
  <si>
    <t>24K-0028Z</t>
  </si>
  <si>
    <t>24K-0029Z</t>
  </si>
  <si>
    <t>24K-0030Z</t>
  </si>
  <si>
    <t>MEM.ECF13</t>
  </si>
  <si>
    <t>MEM.ECF16</t>
  </si>
  <si>
    <t>MEM.ECF17</t>
  </si>
  <si>
    <t>MEM.ECF19</t>
  </si>
  <si>
    <t>MEM.ECG6</t>
  </si>
  <si>
    <t>MEM.ECG18</t>
  </si>
  <si>
    <t>MEM.ECG10</t>
  </si>
  <si>
    <t>MEM.ECG11</t>
  </si>
  <si>
    <t>MEM.ECG8</t>
  </si>
  <si>
    <t>MEM.ECG9</t>
  </si>
  <si>
    <t>MEM.ECG2</t>
  </si>
  <si>
    <t>MEM.ECG3</t>
  </si>
  <si>
    <t>MEM.ECG5</t>
  </si>
  <si>
    <t>MEM.ECG7</t>
  </si>
  <si>
    <t>MEM.ECG4</t>
  </si>
  <si>
    <t>MEM.ECG13</t>
  </si>
  <si>
    <t>MEM.ECG14</t>
  </si>
  <si>
    <t>MEM.ECG1</t>
  </si>
  <si>
    <t>MEM.ECG19</t>
  </si>
  <si>
    <t>MEM.ECG17</t>
  </si>
  <si>
    <t>MEM.ECG16</t>
  </si>
  <si>
    <t>MEM.ECG12</t>
  </si>
  <si>
    <t>MEM.ECG15</t>
  </si>
  <si>
    <t>MEM.ECG20</t>
  </si>
  <si>
    <t>MEM.EDI3</t>
  </si>
  <si>
    <t>MEM.EDJ5</t>
  </si>
  <si>
    <t>MEM.EDJ18</t>
  </si>
  <si>
    <t>MEM.EDJ12</t>
  </si>
  <si>
    <t>MEM.EDJ9</t>
  </si>
  <si>
    <t>MEM.EDJ6</t>
  </si>
  <si>
    <t>FA691489</t>
  </si>
  <si>
    <t>24K-0031Z</t>
  </si>
  <si>
    <t>24K-0032Z</t>
  </si>
  <si>
    <t>24K-0033Z</t>
  </si>
  <si>
    <t>24K-0034Z</t>
  </si>
  <si>
    <t>24K-0035Z</t>
  </si>
  <si>
    <t>24K-0036Z</t>
  </si>
  <si>
    <t>24K-0037Z</t>
  </si>
  <si>
    <t>24K-0038Z</t>
  </si>
  <si>
    <t>24K-0039Z</t>
  </si>
  <si>
    <t>24K-0040Z</t>
  </si>
  <si>
    <t>24K-0041Z</t>
  </si>
  <si>
    <t>24K-0042Z</t>
  </si>
  <si>
    <t>24K-0043Z</t>
  </si>
  <si>
    <t>24K-0044Z</t>
  </si>
  <si>
    <t>24K-0045Z</t>
  </si>
  <si>
    <t>MEM.EFZ9</t>
  </si>
  <si>
    <t>MEM.EFZ10</t>
  </si>
  <si>
    <t>MEM.EFZ7</t>
  </si>
  <si>
    <t>MEM.EFZ8</t>
  </si>
  <si>
    <t>MEM.EFZ6</t>
  </si>
  <si>
    <t>MEM.EGV1</t>
  </si>
  <si>
    <t>MEM.EGV2</t>
  </si>
  <si>
    <t>MEM.EGV4</t>
  </si>
  <si>
    <t>MEM.EGV5</t>
  </si>
  <si>
    <t>MEM.EGV6</t>
  </si>
  <si>
    <t>MEM.EGV7</t>
  </si>
  <si>
    <t>MEM.EGV3</t>
  </si>
  <si>
    <t>MEM.EGV8</t>
  </si>
  <si>
    <t>MEM.EGR8</t>
  </si>
  <si>
    <t>MEM.EGR6</t>
  </si>
  <si>
    <t>FA803265</t>
  </si>
  <si>
    <t>24K-0046Z</t>
  </si>
  <si>
    <t>24K-0047Z</t>
  </si>
  <si>
    <t>Test Mem.</t>
  </si>
  <si>
    <t>MEM.EJX</t>
  </si>
  <si>
    <t>MEM.EGV9</t>
  </si>
  <si>
    <t>MEM.EGR9</t>
  </si>
  <si>
    <t>MEM.EGR10</t>
  </si>
  <si>
    <t>MEM.EGR2</t>
  </si>
  <si>
    <t>MEM.EGV10</t>
  </si>
  <si>
    <t>MEM.EGR4</t>
  </si>
  <si>
    <t>MEM.EGR5</t>
  </si>
  <si>
    <t>MEM.EGR3</t>
  </si>
  <si>
    <t>MEM.EGR7</t>
  </si>
  <si>
    <t>MEM.EGR1</t>
  </si>
  <si>
    <t>MEM.EGX1</t>
  </si>
  <si>
    <t>MEM.EGX2</t>
  </si>
  <si>
    <t>MEM.EGX3</t>
  </si>
  <si>
    <t>MEM.EGX4</t>
  </si>
  <si>
    <t>MEM.EGX8</t>
  </si>
  <si>
    <t>Die Testmembranen wurden ausgetauscht</t>
  </si>
  <si>
    <t>MEM.EGX5</t>
  </si>
  <si>
    <t>MEM.EGX6</t>
  </si>
  <si>
    <t>MEM.EGX7</t>
  </si>
  <si>
    <t>MEM.EGX9</t>
  </si>
  <si>
    <t>MEM.EGX10</t>
  </si>
  <si>
    <t>MEM.EGW5</t>
  </si>
  <si>
    <t>MEM.EGW6</t>
  </si>
  <si>
    <t>MEM.EGW7</t>
  </si>
  <si>
    <t>MEM.EGW8</t>
  </si>
  <si>
    <t>MEM.EGW9</t>
  </si>
  <si>
    <t>MEM.EGW10</t>
  </si>
  <si>
    <t>MEM.EGW4</t>
  </si>
  <si>
    <t>MEM.EGW2</t>
  </si>
  <si>
    <t>MEM.EGW3</t>
  </si>
  <si>
    <t>MEM.EGW1</t>
  </si>
  <si>
    <t>MEM.EFa1</t>
  </si>
  <si>
    <t>MEM.EFa3</t>
  </si>
  <si>
    <t>FA803223</t>
  </si>
  <si>
    <t>24K-0048Z</t>
  </si>
  <si>
    <t>24K-0049Z</t>
  </si>
  <si>
    <t>24K-0050Z</t>
  </si>
  <si>
    <t>24K-0051Z</t>
  </si>
  <si>
    <t>24K-0052Z</t>
  </si>
  <si>
    <t>24K-0053Z</t>
  </si>
  <si>
    <t>24K-0054Z</t>
  </si>
  <si>
    <t>24K-0055Z</t>
  </si>
  <si>
    <t>24K-0056Z</t>
  </si>
  <si>
    <t>24K-0057Z</t>
  </si>
  <si>
    <t>MEM.EFa20</t>
  </si>
  <si>
    <t>MEM.EFa19</t>
  </si>
  <si>
    <t>MEM.EFa18</t>
  </si>
  <si>
    <t>MEM.EFa9</t>
  </si>
  <si>
    <t>MEM.EFa10</t>
  </si>
  <si>
    <t>MEM.EFa16</t>
  </si>
  <si>
    <t>MEM.EFa17</t>
  </si>
  <si>
    <t>MEM.EFa15</t>
  </si>
  <si>
    <t>MEM.EFa14</t>
  </si>
  <si>
    <t>MEM.EFa13</t>
  </si>
  <si>
    <t>MEM.EFa12</t>
  </si>
  <si>
    <t>MEM.EFa11</t>
  </si>
  <si>
    <t>MEM.EFa2</t>
  </si>
  <si>
    <t>MEM.EFa8</t>
  </si>
  <si>
    <t>MEM.EFa7</t>
  </si>
  <si>
    <t>MEM.EFa6</t>
  </si>
  <si>
    <t>MEM.EFa4</t>
  </si>
  <si>
    <t>MEM.EFa5</t>
  </si>
  <si>
    <t>MEM.EGB4</t>
  </si>
  <si>
    <t>MEM.EGB3</t>
  </si>
  <si>
    <t>MEM.EGB2</t>
  </si>
  <si>
    <t>MEM.EGB1</t>
  </si>
  <si>
    <t>MEM.EGB5</t>
  </si>
  <si>
    <t>MEM.EGB6</t>
  </si>
  <si>
    <t>MEM.EGB9</t>
  </si>
  <si>
    <t>MEM.EGB10</t>
  </si>
  <si>
    <t>MEM.EGB7</t>
  </si>
  <si>
    <t>MEM.EGB8</t>
  </si>
  <si>
    <t>MEM.EGA1</t>
  </si>
  <si>
    <t>MEM.EGA2</t>
  </si>
  <si>
    <t>MEM.EGA3</t>
  </si>
  <si>
    <t>MEM.EGA4</t>
  </si>
  <si>
    <t>MEM.EGA6</t>
  </si>
  <si>
    <t>MEM.EGA7</t>
  </si>
  <si>
    <t>MEM.EGA5</t>
  </si>
  <si>
    <t>MEM.EGA9</t>
  </si>
  <si>
    <t>MEM.EGA10</t>
  </si>
  <si>
    <t>MEM.EGA8</t>
  </si>
  <si>
    <t>MEM.EGC1</t>
  </si>
  <si>
    <t>MEM.EGC3</t>
  </si>
  <si>
    <t>MEM.EGC4</t>
  </si>
  <si>
    <t>MEM.EDI7</t>
  </si>
  <si>
    <t>FA803278</t>
  </si>
  <si>
    <t>20A-0135Z-R</t>
  </si>
  <si>
    <t>MEM.EDI8</t>
  </si>
  <si>
    <t>MEM.EDI10</t>
  </si>
  <si>
    <t>17H-0079Z-R</t>
  </si>
  <si>
    <t>22I-0026Z-R</t>
  </si>
  <si>
    <t>MEM.EDI2</t>
  </si>
  <si>
    <t>MEM.EDI1</t>
  </si>
  <si>
    <t>22I-0027Z-R</t>
  </si>
  <si>
    <t>22G-0030Z-R</t>
  </si>
  <si>
    <t>FA803283</t>
  </si>
  <si>
    <t>24K-0058Z</t>
  </si>
  <si>
    <t>24K-0059Z</t>
  </si>
  <si>
    <t>24K-0060Z</t>
  </si>
  <si>
    <t>24K-0061Z</t>
  </si>
  <si>
    <t>24K-0062Z</t>
  </si>
  <si>
    <t>24K-0063Z</t>
  </si>
  <si>
    <t>24K-0064Z</t>
  </si>
  <si>
    <t>24K-0065Z</t>
  </si>
  <si>
    <t>24K-0066Z</t>
  </si>
  <si>
    <t>24K-0067Z</t>
  </si>
  <si>
    <t>24K-0068Z</t>
  </si>
  <si>
    <t>24K-0069Z</t>
  </si>
  <si>
    <t>24K-0070Z</t>
  </si>
  <si>
    <t>24K-0071Z</t>
  </si>
  <si>
    <t>24K-0072Z</t>
  </si>
  <si>
    <t>24K-0073Z</t>
  </si>
  <si>
    <t>24K-0074Z</t>
  </si>
  <si>
    <t>24K-0075Z</t>
  </si>
  <si>
    <t>24K-0076Z</t>
  </si>
  <si>
    <t>24K-0077Z</t>
  </si>
  <si>
    <t>24K-0078Z</t>
  </si>
  <si>
    <t>24K-0079Z</t>
  </si>
  <si>
    <t>24K-0080Z</t>
  </si>
  <si>
    <t>24K-0081Z</t>
  </si>
  <si>
    <t>24K-0082Z</t>
  </si>
  <si>
    <t>24K-0083Z</t>
  </si>
  <si>
    <t>24K-0084Z</t>
  </si>
  <si>
    <t>24K-0085Z</t>
  </si>
  <si>
    <t>24K-0086Z</t>
  </si>
  <si>
    <t>24K-0087Z</t>
  </si>
  <si>
    <t>MEM.EGC7</t>
  </si>
  <si>
    <t>MEM.EGC6</t>
  </si>
  <si>
    <t>MEM.EGC2</t>
  </si>
  <si>
    <t>MEM.EGC5</t>
  </si>
  <si>
    <t>MEM.EGC10</t>
  </si>
  <si>
    <t>MEM.EGD1</t>
  </si>
  <si>
    <t>MEM.EGC9</t>
  </si>
  <si>
    <t>MEM.EGC8</t>
  </si>
  <si>
    <t>MEM.EGD2</t>
  </si>
  <si>
    <t>MEM.EGD3</t>
  </si>
  <si>
    <t>MEM.EGD4</t>
  </si>
  <si>
    <t>MEM.EGD7</t>
  </si>
  <si>
    <t>MEM.EGD8</t>
  </si>
  <si>
    <t>MEM.EGD9</t>
  </si>
  <si>
    <t>MEM.EGD5</t>
  </si>
  <si>
    <t>MEM.EGD6</t>
  </si>
  <si>
    <t>MEM.EGY9</t>
  </si>
  <si>
    <t>MEM.EGY8</t>
  </si>
  <si>
    <t>MEM.EGY</t>
  </si>
  <si>
    <t>MEM.EGY10</t>
  </si>
  <si>
    <t>MEM.EGY7</t>
  </si>
  <si>
    <t>MEM.EGY6</t>
  </si>
  <si>
    <t>MEM.EGY5</t>
  </si>
  <si>
    <t>MEM.EGY4</t>
  </si>
  <si>
    <t>MEM.EGY2</t>
  </si>
  <si>
    <t>MEM.EGY3</t>
  </si>
  <si>
    <t>MEM.EGY1</t>
  </si>
  <si>
    <t>MEM.EGQ9</t>
  </si>
  <si>
    <t>MEM.EGQ10</t>
  </si>
  <si>
    <t>FA667908</t>
  </si>
  <si>
    <t>24K-0088Z</t>
  </si>
  <si>
    <t>24K-0089Z</t>
  </si>
  <si>
    <t>24K-0090Z</t>
  </si>
  <si>
    <t>24K-0091Z</t>
  </si>
  <si>
    <t>24K-0092Z</t>
  </si>
  <si>
    <t>24K-0093Z</t>
  </si>
  <si>
    <t>24K-0094Z</t>
  </si>
  <si>
    <t>24K-0095Z</t>
  </si>
  <si>
    <t>24K-0096Z</t>
  </si>
  <si>
    <t>24K-0097Z</t>
  </si>
  <si>
    <t>MEM.EGQ5</t>
  </si>
  <si>
    <t>MEM.EGQ6</t>
  </si>
  <si>
    <t>MEM.EGQ8</t>
  </si>
  <si>
    <t>MEM.EGQ7</t>
  </si>
  <si>
    <t>MEM.EGQ4</t>
  </si>
  <si>
    <t>MEM.EGQ3</t>
  </si>
  <si>
    <t>MEM.EGQ1</t>
  </si>
  <si>
    <t>MEM.EGQ2</t>
  </si>
  <si>
    <t>MEM.EID9</t>
  </si>
  <si>
    <t>MEM.EID10</t>
  </si>
  <si>
    <t>MEM.EID8</t>
  </si>
  <si>
    <t>MEM.EID7</t>
  </si>
  <si>
    <t>MEM.EIE1</t>
  </si>
  <si>
    <t>MEM.EIE2</t>
  </si>
  <si>
    <t>MEM.EIE3</t>
  </si>
  <si>
    <t>MEM.EIE4</t>
  </si>
  <si>
    <t>MEM.EIE5</t>
  </si>
  <si>
    <t>MEM.EIE6</t>
  </si>
  <si>
    <t>MEM.EIE7</t>
  </si>
  <si>
    <t>MEM.EIE9</t>
  </si>
  <si>
    <t>MEM.EIE10</t>
  </si>
  <si>
    <t>MEM.EIE8</t>
  </si>
  <si>
    <t>MEM.EID6</t>
  </si>
  <si>
    <t>MEM.EID5</t>
  </si>
  <si>
    <t>MEM.EID3</t>
  </si>
  <si>
    <t>MEM.EID4</t>
  </si>
  <si>
    <t>MEM.EID2</t>
  </si>
  <si>
    <t>MEM.EID1</t>
  </si>
  <si>
    <t>MEM.EIL8</t>
  </si>
  <si>
    <t>MEM.EIL9</t>
  </si>
  <si>
    <t>MEM.EIL7</t>
  </si>
  <si>
    <t>MEM.EIL10</t>
  </si>
  <si>
    <t>MEM.EIL6</t>
  </si>
  <si>
    <t>MEM.EIL4</t>
  </si>
  <si>
    <t>MEM.EIL5</t>
  </si>
  <si>
    <t>MEM.EIL2</t>
  </si>
  <si>
    <t>MEM.EIL3</t>
  </si>
  <si>
    <t>MEM.EIL1</t>
  </si>
  <si>
    <t>MEM.EIP1</t>
  </si>
  <si>
    <t>MEM.EIP2</t>
  </si>
  <si>
    <t>24K-0098Z</t>
  </si>
  <si>
    <t>24K-0099Z</t>
  </si>
  <si>
    <t>24K-0100Z</t>
  </si>
  <si>
    <t>24K-0101Z</t>
  </si>
  <si>
    <t>24K-0102Z</t>
  </si>
  <si>
    <t>24K-0103Z</t>
  </si>
  <si>
    <t>24K-0104Z</t>
  </si>
  <si>
    <t>24K-0105Z</t>
  </si>
  <si>
    <t>24K-0106Z</t>
  </si>
  <si>
    <t>24K-0107Z</t>
  </si>
  <si>
    <t>24K-0108Z</t>
  </si>
  <si>
    <t>24K-0109Z</t>
  </si>
  <si>
    <t>24K-0110Z</t>
  </si>
  <si>
    <t>24K-0111Z</t>
  </si>
  <si>
    <t>24K-0112Z</t>
  </si>
  <si>
    <t>24K-0113Z</t>
  </si>
  <si>
    <t>24K-0114Z</t>
  </si>
  <si>
    <t>24K-0115Z</t>
  </si>
  <si>
    <t>24K-0116Z</t>
  </si>
  <si>
    <t>24K-0117Z</t>
  </si>
  <si>
    <t>24K-0118Z</t>
  </si>
  <si>
    <t>24K-0119Z</t>
  </si>
  <si>
    <t>24K-0120Z</t>
  </si>
  <si>
    <t>24K-0121Z</t>
  </si>
  <si>
    <t>24K-0122Z</t>
  </si>
  <si>
    <t>FA691483</t>
  </si>
  <si>
    <t>MEM.EIP3</t>
  </si>
  <si>
    <t>MEM.EIP4</t>
  </si>
  <si>
    <t>MEM.EIP9</t>
  </si>
  <si>
    <t>MEM.EIP10</t>
  </si>
  <si>
    <t>MEM.EIP5</t>
  </si>
  <si>
    <t>MEM.EII1</t>
  </si>
  <si>
    <t>MEM.EII2</t>
  </si>
  <si>
    <t>MEM.EII3</t>
  </si>
  <si>
    <t>MEM.EII4</t>
  </si>
  <si>
    <t>MEM.EIP6</t>
  </si>
  <si>
    <t>MEM.EII5</t>
  </si>
  <si>
    <t>MEM.EII6</t>
  </si>
  <si>
    <t>MEM.EIP7</t>
  </si>
  <si>
    <t>MEM.EIP8</t>
  </si>
  <si>
    <t>MEM.EII7</t>
  </si>
  <si>
    <t>MEM.EII8</t>
  </si>
  <si>
    <t>MEM.EIK3</t>
  </si>
  <si>
    <t>MEM.EIK4</t>
  </si>
  <si>
    <t>MEM.EIK7</t>
  </si>
  <si>
    <t>MEM.EIK8</t>
  </si>
  <si>
    <t>MEM.EIK5</t>
  </si>
  <si>
    <t>MEM.EIK6</t>
  </si>
  <si>
    <t>MEM.EIK2</t>
  </si>
  <si>
    <t>MEM.EIK1</t>
  </si>
  <si>
    <t>MEM.EII9</t>
  </si>
  <si>
    <t>MEM.EII10</t>
  </si>
  <si>
    <t>MEM.EIJ1</t>
  </si>
  <si>
    <t>MEM.EIJ2</t>
  </si>
  <si>
    <t>NDE</t>
  </si>
  <si>
    <t>MEM.EIK10</t>
  </si>
  <si>
    <t>MEM.EIJ3</t>
  </si>
  <si>
    <t>MEM.EIJ4</t>
  </si>
  <si>
    <t>MEM.EIJ5</t>
  </si>
  <si>
    <t>MEM.EIJ6</t>
  </si>
  <si>
    <t>MEM.EIK9</t>
  </si>
  <si>
    <t>MEM.EIQ9</t>
  </si>
  <si>
    <t>MEM.EIQ8</t>
  </si>
  <si>
    <t>MEM.EIJ7</t>
  </si>
  <si>
    <t>MEM.EIJ8</t>
  </si>
  <si>
    <t>MEM.EIJ9</t>
  </si>
  <si>
    <t>MEM.EIJ10</t>
  </si>
  <si>
    <t>MEM.EIQ3</t>
  </si>
  <si>
    <t>MEM.EIQ4</t>
  </si>
  <si>
    <t>MEM.EIQ10</t>
  </si>
  <si>
    <t>MEM.EIQ1</t>
  </si>
  <si>
    <t>MEM.EIQ2</t>
  </si>
  <si>
    <t>MEM.EIQ7</t>
  </si>
  <si>
    <t>MEM.EIQ5</t>
  </si>
  <si>
    <t>MEM.EIQ6</t>
  </si>
  <si>
    <t>24L-0001Z</t>
  </si>
  <si>
    <t>24L-0002Z</t>
  </si>
  <si>
    <t>24L-0003Z</t>
  </si>
  <si>
    <t>24L-0004Z</t>
  </si>
  <si>
    <t>24L-0005Z</t>
  </si>
  <si>
    <t>24L-0006Z</t>
  </si>
  <si>
    <t>24L-0007Z</t>
  </si>
  <si>
    <t>24L-0008Z</t>
  </si>
  <si>
    <t>24L-0009Z</t>
  </si>
  <si>
    <t>24L-0010Z</t>
  </si>
  <si>
    <t>24L-0011Z</t>
  </si>
  <si>
    <t>24L-0012Z</t>
  </si>
  <si>
    <t>24L-0013Z</t>
  </si>
  <si>
    <t>24L-0014Z</t>
  </si>
  <si>
    <t>24L-0015Z</t>
  </si>
  <si>
    <t>24L-0016Z</t>
  </si>
  <si>
    <t>24L-0017Z</t>
  </si>
  <si>
    <t>24L-0018Z</t>
  </si>
  <si>
    <t>24L-0019Z</t>
  </si>
  <si>
    <t>24L-0020Z</t>
  </si>
  <si>
    <t>24L-0021Z</t>
  </si>
  <si>
    <t>24L-0022Z</t>
  </si>
  <si>
    <t>24L-0023Z</t>
  </si>
  <si>
    <t>24L-0024Z</t>
  </si>
  <si>
    <t>24L-0025Z</t>
  </si>
  <si>
    <t>24L-0026Z</t>
  </si>
  <si>
    <t>24L-0027Z</t>
  </si>
  <si>
    <t>24L-0028Z</t>
  </si>
  <si>
    <t>24L-0029Z</t>
  </si>
  <si>
    <t>24L-0030Z</t>
  </si>
  <si>
    <t>MEM.EJI10</t>
  </si>
  <si>
    <t>MEM.EJI6</t>
  </si>
  <si>
    <t>MEM.EJI3</t>
  </si>
  <si>
    <t>MEM.EJI7</t>
  </si>
  <si>
    <t>MEM.EJI2</t>
  </si>
  <si>
    <t>MEM.EJI9</t>
  </si>
  <si>
    <t>MEM.EJI5</t>
  </si>
  <si>
    <t>FA804461</t>
  </si>
  <si>
    <t>FA789449</t>
  </si>
  <si>
    <t>24L-0031Z</t>
  </si>
  <si>
    <t>24L-0032Z</t>
  </si>
  <si>
    <t>24L-0033Z</t>
  </si>
  <si>
    <t>24L-0034Z</t>
  </si>
  <si>
    <t>24L-0035Z</t>
  </si>
  <si>
    <t>24L-0036Z</t>
  </si>
  <si>
    <t>24L-0037Z</t>
  </si>
  <si>
    <t>24L-0038Z</t>
  </si>
  <si>
    <t>24L-0039Z</t>
  </si>
  <si>
    <t>24L-0040Z</t>
  </si>
  <si>
    <t>24L-0041Z</t>
  </si>
  <si>
    <t>24L-0042Z</t>
  </si>
  <si>
    <t>24L-0043Z</t>
  </si>
  <si>
    <t>24L-0044Z</t>
  </si>
  <si>
    <t>24L-0045Z</t>
  </si>
  <si>
    <t>24L-0046Z</t>
  </si>
  <si>
    <t>24L-0047Z</t>
  </si>
  <si>
    <t>24L-0048Z</t>
  </si>
  <si>
    <t>24L-0049Z</t>
  </si>
  <si>
    <t>24L-0050Z</t>
  </si>
  <si>
    <t>24L-0051Z</t>
  </si>
  <si>
    <t>24L-0052Z</t>
  </si>
  <si>
    <t>24L-0053Z</t>
  </si>
  <si>
    <t>24L-0054Z</t>
  </si>
  <si>
    <t>24L-0055Z</t>
  </si>
  <si>
    <t>24L-0056Z</t>
  </si>
  <si>
    <t>24L-0057Z</t>
  </si>
  <si>
    <t>24L-0058Z</t>
  </si>
  <si>
    <t>24L-0059Z</t>
  </si>
  <si>
    <t>24L-0060Z</t>
  </si>
  <si>
    <t>24L-0061Z</t>
  </si>
  <si>
    <t>24L-0062Z</t>
  </si>
  <si>
    <t>24L-0063Z</t>
  </si>
  <si>
    <t>24L-0064Z</t>
  </si>
  <si>
    <t>24L-0065Z</t>
  </si>
  <si>
    <t>24L-0066Z</t>
  </si>
  <si>
    <t>24L-0067Z</t>
  </si>
  <si>
    <t>24L-0068Z</t>
  </si>
  <si>
    <t>24L-0069Z</t>
  </si>
  <si>
    <t>24L-0070Z</t>
  </si>
  <si>
    <t>24L-0071Z</t>
  </si>
  <si>
    <t>24L-0072Z</t>
  </si>
  <si>
    <t>24L-0073Z</t>
  </si>
  <si>
    <t>24L-0074Z</t>
  </si>
  <si>
    <t>24L-0075Z</t>
  </si>
  <si>
    <t>24L-0076Z</t>
  </si>
  <si>
    <t>24L-0077Z</t>
  </si>
  <si>
    <t>24L-0078Z</t>
  </si>
  <si>
    <t>24L-0079Z</t>
  </si>
  <si>
    <t>24L-0080Z</t>
  </si>
  <si>
    <t>MEM.EJI1</t>
  </si>
  <si>
    <t>MEM.EJI4</t>
  </si>
  <si>
    <t>MEM.EJI8</t>
  </si>
  <si>
    <t>MEM.EDJ4</t>
  </si>
  <si>
    <t>MEM.EDJ11</t>
  </si>
  <si>
    <t>MEM.EDJ13</t>
  </si>
  <si>
    <t>MEM.EDJ14</t>
  </si>
  <si>
    <t>MEM.EDJ15</t>
  </si>
  <si>
    <t>MEM.EDJ16</t>
  </si>
  <si>
    <t>MEM.EDJ17</t>
  </si>
  <si>
    <t>MEM.EDJ19</t>
  </si>
  <si>
    <t>MEM.EDJ20</t>
  </si>
  <si>
    <t>MEM.EDJ21</t>
  </si>
  <si>
    <t>MEM.EJJ6</t>
  </si>
  <si>
    <t>MEM.EJJ8</t>
  </si>
  <si>
    <t>MEM.EDK1</t>
  </si>
  <si>
    <t>MEM.EDK2</t>
  </si>
  <si>
    <t>MEM.EDK3</t>
  </si>
  <si>
    <t>MEM.EDK4</t>
  </si>
  <si>
    <t>MEM.EDK5</t>
  </si>
  <si>
    <t>MEM.EDK6</t>
  </si>
  <si>
    <t>MEM.EDK7</t>
  </si>
  <si>
    <t>MEM.EDK8</t>
  </si>
  <si>
    <t>MEM.EDK9</t>
  </si>
  <si>
    <t>MEM.EDK10</t>
  </si>
  <si>
    <t>MEM.EDK11</t>
  </si>
  <si>
    <t>MEM.EDK12</t>
  </si>
  <si>
    <t>MEM.EDK13</t>
  </si>
  <si>
    <t>MEM.EDK14</t>
  </si>
  <si>
    <t>MEM.EDK15</t>
  </si>
  <si>
    <t>MEM.EDK16</t>
  </si>
  <si>
    <t>MEM.EDK17</t>
  </si>
  <si>
    <t>MEM.EDK18</t>
  </si>
  <si>
    <t>MEM.EDK19</t>
  </si>
  <si>
    <t>MEM.EDK20</t>
  </si>
  <si>
    <t>MEM.EDJ1</t>
  </si>
  <si>
    <t>MEM.EDJ2</t>
  </si>
  <si>
    <t>MEM.EDJ3</t>
  </si>
  <si>
    <t>MEM.EJJ9</t>
  </si>
  <si>
    <t>MEM.EJJ1</t>
  </si>
  <si>
    <t>MEM.EJJ7</t>
  </si>
  <si>
    <t>MEM.EDJ7</t>
  </si>
  <si>
    <t>MEM.EDJ8</t>
  </si>
  <si>
    <t>MEM.EDJ10</t>
  </si>
  <si>
    <t>MEM.EJJ10</t>
  </si>
  <si>
    <t>MEM.EJJ3</t>
  </si>
  <si>
    <t>MEM.EJJ4</t>
  </si>
  <si>
    <t>MEM.EJJ5</t>
  </si>
  <si>
    <t>MEM.EJJ2</t>
  </si>
  <si>
    <t>MEM.EJN7</t>
  </si>
  <si>
    <t>MEM.EJN8</t>
  </si>
  <si>
    <t>MEM.EJN10</t>
  </si>
  <si>
    <t>MEM.EJN5</t>
  </si>
  <si>
    <t>MEM.EJN6</t>
  </si>
  <si>
    <t>MEM.EJN9</t>
  </si>
  <si>
    <t>MEM.EJN3</t>
  </si>
  <si>
    <t>MEM.EJN4</t>
  </si>
  <si>
    <t>MEM.EJN2</t>
  </si>
  <si>
    <t>MEM.EJN1</t>
  </si>
  <si>
    <t>MEM.EJP1</t>
  </si>
  <si>
    <t>MEM.EJP2</t>
  </si>
  <si>
    <t>FA806080</t>
  </si>
  <si>
    <t>24L-0081Z</t>
  </si>
  <si>
    <t>24L-0082Z</t>
  </si>
  <si>
    <t>24L-0083Z</t>
  </si>
  <si>
    <t>24L-0084Z</t>
  </si>
  <si>
    <t>24L-0085Z</t>
  </si>
  <si>
    <t>24L-0086Z</t>
  </si>
  <si>
    <t>24L-0087Z</t>
  </si>
  <si>
    <t>24L-0088Z</t>
  </si>
  <si>
    <t>24L-0089Z</t>
  </si>
  <si>
    <t>24L-0090Z</t>
  </si>
  <si>
    <t>24L-0092Z</t>
  </si>
  <si>
    <t>24L-0093Z</t>
  </si>
  <si>
    <t>24L-0094Z</t>
  </si>
  <si>
    <t>24L-0095Z</t>
  </si>
  <si>
    <t>24L-0096Z</t>
  </si>
  <si>
    <t>24L-0097Z</t>
  </si>
  <si>
    <t>24L-0098Z</t>
  </si>
  <si>
    <t>24L-0099Z</t>
  </si>
  <si>
    <t>24L-0100Z</t>
  </si>
  <si>
    <t>MEM.EJP6</t>
  </si>
  <si>
    <t>MEM.EJP8</t>
  </si>
  <si>
    <t>MEM.EJP9</t>
  </si>
  <si>
    <t>MEM.EJP3</t>
  </si>
  <si>
    <t>MEM.EJP7</t>
  </si>
  <si>
    <t>MEM.EJP10</t>
  </si>
  <si>
    <t>MEM.EJO8</t>
  </si>
  <si>
    <t>MEM.EJO9</t>
  </si>
  <si>
    <t>MEM.EJO7</t>
  </si>
  <si>
    <t>MEM.EJO10</t>
  </si>
  <si>
    <t>MEM.EJO5</t>
  </si>
  <si>
    <t>MEM.EJO6</t>
  </si>
  <si>
    <t>MEM.EJO4</t>
  </si>
  <si>
    <t>MEM.EJO2</t>
  </si>
  <si>
    <t>24L-0091Z</t>
  </si>
  <si>
    <t>MEM.EJO3</t>
  </si>
  <si>
    <t>MEM.EJO1</t>
  </si>
  <si>
    <t>MEM.EJQ1</t>
  </si>
  <si>
    <t>MEM.EJQ2</t>
  </si>
  <si>
    <t>MEM.EJQ3</t>
  </si>
  <si>
    <t>MEM.EJQ4</t>
  </si>
  <si>
    <t>MEM.EJQ7</t>
  </si>
  <si>
    <t>MEM.EJQ8</t>
  </si>
  <si>
    <t>MEM.EJQ6</t>
  </si>
  <si>
    <t>MEM.EJQ5</t>
  </si>
  <si>
    <t>24L-0101Z</t>
  </si>
  <si>
    <t>24L-0102Z</t>
  </si>
  <si>
    <t>24L-0103Z</t>
  </si>
  <si>
    <t>24L-0104Z</t>
  </si>
  <si>
    <t>24L-0105Z</t>
  </si>
  <si>
    <t>24L-0106Z</t>
  </si>
  <si>
    <t>24L-0107Z</t>
  </si>
  <si>
    <t>24L-0108Z</t>
  </si>
  <si>
    <t>24L-0109Z</t>
  </si>
  <si>
    <t>24L-0110Z</t>
  </si>
  <si>
    <t>24L-0111Z</t>
  </si>
  <si>
    <t>24L-0112Z</t>
  </si>
  <si>
    <t>24L-0113Z</t>
  </si>
  <si>
    <t>24L-0114Z</t>
  </si>
  <si>
    <t>24L-0115Z</t>
  </si>
  <si>
    <t>24L-0116Z</t>
  </si>
  <si>
    <t>24L-0117Z</t>
  </si>
  <si>
    <t>24L-0118Z</t>
  </si>
  <si>
    <t>24L-0119Z</t>
  </si>
  <si>
    <t>24L-0120Z</t>
  </si>
  <si>
    <t>MEM.EJQ9</t>
  </si>
  <si>
    <t>MEM.EJQ10</t>
  </si>
  <si>
    <t>MEM.EJU1</t>
  </si>
  <si>
    <t>MEM.EJU2</t>
  </si>
  <si>
    <t>MEM.EJU3</t>
  </si>
  <si>
    <t>MEM.EJU4</t>
  </si>
  <si>
    <t>MEM.EJU5</t>
  </si>
  <si>
    <t>MEM.EJU6</t>
  </si>
  <si>
    <t>MEM.EJU7</t>
  </si>
  <si>
    <t>MEM.EJU8</t>
  </si>
  <si>
    <t>MEM.EJU9</t>
  </si>
  <si>
    <t>MEM.EJU10</t>
  </si>
  <si>
    <t>MEM.EJU</t>
  </si>
  <si>
    <t>MEM.EJU12</t>
  </si>
  <si>
    <t>MEM.EJU14</t>
  </si>
  <si>
    <t>FA804460</t>
  </si>
  <si>
    <t>24L-0121Z</t>
  </si>
  <si>
    <t>24L-0122Z</t>
  </si>
  <si>
    <t>24L-0123Z</t>
  </si>
  <si>
    <t>24L-0124Z</t>
  </si>
  <si>
    <t>24L-0125Z</t>
  </si>
  <si>
    <t>24L-0126Z</t>
  </si>
  <si>
    <t>24L-0127Z</t>
  </si>
  <si>
    <t>24L-0128Z</t>
  </si>
  <si>
    <t>24L-0129Z</t>
  </si>
  <si>
    <t>24L-0130Z</t>
  </si>
  <si>
    <t>24L-0131Z</t>
  </si>
  <si>
    <t>24L-0132Z</t>
  </si>
  <si>
    <t>24L-0133Z</t>
  </si>
  <si>
    <t>MEM.EJV1</t>
  </si>
  <si>
    <t>MEM.EJV2</t>
  </si>
  <si>
    <t>MEM.EJV3</t>
  </si>
  <si>
    <t>MEM.EJV4</t>
  </si>
  <si>
    <t>MEM.EJV5</t>
  </si>
  <si>
    <t>MEM.EJU13</t>
  </si>
  <si>
    <t>MEM.EJU15</t>
  </si>
  <si>
    <t>MEM.EJU16</t>
  </si>
  <si>
    <t>MEM.EJU17</t>
  </si>
  <si>
    <t>MEM.EJU18</t>
  </si>
  <si>
    <t>MEM.EJU19</t>
  </si>
  <si>
    <t>MEM.EJU20</t>
  </si>
  <si>
    <t>24L-0134Z</t>
  </si>
  <si>
    <t>24L-0135Z</t>
  </si>
  <si>
    <t>24L-0136Z</t>
  </si>
  <si>
    <t>24L-0137Z</t>
  </si>
  <si>
    <t>24L-0138Z</t>
  </si>
  <si>
    <t>24L-0139Z</t>
  </si>
  <si>
    <t>24L-0140Z</t>
  </si>
  <si>
    <t>24L-0141Z</t>
  </si>
  <si>
    <t>24L-0142Z</t>
  </si>
  <si>
    <t>24L-0143Z</t>
  </si>
  <si>
    <t>MEM.EJV7</t>
  </si>
  <si>
    <t>MEM.EJV8</t>
  </si>
  <si>
    <t>MEM.EJV9</t>
  </si>
  <si>
    <t>MEM.EJV10</t>
  </si>
  <si>
    <t>MEM.EJV11</t>
  </si>
  <si>
    <t>MEM.EJV12</t>
  </si>
  <si>
    <t>FA807093</t>
  </si>
  <si>
    <t>24L-0144Z</t>
  </si>
  <si>
    <t>24L-0145Z</t>
  </si>
  <si>
    <t>24L-0146Z</t>
  </si>
  <si>
    <t>24L-0147Z</t>
  </si>
  <si>
    <t>24L-0148Z</t>
  </si>
  <si>
    <t>24L-0149Z</t>
  </si>
  <si>
    <t>24L-0150Z</t>
  </si>
  <si>
    <t>24L-0151Z</t>
  </si>
  <si>
    <t>24L-0152Z</t>
  </si>
  <si>
    <t>24L-0153Z</t>
  </si>
  <si>
    <t>24L-0154Z</t>
  </si>
  <si>
    <t>24L-0155Z</t>
  </si>
  <si>
    <t>24L-0156Z</t>
  </si>
  <si>
    <t>24L-0157Z</t>
  </si>
  <si>
    <t>24L-0158Z</t>
  </si>
  <si>
    <t>24L-0159Z</t>
  </si>
  <si>
    <t>24L-0160Z</t>
  </si>
  <si>
    <t>24L-0161Z</t>
  </si>
  <si>
    <t>24L-0162Z</t>
  </si>
  <si>
    <t>24L-0163Z</t>
  </si>
  <si>
    <t>MEM.EKD1</t>
  </si>
  <si>
    <t>MEM.EKD2</t>
  </si>
  <si>
    <t>MEM.EKD3</t>
  </si>
  <si>
    <t>MEM.EKD4</t>
  </si>
  <si>
    <t>MEM.EKD5</t>
  </si>
  <si>
    <t>MEM.EKD6</t>
  </si>
  <si>
    <t>MEM.EKD7</t>
  </si>
  <si>
    <t>MEM.EKD8</t>
  </si>
  <si>
    <t>MEM.EKD9</t>
  </si>
  <si>
    <t>MEM.EKD10</t>
  </si>
  <si>
    <t>MEM.EJV13</t>
  </si>
  <si>
    <t>MEM.EJV14</t>
  </si>
  <si>
    <t>MEM.EJV15</t>
  </si>
  <si>
    <t>MEM.EKF1</t>
  </si>
  <si>
    <t>MEM.EKF2</t>
  </si>
  <si>
    <t>MEM.EKF3</t>
  </si>
  <si>
    <t>MEM.EKF4</t>
  </si>
  <si>
    <t>MEM.EKF5</t>
  </si>
  <si>
    <t>MEM.EKF6</t>
  </si>
  <si>
    <t>MEM.EKF7</t>
  </si>
  <si>
    <t>MEM.EKF8</t>
  </si>
  <si>
    <t>MEM.EKF9</t>
  </si>
  <si>
    <t>MEM.EKF10</t>
  </si>
  <si>
    <t>MEM.EJW15</t>
  </si>
  <si>
    <t>MEM.EJW12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</si>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</sst>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"/>
    <numFmt numFmtId="165" formatCode="0.0"/>
    <numFmt numFmtId="166" formatCode="_ * #,##0_ ;_ * \-#,##0_ ;_ * &quot;-&quot;??_ ;_ @_ 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Verdana"/>
      <family val="2"/>
    </font>
    <font>
      <b/>
      <sz val="10"/>
      <color rgb="FFFF0000"/>
      <name val="Verdana"/>
      <family val="2"/>
    </font>
    <font>
      <b/>
      <sz val="8"/>
      <color theme="1"/>
      <name val="Verdana"/>
      <family val="2"/>
    </font>
    <font>
      <sz val="10"/>
      <color theme="0"/>
      <name val="Verdana"/>
      <family val="2"/>
    </font>
    <font>
      <b/>
      <sz val="10"/>
      <name val="Verdana"/>
      <family val="2"/>
    </font>
    <font>
      <b/>
      <sz val="10"/>
      <color rgb="FFFF0000"/>
      <name val="Arial"/>
      <family val="2"/>
    </font>
    <font>
      <sz val="10"/>
      <name val="Verdana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name val="Verdana"/>
      <family val="2"/>
    </font>
    <font>
      <sz val="10"/>
      <name val="Arial"/>
      <family val="2"/>
    </font>
    <font>
      <b/>
      <i/>
      <sz val="12"/>
      <name val="Verdan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10"/>
      <name val="Verdana"/>
    </font>
    <font>
      <sz val="10"/>
      <color theme="1"/>
      <name val="Arial"/>
    </font>
    <font>
      <b/>
      <sz val="10"/>
      <color rgb="FFFF0000"/>
      <name val="Arial"/>
    </font>
    <font>
      <b/>
      <i/>
      <sz val="12"/>
      <name val="Verdana"/>
    </font>
    <font>
      <b/>
      <sz val="10"/>
      <color theme="1"/>
      <name val="Verdana"/>
    </font>
    <font>
      <sz val="11"/>
      <color theme="1"/>
      <name val="Calibri"/>
      <scheme val="minor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164" fontId="2" fillId="0" borderId="1" xfId="0" applyNumberFormat="1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wrapText="1"/>
    </xf>
    <xf numFmtId="1" fontId="2" fillId="0" borderId="1" xfId="1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66" fontId="2" fillId="0" borderId="1" xfId="1" applyNumberFormat="1" applyFont="1" applyBorder="1" applyAlignment="1">
      <alignment horizont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wrapText="1"/>
    </xf>
    <xf numFmtId="164" fontId="3" fillId="2" borderId="3" xfId="0" applyNumberFormat="1" applyFont="1" applyFill="1" applyBorder="1" applyAlignment="1">
      <alignment horizontal="center" wrapText="1"/>
    </xf>
    <xf numFmtId="2" fontId="2" fillId="2" borderId="4" xfId="0" applyNumberFormat="1" applyFont="1" applyFill="1" applyBorder="1" applyAlignment="1">
      <alignment horizontal="center" wrapText="1"/>
    </xf>
    <xf numFmtId="2" fontId="3" fillId="2" borderId="5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 wrapText="1"/>
    </xf>
    <xf numFmtId="0" fontId="5" fillId="0" borderId="0" xfId="0" applyFont="1" applyFill="1" applyAlignment="1">
      <alignment horizontal="right" wrapText="1"/>
    </xf>
    <xf numFmtId="0" fontId="5" fillId="0" borderId="0" xfId="0" applyFont="1" applyFill="1" applyAlignment="1">
      <alignment horizontal="left" wrapText="1"/>
    </xf>
    <xf numFmtId="0" fontId="0" fillId="0" borderId="0" xfId="0" applyFill="1" applyAlignment="1">
      <alignment wrapText="1"/>
    </xf>
    <xf numFmtId="0" fontId="0" fillId="0" borderId="0" xfId="0" applyAlignment="1">
      <alignment wrapText="1"/>
    </xf>
    <xf numFmtId="164" fontId="6" fillId="0" borderId="0" xfId="0" applyNumberFormat="1" applyFont="1" applyFill="1" applyBorder="1" applyAlignment="1">
      <alignment horizontal="center" wrapText="1"/>
    </xf>
    <xf numFmtId="1" fontId="2" fillId="0" borderId="0" xfId="0" applyNumberFormat="1" applyFont="1" applyFill="1" applyBorder="1" applyAlignment="1">
      <alignment horizontal="center" wrapText="1"/>
    </xf>
    <xf numFmtId="1" fontId="2" fillId="0" borderId="0" xfId="1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 wrapText="1"/>
    </xf>
    <xf numFmtId="166" fontId="2" fillId="0" borderId="0" xfId="1" applyNumberFormat="1" applyFont="1" applyFill="1" applyBorder="1" applyAlignment="1">
      <alignment horizontal="center" wrapText="1"/>
    </xf>
    <xf numFmtId="164" fontId="2" fillId="0" borderId="0" xfId="0" applyNumberFormat="1" applyFont="1" applyFill="1" applyBorder="1" applyAlignment="1">
      <alignment horizontal="center" wrapText="1"/>
    </xf>
    <xf numFmtId="164" fontId="7" fillId="3" borderId="0" xfId="0" applyNumberFormat="1" applyFont="1" applyFill="1" applyBorder="1" applyAlignment="1">
      <alignment horizontal="center"/>
    </xf>
    <xf numFmtId="2" fontId="2" fillId="3" borderId="0" xfId="0" applyNumberFormat="1" applyFont="1" applyFill="1" applyBorder="1" applyAlignment="1">
      <alignment horizontal="center" wrapText="1"/>
    </xf>
    <xf numFmtId="2" fontId="7" fillId="0" borderId="6" xfId="0" applyNumberFormat="1" applyFont="1" applyFill="1" applyBorder="1" applyAlignment="1">
      <alignment horizontal="center"/>
    </xf>
    <xf numFmtId="2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8" fillId="0" borderId="7" xfId="0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165" fontId="8" fillId="3" borderId="7" xfId="1" applyNumberFormat="1" applyFont="1" applyFill="1" applyBorder="1" applyAlignment="1">
      <alignment horizontal="center" vertical="center"/>
    </xf>
    <xf numFmtId="1" fontId="8" fillId="0" borderId="7" xfId="1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9" fillId="2" borderId="8" xfId="0" applyNumberFormat="1" applyFont="1" applyFill="1" applyBorder="1" applyAlignment="1">
      <alignment horizontal="center" vertical="center"/>
    </xf>
    <xf numFmtId="164" fontId="7" fillId="2" borderId="9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7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ont="1" applyFill="1" applyBorder="1" applyAlignment="1">
      <alignment horizontal="center" vertical="center"/>
    </xf>
    <xf numFmtId="165" fontId="8" fillId="0" borderId="7" xfId="0" applyNumberFormat="1" applyFont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0" fillId="3" borderId="0" xfId="0" applyFont="1" applyFill="1" applyBorder="1"/>
    <xf numFmtId="0" fontId="12" fillId="0" borderId="7" xfId="0" applyFont="1" applyBorder="1" applyAlignment="1">
      <alignment horizontal="center" vertical="center"/>
    </xf>
    <xf numFmtId="1" fontId="8" fillId="3" borderId="7" xfId="1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2" fontId="11" fillId="3" borderId="8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center"/>
    </xf>
    <xf numFmtId="1" fontId="8" fillId="0" borderId="0" xfId="1" applyNumberFormat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164" fontId="13" fillId="0" borderId="0" xfId="0" applyNumberFormat="1" applyFont="1" applyFill="1" applyBorder="1" applyAlignment="1">
      <alignment horizontal="center"/>
    </xf>
    <xf numFmtId="164" fontId="8" fillId="0" borderId="0" xfId="0" applyNumberFormat="1" applyFont="1" applyFill="1" applyBorder="1" applyAlignment="1">
      <alignment horizontal="center"/>
    </xf>
    <xf numFmtId="164" fontId="9" fillId="0" borderId="0" xfId="0" applyNumberFormat="1" applyFont="1" applyFill="1" applyBorder="1" applyAlignment="1">
      <alignment horizontal="center"/>
    </xf>
    <xf numFmtId="2" fontId="9" fillId="3" borderId="0" xfId="0" applyNumberFormat="1" applyFont="1" applyFill="1" applyBorder="1" applyAlignment="1">
      <alignment horizontal="center"/>
    </xf>
    <xf numFmtId="1" fontId="8" fillId="0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164" fontId="13" fillId="3" borderId="0" xfId="0" applyNumberFormat="1" applyFont="1" applyFill="1" applyBorder="1" applyAlignment="1">
      <alignment horizontal="center"/>
    </xf>
    <xf numFmtId="2" fontId="13" fillId="3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2" fontId="0" fillId="3" borderId="0" xfId="0" applyNumberFormat="1" applyFont="1" applyFill="1" applyBorder="1" applyAlignment="1">
      <alignment horizontal="center"/>
    </xf>
    <xf numFmtId="1" fontId="8" fillId="0" borderId="0" xfId="0" applyNumberFormat="1" applyFont="1" applyBorder="1" applyAlignment="1">
      <alignment horizontal="center"/>
    </xf>
    <xf numFmtId="165" fontId="8" fillId="0" borderId="0" xfId="0" applyNumberFormat="1" applyFont="1" applyBorder="1" applyAlignment="1">
      <alignment horizontal="center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12" xfId="0" applyFont="1" applyBorder="1" applyAlignment="1">
      <alignment horizontal="center"/>
    </xf>
    <xf numFmtId="1" fontId="0" fillId="0" borderId="0" xfId="0" applyNumberFormat="1" applyFill="1" applyBorder="1"/>
    <xf numFmtId="165" fontId="8" fillId="4" borderId="7" xfId="1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1" fontId="8" fillId="0" borderId="7" xfId="0" applyNumberFormat="1" applyFont="1" applyBorder="1" applyAlignment="1">
      <alignment horizontal="center" vertical="center"/>
    </xf>
    <xf numFmtId="164" fontId="8" fillId="3" borderId="7" xfId="0" applyNumberFormat="1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top"/>
    </xf>
    <xf numFmtId="0" fontId="14" fillId="0" borderId="0" xfId="0" applyFont="1" applyBorder="1" applyAlignment="1">
      <alignment horizontal="left"/>
    </xf>
    <xf numFmtId="0" fontId="14" fillId="0" borderId="13" xfId="0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1" fontId="19" fillId="0" borderId="7" xfId="0" applyNumberFormat="1" applyFont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164" fontId="19" fillId="0" borderId="7" xfId="0" applyNumberFormat="1" applyFont="1" applyBorder="1" applyAlignment="1">
      <alignment horizontal="center" vertical="center"/>
    </xf>
    <xf numFmtId="164" fontId="20" fillId="2" borderId="8" xfId="0" applyNumberFormat="1" applyFont="1" applyFill="1" applyBorder="1" applyAlignment="1">
      <alignment horizontal="center" vertical="center"/>
    </xf>
    <xf numFmtId="164" fontId="21" fillId="2" borderId="9" xfId="0" applyNumberFormat="1" applyFont="1" applyFill="1" applyBorder="1" applyAlignment="1">
      <alignment horizontal="center" vertical="center"/>
    </xf>
    <xf numFmtId="2" fontId="20" fillId="2" borderId="6" xfId="0" applyNumberFormat="1" applyFont="1" applyFill="1" applyBorder="1" applyAlignment="1">
      <alignment horizontal="center" vertical="center"/>
    </xf>
    <xf numFmtId="2" fontId="21" fillId="2" borderId="9" xfId="0" applyNumberFormat="1" applyFont="1" applyFill="1" applyBorder="1" applyAlignment="1">
      <alignment horizontal="center" vertical="center"/>
    </xf>
    <xf numFmtId="2" fontId="0" fillId="3" borderId="7" xfId="0" applyNumberFormat="1" applyFill="1" applyBorder="1" applyAlignment="1">
      <alignment horizontal="center" vertical="center"/>
    </xf>
    <xf numFmtId="165" fontId="19" fillId="0" borderId="7" xfId="0" applyNumberFormat="1" applyFont="1" applyBorder="1" applyAlignment="1">
      <alignment horizontal="center" vertical="center"/>
    </xf>
    <xf numFmtId="1" fontId="19" fillId="3" borderId="7" xfId="0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center" vertical="top"/>
    </xf>
    <xf numFmtId="0" fontId="19" fillId="4" borderId="7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0" fillId="0" borderId="0" xfId="0" applyNumberFormat="1"/>
    <xf numFmtId="0" fontId="24" fillId="0" borderId="0" xfId="0" applyFont="1"/>
    <xf numFmtId="0" fontId="0" fillId="0" borderId="7" xfId="0" applyBorder="1" applyAlignment="1">
      <alignment vertical="center"/>
    </xf>
    <xf numFmtId="164" fontId="8" fillId="0" borderId="7" xfId="0" applyNumberFormat="1" applyFont="1" applyFill="1" applyBorder="1" applyAlignment="1">
      <alignment horizontal="center" vertical="center"/>
    </xf>
    <xf numFmtId="164" fontId="25" fillId="2" borderId="8" xfId="0" applyNumberFormat="1" applyFont="1" applyFill="1" applyBorder="1" applyAlignment="1">
      <alignment horizontal="center" vertical="center"/>
    </xf>
    <xf numFmtId="2" fontId="25" fillId="2" borderId="6" xfId="0" applyNumberFormat="1" applyFont="1" applyFill="1" applyBorder="1" applyAlignment="1">
      <alignment horizontal="center" vertical="center"/>
    </xf>
    <xf numFmtId="0" fontId="24" fillId="0" borderId="7" xfId="0" applyNumberFormat="1" applyFont="1" applyFill="1" applyBorder="1" applyAlignment="1">
      <alignment vertical="center"/>
    </xf>
    <xf numFmtId="0" fontId="24" fillId="0" borderId="7" xfId="0" applyNumberFormat="1" applyFont="1" applyBorder="1" applyAlignment="1">
      <alignment vertical="center"/>
    </xf>
    <xf numFmtId="2" fontId="25" fillId="2" borderId="6" xfId="0" applyNumberFormat="1" applyFont="1" applyFill="1" applyBorder="1" applyAlignment="1">
      <alignment vertical="center"/>
    </xf>
    <xf numFmtId="2" fontId="21" fillId="2" borderId="9" xfId="1" applyNumberFormat="1" applyFont="1" applyFill="1" applyBorder="1" applyAlignment="1">
      <alignment horizontal="center" vertical="center"/>
    </xf>
    <xf numFmtId="2" fontId="24" fillId="3" borderId="7" xfId="0" applyNumberFormat="1" applyFont="1" applyFill="1" applyBorder="1" applyAlignment="1">
      <alignment vertical="center"/>
    </xf>
    <xf numFmtId="1" fontId="8" fillId="0" borderId="7" xfId="0" applyNumberFormat="1" applyFont="1" applyFill="1" applyBorder="1" applyAlignment="1">
      <alignment horizontal="center" vertical="center"/>
    </xf>
    <xf numFmtId="165" fontId="8" fillId="0" borderId="7" xfId="0" applyNumberFormat="1" applyFont="1" applyFill="1" applyBorder="1" applyAlignment="1">
      <alignment horizontal="center" vertical="center"/>
    </xf>
    <xf numFmtId="1" fontId="19" fillId="0" borderId="7" xfId="0" applyNumberFormat="1" applyFont="1" applyBorder="1" applyAlignment="1">
      <alignment horizontal="center"/>
    </xf>
    <xf numFmtId="1" fontId="0" fillId="0" borderId="7" xfId="0" applyNumberFormat="1" applyFill="1" applyBorder="1"/>
    <xf numFmtId="1" fontId="19" fillId="0" borderId="7" xfId="0" applyNumberFormat="1" applyFont="1" applyFill="1" applyBorder="1" applyAlignment="1">
      <alignment horizontal="center"/>
    </xf>
    <xf numFmtId="164" fontId="0" fillId="0" borderId="7" xfId="0" applyNumberFormat="1" applyBorder="1"/>
    <xf numFmtId="0" fontId="23" fillId="0" borderId="0" xfId="0" applyFont="1" applyAlignment="1">
      <alignment horizontal="center"/>
    </xf>
    <xf numFmtId="1" fontId="19" fillId="4" borderId="7" xfId="0" applyNumberFormat="1" applyFont="1" applyFill="1" applyBorder="1" applyAlignment="1">
      <alignment horizontal="center"/>
    </xf>
    <xf numFmtId="1" fontId="0" fillId="0" borderId="7" xfId="0" applyNumberForma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usernames" Target="revisions/userNames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revisionHeaders" Target="revisions/revisionHeader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revisions/_rels/revisionHeaders.xml.rels><?xml version="1.0" encoding="UTF-8" standalone="yes"?>
<Relationships xmlns="http://schemas.openxmlformats.org/package/2006/relationships"><Relationship Id="rId2229" Type="http://schemas.openxmlformats.org/officeDocument/2006/relationships/revisionLog" Target="revisionLog185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6F2E3EBB-08D9-42F3-A414-1CE7DFA17DEE}" diskRevisions="1" revisionId="18588" version="2229">
  <header guid="{6F2E3EBB-08D9-42F3-A414-1CE7DFA17DEE}" dateTime="2024-12-19T12:51:02" maxSheetId="15" userName="Zellenmontage" r:id="rId2229" minRId="18585" maxRId="18588">
    <sheetIdMap count="14">
      <sheetId val="1"/>
      <sheetId val="2"/>
      <sheetId val="3"/>
      <sheetId val="4"/>
      <sheetId val="5"/>
      <sheetId val="6"/>
      <sheetId val="7"/>
      <sheetId val="8"/>
      <sheetId val="10"/>
      <sheetId val="11"/>
      <sheetId val="12"/>
      <sheetId val="13"/>
      <sheetId val="14"/>
      <sheetId val="9"/>
    </sheetIdMap>
  </header>
</headers>
</file>

<file path=xl/revisions/revisionLog18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8585" sId="13">
    <nc r="E164">
      <v>57</v>
    </nc>
  </rcc>
  <rcc rId="18586" sId="13" numFmtId="4">
    <nc r="F164">
      <v>299</v>
    </nc>
  </rcc>
  <rcc rId="18587" sId="13" numFmtId="4">
    <nc r="H164">
      <v>1.873</v>
    </nc>
  </rcc>
  <rcc rId="18588" sId="13" numFmtId="4">
    <nc r="I164">
      <v>1.867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92"/>
  <sheetViews>
    <sheetView workbookViewId="0">
      <pane ySplit="1" topLeftCell="A176" activePane="bottomLeft" state="frozen"/>
      <selection pane="bottomLeft" activeCell="S2" sqref="S2:S11"/>
    </sheetView>
  </sheetViews>
  <sheetFormatPr baseColWidth="10" defaultRowHeight="15" x14ac:dyDescent="0.25"/>
  <cols>
    <col min="1" max="1" width="14.85546875" customWidth="1"/>
    <col min="2" max="2" width="15.7109375" customWidth="1"/>
    <col min="3" max="3" width="12" customWidth="1"/>
    <col min="4" max="4" width="7.85546875" customWidth="1"/>
    <col min="5" max="5" width="9.7109375" customWidth="1"/>
    <col min="10" max="10" width="9.140625" customWidth="1"/>
    <col min="11" max="11" width="2.140625" customWidth="1"/>
    <col min="12" max="12" width="8.85546875" customWidth="1"/>
    <col min="13" max="13" width="2.42578125" customWidth="1"/>
    <col min="14" max="14" width="11.140625" customWidth="1"/>
    <col min="15" max="15" width="7.7109375" customWidth="1"/>
    <col min="16" max="16" width="9.28515625" customWidth="1"/>
    <col min="17" max="17" width="2.28515625" customWidth="1"/>
    <col min="18" max="18" width="29" customWidth="1"/>
    <col min="19" max="19" width="40.85546875" customWidth="1"/>
    <col min="20" max="20" width="1.7109375" customWidth="1"/>
    <col min="21" max="21" width="9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32</v>
      </c>
      <c r="B2" s="28" t="s">
        <v>33</v>
      </c>
      <c r="C2" s="28">
        <v>749740</v>
      </c>
      <c r="D2" s="31">
        <v>1</v>
      </c>
      <c r="E2" s="70" t="s">
        <v>62</v>
      </c>
      <c r="F2" s="45">
        <v>1200</v>
      </c>
      <c r="G2" s="32">
        <v>1.837</v>
      </c>
      <c r="H2" s="32">
        <v>7.36</v>
      </c>
      <c r="I2" s="32">
        <v>7.33</v>
      </c>
      <c r="J2" s="33">
        <f>IF(O2&lt;&gt;"",(H2-I2)/O2,"")</f>
        <v>7.5000000000000622E-3</v>
      </c>
      <c r="K2" s="34" t="str">
        <f t="shared" ref="K2" si="0">IF(J2=0,"",IF(OR(J2&lt;0,J2&gt;0.03),"X",""))</f>
        <v/>
      </c>
      <c r="L2" s="35">
        <f>F2/(O2*P2)</f>
        <v>7.5</v>
      </c>
      <c r="M2" s="36" t="str">
        <f>IF(L2=0,"",IF(OR(L2&lt;7,L2&gt;7.8),"X",""))</f>
        <v/>
      </c>
      <c r="N2" s="37" t="s">
        <v>24</v>
      </c>
      <c r="O2" s="29">
        <v>4</v>
      </c>
      <c r="P2" s="38">
        <v>40</v>
      </c>
      <c r="Q2" s="28"/>
      <c r="R2" s="28" t="s">
        <v>38</v>
      </c>
      <c r="S2" s="71" t="s">
        <v>58</v>
      </c>
      <c r="T2" s="28"/>
      <c r="U2" s="28" t="s">
        <v>31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31">
        <v>1</v>
      </c>
      <c r="E3" s="70"/>
      <c r="F3" s="31"/>
      <c r="G3" s="32">
        <v>1.845</v>
      </c>
      <c r="H3" s="32"/>
      <c r="I3" s="32"/>
      <c r="J3" s="33" t="str">
        <f t="shared" ref="J3:J5" si="1">IF(O3&lt;&gt;"",(H3-I3)/O3,"")</f>
        <v/>
      </c>
      <c r="K3" s="34"/>
      <c r="L3" s="35"/>
      <c r="M3" s="36" t="str">
        <f t="shared" ref="M3:M5" si="2">IF(L3=0,"",IF(OR(L3&lt;7.4,L3&gt;8),"X",""))</f>
        <v/>
      </c>
      <c r="N3" s="37"/>
      <c r="O3" s="29"/>
      <c r="P3" s="38"/>
      <c r="Q3" s="28"/>
      <c r="R3" s="28" t="s">
        <v>39</v>
      </c>
      <c r="S3" s="71" t="s">
        <v>59</v>
      </c>
      <c r="T3" s="28"/>
      <c r="U3" s="28" t="s">
        <v>31</v>
      </c>
    </row>
    <row r="4" spans="1:54" s="27" customFormat="1" x14ac:dyDescent="0.25">
      <c r="A4" s="28" t="s">
        <v>21</v>
      </c>
      <c r="B4" s="28" t="s">
        <v>21</v>
      </c>
      <c r="C4" s="28" t="s">
        <v>21</v>
      </c>
      <c r="D4" s="31">
        <v>1</v>
      </c>
      <c r="E4" s="70"/>
      <c r="F4" s="31"/>
      <c r="G4" s="32">
        <v>1.837</v>
      </c>
      <c r="H4" s="32"/>
      <c r="I4" s="32"/>
      <c r="J4" s="33" t="str">
        <f t="shared" si="1"/>
        <v/>
      </c>
      <c r="K4" s="34"/>
      <c r="L4" s="35"/>
      <c r="M4" s="36" t="str">
        <f t="shared" si="2"/>
        <v/>
      </c>
      <c r="N4" s="37"/>
      <c r="O4" s="29"/>
      <c r="P4" s="38"/>
      <c r="Q4" s="28"/>
      <c r="R4" s="28" t="s">
        <v>40</v>
      </c>
      <c r="S4" s="28" t="s">
        <v>21</v>
      </c>
      <c r="T4" s="28"/>
      <c r="U4" s="28" t="s">
        <v>31</v>
      </c>
    </row>
    <row r="5" spans="1:54" s="27" customFormat="1" x14ac:dyDescent="0.25">
      <c r="A5" s="28" t="s">
        <v>21</v>
      </c>
      <c r="B5" s="28" t="s">
        <v>21</v>
      </c>
      <c r="C5" s="28" t="s">
        <v>21</v>
      </c>
      <c r="D5" s="31">
        <v>1</v>
      </c>
      <c r="E5" s="70"/>
      <c r="F5" s="31"/>
      <c r="G5" s="32">
        <v>1.8380000000000001</v>
      </c>
      <c r="H5" s="32"/>
      <c r="I5" s="32"/>
      <c r="J5" s="33" t="str">
        <f t="shared" si="1"/>
        <v/>
      </c>
      <c r="K5" s="34"/>
      <c r="L5" s="35"/>
      <c r="M5" s="36" t="str">
        <f t="shared" si="2"/>
        <v/>
      </c>
      <c r="N5" s="37"/>
      <c r="O5" s="29"/>
      <c r="P5" s="38"/>
      <c r="Q5" s="28"/>
      <c r="R5" s="28" t="s">
        <v>42</v>
      </c>
      <c r="S5" s="28" t="s">
        <v>21</v>
      </c>
      <c r="T5" s="28"/>
      <c r="U5" s="28" t="s">
        <v>31</v>
      </c>
    </row>
    <row r="6" spans="1:54" s="27" customFormat="1" x14ac:dyDescent="0.25">
      <c r="A6" s="28" t="s">
        <v>21</v>
      </c>
      <c r="B6" s="28" t="s">
        <v>34</v>
      </c>
      <c r="C6" s="28" t="s">
        <v>21</v>
      </c>
      <c r="D6" s="31">
        <v>1</v>
      </c>
      <c r="E6" s="70" t="s">
        <v>61</v>
      </c>
      <c r="F6" s="45">
        <v>1199</v>
      </c>
      <c r="G6" s="32">
        <v>1.8440000000000001</v>
      </c>
      <c r="H6" s="32">
        <v>7.36</v>
      </c>
      <c r="I6" s="32">
        <v>7.34</v>
      </c>
      <c r="J6" s="33">
        <f>IF(O6&lt;&gt;"",(H6-I6)/O6,"")</f>
        <v>5.0000000000001155E-3</v>
      </c>
      <c r="K6" s="34" t="str">
        <f t="shared" ref="K6" si="3">IF(J6=0,"",IF(OR(J6&lt;0,J6&gt;0.03),"X",""))</f>
        <v/>
      </c>
      <c r="L6" s="35">
        <f>F6/(O6*P6)</f>
        <v>7.4937500000000004</v>
      </c>
      <c r="M6" s="36" t="str">
        <f>IF(L6=0,"",IF(OR(L6&lt;7,L6&gt;7.8),"X",""))</f>
        <v/>
      </c>
      <c r="N6" s="37" t="s">
        <v>24</v>
      </c>
      <c r="O6" s="29">
        <v>4</v>
      </c>
      <c r="P6" s="38">
        <v>40</v>
      </c>
      <c r="Q6" s="28"/>
      <c r="R6" s="28" t="s">
        <v>41</v>
      </c>
      <c r="S6" s="28" t="s">
        <v>21</v>
      </c>
      <c r="T6" s="28"/>
      <c r="U6" s="28" t="s">
        <v>31</v>
      </c>
    </row>
    <row r="7" spans="1:54" s="27" customFormat="1" x14ac:dyDescent="0.25">
      <c r="A7" s="28" t="s">
        <v>21</v>
      </c>
      <c r="B7" s="28" t="s">
        <v>21</v>
      </c>
      <c r="C7" s="28" t="s">
        <v>21</v>
      </c>
      <c r="D7" s="31">
        <v>1</v>
      </c>
      <c r="E7" s="70"/>
      <c r="F7" s="31"/>
      <c r="G7" s="32">
        <v>1.8380000000000001</v>
      </c>
      <c r="H7" s="32"/>
      <c r="I7" s="32"/>
      <c r="J7" s="33" t="str">
        <f t="shared" ref="J7:J9" si="4">IF(O7&lt;&gt;"",(H7-I7)/O7,"")</f>
        <v/>
      </c>
      <c r="K7" s="34"/>
      <c r="L7" s="35"/>
      <c r="M7" s="36" t="str">
        <f t="shared" ref="M7:M9" si="5">IF(L7=0,"",IF(OR(L7&lt;7.4,L7&gt;8),"X",""))</f>
        <v/>
      </c>
      <c r="N7" s="37"/>
      <c r="O7" s="29"/>
      <c r="P7" s="38"/>
      <c r="Q7" s="28"/>
      <c r="R7" s="28" t="s">
        <v>43</v>
      </c>
      <c r="S7" s="28" t="s">
        <v>21</v>
      </c>
      <c r="T7" s="28"/>
      <c r="U7" s="28" t="s">
        <v>31</v>
      </c>
    </row>
    <row r="8" spans="1:54" s="27" customFormat="1" x14ac:dyDescent="0.25">
      <c r="A8" s="28" t="s">
        <v>21</v>
      </c>
      <c r="B8" s="28" t="s">
        <v>21</v>
      </c>
      <c r="C8" s="28" t="s">
        <v>21</v>
      </c>
      <c r="D8" s="31">
        <v>1</v>
      </c>
      <c r="E8" s="70"/>
      <c r="F8" s="31"/>
      <c r="G8" s="32">
        <v>1.8440000000000001</v>
      </c>
      <c r="H8" s="32"/>
      <c r="I8" s="32"/>
      <c r="J8" s="33" t="str">
        <f t="shared" si="4"/>
        <v/>
      </c>
      <c r="K8" s="34"/>
      <c r="L8" s="35"/>
      <c r="M8" s="36" t="str">
        <f t="shared" si="5"/>
        <v/>
      </c>
      <c r="N8" s="37"/>
      <c r="O8" s="29"/>
      <c r="P8" s="38"/>
      <c r="Q8" s="28"/>
      <c r="R8" s="28" t="s">
        <v>45</v>
      </c>
      <c r="S8" s="28" t="s">
        <v>21</v>
      </c>
      <c r="T8" s="28"/>
      <c r="U8" s="28" t="s">
        <v>31</v>
      </c>
    </row>
    <row r="9" spans="1:54" s="27" customFormat="1" ht="15.75" customHeight="1" x14ac:dyDescent="0.25">
      <c r="A9" s="28" t="s">
        <v>21</v>
      </c>
      <c r="B9" s="28" t="s">
        <v>21</v>
      </c>
      <c r="C9" s="28" t="s">
        <v>21</v>
      </c>
      <c r="D9" s="31">
        <v>1</v>
      </c>
      <c r="E9" s="70"/>
      <c r="F9" s="31"/>
      <c r="G9" s="32">
        <v>1.8380000000000001</v>
      </c>
      <c r="H9" s="32"/>
      <c r="I9" s="32"/>
      <c r="J9" s="33" t="str">
        <f t="shared" si="4"/>
        <v/>
      </c>
      <c r="K9" s="34"/>
      <c r="L9" s="35"/>
      <c r="M9" s="36" t="str">
        <f t="shared" si="5"/>
        <v/>
      </c>
      <c r="N9" s="37"/>
      <c r="O9" s="29"/>
      <c r="P9" s="38"/>
      <c r="Q9" s="28"/>
      <c r="R9" s="28" t="s">
        <v>46</v>
      </c>
      <c r="S9" s="28" t="s">
        <v>21</v>
      </c>
      <c r="T9" s="28"/>
      <c r="U9" s="28" t="s">
        <v>31</v>
      </c>
    </row>
    <row r="10" spans="1:54" s="27" customFormat="1" x14ac:dyDescent="0.25">
      <c r="A10" s="28" t="s">
        <v>21</v>
      </c>
      <c r="B10" s="28" t="s">
        <v>35</v>
      </c>
      <c r="C10" s="28" t="s">
        <v>21</v>
      </c>
      <c r="D10" s="31">
        <v>1</v>
      </c>
      <c r="E10" s="70" t="s">
        <v>60</v>
      </c>
      <c r="F10" s="45">
        <v>1199</v>
      </c>
      <c r="G10" s="32">
        <v>1.841</v>
      </c>
      <c r="H10" s="32">
        <v>7.36</v>
      </c>
      <c r="I10" s="32">
        <v>7.34</v>
      </c>
      <c r="J10" s="33">
        <f>IF(O10&lt;&gt;"",(H10-I10)/O10,"")</f>
        <v>5.0000000000001155E-3</v>
      </c>
      <c r="K10" s="34" t="str">
        <f t="shared" ref="K10" si="6">IF(J10=0,"",IF(OR(J10&lt;0,J10&gt;0.03),"X",""))</f>
        <v/>
      </c>
      <c r="L10" s="35">
        <f>F10/(O10*P10)</f>
        <v>7.4937500000000004</v>
      </c>
      <c r="M10" s="36" t="str">
        <f>IF(L10=0,"",IF(OR(L10&lt;7,L10&gt;7.8),"X",""))</f>
        <v/>
      </c>
      <c r="N10" s="37" t="s">
        <v>24</v>
      </c>
      <c r="O10" s="29">
        <v>4</v>
      </c>
      <c r="P10" s="38">
        <v>40</v>
      </c>
      <c r="Q10" s="28"/>
      <c r="R10" s="28" t="s">
        <v>48</v>
      </c>
      <c r="S10" s="28" t="s">
        <v>21</v>
      </c>
      <c r="T10" s="28"/>
      <c r="U10" s="28" t="s">
        <v>31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31">
        <v>1</v>
      </c>
      <c r="E11" s="70"/>
      <c r="F11" s="31"/>
      <c r="G11" s="32">
        <v>1.8380000000000001</v>
      </c>
      <c r="H11" s="32"/>
      <c r="I11" s="32"/>
      <c r="J11" s="33" t="str">
        <f t="shared" ref="J11:J13" si="7">IF(O11&lt;&gt;"",(H11-I11)/O11,"")</f>
        <v/>
      </c>
      <c r="K11" s="34"/>
      <c r="L11" s="35"/>
      <c r="M11" s="36" t="str">
        <f t="shared" ref="M11:M13" si="8">IF(L11=0,"",IF(OR(L11&lt;7.4,L11&gt;8),"X",""))</f>
        <v/>
      </c>
      <c r="N11" s="37"/>
      <c r="O11" s="29"/>
      <c r="P11" s="38"/>
      <c r="Q11" s="28"/>
      <c r="R11" s="28" t="s">
        <v>47</v>
      </c>
      <c r="S11" s="28" t="s">
        <v>21</v>
      </c>
      <c r="T11" s="28"/>
      <c r="U11" s="28" t="s">
        <v>31</v>
      </c>
    </row>
    <row r="12" spans="1:54" s="27" customFormat="1" x14ac:dyDescent="0.25">
      <c r="A12" s="28" t="s">
        <v>21</v>
      </c>
      <c r="B12" s="28" t="s">
        <v>21</v>
      </c>
      <c r="C12" s="28" t="s">
        <v>21</v>
      </c>
      <c r="D12" s="31">
        <v>1</v>
      </c>
      <c r="E12" s="70"/>
      <c r="F12" s="31"/>
      <c r="G12" s="32">
        <v>1.8460000000000001</v>
      </c>
      <c r="H12" s="32"/>
      <c r="I12" s="32"/>
      <c r="J12" s="33" t="str">
        <f t="shared" si="7"/>
        <v/>
      </c>
      <c r="K12" s="34"/>
      <c r="L12" s="35"/>
      <c r="M12" s="36" t="str">
        <f t="shared" si="8"/>
        <v/>
      </c>
      <c r="N12" s="37"/>
      <c r="O12" s="29"/>
      <c r="P12" s="38"/>
      <c r="Q12" s="28"/>
      <c r="R12" s="28" t="s">
        <v>44</v>
      </c>
      <c r="S12" s="28" t="s">
        <v>21</v>
      </c>
      <c r="T12" s="28"/>
      <c r="U12" s="28" t="s">
        <v>31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31">
        <v>1</v>
      </c>
      <c r="E13" s="70"/>
      <c r="F13" s="31"/>
      <c r="G13" s="32">
        <v>1.837</v>
      </c>
      <c r="H13" s="32"/>
      <c r="I13" s="32"/>
      <c r="J13" s="33" t="str">
        <f t="shared" si="7"/>
        <v/>
      </c>
      <c r="K13" s="34"/>
      <c r="L13" s="35"/>
      <c r="M13" s="36" t="str">
        <f t="shared" si="8"/>
        <v/>
      </c>
      <c r="N13" s="37"/>
      <c r="O13" s="29"/>
      <c r="P13" s="38"/>
      <c r="Q13" s="28"/>
      <c r="R13" s="28" t="s">
        <v>49</v>
      </c>
      <c r="S13" s="28" t="s">
        <v>21</v>
      </c>
      <c r="T13" s="28"/>
      <c r="U13" s="28" t="s">
        <v>31</v>
      </c>
    </row>
    <row r="14" spans="1:54" s="27" customFormat="1" x14ac:dyDescent="0.25">
      <c r="A14" s="28" t="s">
        <v>21</v>
      </c>
      <c r="B14" s="28" t="s">
        <v>36</v>
      </c>
      <c r="C14" s="28" t="s">
        <v>21</v>
      </c>
      <c r="D14" s="31">
        <v>1</v>
      </c>
      <c r="E14" s="30" t="s">
        <v>64</v>
      </c>
      <c r="F14" s="45">
        <v>1200</v>
      </c>
      <c r="G14" s="32">
        <v>1.827</v>
      </c>
      <c r="H14" s="32">
        <v>7.33</v>
      </c>
      <c r="I14" s="32">
        <v>7.3</v>
      </c>
      <c r="J14" s="33">
        <f>IF(O14&lt;&gt;"",(H14-I14)/O14,"")</f>
        <v>7.5000000000000622E-3</v>
      </c>
      <c r="K14" s="34" t="str">
        <f t="shared" ref="K14" si="9">IF(J14=0,"",IF(OR(J14&lt;0,J14&gt;0.03),"X",""))</f>
        <v/>
      </c>
      <c r="L14" s="35">
        <f>F14/(O14*P14)</f>
        <v>7.5</v>
      </c>
      <c r="M14" s="36" t="str">
        <f>IF(L14=0,"",IF(OR(L14&lt;7,L14&gt;7.8),"X",""))</f>
        <v/>
      </c>
      <c r="N14" s="37" t="s">
        <v>24</v>
      </c>
      <c r="O14" s="29">
        <v>4</v>
      </c>
      <c r="P14" s="38">
        <v>40</v>
      </c>
      <c r="Q14" s="28"/>
      <c r="R14" s="28" t="s">
        <v>51</v>
      </c>
      <c r="S14" s="47"/>
      <c r="T14" s="28"/>
      <c r="U14" s="28" t="s">
        <v>31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1</v>
      </c>
      <c r="E15" s="30"/>
      <c r="F15" s="31"/>
      <c r="G15" s="32">
        <v>1.831</v>
      </c>
      <c r="H15" s="32"/>
      <c r="I15" s="32"/>
      <c r="J15" s="33" t="str">
        <f t="shared" ref="J15:J17" si="10">IF(O15&lt;&gt;"",(H15-I15)/O15,"")</f>
        <v/>
      </c>
      <c r="K15" s="34"/>
      <c r="L15" s="35"/>
      <c r="M15" s="36" t="str">
        <f t="shared" ref="M15:M17" si="11">IF(L15=0,"",IF(OR(L15&lt;7.4,L15&gt;8),"X",""))</f>
        <v/>
      </c>
      <c r="N15" s="37"/>
      <c r="O15" s="29"/>
      <c r="P15" s="38"/>
      <c r="Q15" s="28"/>
      <c r="R15" s="28" t="s">
        <v>50</v>
      </c>
      <c r="S15" s="47"/>
      <c r="T15" s="28"/>
      <c r="U15" s="28" t="s">
        <v>31</v>
      </c>
    </row>
    <row r="16" spans="1:54" s="27" customFormat="1" x14ac:dyDescent="0.25">
      <c r="A16" s="28" t="s">
        <v>21</v>
      </c>
      <c r="B16" s="28" t="s">
        <v>21</v>
      </c>
      <c r="C16" s="28">
        <v>698353</v>
      </c>
      <c r="D16" s="31">
        <v>1</v>
      </c>
      <c r="E16" s="30"/>
      <c r="F16" s="31"/>
      <c r="G16" s="32">
        <v>1.8320000000000001</v>
      </c>
      <c r="H16" s="32"/>
      <c r="I16" s="32"/>
      <c r="J16" s="33" t="str">
        <f t="shared" si="10"/>
        <v/>
      </c>
      <c r="K16" s="34"/>
      <c r="L16" s="35"/>
      <c r="M16" s="36" t="str">
        <f t="shared" si="11"/>
        <v/>
      </c>
      <c r="N16" s="37"/>
      <c r="O16" s="29"/>
      <c r="P16" s="38"/>
      <c r="Q16" s="28"/>
      <c r="R16" s="28" t="s">
        <v>52</v>
      </c>
      <c r="S16" s="47"/>
      <c r="T16" s="28"/>
      <c r="U16" s="28" t="s">
        <v>31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31">
        <v>1</v>
      </c>
      <c r="E17" s="30"/>
      <c r="F17" s="31"/>
      <c r="G17" s="32">
        <v>1.8360000000000001</v>
      </c>
      <c r="H17" s="32"/>
      <c r="I17" s="32"/>
      <c r="J17" s="33" t="str">
        <f t="shared" si="10"/>
        <v/>
      </c>
      <c r="K17" s="34"/>
      <c r="L17" s="35"/>
      <c r="M17" s="36" t="str">
        <f t="shared" si="11"/>
        <v/>
      </c>
      <c r="N17" s="37"/>
      <c r="O17" s="29"/>
      <c r="P17" s="38"/>
      <c r="Q17" s="28"/>
      <c r="R17" s="28" t="s">
        <v>53</v>
      </c>
      <c r="S17" s="47"/>
      <c r="T17" s="28"/>
      <c r="U17" s="28" t="s">
        <v>31</v>
      </c>
    </row>
    <row r="18" spans="1:21" s="27" customFormat="1" x14ac:dyDescent="0.25">
      <c r="A18" s="28" t="s">
        <v>21</v>
      </c>
      <c r="B18" s="28" t="s">
        <v>37</v>
      </c>
      <c r="C18" s="28" t="s">
        <v>21</v>
      </c>
      <c r="D18" s="31">
        <v>1</v>
      </c>
      <c r="E18" s="30" t="s">
        <v>63</v>
      </c>
      <c r="F18" s="45">
        <v>1199</v>
      </c>
      <c r="G18" s="32">
        <v>1.8360000000000001</v>
      </c>
      <c r="H18" s="32">
        <v>7.35</v>
      </c>
      <c r="I18" s="32">
        <v>7.32</v>
      </c>
      <c r="J18" s="33">
        <f>IF(O18&lt;&gt;"",(H18-I18)/O18,"")</f>
        <v>7.4999999999998401E-3</v>
      </c>
      <c r="K18" s="34" t="str">
        <f t="shared" ref="K18" si="12">IF(J18=0,"",IF(OR(J18&lt;0,J18&gt;0.03),"X",""))</f>
        <v/>
      </c>
      <c r="L18" s="35">
        <f>F18/(O18*P18)</f>
        <v>7.4937500000000004</v>
      </c>
      <c r="M18" s="36" t="str">
        <f>IF(L18=0,"",IF(OR(L18&lt;7,L18&gt;7.8),"X",""))</f>
        <v/>
      </c>
      <c r="N18" s="37" t="s">
        <v>24</v>
      </c>
      <c r="O18" s="29">
        <v>4</v>
      </c>
      <c r="P18" s="38">
        <v>40</v>
      </c>
      <c r="Q18" s="28"/>
      <c r="R18" s="28" t="s">
        <v>54</v>
      </c>
      <c r="S18" s="47"/>
      <c r="T18" s="28"/>
      <c r="U18" s="28" t="s">
        <v>31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31">
        <v>1</v>
      </c>
      <c r="E19" s="30"/>
      <c r="F19" s="31"/>
      <c r="G19" s="32">
        <v>1.835</v>
      </c>
      <c r="H19" s="32"/>
      <c r="I19" s="32"/>
      <c r="J19" s="33" t="str">
        <f t="shared" ref="J19:J21" si="13">IF(O19&lt;&gt;"",(H19-I19)/O19,"")</f>
        <v/>
      </c>
      <c r="K19" s="34"/>
      <c r="L19" s="35"/>
      <c r="M19" s="36" t="str">
        <f t="shared" ref="M19:M21" si="14">IF(L19=0,"",IF(OR(L19&lt;7.4,L19&gt;8),"X",""))</f>
        <v/>
      </c>
      <c r="N19" s="37"/>
      <c r="O19" s="29"/>
      <c r="P19" s="38"/>
      <c r="Q19" s="28"/>
      <c r="R19" s="28" t="s">
        <v>55</v>
      </c>
      <c r="S19" s="47"/>
      <c r="T19" s="28"/>
      <c r="U19" s="28" t="s">
        <v>31</v>
      </c>
    </row>
    <row r="20" spans="1:21" s="27" customFormat="1" x14ac:dyDescent="0.25">
      <c r="A20" s="28" t="s">
        <v>21</v>
      </c>
      <c r="B20" s="28" t="s">
        <v>21</v>
      </c>
      <c r="C20" s="28" t="s">
        <v>21</v>
      </c>
      <c r="D20" s="31">
        <v>1</v>
      </c>
      <c r="E20" s="30"/>
      <c r="F20" s="31"/>
      <c r="G20" s="32">
        <v>1.8420000000000001</v>
      </c>
      <c r="H20" s="32"/>
      <c r="I20" s="32"/>
      <c r="J20" s="33" t="str">
        <f t="shared" si="13"/>
        <v/>
      </c>
      <c r="K20" s="34"/>
      <c r="L20" s="35"/>
      <c r="M20" s="36" t="str">
        <f t="shared" si="14"/>
        <v/>
      </c>
      <c r="N20" s="37"/>
      <c r="O20" s="29"/>
      <c r="P20" s="38"/>
      <c r="Q20" s="28"/>
      <c r="R20" s="28" t="s">
        <v>56</v>
      </c>
      <c r="S20" s="47"/>
      <c r="T20" s="28"/>
      <c r="U20" s="28" t="s">
        <v>31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31">
        <v>1</v>
      </c>
      <c r="E21" s="30"/>
      <c r="F21" s="31"/>
      <c r="G21" s="32">
        <v>1.8340000000000001</v>
      </c>
      <c r="H21" s="32"/>
      <c r="I21" s="32"/>
      <c r="J21" s="33" t="str">
        <f t="shared" si="13"/>
        <v/>
      </c>
      <c r="K21" s="34"/>
      <c r="L21" s="35"/>
      <c r="M21" s="36" t="str">
        <f t="shared" si="14"/>
        <v/>
      </c>
      <c r="N21" s="37"/>
      <c r="O21" s="29"/>
      <c r="P21" s="38"/>
      <c r="Q21" s="28"/>
      <c r="R21" s="28" t="s">
        <v>57</v>
      </c>
      <c r="S21" s="47"/>
      <c r="T21" s="28"/>
      <c r="U21" s="28" t="s">
        <v>31</v>
      </c>
    </row>
    <row r="22" spans="1:21" s="27" customFormat="1" x14ac:dyDescent="0.25">
      <c r="A22" s="28" t="s">
        <v>65</v>
      </c>
      <c r="B22" s="44" t="s">
        <v>66</v>
      </c>
      <c r="C22" s="28">
        <v>698353</v>
      </c>
      <c r="D22" s="31">
        <v>1</v>
      </c>
      <c r="E22" s="70" t="s">
        <v>104</v>
      </c>
      <c r="F22" s="45">
        <v>301</v>
      </c>
      <c r="G22" s="32"/>
      <c r="H22" s="32">
        <v>1.86</v>
      </c>
      <c r="I22" s="32">
        <v>1.8540000000000001</v>
      </c>
      <c r="J22" s="33">
        <f t="shared" ref="J22:J47" si="15">IF(O22&lt;&gt;"",(H22-I22)/O22,"")</f>
        <v>6.0000000000000053E-3</v>
      </c>
      <c r="K22" s="34" t="str">
        <f t="shared" ref="K22:K85" si="16">IF(J22=0,"",IF(OR(J22&lt;0,J22&gt;0.03),"X",""))</f>
        <v/>
      </c>
      <c r="L22" s="35">
        <f t="shared" ref="L22:L47" si="17">F22/(O22*P22)</f>
        <v>7.5250000000000004</v>
      </c>
      <c r="M22" s="36" t="str">
        <f t="shared" ref="M22:M47" si="18">IF(L22=0,"",IF(OR(L22&lt;7,L22&gt;7.8),"X",""))</f>
        <v/>
      </c>
      <c r="N22" s="37" t="s">
        <v>18</v>
      </c>
      <c r="O22" s="29">
        <v>1</v>
      </c>
      <c r="P22" s="38">
        <v>40</v>
      </c>
      <c r="Q22" s="46"/>
      <c r="R22" s="28" t="s">
        <v>67</v>
      </c>
      <c r="S22" s="71" t="s">
        <v>103</v>
      </c>
      <c r="T22" s="46"/>
      <c r="U22" s="28" t="s">
        <v>31</v>
      </c>
    </row>
    <row r="23" spans="1:21" s="27" customFormat="1" x14ac:dyDescent="0.25">
      <c r="A23" s="28" t="s">
        <v>68</v>
      </c>
      <c r="B23" s="28" t="s">
        <v>69</v>
      </c>
      <c r="C23" s="28">
        <v>698353</v>
      </c>
      <c r="D23" s="31">
        <v>1</v>
      </c>
      <c r="E23" s="70" t="s">
        <v>111</v>
      </c>
      <c r="F23" s="45">
        <v>299</v>
      </c>
      <c r="G23" s="32"/>
      <c r="H23" s="32">
        <v>1.8680000000000001</v>
      </c>
      <c r="I23" s="32">
        <v>1.8620000000000001</v>
      </c>
      <c r="J23" s="33">
        <f t="shared" si="15"/>
        <v>6.0000000000000053E-3</v>
      </c>
      <c r="K23" s="34" t="str">
        <f t="shared" si="16"/>
        <v/>
      </c>
      <c r="L23" s="35">
        <f t="shared" si="17"/>
        <v>7.4749999999999996</v>
      </c>
      <c r="M23" s="36" t="str">
        <f t="shared" si="18"/>
        <v/>
      </c>
      <c r="N23" s="37" t="s">
        <v>18</v>
      </c>
      <c r="O23" s="29">
        <v>1</v>
      </c>
      <c r="P23" s="38">
        <v>40</v>
      </c>
      <c r="Q23" s="46"/>
      <c r="R23" s="28" t="s">
        <v>95</v>
      </c>
      <c r="S23" s="71" t="s">
        <v>59</v>
      </c>
      <c r="T23" s="46"/>
      <c r="U23" s="28" t="s">
        <v>31</v>
      </c>
    </row>
    <row r="24" spans="1:21" s="27" customFormat="1" x14ac:dyDescent="0.25">
      <c r="A24" s="28" t="s">
        <v>21</v>
      </c>
      <c r="B24" s="28" t="s">
        <v>70</v>
      </c>
      <c r="C24" s="28" t="s">
        <v>21</v>
      </c>
      <c r="D24" s="31">
        <v>1</v>
      </c>
      <c r="E24" s="70" t="s">
        <v>110</v>
      </c>
      <c r="F24" s="45">
        <v>299</v>
      </c>
      <c r="G24" s="32"/>
      <c r="H24" s="32">
        <v>1.871</v>
      </c>
      <c r="I24" s="32">
        <v>1.865</v>
      </c>
      <c r="J24" s="33">
        <f t="shared" si="15"/>
        <v>6.0000000000000053E-3</v>
      </c>
      <c r="K24" s="34" t="str">
        <f t="shared" si="16"/>
        <v/>
      </c>
      <c r="L24" s="35">
        <f t="shared" si="17"/>
        <v>7.4749999999999996</v>
      </c>
      <c r="M24" s="36" t="str">
        <f t="shared" si="18"/>
        <v/>
      </c>
      <c r="N24" s="37" t="s">
        <v>18</v>
      </c>
      <c r="O24" s="29">
        <v>1</v>
      </c>
      <c r="P24" s="38">
        <v>40</v>
      </c>
      <c r="Q24" s="46"/>
      <c r="R24" s="28" t="s">
        <v>96</v>
      </c>
      <c r="S24" s="28" t="s">
        <v>21</v>
      </c>
      <c r="T24" s="46"/>
      <c r="U24" s="28" t="s">
        <v>31</v>
      </c>
    </row>
    <row r="25" spans="1:21" s="27" customFormat="1" x14ac:dyDescent="0.25">
      <c r="A25" s="28" t="s">
        <v>21</v>
      </c>
      <c r="B25" s="28" t="s">
        <v>71</v>
      </c>
      <c r="C25" s="28" t="s">
        <v>21</v>
      </c>
      <c r="D25" s="31">
        <v>1</v>
      </c>
      <c r="E25" s="70" t="s">
        <v>108</v>
      </c>
      <c r="F25" s="45">
        <v>298</v>
      </c>
      <c r="G25" s="32"/>
      <c r="H25" s="32">
        <v>1.8819999999999999</v>
      </c>
      <c r="I25" s="32">
        <v>1.8759999999999999</v>
      </c>
      <c r="J25" s="33">
        <f t="shared" si="15"/>
        <v>6.0000000000000053E-3</v>
      </c>
      <c r="K25" s="34" t="str">
        <f t="shared" si="16"/>
        <v/>
      </c>
      <c r="L25" s="35">
        <f t="shared" si="17"/>
        <v>7.45</v>
      </c>
      <c r="M25" s="36" t="str">
        <f t="shared" si="18"/>
        <v/>
      </c>
      <c r="N25" s="37" t="s">
        <v>18</v>
      </c>
      <c r="O25" s="29">
        <v>1</v>
      </c>
      <c r="P25" s="38">
        <v>40</v>
      </c>
      <c r="Q25" s="46"/>
      <c r="R25" s="28" t="s">
        <v>97</v>
      </c>
      <c r="S25" s="28" t="s">
        <v>21</v>
      </c>
      <c r="T25" s="46"/>
      <c r="U25" s="28" t="s">
        <v>31</v>
      </c>
    </row>
    <row r="26" spans="1:21" s="27" customFormat="1" x14ac:dyDescent="0.25">
      <c r="A26" s="28" t="s">
        <v>21</v>
      </c>
      <c r="B26" s="28" t="s">
        <v>72</v>
      </c>
      <c r="C26" s="28" t="s">
        <v>21</v>
      </c>
      <c r="D26" s="31">
        <v>1</v>
      </c>
      <c r="E26" s="70" t="s">
        <v>110</v>
      </c>
      <c r="F26" s="45">
        <v>300</v>
      </c>
      <c r="G26" s="32"/>
      <c r="H26" s="32">
        <v>1.865</v>
      </c>
      <c r="I26" s="32">
        <v>1.859</v>
      </c>
      <c r="J26" s="33">
        <f t="shared" si="15"/>
        <v>6.0000000000000053E-3</v>
      </c>
      <c r="K26" s="34" t="str">
        <f t="shared" si="16"/>
        <v/>
      </c>
      <c r="L26" s="35">
        <f t="shared" si="17"/>
        <v>7.5</v>
      </c>
      <c r="M26" s="36" t="str">
        <f t="shared" si="18"/>
        <v/>
      </c>
      <c r="N26" s="37" t="s">
        <v>18</v>
      </c>
      <c r="O26" s="29">
        <v>1</v>
      </c>
      <c r="P26" s="38">
        <v>40</v>
      </c>
      <c r="Q26" s="46"/>
      <c r="R26" s="28" t="s">
        <v>96</v>
      </c>
      <c r="S26" s="28" t="s">
        <v>21</v>
      </c>
      <c r="T26" s="46"/>
      <c r="U26" s="28" t="s">
        <v>31</v>
      </c>
    </row>
    <row r="27" spans="1:21" s="27" customFormat="1" x14ac:dyDescent="0.25">
      <c r="A27" s="28" t="s">
        <v>21</v>
      </c>
      <c r="B27" s="28" t="s">
        <v>73</v>
      </c>
      <c r="C27" s="28" t="s">
        <v>21</v>
      </c>
      <c r="D27" s="31">
        <v>1</v>
      </c>
      <c r="E27" s="70" t="s">
        <v>110</v>
      </c>
      <c r="F27" s="45">
        <v>300</v>
      </c>
      <c r="G27" s="32"/>
      <c r="H27" s="32">
        <v>1.8640000000000001</v>
      </c>
      <c r="I27" s="32">
        <v>1.857</v>
      </c>
      <c r="J27" s="33">
        <f t="shared" si="15"/>
        <v>7.0000000000001172E-3</v>
      </c>
      <c r="K27" s="34" t="str">
        <f t="shared" si="16"/>
        <v/>
      </c>
      <c r="L27" s="35">
        <f t="shared" si="17"/>
        <v>7.5</v>
      </c>
      <c r="M27" s="36" t="str">
        <f t="shared" si="18"/>
        <v/>
      </c>
      <c r="N27" s="37" t="s">
        <v>18</v>
      </c>
      <c r="O27" s="29">
        <v>1</v>
      </c>
      <c r="P27" s="38">
        <v>40</v>
      </c>
      <c r="Q27" s="46"/>
      <c r="R27" s="28" t="s">
        <v>94</v>
      </c>
      <c r="S27" s="28" t="s">
        <v>21</v>
      </c>
      <c r="T27" s="46"/>
      <c r="U27" s="28" t="s">
        <v>31</v>
      </c>
    </row>
    <row r="28" spans="1:21" s="27" customFormat="1" x14ac:dyDescent="0.25">
      <c r="A28" s="28" t="s">
        <v>21</v>
      </c>
      <c r="B28" s="28" t="s">
        <v>74</v>
      </c>
      <c r="C28" s="28" t="s">
        <v>21</v>
      </c>
      <c r="D28" s="31">
        <v>1</v>
      </c>
      <c r="E28" s="70" t="s">
        <v>109</v>
      </c>
      <c r="F28" s="45">
        <v>299</v>
      </c>
      <c r="G28" s="32"/>
      <c r="H28" s="32">
        <v>1.8740000000000001</v>
      </c>
      <c r="I28" s="32">
        <v>1.8680000000000001</v>
      </c>
      <c r="J28" s="33">
        <f t="shared" si="15"/>
        <v>6.0000000000000053E-3</v>
      </c>
      <c r="K28" s="34" t="str">
        <f t="shared" si="16"/>
        <v/>
      </c>
      <c r="L28" s="35">
        <f t="shared" si="17"/>
        <v>7.4749999999999996</v>
      </c>
      <c r="M28" s="36" t="str">
        <f t="shared" si="18"/>
        <v/>
      </c>
      <c r="N28" s="37" t="s">
        <v>18</v>
      </c>
      <c r="O28" s="29">
        <v>1</v>
      </c>
      <c r="P28" s="38">
        <v>40</v>
      </c>
      <c r="Q28" s="46"/>
      <c r="R28" s="28" t="s">
        <v>98</v>
      </c>
      <c r="S28" s="28" t="s">
        <v>21</v>
      </c>
      <c r="T28" s="46"/>
      <c r="U28" s="28" t="s">
        <v>31</v>
      </c>
    </row>
    <row r="29" spans="1:21" s="27" customFormat="1" x14ac:dyDescent="0.25">
      <c r="A29" s="28" t="s">
        <v>21</v>
      </c>
      <c r="B29" s="28" t="s">
        <v>75</v>
      </c>
      <c r="C29" s="28" t="s">
        <v>21</v>
      </c>
      <c r="D29" s="31">
        <v>1</v>
      </c>
      <c r="E29" s="70" t="s">
        <v>108</v>
      </c>
      <c r="F29" s="45">
        <v>301</v>
      </c>
      <c r="G29" s="32"/>
      <c r="H29" s="32">
        <v>1.8620000000000001</v>
      </c>
      <c r="I29" s="32">
        <v>1.855</v>
      </c>
      <c r="J29" s="33">
        <f t="shared" si="15"/>
        <v>7.0000000000001172E-3</v>
      </c>
      <c r="K29" s="34" t="str">
        <f t="shared" si="16"/>
        <v/>
      </c>
      <c r="L29" s="35">
        <f t="shared" si="17"/>
        <v>7.5250000000000004</v>
      </c>
      <c r="M29" s="36" t="str">
        <f t="shared" si="18"/>
        <v/>
      </c>
      <c r="N29" s="37" t="s">
        <v>18</v>
      </c>
      <c r="O29" s="29">
        <v>1</v>
      </c>
      <c r="P29" s="38">
        <v>40</v>
      </c>
      <c r="Q29" s="46"/>
      <c r="R29" s="28" t="s">
        <v>100</v>
      </c>
      <c r="S29" s="28" t="s">
        <v>21</v>
      </c>
      <c r="T29" s="46"/>
      <c r="U29" s="28" t="s">
        <v>31</v>
      </c>
    </row>
    <row r="30" spans="1:21" s="27" customFormat="1" x14ac:dyDescent="0.25">
      <c r="A30" s="28" t="s">
        <v>21</v>
      </c>
      <c r="B30" s="28" t="s">
        <v>76</v>
      </c>
      <c r="C30" s="28" t="s">
        <v>21</v>
      </c>
      <c r="D30" s="31">
        <v>1</v>
      </c>
      <c r="E30" s="70" t="s">
        <v>107</v>
      </c>
      <c r="F30" s="45">
        <v>300</v>
      </c>
      <c r="G30" s="32"/>
      <c r="H30" s="32">
        <v>1.867</v>
      </c>
      <c r="I30" s="32">
        <v>1.8620000000000001</v>
      </c>
      <c r="J30" s="33">
        <f t="shared" si="15"/>
        <v>4.9999999999998934E-3</v>
      </c>
      <c r="K30" s="34" t="str">
        <f t="shared" si="16"/>
        <v/>
      </c>
      <c r="L30" s="35">
        <f t="shared" si="17"/>
        <v>7.5</v>
      </c>
      <c r="M30" s="36" t="str">
        <f t="shared" si="18"/>
        <v/>
      </c>
      <c r="N30" s="37" t="s">
        <v>18</v>
      </c>
      <c r="O30" s="29">
        <v>1</v>
      </c>
      <c r="P30" s="38">
        <v>40</v>
      </c>
      <c r="Q30" s="46"/>
      <c r="R30" s="28" t="s">
        <v>99</v>
      </c>
      <c r="S30" s="28" t="s">
        <v>21</v>
      </c>
      <c r="T30" s="46"/>
      <c r="U30" s="28" t="s">
        <v>31</v>
      </c>
    </row>
    <row r="31" spans="1:21" s="27" customFormat="1" x14ac:dyDescent="0.25">
      <c r="A31" s="28" t="s">
        <v>21</v>
      </c>
      <c r="B31" s="28" t="s">
        <v>77</v>
      </c>
      <c r="C31" s="28">
        <v>698353</v>
      </c>
      <c r="D31" s="31">
        <v>1</v>
      </c>
      <c r="E31" s="70" t="s">
        <v>106</v>
      </c>
      <c r="F31" s="45">
        <v>299</v>
      </c>
      <c r="G31" s="32"/>
      <c r="H31" s="32">
        <v>1.867</v>
      </c>
      <c r="I31" s="32">
        <v>1.861</v>
      </c>
      <c r="J31" s="33">
        <f t="shared" si="15"/>
        <v>6.0000000000000053E-3</v>
      </c>
      <c r="K31" s="34" t="str">
        <f t="shared" si="16"/>
        <v/>
      </c>
      <c r="L31" s="35">
        <f t="shared" si="17"/>
        <v>7.4749999999999996</v>
      </c>
      <c r="M31" s="36" t="str">
        <f t="shared" si="18"/>
        <v/>
      </c>
      <c r="N31" s="37" t="s">
        <v>18</v>
      </c>
      <c r="O31" s="29">
        <v>1</v>
      </c>
      <c r="P31" s="38">
        <v>40</v>
      </c>
      <c r="Q31" s="46"/>
      <c r="R31" s="28" t="s">
        <v>101</v>
      </c>
      <c r="S31" s="28" t="s">
        <v>21</v>
      </c>
      <c r="T31" s="46"/>
      <c r="U31" s="28" t="s">
        <v>31</v>
      </c>
    </row>
    <row r="32" spans="1:21" s="27" customFormat="1" x14ac:dyDescent="0.25">
      <c r="A32" s="28" t="s">
        <v>21</v>
      </c>
      <c r="B32" s="28" t="s">
        <v>78</v>
      </c>
      <c r="C32" s="28" t="s">
        <v>21</v>
      </c>
      <c r="D32" s="31">
        <v>1</v>
      </c>
      <c r="E32" s="70" t="s">
        <v>105</v>
      </c>
      <c r="F32" s="45">
        <v>300</v>
      </c>
      <c r="G32" s="32"/>
      <c r="H32" s="32">
        <v>1.87</v>
      </c>
      <c r="I32" s="32">
        <v>1.8640000000000001</v>
      </c>
      <c r="J32" s="33">
        <f t="shared" si="15"/>
        <v>6.0000000000000053E-3</v>
      </c>
      <c r="K32" s="34" t="str">
        <f t="shared" si="16"/>
        <v/>
      </c>
      <c r="L32" s="35">
        <f t="shared" si="17"/>
        <v>7.5</v>
      </c>
      <c r="M32" s="36" t="str">
        <f t="shared" si="18"/>
        <v/>
      </c>
      <c r="N32" s="37" t="s">
        <v>18</v>
      </c>
      <c r="O32" s="29">
        <v>1</v>
      </c>
      <c r="P32" s="38">
        <v>40</v>
      </c>
      <c r="Q32" s="46"/>
      <c r="R32" s="28" t="s">
        <v>102</v>
      </c>
      <c r="S32" s="28" t="s">
        <v>21</v>
      </c>
      <c r="T32" s="46"/>
      <c r="U32" s="28" t="s">
        <v>31</v>
      </c>
    </row>
    <row r="33" spans="1:21" s="27" customFormat="1" x14ac:dyDescent="0.25">
      <c r="A33" s="28" t="s">
        <v>21</v>
      </c>
      <c r="B33" s="28" t="s">
        <v>79</v>
      </c>
      <c r="C33" s="28" t="s">
        <v>21</v>
      </c>
      <c r="D33" s="31">
        <v>1</v>
      </c>
      <c r="E33" s="70" t="s">
        <v>127</v>
      </c>
      <c r="F33" s="45">
        <v>298</v>
      </c>
      <c r="G33" s="32"/>
      <c r="H33" s="32">
        <v>1.853</v>
      </c>
      <c r="I33" s="32">
        <v>1.8460000000000001</v>
      </c>
      <c r="J33" s="33">
        <f t="shared" si="15"/>
        <v>6.9999999999998952E-3</v>
      </c>
      <c r="K33" s="34" t="str">
        <f t="shared" si="16"/>
        <v/>
      </c>
      <c r="L33" s="35">
        <f t="shared" si="17"/>
        <v>7.45</v>
      </c>
      <c r="M33" s="36" t="str">
        <f t="shared" si="18"/>
        <v/>
      </c>
      <c r="N33" s="37" t="s">
        <v>18</v>
      </c>
      <c r="O33" s="29">
        <v>1</v>
      </c>
      <c r="P33" s="38">
        <v>40</v>
      </c>
      <c r="Q33" s="46"/>
      <c r="R33" s="28" t="s">
        <v>113</v>
      </c>
      <c r="S33" s="71" t="s">
        <v>58</v>
      </c>
      <c r="T33" s="46"/>
      <c r="U33" s="28" t="s">
        <v>135</v>
      </c>
    </row>
    <row r="34" spans="1:21" s="27" customFormat="1" x14ac:dyDescent="0.25">
      <c r="A34" s="28" t="s">
        <v>21</v>
      </c>
      <c r="B34" s="28" t="s">
        <v>80</v>
      </c>
      <c r="C34" s="28" t="s">
        <v>21</v>
      </c>
      <c r="D34" s="31">
        <v>1</v>
      </c>
      <c r="E34" s="70" t="s">
        <v>128</v>
      </c>
      <c r="F34" s="45">
        <v>299</v>
      </c>
      <c r="G34" s="32"/>
      <c r="H34" s="32">
        <v>1.85</v>
      </c>
      <c r="I34" s="32">
        <v>1.8440000000000001</v>
      </c>
      <c r="J34" s="33">
        <f>IF(O34&lt;&gt;"",(H34-I34)/O34,"")</f>
        <v>6.0000000000000053E-3</v>
      </c>
      <c r="K34" s="34" t="str">
        <f t="shared" si="16"/>
        <v/>
      </c>
      <c r="L34" s="35">
        <f>F34/(O34*P34)</f>
        <v>7.4749999999999996</v>
      </c>
      <c r="M34" s="36" t="str">
        <f t="shared" si="18"/>
        <v/>
      </c>
      <c r="N34" s="37" t="s">
        <v>18</v>
      </c>
      <c r="O34" s="29">
        <v>1</v>
      </c>
      <c r="P34" s="38">
        <v>40</v>
      </c>
      <c r="Q34" s="46"/>
      <c r="R34" s="28" t="s">
        <v>114</v>
      </c>
      <c r="S34" s="71" t="s">
        <v>59</v>
      </c>
      <c r="T34" s="46"/>
      <c r="U34" s="28" t="s">
        <v>135</v>
      </c>
    </row>
    <row r="35" spans="1:21" s="27" customFormat="1" x14ac:dyDescent="0.25">
      <c r="A35" s="28" t="s">
        <v>21</v>
      </c>
      <c r="B35" s="28" t="s">
        <v>81</v>
      </c>
      <c r="C35" s="28" t="s">
        <v>21</v>
      </c>
      <c r="D35" s="31">
        <v>1</v>
      </c>
      <c r="E35" s="70" t="s">
        <v>107</v>
      </c>
      <c r="F35" s="45">
        <v>298</v>
      </c>
      <c r="G35" s="32"/>
      <c r="H35" s="32">
        <v>1.863</v>
      </c>
      <c r="I35" s="32">
        <v>1.8560000000000001</v>
      </c>
      <c r="J35" s="33">
        <f>IF(O35&lt;&gt;"",(H35-I35)/O35,"")</f>
        <v>6.9999999999998952E-3</v>
      </c>
      <c r="K35" s="34" t="str">
        <f t="shared" si="16"/>
        <v/>
      </c>
      <c r="L35" s="35">
        <f>F35/(O35*P35)</f>
        <v>7.45</v>
      </c>
      <c r="M35" s="36" t="str">
        <f t="shared" si="18"/>
        <v/>
      </c>
      <c r="N35" s="37" t="s">
        <v>18</v>
      </c>
      <c r="O35" s="29">
        <v>1</v>
      </c>
      <c r="P35" s="38">
        <v>40</v>
      </c>
      <c r="Q35" s="46"/>
      <c r="R35" s="28" t="s">
        <v>115</v>
      </c>
      <c r="S35" s="28" t="s">
        <v>21</v>
      </c>
      <c r="T35" s="46"/>
      <c r="U35" s="28" t="s">
        <v>135</v>
      </c>
    </row>
    <row r="36" spans="1:21" s="27" customFormat="1" x14ac:dyDescent="0.25">
      <c r="A36" s="28" t="s">
        <v>21</v>
      </c>
      <c r="B36" s="28" t="s">
        <v>82</v>
      </c>
      <c r="C36" s="28" t="s">
        <v>21</v>
      </c>
      <c r="D36" s="31">
        <v>1</v>
      </c>
      <c r="E36" s="70" t="s">
        <v>129</v>
      </c>
      <c r="F36" s="45">
        <v>298</v>
      </c>
      <c r="G36" s="32"/>
      <c r="H36" s="32">
        <v>1.861</v>
      </c>
      <c r="I36" s="32">
        <v>1.8540000000000001</v>
      </c>
      <c r="J36" s="33">
        <f t="shared" si="15"/>
        <v>6.9999999999998952E-3</v>
      </c>
      <c r="K36" s="34" t="str">
        <f t="shared" si="16"/>
        <v/>
      </c>
      <c r="L36" s="35">
        <f t="shared" si="17"/>
        <v>7.45</v>
      </c>
      <c r="M36" s="36" t="str">
        <f t="shared" si="18"/>
        <v/>
      </c>
      <c r="N36" s="37" t="s">
        <v>18</v>
      </c>
      <c r="O36" s="29">
        <v>1</v>
      </c>
      <c r="P36" s="38">
        <v>40</v>
      </c>
      <c r="Q36" s="46"/>
      <c r="R36" s="28" t="s">
        <v>112</v>
      </c>
      <c r="S36" s="28" t="s">
        <v>21</v>
      </c>
      <c r="T36" s="46"/>
      <c r="U36" s="28" t="s">
        <v>135</v>
      </c>
    </row>
    <row r="37" spans="1:21" s="27" customFormat="1" x14ac:dyDescent="0.25">
      <c r="A37" s="28" t="s">
        <v>21</v>
      </c>
      <c r="B37" s="28" t="s">
        <v>83</v>
      </c>
      <c r="C37" s="28" t="s">
        <v>21</v>
      </c>
      <c r="D37" s="31">
        <v>1</v>
      </c>
      <c r="E37" s="70" t="s">
        <v>130</v>
      </c>
      <c r="F37" s="45">
        <v>298</v>
      </c>
      <c r="G37" s="32"/>
      <c r="H37" s="32">
        <v>1.869</v>
      </c>
      <c r="I37" s="32">
        <v>1.863</v>
      </c>
      <c r="J37" s="33">
        <f t="shared" si="15"/>
        <v>6.0000000000000053E-3</v>
      </c>
      <c r="K37" s="34" t="str">
        <f t="shared" si="16"/>
        <v/>
      </c>
      <c r="L37" s="35">
        <f t="shared" si="17"/>
        <v>7.45</v>
      </c>
      <c r="M37" s="36" t="str">
        <f t="shared" si="18"/>
        <v/>
      </c>
      <c r="N37" s="37" t="s">
        <v>18</v>
      </c>
      <c r="O37" s="29">
        <v>1</v>
      </c>
      <c r="P37" s="38">
        <v>40</v>
      </c>
      <c r="Q37" s="46"/>
      <c r="R37" s="28" t="s">
        <v>116</v>
      </c>
      <c r="S37" s="28" t="s">
        <v>21</v>
      </c>
      <c r="T37" s="46"/>
      <c r="U37" s="28" t="s">
        <v>135</v>
      </c>
    </row>
    <row r="38" spans="1:21" s="27" customFormat="1" x14ac:dyDescent="0.25">
      <c r="A38" s="28" t="s">
        <v>21</v>
      </c>
      <c r="B38" s="28" t="s">
        <v>84</v>
      </c>
      <c r="C38" s="28" t="s">
        <v>21</v>
      </c>
      <c r="D38" s="31">
        <v>1</v>
      </c>
      <c r="E38" s="70" t="s">
        <v>129</v>
      </c>
      <c r="F38" s="45">
        <v>296</v>
      </c>
      <c r="G38" s="32"/>
      <c r="H38" s="32">
        <v>1.861</v>
      </c>
      <c r="I38" s="32">
        <v>1.855</v>
      </c>
      <c r="J38" s="33">
        <f t="shared" si="15"/>
        <v>6.0000000000000053E-3</v>
      </c>
      <c r="K38" s="34" t="str">
        <f t="shared" si="16"/>
        <v/>
      </c>
      <c r="L38" s="35">
        <f t="shared" si="17"/>
        <v>7.4</v>
      </c>
      <c r="M38" s="36" t="str">
        <f t="shared" si="18"/>
        <v/>
      </c>
      <c r="N38" s="37" t="s">
        <v>18</v>
      </c>
      <c r="O38" s="29">
        <v>1</v>
      </c>
      <c r="P38" s="38">
        <v>40</v>
      </c>
      <c r="Q38" s="46"/>
      <c r="R38" s="28" t="s">
        <v>117</v>
      </c>
      <c r="S38" s="28" t="s">
        <v>21</v>
      </c>
      <c r="T38" s="46"/>
      <c r="U38" s="28" t="s">
        <v>135</v>
      </c>
    </row>
    <row r="39" spans="1:21" s="27" customFormat="1" x14ac:dyDescent="0.25">
      <c r="A39" s="28" t="s">
        <v>21</v>
      </c>
      <c r="B39" s="28" t="s">
        <v>85</v>
      </c>
      <c r="C39" s="28" t="s">
        <v>21</v>
      </c>
      <c r="D39" s="31">
        <v>1</v>
      </c>
      <c r="E39" s="70" t="s">
        <v>133</v>
      </c>
      <c r="F39" s="45">
        <v>290</v>
      </c>
      <c r="G39" s="32"/>
      <c r="H39" s="32">
        <v>1.9</v>
      </c>
      <c r="I39" s="32">
        <v>1.8939999999999999</v>
      </c>
      <c r="J39" s="33">
        <f t="shared" si="15"/>
        <v>6.0000000000000053E-3</v>
      </c>
      <c r="K39" s="34" t="str">
        <f t="shared" si="16"/>
        <v/>
      </c>
      <c r="L39" s="35">
        <f t="shared" si="17"/>
        <v>7.25</v>
      </c>
      <c r="M39" s="36" t="str">
        <f t="shared" si="18"/>
        <v/>
      </c>
      <c r="N39" s="37" t="s">
        <v>18</v>
      </c>
      <c r="O39" s="29">
        <v>1</v>
      </c>
      <c r="P39" s="38">
        <v>40</v>
      </c>
      <c r="Q39" s="46"/>
      <c r="R39" s="28" t="s">
        <v>118</v>
      </c>
      <c r="S39" s="71" t="s">
        <v>103</v>
      </c>
      <c r="T39" s="46"/>
      <c r="U39" s="28" t="s">
        <v>135</v>
      </c>
    </row>
    <row r="40" spans="1:21" s="27" customFormat="1" x14ac:dyDescent="0.25">
      <c r="A40" s="28" t="s">
        <v>21</v>
      </c>
      <c r="B40" s="28" t="s">
        <v>86</v>
      </c>
      <c r="C40" s="28" t="s">
        <v>21</v>
      </c>
      <c r="D40" s="31">
        <v>1</v>
      </c>
      <c r="E40" s="70" t="s">
        <v>134</v>
      </c>
      <c r="F40" s="45">
        <v>296</v>
      </c>
      <c r="G40" s="32"/>
      <c r="H40" s="32">
        <v>1.867</v>
      </c>
      <c r="I40" s="32">
        <v>1.861</v>
      </c>
      <c r="J40" s="33">
        <f t="shared" si="15"/>
        <v>6.0000000000000053E-3</v>
      </c>
      <c r="K40" s="34" t="str">
        <f t="shared" si="16"/>
        <v/>
      </c>
      <c r="L40" s="35">
        <f t="shared" si="17"/>
        <v>7.4</v>
      </c>
      <c r="M40" s="36" t="str">
        <f t="shared" si="18"/>
        <v/>
      </c>
      <c r="N40" s="37" t="s">
        <v>18</v>
      </c>
      <c r="O40" s="29">
        <v>1</v>
      </c>
      <c r="P40" s="38">
        <v>40</v>
      </c>
      <c r="Q40" s="46"/>
      <c r="R40" s="28" t="s">
        <v>119</v>
      </c>
      <c r="S40" s="71" t="s">
        <v>59</v>
      </c>
      <c r="T40" s="46"/>
      <c r="U40" s="28" t="s">
        <v>135</v>
      </c>
    </row>
    <row r="41" spans="1:21" s="27" customFormat="1" x14ac:dyDescent="0.25">
      <c r="A41" s="28" t="s">
        <v>21</v>
      </c>
      <c r="B41" s="28" t="s">
        <v>87</v>
      </c>
      <c r="C41" s="28" t="s">
        <v>21</v>
      </c>
      <c r="D41" s="31">
        <v>1</v>
      </c>
      <c r="E41" s="70" t="s">
        <v>105</v>
      </c>
      <c r="F41" s="45">
        <v>298</v>
      </c>
      <c r="G41" s="32"/>
      <c r="H41" s="32">
        <v>1.8440000000000001</v>
      </c>
      <c r="I41" s="32">
        <v>1.8360000000000001</v>
      </c>
      <c r="J41" s="33">
        <f t="shared" si="15"/>
        <v>8.0000000000000071E-3</v>
      </c>
      <c r="K41" s="34" t="str">
        <f t="shared" si="16"/>
        <v/>
      </c>
      <c r="L41" s="35">
        <f t="shared" si="17"/>
        <v>7.45</v>
      </c>
      <c r="M41" s="36" t="str">
        <f t="shared" si="18"/>
        <v/>
      </c>
      <c r="N41" s="37" t="s">
        <v>18</v>
      </c>
      <c r="O41" s="29">
        <v>1</v>
      </c>
      <c r="P41" s="38">
        <v>40</v>
      </c>
      <c r="Q41" s="46"/>
      <c r="R41" s="28" t="s">
        <v>126</v>
      </c>
      <c r="S41" s="28" t="s">
        <v>21</v>
      </c>
      <c r="T41" s="46"/>
      <c r="U41" s="28" t="s">
        <v>135</v>
      </c>
    </row>
    <row r="42" spans="1:21" s="27" customFormat="1" x14ac:dyDescent="0.25">
      <c r="A42" s="28" t="s">
        <v>21</v>
      </c>
      <c r="B42" s="28" t="s">
        <v>88</v>
      </c>
      <c r="C42" s="28" t="s">
        <v>21</v>
      </c>
      <c r="D42" s="31">
        <v>1</v>
      </c>
      <c r="E42" s="70" t="s">
        <v>108</v>
      </c>
      <c r="F42" s="45">
        <v>297</v>
      </c>
      <c r="G42" s="32"/>
      <c r="H42" s="32">
        <v>1.875</v>
      </c>
      <c r="I42" s="32">
        <v>1.8680000000000001</v>
      </c>
      <c r="J42" s="33">
        <f t="shared" si="15"/>
        <v>6.9999999999998952E-3</v>
      </c>
      <c r="K42" s="34" t="str">
        <f t="shared" si="16"/>
        <v/>
      </c>
      <c r="L42" s="35">
        <f t="shared" si="17"/>
        <v>7.4249999999999998</v>
      </c>
      <c r="M42" s="36" t="str">
        <f t="shared" si="18"/>
        <v/>
      </c>
      <c r="N42" s="37" t="s">
        <v>18</v>
      </c>
      <c r="O42" s="29">
        <v>1</v>
      </c>
      <c r="P42" s="38">
        <v>40</v>
      </c>
      <c r="Q42" s="46"/>
      <c r="R42" s="28" t="s">
        <v>120</v>
      </c>
      <c r="S42" s="28" t="s">
        <v>21</v>
      </c>
      <c r="T42" s="46"/>
      <c r="U42" s="28" t="s">
        <v>135</v>
      </c>
    </row>
    <row r="43" spans="1:21" s="27" customFormat="1" x14ac:dyDescent="0.25">
      <c r="A43" s="28" t="s">
        <v>21</v>
      </c>
      <c r="B43" s="28" t="s">
        <v>89</v>
      </c>
      <c r="C43" s="28" t="s">
        <v>21</v>
      </c>
      <c r="D43" s="31">
        <v>1</v>
      </c>
      <c r="E43" s="70" t="s">
        <v>128</v>
      </c>
      <c r="F43" s="45">
        <v>296</v>
      </c>
      <c r="G43" s="32"/>
      <c r="H43" s="32">
        <v>1.8660000000000001</v>
      </c>
      <c r="I43" s="32">
        <v>1.86</v>
      </c>
      <c r="J43" s="33">
        <f t="shared" si="15"/>
        <v>6.0000000000000053E-3</v>
      </c>
      <c r="K43" s="34" t="str">
        <f t="shared" si="16"/>
        <v/>
      </c>
      <c r="L43" s="35">
        <f t="shared" si="17"/>
        <v>7.4</v>
      </c>
      <c r="M43" s="36" t="str">
        <f t="shared" si="18"/>
        <v/>
      </c>
      <c r="N43" s="37" t="s">
        <v>18</v>
      </c>
      <c r="O43" s="29">
        <v>1</v>
      </c>
      <c r="P43" s="38">
        <v>40</v>
      </c>
      <c r="Q43" s="46"/>
      <c r="R43" s="28" t="s">
        <v>121</v>
      </c>
      <c r="S43" s="28" t="s">
        <v>21</v>
      </c>
      <c r="T43" s="46"/>
      <c r="U43" s="28" t="s">
        <v>135</v>
      </c>
    </row>
    <row r="44" spans="1:21" s="27" customFormat="1" x14ac:dyDescent="0.25">
      <c r="A44" s="28" t="s">
        <v>21</v>
      </c>
      <c r="B44" s="28" t="s">
        <v>90</v>
      </c>
      <c r="C44" s="28" t="s">
        <v>21</v>
      </c>
      <c r="D44" s="31">
        <v>1</v>
      </c>
      <c r="E44" s="70" t="s">
        <v>131</v>
      </c>
      <c r="F44" s="45">
        <v>296</v>
      </c>
      <c r="G44" s="32"/>
      <c r="H44" s="32">
        <v>1.8660000000000001</v>
      </c>
      <c r="I44" s="32">
        <v>1.86</v>
      </c>
      <c r="J44" s="33">
        <f t="shared" si="15"/>
        <v>6.0000000000000053E-3</v>
      </c>
      <c r="K44" s="34" t="str">
        <f t="shared" si="16"/>
        <v/>
      </c>
      <c r="L44" s="35">
        <f t="shared" si="17"/>
        <v>7.4</v>
      </c>
      <c r="M44" s="36" t="str">
        <f t="shared" si="18"/>
        <v/>
      </c>
      <c r="N44" s="37" t="s">
        <v>18</v>
      </c>
      <c r="O44" s="29">
        <v>1</v>
      </c>
      <c r="P44" s="38">
        <v>40</v>
      </c>
      <c r="Q44" s="46"/>
      <c r="R44" s="28" t="s">
        <v>122</v>
      </c>
      <c r="S44" s="28" t="s">
        <v>21</v>
      </c>
      <c r="T44" s="46"/>
      <c r="U44" s="28" t="s">
        <v>135</v>
      </c>
    </row>
    <row r="45" spans="1:21" s="27" customFormat="1" x14ac:dyDescent="0.25">
      <c r="A45" s="28" t="s">
        <v>21</v>
      </c>
      <c r="B45" s="28" t="s">
        <v>91</v>
      </c>
      <c r="C45" s="28" t="s">
        <v>21</v>
      </c>
      <c r="D45" s="31">
        <v>1</v>
      </c>
      <c r="E45" s="70" t="s">
        <v>132</v>
      </c>
      <c r="F45" s="45">
        <v>296</v>
      </c>
      <c r="G45" s="32"/>
      <c r="H45" s="32">
        <v>1.851</v>
      </c>
      <c r="I45" s="32">
        <v>1.845</v>
      </c>
      <c r="J45" s="33">
        <f t="shared" si="15"/>
        <v>6.0000000000000053E-3</v>
      </c>
      <c r="K45" s="34" t="str">
        <f t="shared" si="16"/>
        <v/>
      </c>
      <c r="L45" s="35">
        <f t="shared" si="17"/>
        <v>7.4</v>
      </c>
      <c r="M45" s="36" t="str">
        <f t="shared" si="18"/>
        <v/>
      </c>
      <c r="N45" s="37" t="s">
        <v>18</v>
      </c>
      <c r="O45" s="29">
        <v>1</v>
      </c>
      <c r="P45" s="38">
        <v>40</v>
      </c>
      <c r="Q45" s="46"/>
      <c r="R45" s="28" t="s">
        <v>123</v>
      </c>
      <c r="S45" s="28" t="s">
        <v>21</v>
      </c>
      <c r="T45" s="46"/>
      <c r="U45" s="28" t="s">
        <v>135</v>
      </c>
    </row>
    <row r="46" spans="1:21" s="27" customFormat="1" x14ac:dyDescent="0.25">
      <c r="A46" s="28" t="s">
        <v>21</v>
      </c>
      <c r="B46" s="28" t="s">
        <v>92</v>
      </c>
      <c r="C46" s="28" t="s">
        <v>21</v>
      </c>
      <c r="D46" s="31">
        <v>1</v>
      </c>
      <c r="E46" s="70" t="s">
        <v>128</v>
      </c>
      <c r="F46" s="45">
        <v>295</v>
      </c>
      <c r="G46" s="32"/>
      <c r="H46" s="32">
        <v>1.8660000000000001</v>
      </c>
      <c r="I46" s="32">
        <v>1.859</v>
      </c>
      <c r="J46" s="33">
        <f t="shared" si="15"/>
        <v>7.0000000000001172E-3</v>
      </c>
      <c r="K46" s="34" t="str">
        <f t="shared" si="16"/>
        <v/>
      </c>
      <c r="L46" s="35">
        <f t="shared" si="17"/>
        <v>7.375</v>
      </c>
      <c r="M46" s="36" t="str">
        <f t="shared" si="18"/>
        <v/>
      </c>
      <c r="N46" s="37" t="s">
        <v>18</v>
      </c>
      <c r="O46" s="29">
        <v>1</v>
      </c>
      <c r="P46" s="38">
        <v>40</v>
      </c>
      <c r="Q46" s="46"/>
      <c r="R46" s="28" t="s">
        <v>124</v>
      </c>
      <c r="S46" s="28" t="s">
        <v>21</v>
      </c>
      <c r="T46" s="46"/>
      <c r="U46" s="28" t="s">
        <v>135</v>
      </c>
    </row>
    <row r="47" spans="1:21" s="27" customFormat="1" x14ac:dyDescent="0.25">
      <c r="A47" s="28" t="s">
        <v>21</v>
      </c>
      <c r="B47" s="28" t="s">
        <v>93</v>
      </c>
      <c r="C47" s="28" t="s">
        <v>21</v>
      </c>
      <c r="D47" s="31">
        <v>1</v>
      </c>
      <c r="E47" s="70" t="s">
        <v>131</v>
      </c>
      <c r="F47" s="45">
        <v>296</v>
      </c>
      <c r="G47" s="32"/>
      <c r="H47" s="32">
        <v>1.869</v>
      </c>
      <c r="I47" s="32">
        <v>1.861</v>
      </c>
      <c r="J47" s="33">
        <f t="shared" si="15"/>
        <v>8.0000000000000071E-3</v>
      </c>
      <c r="K47" s="34" t="str">
        <f t="shared" si="16"/>
        <v/>
      </c>
      <c r="L47" s="35">
        <f t="shared" si="17"/>
        <v>7.4</v>
      </c>
      <c r="M47" s="36" t="str">
        <f t="shared" si="18"/>
        <v/>
      </c>
      <c r="N47" s="37" t="s">
        <v>18</v>
      </c>
      <c r="O47" s="29">
        <v>1</v>
      </c>
      <c r="P47" s="38">
        <v>40</v>
      </c>
      <c r="Q47" s="46"/>
      <c r="R47" s="28" t="s">
        <v>125</v>
      </c>
      <c r="S47" s="28" t="s">
        <v>21</v>
      </c>
      <c r="T47" s="46"/>
      <c r="U47" s="28" t="s">
        <v>135</v>
      </c>
    </row>
    <row r="48" spans="1:21" s="27" customFormat="1" x14ac:dyDescent="0.25">
      <c r="A48" s="28" t="s">
        <v>228</v>
      </c>
      <c r="B48" s="28" t="s">
        <v>136</v>
      </c>
      <c r="C48" s="28">
        <v>698353</v>
      </c>
      <c r="D48" s="31">
        <v>1</v>
      </c>
      <c r="E48" s="70" t="s">
        <v>105</v>
      </c>
      <c r="F48" s="45">
        <v>300</v>
      </c>
      <c r="G48" s="32"/>
      <c r="H48" s="32">
        <v>1.869</v>
      </c>
      <c r="I48" s="32">
        <v>1.863</v>
      </c>
      <c r="J48" s="33">
        <f t="shared" ref="J48:J67" si="19">IF(O48&lt;&gt;"",(H48-I48)/O48,"")</f>
        <v>6.0000000000000053E-3</v>
      </c>
      <c r="K48" s="34" t="str">
        <f t="shared" si="16"/>
        <v/>
      </c>
      <c r="L48" s="35">
        <f t="shared" ref="L48:L67" si="20">F48/(O48*P48)</f>
        <v>7.5</v>
      </c>
      <c r="M48" s="36" t="str">
        <f t="shared" ref="M48:M67" si="21">IF(L48=0,"",IF(OR(L48&lt;7,L48&gt;7.8),"X",""))</f>
        <v/>
      </c>
      <c r="N48" s="37" t="s">
        <v>18</v>
      </c>
      <c r="O48" s="29">
        <v>1</v>
      </c>
      <c r="P48" s="38">
        <v>40</v>
      </c>
      <c r="Q48" s="46"/>
      <c r="R48" s="28" t="s">
        <v>179</v>
      </c>
      <c r="S48" s="71" t="s">
        <v>58</v>
      </c>
      <c r="T48" s="46"/>
      <c r="U48" s="28" t="s">
        <v>135</v>
      </c>
    </row>
    <row r="49" spans="1:21" s="27" customFormat="1" x14ac:dyDescent="0.25">
      <c r="A49" s="28" t="s">
        <v>21</v>
      </c>
      <c r="B49" s="28" t="s">
        <v>137</v>
      </c>
      <c r="C49" s="28" t="s">
        <v>21</v>
      </c>
      <c r="D49" s="31">
        <v>1</v>
      </c>
      <c r="E49" s="70" t="s">
        <v>109</v>
      </c>
      <c r="F49" s="45">
        <v>298</v>
      </c>
      <c r="G49" s="32"/>
      <c r="H49" s="32">
        <v>1.859</v>
      </c>
      <c r="I49" s="32">
        <v>1.853</v>
      </c>
      <c r="J49" s="33">
        <f t="shared" si="19"/>
        <v>6.0000000000000053E-3</v>
      </c>
      <c r="K49" s="34" t="str">
        <f t="shared" si="16"/>
        <v/>
      </c>
      <c r="L49" s="35">
        <f t="shared" si="20"/>
        <v>7.45</v>
      </c>
      <c r="M49" s="36" t="str">
        <f t="shared" si="21"/>
        <v/>
      </c>
      <c r="N49" s="37" t="s">
        <v>18</v>
      </c>
      <c r="O49" s="29">
        <v>1</v>
      </c>
      <c r="P49" s="38">
        <v>40</v>
      </c>
      <c r="Q49" s="46"/>
      <c r="R49" s="28" t="s">
        <v>180</v>
      </c>
      <c r="S49" s="71" t="s">
        <v>59</v>
      </c>
      <c r="T49" s="46"/>
      <c r="U49" s="28" t="s">
        <v>135</v>
      </c>
    </row>
    <row r="50" spans="1:21" s="27" customFormat="1" x14ac:dyDescent="0.25">
      <c r="A50" s="28" t="s">
        <v>21</v>
      </c>
      <c r="B50" s="28" t="s">
        <v>138</v>
      </c>
      <c r="C50" s="28" t="s">
        <v>21</v>
      </c>
      <c r="D50" s="31">
        <v>1</v>
      </c>
      <c r="E50" s="70" t="s">
        <v>234</v>
      </c>
      <c r="F50" s="45">
        <v>298</v>
      </c>
      <c r="G50" s="32"/>
      <c r="H50" s="32">
        <v>1.85</v>
      </c>
      <c r="I50" s="32">
        <v>1.843</v>
      </c>
      <c r="J50" s="33">
        <f t="shared" si="19"/>
        <v>7.0000000000001172E-3</v>
      </c>
      <c r="K50" s="34" t="str">
        <f t="shared" si="16"/>
        <v/>
      </c>
      <c r="L50" s="35">
        <f t="shared" si="20"/>
        <v>7.45</v>
      </c>
      <c r="M50" s="36" t="str">
        <f t="shared" si="21"/>
        <v/>
      </c>
      <c r="N50" s="37" t="s">
        <v>18</v>
      </c>
      <c r="O50" s="29">
        <v>1</v>
      </c>
      <c r="P50" s="38">
        <v>40</v>
      </c>
      <c r="Q50" s="46"/>
      <c r="R50" s="28" t="s">
        <v>181</v>
      </c>
      <c r="S50" s="28" t="s">
        <v>21</v>
      </c>
      <c r="T50" s="46"/>
      <c r="U50" s="28" t="s">
        <v>135</v>
      </c>
    </row>
    <row r="51" spans="1:21" s="27" customFormat="1" x14ac:dyDescent="0.25">
      <c r="A51" s="28" t="s">
        <v>21</v>
      </c>
      <c r="B51" s="28" t="s">
        <v>139</v>
      </c>
      <c r="C51" s="28" t="s">
        <v>21</v>
      </c>
      <c r="D51" s="31">
        <v>1</v>
      </c>
      <c r="E51" s="70" t="s">
        <v>233</v>
      </c>
      <c r="F51" s="45">
        <v>298</v>
      </c>
      <c r="G51" s="32"/>
      <c r="H51" s="32">
        <v>1.859</v>
      </c>
      <c r="I51" s="32">
        <v>1.853</v>
      </c>
      <c r="J51" s="33">
        <f t="shared" si="19"/>
        <v>6.0000000000000053E-3</v>
      </c>
      <c r="K51" s="34" t="str">
        <f t="shared" si="16"/>
        <v/>
      </c>
      <c r="L51" s="35">
        <f t="shared" si="20"/>
        <v>7.45</v>
      </c>
      <c r="M51" s="36" t="str">
        <f t="shared" si="21"/>
        <v/>
      </c>
      <c r="N51" s="37" t="s">
        <v>18</v>
      </c>
      <c r="O51" s="29">
        <v>1</v>
      </c>
      <c r="P51" s="38">
        <v>40</v>
      </c>
      <c r="Q51" s="46"/>
      <c r="R51" s="28" t="s">
        <v>182</v>
      </c>
      <c r="S51" s="28" t="s">
        <v>21</v>
      </c>
      <c r="T51" s="46"/>
      <c r="U51" s="28" t="s">
        <v>135</v>
      </c>
    </row>
    <row r="52" spans="1:21" s="27" customFormat="1" x14ac:dyDescent="0.25">
      <c r="A52" s="28" t="s">
        <v>21</v>
      </c>
      <c r="B52" s="28" t="s">
        <v>140</v>
      </c>
      <c r="C52" s="28" t="s">
        <v>21</v>
      </c>
      <c r="D52" s="31">
        <v>1</v>
      </c>
      <c r="E52" s="70" t="s">
        <v>127</v>
      </c>
      <c r="F52" s="45">
        <v>299</v>
      </c>
      <c r="G52" s="32"/>
      <c r="H52" s="32">
        <v>1.8540000000000001</v>
      </c>
      <c r="I52" s="32">
        <v>1.847</v>
      </c>
      <c r="J52" s="33">
        <f t="shared" si="19"/>
        <v>7.0000000000001172E-3</v>
      </c>
      <c r="K52" s="34" t="str">
        <f t="shared" si="16"/>
        <v/>
      </c>
      <c r="L52" s="35">
        <f t="shared" si="20"/>
        <v>7.4749999999999996</v>
      </c>
      <c r="M52" s="36" t="str">
        <f t="shared" si="21"/>
        <v/>
      </c>
      <c r="N52" s="37" t="s">
        <v>18</v>
      </c>
      <c r="O52" s="29">
        <v>1</v>
      </c>
      <c r="P52" s="38">
        <v>40</v>
      </c>
      <c r="Q52" s="46"/>
      <c r="R52" s="28" t="s">
        <v>183</v>
      </c>
      <c r="S52" s="28" t="s">
        <v>21</v>
      </c>
      <c r="T52" s="46"/>
      <c r="U52" s="28" t="s">
        <v>135</v>
      </c>
    </row>
    <row r="53" spans="1:21" s="27" customFormat="1" x14ac:dyDescent="0.25">
      <c r="A53" s="28" t="s">
        <v>21</v>
      </c>
      <c r="B53" s="28" t="s">
        <v>141</v>
      </c>
      <c r="C53" s="28" t="s">
        <v>21</v>
      </c>
      <c r="D53" s="31">
        <v>1</v>
      </c>
      <c r="E53" s="70" t="s">
        <v>109</v>
      </c>
      <c r="F53" s="45">
        <v>298</v>
      </c>
      <c r="G53" s="32"/>
      <c r="H53" s="32">
        <v>1.849</v>
      </c>
      <c r="I53" s="32">
        <v>1.8420000000000001</v>
      </c>
      <c r="J53" s="33">
        <f t="shared" si="19"/>
        <v>6.9999999999998952E-3</v>
      </c>
      <c r="K53" s="34" t="str">
        <f t="shared" si="16"/>
        <v/>
      </c>
      <c r="L53" s="35">
        <f t="shared" si="20"/>
        <v>7.45</v>
      </c>
      <c r="M53" s="36" t="str">
        <f t="shared" si="21"/>
        <v/>
      </c>
      <c r="N53" s="37" t="s">
        <v>18</v>
      </c>
      <c r="O53" s="29">
        <v>1</v>
      </c>
      <c r="P53" s="38">
        <v>40</v>
      </c>
      <c r="Q53" s="46"/>
      <c r="R53" s="28" t="s">
        <v>184</v>
      </c>
      <c r="S53" s="28" t="s">
        <v>21</v>
      </c>
      <c r="T53" s="46"/>
      <c r="U53" s="28" t="s">
        <v>135</v>
      </c>
    </row>
    <row r="54" spans="1:21" s="27" customFormat="1" x14ac:dyDescent="0.25">
      <c r="A54" s="28" t="s">
        <v>21</v>
      </c>
      <c r="B54" s="28" t="s">
        <v>142</v>
      </c>
      <c r="C54" s="28" t="s">
        <v>21</v>
      </c>
      <c r="D54" s="31">
        <v>1</v>
      </c>
      <c r="E54" s="70" t="s">
        <v>109</v>
      </c>
      <c r="F54" s="45">
        <v>298</v>
      </c>
      <c r="G54" s="32"/>
      <c r="H54" s="32">
        <v>1.8420000000000001</v>
      </c>
      <c r="I54" s="32">
        <v>1.835</v>
      </c>
      <c r="J54" s="33">
        <f>IF(O54&lt;&gt;"",(H54-I54)/O54,"")</f>
        <v>7.0000000000001172E-3</v>
      </c>
      <c r="K54" s="34" t="str">
        <f t="shared" si="16"/>
        <v/>
      </c>
      <c r="L54" s="35">
        <f t="shared" si="20"/>
        <v>7.45</v>
      </c>
      <c r="M54" s="36" t="str">
        <f t="shared" si="21"/>
        <v/>
      </c>
      <c r="N54" s="37" t="s">
        <v>18</v>
      </c>
      <c r="O54" s="29">
        <v>1</v>
      </c>
      <c r="P54" s="38">
        <v>40</v>
      </c>
      <c r="Q54" s="46"/>
      <c r="R54" s="28" t="s">
        <v>185</v>
      </c>
      <c r="S54" s="28" t="s">
        <v>21</v>
      </c>
      <c r="T54" s="46"/>
      <c r="U54" s="28" t="s">
        <v>135</v>
      </c>
    </row>
    <row r="55" spans="1:21" s="27" customFormat="1" x14ac:dyDescent="0.25">
      <c r="A55" s="28" t="s">
        <v>21</v>
      </c>
      <c r="B55" s="28" t="s">
        <v>143</v>
      </c>
      <c r="C55" s="28" t="s">
        <v>21</v>
      </c>
      <c r="D55" s="31">
        <v>1</v>
      </c>
      <c r="E55" s="70" t="s">
        <v>233</v>
      </c>
      <c r="F55" s="45">
        <v>298</v>
      </c>
      <c r="G55" s="32"/>
      <c r="H55" s="32">
        <v>1.8520000000000001</v>
      </c>
      <c r="I55" s="32">
        <v>1.845</v>
      </c>
      <c r="J55" s="33">
        <f t="shared" si="19"/>
        <v>7.0000000000001172E-3</v>
      </c>
      <c r="K55" s="34" t="str">
        <f t="shared" si="16"/>
        <v/>
      </c>
      <c r="L55" s="35">
        <f t="shared" si="20"/>
        <v>7.45</v>
      </c>
      <c r="M55" s="36" t="str">
        <f t="shared" si="21"/>
        <v/>
      </c>
      <c r="N55" s="37" t="s">
        <v>18</v>
      </c>
      <c r="O55" s="29">
        <v>1</v>
      </c>
      <c r="P55" s="38">
        <v>40</v>
      </c>
      <c r="Q55" s="46"/>
      <c r="R55" s="28" t="s">
        <v>186</v>
      </c>
      <c r="S55" s="28" t="s">
        <v>21</v>
      </c>
      <c r="T55" s="46"/>
      <c r="U55" s="28" t="s">
        <v>135</v>
      </c>
    </row>
    <row r="56" spans="1:21" s="27" customFormat="1" x14ac:dyDescent="0.25">
      <c r="A56" s="28" t="s">
        <v>21</v>
      </c>
      <c r="B56" s="28" t="s">
        <v>144</v>
      </c>
      <c r="C56" s="28" t="s">
        <v>21</v>
      </c>
      <c r="D56" s="31">
        <v>1</v>
      </c>
      <c r="E56" s="70" t="s">
        <v>232</v>
      </c>
      <c r="F56" s="45">
        <v>299</v>
      </c>
      <c r="G56" s="32"/>
      <c r="H56" s="32">
        <v>1.84</v>
      </c>
      <c r="I56" s="32">
        <v>1.8320000000000001</v>
      </c>
      <c r="J56" s="33">
        <f t="shared" si="19"/>
        <v>8.0000000000000071E-3</v>
      </c>
      <c r="K56" s="34" t="str">
        <f t="shared" si="16"/>
        <v/>
      </c>
      <c r="L56" s="35">
        <f t="shared" si="20"/>
        <v>7.4749999999999996</v>
      </c>
      <c r="M56" s="36" t="str">
        <f t="shared" si="21"/>
        <v/>
      </c>
      <c r="N56" s="37" t="s">
        <v>18</v>
      </c>
      <c r="O56" s="29">
        <v>1</v>
      </c>
      <c r="P56" s="38">
        <v>40</v>
      </c>
      <c r="Q56" s="46"/>
      <c r="R56" s="28" t="s">
        <v>187</v>
      </c>
      <c r="S56" s="28" t="s">
        <v>21</v>
      </c>
      <c r="T56" s="46"/>
      <c r="U56" s="28" t="s">
        <v>135</v>
      </c>
    </row>
    <row r="57" spans="1:21" s="27" customFormat="1" x14ac:dyDescent="0.25">
      <c r="A57" s="28" t="s">
        <v>21</v>
      </c>
      <c r="B57" s="28" t="s">
        <v>145</v>
      </c>
      <c r="C57" s="28" t="s">
        <v>21</v>
      </c>
      <c r="D57" s="31">
        <v>1</v>
      </c>
      <c r="E57" s="70" t="s">
        <v>231</v>
      </c>
      <c r="F57" s="45">
        <v>298</v>
      </c>
      <c r="G57" s="32"/>
      <c r="H57" s="32">
        <v>1.841</v>
      </c>
      <c r="I57" s="32">
        <v>1.835</v>
      </c>
      <c r="J57" s="33">
        <f t="shared" si="19"/>
        <v>6.0000000000000053E-3</v>
      </c>
      <c r="K57" s="34" t="str">
        <f t="shared" si="16"/>
        <v/>
      </c>
      <c r="L57" s="35">
        <f t="shared" si="20"/>
        <v>7.45</v>
      </c>
      <c r="M57" s="36" t="str">
        <f t="shared" si="21"/>
        <v/>
      </c>
      <c r="N57" s="37" t="s">
        <v>18</v>
      </c>
      <c r="O57" s="29">
        <v>1</v>
      </c>
      <c r="P57" s="38">
        <v>40</v>
      </c>
      <c r="Q57" s="46"/>
      <c r="R57" s="28" t="s">
        <v>188</v>
      </c>
      <c r="S57" s="28" t="s">
        <v>21</v>
      </c>
      <c r="T57" s="46"/>
      <c r="U57" s="28" t="s">
        <v>135</v>
      </c>
    </row>
    <row r="58" spans="1:21" s="27" customFormat="1" x14ac:dyDescent="0.25">
      <c r="A58" s="28" t="s">
        <v>21</v>
      </c>
      <c r="B58" s="28" t="s">
        <v>146</v>
      </c>
      <c r="C58" s="28" t="s">
        <v>21</v>
      </c>
      <c r="D58" s="31">
        <v>1</v>
      </c>
      <c r="E58" s="70" t="s">
        <v>234</v>
      </c>
      <c r="F58" s="45">
        <v>297</v>
      </c>
      <c r="G58" s="32"/>
      <c r="H58" s="32">
        <v>1.861</v>
      </c>
      <c r="I58" s="32">
        <v>1.855</v>
      </c>
      <c r="J58" s="33">
        <f t="shared" si="19"/>
        <v>6.0000000000000053E-3</v>
      </c>
      <c r="K58" s="34" t="str">
        <f t="shared" si="16"/>
        <v/>
      </c>
      <c r="L58" s="35">
        <f t="shared" si="20"/>
        <v>7.4249999999999998</v>
      </c>
      <c r="M58" s="36" t="str">
        <f t="shared" si="21"/>
        <v/>
      </c>
      <c r="N58" s="37" t="s">
        <v>18</v>
      </c>
      <c r="O58" s="29">
        <v>1</v>
      </c>
      <c r="P58" s="38">
        <v>40</v>
      </c>
      <c r="Q58" s="46"/>
      <c r="R58" s="28" t="s">
        <v>189</v>
      </c>
      <c r="S58" s="71" t="s">
        <v>103</v>
      </c>
      <c r="T58" s="46"/>
      <c r="U58" s="28" t="s">
        <v>135</v>
      </c>
    </row>
    <row r="59" spans="1:21" s="27" customFormat="1" x14ac:dyDescent="0.25">
      <c r="A59" s="28" t="s">
        <v>21</v>
      </c>
      <c r="B59" s="28" t="s">
        <v>147</v>
      </c>
      <c r="C59" s="28" t="s">
        <v>21</v>
      </c>
      <c r="D59" s="31">
        <v>1</v>
      </c>
      <c r="E59" s="70" t="s">
        <v>236</v>
      </c>
      <c r="F59" s="45">
        <v>298</v>
      </c>
      <c r="G59" s="32"/>
      <c r="H59" s="32">
        <v>1.8640000000000001</v>
      </c>
      <c r="I59" s="32">
        <v>1.857</v>
      </c>
      <c r="J59" s="33">
        <f t="shared" si="19"/>
        <v>7.0000000000001172E-3</v>
      </c>
      <c r="K59" s="34" t="str">
        <f t="shared" si="16"/>
        <v/>
      </c>
      <c r="L59" s="35">
        <f t="shared" si="20"/>
        <v>7.45</v>
      </c>
      <c r="M59" s="36" t="str">
        <f t="shared" si="21"/>
        <v/>
      </c>
      <c r="N59" s="37" t="s">
        <v>18</v>
      </c>
      <c r="O59" s="29">
        <v>1</v>
      </c>
      <c r="P59" s="38">
        <v>40</v>
      </c>
      <c r="Q59" s="46"/>
      <c r="R59" s="28" t="s">
        <v>190</v>
      </c>
      <c r="S59" s="71" t="s">
        <v>59</v>
      </c>
      <c r="T59" s="46"/>
      <c r="U59" s="28" t="s">
        <v>135</v>
      </c>
    </row>
    <row r="60" spans="1:21" s="27" customFormat="1" x14ac:dyDescent="0.25">
      <c r="A60" s="28" t="s">
        <v>21</v>
      </c>
      <c r="B60" s="28" t="s">
        <v>148</v>
      </c>
      <c r="C60" s="28" t="s">
        <v>21</v>
      </c>
      <c r="D60" s="31">
        <v>1</v>
      </c>
      <c r="E60" s="70" t="s">
        <v>237</v>
      </c>
      <c r="F60" s="45">
        <v>298</v>
      </c>
      <c r="G60" s="32"/>
      <c r="H60" s="32">
        <v>1.873</v>
      </c>
      <c r="I60" s="32">
        <v>1.8660000000000001</v>
      </c>
      <c r="J60" s="33">
        <f t="shared" si="19"/>
        <v>6.9999999999998952E-3</v>
      </c>
      <c r="K60" s="34" t="str">
        <f t="shared" si="16"/>
        <v/>
      </c>
      <c r="L60" s="35">
        <f t="shared" si="20"/>
        <v>7.45</v>
      </c>
      <c r="M60" s="36" t="str">
        <f t="shared" si="21"/>
        <v/>
      </c>
      <c r="N60" s="37" t="s">
        <v>18</v>
      </c>
      <c r="O60" s="29">
        <v>1</v>
      </c>
      <c r="P60" s="38">
        <v>40</v>
      </c>
      <c r="Q60" s="46"/>
      <c r="R60" s="28" t="s">
        <v>191</v>
      </c>
      <c r="S60" s="28" t="s">
        <v>21</v>
      </c>
      <c r="T60" s="46"/>
      <c r="U60" s="28" t="s">
        <v>135</v>
      </c>
    </row>
    <row r="61" spans="1:21" s="27" customFormat="1" x14ac:dyDescent="0.25">
      <c r="A61" s="28" t="s">
        <v>21</v>
      </c>
      <c r="B61" s="28" t="s">
        <v>149</v>
      </c>
      <c r="C61" s="28" t="s">
        <v>21</v>
      </c>
      <c r="D61" s="31">
        <v>1</v>
      </c>
      <c r="E61" s="70" t="s">
        <v>127</v>
      </c>
      <c r="F61" s="45">
        <v>297</v>
      </c>
      <c r="G61" s="32"/>
      <c r="H61" s="32">
        <v>1.8660000000000001</v>
      </c>
      <c r="I61" s="32">
        <v>1.859</v>
      </c>
      <c r="J61" s="33">
        <f t="shared" si="19"/>
        <v>7.0000000000001172E-3</v>
      </c>
      <c r="K61" s="34" t="str">
        <f t="shared" si="16"/>
        <v/>
      </c>
      <c r="L61" s="35">
        <f t="shared" si="20"/>
        <v>7.4249999999999998</v>
      </c>
      <c r="M61" s="36" t="str">
        <f t="shared" si="21"/>
        <v/>
      </c>
      <c r="N61" s="37" t="s">
        <v>18</v>
      </c>
      <c r="O61" s="29">
        <v>1</v>
      </c>
      <c r="P61" s="38">
        <v>40</v>
      </c>
      <c r="Q61" s="46"/>
      <c r="R61" s="28" t="s">
        <v>192</v>
      </c>
      <c r="S61" s="28" t="s">
        <v>21</v>
      </c>
      <c r="T61" s="46"/>
      <c r="U61" s="28" t="s">
        <v>135</v>
      </c>
    </row>
    <row r="62" spans="1:21" s="27" customFormat="1" x14ac:dyDescent="0.25">
      <c r="A62" s="28" t="s">
        <v>21</v>
      </c>
      <c r="B62" s="28" t="s">
        <v>150</v>
      </c>
      <c r="C62" s="28" t="s">
        <v>21</v>
      </c>
      <c r="D62" s="31">
        <v>1</v>
      </c>
      <c r="E62" s="70" t="s">
        <v>236</v>
      </c>
      <c r="F62" s="45">
        <v>297</v>
      </c>
      <c r="G62" s="32"/>
      <c r="H62" s="32">
        <v>1.865</v>
      </c>
      <c r="I62" s="32">
        <v>1.859</v>
      </c>
      <c r="J62" s="33">
        <f t="shared" si="19"/>
        <v>6.0000000000000053E-3</v>
      </c>
      <c r="K62" s="34" t="str">
        <f t="shared" si="16"/>
        <v/>
      </c>
      <c r="L62" s="35">
        <f t="shared" si="20"/>
        <v>7.4249999999999998</v>
      </c>
      <c r="M62" s="36" t="str">
        <f t="shared" si="21"/>
        <v/>
      </c>
      <c r="N62" s="37" t="s">
        <v>18</v>
      </c>
      <c r="O62" s="29">
        <v>1</v>
      </c>
      <c r="P62" s="38">
        <v>40</v>
      </c>
      <c r="Q62" s="46"/>
      <c r="R62" s="28" t="s">
        <v>193</v>
      </c>
      <c r="S62" s="28" t="s">
        <v>21</v>
      </c>
      <c r="T62" s="46"/>
      <c r="U62" s="28" t="s">
        <v>135</v>
      </c>
    </row>
    <row r="63" spans="1:21" s="27" customFormat="1" x14ac:dyDescent="0.25">
      <c r="A63" s="28" t="s">
        <v>21</v>
      </c>
      <c r="B63" s="28" t="s">
        <v>151</v>
      </c>
      <c r="C63" s="28" t="s">
        <v>21</v>
      </c>
      <c r="D63" s="31">
        <v>1</v>
      </c>
      <c r="E63" s="70" t="s">
        <v>108</v>
      </c>
      <c r="F63" s="45">
        <v>300</v>
      </c>
      <c r="G63" s="32"/>
      <c r="H63" s="32">
        <v>1.875</v>
      </c>
      <c r="I63" s="32">
        <v>1.867</v>
      </c>
      <c r="J63" s="33">
        <f t="shared" si="19"/>
        <v>8.0000000000000071E-3</v>
      </c>
      <c r="K63" s="34" t="str">
        <f t="shared" si="16"/>
        <v/>
      </c>
      <c r="L63" s="35">
        <f t="shared" si="20"/>
        <v>7.5</v>
      </c>
      <c r="M63" s="36" t="str">
        <f t="shared" si="21"/>
        <v/>
      </c>
      <c r="N63" s="37" t="s">
        <v>18</v>
      </c>
      <c r="O63" s="29">
        <v>1</v>
      </c>
      <c r="P63" s="38">
        <v>40</v>
      </c>
      <c r="Q63" s="46"/>
      <c r="R63" s="28" t="s">
        <v>194</v>
      </c>
      <c r="S63" s="28" t="s">
        <v>21</v>
      </c>
      <c r="T63" s="46"/>
      <c r="U63" s="28" t="s">
        <v>135</v>
      </c>
    </row>
    <row r="64" spans="1:21" s="27" customFormat="1" x14ac:dyDescent="0.25">
      <c r="A64" s="28" t="s">
        <v>21</v>
      </c>
      <c r="B64" s="28" t="s">
        <v>152</v>
      </c>
      <c r="C64" s="28" t="s">
        <v>21</v>
      </c>
      <c r="D64" s="31">
        <v>1</v>
      </c>
      <c r="E64" s="70" t="s">
        <v>232</v>
      </c>
      <c r="F64" s="45">
        <v>295</v>
      </c>
      <c r="G64" s="32"/>
      <c r="H64" s="32">
        <v>1.871</v>
      </c>
      <c r="I64" s="32">
        <v>1.8640000000000001</v>
      </c>
      <c r="J64" s="33">
        <f t="shared" si="19"/>
        <v>6.9999999999998952E-3</v>
      </c>
      <c r="K64" s="34" t="str">
        <f t="shared" si="16"/>
        <v/>
      </c>
      <c r="L64" s="35">
        <f t="shared" si="20"/>
        <v>7.375</v>
      </c>
      <c r="M64" s="36" t="str">
        <f t="shared" si="21"/>
        <v/>
      </c>
      <c r="N64" s="37" t="s">
        <v>18</v>
      </c>
      <c r="O64" s="29">
        <v>1</v>
      </c>
      <c r="P64" s="38">
        <v>40</v>
      </c>
      <c r="Q64" s="46"/>
      <c r="R64" s="28" t="s">
        <v>195</v>
      </c>
      <c r="S64" s="28" t="s">
        <v>21</v>
      </c>
      <c r="T64" s="46"/>
      <c r="U64" s="28" t="s">
        <v>135</v>
      </c>
    </row>
    <row r="65" spans="1:21" s="27" customFormat="1" x14ac:dyDescent="0.25">
      <c r="A65" s="28" t="s">
        <v>21</v>
      </c>
      <c r="B65" s="28" t="s">
        <v>153</v>
      </c>
      <c r="C65" s="28" t="s">
        <v>21</v>
      </c>
      <c r="D65" s="31">
        <v>1</v>
      </c>
      <c r="E65" s="70" t="s">
        <v>105</v>
      </c>
      <c r="F65" s="45">
        <v>298</v>
      </c>
      <c r="G65" s="32"/>
      <c r="H65" s="32">
        <v>1.861</v>
      </c>
      <c r="I65" s="32">
        <v>1.8540000000000001</v>
      </c>
      <c r="J65" s="33">
        <f t="shared" si="19"/>
        <v>6.9999999999998952E-3</v>
      </c>
      <c r="K65" s="34" t="str">
        <f t="shared" si="16"/>
        <v/>
      </c>
      <c r="L65" s="35">
        <f t="shared" si="20"/>
        <v>7.45</v>
      </c>
      <c r="M65" s="36" t="str">
        <f t="shared" si="21"/>
        <v/>
      </c>
      <c r="N65" s="37" t="s">
        <v>18</v>
      </c>
      <c r="O65" s="29">
        <v>1</v>
      </c>
      <c r="P65" s="38">
        <v>40</v>
      </c>
      <c r="Q65" s="46"/>
      <c r="R65" s="28" t="s">
        <v>196</v>
      </c>
      <c r="S65" s="28" t="s">
        <v>21</v>
      </c>
      <c r="T65" s="46"/>
      <c r="U65" s="28" t="s">
        <v>135</v>
      </c>
    </row>
    <row r="66" spans="1:21" s="27" customFormat="1" x14ac:dyDescent="0.25">
      <c r="A66" s="28" t="s">
        <v>21</v>
      </c>
      <c r="B66" s="28" t="s">
        <v>154</v>
      </c>
      <c r="C66" s="28" t="s">
        <v>21</v>
      </c>
      <c r="D66" s="31">
        <v>1</v>
      </c>
      <c r="E66" s="70" t="s">
        <v>235</v>
      </c>
      <c r="F66" s="45">
        <v>299</v>
      </c>
      <c r="G66" s="32"/>
      <c r="H66" s="32">
        <v>1.8540000000000001</v>
      </c>
      <c r="I66" s="32">
        <v>1.847</v>
      </c>
      <c r="J66" s="33">
        <f t="shared" si="19"/>
        <v>7.0000000000001172E-3</v>
      </c>
      <c r="K66" s="34" t="str">
        <f t="shared" si="16"/>
        <v/>
      </c>
      <c r="L66" s="35">
        <f t="shared" si="20"/>
        <v>7.4749999999999996</v>
      </c>
      <c r="M66" s="36" t="str">
        <f t="shared" si="21"/>
        <v/>
      </c>
      <c r="N66" s="37" t="s">
        <v>18</v>
      </c>
      <c r="O66" s="29">
        <v>1</v>
      </c>
      <c r="P66" s="38">
        <v>40</v>
      </c>
      <c r="Q66" s="46"/>
      <c r="R66" s="28" t="s">
        <v>197</v>
      </c>
      <c r="S66" s="28" t="s">
        <v>21</v>
      </c>
      <c r="T66" s="46"/>
      <c r="U66" s="28" t="s">
        <v>135</v>
      </c>
    </row>
    <row r="67" spans="1:21" s="27" customFormat="1" x14ac:dyDescent="0.25">
      <c r="A67" s="28" t="s">
        <v>21</v>
      </c>
      <c r="B67" s="28" t="s">
        <v>155</v>
      </c>
      <c r="C67" s="28" t="s">
        <v>21</v>
      </c>
      <c r="D67" s="31">
        <v>1</v>
      </c>
      <c r="E67" s="70" t="s">
        <v>104</v>
      </c>
      <c r="F67" s="45">
        <v>299</v>
      </c>
      <c r="G67" s="32"/>
      <c r="H67" s="32">
        <v>1.8580000000000001</v>
      </c>
      <c r="I67" s="32">
        <v>1.85</v>
      </c>
      <c r="J67" s="33">
        <f t="shared" si="19"/>
        <v>8.0000000000000071E-3</v>
      </c>
      <c r="K67" s="34" t="str">
        <f t="shared" si="16"/>
        <v/>
      </c>
      <c r="L67" s="35">
        <f t="shared" si="20"/>
        <v>7.4749999999999996</v>
      </c>
      <c r="M67" s="36" t="str">
        <f t="shared" si="21"/>
        <v/>
      </c>
      <c r="N67" s="37" t="s">
        <v>18</v>
      </c>
      <c r="O67" s="29">
        <v>1</v>
      </c>
      <c r="P67" s="38">
        <v>40</v>
      </c>
      <c r="Q67" s="46"/>
      <c r="R67" s="28" t="s">
        <v>198</v>
      </c>
      <c r="S67" s="28" t="s">
        <v>21</v>
      </c>
      <c r="T67" s="46"/>
      <c r="U67" s="28" t="s">
        <v>135</v>
      </c>
    </row>
    <row r="68" spans="1:21" s="27" customFormat="1" x14ac:dyDescent="0.25">
      <c r="A68" s="28" t="s">
        <v>21</v>
      </c>
      <c r="B68" s="28" t="s">
        <v>156</v>
      </c>
      <c r="C68" s="28">
        <v>698353</v>
      </c>
      <c r="D68" s="31">
        <v>1</v>
      </c>
      <c r="E68" s="30" t="s">
        <v>239</v>
      </c>
      <c r="F68" s="45">
        <v>299</v>
      </c>
      <c r="G68" s="32"/>
      <c r="H68" s="32">
        <v>1.857</v>
      </c>
      <c r="I68" s="32">
        <v>1.8480000000000001</v>
      </c>
      <c r="J68" s="33">
        <f t="shared" ref="J68:J75" si="22">IF(O68&lt;&gt;"",(H68-I68)/O68,"")</f>
        <v>8.999999999999897E-3</v>
      </c>
      <c r="K68" s="34" t="str">
        <f t="shared" si="16"/>
        <v/>
      </c>
      <c r="L68" s="35">
        <f t="shared" ref="L68:L75" si="23">F68/(O68*P68)</f>
        <v>7.4749999999999996</v>
      </c>
      <c r="M68" s="36" t="str">
        <f t="shared" ref="M68:M75" si="24">IF(L68=0,"",IF(OR(L68&lt;7,L68&gt;7.8),"X",""))</f>
        <v/>
      </c>
      <c r="N68" s="37" t="s">
        <v>18</v>
      </c>
      <c r="O68" s="29">
        <v>1</v>
      </c>
      <c r="P68" s="38">
        <v>40</v>
      </c>
      <c r="Q68" s="46"/>
      <c r="R68" s="28" t="s">
        <v>164</v>
      </c>
      <c r="S68" s="47"/>
      <c r="T68" s="46"/>
      <c r="U68" s="28" t="s">
        <v>31</v>
      </c>
    </row>
    <row r="69" spans="1:21" s="27" customFormat="1" x14ac:dyDescent="0.25">
      <c r="A69" s="28" t="s">
        <v>21</v>
      </c>
      <c r="B69" s="28" t="s">
        <v>157</v>
      </c>
      <c r="C69" s="28" t="s">
        <v>21</v>
      </c>
      <c r="D69" s="31">
        <v>1</v>
      </c>
      <c r="E69" s="30" t="s">
        <v>64</v>
      </c>
      <c r="F69" s="45">
        <v>296</v>
      </c>
      <c r="G69" s="32"/>
      <c r="H69" s="32">
        <v>1.8620000000000001</v>
      </c>
      <c r="I69" s="32">
        <v>1.853</v>
      </c>
      <c r="J69" s="33">
        <f t="shared" si="22"/>
        <v>9.000000000000119E-3</v>
      </c>
      <c r="K69" s="34" t="str">
        <f t="shared" si="16"/>
        <v/>
      </c>
      <c r="L69" s="35">
        <f t="shared" si="23"/>
        <v>7.4</v>
      </c>
      <c r="M69" s="36" t="str">
        <f t="shared" si="24"/>
        <v/>
      </c>
      <c r="N69" s="37" t="s">
        <v>18</v>
      </c>
      <c r="O69" s="29">
        <v>1</v>
      </c>
      <c r="P69" s="38">
        <v>40</v>
      </c>
      <c r="Q69" s="46"/>
      <c r="R69" s="28" t="s">
        <v>165</v>
      </c>
      <c r="S69" s="47"/>
      <c r="T69" s="46"/>
      <c r="U69" s="28" t="s">
        <v>31</v>
      </c>
    </row>
    <row r="70" spans="1:21" s="27" customFormat="1" x14ac:dyDescent="0.25">
      <c r="A70" s="28" t="s">
        <v>21</v>
      </c>
      <c r="B70" s="28" t="s">
        <v>158</v>
      </c>
      <c r="C70" s="28" t="s">
        <v>21</v>
      </c>
      <c r="D70" s="31">
        <v>1</v>
      </c>
      <c r="E70" s="30" t="s">
        <v>133</v>
      </c>
      <c r="F70" s="45">
        <v>298</v>
      </c>
      <c r="G70" s="32"/>
      <c r="H70" s="32">
        <v>1.8580000000000001</v>
      </c>
      <c r="I70" s="32">
        <v>1.85</v>
      </c>
      <c r="J70" s="33">
        <f t="shared" si="22"/>
        <v>8.0000000000000071E-3</v>
      </c>
      <c r="K70" s="34" t="str">
        <f t="shared" si="16"/>
        <v/>
      </c>
      <c r="L70" s="35">
        <f t="shared" si="23"/>
        <v>7.45</v>
      </c>
      <c r="M70" s="36" t="str">
        <f t="shared" si="24"/>
        <v/>
      </c>
      <c r="N70" s="37" t="s">
        <v>18</v>
      </c>
      <c r="O70" s="29">
        <v>1</v>
      </c>
      <c r="P70" s="38">
        <v>40</v>
      </c>
      <c r="Q70" s="46"/>
      <c r="R70" s="28" t="s">
        <v>166</v>
      </c>
      <c r="S70" s="47"/>
      <c r="T70" s="46"/>
      <c r="U70" s="28" t="s">
        <v>31</v>
      </c>
    </row>
    <row r="71" spans="1:21" s="27" customFormat="1" x14ac:dyDescent="0.25">
      <c r="A71" s="28" t="s">
        <v>21</v>
      </c>
      <c r="B71" s="28" t="s">
        <v>159</v>
      </c>
      <c r="C71" s="28" t="s">
        <v>21</v>
      </c>
      <c r="D71" s="31">
        <v>1</v>
      </c>
      <c r="E71" s="30" t="s">
        <v>131</v>
      </c>
      <c r="F71" s="45">
        <v>298</v>
      </c>
      <c r="G71" s="32"/>
      <c r="H71" s="32">
        <v>1.8560000000000001</v>
      </c>
      <c r="I71" s="32">
        <v>1.85</v>
      </c>
      <c r="J71" s="33">
        <f t="shared" si="22"/>
        <v>6.0000000000000053E-3</v>
      </c>
      <c r="K71" s="34" t="str">
        <f t="shared" si="16"/>
        <v/>
      </c>
      <c r="L71" s="35">
        <f t="shared" si="23"/>
        <v>7.45</v>
      </c>
      <c r="M71" s="36" t="str">
        <f t="shared" si="24"/>
        <v/>
      </c>
      <c r="N71" s="37" t="s">
        <v>18</v>
      </c>
      <c r="O71" s="29">
        <v>1</v>
      </c>
      <c r="P71" s="38">
        <v>40</v>
      </c>
      <c r="Q71" s="46"/>
      <c r="R71" s="28" t="s">
        <v>167</v>
      </c>
      <c r="S71" s="47"/>
      <c r="T71" s="46"/>
      <c r="U71" s="28" t="s">
        <v>31</v>
      </c>
    </row>
    <row r="72" spans="1:21" s="27" customFormat="1" x14ac:dyDescent="0.25">
      <c r="A72" s="28" t="s">
        <v>21</v>
      </c>
      <c r="B72" s="28" t="s">
        <v>160</v>
      </c>
      <c r="C72" s="28" t="s">
        <v>21</v>
      </c>
      <c r="D72" s="31">
        <v>1</v>
      </c>
      <c r="E72" s="30" t="s">
        <v>238</v>
      </c>
      <c r="F72" s="45">
        <v>299</v>
      </c>
      <c r="G72" s="32"/>
      <c r="H72" s="32">
        <v>1.8480000000000001</v>
      </c>
      <c r="I72" s="32">
        <v>1.839</v>
      </c>
      <c r="J72" s="33">
        <f t="shared" si="22"/>
        <v>9.000000000000119E-3</v>
      </c>
      <c r="K72" s="34" t="str">
        <f t="shared" si="16"/>
        <v/>
      </c>
      <c r="L72" s="35">
        <f t="shared" si="23"/>
        <v>7.4749999999999996</v>
      </c>
      <c r="M72" s="36" t="str">
        <f t="shared" si="24"/>
        <v/>
      </c>
      <c r="N72" s="37" t="s">
        <v>18</v>
      </c>
      <c r="O72" s="29">
        <v>1</v>
      </c>
      <c r="P72" s="38">
        <v>40</v>
      </c>
      <c r="Q72" s="46"/>
      <c r="R72" s="28" t="s">
        <v>168</v>
      </c>
      <c r="S72" s="47"/>
      <c r="T72" s="46"/>
      <c r="U72" s="28" t="s">
        <v>31</v>
      </c>
    </row>
    <row r="73" spans="1:21" s="27" customFormat="1" x14ac:dyDescent="0.25">
      <c r="A73" s="28" t="s">
        <v>21</v>
      </c>
      <c r="B73" s="28" t="s">
        <v>161</v>
      </c>
      <c r="C73" s="28" t="s">
        <v>21</v>
      </c>
      <c r="D73" s="31">
        <v>1</v>
      </c>
      <c r="E73" s="30" t="s">
        <v>133</v>
      </c>
      <c r="F73" s="45">
        <v>298</v>
      </c>
      <c r="G73" s="32"/>
      <c r="H73" s="32">
        <v>1.8520000000000001</v>
      </c>
      <c r="I73" s="32">
        <v>1.845</v>
      </c>
      <c r="J73" s="33">
        <f t="shared" si="22"/>
        <v>7.0000000000001172E-3</v>
      </c>
      <c r="K73" s="34" t="str">
        <f t="shared" si="16"/>
        <v/>
      </c>
      <c r="L73" s="35">
        <f t="shared" si="23"/>
        <v>7.45</v>
      </c>
      <c r="M73" s="36" t="str">
        <f t="shared" si="24"/>
        <v/>
      </c>
      <c r="N73" s="37" t="s">
        <v>18</v>
      </c>
      <c r="O73" s="29">
        <v>1</v>
      </c>
      <c r="P73" s="38">
        <v>40</v>
      </c>
      <c r="Q73" s="46"/>
      <c r="R73" s="28" t="s">
        <v>169</v>
      </c>
      <c r="S73" s="47"/>
      <c r="T73" s="46"/>
      <c r="U73" s="28" t="s">
        <v>31</v>
      </c>
    </row>
    <row r="74" spans="1:21" s="27" customFormat="1" x14ac:dyDescent="0.25">
      <c r="A74" s="28" t="s">
        <v>21</v>
      </c>
      <c r="B74" s="28" t="s">
        <v>162</v>
      </c>
      <c r="C74" s="28" t="s">
        <v>21</v>
      </c>
      <c r="D74" s="31">
        <v>1</v>
      </c>
      <c r="E74" s="30" t="s">
        <v>132</v>
      </c>
      <c r="F74" s="45">
        <v>298</v>
      </c>
      <c r="G74" s="32"/>
      <c r="H74" s="32">
        <v>1.867</v>
      </c>
      <c r="I74" s="32">
        <v>1.861</v>
      </c>
      <c r="J74" s="33">
        <f t="shared" si="22"/>
        <v>6.0000000000000053E-3</v>
      </c>
      <c r="K74" s="34" t="str">
        <f t="shared" si="16"/>
        <v/>
      </c>
      <c r="L74" s="35">
        <f t="shared" si="23"/>
        <v>7.45</v>
      </c>
      <c r="M74" s="36" t="str">
        <f t="shared" si="24"/>
        <v/>
      </c>
      <c r="N74" s="37" t="s">
        <v>18</v>
      </c>
      <c r="O74" s="29">
        <v>1</v>
      </c>
      <c r="P74" s="38">
        <v>40</v>
      </c>
      <c r="Q74" s="46"/>
      <c r="R74" s="28" t="s">
        <v>170</v>
      </c>
      <c r="S74" s="47"/>
      <c r="T74" s="46"/>
      <c r="U74" s="28" t="s">
        <v>31</v>
      </c>
    </row>
    <row r="75" spans="1:21" s="27" customFormat="1" x14ac:dyDescent="0.25">
      <c r="A75" s="28" t="s">
        <v>21</v>
      </c>
      <c r="B75" s="28" t="s">
        <v>163</v>
      </c>
      <c r="C75" s="28" t="s">
        <v>21</v>
      </c>
      <c r="D75" s="31">
        <v>1</v>
      </c>
      <c r="E75" s="30" t="s">
        <v>133</v>
      </c>
      <c r="F75" s="45">
        <v>297</v>
      </c>
      <c r="G75" s="32"/>
      <c r="H75" s="32">
        <v>1.87</v>
      </c>
      <c r="I75" s="32">
        <v>1.8640000000000001</v>
      </c>
      <c r="J75" s="33">
        <f t="shared" si="22"/>
        <v>6.0000000000000053E-3</v>
      </c>
      <c r="K75" s="34" t="str">
        <f t="shared" si="16"/>
        <v/>
      </c>
      <c r="L75" s="35">
        <f t="shared" si="23"/>
        <v>7.4249999999999998</v>
      </c>
      <c r="M75" s="36" t="str">
        <f t="shared" si="24"/>
        <v/>
      </c>
      <c r="N75" s="37" t="s">
        <v>18</v>
      </c>
      <c r="O75" s="29">
        <v>1</v>
      </c>
      <c r="P75" s="38">
        <v>40</v>
      </c>
      <c r="Q75" s="46"/>
      <c r="R75" s="28" t="s">
        <v>171</v>
      </c>
      <c r="S75" s="47"/>
      <c r="T75" s="46"/>
      <c r="U75" s="28" t="s">
        <v>31</v>
      </c>
    </row>
    <row r="76" spans="1:21" s="27" customFormat="1" x14ac:dyDescent="0.25">
      <c r="A76" s="28" t="s">
        <v>229</v>
      </c>
      <c r="B76" s="28" t="s">
        <v>172</v>
      </c>
      <c r="C76" s="28">
        <v>698353</v>
      </c>
      <c r="D76" s="31">
        <v>1</v>
      </c>
      <c r="E76" s="30" t="s">
        <v>240</v>
      </c>
      <c r="F76" s="45">
        <v>899</v>
      </c>
      <c r="G76" s="32">
        <v>1.867</v>
      </c>
      <c r="H76" s="32">
        <v>5.6109999999999998</v>
      </c>
      <c r="I76" s="32">
        <v>5.5940000000000003</v>
      </c>
      <c r="J76" s="33">
        <f>IF(O76&lt;&gt;"",(H76-I76)/O76,"")</f>
        <v>5.6666666666664867E-3</v>
      </c>
      <c r="K76" s="34" t="str">
        <f t="shared" si="16"/>
        <v/>
      </c>
      <c r="L76" s="35">
        <f>F76/(O76*P76)</f>
        <v>7.4916666666666663</v>
      </c>
      <c r="M76" s="36" t="str">
        <f>IF(L76=0,"",IF(OR(L76&lt;7,L76&gt;7.8),"X",""))</f>
        <v/>
      </c>
      <c r="N76" s="37" t="s">
        <v>23</v>
      </c>
      <c r="O76" s="29">
        <v>3</v>
      </c>
      <c r="P76" s="38">
        <v>40</v>
      </c>
      <c r="Q76" s="28"/>
      <c r="R76" s="28" t="s">
        <v>176</v>
      </c>
      <c r="S76" s="47"/>
      <c r="T76" s="46"/>
      <c r="U76" s="28" t="s">
        <v>31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31">
        <v>1</v>
      </c>
      <c r="E77" s="30"/>
      <c r="F77" s="31"/>
      <c r="G77" s="32">
        <v>1.8779999999999999</v>
      </c>
      <c r="H77" s="32"/>
      <c r="I77" s="32"/>
      <c r="J77" s="33" t="str">
        <f t="shared" ref="J77:J87" si="25">IF(O77&lt;&gt;"",(H77-I77)/O77,"")</f>
        <v/>
      </c>
      <c r="K77" s="34"/>
      <c r="L77" s="35"/>
      <c r="M77" s="36" t="str">
        <f t="shared" ref="M77:M87" si="26">IF(L77=0,"",IF(OR(L77&lt;7.4,L77&gt;8),"X",""))</f>
        <v/>
      </c>
      <c r="N77" s="37"/>
      <c r="O77" s="29"/>
      <c r="P77" s="38"/>
      <c r="Q77" s="28"/>
      <c r="R77" s="28" t="s">
        <v>177</v>
      </c>
      <c r="S77" s="47"/>
      <c r="T77" s="46"/>
      <c r="U77" s="28" t="s">
        <v>31</v>
      </c>
    </row>
    <row r="78" spans="1:21" s="27" customFormat="1" ht="14.25" customHeight="1" x14ac:dyDescent="0.25">
      <c r="A78" s="28" t="s">
        <v>21</v>
      </c>
      <c r="B78" s="28" t="s">
        <v>21</v>
      </c>
      <c r="C78" s="28">
        <v>698353</v>
      </c>
      <c r="D78" s="31">
        <v>1</v>
      </c>
      <c r="E78" s="30"/>
      <c r="F78" s="31"/>
      <c r="G78" s="32">
        <v>1.8680000000000001</v>
      </c>
      <c r="H78" s="32"/>
      <c r="I78" s="32"/>
      <c r="J78" s="33" t="str">
        <f t="shared" si="25"/>
        <v/>
      </c>
      <c r="K78" s="34"/>
      <c r="L78" s="35"/>
      <c r="M78" s="36" t="str">
        <f t="shared" si="26"/>
        <v/>
      </c>
      <c r="N78" s="37"/>
      <c r="O78" s="29"/>
      <c r="P78" s="38"/>
      <c r="Q78" s="28"/>
      <c r="R78" s="28" t="s">
        <v>178</v>
      </c>
      <c r="S78" s="47"/>
      <c r="T78" s="46"/>
      <c r="U78" s="28" t="s">
        <v>31</v>
      </c>
    </row>
    <row r="79" spans="1:21" s="27" customFormat="1" x14ac:dyDescent="0.25">
      <c r="A79" s="28" t="s">
        <v>21</v>
      </c>
      <c r="B79" s="28" t="s">
        <v>173</v>
      </c>
      <c r="C79" s="28" t="s">
        <v>21</v>
      </c>
      <c r="D79" s="31">
        <v>1</v>
      </c>
      <c r="E79" s="30" t="s">
        <v>133</v>
      </c>
      <c r="F79" s="45">
        <v>900</v>
      </c>
      <c r="G79" s="32">
        <v>1.87</v>
      </c>
      <c r="H79" s="32">
        <v>5.6189999999999998</v>
      </c>
      <c r="I79" s="32">
        <v>5.6</v>
      </c>
      <c r="J79" s="33">
        <f>IF(O79&lt;&gt;"",(H79-I79)/O79,"")</f>
        <v>6.3333333333333757E-3</v>
      </c>
      <c r="K79" s="34" t="str">
        <f t="shared" si="16"/>
        <v/>
      </c>
      <c r="L79" s="35">
        <f>F79/(O79*P79)</f>
        <v>7.5</v>
      </c>
      <c r="M79" s="36" t="str">
        <f>IF(L79=0,"",IF(OR(L79&lt;7,L79&gt;7.8),"X",""))</f>
        <v/>
      </c>
      <c r="N79" s="37" t="s">
        <v>23</v>
      </c>
      <c r="O79" s="29">
        <v>3</v>
      </c>
      <c r="P79" s="38">
        <v>40</v>
      </c>
      <c r="Q79" s="28"/>
      <c r="R79" s="28" t="s">
        <v>199</v>
      </c>
      <c r="S79" s="47"/>
      <c r="T79" s="46"/>
      <c r="U79" s="28" t="s">
        <v>31</v>
      </c>
    </row>
    <row r="80" spans="1:21" s="27" customFormat="1" x14ac:dyDescent="0.25">
      <c r="A80" s="28" t="s">
        <v>21</v>
      </c>
      <c r="B80" s="28" t="s">
        <v>21</v>
      </c>
      <c r="C80" s="28" t="s">
        <v>21</v>
      </c>
      <c r="D80" s="31">
        <v>1</v>
      </c>
      <c r="E80" s="30"/>
      <c r="F80" s="31"/>
      <c r="G80" s="32">
        <v>1.8779999999999999</v>
      </c>
      <c r="H80" s="32"/>
      <c r="I80" s="32"/>
      <c r="J80" s="33" t="str">
        <f t="shared" si="25"/>
        <v/>
      </c>
      <c r="K80" s="34"/>
      <c r="L80" s="35"/>
      <c r="M80" s="36" t="str">
        <f t="shared" si="26"/>
        <v/>
      </c>
      <c r="N80" s="37"/>
      <c r="O80" s="29"/>
      <c r="P80" s="38"/>
      <c r="Q80" s="28"/>
      <c r="R80" s="28" t="s">
        <v>200</v>
      </c>
      <c r="S80" s="47"/>
      <c r="T80" s="46"/>
      <c r="U80" s="28" t="s">
        <v>31</v>
      </c>
    </row>
    <row r="81" spans="1:21" s="27" customFormat="1" ht="14.25" customHeight="1" x14ac:dyDescent="0.25">
      <c r="A81" s="28" t="s">
        <v>21</v>
      </c>
      <c r="B81" s="28" t="s">
        <v>21</v>
      </c>
      <c r="C81" s="28" t="s">
        <v>21</v>
      </c>
      <c r="D81" s="31">
        <v>1</v>
      </c>
      <c r="E81" s="30"/>
      <c r="F81" s="31"/>
      <c r="G81" s="32">
        <v>1.873</v>
      </c>
      <c r="H81" s="32"/>
      <c r="I81" s="32"/>
      <c r="J81" s="33" t="str">
        <f t="shared" si="25"/>
        <v/>
      </c>
      <c r="K81" s="34"/>
      <c r="L81" s="35"/>
      <c r="M81" s="36" t="str">
        <f t="shared" si="26"/>
        <v/>
      </c>
      <c r="N81" s="37"/>
      <c r="O81" s="29"/>
      <c r="P81" s="38"/>
      <c r="Q81" s="28"/>
      <c r="R81" s="28" t="s">
        <v>201</v>
      </c>
      <c r="S81" s="47"/>
      <c r="T81" s="46"/>
      <c r="U81" s="28" t="s">
        <v>31</v>
      </c>
    </row>
    <row r="82" spans="1:21" s="27" customFormat="1" x14ac:dyDescent="0.25">
      <c r="A82" s="28" t="s">
        <v>21</v>
      </c>
      <c r="B82" s="28" t="s">
        <v>174</v>
      </c>
      <c r="C82" s="28" t="s">
        <v>21</v>
      </c>
      <c r="D82" s="31">
        <v>1</v>
      </c>
      <c r="E82" s="30" t="s">
        <v>268</v>
      </c>
      <c r="F82" s="45">
        <v>905</v>
      </c>
      <c r="G82" s="32">
        <v>1.843</v>
      </c>
      <c r="H82" s="32">
        <v>5.54</v>
      </c>
      <c r="I82" s="32">
        <v>5.5190000000000001</v>
      </c>
      <c r="J82" s="33">
        <f>IF(O82&lt;&gt;"",(H82-I82)/O82,"")</f>
        <v>6.9999999999999689E-3</v>
      </c>
      <c r="K82" s="34" t="str">
        <f t="shared" si="16"/>
        <v/>
      </c>
      <c r="L82" s="35">
        <f>F82/(O82*P82)</f>
        <v>7.541666666666667</v>
      </c>
      <c r="M82" s="36" t="str">
        <f>IF(L82=0,"",IF(OR(L82&lt;7,L82&gt;7.8),"X",""))</f>
        <v/>
      </c>
      <c r="N82" s="37" t="s">
        <v>23</v>
      </c>
      <c r="O82" s="29">
        <v>3</v>
      </c>
      <c r="P82" s="38">
        <v>40</v>
      </c>
      <c r="Q82" s="28"/>
      <c r="R82" s="28" t="s">
        <v>202</v>
      </c>
      <c r="S82" s="47"/>
      <c r="T82" s="46"/>
      <c r="U82" s="28" t="s">
        <v>31</v>
      </c>
    </row>
    <row r="83" spans="1:21" s="27" customFormat="1" x14ac:dyDescent="0.25">
      <c r="A83" s="28" t="s">
        <v>21</v>
      </c>
      <c r="B83" s="28" t="s">
        <v>21</v>
      </c>
      <c r="C83" s="28" t="s">
        <v>21</v>
      </c>
      <c r="D83" s="31">
        <v>1</v>
      </c>
      <c r="E83" s="30"/>
      <c r="F83" s="31"/>
      <c r="G83" s="32">
        <v>1.8480000000000001</v>
      </c>
      <c r="H83" s="32"/>
      <c r="I83" s="32"/>
      <c r="J83" s="33" t="str">
        <f t="shared" si="25"/>
        <v/>
      </c>
      <c r="K83" s="34"/>
      <c r="L83" s="35"/>
      <c r="M83" s="36" t="str">
        <f t="shared" si="26"/>
        <v/>
      </c>
      <c r="N83" s="37"/>
      <c r="O83" s="29"/>
      <c r="P83" s="38"/>
      <c r="Q83" s="28"/>
      <c r="R83" s="28" t="s">
        <v>203</v>
      </c>
      <c r="S83" s="47"/>
      <c r="T83" s="46"/>
      <c r="U83" s="28" t="s">
        <v>31</v>
      </c>
    </row>
    <row r="84" spans="1:21" s="27" customFormat="1" ht="14.25" customHeight="1" x14ac:dyDescent="0.25">
      <c r="A84" s="28" t="s">
        <v>21</v>
      </c>
      <c r="B84" s="28" t="s">
        <v>21</v>
      </c>
      <c r="C84" s="28" t="s">
        <v>21</v>
      </c>
      <c r="D84" s="31">
        <v>1</v>
      </c>
      <c r="E84" s="30"/>
      <c r="F84" s="31"/>
      <c r="G84" s="32">
        <v>1.849</v>
      </c>
      <c r="H84" s="32"/>
      <c r="I84" s="32"/>
      <c r="J84" s="33" t="str">
        <f t="shared" si="25"/>
        <v/>
      </c>
      <c r="K84" s="34"/>
      <c r="L84" s="35"/>
      <c r="M84" s="36" t="str">
        <f t="shared" si="26"/>
        <v/>
      </c>
      <c r="N84" s="37"/>
      <c r="O84" s="29"/>
      <c r="P84" s="38"/>
      <c r="Q84" s="28"/>
      <c r="R84" s="28" t="s">
        <v>204</v>
      </c>
      <c r="S84" s="47"/>
      <c r="T84" s="46"/>
      <c r="U84" s="28" t="s">
        <v>31</v>
      </c>
    </row>
    <row r="85" spans="1:21" s="27" customFormat="1" x14ac:dyDescent="0.25">
      <c r="A85" s="28" t="s">
        <v>21</v>
      </c>
      <c r="B85" s="28" t="s">
        <v>175</v>
      </c>
      <c r="C85" s="28" t="s">
        <v>21</v>
      </c>
      <c r="D85" s="31">
        <v>1</v>
      </c>
      <c r="E85" s="30" t="s">
        <v>269</v>
      </c>
      <c r="F85" s="45">
        <v>904</v>
      </c>
      <c r="G85" s="32">
        <v>1.8440000000000001</v>
      </c>
      <c r="H85" s="32">
        <v>5.5250000000000004</v>
      </c>
      <c r="I85" s="32">
        <v>5.5010000000000003</v>
      </c>
      <c r="J85" s="33">
        <f>IF(O85&lt;&gt;"",(H85-I85)/O85,"")</f>
        <v>8.0000000000000071E-3</v>
      </c>
      <c r="K85" s="34" t="str">
        <f t="shared" si="16"/>
        <v/>
      </c>
      <c r="L85" s="35">
        <f>F85/(O85*P85)</f>
        <v>7.5333333333333332</v>
      </c>
      <c r="M85" s="36" t="str">
        <f>IF(L85=0,"",IF(OR(L85&lt;7,L85&gt;7.8),"X",""))</f>
        <v/>
      </c>
      <c r="N85" s="37" t="s">
        <v>23</v>
      </c>
      <c r="O85" s="29">
        <v>3</v>
      </c>
      <c r="P85" s="38">
        <v>40</v>
      </c>
      <c r="Q85" s="28"/>
      <c r="R85" s="28" t="s">
        <v>205</v>
      </c>
      <c r="S85" s="47"/>
      <c r="T85" s="46"/>
      <c r="U85" s="28" t="s">
        <v>31</v>
      </c>
    </row>
    <row r="86" spans="1:21" s="27" customFormat="1" x14ac:dyDescent="0.25">
      <c r="A86" s="28" t="s">
        <v>21</v>
      </c>
      <c r="B86" s="28" t="s">
        <v>21</v>
      </c>
      <c r="C86" s="28" t="s">
        <v>21</v>
      </c>
      <c r="D86" s="31">
        <v>1</v>
      </c>
      <c r="E86" s="30"/>
      <c r="F86" s="31"/>
      <c r="G86" s="32">
        <v>1.84</v>
      </c>
      <c r="H86" s="32"/>
      <c r="I86" s="32"/>
      <c r="J86" s="33" t="str">
        <f t="shared" si="25"/>
        <v/>
      </c>
      <c r="K86" s="34"/>
      <c r="L86" s="35"/>
      <c r="M86" s="36" t="str">
        <f t="shared" si="26"/>
        <v/>
      </c>
      <c r="N86" s="37"/>
      <c r="O86" s="29"/>
      <c r="P86" s="38"/>
      <c r="Q86" s="28"/>
      <c r="R86" s="28" t="s">
        <v>207</v>
      </c>
      <c r="S86" s="47"/>
      <c r="T86" s="46"/>
      <c r="U86" s="28" t="s">
        <v>31</v>
      </c>
    </row>
    <row r="87" spans="1:21" s="27" customFormat="1" ht="14.25" customHeight="1" x14ac:dyDescent="0.25">
      <c r="A87" s="28" t="s">
        <v>21</v>
      </c>
      <c r="B87" s="28" t="s">
        <v>21</v>
      </c>
      <c r="C87" s="28" t="s">
        <v>21</v>
      </c>
      <c r="D87" s="31">
        <v>1</v>
      </c>
      <c r="E87" s="30"/>
      <c r="F87" s="31"/>
      <c r="G87" s="32">
        <v>1.841</v>
      </c>
      <c r="H87" s="32"/>
      <c r="I87" s="32"/>
      <c r="J87" s="33" t="str">
        <f t="shared" si="25"/>
        <v/>
      </c>
      <c r="K87" s="34"/>
      <c r="L87" s="35"/>
      <c r="M87" s="36" t="str">
        <f t="shared" si="26"/>
        <v/>
      </c>
      <c r="N87" s="37"/>
      <c r="O87" s="29"/>
      <c r="P87" s="38"/>
      <c r="Q87" s="28"/>
      <c r="R87" s="28" t="s">
        <v>206</v>
      </c>
      <c r="S87" s="47"/>
      <c r="T87" s="46"/>
      <c r="U87" s="28" t="s">
        <v>31</v>
      </c>
    </row>
    <row r="88" spans="1:21" s="27" customFormat="1" x14ac:dyDescent="0.25">
      <c r="A88" s="28" t="s">
        <v>230</v>
      </c>
      <c r="B88" s="28" t="s">
        <v>208</v>
      </c>
      <c r="C88" s="28">
        <v>642034</v>
      </c>
      <c r="D88" s="31">
        <v>1</v>
      </c>
      <c r="E88" s="70" t="s">
        <v>236</v>
      </c>
      <c r="F88" s="31">
        <v>185</v>
      </c>
      <c r="G88" s="32"/>
      <c r="H88" s="32">
        <v>1.8919999999999999</v>
      </c>
      <c r="I88" s="32">
        <v>1.887</v>
      </c>
      <c r="J88" s="33">
        <f t="shared" ref="J88:J108" si="27">IF(O88&lt;&gt;"",(H88-I88)/O88,"")</f>
        <v>4.9999999999998934E-3</v>
      </c>
      <c r="K88" s="34" t="str">
        <f t="shared" ref="K88:K135" si="28">IF(J88=0,"",IF(OR(J88&lt;0,J88&gt;0.03),"X",""))</f>
        <v/>
      </c>
      <c r="L88" s="35">
        <f t="shared" ref="L88:L108" si="29">F88/(O88*P88)</f>
        <v>7.4</v>
      </c>
      <c r="M88" s="36" t="str">
        <f t="shared" ref="M88:M108" si="30">IF(L88=0,"",IF(OR(L88&lt;7,L88&gt;7.8),"X",""))</f>
        <v/>
      </c>
      <c r="N88" s="37" t="s">
        <v>16</v>
      </c>
      <c r="O88" s="29">
        <v>1</v>
      </c>
      <c r="P88" s="38">
        <v>25</v>
      </c>
      <c r="Q88" s="28"/>
      <c r="R88" s="28" t="s">
        <v>273</v>
      </c>
      <c r="S88" s="71" t="s">
        <v>58</v>
      </c>
      <c r="T88" s="28"/>
      <c r="U88" s="28" t="s">
        <v>135</v>
      </c>
    </row>
    <row r="89" spans="1:21" s="27" customFormat="1" x14ac:dyDescent="0.25">
      <c r="A89" s="28" t="s">
        <v>21</v>
      </c>
      <c r="B89" s="28" t="s">
        <v>209</v>
      </c>
      <c r="C89" s="28" t="s">
        <v>21</v>
      </c>
      <c r="D89" s="31">
        <v>1</v>
      </c>
      <c r="E89" s="70" t="s">
        <v>235</v>
      </c>
      <c r="F89" s="31">
        <v>185</v>
      </c>
      <c r="G89" s="32"/>
      <c r="H89" s="32">
        <v>1.891</v>
      </c>
      <c r="I89" s="32">
        <v>1.8859999999999999</v>
      </c>
      <c r="J89" s="33">
        <f t="shared" si="27"/>
        <v>5.0000000000001155E-3</v>
      </c>
      <c r="K89" s="34" t="str">
        <f t="shared" si="28"/>
        <v/>
      </c>
      <c r="L89" s="35">
        <f t="shared" si="29"/>
        <v>7.4</v>
      </c>
      <c r="M89" s="36" t="str">
        <f t="shared" si="30"/>
        <v/>
      </c>
      <c r="N89" s="37" t="s">
        <v>16</v>
      </c>
      <c r="O89" s="29">
        <v>1</v>
      </c>
      <c r="P89" s="38">
        <v>25</v>
      </c>
      <c r="Q89" s="28"/>
      <c r="R89" s="28" t="s">
        <v>274</v>
      </c>
      <c r="S89" s="71" t="s">
        <v>59</v>
      </c>
      <c r="T89" s="28"/>
      <c r="U89" s="28" t="s">
        <v>135</v>
      </c>
    </row>
    <row r="90" spans="1:21" s="27" customFormat="1" x14ac:dyDescent="0.25">
      <c r="A90" s="28" t="s">
        <v>21</v>
      </c>
      <c r="B90" s="28" t="s">
        <v>210</v>
      </c>
      <c r="C90" s="28" t="s">
        <v>21</v>
      </c>
      <c r="D90" s="31">
        <v>1</v>
      </c>
      <c r="E90" s="70" t="s">
        <v>270</v>
      </c>
      <c r="F90" s="31">
        <v>185</v>
      </c>
      <c r="G90" s="32"/>
      <c r="H90" s="32">
        <v>1.893</v>
      </c>
      <c r="I90" s="32">
        <v>1.8879999999999999</v>
      </c>
      <c r="J90" s="33">
        <f t="shared" si="27"/>
        <v>5.0000000000001155E-3</v>
      </c>
      <c r="K90" s="34" t="str">
        <f t="shared" si="28"/>
        <v/>
      </c>
      <c r="L90" s="35">
        <f t="shared" si="29"/>
        <v>7.4</v>
      </c>
      <c r="M90" s="36" t="str">
        <f t="shared" si="30"/>
        <v/>
      </c>
      <c r="N90" s="37" t="s">
        <v>16</v>
      </c>
      <c r="O90" s="29">
        <v>1</v>
      </c>
      <c r="P90" s="38">
        <v>25</v>
      </c>
      <c r="Q90" s="28"/>
      <c r="R90" s="28" t="s">
        <v>275</v>
      </c>
      <c r="S90" s="28" t="s">
        <v>21</v>
      </c>
      <c r="T90" s="28"/>
      <c r="U90" s="28" t="s">
        <v>135</v>
      </c>
    </row>
    <row r="91" spans="1:21" s="27" customFormat="1" x14ac:dyDescent="0.25">
      <c r="A91" s="28" t="s">
        <v>21</v>
      </c>
      <c r="B91" s="28" t="s">
        <v>211</v>
      </c>
      <c r="C91" s="28" t="s">
        <v>21</v>
      </c>
      <c r="D91" s="31">
        <v>1</v>
      </c>
      <c r="E91" s="70" t="s">
        <v>234</v>
      </c>
      <c r="F91" s="31">
        <v>185</v>
      </c>
      <c r="G91" s="32"/>
      <c r="H91" s="32">
        <v>1.891</v>
      </c>
      <c r="I91" s="32">
        <v>1.8859999999999999</v>
      </c>
      <c r="J91" s="33">
        <f t="shared" si="27"/>
        <v>5.0000000000001155E-3</v>
      </c>
      <c r="K91" s="34" t="str">
        <f t="shared" si="28"/>
        <v/>
      </c>
      <c r="L91" s="35">
        <f t="shared" si="29"/>
        <v>7.4</v>
      </c>
      <c r="M91" s="36" t="str">
        <f t="shared" si="30"/>
        <v/>
      </c>
      <c r="N91" s="37" t="s">
        <v>16</v>
      </c>
      <c r="O91" s="29">
        <v>1</v>
      </c>
      <c r="P91" s="38">
        <v>25</v>
      </c>
      <c r="Q91" s="28"/>
      <c r="R91" s="28" t="s">
        <v>276</v>
      </c>
      <c r="S91" s="28" t="s">
        <v>21</v>
      </c>
      <c r="T91" s="28"/>
      <c r="U91" s="28" t="s">
        <v>135</v>
      </c>
    </row>
    <row r="92" spans="1:21" s="27" customFormat="1" x14ac:dyDescent="0.25">
      <c r="A92" s="28" t="s">
        <v>21</v>
      </c>
      <c r="B92" s="28" t="s">
        <v>212</v>
      </c>
      <c r="C92" s="28" t="s">
        <v>21</v>
      </c>
      <c r="D92" s="31">
        <v>1</v>
      </c>
      <c r="E92" s="70" t="s">
        <v>236</v>
      </c>
      <c r="F92" s="31">
        <v>185</v>
      </c>
      <c r="G92" s="32"/>
      <c r="H92" s="32">
        <v>1.9119999999999999</v>
      </c>
      <c r="I92" s="32">
        <v>1.907</v>
      </c>
      <c r="J92" s="33">
        <f t="shared" si="27"/>
        <v>4.9999999999998934E-3</v>
      </c>
      <c r="K92" s="34" t="str">
        <f t="shared" si="28"/>
        <v/>
      </c>
      <c r="L92" s="35">
        <f t="shared" si="29"/>
        <v>7.4</v>
      </c>
      <c r="M92" s="36" t="str">
        <f t="shared" si="30"/>
        <v/>
      </c>
      <c r="N92" s="37" t="s">
        <v>16</v>
      </c>
      <c r="O92" s="29">
        <v>1</v>
      </c>
      <c r="P92" s="38">
        <v>25</v>
      </c>
      <c r="Q92" s="28"/>
      <c r="R92" s="28" t="s">
        <v>277</v>
      </c>
      <c r="S92" s="28" t="s">
        <v>21</v>
      </c>
      <c r="T92" s="28"/>
      <c r="U92" s="28" t="s">
        <v>135</v>
      </c>
    </row>
    <row r="93" spans="1:21" s="27" customFormat="1" x14ac:dyDescent="0.25">
      <c r="A93" s="28" t="s">
        <v>21</v>
      </c>
      <c r="B93" s="28" t="s">
        <v>213</v>
      </c>
      <c r="C93" s="28" t="s">
        <v>21</v>
      </c>
      <c r="D93" s="31">
        <v>1</v>
      </c>
      <c r="E93" s="70" t="s">
        <v>237</v>
      </c>
      <c r="F93" s="31">
        <v>184</v>
      </c>
      <c r="G93" s="32"/>
      <c r="H93" s="32">
        <v>1.895</v>
      </c>
      <c r="I93" s="32">
        <v>1.889</v>
      </c>
      <c r="J93" s="33">
        <f t="shared" si="27"/>
        <v>6.0000000000000053E-3</v>
      </c>
      <c r="K93" s="34" t="str">
        <f t="shared" si="28"/>
        <v/>
      </c>
      <c r="L93" s="35">
        <f t="shared" si="29"/>
        <v>7.36</v>
      </c>
      <c r="M93" s="36" t="str">
        <f t="shared" si="30"/>
        <v/>
      </c>
      <c r="N93" s="37" t="s">
        <v>16</v>
      </c>
      <c r="O93" s="29">
        <v>1</v>
      </c>
      <c r="P93" s="38">
        <v>25</v>
      </c>
      <c r="Q93" s="28"/>
      <c r="R93" s="28" t="s">
        <v>278</v>
      </c>
      <c r="S93" s="28" t="s">
        <v>21</v>
      </c>
      <c r="T93" s="28"/>
      <c r="U93" s="28" t="s">
        <v>135</v>
      </c>
    </row>
    <row r="94" spans="1:21" s="27" customFormat="1" x14ac:dyDescent="0.25">
      <c r="A94" s="28" t="s">
        <v>21</v>
      </c>
      <c r="B94" s="28" t="s">
        <v>214</v>
      </c>
      <c r="C94" s="28" t="s">
        <v>21</v>
      </c>
      <c r="D94" s="31">
        <v>1</v>
      </c>
      <c r="E94" s="70" t="s">
        <v>234</v>
      </c>
      <c r="F94" s="31">
        <v>185</v>
      </c>
      <c r="G94" s="32"/>
      <c r="H94" s="32">
        <v>1.903</v>
      </c>
      <c r="I94" s="32">
        <v>1.897</v>
      </c>
      <c r="J94" s="33">
        <f t="shared" si="27"/>
        <v>6.0000000000000053E-3</v>
      </c>
      <c r="K94" s="34" t="str">
        <f t="shared" si="28"/>
        <v/>
      </c>
      <c r="L94" s="35">
        <f t="shared" si="29"/>
        <v>7.4</v>
      </c>
      <c r="M94" s="36" t="str">
        <f t="shared" si="30"/>
        <v/>
      </c>
      <c r="N94" s="37" t="s">
        <v>16</v>
      </c>
      <c r="O94" s="29">
        <v>1</v>
      </c>
      <c r="P94" s="38">
        <v>25</v>
      </c>
      <c r="Q94" s="28"/>
      <c r="R94" s="28" t="s">
        <v>279</v>
      </c>
      <c r="S94" s="28" t="s">
        <v>21</v>
      </c>
      <c r="T94" s="28"/>
      <c r="U94" s="28" t="s">
        <v>135</v>
      </c>
    </row>
    <row r="95" spans="1:21" s="27" customFormat="1" x14ac:dyDescent="0.25">
      <c r="A95" s="28" t="s">
        <v>21</v>
      </c>
      <c r="B95" s="28" t="s">
        <v>215</v>
      </c>
      <c r="C95" s="28" t="s">
        <v>21</v>
      </c>
      <c r="D95" s="31">
        <v>1</v>
      </c>
      <c r="E95" s="70" t="s">
        <v>236</v>
      </c>
      <c r="F95" s="31">
        <v>184</v>
      </c>
      <c r="G95" s="32"/>
      <c r="H95" s="32">
        <v>1.8959999999999999</v>
      </c>
      <c r="I95" s="32">
        <v>1.89</v>
      </c>
      <c r="J95" s="33">
        <f t="shared" si="27"/>
        <v>6.0000000000000053E-3</v>
      </c>
      <c r="K95" s="34" t="str">
        <f t="shared" si="28"/>
        <v/>
      </c>
      <c r="L95" s="35">
        <f t="shared" si="29"/>
        <v>7.36</v>
      </c>
      <c r="M95" s="36" t="str">
        <f t="shared" si="30"/>
        <v/>
      </c>
      <c r="N95" s="37" t="s">
        <v>16</v>
      </c>
      <c r="O95" s="29">
        <v>1</v>
      </c>
      <c r="P95" s="38">
        <v>25</v>
      </c>
      <c r="Q95" s="28"/>
      <c r="R95" s="28" t="s">
        <v>280</v>
      </c>
      <c r="S95" s="28" t="s">
        <v>21</v>
      </c>
      <c r="T95" s="28"/>
      <c r="U95" s="28" t="s">
        <v>135</v>
      </c>
    </row>
    <row r="96" spans="1:21" s="27" customFormat="1" x14ac:dyDescent="0.25">
      <c r="A96" s="28" t="s">
        <v>21</v>
      </c>
      <c r="B96" s="28" t="s">
        <v>216</v>
      </c>
      <c r="C96" s="28" t="s">
        <v>21</v>
      </c>
      <c r="D96" s="31">
        <v>1</v>
      </c>
      <c r="E96" s="70" t="s">
        <v>109</v>
      </c>
      <c r="F96" s="31">
        <v>184</v>
      </c>
      <c r="G96" s="32"/>
      <c r="H96" s="32">
        <v>1.889</v>
      </c>
      <c r="I96" s="32">
        <v>1.8839999999999999</v>
      </c>
      <c r="J96" s="33">
        <f t="shared" si="27"/>
        <v>5.0000000000001155E-3</v>
      </c>
      <c r="K96" s="34" t="str">
        <f t="shared" si="28"/>
        <v/>
      </c>
      <c r="L96" s="35">
        <f t="shared" si="29"/>
        <v>7.36</v>
      </c>
      <c r="M96" s="36" t="str">
        <f t="shared" si="30"/>
        <v/>
      </c>
      <c r="N96" s="37" t="s">
        <v>16</v>
      </c>
      <c r="O96" s="29">
        <v>1</v>
      </c>
      <c r="P96" s="38">
        <v>25</v>
      </c>
      <c r="Q96" s="28"/>
      <c r="R96" s="28" t="s">
        <v>281</v>
      </c>
      <c r="S96" s="28" t="s">
        <v>21</v>
      </c>
      <c r="T96" s="28"/>
      <c r="U96" s="28" t="s">
        <v>135</v>
      </c>
    </row>
    <row r="97" spans="1:21" s="27" customFormat="1" x14ac:dyDescent="0.25">
      <c r="A97" s="28" t="s">
        <v>21</v>
      </c>
      <c r="B97" s="28" t="s">
        <v>217</v>
      </c>
      <c r="C97" s="28" t="s">
        <v>21</v>
      </c>
      <c r="D97" s="31">
        <v>1</v>
      </c>
      <c r="E97" s="70" t="s">
        <v>109</v>
      </c>
      <c r="F97" s="31">
        <v>181</v>
      </c>
      <c r="G97" s="32"/>
      <c r="H97" s="32">
        <v>1.8879999999999999</v>
      </c>
      <c r="I97" s="32">
        <v>1.883</v>
      </c>
      <c r="J97" s="33">
        <f t="shared" si="27"/>
        <v>4.9999999999998934E-3</v>
      </c>
      <c r="K97" s="34" t="str">
        <f t="shared" si="28"/>
        <v/>
      </c>
      <c r="L97" s="35">
        <f t="shared" si="29"/>
        <v>7.24</v>
      </c>
      <c r="M97" s="36" t="str">
        <f t="shared" si="30"/>
        <v/>
      </c>
      <c r="N97" s="37" t="s">
        <v>16</v>
      </c>
      <c r="O97" s="29">
        <v>1</v>
      </c>
      <c r="P97" s="38">
        <v>25</v>
      </c>
      <c r="Q97" s="28"/>
      <c r="R97" s="28" t="s">
        <v>282</v>
      </c>
      <c r="S97" s="28" t="s">
        <v>21</v>
      </c>
      <c r="T97" s="28"/>
      <c r="U97" s="28" t="s">
        <v>135</v>
      </c>
    </row>
    <row r="98" spans="1:21" s="27" customFormat="1" x14ac:dyDescent="0.25">
      <c r="A98" s="28" t="s">
        <v>21</v>
      </c>
      <c r="B98" s="28" t="s">
        <v>218</v>
      </c>
      <c r="C98" s="28" t="s">
        <v>21</v>
      </c>
      <c r="D98" s="31">
        <v>1</v>
      </c>
      <c r="E98" s="70" t="s">
        <v>109</v>
      </c>
      <c r="F98" s="31">
        <v>186</v>
      </c>
      <c r="G98" s="32"/>
      <c r="H98" s="32">
        <v>1.9079999999999999</v>
      </c>
      <c r="I98" s="32">
        <v>1.903</v>
      </c>
      <c r="J98" s="33">
        <f t="shared" si="27"/>
        <v>4.9999999999998934E-3</v>
      </c>
      <c r="K98" s="34" t="str">
        <f t="shared" si="28"/>
        <v/>
      </c>
      <c r="L98" s="35">
        <f t="shared" si="29"/>
        <v>7.44</v>
      </c>
      <c r="M98" s="36" t="str">
        <f t="shared" si="30"/>
        <v/>
      </c>
      <c r="N98" s="37" t="s">
        <v>16</v>
      </c>
      <c r="O98" s="29">
        <v>1</v>
      </c>
      <c r="P98" s="38">
        <v>25</v>
      </c>
      <c r="Q98" s="28"/>
      <c r="R98" s="28" t="s">
        <v>283</v>
      </c>
      <c r="S98" s="71" t="s">
        <v>103</v>
      </c>
      <c r="T98" s="28"/>
      <c r="U98" s="28" t="s">
        <v>135</v>
      </c>
    </row>
    <row r="99" spans="1:21" s="27" customFormat="1" x14ac:dyDescent="0.25">
      <c r="A99" s="28" t="s">
        <v>21</v>
      </c>
      <c r="B99" s="28" t="s">
        <v>219</v>
      </c>
      <c r="C99" s="28" t="s">
        <v>21</v>
      </c>
      <c r="D99" s="31">
        <v>1</v>
      </c>
      <c r="E99" s="70" t="s">
        <v>236</v>
      </c>
      <c r="F99" s="31">
        <v>187</v>
      </c>
      <c r="G99" s="32"/>
      <c r="H99" s="32">
        <v>1.917</v>
      </c>
      <c r="I99" s="32">
        <v>1.911</v>
      </c>
      <c r="J99" s="33">
        <f t="shared" si="27"/>
        <v>6.0000000000000053E-3</v>
      </c>
      <c r="K99" s="34" t="str">
        <f t="shared" si="28"/>
        <v/>
      </c>
      <c r="L99" s="35">
        <f t="shared" si="29"/>
        <v>7.48</v>
      </c>
      <c r="M99" s="36" t="str">
        <f t="shared" si="30"/>
        <v/>
      </c>
      <c r="N99" s="37" t="s">
        <v>16</v>
      </c>
      <c r="O99" s="29">
        <v>1</v>
      </c>
      <c r="P99" s="38">
        <v>25</v>
      </c>
      <c r="Q99" s="28"/>
      <c r="R99" s="28" t="s">
        <v>284</v>
      </c>
      <c r="S99" s="71" t="s">
        <v>59</v>
      </c>
      <c r="T99" s="28"/>
      <c r="U99" s="28" t="s">
        <v>135</v>
      </c>
    </row>
    <row r="100" spans="1:21" s="27" customFormat="1" x14ac:dyDescent="0.25">
      <c r="A100" s="28" t="s">
        <v>21</v>
      </c>
      <c r="B100" s="28" t="s">
        <v>220</v>
      </c>
      <c r="C100" s="28" t="s">
        <v>21</v>
      </c>
      <c r="D100" s="31">
        <v>1</v>
      </c>
      <c r="E100" s="70" t="s">
        <v>234</v>
      </c>
      <c r="F100" s="31">
        <v>187</v>
      </c>
      <c r="G100" s="32"/>
      <c r="H100" s="32">
        <v>1.895</v>
      </c>
      <c r="I100" s="32">
        <v>1.889</v>
      </c>
      <c r="J100" s="33">
        <f t="shared" si="27"/>
        <v>6.0000000000000053E-3</v>
      </c>
      <c r="K100" s="34" t="str">
        <f t="shared" si="28"/>
        <v/>
      </c>
      <c r="L100" s="35">
        <f t="shared" si="29"/>
        <v>7.48</v>
      </c>
      <c r="M100" s="36" t="str">
        <f t="shared" si="30"/>
        <v/>
      </c>
      <c r="N100" s="37" t="s">
        <v>16</v>
      </c>
      <c r="O100" s="29">
        <v>1</v>
      </c>
      <c r="P100" s="38">
        <v>25</v>
      </c>
      <c r="Q100" s="28"/>
      <c r="R100" s="28" t="s">
        <v>285</v>
      </c>
      <c r="S100" s="28" t="s">
        <v>21</v>
      </c>
      <c r="T100" s="28"/>
      <c r="U100" s="28" t="s">
        <v>135</v>
      </c>
    </row>
    <row r="101" spans="1:21" s="27" customFormat="1" x14ac:dyDescent="0.25">
      <c r="A101" s="28" t="s">
        <v>21</v>
      </c>
      <c r="B101" s="28" t="s">
        <v>221</v>
      </c>
      <c r="C101" s="28" t="s">
        <v>21</v>
      </c>
      <c r="D101" s="31">
        <v>1</v>
      </c>
      <c r="E101" s="70" t="s">
        <v>237</v>
      </c>
      <c r="F101" s="31">
        <v>187</v>
      </c>
      <c r="G101" s="32"/>
      <c r="H101" s="32">
        <v>1.8939999999999999</v>
      </c>
      <c r="I101" s="32">
        <v>1.8879999999999999</v>
      </c>
      <c r="J101" s="33">
        <f t="shared" si="27"/>
        <v>6.0000000000000053E-3</v>
      </c>
      <c r="K101" s="34" t="str">
        <f t="shared" si="28"/>
        <v/>
      </c>
      <c r="L101" s="35">
        <f t="shared" si="29"/>
        <v>7.48</v>
      </c>
      <c r="M101" s="36" t="str">
        <f t="shared" si="30"/>
        <v/>
      </c>
      <c r="N101" s="37" t="s">
        <v>16</v>
      </c>
      <c r="O101" s="29">
        <v>1</v>
      </c>
      <c r="P101" s="38">
        <v>25</v>
      </c>
      <c r="Q101" s="28"/>
      <c r="R101" s="28" t="s">
        <v>286</v>
      </c>
      <c r="S101" s="28" t="s">
        <v>21</v>
      </c>
      <c r="T101" s="28"/>
      <c r="U101" s="28" t="s">
        <v>135</v>
      </c>
    </row>
    <row r="102" spans="1:21" s="27" customFormat="1" x14ac:dyDescent="0.25">
      <c r="A102" s="28" t="s">
        <v>21</v>
      </c>
      <c r="B102" s="28" t="s">
        <v>222</v>
      </c>
      <c r="C102" s="28" t="s">
        <v>21</v>
      </c>
      <c r="D102" s="31">
        <v>1</v>
      </c>
      <c r="E102" s="70" t="s">
        <v>271</v>
      </c>
      <c r="F102" s="31">
        <v>186</v>
      </c>
      <c r="G102" s="32"/>
      <c r="H102" s="32">
        <v>1.8939999999999999</v>
      </c>
      <c r="I102" s="32">
        <v>1.889</v>
      </c>
      <c r="J102" s="33">
        <f t="shared" si="27"/>
        <v>4.9999999999998934E-3</v>
      </c>
      <c r="K102" s="34" t="str">
        <f t="shared" si="28"/>
        <v/>
      </c>
      <c r="L102" s="35">
        <f t="shared" si="29"/>
        <v>7.44</v>
      </c>
      <c r="M102" s="36" t="str">
        <f t="shared" si="30"/>
        <v/>
      </c>
      <c r="N102" s="37" t="s">
        <v>16</v>
      </c>
      <c r="O102" s="29">
        <v>1</v>
      </c>
      <c r="P102" s="38">
        <v>25</v>
      </c>
      <c r="Q102" s="28"/>
      <c r="R102" s="28" t="s">
        <v>287</v>
      </c>
      <c r="S102" s="28" t="s">
        <v>21</v>
      </c>
      <c r="T102" s="28"/>
      <c r="U102" s="28" t="s">
        <v>135</v>
      </c>
    </row>
    <row r="103" spans="1:21" s="27" customFormat="1" x14ac:dyDescent="0.25">
      <c r="A103" s="28" t="s">
        <v>21</v>
      </c>
      <c r="B103" s="28" t="s">
        <v>223</v>
      </c>
      <c r="C103" s="28" t="s">
        <v>21</v>
      </c>
      <c r="D103" s="31">
        <v>1</v>
      </c>
      <c r="E103" s="70" t="s">
        <v>236</v>
      </c>
      <c r="F103" s="31">
        <v>185</v>
      </c>
      <c r="G103" s="32"/>
      <c r="H103" s="32">
        <v>1.8859999999999999</v>
      </c>
      <c r="I103" s="32">
        <v>1.881</v>
      </c>
      <c r="J103" s="33">
        <f t="shared" si="27"/>
        <v>4.9999999999998934E-3</v>
      </c>
      <c r="K103" s="34" t="str">
        <f t="shared" si="28"/>
        <v/>
      </c>
      <c r="L103" s="35">
        <f t="shared" si="29"/>
        <v>7.4</v>
      </c>
      <c r="M103" s="36" t="str">
        <f t="shared" si="30"/>
        <v/>
      </c>
      <c r="N103" s="37" t="s">
        <v>16</v>
      </c>
      <c r="O103" s="29">
        <v>1</v>
      </c>
      <c r="P103" s="38">
        <v>25</v>
      </c>
      <c r="Q103" s="28"/>
      <c r="R103" s="28" t="s">
        <v>288</v>
      </c>
      <c r="S103" s="28" t="s">
        <v>21</v>
      </c>
      <c r="T103" s="28"/>
      <c r="U103" s="28" t="s">
        <v>135</v>
      </c>
    </row>
    <row r="104" spans="1:21" s="27" customFormat="1" x14ac:dyDescent="0.25">
      <c r="A104" s="28" t="s">
        <v>21</v>
      </c>
      <c r="B104" s="28" t="s">
        <v>224</v>
      </c>
      <c r="C104" s="28" t="s">
        <v>21</v>
      </c>
      <c r="D104" s="31">
        <v>1</v>
      </c>
      <c r="E104" s="70" t="s">
        <v>237</v>
      </c>
      <c r="F104" s="31">
        <v>186</v>
      </c>
      <c r="G104" s="32"/>
      <c r="H104" s="32">
        <v>1.8819999999999999</v>
      </c>
      <c r="I104" s="32">
        <v>1.8759999999999999</v>
      </c>
      <c r="J104" s="33">
        <f t="shared" si="27"/>
        <v>6.0000000000000053E-3</v>
      </c>
      <c r="K104" s="34" t="str">
        <f t="shared" si="28"/>
        <v/>
      </c>
      <c r="L104" s="35">
        <f t="shared" si="29"/>
        <v>7.44</v>
      </c>
      <c r="M104" s="36" t="str">
        <f t="shared" si="30"/>
        <v/>
      </c>
      <c r="N104" s="37" t="s">
        <v>16</v>
      </c>
      <c r="O104" s="29">
        <v>1</v>
      </c>
      <c r="P104" s="38">
        <v>25</v>
      </c>
      <c r="Q104" s="28"/>
      <c r="R104" s="28" t="s">
        <v>289</v>
      </c>
      <c r="S104" s="28" t="s">
        <v>21</v>
      </c>
      <c r="T104" s="28"/>
      <c r="U104" s="28" t="s">
        <v>135</v>
      </c>
    </row>
    <row r="105" spans="1:21" s="27" customFormat="1" x14ac:dyDescent="0.25">
      <c r="A105" s="28" t="s">
        <v>21</v>
      </c>
      <c r="B105" s="28" t="s">
        <v>225</v>
      </c>
      <c r="C105" s="28" t="s">
        <v>21</v>
      </c>
      <c r="D105" s="31">
        <v>1</v>
      </c>
      <c r="E105" s="70" t="s">
        <v>271</v>
      </c>
      <c r="F105" s="31">
        <v>186</v>
      </c>
      <c r="G105" s="32"/>
      <c r="H105" s="32">
        <v>1.8939999999999999</v>
      </c>
      <c r="I105" s="32">
        <v>1.889</v>
      </c>
      <c r="J105" s="33">
        <f t="shared" si="27"/>
        <v>4.9999999999998934E-3</v>
      </c>
      <c r="K105" s="34" t="str">
        <f t="shared" si="28"/>
        <v/>
      </c>
      <c r="L105" s="35">
        <f t="shared" si="29"/>
        <v>7.44</v>
      </c>
      <c r="M105" s="36" t="str">
        <f t="shared" si="30"/>
        <v/>
      </c>
      <c r="N105" s="37" t="s">
        <v>16</v>
      </c>
      <c r="O105" s="29">
        <v>1</v>
      </c>
      <c r="P105" s="38">
        <v>25</v>
      </c>
      <c r="Q105" s="28"/>
      <c r="R105" s="28" t="s">
        <v>290</v>
      </c>
      <c r="S105" s="28" t="s">
        <v>21</v>
      </c>
      <c r="T105" s="28"/>
      <c r="U105" s="28" t="s">
        <v>135</v>
      </c>
    </row>
    <row r="106" spans="1:21" s="27" customFormat="1" x14ac:dyDescent="0.25">
      <c r="A106" s="28" t="s">
        <v>21</v>
      </c>
      <c r="B106" s="28" t="s">
        <v>226</v>
      </c>
      <c r="C106" s="28" t="s">
        <v>21</v>
      </c>
      <c r="D106" s="31">
        <v>1</v>
      </c>
      <c r="E106" s="70" t="s">
        <v>272</v>
      </c>
      <c r="F106" s="31">
        <v>184</v>
      </c>
      <c r="G106" s="32"/>
      <c r="H106" s="32">
        <v>1.893</v>
      </c>
      <c r="I106" s="32">
        <v>1.8879999999999999</v>
      </c>
      <c r="J106" s="33">
        <f t="shared" si="27"/>
        <v>5.0000000000001155E-3</v>
      </c>
      <c r="K106" s="34" t="str">
        <f t="shared" si="28"/>
        <v/>
      </c>
      <c r="L106" s="35">
        <f t="shared" si="29"/>
        <v>7.36</v>
      </c>
      <c r="M106" s="36" t="str">
        <f t="shared" si="30"/>
        <v/>
      </c>
      <c r="N106" s="37" t="s">
        <v>16</v>
      </c>
      <c r="O106" s="29">
        <v>1</v>
      </c>
      <c r="P106" s="38">
        <v>25</v>
      </c>
      <c r="Q106" s="28"/>
      <c r="R106" s="28" t="s">
        <v>291</v>
      </c>
      <c r="S106" s="28" t="s">
        <v>21</v>
      </c>
      <c r="T106" s="28"/>
      <c r="U106" s="28" t="s">
        <v>135</v>
      </c>
    </row>
    <row r="107" spans="1:21" s="27" customFormat="1" x14ac:dyDescent="0.25">
      <c r="A107" s="28" t="s">
        <v>21</v>
      </c>
      <c r="B107" s="28" t="s">
        <v>227</v>
      </c>
      <c r="C107" s="28" t="s">
        <v>21</v>
      </c>
      <c r="D107" s="31">
        <v>1</v>
      </c>
      <c r="E107" s="70" t="s">
        <v>237</v>
      </c>
      <c r="F107" s="31">
        <v>186</v>
      </c>
      <c r="G107" s="32"/>
      <c r="H107" s="32">
        <v>1.873</v>
      </c>
      <c r="I107" s="32">
        <v>1.867</v>
      </c>
      <c r="J107" s="33">
        <f t="shared" si="27"/>
        <v>6.0000000000000053E-3</v>
      </c>
      <c r="K107" s="34" t="str">
        <f t="shared" si="28"/>
        <v/>
      </c>
      <c r="L107" s="35">
        <f t="shared" si="29"/>
        <v>7.44</v>
      </c>
      <c r="M107" s="36" t="str">
        <f t="shared" si="30"/>
        <v/>
      </c>
      <c r="N107" s="37" t="s">
        <v>16</v>
      </c>
      <c r="O107" s="29">
        <v>1</v>
      </c>
      <c r="P107" s="38">
        <v>25</v>
      </c>
      <c r="Q107" s="28"/>
      <c r="R107" s="28" t="s">
        <v>292</v>
      </c>
      <c r="S107" s="28" t="s">
        <v>21</v>
      </c>
      <c r="T107" s="28"/>
      <c r="U107" s="28" t="s">
        <v>135</v>
      </c>
    </row>
    <row r="108" spans="1:21" s="27" customFormat="1" x14ac:dyDescent="0.25">
      <c r="A108" s="28" t="s">
        <v>266</v>
      </c>
      <c r="B108" s="28" t="s">
        <v>241</v>
      </c>
      <c r="C108" s="28">
        <v>698353</v>
      </c>
      <c r="D108" s="31">
        <v>1</v>
      </c>
      <c r="E108" s="70" t="s">
        <v>324</v>
      </c>
      <c r="F108" s="45">
        <v>900</v>
      </c>
      <c r="G108" s="32">
        <v>1.8520000000000001</v>
      </c>
      <c r="H108" s="32">
        <v>5.5449999999999999</v>
      </c>
      <c r="I108" s="32">
        <v>5.5279999999999996</v>
      </c>
      <c r="J108" s="33">
        <f t="shared" si="27"/>
        <v>5.6666666666667824E-3</v>
      </c>
      <c r="K108" s="34" t="str">
        <f t="shared" si="28"/>
        <v/>
      </c>
      <c r="L108" s="35">
        <f t="shared" si="29"/>
        <v>7.5</v>
      </c>
      <c r="M108" s="36" t="str">
        <f t="shared" si="30"/>
        <v/>
      </c>
      <c r="N108" s="37" t="s">
        <v>23</v>
      </c>
      <c r="O108" s="29">
        <v>3</v>
      </c>
      <c r="P108" s="38">
        <v>40</v>
      </c>
      <c r="Q108" s="28"/>
      <c r="R108" s="28" t="s">
        <v>293</v>
      </c>
      <c r="S108" s="71" t="s">
        <v>58</v>
      </c>
      <c r="T108" s="46"/>
      <c r="U108" s="28" t="s">
        <v>135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31">
        <v>1</v>
      </c>
      <c r="E109" s="70"/>
      <c r="F109" s="31"/>
      <c r="G109" s="32">
        <v>1.8480000000000001</v>
      </c>
      <c r="H109" s="32"/>
      <c r="I109" s="32"/>
      <c r="J109" s="33" t="str">
        <f t="shared" ref="J109:J137" si="31">IF(O109&lt;&gt;"",(H109-I109)/O109,"")</f>
        <v/>
      </c>
      <c r="K109" s="34"/>
      <c r="L109" s="35"/>
      <c r="M109" s="36" t="str">
        <f t="shared" ref="M109:M137" si="32">IF(L109=0,"",IF(OR(L109&lt;7.4,L109&gt;8),"X",""))</f>
        <v/>
      </c>
      <c r="N109" s="37"/>
      <c r="O109" s="29"/>
      <c r="P109" s="38"/>
      <c r="Q109" s="28"/>
      <c r="R109" s="28" t="s">
        <v>294</v>
      </c>
      <c r="S109" s="71" t="s">
        <v>59</v>
      </c>
      <c r="T109" s="46"/>
      <c r="U109" s="28" t="s">
        <v>135</v>
      </c>
    </row>
    <row r="110" spans="1:21" s="27" customFormat="1" ht="14.25" customHeight="1" x14ac:dyDescent="0.25">
      <c r="A110" s="28" t="s">
        <v>21</v>
      </c>
      <c r="B110" s="28" t="s">
        <v>21</v>
      </c>
      <c r="C110" s="28" t="s">
        <v>21</v>
      </c>
      <c r="D110" s="31">
        <v>1</v>
      </c>
      <c r="E110" s="70"/>
      <c r="F110" s="31"/>
      <c r="G110" s="32">
        <v>1.845</v>
      </c>
      <c r="H110" s="32"/>
      <c r="I110" s="32"/>
      <c r="J110" s="33" t="str">
        <f t="shared" si="31"/>
        <v/>
      </c>
      <c r="K110" s="34"/>
      <c r="L110" s="35"/>
      <c r="M110" s="36" t="str">
        <f t="shared" si="32"/>
        <v/>
      </c>
      <c r="N110" s="37"/>
      <c r="O110" s="29"/>
      <c r="P110" s="38"/>
      <c r="Q110" s="28"/>
      <c r="R110" s="28" t="s">
        <v>295</v>
      </c>
      <c r="S110" s="28" t="s">
        <v>21</v>
      </c>
      <c r="T110" s="46"/>
      <c r="U110" s="28" t="s">
        <v>135</v>
      </c>
    </row>
    <row r="111" spans="1:21" s="27" customFormat="1" x14ac:dyDescent="0.25">
      <c r="A111" s="28" t="s">
        <v>21</v>
      </c>
      <c r="B111" s="28" t="s">
        <v>242</v>
      </c>
      <c r="C111" s="28" t="s">
        <v>21</v>
      </c>
      <c r="D111" s="31">
        <v>1</v>
      </c>
      <c r="E111" s="70" t="s">
        <v>325</v>
      </c>
      <c r="F111" s="45">
        <v>900</v>
      </c>
      <c r="G111" s="32">
        <v>1.8520000000000001</v>
      </c>
      <c r="H111" s="32">
        <v>5.5449999999999999</v>
      </c>
      <c r="I111" s="32">
        <v>5.5259999999999998</v>
      </c>
      <c r="J111" s="33">
        <f>IF(O111&lt;&gt;"",(H111-I111)/O111,"")</f>
        <v>6.3333333333333757E-3</v>
      </c>
      <c r="K111" s="34" t="str">
        <f t="shared" si="28"/>
        <v/>
      </c>
      <c r="L111" s="35">
        <f>F111/(O111*P111)</f>
        <v>7.5</v>
      </c>
      <c r="M111" s="36" t="str">
        <f>IF(L111=0,"",IF(OR(L111&lt;7,L111&gt;7.8),"X",""))</f>
        <v/>
      </c>
      <c r="N111" s="37" t="s">
        <v>23</v>
      </c>
      <c r="O111" s="29">
        <v>3</v>
      </c>
      <c r="P111" s="38">
        <v>40</v>
      </c>
      <c r="Q111" s="28"/>
      <c r="R111" s="28" t="s">
        <v>296</v>
      </c>
      <c r="S111" s="28" t="s">
        <v>21</v>
      </c>
      <c r="T111" s="46"/>
      <c r="U111" s="28" t="s">
        <v>135</v>
      </c>
    </row>
    <row r="112" spans="1:21" s="27" customFormat="1" x14ac:dyDescent="0.25">
      <c r="A112" s="28" t="s">
        <v>21</v>
      </c>
      <c r="B112" s="28" t="s">
        <v>21</v>
      </c>
      <c r="C112" s="28" t="s">
        <v>21</v>
      </c>
      <c r="D112" s="31">
        <v>1</v>
      </c>
      <c r="E112" s="70"/>
      <c r="F112" s="31"/>
      <c r="G112" s="32">
        <v>1.851</v>
      </c>
      <c r="H112" s="32"/>
      <c r="I112" s="32"/>
      <c r="J112" s="33" t="str">
        <f t="shared" si="31"/>
        <v/>
      </c>
      <c r="K112" s="34"/>
      <c r="L112" s="35"/>
      <c r="M112" s="36" t="str">
        <f t="shared" si="32"/>
        <v/>
      </c>
      <c r="N112" s="37"/>
      <c r="O112" s="29"/>
      <c r="P112" s="38"/>
      <c r="Q112" s="28"/>
      <c r="R112" s="28" t="s">
        <v>297</v>
      </c>
      <c r="S112" s="28" t="s">
        <v>21</v>
      </c>
      <c r="T112" s="46"/>
      <c r="U112" s="28" t="s">
        <v>135</v>
      </c>
    </row>
    <row r="113" spans="1:21" s="27" customFormat="1" ht="14.25" customHeight="1" x14ac:dyDescent="0.25">
      <c r="A113" s="28" t="s">
        <v>21</v>
      </c>
      <c r="B113" s="28" t="s">
        <v>21</v>
      </c>
      <c r="C113" s="28" t="s">
        <v>21</v>
      </c>
      <c r="D113" s="31">
        <v>1</v>
      </c>
      <c r="E113" s="70"/>
      <c r="F113" s="31"/>
      <c r="G113" s="32">
        <v>1.8420000000000001</v>
      </c>
      <c r="H113" s="32"/>
      <c r="I113" s="32"/>
      <c r="J113" s="33" t="str">
        <f t="shared" si="31"/>
        <v/>
      </c>
      <c r="K113" s="34"/>
      <c r="L113" s="35"/>
      <c r="M113" s="36" t="str">
        <f t="shared" si="32"/>
        <v/>
      </c>
      <c r="N113" s="37"/>
      <c r="O113" s="29"/>
      <c r="P113" s="38"/>
      <c r="Q113" s="28"/>
      <c r="R113" s="28" t="s">
        <v>298</v>
      </c>
      <c r="S113" s="28" t="s">
        <v>21</v>
      </c>
      <c r="T113" s="46"/>
      <c r="U113" s="28" t="s">
        <v>135</v>
      </c>
    </row>
    <row r="114" spans="1:21" s="27" customFormat="1" x14ac:dyDescent="0.25">
      <c r="A114" s="28" t="s">
        <v>21</v>
      </c>
      <c r="B114" s="28" t="s">
        <v>243</v>
      </c>
      <c r="C114" s="28" t="s">
        <v>21</v>
      </c>
      <c r="D114" s="31">
        <v>1</v>
      </c>
      <c r="E114" s="70" t="s">
        <v>110</v>
      </c>
      <c r="F114" s="45">
        <v>899</v>
      </c>
      <c r="G114" s="32">
        <v>1.8460000000000001</v>
      </c>
      <c r="H114" s="32">
        <v>5.5410000000000004</v>
      </c>
      <c r="I114" s="32">
        <v>5.5220000000000002</v>
      </c>
      <c r="J114" s="33">
        <f>IF(O114&lt;&gt;"",(H114-I114)/O114,"")</f>
        <v>6.3333333333333757E-3</v>
      </c>
      <c r="K114" s="34" t="str">
        <f t="shared" si="28"/>
        <v/>
      </c>
      <c r="L114" s="35">
        <f>F114/(O114*P114)</f>
        <v>7.4916666666666663</v>
      </c>
      <c r="M114" s="36" t="str">
        <f>IF(L114=0,"",IF(OR(L114&lt;7,L114&gt;7.8),"X",""))</f>
        <v/>
      </c>
      <c r="N114" s="37" t="s">
        <v>23</v>
      </c>
      <c r="O114" s="29">
        <v>3</v>
      </c>
      <c r="P114" s="38">
        <v>40</v>
      </c>
      <c r="Q114" s="28"/>
      <c r="R114" s="28" t="s">
        <v>299</v>
      </c>
      <c r="S114" s="28" t="s">
        <v>21</v>
      </c>
      <c r="T114" s="46"/>
      <c r="U114" s="28" t="s">
        <v>135</v>
      </c>
    </row>
    <row r="115" spans="1:21" s="27" customFormat="1" x14ac:dyDescent="0.25">
      <c r="A115" s="28" t="s">
        <v>21</v>
      </c>
      <c r="B115" s="28" t="s">
        <v>21</v>
      </c>
      <c r="C115" s="28" t="s">
        <v>21</v>
      </c>
      <c r="D115" s="31">
        <v>1</v>
      </c>
      <c r="E115" s="70"/>
      <c r="F115" s="31"/>
      <c r="G115" s="32">
        <v>1.849</v>
      </c>
      <c r="H115" s="32"/>
      <c r="I115" s="32"/>
      <c r="J115" s="33" t="str">
        <f t="shared" si="31"/>
        <v/>
      </c>
      <c r="K115" s="34"/>
      <c r="L115" s="35"/>
      <c r="M115" s="36" t="str">
        <f t="shared" si="32"/>
        <v/>
      </c>
      <c r="N115" s="37"/>
      <c r="O115" s="29"/>
      <c r="P115" s="38"/>
      <c r="Q115" s="28"/>
      <c r="R115" s="28" t="s">
        <v>300</v>
      </c>
      <c r="S115" s="28" t="s">
        <v>21</v>
      </c>
      <c r="T115" s="46"/>
      <c r="U115" s="28" t="s">
        <v>135</v>
      </c>
    </row>
    <row r="116" spans="1:21" s="27" customFormat="1" ht="14.25" customHeight="1" x14ac:dyDescent="0.25">
      <c r="A116" s="28" t="s">
        <v>21</v>
      </c>
      <c r="B116" s="28" t="s">
        <v>21</v>
      </c>
      <c r="C116" s="28" t="s">
        <v>21</v>
      </c>
      <c r="D116" s="31">
        <v>1</v>
      </c>
      <c r="E116" s="70"/>
      <c r="F116" s="31"/>
      <c r="G116" s="32">
        <v>1.8460000000000001</v>
      </c>
      <c r="H116" s="32"/>
      <c r="I116" s="32"/>
      <c r="J116" s="33" t="str">
        <f t="shared" si="31"/>
        <v/>
      </c>
      <c r="K116" s="34"/>
      <c r="L116" s="35"/>
      <c r="M116" s="36" t="str">
        <f t="shared" si="32"/>
        <v/>
      </c>
      <c r="N116" s="37"/>
      <c r="O116" s="29"/>
      <c r="P116" s="38"/>
      <c r="Q116" s="28"/>
      <c r="R116" s="28" t="s">
        <v>301</v>
      </c>
      <c r="S116" s="28" t="s">
        <v>21</v>
      </c>
      <c r="T116" s="46"/>
      <c r="U116" s="28" t="s">
        <v>135</v>
      </c>
    </row>
    <row r="117" spans="1:21" s="27" customFormat="1" x14ac:dyDescent="0.25">
      <c r="A117" s="28" t="s">
        <v>21</v>
      </c>
      <c r="B117" s="28" t="s">
        <v>244</v>
      </c>
      <c r="C117" s="28" t="s">
        <v>21</v>
      </c>
      <c r="D117" s="31">
        <v>1</v>
      </c>
      <c r="E117" s="70" t="s">
        <v>130</v>
      </c>
      <c r="F117" s="45">
        <v>899</v>
      </c>
      <c r="G117" s="32">
        <v>1.8480000000000001</v>
      </c>
      <c r="H117" s="32">
        <v>5.5430000000000001</v>
      </c>
      <c r="I117" s="32">
        <v>5.5229999999999997</v>
      </c>
      <c r="J117" s="33">
        <f>IF(O117&lt;&gt;"",(H117-I117)/O117,"")</f>
        <v>6.6666666666668206E-3</v>
      </c>
      <c r="K117" s="34" t="str">
        <f t="shared" si="28"/>
        <v/>
      </c>
      <c r="L117" s="35">
        <f>F117/(O117*P117)</f>
        <v>7.4916666666666663</v>
      </c>
      <c r="M117" s="36" t="str">
        <f>IF(L117=0,"",IF(OR(L117&lt;7,L117&gt;7.8),"X",""))</f>
        <v/>
      </c>
      <c r="N117" s="37" t="s">
        <v>23</v>
      </c>
      <c r="O117" s="29">
        <v>3</v>
      </c>
      <c r="P117" s="38">
        <v>40</v>
      </c>
      <c r="Q117" s="28"/>
      <c r="R117" s="28" t="s">
        <v>302</v>
      </c>
      <c r="S117" s="28" t="s">
        <v>21</v>
      </c>
      <c r="T117" s="46"/>
      <c r="U117" s="28" t="s">
        <v>135</v>
      </c>
    </row>
    <row r="118" spans="1:21" s="27" customFormat="1" x14ac:dyDescent="0.25">
      <c r="A118" s="28" t="s">
        <v>21</v>
      </c>
      <c r="B118" s="28" t="s">
        <v>21</v>
      </c>
      <c r="C118" s="28" t="s">
        <v>21</v>
      </c>
      <c r="D118" s="31">
        <v>1</v>
      </c>
      <c r="E118" s="70"/>
      <c r="F118" s="31"/>
      <c r="G118" s="32">
        <v>1.8520000000000001</v>
      </c>
      <c r="H118" s="32"/>
      <c r="I118" s="32"/>
      <c r="J118" s="33" t="str">
        <f t="shared" si="31"/>
        <v/>
      </c>
      <c r="K118" s="34"/>
      <c r="L118" s="35"/>
      <c r="M118" s="36" t="str">
        <f t="shared" si="32"/>
        <v/>
      </c>
      <c r="N118" s="37"/>
      <c r="O118" s="29"/>
      <c r="P118" s="38"/>
      <c r="Q118" s="28"/>
      <c r="R118" s="28" t="s">
        <v>303</v>
      </c>
      <c r="S118" s="28" t="s">
        <v>21</v>
      </c>
      <c r="T118" s="46"/>
      <c r="U118" s="28" t="s">
        <v>135</v>
      </c>
    </row>
    <row r="119" spans="1:21" s="27" customFormat="1" ht="14.25" customHeight="1" x14ac:dyDescent="0.25">
      <c r="A119" s="28" t="s">
        <v>21</v>
      </c>
      <c r="B119" s="28" t="s">
        <v>21</v>
      </c>
      <c r="C119" s="28" t="s">
        <v>21</v>
      </c>
      <c r="D119" s="31">
        <v>1</v>
      </c>
      <c r="E119" s="70"/>
      <c r="F119" s="31"/>
      <c r="G119" s="32">
        <v>1.843</v>
      </c>
      <c r="H119" s="32"/>
      <c r="I119" s="32"/>
      <c r="J119" s="33" t="str">
        <f t="shared" si="31"/>
        <v/>
      </c>
      <c r="K119" s="34"/>
      <c r="L119" s="35"/>
      <c r="M119" s="36" t="str">
        <f t="shared" si="32"/>
        <v/>
      </c>
      <c r="N119" s="37"/>
      <c r="O119" s="29"/>
      <c r="P119" s="38"/>
      <c r="Q119" s="28"/>
      <c r="R119" s="28" t="s">
        <v>304</v>
      </c>
      <c r="S119" s="28" t="s">
        <v>21</v>
      </c>
      <c r="T119" s="46"/>
      <c r="U119" s="28" t="s">
        <v>135</v>
      </c>
    </row>
    <row r="120" spans="1:21" s="27" customFormat="1" x14ac:dyDescent="0.25">
      <c r="A120" s="28" t="s">
        <v>21</v>
      </c>
      <c r="B120" s="28" t="s">
        <v>245</v>
      </c>
      <c r="C120" s="28" t="s">
        <v>21</v>
      </c>
      <c r="D120" s="31">
        <v>1</v>
      </c>
      <c r="E120" s="70" t="s">
        <v>324</v>
      </c>
      <c r="F120" s="45">
        <v>901</v>
      </c>
      <c r="G120" s="32">
        <v>1.8360000000000001</v>
      </c>
      <c r="H120" s="32">
        <v>5.5250000000000004</v>
      </c>
      <c r="I120" s="32">
        <v>5.5060000000000002</v>
      </c>
      <c r="J120" s="33">
        <f>IF(O120&lt;&gt;"",(H120-I120)/O120,"")</f>
        <v>6.3333333333333757E-3</v>
      </c>
      <c r="K120" s="34" t="str">
        <f t="shared" si="28"/>
        <v/>
      </c>
      <c r="L120" s="35">
        <f>F120/(O120*P120)</f>
        <v>7.5083333333333337</v>
      </c>
      <c r="M120" s="36" t="str">
        <f>IF(L120=0,"",IF(OR(L120&lt;7,L120&gt;7.8),"X",""))</f>
        <v/>
      </c>
      <c r="N120" s="37" t="s">
        <v>23</v>
      </c>
      <c r="O120" s="29">
        <v>3</v>
      </c>
      <c r="P120" s="38">
        <v>40</v>
      </c>
      <c r="Q120" s="28"/>
      <c r="R120" s="28" t="s">
        <v>305</v>
      </c>
      <c r="S120" s="28" t="s">
        <v>21</v>
      </c>
      <c r="T120" s="46"/>
      <c r="U120" s="28" t="s">
        <v>135</v>
      </c>
    </row>
    <row r="121" spans="1:21" s="27" customFormat="1" x14ac:dyDescent="0.25">
      <c r="A121" s="28" t="s">
        <v>21</v>
      </c>
      <c r="B121" s="28" t="s">
        <v>21</v>
      </c>
      <c r="C121" s="28" t="s">
        <v>21</v>
      </c>
      <c r="D121" s="31">
        <v>1</v>
      </c>
      <c r="E121" s="70"/>
      <c r="F121" s="31"/>
      <c r="G121" s="32">
        <v>1.84</v>
      </c>
      <c r="H121" s="32"/>
      <c r="I121" s="32"/>
      <c r="J121" s="33" t="str">
        <f t="shared" si="31"/>
        <v/>
      </c>
      <c r="K121" s="34"/>
      <c r="L121" s="35"/>
      <c r="M121" s="36" t="str">
        <f t="shared" si="32"/>
        <v/>
      </c>
      <c r="N121" s="37"/>
      <c r="O121" s="29"/>
      <c r="P121" s="38"/>
      <c r="Q121" s="28"/>
      <c r="R121" s="28" t="s">
        <v>306</v>
      </c>
      <c r="S121" s="28" t="s">
        <v>21</v>
      </c>
      <c r="T121" s="46"/>
      <c r="U121" s="28" t="s">
        <v>135</v>
      </c>
    </row>
    <row r="122" spans="1:21" s="27" customFormat="1" ht="14.25" customHeight="1" x14ac:dyDescent="0.25">
      <c r="A122" s="28" t="s">
        <v>21</v>
      </c>
      <c r="B122" s="28" t="s">
        <v>21</v>
      </c>
      <c r="C122" s="28" t="s">
        <v>21</v>
      </c>
      <c r="D122" s="31">
        <v>1</v>
      </c>
      <c r="E122" s="70"/>
      <c r="F122" s="31"/>
      <c r="G122" s="32">
        <v>1.8420000000000001</v>
      </c>
      <c r="H122" s="32"/>
      <c r="I122" s="32"/>
      <c r="J122" s="33" t="str">
        <f t="shared" si="31"/>
        <v/>
      </c>
      <c r="K122" s="34"/>
      <c r="L122" s="35"/>
      <c r="M122" s="36" t="str">
        <f t="shared" si="32"/>
        <v/>
      </c>
      <c r="N122" s="37"/>
      <c r="O122" s="29"/>
      <c r="P122" s="38"/>
      <c r="Q122" s="28"/>
      <c r="R122" s="28" t="s">
        <v>307</v>
      </c>
      <c r="S122" s="28" t="s">
        <v>21</v>
      </c>
      <c r="T122" s="46"/>
      <c r="U122" s="28" t="s">
        <v>135</v>
      </c>
    </row>
    <row r="123" spans="1:21" s="27" customFormat="1" x14ac:dyDescent="0.25">
      <c r="A123" s="28" t="s">
        <v>21</v>
      </c>
      <c r="B123" s="28" t="s">
        <v>246</v>
      </c>
      <c r="C123" s="28">
        <v>698353</v>
      </c>
      <c r="D123" s="31">
        <v>1</v>
      </c>
      <c r="E123" s="70" t="s">
        <v>233</v>
      </c>
      <c r="F123" s="45">
        <v>899</v>
      </c>
      <c r="G123" s="32">
        <v>1.8440000000000001</v>
      </c>
      <c r="H123" s="32">
        <v>5.53</v>
      </c>
      <c r="I123" s="32">
        <v>5.51</v>
      </c>
      <c r="J123" s="33">
        <f>IF(O123&lt;&gt;"",(H123-I123)/O123,"")</f>
        <v>6.6666666666668206E-3</v>
      </c>
      <c r="K123" s="34" t="str">
        <f t="shared" si="28"/>
        <v/>
      </c>
      <c r="L123" s="35">
        <f>F123/(O123*P123)</f>
        <v>7.4916666666666663</v>
      </c>
      <c r="M123" s="36" t="str">
        <f>IF(L123=0,"",IF(OR(L123&lt;7,L123&gt;7.8),"X",""))</f>
        <v/>
      </c>
      <c r="N123" s="37" t="s">
        <v>23</v>
      </c>
      <c r="O123" s="29">
        <v>3</v>
      </c>
      <c r="P123" s="38">
        <v>40</v>
      </c>
      <c r="Q123" s="28"/>
      <c r="R123" s="28" t="s">
        <v>318</v>
      </c>
      <c r="S123" s="71" t="s">
        <v>103</v>
      </c>
      <c r="T123" s="46"/>
      <c r="U123" s="28" t="s">
        <v>31</v>
      </c>
    </row>
    <row r="124" spans="1:21" s="27" customFormat="1" x14ac:dyDescent="0.25">
      <c r="A124" s="28" t="s">
        <v>21</v>
      </c>
      <c r="B124" s="28" t="s">
        <v>21</v>
      </c>
      <c r="C124" s="28" t="s">
        <v>21</v>
      </c>
      <c r="D124" s="31">
        <v>1</v>
      </c>
      <c r="E124" s="70"/>
      <c r="F124" s="31"/>
      <c r="G124" s="32">
        <v>1.8420000000000001</v>
      </c>
      <c r="H124" s="32"/>
      <c r="I124" s="32"/>
      <c r="J124" s="33" t="str">
        <f t="shared" si="31"/>
        <v/>
      </c>
      <c r="K124" s="34"/>
      <c r="L124" s="35"/>
      <c r="M124" s="36" t="str">
        <f t="shared" si="32"/>
        <v/>
      </c>
      <c r="N124" s="37"/>
      <c r="O124" s="29"/>
      <c r="P124" s="38"/>
      <c r="Q124" s="28"/>
      <c r="R124" s="28" t="s">
        <v>320</v>
      </c>
      <c r="S124" s="71" t="s">
        <v>59</v>
      </c>
      <c r="T124" s="46"/>
      <c r="U124" s="28" t="s">
        <v>31</v>
      </c>
    </row>
    <row r="125" spans="1:21" s="27" customFormat="1" ht="14.25" customHeight="1" x14ac:dyDescent="0.25">
      <c r="A125" s="28" t="s">
        <v>21</v>
      </c>
      <c r="B125" s="28" t="s">
        <v>21</v>
      </c>
      <c r="C125" s="28" t="s">
        <v>21</v>
      </c>
      <c r="D125" s="31">
        <v>1</v>
      </c>
      <c r="E125" s="70"/>
      <c r="F125" s="31"/>
      <c r="G125" s="32">
        <v>1.845</v>
      </c>
      <c r="H125" s="32"/>
      <c r="I125" s="32"/>
      <c r="J125" s="33" t="str">
        <f t="shared" si="31"/>
        <v/>
      </c>
      <c r="K125" s="34"/>
      <c r="L125" s="35"/>
      <c r="M125" s="36" t="str">
        <f t="shared" si="32"/>
        <v/>
      </c>
      <c r="N125" s="37"/>
      <c r="O125" s="29"/>
      <c r="P125" s="38"/>
      <c r="Q125" s="28"/>
      <c r="R125" s="28" t="s">
        <v>319</v>
      </c>
      <c r="S125" s="28" t="s">
        <v>21</v>
      </c>
      <c r="T125" s="46"/>
      <c r="U125" s="28" t="s">
        <v>31</v>
      </c>
    </row>
    <row r="126" spans="1:21" s="27" customFormat="1" x14ac:dyDescent="0.25">
      <c r="A126" s="28" t="s">
        <v>21</v>
      </c>
      <c r="B126" s="28" t="s">
        <v>247</v>
      </c>
      <c r="C126" s="28" t="s">
        <v>21</v>
      </c>
      <c r="D126" s="31">
        <v>1</v>
      </c>
      <c r="E126" s="70" t="s">
        <v>355</v>
      </c>
      <c r="F126" s="45">
        <v>899</v>
      </c>
      <c r="G126" s="32">
        <v>1.8360000000000001</v>
      </c>
      <c r="H126" s="32">
        <v>5.5309999999999997</v>
      </c>
      <c r="I126" s="32">
        <v>5.5129999999999999</v>
      </c>
      <c r="J126" s="33">
        <f>IF(O126&lt;&gt;"",(H126-I126)/O126,"")</f>
        <v>5.9999999999999316E-3</v>
      </c>
      <c r="K126" s="34" t="str">
        <f t="shared" si="28"/>
        <v/>
      </c>
      <c r="L126" s="35">
        <f>F126/(O126*P126)</f>
        <v>7.4916666666666663</v>
      </c>
      <c r="M126" s="36" t="str">
        <f>IF(L126=0,"",IF(OR(L126&lt;7,L126&gt;7.8),"X",""))</f>
        <v/>
      </c>
      <c r="N126" s="37" t="s">
        <v>23</v>
      </c>
      <c r="O126" s="29">
        <v>3</v>
      </c>
      <c r="P126" s="38">
        <v>40</v>
      </c>
      <c r="Q126" s="28"/>
      <c r="R126" s="28" t="s">
        <v>321</v>
      </c>
      <c r="S126" s="28" t="s">
        <v>21</v>
      </c>
      <c r="T126" s="46"/>
      <c r="U126" s="28" t="s">
        <v>31</v>
      </c>
    </row>
    <row r="127" spans="1:21" s="27" customFormat="1" x14ac:dyDescent="0.25">
      <c r="A127" s="28" t="s">
        <v>21</v>
      </c>
      <c r="B127" s="28" t="s">
        <v>21</v>
      </c>
      <c r="C127" s="28">
        <v>698353</v>
      </c>
      <c r="D127" s="31">
        <v>1</v>
      </c>
      <c r="E127" s="70"/>
      <c r="F127" s="31"/>
      <c r="G127" s="32">
        <v>1.85</v>
      </c>
      <c r="H127" s="32"/>
      <c r="I127" s="32"/>
      <c r="J127" s="33" t="str">
        <f t="shared" si="31"/>
        <v/>
      </c>
      <c r="K127" s="34"/>
      <c r="L127" s="35"/>
      <c r="M127" s="36" t="str">
        <f t="shared" si="32"/>
        <v/>
      </c>
      <c r="N127" s="37"/>
      <c r="O127" s="29"/>
      <c r="P127" s="38"/>
      <c r="Q127" s="28"/>
      <c r="R127" s="28" t="s">
        <v>322</v>
      </c>
      <c r="S127" s="28" t="s">
        <v>21</v>
      </c>
      <c r="T127" s="46"/>
      <c r="U127" s="28" t="s">
        <v>31</v>
      </c>
    </row>
    <row r="128" spans="1:21" s="27" customFormat="1" ht="14.25" customHeight="1" x14ac:dyDescent="0.25">
      <c r="A128" s="28" t="s">
        <v>21</v>
      </c>
      <c r="B128" s="28" t="s">
        <v>21</v>
      </c>
      <c r="C128" s="28" t="s">
        <v>21</v>
      </c>
      <c r="D128" s="31">
        <v>1</v>
      </c>
      <c r="E128" s="70"/>
      <c r="F128" s="31"/>
      <c r="G128" s="32">
        <v>1.845</v>
      </c>
      <c r="H128" s="32"/>
      <c r="I128" s="32"/>
      <c r="J128" s="33" t="str">
        <f t="shared" si="31"/>
        <v/>
      </c>
      <c r="K128" s="34"/>
      <c r="L128" s="35"/>
      <c r="M128" s="36" t="str">
        <f t="shared" si="32"/>
        <v/>
      </c>
      <c r="N128" s="37"/>
      <c r="O128" s="29"/>
      <c r="P128" s="38"/>
      <c r="Q128" s="28"/>
      <c r="R128" s="28" t="s">
        <v>323</v>
      </c>
      <c r="S128" s="28" t="s">
        <v>21</v>
      </c>
      <c r="T128" s="46"/>
      <c r="U128" s="28" t="s">
        <v>31</v>
      </c>
    </row>
    <row r="129" spans="1:21" s="27" customFormat="1" x14ac:dyDescent="0.25">
      <c r="A129" s="28" t="s">
        <v>21</v>
      </c>
      <c r="B129" s="28" t="s">
        <v>248</v>
      </c>
      <c r="C129" s="28">
        <v>698353</v>
      </c>
      <c r="D129" s="31">
        <v>1</v>
      </c>
      <c r="E129" s="70" t="s">
        <v>356</v>
      </c>
      <c r="F129" s="45">
        <v>896</v>
      </c>
      <c r="G129" s="32">
        <v>1.845</v>
      </c>
      <c r="H129" s="32">
        <v>5.5359999999999996</v>
      </c>
      <c r="I129" s="32">
        <v>5.516</v>
      </c>
      <c r="J129" s="33">
        <f>IF(O129&lt;&gt;"",(H129-I129)/O129,"")</f>
        <v>6.6666666666665248E-3</v>
      </c>
      <c r="K129" s="34" t="str">
        <f t="shared" si="28"/>
        <v/>
      </c>
      <c r="L129" s="35">
        <f>F129/(O129*P129)</f>
        <v>7.4666666666666668</v>
      </c>
      <c r="M129" s="36" t="str">
        <f>IF(L129=0,"",IF(OR(L129&lt;7,L129&gt;7.8),"X",""))</f>
        <v/>
      </c>
      <c r="N129" s="37" t="s">
        <v>23</v>
      </c>
      <c r="O129" s="29">
        <v>3</v>
      </c>
      <c r="P129" s="38">
        <v>40</v>
      </c>
      <c r="Q129" s="28"/>
      <c r="R129" s="28" t="s">
        <v>326</v>
      </c>
      <c r="S129" s="28" t="s">
        <v>21</v>
      </c>
      <c r="T129" s="46"/>
      <c r="U129" s="28" t="s">
        <v>31</v>
      </c>
    </row>
    <row r="130" spans="1:21" s="27" customFormat="1" x14ac:dyDescent="0.25">
      <c r="A130" s="28" t="s">
        <v>21</v>
      </c>
      <c r="B130" s="28" t="s">
        <v>21</v>
      </c>
      <c r="C130" s="28" t="s">
        <v>21</v>
      </c>
      <c r="D130" s="31">
        <v>1</v>
      </c>
      <c r="E130" s="70"/>
      <c r="F130" s="31"/>
      <c r="G130" s="32">
        <v>1.8440000000000001</v>
      </c>
      <c r="H130" s="32"/>
      <c r="I130" s="32"/>
      <c r="J130" s="33" t="str">
        <f t="shared" si="31"/>
        <v/>
      </c>
      <c r="K130" s="34"/>
      <c r="L130" s="35"/>
      <c r="M130" s="36" t="str">
        <f t="shared" si="32"/>
        <v/>
      </c>
      <c r="N130" s="37"/>
      <c r="O130" s="29"/>
      <c r="P130" s="38"/>
      <c r="Q130" s="28"/>
      <c r="R130" s="28" t="s">
        <v>327</v>
      </c>
      <c r="S130" s="28" t="s">
        <v>21</v>
      </c>
      <c r="T130" s="46"/>
      <c r="U130" s="28" t="s">
        <v>31</v>
      </c>
    </row>
    <row r="131" spans="1:21" s="27" customFormat="1" ht="14.25" customHeight="1" x14ac:dyDescent="0.25">
      <c r="A131" s="28" t="s">
        <v>21</v>
      </c>
      <c r="B131" s="28" t="s">
        <v>21</v>
      </c>
      <c r="C131" s="28" t="s">
        <v>21</v>
      </c>
      <c r="D131" s="31">
        <v>1</v>
      </c>
      <c r="E131" s="70"/>
      <c r="F131" s="31"/>
      <c r="G131" s="32">
        <v>1.847</v>
      </c>
      <c r="H131" s="32"/>
      <c r="I131" s="32"/>
      <c r="J131" s="33" t="str">
        <f t="shared" si="31"/>
        <v/>
      </c>
      <c r="K131" s="34"/>
      <c r="L131" s="35"/>
      <c r="M131" s="36" t="str">
        <f t="shared" si="32"/>
        <v/>
      </c>
      <c r="N131" s="37"/>
      <c r="O131" s="29"/>
      <c r="P131" s="38"/>
      <c r="Q131" s="28"/>
      <c r="R131" s="28" t="s">
        <v>328</v>
      </c>
      <c r="S131" s="28" t="s">
        <v>21</v>
      </c>
      <c r="T131" s="46"/>
      <c r="U131" s="28" t="s">
        <v>31</v>
      </c>
    </row>
    <row r="132" spans="1:21" s="27" customFormat="1" x14ac:dyDescent="0.25">
      <c r="A132" s="28" t="s">
        <v>21</v>
      </c>
      <c r="B132" s="28" t="s">
        <v>249</v>
      </c>
      <c r="C132" s="28" t="s">
        <v>21</v>
      </c>
      <c r="D132" s="31">
        <v>1</v>
      </c>
      <c r="E132" s="70" t="s">
        <v>355</v>
      </c>
      <c r="F132" s="45">
        <v>899</v>
      </c>
      <c r="G132" s="32">
        <v>1.845</v>
      </c>
      <c r="H132" s="32">
        <v>5.5220000000000002</v>
      </c>
      <c r="I132" s="32">
        <v>5.5010000000000003</v>
      </c>
      <c r="J132" s="33">
        <f>IF(O132&lt;&gt;"",(H132-I132)/O132,"")</f>
        <v>6.9999999999999689E-3</v>
      </c>
      <c r="K132" s="34" t="str">
        <f t="shared" si="28"/>
        <v/>
      </c>
      <c r="L132" s="35">
        <f>F132/(O132*P132)</f>
        <v>7.4916666666666663</v>
      </c>
      <c r="M132" s="36" t="str">
        <f>IF(L132=0,"",IF(OR(L132&lt;7,L132&gt;7.8),"X",""))</f>
        <v/>
      </c>
      <c r="N132" s="37" t="s">
        <v>23</v>
      </c>
      <c r="O132" s="29">
        <v>3</v>
      </c>
      <c r="P132" s="38">
        <v>40</v>
      </c>
      <c r="Q132" s="28"/>
      <c r="R132" s="28" t="s">
        <v>330</v>
      </c>
      <c r="S132" s="28" t="s">
        <v>21</v>
      </c>
      <c r="T132" s="46"/>
      <c r="U132" s="28" t="s">
        <v>31</v>
      </c>
    </row>
    <row r="133" spans="1:21" s="27" customFormat="1" x14ac:dyDescent="0.25">
      <c r="A133" s="28" t="s">
        <v>21</v>
      </c>
      <c r="B133" s="28" t="s">
        <v>21</v>
      </c>
      <c r="C133" s="28" t="s">
        <v>21</v>
      </c>
      <c r="D133" s="31">
        <v>1</v>
      </c>
      <c r="E133" s="70"/>
      <c r="F133" s="31"/>
      <c r="G133" s="32">
        <v>1.8380000000000001</v>
      </c>
      <c r="H133" s="32"/>
      <c r="I133" s="32"/>
      <c r="J133" s="33" t="str">
        <f t="shared" si="31"/>
        <v/>
      </c>
      <c r="K133" s="34"/>
      <c r="L133" s="35"/>
      <c r="M133" s="36" t="str">
        <f t="shared" si="32"/>
        <v/>
      </c>
      <c r="N133" s="37"/>
      <c r="O133" s="29"/>
      <c r="P133" s="38"/>
      <c r="Q133" s="28"/>
      <c r="R133" s="28" t="s">
        <v>329</v>
      </c>
      <c r="S133" s="28" t="s">
        <v>21</v>
      </c>
      <c r="T133" s="46"/>
      <c r="U133" s="28" t="s">
        <v>31</v>
      </c>
    </row>
    <row r="134" spans="1:21" s="27" customFormat="1" ht="14.25" customHeight="1" x14ac:dyDescent="0.25">
      <c r="A134" s="28" t="s">
        <v>21</v>
      </c>
      <c r="B134" s="28" t="s">
        <v>21</v>
      </c>
      <c r="C134" s="28" t="s">
        <v>21</v>
      </c>
      <c r="D134" s="31">
        <v>1</v>
      </c>
      <c r="E134" s="70"/>
      <c r="F134" s="31"/>
      <c r="G134" s="32">
        <v>1.839</v>
      </c>
      <c r="H134" s="32"/>
      <c r="I134" s="32"/>
      <c r="J134" s="33" t="str">
        <f t="shared" si="31"/>
        <v/>
      </c>
      <c r="K134" s="34"/>
      <c r="L134" s="35"/>
      <c r="M134" s="36" t="str">
        <f t="shared" si="32"/>
        <v/>
      </c>
      <c r="N134" s="37"/>
      <c r="O134" s="29"/>
      <c r="P134" s="38"/>
      <c r="Q134" s="28"/>
      <c r="R134" s="28" t="s">
        <v>351</v>
      </c>
      <c r="S134" s="28" t="s">
        <v>21</v>
      </c>
      <c r="T134" s="46"/>
      <c r="U134" s="28" t="s">
        <v>31</v>
      </c>
    </row>
    <row r="135" spans="1:21" s="27" customFormat="1" x14ac:dyDescent="0.25">
      <c r="A135" s="28" t="s">
        <v>21</v>
      </c>
      <c r="B135" s="28" t="s">
        <v>250</v>
      </c>
      <c r="C135" s="28" t="s">
        <v>21</v>
      </c>
      <c r="D135" s="31">
        <v>1</v>
      </c>
      <c r="E135" s="70" t="s">
        <v>62</v>
      </c>
      <c r="F135" s="45">
        <v>898</v>
      </c>
      <c r="G135" s="32">
        <v>1.835</v>
      </c>
      <c r="H135" s="32">
        <v>5.5019999999999998</v>
      </c>
      <c r="I135" s="32">
        <v>5.4820000000000002</v>
      </c>
      <c r="J135" s="33">
        <f>IF(O135&lt;&gt;"",(H135-I135)/O135,"")</f>
        <v>6.6666666666665248E-3</v>
      </c>
      <c r="K135" s="34" t="str">
        <f t="shared" si="28"/>
        <v/>
      </c>
      <c r="L135" s="35">
        <f>F135/(O135*P135)</f>
        <v>7.4833333333333334</v>
      </c>
      <c r="M135" s="36" t="str">
        <f>IF(L135=0,"",IF(OR(L135&lt;7,L135&gt;7.8),"X",""))</f>
        <v/>
      </c>
      <c r="N135" s="37" t="s">
        <v>23</v>
      </c>
      <c r="O135" s="29">
        <v>3</v>
      </c>
      <c r="P135" s="38">
        <v>40</v>
      </c>
      <c r="Q135" s="28"/>
      <c r="R135" s="28" t="s">
        <v>352</v>
      </c>
      <c r="S135" s="28" t="s">
        <v>21</v>
      </c>
      <c r="T135" s="46"/>
      <c r="U135" s="28" t="s">
        <v>31</v>
      </c>
    </row>
    <row r="136" spans="1:21" s="27" customFormat="1" x14ac:dyDescent="0.25">
      <c r="A136" s="28" t="s">
        <v>21</v>
      </c>
      <c r="B136" s="28" t="s">
        <v>21</v>
      </c>
      <c r="C136" s="28" t="s">
        <v>21</v>
      </c>
      <c r="D136" s="31">
        <v>1</v>
      </c>
      <c r="E136" s="70"/>
      <c r="F136" s="31"/>
      <c r="G136" s="32">
        <v>1.833</v>
      </c>
      <c r="H136" s="32"/>
      <c r="I136" s="32"/>
      <c r="J136" s="33" t="str">
        <f t="shared" si="31"/>
        <v/>
      </c>
      <c r="K136" s="34"/>
      <c r="L136" s="35"/>
      <c r="M136" s="36" t="str">
        <f t="shared" si="32"/>
        <v/>
      </c>
      <c r="N136" s="37"/>
      <c r="O136" s="29"/>
      <c r="P136" s="38"/>
      <c r="Q136" s="28"/>
      <c r="R136" s="28" t="s">
        <v>354</v>
      </c>
      <c r="S136" s="28" t="s">
        <v>21</v>
      </c>
      <c r="T136" s="46"/>
      <c r="U136" s="28" t="s">
        <v>31</v>
      </c>
    </row>
    <row r="137" spans="1:21" s="27" customFormat="1" ht="14.25" customHeight="1" x14ac:dyDescent="0.25">
      <c r="A137" s="28" t="s">
        <v>21</v>
      </c>
      <c r="B137" s="28" t="s">
        <v>21</v>
      </c>
      <c r="C137" s="28" t="s">
        <v>21</v>
      </c>
      <c r="D137" s="31">
        <v>1</v>
      </c>
      <c r="E137" s="70"/>
      <c r="F137" s="31"/>
      <c r="G137" s="32">
        <v>1.833</v>
      </c>
      <c r="H137" s="32"/>
      <c r="I137" s="32"/>
      <c r="J137" s="33" t="str">
        <f t="shared" si="31"/>
        <v/>
      </c>
      <c r="K137" s="34"/>
      <c r="L137" s="35"/>
      <c r="M137" s="36" t="str">
        <f t="shared" si="32"/>
        <v/>
      </c>
      <c r="N137" s="37"/>
      <c r="O137" s="29"/>
      <c r="P137" s="38"/>
      <c r="Q137" s="28"/>
      <c r="R137" s="28" t="s">
        <v>353</v>
      </c>
      <c r="S137" s="28" t="s">
        <v>21</v>
      </c>
      <c r="T137" s="46"/>
      <c r="U137" s="28" t="s">
        <v>31</v>
      </c>
    </row>
    <row r="138" spans="1:21" s="27" customFormat="1" x14ac:dyDescent="0.25">
      <c r="A138" s="28" t="s">
        <v>267</v>
      </c>
      <c r="B138" s="28" t="s">
        <v>251</v>
      </c>
      <c r="C138" s="28">
        <v>698353</v>
      </c>
      <c r="D138" s="31">
        <v>1</v>
      </c>
      <c r="E138" s="70" t="s">
        <v>271</v>
      </c>
      <c r="F138" s="45">
        <v>599</v>
      </c>
      <c r="G138" s="32">
        <v>1.85</v>
      </c>
      <c r="H138" s="32">
        <v>3.694</v>
      </c>
      <c r="I138" s="32">
        <v>3.6819999999999999</v>
      </c>
      <c r="J138" s="33">
        <f>IF(O138&lt;&gt;"",(H138-I138)/O138,"")</f>
        <v>6.0000000000000053E-3</v>
      </c>
      <c r="K138" s="34" t="str">
        <f t="shared" ref="K138:K192" si="33">IF(J138=0,"",IF(OR(J138&lt;0,J138&gt;0.03),"X",""))</f>
        <v/>
      </c>
      <c r="L138" s="35">
        <f>F138/(O138*P138)</f>
        <v>7.4874999999999998</v>
      </c>
      <c r="M138" s="36" t="str">
        <f>IF(L138=0,"",IF(OR(L138&lt;7,L138&gt;7.8),"X",""))</f>
        <v/>
      </c>
      <c r="N138" s="37" t="s">
        <v>20</v>
      </c>
      <c r="O138" s="29">
        <v>2</v>
      </c>
      <c r="P138" s="38">
        <v>40</v>
      </c>
      <c r="Q138" s="28"/>
      <c r="R138" s="28" t="s">
        <v>308</v>
      </c>
      <c r="S138" s="71" t="s">
        <v>103</v>
      </c>
      <c r="T138" s="28"/>
      <c r="U138" s="28" t="s">
        <v>135</v>
      </c>
    </row>
    <row r="139" spans="1:21" s="27" customFormat="1" x14ac:dyDescent="0.25">
      <c r="A139" s="28" t="s">
        <v>21</v>
      </c>
      <c r="B139" s="28" t="s">
        <v>21</v>
      </c>
      <c r="C139" s="28" t="s">
        <v>21</v>
      </c>
      <c r="D139" s="31">
        <v>1</v>
      </c>
      <c r="E139" s="70"/>
      <c r="F139" s="31"/>
      <c r="G139" s="32">
        <v>1.845</v>
      </c>
      <c r="H139" s="32"/>
      <c r="I139" s="32"/>
      <c r="J139" s="33"/>
      <c r="K139" s="34" t="str">
        <f t="shared" si="33"/>
        <v/>
      </c>
      <c r="L139" s="35"/>
      <c r="M139" s="36" t="str">
        <f t="shared" ref="M139:M167" si="34">IF(L139=0,"",IF(OR(L139&lt;7.4,L139&gt;8),"X",""))</f>
        <v/>
      </c>
      <c r="N139" s="37"/>
      <c r="O139" s="29"/>
      <c r="P139" s="38"/>
      <c r="Q139" s="28"/>
      <c r="R139" s="28" t="s">
        <v>309</v>
      </c>
      <c r="S139" s="71" t="s">
        <v>59</v>
      </c>
      <c r="T139" s="28"/>
      <c r="U139" s="28" t="s">
        <v>135</v>
      </c>
    </row>
    <row r="140" spans="1:21" s="27" customFormat="1" x14ac:dyDescent="0.25">
      <c r="A140" s="28" t="s">
        <v>21</v>
      </c>
      <c r="B140" s="28" t="s">
        <v>252</v>
      </c>
      <c r="C140" s="28" t="s">
        <v>21</v>
      </c>
      <c r="D140" s="31">
        <v>1</v>
      </c>
      <c r="E140" s="70" t="s">
        <v>271</v>
      </c>
      <c r="F140" s="45">
        <v>598</v>
      </c>
      <c r="G140" s="32">
        <v>1.853</v>
      </c>
      <c r="H140" s="32">
        <v>3.7080000000000002</v>
      </c>
      <c r="I140" s="32">
        <v>3.6960000000000002</v>
      </c>
      <c r="J140" s="33">
        <f>IF(O140&lt;&gt;"",(H140-I140)/O140,"")</f>
        <v>6.0000000000000053E-3</v>
      </c>
      <c r="K140" s="34" t="str">
        <f t="shared" si="33"/>
        <v/>
      </c>
      <c r="L140" s="35">
        <f>F140/(O140*P140)</f>
        <v>7.4749999999999996</v>
      </c>
      <c r="M140" s="36" t="str">
        <f>IF(L140=0,"",IF(OR(L140&lt;7,L140&gt;7.8),"X",""))</f>
        <v/>
      </c>
      <c r="N140" s="37" t="s">
        <v>20</v>
      </c>
      <c r="O140" s="29">
        <v>2</v>
      </c>
      <c r="P140" s="38">
        <v>40</v>
      </c>
      <c r="Q140" s="28"/>
      <c r="R140" s="28" t="s">
        <v>310</v>
      </c>
      <c r="S140" s="28" t="s">
        <v>21</v>
      </c>
      <c r="T140" s="28"/>
      <c r="U140" s="28" t="s">
        <v>135</v>
      </c>
    </row>
    <row r="141" spans="1:21" s="27" customFormat="1" x14ac:dyDescent="0.25">
      <c r="A141" s="28" t="s">
        <v>21</v>
      </c>
      <c r="B141" s="28" t="s">
        <v>21</v>
      </c>
      <c r="C141" s="28" t="s">
        <v>21</v>
      </c>
      <c r="D141" s="31">
        <v>1</v>
      </c>
      <c r="E141" s="70"/>
      <c r="F141" s="31"/>
      <c r="G141" s="32">
        <v>1.855</v>
      </c>
      <c r="H141" s="32"/>
      <c r="I141" s="32"/>
      <c r="J141" s="33"/>
      <c r="K141" s="34" t="str">
        <f t="shared" si="33"/>
        <v/>
      </c>
      <c r="L141" s="35"/>
      <c r="M141" s="36" t="str">
        <f t="shared" si="34"/>
        <v/>
      </c>
      <c r="N141" s="37"/>
      <c r="O141" s="29"/>
      <c r="P141" s="38"/>
      <c r="Q141" s="28"/>
      <c r="R141" s="28" t="s">
        <v>311</v>
      </c>
      <c r="S141" s="28" t="s">
        <v>21</v>
      </c>
      <c r="T141" s="28"/>
      <c r="U141" s="28" t="s">
        <v>135</v>
      </c>
    </row>
    <row r="142" spans="1:21" s="27" customFormat="1" x14ac:dyDescent="0.25">
      <c r="A142" s="28" t="s">
        <v>21</v>
      </c>
      <c r="B142" s="28" t="s">
        <v>253</v>
      </c>
      <c r="C142" s="28" t="s">
        <v>21</v>
      </c>
      <c r="D142" s="31">
        <v>1</v>
      </c>
      <c r="E142" s="70" t="s">
        <v>106</v>
      </c>
      <c r="F142" s="45">
        <v>585</v>
      </c>
      <c r="G142" s="32">
        <v>1.837</v>
      </c>
      <c r="H142" s="32">
        <v>3.6819999999999999</v>
      </c>
      <c r="I142" s="32">
        <v>3.67</v>
      </c>
      <c r="J142" s="33">
        <f>IF(O142&lt;&gt;"",(H142-I142)/O142,"")</f>
        <v>6.0000000000000053E-3</v>
      </c>
      <c r="K142" s="34" t="str">
        <f t="shared" si="33"/>
        <v/>
      </c>
      <c r="L142" s="35">
        <f>F142/(O142*P142)</f>
        <v>7.3125</v>
      </c>
      <c r="M142" s="36" t="str">
        <f>IF(L142=0,"",IF(OR(L142&lt;7,L142&gt;7.8),"X",""))</f>
        <v/>
      </c>
      <c r="N142" s="37" t="s">
        <v>20</v>
      </c>
      <c r="O142" s="29">
        <v>2</v>
      </c>
      <c r="P142" s="38">
        <v>40</v>
      </c>
      <c r="Q142" s="28"/>
      <c r="R142" s="28" t="s">
        <v>312</v>
      </c>
      <c r="S142" s="28" t="s">
        <v>21</v>
      </c>
      <c r="T142" s="28"/>
      <c r="U142" s="28" t="s">
        <v>135</v>
      </c>
    </row>
    <row r="143" spans="1:21" s="27" customFormat="1" x14ac:dyDescent="0.25">
      <c r="A143" s="28" t="s">
        <v>21</v>
      </c>
      <c r="B143" s="28" t="s">
        <v>21</v>
      </c>
      <c r="C143" s="28" t="s">
        <v>21</v>
      </c>
      <c r="D143" s="31">
        <v>1</v>
      </c>
      <c r="E143" s="70"/>
      <c r="F143" s="31"/>
      <c r="G143" s="32">
        <v>1.845</v>
      </c>
      <c r="H143" s="32"/>
      <c r="I143" s="32"/>
      <c r="J143" s="33"/>
      <c r="K143" s="34" t="str">
        <f t="shared" si="33"/>
        <v/>
      </c>
      <c r="L143" s="35"/>
      <c r="M143" s="36" t="str">
        <f t="shared" si="34"/>
        <v/>
      </c>
      <c r="N143" s="37"/>
      <c r="O143" s="29"/>
      <c r="P143" s="38"/>
      <c r="Q143" s="28"/>
      <c r="R143" s="28" t="s">
        <v>313</v>
      </c>
      <c r="S143" s="28" t="s">
        <v>21</v>
      </c>
      <c r="T143" s="28"/>
      <c r="U143" s="28" t="s">
        <v>135</v>
      </c>
    </row>
    <row r="144" spans="1:21" s="27" customFormat="1" x14ac:dyDescent="0.25">
      <c r="A144" s="28" t="s">
        <v>21</v>
      </c>
      <c r="B144" s="28" t="s">
        <v>254</v>
      </c>
      <c r="C144" s="28" t="s">
        <v>21</v>
      </c>
      <c r="D144" s="31">
        <v>1</v>
      </c>
      <c r="E144" s="70" t="s">
        <v>130</v>
      </c>
      <c r="F144" s="45">
        <v>600</v>
      </c>
      <c r="G144" s="32">
        <v>1.841</v>
      </c>
      <c r="H144" s="32">
        <v>3.6890000000000001</v>
      </c>
      <c r="I144" s="32">
        <v>3.6739999999999999</v>
      </c>
      <c r="J144" s="33">
        <f>IF(O144&lt;&gt;"",(H144-I144)/O144,"")</f>
        <v>7.5000000000000622E-3</v>
      </c>
      <c r="K144" s="34" t="str">
        <f t="shared" si="33"/>
        <v/>
      </c>
      <c r="L144" s="35">
        <f>F144/(O144*P144)</f>
        <v>7.5</v>
      </c>
      <c r="M144" s="36" t="str">
        <f>IF(L144=0,"",IF(OR(L144&lt;7,L144&gt;7.8),"X",""))</f>
        <v/>
      </c>
      <c r="N144" s="37" t="s">
        <v>20</v>
      </c>
      <c r="O144" s="29">
        <v>2</v>
      </c>
      <c r="P144" s="38">
        <v>40</v>
      </c>
      <c r="Q144" s="28"/>
      <c r="R144" s="28" t="s">
        <v>314</v>
      </c>
      <c r="S144" s="28" t="s">
        <v>21</v>
      </c>
      <c r="T144" s="28"/>
      <c r="U144" s="28" t="s">
        <v>135</v>
      </c>
    </row>
    <row r="145" spans="1:21" s="27" customFormat="1" x14ac:dyDescent="0.25">
      <c r="A145" s="28" t="s">
        <v>21</v>
      </c>
      <c r="B145" s="28" t="s">
        <v>21</v>
      </c>
      <c r="C145" s="28" t="s">
        <v>21</v>
      </c>
      <c r="D145" s="31">
        <v>1</v>
      </c>
      <c r="E145" s="70"/>
      <c r="F145" s="31"/>
      <c r="G145" s="32">
        <v>1.8440000000000001</v>
      </c>
      <c r="H145" s="32"/>
      <c r="I145" s="32"/>
      <c r="J145" s="33"/>
      <c r="K145" s="34" t="str">
        <f t="shared" si="33"/>
        <v/>
      </c>
      <c r="L145" s="35"/>
      <c r="M145" s="36" t="str">
        <f t="shared" si="34"/>
        <v/>
      </c>
      <c r="N145" s="37"/>
      <c r="O145" s="29"/>
      <c r="P145" s="38"/>
      <c r="Q145" s="28"/>
      <c r="R145" s="28" t="s">
        <v>315</v>
      </c>
      <c r="S145" s="28" t="s">
        <v>21</v>
      </c>
      <c r="T145" s="28"/>
      <c r="U145" s="28" t="s">
        <v>135</v>
      </c>
    </row>
    <row r="146" spans="1:21" s="27" customFormat="1" x14ac:dyDescent="0.25">
      <c r="A146" s="28" t="s">
        <v>21</v>
      </c>
      <c r="B146" s="28" t="s">
        <v>255</v>
      </c>
      <c r="C146" s="28" t="s">
        <v>21</v>
      </c>
      <c r="D146" s="31">
        <v>1</v>
      </c>
      <c r="E146" s="70" t="s">
        <v>110</v>
      </c>
      <c r="F146" s="45">
        <v>600</v>
      </c>
      <c r="G146" s="32">
        <v>1.843</v>
      </c>
      <c r="H146" s="32">
        <v>3.6850000000000001</v>
      </c>
      <c r="I146" s="32">
        <v>3.6720000000000002</v>
      </c>
      <c r="J146" s="33">
        <f>IF(O146&lt;&gt;"",(H146-I146)/O146,"")</f>
        <v>6.4999999999999503E-3</v>
      </c>
      <c r="K146" s="34" t="str">
        <f t="shared" si="33"/>
        <v/>
      </c>
      <c r="L146" s="35">
        <f>F146/(O146*P146)</f>
        <v>7.5</v>
      </c>
      <c r="M146" s="36" t="str">
        <f>IF(L146=0,"",IF(OR(L146&lt;7,L146&gt;7.8),"X",""))</f>
        <v/>
      </c>
      <c r="N146" s="37" t="s">
        <v>20</v>
      </c>
      <c r="O146" s="29">
        <v>2</v>
      </c>
      <c r="P146" s="38">
        <v>40</v>
      </c>
      <c r="Q146" s="28"/>
      <c r="R146" s="28" t="s">
        <v>316</v>
      </c>
      <c r="S146" s="28" t="s">
        <v>21</v>
      </c>
      <c r="T146" s="28"/>
      <c r="U146" s="28" t="s">
        <v>135</v>
      </c>
    </row>
    <row r="147" spans="1:21" s="27" customFormat="1" x14ac:dyDescent="0.25">
      <c r="A147" s="28" t="s">
        <v>21</v>
      </c>
      <c r="B147" s="28" t="s">
        <v>21</v>
      </c>
      <c r="C147" s="28" t="s">
        <v>21</v>
      </c>
      <c r="D147" s="31">
        <v>1</v>
      </c>
      <c r="E147" s="70"/>
      <c r="F147" s="31"/>
      <c r="G147" s="32">
        <v>1.843</v>
      </c>
      <c r="H147" s="32"/>
      <c r="I147" s="32"/>
      <c r="J147" s="33"/>
      <c r="K147" s="34" t="str">
        <f t="shared" si="33"/>
        <v/>
      </c>
      <c r="L147" s="35"/>
      <c r="M147" s="36" t="str">
        <f t="shared" si="34"/>
        <v/>
      </c>
      <c r="N147" s="37"/>
      <c r="O147" s="29"/>
      <c r="P147" s="38"/>
      <c r="Q147" s="28"/>
      <c r="R147" s="28" t="s">
        <v>317</v>
      </c>
      <c r="S147" s="28" t="s">
        <v>21</v>
      </c>
      <c r="T147" s="28"/>
      <c r="U147" s="28" t="s">
        <v>135</v>
      </c>
    </row>
    <row r="148" spans="1:21" s="27" customFormat="1" x14ac:dyDescent="0.25">
      <c r="A148" s="28" t="s">
        <v>21</v>
      </c>
      <c r="B148" s="28" t="s">
        <v>256</v>
      </c>
      <c r="C148" s="28" t="s">
        <v>21</v>
      </c>
      <c r="D148" s="31">
        <v>1</v>
      </c>
      <c r="E148" s="70" t="s">
        <v>127</v>
      </c>
      <c r="F148" s="45">
        <v>599</v>
      </c>
      <c r="G148" s="32">
        <v>1.8580000000000001</v>
      </c>
      <c r="H148" s="32">
        <v>3.718</v>
      </c>
      <c r="I148" s="32">
        <v>3.7040000000000002</v>
      </c>
      <c r="J148" s="33">
        <f>IF(O148&lt;&gt;"",(H148-I148)/O148,"")</f>
        <v>6.9999999999998952E-3</v>
      </c>
      <c r="K148" s="34" t="str">
        <f t="shared" si="33"/>
        <v/>
      </c>
      <c r="L148" s="35">
        <f>F148/(O148*P148)</f>
        <v>7.4874999999999998</v>
      </c>
      <c r="M148" s="36" t="str">
        <f>IF(L148=0,"",IF(OR(L148&lt;7,L148&gt;7.8),"X",""))</f>
        <v/>
      </c>
      <c r="N148" s="37" t="s">
        <v>20</v>
      </c>
      <c r="O148" s="29">
        <v>2</v>
      </c>
      <c r="P148" s="38">
        <v>40</v>
      </c>
      <c r="Q148" s="28"/>
      <c r="R148" s="28" t="s">
        <v>331</v>
      </c>
      <c r="S148" s="71" t="s">
        <v>103</v>
      </c>
      <c r="T148" s="28"/>
      <c r="U148" s="28" t="s">
        <v>135</v>
      </c>
    </row>
    <row r="149" spans="1:21" s="27" customFormat="1" x14ac:dyDescent="0.25">
      <c r="A149" s="28" t="s">
        <v>21</v>
      </c>
      <c r="B149" s="28" t="s">
        <v>21</v>
      </c>
      <c r="C149" s="28" t="s">
        <v>21</v>
      </c>
      <c r="D149" s="31">
        <v>1</v>
      </c>
      <c r="E149" s="70"/>
      <c r="F149" s="31"/>
      <c r="G149" s="32">
        <v>1.86</v>
      </c>
      <c r="H149" s="32"/>
      <c r="I149" s="32"/>
      <c r="J149" s="33"/>
      <c r="K149" s="34" t="str">
        <f t="shared" si="33"/>
        <v/>
      </c>
      <c r="L149" s="35"/>
      <c r="M149" s="36" t="str">
        <f t="shared" si="34"/>
        <v/>
      </c>
      <c r="N149" s="37"/>
      <c r="O149" s="29"/>
      <c r="P149" s="38"/>
      <c r="Q149" s="28"/>
      <c r="R149" s="28" t="s">
        <v>332</v>
      </c>
      <c r="S149" s="71" t="s">
        <v>59</v>
      </c>
      <c r="T149" s="28"/>
      <c r="U149" s="28" t="s">
        <v>135</v>
      </c>
    </row>
    <row r="150" spans="1:21" s="27" customFormat="1" x14ac:dyDescent="0.25">
      <c r="A150" s="28" t="s">
        <v>21</v>
      </c>
      <c r="B150" s="28" t="s">
        <v>257</v>
      </c>
      <c r="C150" s="28" t="s">
        <v>21</v>
      </c>
      <c r="D150" s="31">
        <v>1</v>
      </c>
      <c r="E150" s="70" t="s">
        <v>109</v>
      </c>
      <c r="F150" s="45">
        <v>600</v>
      </c>
      <c r="G150" s="32">
        <v>1.865</v>
      </c>
      <c r="H150" s="32">
        <v>3.7290000000000001</v>
      </c>
      <c r="I150" s="32">
        <v>3.7149999999999999</v>
      </c>
      <c r="J150" s="33">
        <f>IF(O150&lt;&gt;"",(H150-I150)/O150,"")</f>
        <v>7.0000000000001172E-3</v>
      </c>
      <c r="K150" s="34" t="str">
        <f t="shared" si="33"/>
        <v/>
      </c>
      <c r="L150" s="35">
        <f>F150/(O150*P150)</f>
        <v>7.5</v>
      </c>
      <c r="M150" s="36" t="str">
        <f>IF(L150=0,"",IF(OR(L150&lt;7,L150&gt;7.8),"X",""))</f>
        <v/>
      </c>
      <c r="N150" s="37" t="s">
        <v>20</v>
      </c>
      <c r="O150" s="29">
        <v>2</v>
      </c>
      <c r="P150" s="38">
        <v>40</v>
      </c>
      <c r="Q150" s="28"/>
      <c r="R150" s="28" t="s">
        <v>333</v>
      </c>
      <c r="S150" s="28" t="s">
        <v>21</v>
      </c>
      <c r="T150" s="28"/>
      <c r="U150" s="28" t="s">
        <v>135</v>
      </c>
    </row>
    <row r="151" spans="1:21" s="27" customFormat="1" x14ac:dyDescent="0.25">
      <c r="A151" s="28" t="s">
        <v>21</v>
      </c>
      <c r="B151" s="28" t="s">
        <v>21</v>
      </c>
      <c r="C151" s="28" t="s">
        <v>21</v>
      </c>
      <c r="D151" s="31">
        <v>1</v>
      </c>
      <c r="E151" s="70"/>
      <c r="F151" s="31"/>
      <c r="G151" s="32">
        <v>1.865</v>
      </c>
      <c r="H151" s="32"/>
      <c r="I151" s="32"/>
      <c r="J151" s="33"/>
      <c r="K151" s="34" t="str">
        <f t="shared" si="33"/>
        <v/>
      </c>
      <c r="L151" s="35"/>
      <c r="M151" s="36" t="str">
        <f t="shared" si="34"/>
        <v/>
      </c>
      <c r="N151" s="37"/>
      <c r="O151" s="29"/>
      <c r="P151" s="38"/>
      <c r="Q151" s="28"/>
      <c r="R151" s="28" t="s">
        <v>334</v>
      </c>
      <c r="S151" s="28" t="s">
        <v>21</v>
      </c>
      <c r="T151" s="28"/>
      <c r="U151" s="28" t="s">
        <v>135</v>
      </c>
    </row>
    <row r="152" spans="1:21" s="27" customFormat="1" x14ac:dyDescent="0.25">
      <c r="A152" s="28" t="s">
        <v>21</v>
      </c>
      <c r="B152" s="28" t="s">
        <v>258</v>
      </c>
      <c r="C152" s="28" t="s">
        <v>21</v>
      </c>
      <c r="D152" s="31">
        <v>1</v>
      </c>
      <c r="E152" s="70" t="s">
        <v>231</v>
      </c>
      <c r="F152" s="45">
        <v>599</v>
      </c>
      <c r="G152" s="32">
        <v>1.8680000000000001</v>
      </c>
      <c r="H152" s="32">
        <v>3.7250000000000001</v>
      </c>
      <c r="I152" s="32">
        <v>3.7130000000000001</v>
      </c>
      <c r="J152" s="33">
        <f>IF(O152&lt;&gt;"",(H152-I152)/O152,"")</f>
        <v>6.0000000000000053E-3</v>
      </c>
      <c r="K152" s="34" t="str">
        <f t="shared" si="33"/>
        <v/>
      </c>
      <c r="L152" s="35">
        <f>F152/(O152*P152)</f>
        <v>7.4874999999999998</v>
      </c>
      <c r="M152" s="36" t="str">
        <f>IF(L152=0,"",IF(OR(L152&lt;7,L152&gt;7.8),"X",""))</f>
        <v/>
      </c>
      <c r="N152" s="37" t="s">
        <v>20</v>
      </c>
      <c r="O152" s="29">
        <v>2</v>
      </c>
      <c r="P152" s="38">
        <v>40</v>
      </c>
      <c r="Q152" s="28"/>
      <c r="R152" s="28" t="s">
        <v>335</v>
      </c>
      <c r="S152" s="28" t="s">
        <v>21</v>
      </c>
      <c r="T152" s="28"/>
      <c r="U152" s="28" t="s">
        <v>135</v>
      </c>
    </row>
    <row r="153" spans="1:21" s="27" customFormat="1" x14ac:dyDescent="0.25">
      <c r="A153" s="28" t="s">
        <v>21</v>
      </c>
      <c r="B153" s="28" t="s">
        <v>21</v>
      </c>
      <c r="C153" s="28" t="s">
        <v>21</v>
      </c>
      <c r="D153" s="31">
        <v>1</v>
      </c>
      <c r="E153" s="70"/>
      <c r="F153" s="31"/>
      <c r="G153" s="32">
        <v>1.857</v>
      </c>
      <c r="H153" s="32"/>
      <c r="I153" s="32"/>
      <c r="J153" s="33"/>
      <c r="K153" s="34" t="str">
        <f t="shared" si="33"/>
        <v/>
      </c>
      <c r="L153" s="35"/>
      <c r="M153" s="36" t="str">
        <f t="shared" si="34"/>
        <v/>
      </c>
      <c r="N153" s="37"/>
      <c r="O153" s="29"/>
      <c r="P153" s="38"/>
      <c r="Q153" s="28"/>
      <c r="R153" s="28" t="s">
        <v>336</v>
      </c>
      <c r="S153" s="28" t="s">
        <v>21</v>
      </c>
      <c r="T153" s="28"/>
      <c r="U153" s="28" t="s">
        <v>135</v>
      </c>
    </row>
    <row r="154" spans="1:21" s="27" customFormat="1" x14ac:dyDescent="0.25">
      <c r="A154" s="28" t="s">
        <v>21</v>
      </c>
      <c r="B154" s="28" t="s">
        <v>259</v>
      </c>
      <c r="C154" s="28" t="s">
        <v>21</v>
      </c>
      <c r="D154" s="31">
        <v>1</v>
      </c>
      <c r="E154" s="70" t="s">
        <v>357</v>
      </c>
      <c r="F154" s="45">
        <v>595</v>
      </c>
      <c r="G154" s="32">
        <v>1.8540000000000001</v>
      </c>
      <c r="H154" s="32">
        <v>3.7130000000000001</v>
      </c>
      <c r="I154" s="32">
        <v>3.7</v>
      </c>
      <c r="J154" s="33">
        <f>IF(O154&lt;&gt;"",(H154-I154)/O154,"")</f>
        <v>6.4999999999999503E-3</v>
      </c>
      <c r="K154" s="34" t="str">
        <f t="shared" si="33"/>
        <v/>
      </c>
      <c r="L154" s="35">
        <f>F154/(O154*P154)</f>
        <v>7.4375</v>
      </c>
      <c r="M154" s="36" t="str">
        <f>IF(L154=0,"",IF(OR(L154&lt;7,L154&gt;7.8),"X",""))</f>
        <v/>
      </c>
      <c r="N154" s="37" t="s">
        <v>20</v>
      </c>
      <c r="O154" s="29">
        <v>2</v>
      </c>
      <c r="P154" s="38">
        <v>40</v>
      </c>
      <c r="Q154" s="28"/>
      <c r="R154" s="28" t="s">
        <v>337</v>
      </c>
      <c r="S154" s="28" t="s">
        <v>21</v>
      </c>
      <c r="T154" s="28"/>
      <c r="U154" s="28" t="s">
        <v>135</v>
      </c>
    </row>
    <row r="155" spans="1:21" s="27" customFormat="1" x14ac:dyDescent="0.25">
      <c r="A155" s="28" t="s">
        <v>21</v>
      </c>
      <c r="B155" s="28" t="s">
        <v>21</v>
      </c>
      <c r="C155" s="28" t="s">
        <v>21</v>
      </c>
      <c r="D155" s="31">
        <v>1</v>
      </c>
      <c r="E155" s="70"/>
      <c r="F155" s="31"/>
      <c r="G155" s="32">
        <v>1.86</v>
      </c>
      <c r="H155" s="32"/>
      <c r="I155" s="32"/>
      <c r="J155" s="33"/>
      <c r="K155" s="34" t="str">
        <f t="shared" si="33"/>
        <v/>
      </c>
      <c r="L155" s="35"/>
      <c r="M155" s="36" t="str">
        <f t="shared" si="34"/>
        <v/>
      </c>
      <c r="N155" s="37"/>
      <c r="O155" s="29"/>
      <c r="P155" s="38"/>
      <c r="Q155" s="28"/>
      <c r="R155" s="28" t="s">
        <v>338</v>
      </c>
      <c r="S155" s="28" t="s">
        <v>21</v>
      </c>
      <c r="T155" s="28"/>
      <c r="U155" s="28" t="s">
        <v>135</v>
      </c>
    </row>
    <row r="156" spans="1:21" s="27" customFormat="1" x14ac:dyDescent="0.25">
      <c r="A156" s="28" t="s">
        <v>21</v>
      </c>
      <c r="B156" s="28" t="s">
        <v>260</v>
      </c>
      <c r="C156" s="28" t="s">
        <v>21</v>
      </c>
      <c r="D156" s="31">
        <v>1</v>
      </c>
      <c r="E156" s="70" t="s">
        <v>109</v>
      </c>
      <c r="F156" s="45">
        <v>599</v>
      </c>
      <c r="G156" s="32">
        <v>1.855</v>
      </c>
      <c r="H156" s="32">
        <v>3.71</v>
      </c>
      <c r="I156" s="32">
        <v>3.6960000000000002</v>
      </c>
      <c r="J156" s="33">
        <f>IF(O156&lt;&gt;"",(H156-I156)/O156,"")</f>
        <v>6.9999999999998952E-3</v>
      </c>
      <c r="K156" s="34" t="str">
        <f t="shared" si="33"/>
        <v/>
      </c>
      <c r="L156" s="35">
        <f>F156/(O156*P156)</f>
        <v>7.4874999999999998</v>
      </c>
      <c r="M156" s="36" t="str">
        <f>IF(L156=0,"",IF(OR(L156&lt;7,L156&gt;7.8),"X",""))</f>
        <v/>
      </c>
      <c r="N156" s="37" t="s">
        <v>20</v>
      </c>
      <c r="O156" s="29">
        <v>2</v>
      </c>
      <c r="P156" s="38">
        <v>40</v>
      </c>
      <c r="Q156" s="28"/>
      <c r="R156" s="28" t="s">
        <v>339</v>
      </c>
      <c r="S156" s="28" t="s">
        <v>21</v>
      </c>
      <c r="T156" s="28"/>
      <c r="U156" s="28" t="s">
        <v>135</v>
      </c>
    </row>
    <row r="157" spans="1:21" s="27" customFormat="1" x14ac:dyDescent="0.25">
      <c r="A157" s="28" t="s">
        <v>21</v>
      </c>
      <c r="B157" s="28" t="s">
        <v>21</v>
      </c>
      <c r="C157" s="28" t="s">
        <v>21</v>
      </c>
      <c r="D157" s="31">
        <v>1</v>
      </c>
      <c r="E157" s="70"/>
      <c r="F157" s="31"/>
      <c r="G157" s="32">
        <v>1.855</v>
      </c>
      <c r="H157" s="32"/>
      <c r="I157" s="32"/>
      <c r="J157" s="33"/>
      <c r="K157" s="34" t="str">
        <f t="shared" si="33"/>
        <v/>
      </c>
      <c r="L157" s="35"/>
      <c r="M157" s="36" t="str">
        <f t="shared" si="34"/>
        <v/>
      </c>
      <c r="N157" s="37"/>
      <c r="O157" s="29"/>
      <c r="P157" s="38"/>
      <c r="Q157" s="28"/>
      <c r="R157" s="28" t="s">
        <v>340</v>
      </c>
      <c r="S157" s="28" t="s">
        <v>21</v>
      </c>
      <c r="T157" s="28"/>
      <c r="U157" s="28" t="s">
        <v>135</v>
      </c>
    </row>
    <row r="158" spans="1:21" s="27" customFormat="1" x14ac:dyDescent="0.25">
      <c r="A158" s="28" t="s">
        <v>21</v>
      </c>
      <c r="B158" s="28" t="s">
        <v>261</v>
      </c>
      <c r="C158" s="28" t="s">
        <v>21</v>
      </c>
      <c r="D158" s="31">
        <v>1</v>
      </c>
      <c r="E158" s="30" t="s">
        <v>360</v>
      </c>
      <c r="F158" s="45">
        <v>602</v>
      </c>
      <c r="G158" s="32">
        <v>1.851</v>
      </c>
      <c r="H158" s="32">
        <v>3.6909999999999998</v>
      </c>
      <c r="I158" s="32">
        <v>3.6760000000000002</v>
      </c>
      <c r="J158" s="33">
        <f>IF(O158&lt;&gt;"",(H158-I158)/O158,"")</f>
        <v>7.4999999999998401E-3</v>
      </c>
      <c r="K158" s="34" t="str">
        <f t="shared" si="33"/>
        <v/>
      </c>
      <c r="L158" s="35">
        <f>F158/(O158*P158)</f>
        <v>7.5250000000000004</v>
      </c>
      <c r="M158" s="36" t="str">
        <f>IF(L158=0,"",IF(OR(L158&lt;7,L158&gt;7.8),"X",""))</f>
        <v/>
      </c>
      <c r="N158" s="37" t="s">
        <v>20</v>
      </c>
      <c r="O158" s="29">
        <v>2</v>
      </c>
      <c r="P158" s="38">
        <v>40</v>
      </c>
      <c r="Q158" s="28"/>
      <c r="R158" s="28" t="s">
        <v>341</v>
      </c>
      <c r="S158" s="47"/>
      <c r="T158" s="28"/>
      <c r="U158" s="28" t="s">
        <v>135</v>
      </c>
    </row>
    <row r="159" spans="1:21" s="27" customFormat="1" x14ac:dyDescent="0.25">
      <c r="A159" s="28" t="s">
        <v>21</v>
      </c>
      <c r="B159" s="28" t="s">
        <v>21</v>
      </c>
      <c r="C159" s="28" t="s">
        <v>21</v>
      </c>
      <c r="D159" s="31">
        <v>1</v>
      </c>
      <c r="E159" s="30"/>
      <c r="F159" s="31"/>
      <c r="G159" s="32">
        <v>1.8420000000000001</v>
      </c>
      <c r="H159" s="32"/>
      <c r="I159" s="32"/>
      <c r="J159" s="33"/>
      <c r="K159" s="34" t="str">
        <f t="shared" si="33"/>
        <v/>
      </c>
      <c r="L159" s="35"/>
      <c r="M159" s="36" t="str">
        <f t="shared" si="34"/>
        <v/>
      </c>
      <c r="N159" s="37"/>
      <c r="O159" s="29"/>
      <c r="P159" s="38"/>
      <c r="Q159" s="28"/>
      <c r="R159" s="28" t="s">
        <v>342</v>
      </c>
      <c r="S159" s="47"/>
      <c r="T159" s="28"/>
      <c r="U159" s="28" t="s">
        <v>135</v>
      </c>
    </row>
    <row r="160" spans="1:21" s="27" customFormat="1" x14ac:dyDescent="0.25">
      <c r="A160" s="28" t="s">
        <v>21</v>
      </c>
      <c r="B160" s="28" t="s">
        <v>262</v>
      </c>
      <c r="C160" s="28" t="s">
        <v>21</v>
      </c>
      <c r="D160" s="31">
        <v>1</v>
      </c>
      <c r="E160" s="30" t="s">
        <v>358</v>
      </c>
      <c r="F160" s="45">
        <v>601</v>
      </c>
      <c r="G160" s="32">
        <v>1.8440000000000001</v>
      </c>
      <c r="H160" s="32">
        <v>3.6989999999999998</v>
      </c>
      <c r="I160" s="32">
        <v>3.6850000000000001</v>
      </c>
      <c r="J160" s="33">
        <f>IF(O160&lt;&gt;"",(H160-I160)/O160,"")</f>
        <v>6.9999999999998952E-3</v>
      </c>
      <c r="K160" s="34" t="str">
        <f t="shared" si="33"/>
        <v/>
      </c>
      <c r="L160" s="35">
        <f>F160/(O160*P160)</f>
        <v>7.5125000000000002</v>
      </c>
      <c r="M160" s="36" t="str">
        <f>IF(L160=0,"",IF(OR(L160&lt;7,L160&gt;7.8),"X",""))</f>
        <v/>
      </c>
      <c r="N160" s="37" t="s">
        <v>20</v>
      </c>
      <c r="O160" s="29">
        <v>2</v>
      </c>
      <c r="P160" s="38">
        <v>40</v>
      </c>
      <c r="Q160" s="28"/>
      <c r="R160" s="28" t="s">
        <v>343</v>
      </c>
      <c r="S160" s="47"/>
      <c r="T160" s="28"/>
      <c r="U160" s="28" t="s">
        <v>135</v>
      </c>
    </row>
    <row r="161" spans="1:21" s="27" customFormat="1" x14ac:dyDescent="0.25">
      <c r="A161" s="28" t="s">
        <v>21</v>
      </c>
      <c r="B161" s="28" t="s">
        <v>21</v>
      </c>
      <c r="C161" s="28" t="s">
        <v>21</v>
      </c>
      <c r="D161" s="31">
        <v>1</v>
      </c>
      <c r="E161" s="30"/>
      <c r="F161" s="31"/>
      <c r="G161" s="32">
        <v>1.8560000000000001</v>
      </c>
      <c r="H161" s="32"/>
      <c r="I161" s="32"/>
      <c r="J161" s="33"/>
      <c r="K161" s="34" t="str">
        <f t="shared" si="33"/>
        <v/>
      </c>
      <c r="L161" s="35"/>
      <c r="M161" s="36" t="str">
        <f t="shared" si="34"/>
        <v/>
      </c>
      <c r="N161" s="37"/>
      <c r="O161" s="29"/>
      <c r="P161" s="38"/>
      <c r="Q161" s="28"/>
      <c r="R161" s="28" t="s">
        <v>344</v>
      </c>
      <c r="S161" s="47"/>
      <c r="T161" s="28"/>
      <c r="U161" s="28" t="s">
        <v>135</v>
      </c>
    </row>
    <row r="162" spans="1:21" s="27" customFormat="1" x14ac:dyDescent="0.25">
      <c r="A162" s="28" t="s">
        <v>21</v>
      </c>
      <c r="B162" s="28" t="s">
        <v>263</v>
      </c>
      <c r="C162" s="28" t="s">
        <v>21</v>
      </c>
      <c r="D162" s="31">
        <v>1</v>
      </c>
      <c r="E162" s="30" t="s">
        <v>268</v>
      </c>
      <c r="F162" s="45">
        <v>599</v>
      </c>
      <c r="G162" s="32">
        <v>1.847</v>
      </c>
      <c r="H162" s="32">
        <v>3.694</v>
      </c>
      <c r="I162" s="32">
        <v>3.681</v>
      </c>
      <c r="J162" s="33">
        <f>IF(O162&lt;&gt;"",(H162-I162)/O162,"")</f>
        <v>6.4999999999999503E-3</v>
      </c>
      <c r="K162" s="34" t="str">
        <f t="shared" si="33"/>
        <v/>
      </c>
      <c r="L162" s="35">
        <f>F162/(O162*P162)</f>
        <v>7.4874999999999998</v>
      </c>
      <c r="M162" s="36" t="str">
        <f>IF(L162=0,"",IF(OR(L162&lt;7,L162&gt;7.8),"X",""))</f>
        <v/>
      </c>
      <c r="N162" s="37" t="s">
        <v>20</v>
      </c>
      <c r="O162" s="29">
        <v>2</v>
      </c>
      <c r="P162" s="38">
        <v>40</v>
      </c>
      <c r="Q162" s="28"/>
      <c r="R162" s="28" t="s">
        <v>345</v>
      </c>
      <c r="S162" s="47"/>
      <c r="T162" s="28"/>
      <c r="U162" s="28" t="s">
        <v>135</v>
      </c>
    </row>
    <row r="163" spans="1:21" s="27" customFormat="1" x14ac:dyDescent="0.25">
      <c r="A163" s="28" t="s">
        <v>21</v>
      </c>
      <c r="B163" s="28" t="s">
        <v>21</v>
      </c>
      <c r="C163" s="28" t="s">
        <v>21</v>
      </c>
      <c r="D163" s="31">
        <v>1</v>
      </c>
      <c r="E163" s="30"/>
      <c r="F163" s="31"/>
      <c r="G163" s="32">
        <v>1.8480000000000001</v>
      </c>
      <c r="H163" s="32"/>
      <c r="I163" s="32"/>
      <c r="J163" s="33"/>
      <c r="K163" s="34" t="str">
        <f t="shared" si="33"/>
        <v/>
      </c>
      <c r="L163" s="35"/>
      <c r="M163" s="36" t="str">
        <f t="shared" si="34"/>
        <v/>
      </c>
      <c r="N163" s="37"/>
      <c r="O163" s="29"/>
      <c r="P163" s="38"/>
      <c r="Q163" s="28"/>
      <c r="R163" s="28" t="s">
        <v>346</v>
      </c>
      <c r="S163" s="47"/>
      <c r="T163" s="28"/>
      <c r="U163" s="28" t="s">
        <v>135</v>
      </c>
    </row>
    <row r="164" spans="1:21" s="27" customFormat="1" x14ac:dyDescent="0.25">
      <c r="A164" s="28" t="s">
        <v>21</v>
      </c>
      <c r="B164" s="28" t="s">
        <v>264</v>
      </c>
      <c r="C164" s="28" t="s">
        <v>21</v>
      </c>
      <c r="D164" s="31">
        <v>1</v>
      </c>
      <c r="E164" s="30" t="s">
        <v>359</v>
      </c>
      <c r="F164" s="45">
        <v>600</v>
      </c>
      <c r="G164" s="32">
        <v>1.845</v>
      </c>
      <c r="H164" s="32">
        <v>3.6850000000000001</v>
      </c>
      <c r="I164" s="32">
        <v>3.6709999999999998</v>
      </c>
      <c r="J164" s="33">
        <f>IF(O164&lt;&gt;"",(H164-I164)/O164,"")</f>
        <v>7.0000000000001172E-3</v>
      </c>
      <c r="K164" s="34" t="str">
        <f t="shared" si="33"/>
        <v/>
      </c>
      <c r="L164" s="35">
        <f>F164/(O164*P164)</f>
        <v>7.5</v>
      </c>
      <c r="M164" s="36" t="str">
        <f>IF(L164=0,"",IF(OR(L164&lt;7,L164&gt;7.8),"X",""))</f>
        <v/>
      </c>
      <c r="N164" s="37" t="s">
        <v>20</v>
      </c>
      <c r="O164" s="29">
        <v>2</v>
      </c>
      <c r="P164" s="38">
        <v>40</v>
      </c>
      <c r="Q164" s="28"/>
      <c r="R164" s="28" t="s">
        <v>347</v>
      </c>
      <c r="S164" s="47"/>
      <c r="T164" s="28"/>
      <c r="U164" s="28" t="s">
        <v>135</v>
      </c>
    </row>
    <row r="165" spans="1:21" s="27" customFormat="1" x14ac:dyDescent="0.25">
      <c r="A165" s="28" t="s">
        <v>21</v>
      </c>
      <c r="B165" s="28" t="s">
        <v>21</v>
      </c>
      <c r="C165" s="28" t="s">
        <v>21</v>
      </c>
      <c r="D165" s="31">
        <v>1</v>
      </c>
      <c r="E165" s="30"/>
      <c r="F165" s="31"/>
      <c r="G165" s="32">
        <v>1.841</v>
      </c>
      <c r="H165" s="32"/>
      <c r="I165" s="32"/>
      <c r="J165" s="33"/>
      <c r="K165" s="34" t="str">
        <f t="shared" si="33"/>
        <v/>
      </c>
      <c r="L165" s="35"/>
      <c r="M165" s="36" t="str">
        <f t="shared" si="34"/>
        <v/>
      </c>
      <c r="N165" s="37"/>
      <c r="O165" s="29"/>
      <c r="P165" s="38"/>
      <c r="Q165" s="28"/>
      <c r="R165" s="28" t="s">
        <v>348</v>
      </c>
      <c r="S165" s="47"/>
      <c r="T165" s="28"/>
      <c r="U165" s="28" t="s">
        <v>135</v>
      </c>
    </row>
    <row r="166" spans="1:21" s="27" customFormat="1" x14ac:dyDescent="0.25">
      <c r="A166" s="28" t="s">
        <v>21</v>
      </c>
      <c r="B166" s="28" t="s">
        <v>265</v>
      </c>
      <c r="C166" s="28" t="s">
        <v>21</v>
      </c>
      <c r="D166" s="31">
        <v>1</v>
      </c>
      <c r="E166" s="30" t="s">
        <v>358</v>
      </c>
      <c r="F166" s="45">
        <v>601</v>
      </c>
      <c r="G166" s="32">
        <v>1.843</v>
      </c>
      <c r="H166" s="32">
        <v>3.6880000000000002</v>
      </c>
      <c r="I166" s="32">
        <v>3.6720000000000002</v>
      </c>
      <c r="J166" s="33">
        <f>IF(O166&lt;&gt;"",(H166-I166)/O166,"")</f>
        <v>8.0000000000000071E-3</v>
      </c>
      <c r="K166" s="34" t="str">
        <f t="shared" si="33"/>
        <v/>
      </c>
      <c r="L166" s="35">
        <f>F166/(O166*P166)</f>
        <v>7.5125000000000002</v>
      </c>
      <c r="M166" s="36" t="str">
        <f>IF(L166=0,"",IF(OR(L166&lt;7,L166&gt;7.8),"X",""))</f>
        <v/>
      </c>
      <c r="N166" s="37" t="s">
        <v>20</v>
      </c>
      <c r="O166" s="29">
        <v>2</v>
      </c>
      <c r="P166" s="38">
        <v>40</v>
      </c>
      <c r="Q166" s="28"/>
      <c r="R166" s="28" t="s">
        <v>349</v>
      </c>
      <c r="S166" s="47"/>
      <c r="T166" s="28"/>
      <c r="U166" s="28" t="s">
        <v>135</v>
      </c>
    </row>
    <row r="167" spans="1:21" s="27" customFormat="1" x14ac:dyDescent="0.25">
      <c r="A167" s="28" t="s">
        <v>21</v>
      </c>
      <c r="B167" s="28" t="s">
        <v>21</v>
      </c>
      <c r="C167" s="28" t="s">
        <v>21</v>
      </c>
      <c r="D167" s="31">
        <v>1</v>
      </c>
      <c r="E167" s="30"/>
      <c r="F167" s="31"/>
      <c r="G167" s="32">
        <v>1.847</v>
      </c>
      <c r="H167" s="32"/>
      <c r="I167" s="32"/>
      <c r="J167" s="33"/>
      <c r="K167" s="34" t="str">
        <f t="shared" si="33"/>
        <v/>
      </c>
      <c r="L167" s="35"/>
      <c r="M167" s="36" t="str">
        <f t="shared" si="34"/>
        <v/>
      </c>
      <c r="N167" s="37"/>
      <c r="O167" s="29"/>
      <c r="P167" s="38"/>
      <c r="Q167" s="28"/>
      <c r="R167" s="28" t="s">
        <v>350</v>
      </c>
      <c r="S167" s="47"/>
      <c r="T167" s="28"/>
      <c r="U167" s="28" t="s">
        <v>135</v>
      </c>
    </row>
    <row r="168" spans="1:21" s="27" customFormat="1" x14ac:dyDescent="0.25">
      <c r="A168" s="28" t="s">
        <v>361</v>
      </c>
      <c r="B168" s="28" t="s">
        <v>362</v>
      </c>
      <c r="C168" s="28">
        <v>698353</v>
      </c>
      <c r="D168" s="31">
        <v>1</v>
      </c>
      <c r="E168" s="70" t="s">
        <v>236</v>
      </c>
      <c r="F168" s="45">
        <v>297</v>
      </c>
      <c r="G168" s="32"/>
      <c r="H168" s="32">
        <v>1.861</v>
      </c>
      <c r="I168" s="32">
        <v>1.853</v>
      </c>
      <c r="J168" s="33">
        <f t="shared" ref="J168:J192" si="35">IF(O168&lt;&gt;"",(H168-I168)/O168,"")</f>
        <v>8.0000000000000071E-3</v>
      </c>
      <c r="K168" s="34" t="str">
        <f t="shared" si="33"/>
        <v/>
      </c>
      <c r="L168" s="35">
        <f t="shared" ref="L168:L192" si="36">F168/(O168*P168)</f>
        <v>7.4249999999999998</v>
      </c>
      <c r="M168" s="36" t="str">
        <f t="shared" ref="M168:M192" si="37">IF(L168=0,"",IF(OR(L168&lt;7,L168&gt;7.8),"X",""))</f>
        <v/>
      </c>
      <c r="N168" s="37" t="s">
        <v>18</v>
      </c>
      <c r="O168" s="29">
        <v>1</v>
      </c>
      <c r="P168" s="38">
        <v>40</v>
      </c>
      <c r="Q168" s="46"/>
      <c r="R168" s="28" t="s">
        <v>387</v>
      </c>
      <c r="S168" s="71" t="s">
        <v>58</v>
      </c>
      <c r="T168" s="46"/>
      <c r="U168" s="28" t="s">
        <v>31</v>
      </c>
    </row>
    <row r="169" spans="1:21" s="27" customFormat="1" x14ac:dyDescent="0.25">
      <c r="A169" s="28" t="s">
        <v>21</v>
      </c>
      <c r="B169" s="28" t="s">
        <v>363</v>
      </c>
      <c r="C169" s="28" t="s">
        <v>21</v>
      </c>
      <c r="D169" s="31">
        <v>1</v>
      </c>
      <c r="E169" s="70" t="s">
        <v>234</v>
      </c>
      <c r="F169" s="45">
        <v>297</v>
      </c>
      <c r="G169" s="32"/>
      <c r="H169" s="32">
        <v>1.857</v>
      </c>
      <c r="I169" s="32">
        <v>1.851</v>
      </c>
      <c r="J169" s="33">
        <f t="shared" si="35"/>
        <v>6.0000000000000053E-3</v>
      </c>
      <c r="K169" s="34" t="str">
        <f t="shared" si="33"/>
        <v/>
      </c>
      <c r="L169" s="35">
        <f t="shared" si="36"/>
        <v>7.4249999999999998</v>
      </c>
      <c r="M169" s="36" t="str">
        <f t="shared" si="37"/>
        <v/>
      </c>
      <c r="N169" s="37" t="s">
        <v>18</v>
      </c>
      <c r="O169" s="29">
        <v>1</v>
      </c>
      <c r="P169" s="38">
        <v>40</v>
      </c>
      <c r="Q169" s="46"/>
      <c r="R169" s="28" t="s">
        <v>388</v>
      </c>
      <c r="S169" s="71" t="s">
        <v>59</v>
      </c>
      <c r="T169" s="46"/>
      <c r="U169" s="28" t="s">
        <v>31</v>
      </c>
    </row>
    <row r="170" spans="1:21" s="27" customFormat="1" x14ac:dyDescent="0.25">
      <c r="A170" s="28" t="s">
        <v>21</v>
      </c>
      <c r="B170" s="28" t="s">
        <v>364</v>
      </c>
      <c r="C170" s="28" t="s">
        <v>21</v>
      </c>
      <c r="D170" s="31">
        <v>1</v>
      </c>
      <c r="E170" s="70" t="s">
        <v>231</v>
      </c>
      <c r="F170" s="45">
        <v>296</v>
      </c>
      <c r="G170" s="32"/>
      <c r="H170" s="32">
        <v>1.8520000000000001</v>
      </c>
      <c r="I170" s="32">
        <v>1.845</v>
      </c>
      <c r="J170" s="33">
        <f t="shared" si="35"/>
        <v>7.0000000000001172E-3</v>
      </c>
      <c r="K170" s="34" t="str">
        <f t="shared" si="33"/>
        <v/>
      </c>
      <c r="L170" s="35">
        <f t="shared" si="36"/>
        <v>7.4</v>
      </c>
      <c r="M170" s="36" t="str">
        <f t="shared" si="37"/>
        <v/>
      </c>
      <c r="N170" s="37" t="s">
        <v>18</v>
      </c>
      <c r="O170" s="29">
        <v>1</v>
      </c>
      <c r="P170" s="38">
        <v>40</v>
      </c>
      <c r="Q170" s="46"/>
      <c r="R170" s="28" t="s">
        <v>392</v>
      </c>
      <c r="S170" s="28" t="s">
        <v>21</v>
      </c>
      <c r="T170" s="46"/>
      <c r="U170" s="28" t="s">
        <v>31</v>
      </c>
    </row>
    <row r="171" spans="1:21" s="27" customFormat="1" x14ac:dyDescent="0.25">
      <c r="A171" s="28" t="s">
        <v>21</v>
      </c>
      <c r="B171" s="28" t="s">
        <v>365</v>
      </c>
      <c r="C171" s="28" t="s">
        <v>21</v>
      </c>
      <c r="D171" s="31">
        <v>1</v>
      </c>
      <c r="E171" s="70" t="s">
        <v>231</v>
      </c>
      <c r="F171" s="45">
        <v>296</v>
      </c>
      <c r="G171" s="32"/>
      <c r="H171" s="32">
        <v>1.8560000000000001</v>
      </c>
      <c r="I171" s="32">
        <v>1.849</v>
      </c>
      <c r="J171" s="33">
        <f t="shared" si="35"/>
        <v>7.0000000000001172E-3</v>
      </c>
      <c r="K171" s="34" t="str">
        <f t="shared" si="33"/>
        <v/>
      </c>
      <c r="L171" s="35">
        <f t="shared" si="36"/>
        <v>7.4</v>
      </c>
      <c r="M171" s="36" t="str">
        <f t="shared" si="37"/>
        <v/>
      </c>
      <c r="N171" s="37" t="s">
        <v>18</v>
      </c>
      <c r="O171" s="29">
        <v>1</v>
      </c>
      <c r="P171" s="38">
        <v>40</v>
      </c>
      <c r="Q171" s="46"/>
      <c r="R171" s="28" t="s">
        <v>391</v>
      </c>
      <c r="S171" s="28" t="s">
        <v>21</v>
      </c>
      <c r="T171" s="46"/>
      <c r="U171" s="28" t="s">
        <v>31</v>
      </c>
    </row>
    <row r="172" spans="1:21" s="27" customFormat="1" x14ac:dyDescent="0.25">
      <c r="A172" s="28" t="s">
        <v>21</v>
      </c>
      <c r="B172" s="28" t="s">
        <v>366</v>
      </c>
      <c r="C172" s="28" t="s">
        <v>21</v>
      </c>
      <c r="D172" s="31">
        <v>1</v>
      </c>
      <c r="E172" s="70" t="s">
        <v>236</v>
      </c>
      <c r="F172" s="45">
        <v>298</v>
      </c>
      <c r="G172" s="32"/>
      <c r="H172" s="32">
        <v>1.8440000000000001</v>
      </c>
      <c r="I172" s="32">
        <v>1.835</v>
      </c>
      <c r="J172" s="33">
        <f t="shared" si="35"/>
        <v>9.000000000000119E-3</v>
      </c>
      <c r="K172" s="34" t="str">
        <f t="shared" si="33"/>
        <v/>
      </c>
      <c r="L172" s="35">
        <f t="shared" si="36"/>
        <v>7.45</v>
      </c>
      <c r="M172" s="36" t="str">
        <f t="shared" si="37"/>
        <v/>
      </c>
      <c r="N172" s="37" t="s">
        <v>18</v>
      </c>
      <c r="O172" s="29">
        <v>1</v>
      </c>
      <c r="P172" s="38">
        <v>40</v>
      </c>
      <c r="Q172" s="46"/>
      <c r="R172" s="28" t="s">
        <v>393</v>
      </c>
      <c r="S172" s="28" t="s">
        <v>21</v>
      </c>
      <c r="T172" s="46"/>
      <c r="U172" s="28" t="s">
        <v>31</v>
      </c>
    </row>
    <row r="173" spans="1:21" s="27" customFormat="1" x14ac:dyDescent="0.25">
      <c r="A173" s="28" t="s">
        <v>21</v>
      </c>
      <c r="B173" s="28" t="s">
        <v>367</v>
      </c>
      <c r="C173" s="28" t="s">
        <v>21</v>
      </c>
      <c r="D173" s="31">
        <v>1</v>
      </c>
      <c r="E173" s="70" t="s">
        <v>408</v>
      </c>
      <c r="F173" s="45">
        <v>296</v>
      </c>
      <c r="G173" s="32"/>
      <c r="H173" s="32">
        <v>1.843</v>
      </c>
      <c r="I173" s="32">
        <v>1.8360000000000001</v>
      </c>
      <c r="J173" s="33">
        <f t="shared" si="35"/>
        <v>6.9999999999998952E-3</v>
      </c>
      <c r="K173" s="34" t="str">
        <f t="shared" si="33"/>
        <v/>
      </c>
      <c r="L173" s="35">
        <f t="shared" si="36"/>
        <v>7.4</v>
      </c>
      <c r="M173" s="36" t="str">
        <f t="shared" si="37"/>
        <v/>
      </c>
      <c r="N173" s="37" t="s">
        <v>18</v>
      </c>
      <c r="O173" s="29">
        <v>1</v>
      </c>
      <c r="P173" s="38">
        <v>40</v>
      </c>
      <c r="Q173" s="46"/>
      <c r="R173" s="28" t="s">
        <v>389</v>
      </c>
      <c r="S173" s="28" t="s">
        <v>21</v>
      </c>
      <c r="T173" s="46"/>
      <c r="U173" s="28" t="s">
        <v>31</v>
      </c>
    </row>
    <row r="174" spans="1:21" s="27" customFormat="1" x14ac:dyDescent="0.25">
      <c r="A174" s="28" t="s">
        <v>21</v>
      </c>
      <c r="B174" s="28" t="s">
        <v>368</v>
      </c>
      <c r="C174" s="28" t="s">
        <v>21</v>
      </c>
      <c r="D174" s="31">
        <v>1</v>
      </c>
      <c r="E174" s="70" t="s">
        <v>407</v>
      </c>
      <c r="F174" s="45">
        <v>297</v>
      </c>
      <c r="G174" s="32"/>
      <c r="H174" s="32">
        <v>1.847</v>
      </c>
      <c r="I174" s="32">
        <v>1.84</v>
      </c>
      <c r="J174" s="33">
        <f t="shared" si="35"/>
        <v>6.9999999999998952E-3</v>
      </c>
      <c r="K174" s="34" t="str">
        <f t="shared" si="33"/>
        <v/>
      </c>
      <c r="L174" s="35">
        <f t="shared" si="36"/>
        <v>7.4249999999999998</v>
      </c>
      <c r="M174" s="36" t="str">
        <f t="shared" si="37"/>
        <v/>
      </c>
      <c r="N174" s="37" t="s">
        <v>18</v>
      </c>
      <c r="O174" s="29">
        <v>1</v>
      </c>
      <c r="P174" s="38">
        <v>40</v>
      </c>
      <c r="Q174" s="46"/>
      <c r="R174" s="28" t="s">
        <v>394</v>
      </c>
      <c r="S174" s="28" t="s">
        <v>21</v>
      </c>
      <c r="T174" s="46"/>
      <c r="U174" s="28" t="s">
        <v>31</v>
      </c>
    </row>
    <row r="175" spans="1:21" s="27" customFormat="1" x14ac:dyDescent="0.25">
      <c r="A175" s="28" t="s">
        <v>21</v>
      </c>
      <c r="B175" s="28" t="s">
        <v>369</v>
      </c>
      <c r="C175" s="28" t="s">
        <v>21</v>
      </c>
      <c r="D175" s="31">
        <v>1</v>
      </c>
      <c r="E175" s="70" t="s">
        <v>231</v>
      </c>
      <c r="F175" s="45">
        <v>297</v>
      </c>
      <c r="G175" s="32"/>
      <c r="H175" s="32">
        <v>1.849</v>
      </c>
      <c r="I175" s="32">
        <v>1.8420000000000001</v>
      </c>
      <c r="J175" s="33">
        <f t="shared" si="35"/>
        <v>6.9999999999998952E-3</v>
      </c>
      <c r="K175" s="34" t="str">
        <f t="shared" si="33"/>
        <v/>
      </c>
      <c r="L175" s="35">
        <f t="shared" si="36"/>
        <v>7.4249999999999998</v>
      </c>
      <c r="M175" s="36" t="str">
        <f t="shared" si="37"/>
        <v/>
      </c>
      <c r="N175" s="37" t="s">
        <v>18</v>
      </c>
      <c r="O175" s="29">
        <v>1</v>
      </c>
      <c r="P175" s="38">
        <v>40</v>
      </c>
      <c r="Q175" s="46"/>
      <c r="R175" s="28" t="s">
        <v>395</v>
      </c>
      <c r="S175" s="28" t="s">
        <v>21</v>
      </c>
      <c r="T175" s="46"/>
      <c r="U175" s="28" t="s">
        <v>31</v>
      </c>
    </row>
    <row r="176" spans="1:21" s="27" customFormat="1" x14ac:dyDescent="0.25">
      <c r="A176" s="28" t="s">
        <v>21</v>
      </c>
      <c r="B176" s="28" t="s">
        <v>370</v>
      </c>
      <c r="C176" s="28" t="s">
        <v>21</v>
      </c>
      <c r="D176" s="31">
        <v>1</v>
      </c>
      <c r="E176" s="70" t="s">
        <v>407</v>
      </c>
      <c r="F176" s="45">
        <v>297</v>
      </c>
      <c r="G176" s="32"/>
      <c r="H176" s="32">
        <v>1.84</v>
      </c>
      <c r="I176" s="32">
        <v>1.833</v>
      </c>
      <c r="J176" s="33">
        <f t="shared" si="35"/>
        <v>7.0000000000001172E-3</v>
      </c>
      <c r="K176" s="34" t="str">
        <f t="shared" si="33"/>
        <v/>
      </c>
      <c r="L176" s="35">
        <f t="shared" si="36"/>
        <v>7.4249999999999998</v>
      </c>
      <c r="M176" s="36" t="str">
        <f t="shared" si="37"/>
        <v/>
      </c>
      <c r="N176" s="37" t="s">
        <v>18</v>
      </c>
      <c r="O176" s="29">
        <v>1</v>
      </c>
      <c r="P176" s="38">
        <v>40</v>
      </c>
      <c r="Q176" s="46"/>
      <c r="R176" s="28" t="s">
        <v>396</v>
      </c>
      <c r="S176" s="28" t="s">
        <v>21</v>
      </c>
      <c r="T176" s="46"/>
      <c r="U176" s="28" t="s">
        <v>31</v>
      </c>
    </row>
    <row r="177" spans="1:21" s="27" customFormat="1" x14ac:dyDescent="0.25">
      <c r="A177" s="28" t="s">
        <v>21</v>
      </c>
      <c r="B177" s="28" t="s">
        <v>371</v>
      </c>
      <c r="C177" s="28" t="s">
        <v>21</v>
      </c>
      <c r="D177" s="31">
        <v>1</v>
      </c>
      <c r="E177" s="70" t="s">
        <v>234</v>
      </c>
      <c r="F177" s="45">
        <v>297</v>
      </c>
      <c r="G177" s="32"/>
      <c r="H177" s="32">
        <v>1.839</v>
      </c>
      <c r="I177" s="32">
        <v>1.833</v>
      </c>
      <c r="J177" s="33">
        <f t="shared" si="35"/>
        <v>6.0000000000000053E-3</v>
      </c>
      <c r="K177" s="34" t="str">
        <f t="shared" si="33"/>
        <v/>
      </c>
      <c r="L177" s="35">
        <f t="shared" si="36"/>
        <v>7.4249999999999998</v>
      </c>
      <c r="M177" s="36" t="str">
        <f t="shared" si="37"/>
        <v/>
      </c>
      <c r="N177" s="37" t="s">
        <v>18</v>
      </c>
      <c r="O177" s="29">
        <v>1</v>
      </c>
      <c r="P177" s="38">
        <v>40</v>
      </c>
      <c r="Q177" s="46"/>
      <c r="R177" s="28" t="s">
        <v>397</v>
      </c>
      <c r="S177" s="28" t="s">
        <v>21</v>
      </c>
      <c r="T177" s="46"/>
      <c r="U177" s="28" t="s">
        <v>31</v>
      </c>
    </row>
    <row r="178" spans="1:21" s="27" customFormat="1" x14ac:dyDescent="0.25">
      <c r="A178" s="28" t="s">
        <v>21</v>
      </c>
      <c r="B178" s="28" t="s">
        <v>372</v>
      </c>
      <c r="C178" s="28" t="s">
        <v>21</v>
      </c>
      <c r="D178" s="31">
        <v>1</v>
      </c>
      <c r="E178" s="70" t="s">
        <v>408</v>
      </c>
      <c r="F178" s="45">
        <v>297</v>
      </c>
      <c r="G178" s="32"/>
      <c r="H178" s="32">
        <v>1.86</v>
      </c>
      <c r="I178" s="32">
        <v>1.853</v>
      </c>
      <c r="J178" s="33">
        <f t="shared" si="35"/>
        <v>7.0000000000001172E-3</v>
      </c>
      <c r="K178" s="34" t="str">
        <f t="shared" si="33"/>
        <v/>
      </c>
      <c r="L178" s="35">
        <f t="shared" si="36"/>
        <v>7.4249999999999998</v>
      </c>
      <c r="M178" s="36" t="str">
        <f t="shared" si="37"/>
        <v/>
      </c>
      <c r="N178" s="37" t="s">
        <v>18</v>
      </c>
      <c r="O178" s="29">
        <v>1</v>
      </c>
      <c r="P178" s="38">
        <v>40</v>
      </c>
      <c r="Q178" s="46"/>
      <c r="R178" s="28" t="s">
        <v>398</v>
      </c>
      <c r="S178" s="71" t="s">
        <v>103</v>
      </c>
      <c r="T178" s="46"/>
      <c r="U178" s="28" t="s">
        <v>31</v>
      </c>
    </row>
    <row r="179" spans="1:21" s="27" customFormat="1" x14ac:dyDescent="0.25">
      <c r="A179" s="28" t="s">
        <v>21</v>
      </c>
      <c r="B179" s="28" t="s">
        <v>373</v>
      </c>
      <c r="C179" s="28" t="s">
        <v>21</v>
      </c>
      <c r="D179" s="31">
        <v>1</v>
      </c>
      <c r="E179" s="70" t="s">
        <v>104</v>
      </c>
      <c r="F179" s="45">
        <v>298</v>
      </c>
      <c r="G179" s="32"/>
      <c r="H179" s="32">
        <v>1.853</v>
      </c>
      <c r="I179" s="32">
        <v>1.845</v>
      </c>
      <c r="J179" s="33">
        <f t="shared" si="35"/>
        <v>8.0000000000000071E-3</v>
      </c>
      <c r="K179" s="34" t="str">
        <f t="shared" si="33"/>
        <v/>
      </c>
      <c r="L179" s="35">
        <f t="shared" si="36"/>
        <v>7.45</v>
      </c>
      <c r="M179" s="36" t="str">
        <f t="shared" si="37"/>
        <v/>
      </c>
      <c r="N179" s="37" t="s">
        <v>18</v>
      </c>
      <c r="O179" s="29">
        <v>1</v>
      </c>
      <c r="P179" s="38">
        <v>40</v>
      </c>
      <c r="Q179" s="46"/>
      <c r="R179" s="28" t="s">
        <v>390</v>
      </c>
      <c r="S179" s="71" t="s">
        <v>59</v>
      </c>
      <c r="T179" s="46"/>
      <c r="U179" s="28" t="s">
        <v>31</v>
      </c>
    </row>
    <row r="180" spans="1:21" s="27" customFormat="1" x14ac:dyDescent="0.25">
      <c r="A180" s="28" t="s">
        <v>21</v>
      </c>
      <c r="B180" s="28" t="s">
        <v>374</v>
      </c>
      <c r="C180" s="28" t="s">
        <v>21</v>
      </c>
      <c r="D180" s="31">
        <v>1</v>
      </c>
      <c r="E180" s="70" t="s">
        <v>409</v>
      </c>
      <c r="F180" s="45">
        <v>297</v>
      </c>
      <c r="G180" s="32"/>
      <c r="H180" s="32">
        <v>1.8520000000000001</v>
      </c>
      <c r="I180" s="32">
        <v>1.8460000000000001</v>
      </c>
      <c r="J180" s="33">
        <f t="shared" si="35"/>
        <v>6.0000000000000053E-3</v>
      </c>
      <c r="K180" s="34" t="str">
        <f t="shared" si="33"/>
        <v/>
      </c>
      <c r="L180" s="35">
        <f t="shared" si="36"/>
        <v>7.4249999999999998</v>
      </c>
      <c r="M180" s="36" t="str">
        <f t="shared" si="37"/>
        <v/>
      </c>
      <c r="N180" s="37" t="s">
        <v>18</v>
      </c>
      <c r="O180" s="29">
        <v>1</v>
      </c>
      <c r="P180" s="38">
        <v>40</v>
      </c>
      <c r="Q180" s="46"/>
      <c r="R180" s="28" t="s">
        <v>399</v>
      </c>
      <c r="S180" s="28" t="s">
        <v>21</v>
      </c>
      <c r="T180" s="46"/>
      <c r="U180" s="28" t="s">
        <v>31</v>
      </c>
    </row>
    <row r="181" spans="1:21" s="27" customFormat="1" x14ac:dyDescent="0.25">
      <c r="A181" s="28" t="s">
        <v>21</v>
      </c>
      <c r="B181" s="28" t="s">
        <v>375</v>
      </c>
      <c r="C181" s="28" t="s">
        <v>21</v>
      </c>
      <c r="D181" s="31">
        <v>1</v>
      </c>
      <c r="E181" s="70" t="s">
        <v>355</v>
      </c>
      <c r="F181" s="45">
        <v>297</v>
      </c>
      <c r="G181" s="32"/>
      <c r="H181" s="32">
        <v>1.859</v>
      </c>
      <c r="I181" s="32">
        <v>1.8520000000000001</v>
      </c>
      <c r="J181" s="33">
        <f t="shared" si="35"/>
        <v>6.9999999999998952E-3</v>
      </c>
      <c r="K181" s="34" t="str">
        <f t="shared" si="33"/>
        <v/>
      </c>
      <c r="L181" s="35">
        <f t="shared" si="36"/>
        <v>7.4249999999999998</v>
      </c>
      <c r="M181" s="36" t="str">
        <f t="shared" si="37"/>
        <v/>
      </c>
      <c r="N181" s="37" t="s">
        <v>18</v>
      </c>
      <c r="O181" s="29">
        <v>1</v>
      </c>
      <c r="P181" s="38">
        <v>40</v>
      </c>
      <c r="Q181" s="46"/>
      <c r="R181" s="28" t="s">
        <v>400</v>
      </c>
      <c r="S181" s="28" t="s">
        <v>21</v>
      </c>
      <c r="T181" s="46"/>
      <c r="U181" s="28" t="s">
        <v>31</v>
      </c>
    </row>
    <row r="182" spans="1:21" s="27" customFormat="1" x14ac:dyDescent="0.25">
      <c r="A182" s="28" t="s">
        <v>21</v>
      </c>
      <c r="B182" s="28" t="s">
        <v>376</v>
      </c>
      <c r="C182" s="28" t="s">
        <v>21</v>
      </c>
      <c r="D182" s="31">
        <v>1</v>
      </c>
      <c r="E182" s="70" t="s">
        <v>127</v>
      </c>
      <c r="F182" s="45">
        <v>297</v>
      </c>
      <c r="G182" s="32"/>
      <c r="H182" s="32">
        <v>1.861</v>
      </c>
      <c r="I182" s="32">
        <v>1.8540000000000001</v>
      </c>
      <c r="J182" s="33">
        <f t="shared" si="35"/>
        <v>6.9999999999998952E-3</v>
      </c>
      <c r="K182" s="34" t="str">
        <f t="shared" si="33"/>
        <v/>
      </c>
      <c r="L182" s="35">
        <f t="shared" si="36"/>
        <v>7.4249999999999998</v>
      </c>
      <c r="M182" s="36" t="str">
        <f t="shared" si="37"/>
        <v/>
      </c>
      <c r="N182" s="37" t="s">
        <v>18</v>
      </c>
      <c r="O182" s="29">
        <v>1</v>
      </c>
      <c r="P182" s="38">
        <v>40</v>
      </c>
      <c r="Q182" s="46"/>
      <c r="R182" s="28" t="s">
        <v>401</v>
      </c>
      <c r="S182" s="28" t="s">
        <v>21</v>
      </c>
      <c r="T182" s="46"/>
      <c r="U182" s="28" t="s">
        <v>31</v>
      </c>
    </row>
    <row r="183" spans="1:21" s="27" customFormat="1" x14ac:dyDescent="0.25">
      <c r="A183" s="28" t="s">
        <v>21</v>
      </c>
      <c r="B183" s="28" t="s">
        <v>377</v>
      </c>
      <c r="C183" s="28" t="s">
        <v>21</v>
      </c>
      <c r="D183" s="31">
        <v>1</v>
      </c>
      <c r="E183" s="30" t="s">
        <v>359</v>
      </c>
      <c r="F183" s="45">
        <v>298</v>
      </c>
      <c r="G183" s="32"/>
      <c r="H183" s="32">
        <v>1.8460000000000001</v>
      </c>
      <c r="I183" s="32">
        <v>1.84</v>
      </c>
      <c r="J183" s="33">
        <f t="shared" si="35"/>
        <v>6.0000000000000053E-3</v>
      </c>
      <c r="K183" s="34" t="str">
        <f t="shared" si="33"/>
        <v/>
      </c>
      <c r="L183" s="35">
        <f t="shared" si="36"/>
        <v>7.45</v>
      </c>
      <c r="M183" s="36" t="str">
        <f t="shared" si="37"/>
        <v/>
      </c>
      <c r="N183" s="37" t="s">
        <v>18</v>
      </c>
      <c r="O183" s="29">
        <v>1</v>
      </c>
      <c r="P183" s="38">
        <v>40</v>
      </c>
      <c r="Q183" s="46"/>
      <c r="R183" s="28" t="s">
        <v>402</v>
      </c>
      <c r="S183" s="47"/>
      <c r="T183" s="46"/>
      <c r="U183" s="28" t="s">
        <v>31</v>
      </c>
    </row>
    <row r="184" spans="1:21" s="27" customFormat="1" x14ac:dyDescent="0.25">
      <c r="A184" s="28" t="s">
        <v>21</v>
      </c>
      <c r="B184" s="28" t="s">
        <v>378</v>
      </c>
      <c r="C184" s="28" t="s">
        <v>21</v>
      </c>
      <c r="D184" s="31">
        <v>1</v>
      </c>
      <c r="E184" s="30" t="s">
        <v>128</v>
      </c>
      <c r="F184" s="45">
        <v>297</v>
      </c>
      <c r="G184" s="32"/>
      <c r="H184" s="32">
        <v>1.851</v>
      </c>
      <c r="I184" s="32">
        <v>1.8440000000000001</v>
      </c>
      <c r="J184" s="33">
        <f t="shared" si="35"/>
        <v>6.9999999999998952E-3</v>
      </c>
      <c r="K184" s="34" t="str">
        <f t="shared" si="33"/>
        <v/>
      </c>
      <c r="L184" s="35">
        <f t="shared" si="36"/>
        <v>7.4249999999999998</v>
      </c>
      <c r="M184" s="36" t="str">
        <f t="shared" si="37"/>
        <v/>
      </c>
      <c r="N184" s="37" t="s">
        <v>18</v>
      </c>
      <c r="O184" s="29">
        <v>1</v>
      </c>
      <c r="P184" s="38">
        <v>40</v>
      </c>
      <c r="Q184" s="46"/>
      <c r="R184" s="28" t="s">
        <v>403</v>
      </c>
      <c r="S184" s="47"/>
      <c r="T184" s="46"/>
      <c r="U184" s="28" t="s">
        <v>31</v>
      </c>
    </row>
    <row r="185" spans="1:21" s="27" customFormat="1" x14ac:dyDescent="0.25">
      <c r="A185" s="28" t="s">
        <v>21</v>
      </c>
      <c r="B185" s="28" t="s">
        <v>379</v>
      </c>
      <c r="C185" s="28" t="s">
        <v>21</v>
      </c>
      <c r="D185" s="31">
        <v>1</v>
      </c>
      <c r="E185" s="30" t="s">
        <v>128</v>
      </c>
      <c r="F185" s="45">
        <v>296</v>
      </c>
      <c r="G185" s="32"/>
      <c r="H185" s="32">
        <v>1.85</v>
      </c>
      <c r="I185" s="32">
        <v>1.8440000000000001</v>
      </c>
      <c r="J185" s="33">
        <f t="shared" si="35"/>
        <v>6.0000000000000053E-3</v>
      </c>
      <c r="K185" s="34" t="str">
        <f t="shared" si="33"/>
        <v/>
      </c>
      <c r="L185" s="35">
        <f t="shared" si="36"/>
        <v>7.4</v>
      </c>
      <c r="M185" s="36" t="str">
        <f t="shared" si="37"/>
        <v/>
      </c>
      <c r="N185" s="37" t="s">
        <v>18</v>
      </c>
      <c r="O185" s="29">
        <v>1</v>
      </c>
      <c r="P185" s="38">
        <v>40</v>
      </c>
      <c r="Q185" s="46"/>
      <c r="R185" s="28" t="s">
        <v>404</v>
      </c>
      <c r="S185" s="47"/>
      <c r="T185" s="46"/>
      <c r="U185" s="28" t="s">
        <v>31</v>
      </c>
    </row>
    <row r="186" spans="1:21" s="27" customFormat="1" x14ac:dyDescent="0.25">
      <c r="A186" s="28" t="s">
        <v>21</v>
      </c>
      <c r="B186" s="28" t="s">
        <v>380</v>
      </c>
      <c r="C186" s="28" t="s">
        <v>21</v>
      </c>
      <c r="D186" s="31">
        <v>1</v>
      </c>
      <c r="E186" s="30" t="s">
        <v>268</v>
      </c>
      <c r="F186" s="45">
        <v>298</v>
      </c>
      <c r="G186" s="32"/>
      <c r="H186" s="32">
        <v>1.853</v>
      </c>
      <c r="I186" s="32">
        <v>1.847</v>
      </c>
      <c r="J186" s="33">
        <f t="shared" si="35"/>
        <v>6.0000000000000053E-3</v>
      </c>
      <c r="K186" s="34" t="str">
        <f t="shared" si="33"/>
        <v/>
      </c>
      <c r="L186" s="35">
        <f t="shared" si="36"/>
        <v>7.45</v>
      </c>
      <c r="M186" s="36" t="str">
        <f t="shared" si="37"/>
        <v/>
      </c>
      <c r="N186" s="37" t="s">
        <v>18</v>
      </c>
      <c r="O186" s="29">
        <v>1</v>
      </c>
      <c r="P186" s="38">
        <v>40</v>
      </c>
      <c r="Q186" s="46"/>
      <c r="R186" s="28" t="s">
        <v>405</v>
      </c>
      <c r="S186" s="47"/>
      <c r="T186" s="46"/>
      <c r="U186" s="28" t="s">
        <v>31</v>
      </c>
    </row>
    <row r="187" spans="1:21" s="27" customFormat="1" x14ac:dyDescent="0.25">
      <c r="A187" s="28" t="s">
        <v>21</v>
      </c>
      <c r="B187" s="28" t="s">
        <v>381</v>
      </c>
      <c r="C187" s="28" t="s">
        <v>21</v>
      </c>
      <c r="D187" s="31">
        <v>1</v>
      </c>
      <c r="E187" s="30" t="s">
        <v>133</v>
      </c>
      <c r="F187" s="45">
        <v>293</v>
      </c>
      <c r="G187" s="32"/>
      <c r="H187" s="32">
        <v>1.87</v>
      </c>
      <c r="I187" s="32">
        <v>1.859</v>
      </c>
      <c r="J187" s="33">
        <f t="shared" si="35"/>
        <v>1.1000000000000121E-2</v>
      </c>
      <c r="K187" s="34" t="str">
        <f t="shared" si="33"/>
        <v/>
      </c>
      <c r="L187" s="35">
        <f t="shared" si="36"/>
        <v>7.3250000000000002</v>
      </c>
      <c r="M187" s="36" t="str">
        <f t="shared" si="37"/>
        <v/>
      </c>
      <c r="N187" s="37" t="s">
        <v>18</v>
      </c>
      <c r="O187" s="29">
        <v>1</v>
      </c>
      <c r="P187" s="38">
        <v>40</v>
      </c>
      <c r="Q187" s="46"/>
      <c r="R187" s="28" t="s">
        <v>406</v>
      </c>
      <c r="S187" s="47"/>
      <c r="T187" s="46"/>
      <c r="U187" s="28" t="s">
        <v>31</v>
      </c>
    </row>
    <row r="188" spans="1:21" s="27" customFormat="1" x14ac:dyDescent="0.25">
      <c r="A188" s="28" t="s">
        <v>21</v>
      </c>
      <c r="B188" s="28" t="s">
        <v>382</v>
      </c>
      <c r="C188" s="28" t="s">
        <v>21</v>
      </c>
      <c r="D188" s="31">
        <v>1</v>
      </c>
      <c r="E188" s="30" t="s">
        <v>63</v>
      </c>
      <c r="F188" s="45">
        <v>297</v>
      </c>
      <c r="G188" s="32"/>
      <c r="H188" s="32">
        <v>1.845</v>
      </c>
      <c r="I188" s="32">
        <v>1.8360000000000001</v>
      </c>
      <c r="J188" s="33">
        <f t="shared" si="35"/>
        <v>8.999999999999897E-3</v>
      </c>
      <c r="K188" s="34" t="str">
        <f t="shared" si="33"/>
        <v/>
      </c>
      <c r="L188" s="35">
        <f t="shared" si="36"/>
        <v>7.4249999999999998</v>
      </c>
      <c r="M188" s="36" t="str">
        <f t="shared" si="37"/>
        <v/>
      </c>
      <c r="N188" s="37" t="s">
        <v>18</v>
      </c>
      <c r="O188" s="29">
        <v>1</v>
      </c>
      <c r="P188" s="38">
        <v>40</v>
      </c>
      <c r="Q188" s="46"/>
      <c r="R188" s="28" t="s">
        <v>410</v>
      </c>
      <c r="S188" s="47"/>
      <c r="T188" s="46"/>
      <c r="U188" s="28" t="s">
        <v>31</v>
      </c>
    </row>
    <row r="189" spans="1:21" s="27" customFormat="1" x14ac:dyDescent="0.25">
      <c r="A189" s="28" t="s">
        <v>21</v>
      </c>
      <c r="B189" s="28" t="s">
        <v>383</v>
      </c>
      <c r="C189" s="28" t="s">
        <v>21</v>
      </c>
      <c r="D189" s="31">
        <v>1</v>
      </c>
      <c r="E189" s="30" t="s">
        <v>238</v>
      </c>
      <c r="F189" s="45">
        <v>297</v>
      </c>
      <c r="G189" s="32"/>
      <c r="H189" s="32">
        <v>1.84</v>
      </c>
      <c r="I189" s="32">
        <v>1.831</v>
      </c>
      <c r="J189" s="33">
        <f t="shared" si="35"/>
        <v>9.000000000000119E-3</v>
      </c>
      <c r="K189" s="34" t="str">
        <f t="shared" si="33"/>
        <v/>
      </c>
      <c r="L189" s="35">
        <f t="shared" si="36"/>
        <v>7.4249999999999998</v>
      </c>
      <c r="M189" s="36" t="str">
        <f t="shared" si="37"/>
        <v/>
      </c>
      <c r="N189" s="37" t="s">
        <v>18</v>
      </c>
      <c r="O189" s="29">
        <v>1</v>
      </c>
      <c r="P189" s="38">
        <v>40</v>
      </c>
      <c r="Q189" s="46"/>
      <c r="R189" s="28" t="s">
        <v>411</v>
      </c>
      <c r="S189" s="47"/>
      <c r="T189" s="46"/>
      <c r="U189" s="28" t="s">
        <v>31</v>
      </c>
    </row>
    <row r="190" spans="1:21" s="27" customFormat="1" x14ac:dyDescent="0.25">
      <c r="A190" s="28" t="s">
        <v>21</v>
      </c>
      <c r="B190" s="28" t="s">
        <v>384</v>
      </c>
      <c r="C190" s="28" t="s">
        <v>21</v>
      </c>
      <c r="D190" s="31">
        <v>1</v>
      </c>
      <c r="E190" s="30" t="s">
        <v>358</v>
      </c>
      <c r="F190" s="45">
        <v>297</v>
      </c>
      <c r="G190" s="32"/>
      <c r="H190" s="32">
        <v>1.84</v>
      </c>
      <c r="I190" s="32">
        <v>1.8320000000000001</v>
      </c>
      <c r="J190" s="33">
        <f t="shared" si="35"/>
        <v>8.0000000000000071E-3</v>
      </c>
      <c r="K190" s="34" t="str">
        <f t="shared" si="33"/>
        <v/>
      </c>
      <c r="L190" s="35">
        <f t="shared" si="36"/>
        <v>7.4249999999999998</v>
      </c>
      <c r="M190" s="36" t="str">
        <f t="shared" si="37"/>
        <v/>
      </c>
      <c r="N190" s="37" t="s">
        <v>18</v>
      </c>
      <c r="O190" s="29">
        <v>1</v>
      </c>
      <c r="P190" s="38">
        <v>40</v>
      </c>
      <c r="Q190" s="46"/>
      <c r="R190" s="28" t="s">
        <v>412</v>
      </c>
      <c r="S190" s="47"/>
      <c r="T190" s="46"/>
      <c r="U190" s="28" t="s">
        <v>31</v>
      </c>
    </row>
    <row r="191" spans="1:21" s="27" customFormat="1" x14ac:dyDescent="0.25">
      <c r="A191" s="28" t="s">
        <v>21</v>
      </c>
      <c r="B191" s="28" t="s">
        <v>385</v>
      </c>
      <c r="C191" s="28" t="s">
        <v>21</v>
      </c>
      <c r="D191" s="31">
        <v>1</v>
      </c>
      <c r="E191" s="30" t="s">
        <v>441</v>
      </c>
      <c r="F191" s="45">
        <v>296</v>
      </c>
      <c r="G191" s="32"/>
      <c r="H191" s="32">
        <v>1.835</v>
      </c>
      <c r="I191" s="32">
        <v>1.8260000000000001</v>
      </c>
      <c r="J191" s="33">
        <f t="shared" si="35"/>
        <v>8.999999999999897E-3</v>
      </c>
      <c r="K191" s="34" t="str">
        <f t="shared" si="33"/>
        <v/>
      </c>
      <c r="L191" s="35">
        <f t="shared" si="36"/>
        <v>7.4</v>
      </c>
      <c r="M191" s="36" t="str">
        <f t="shared" si="37"/>
        <v/>
      </c>
      <c r="N191" s="37" t="s">
        <v>18</v>
      </c>
      <c r="O191" s="29">
        <v>1</v>
      </c>
      <c r="P191" s="38">
        <v>40</v>
      </c>
      <c r="Q191" s="46"/>
      <c r="R191" s="28" t="s">
        <v>413</v>
      </c>
      <c r="S191" s="47"/>
      <c r="T191" s="46"/>
      <c r="U191" s="28" t="s">
        <v>31</v>
      </c>
    </row>
    <row r="192" spans="1:21" s="27" customFormat="1" x14ac:dyDescent="0.25">
      <c r="A192" s="28" t="s">
        <v>21</v>
      </c>
      <c r="B192" s="28" t="s">
        <v>386</v>
      </c>
      <c r="C192" s="28">
        <v>698353</v>
      </c>
      <c r="D192" s="31">
        <v>1</v>
      </c>
      <c r="E192" s="30" t="s">
        <v>360</v>
      </c>
      <c r="F192" s="45">
        <v>298</v>
      </c>
      <c r="G192" s="32"/>
      <c r="H192" s="32">
        <v>1.839</v>
      </c>
      <c r="I192" s="32">
        <v>1.83</v>
      </c>
      <c r="J192" s="33">
        <f t="shared" si="35"/>
        <v>8.999999999999897E-3</v>
      </c>
      <c r="K192" s="34" t="str">
        <f t="shared" si="33"/>
        <v/>
      </c>
      <c r="L192" s="35">
        <f t="shared" si="36"/>
        <v>7.45</v>
      </c>
      <c r="M192" s="36" t="str">
        <f t="shared" si="37"/>
        <v/>
      </c>
      <c r="N192" s="37" t="s">
        <v>18</v>
      </c>
      <c r="O192" s="29">
        <v>1</v>
      </c>
      <c r="P192" s="38">
        <v>40</v>
      </c>
      <c r="Q192" s="46"/>
      <c r="R192" s="28" t="s">
        <v>414</v>
      </c>
      <c r="S192" s="47"/>
      <c r="T192" s="46"/>
      <c r="U192" s="28" t="s">
        <v>31</v>
      </c>
    </row>
  </sheetData>
  <customSheetViews>
    <customSheetView guid="{C2C34B0E-C0A2-4B0B-812E-0757ABB9DC2E}">
      <pane ySplit="1" topLeftCell="A176" activePane="bottomLeft" state="frozen"/>
      <selection pane="bottomLeft" activeCell="S2" sqref="S2:S11"/>
      <pageMargins left="0.7" right="0.7" top="0.78740157499999996" bottom="0.78740157499999996" header="0.3" footer="0.3"/>
    </customSheetView>
    <customSheetView guid="{3652BF58-5AAC-43BD-BC8A-2FFF29529405}">
      <pane ySplit="1" topLeftCell="A176" activePane="bottomLeft" state="frozen"/>
      <selection pane="bottomLeft" activeCell="S2" sqref="S2:S11"/>
      <pageMargins left="0.7" right="0.7" top="0.78740157499999996" bottom="0.78740157499999996" header="0.3" footer="0.3"/>
    </customSheetView>
    <customSheetView guid="{E2377352-22A7-452B-BFAD-18D3D497CC88}">
      <pane ySplit="1" topLeftCell="A176" activePane="bottomLeft" state="frozen"/>
      <selection pane="bottomLeft" activeCell="S2" sqref="S2:S11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61"/>
  <sheetViews>
    <sheetView workbookViewId="0">
      <pane ySplit="1" topLeftCell="A83" activePane="bottomLeft" state="frozen"/>
      <selection pane="bottomLeft" activeCell="C184" sqref="C184"/>
    </sheetView>
  </sheetViews>
  <sheetFormatPr baseColWidth="10" defaultRowHeight="15" x14ac:dyDescent="0.25"/>
  <cols>
    <col min="1" max="1" width="14.140625" customWidth="1"/>
    <col min="2" max="2" width="15.28515625" customWidth="1"/>
    <col min="3" max="3" width="12.42578125" customWidth="1"/>
    <col min="4" max="5" width="9.140625" customWidth="1"/>
    <col min="6" max="6" width="11" customWidth="1"/>
    <col min="7" max="7" width="12" customWidth="1"/>
    <col min="10" max="10" width="10" customWidth="1"/>
    <col min="11" max="11" width="1.7109375" customWidth="1"/>
    <col min="12" max="12" width="9.85546875" customWidth="1"/>
    <col min="13" max="13" width="2.5703125" customWidth="1"/>
    <col min="14" max="14" width="9.85546875" customWidth="1"/>
    <col min="15" max="15" width="8" customWidth="1"/>
    <col min="16" max="16" width="9.5703125" customWidth="1"/>
    <col min="17" max="17" width="2.140625" customWidth="1"/>
    <col min="18" max="18" width="33.5703125" customWidth="1"/>
    <col min="19" max="19" width="43.140625" customWidth="1"/>
    <col min="20" max="20" width="0.42578125" customWidth="1"/>
    <col min="21" max="21" width="9.140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415</v>
      </c>
      <c r="B2" s="28" t="s">
        <v>416</v>
      </c>
      <c r="C2" s="28">
        <v>698353</v>
      </c>
      <c r="D2" s="31">
        <v>1</v>
      </c>
      <c r="E2" s="70" t="s">
        <v>270</v>
      </c>
      <c r="F2" s="45">
        <v>597</v>
      </c>
      <c r="G2" s="32">
        <v>1.851</v>
      </c>
      <c r="H2" s="32">
        <v>3.7029999999999998</v>
      </c>
      <c r="I2" s="32">
        <v>3.6880000000000002</v>
      </c>
      <c r="J2" s="33">
        <f>IF(O2&lt;&gt;"",(H2-I2)/O2,"")</f>
        <v>7.4999999999998401E-3</v>
      </c>
      <c r="K2" s="34" t="str">
        <f t="shared" ref="K2:K65" si="0">IF(J2=0,"",IF(OR(J2&lt;0,J2&gt;0.03),"X",""))</f>
        <v/>
      </c>
      <c r="L2" s="35">
        <f>F2/(O2*P2)</f>
        <v>7.4625000000000004</v>
      </c>
      <c r="M2" s="36" t="str">
        <f>IF(L2=0,"",IF(OR(L2&lt;7,L2&gt;7.8),"X",""))</f>
        <v/>
      </c>
      <c r="N2" s="37" t="s">
        <v>20</v>
      </c>
      <c r="O2" s="29">
        <v>2</v>
      </c>
      <c r="P2" s="38">
        <v>40</v>
      </c>
      <c r="Q2" s="28"/>
      <c r="R2" s="28" t="s">
        <v>431</v>
      </c>
      <c r="S2" s="71" t="s">
        <v>103</v>
      </c>
      <c r="T2" s="28"/>
      <c r="U2" s="28" t="s">
        <v>31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31">
        <v>1</v>
      </c>
      <c r="E3" s="70"/>
      <c r="F3" s="31"/>
      <c r="G3" s="32">
        <v>1.851</v>
      </c>
      <c r="H3" s="32"/>
      <c r="I3" s="32"/>
      <c r="J3" s="33"/>
      <c r="K3" s="34" t="str">
        <f t="shared" si="0"/>
        <v/>
      </c>
      <c r="L3" s="35"/>
      <c r="M3" s="36" t="str">
        <f t="shared" ref="M3:M31" si="1">IF(L3=0,"",IF(OR(L3&lt;7.4,L3&gt;8),"X",""))</f>
        <v/>
      </c>
      <c r="N3" s="37"/>
      <c r="O3" s="29"/>
      <c r="P3" s="38"/>
      <c r="Q3" s="28"/>
      <c r="R3" s="28" t="s">
        <v>432</v>
      </c>
      <c r="S3" s="71" t="s">
        <v>59</v>
      </c>
      <c r="T3" s="28"/>
      <c r="U3" s="28" t="s">
        <v>31</v>
      </c>
    </row>
    <row r="4" spans="1:54" s="27" customFormat="1" x14ac:dyDescent="0.25">
      <c r="A4" s="28" t="s">
        <v>21</v>
      </c>
      <c r="B4" s="28" t="s">
        <v>417</v>
      </c>
      <c r="C4" s="28" t="s">
        <v>21</v>
      </c>
      <c r="D4" s="31">
        <v>1</v>
      </c>
      <c r="E4" s="70" t="s">
        <v>407</v>
      </c>
      <c r="F4" s="45">
        <v>597</v>
      </c>
      <c r="G4" s="32">
        <v>1.8540000000000001</v>
      </c>
      <c r="H4" s="32">
        <v>3.7029999999999998</v>
      </c>
      <c r="I4" s="32">
        <v>3.6890000000000001</v>
      </c>
      <c r="J4" s="33">
        <f>IF(O4&lt;&gt;"",(H4-I4)/O4,"")</f>
        <v>6.9999999999998952E-3</v>
      </c>
      <c r="K4" s="34" t="str">
        <f t="shared" si="0"/>
        <v/>
      </c>
      <c r="L4" s="35">
        <f>F4/(O4*P4)</f>
        <v>7.4625000000000004</v>
      </c>
      <c r="M4" s="36" t="str">
        <f>IF(L4=0,"",IF(OR(L4&lt;7,L4&gt;7.8),"X",""))</f>
        <v/>
      </c>
      <c r="N4" s="37" t="s">
        <v>20</v>
      </c>
      <c r="O4" s="29">
        <v>2</v>
      </c>
      <c r="P4" s="38">
        <v>40</v>
      </c>
      <c r="Q4" s="28"/>
      <c r="R4" s="28" t="s">
        <v>433</v>
      </c>
      <c r="S4" s="28" t="s">
        <v>21</v>
      </c>
      <c r="T4" s="28"/>
      <c r="U4" s="28" t="s">
        <v>31</v>
      </c>
    </row>
    <row r="5" spans="1:54" s="27" customFormat="1" x14ac:dyDescent="0.25">
      <c r="A5" s="28" t="s">
        <v>21</v>
      </c>
      <c r="B5" s="28" t="s">
        <v>21</v>
      </c>
      <c r="C5" s="28" t="s">
        <v>21</v>
      </c>
      <c r="D5" s="31">
        <v>1</v>
      </c>
      <c r="E5" s="70"/>
      <c r="F5" s="31"/>
      <c r="G5" s="32">
        <v>1.851</v>
      </c>
      <c r="H5" s="32"/>
      <c r="I5" s="32"/>
      <c r="J5" s="33"/>
      <c r="K5" s="34" t="str">
        <f t="shared" si="0"/>
        <v/>
      </c>
      <c r="L5" s="35"/>
      <c r="M5" s="36" t="str">
        <f t="shared" si="1"/>
        <v/>
      </c>
      <c r="N5" s="37"/>
      <c r="O5" s="29"/>
      <c r="P5" s="38"/>
      <c r="Q5" s="28"/>
      <c r="R5" s="28" t="s">
        <v>434</v>
      </c>
      <c r="S5" s="28" t="s">
        <v>21</v>
      </c>
      <c r="T5" s="28"/>
      <c r="U5" s="28" t="s">
        <v>31</v>
      </c>
    </row>
    <row r="6" spans="1:54" s="27" customFormat="1" x14ac:dyDescent="0.25">
      <c r="A6" s="28" t="s">
        <v>21</v>
      </c>
      <c r="B6" s="28" t="s">
        <v>418</v>
      </c>
      <c r="C6" s="28" t="s">
        <v>21</v>
      </c>
      <c r="D6" s="31">
        <v>1</v>
      </c>
      <c r="E6" s="70" t="s">
        <v>236</v>
      </c>
      <c r="F6" s="45">
        <v>599</v>
      </c>
      <c r="G6" s="32">
        <v>1.845</v>
      </c>
      <c r="H6" s="32">
        <v>3.6890000000000001</v>
      </c>
      <c r="I6" s="32">
        <v>3.6720000000000002</v>
      </c>
      <c r="J6" s="33">
        <f>IF(O6&lt;&gt;"",(H6-I6)/O6,"")</f>
        <v>8.499999999999952E-3</v>
      </c>
      <c r="K6" s="34" t="str">
        <f t="shared" si="0"/>
        <v/>
      </c>
      <c r="L6" s="35">
        <f>F6/(O6*P6)</f>
        <v>7.4874999999999998</v>
      </c>
      <c r="M6" s="36" t="str">
        <f>IF(L6=0,"",IF(OR(L6&lt;7,L6&gt;7.8),"X",""))</f>
        <v/>
      </c>
      <c r="N6" s="37" t="s">
        <v>20</v>
      </c>
      <c r="O6" s="29">
        <v>2</v>
      </c>
      <c r="P6" s="38">
        <v>40</v>
      </c>
      <c r="Q6" s="28"/>
      <c r="R6" s="28" t="s">
        <v>435</v>
      </c>
      <c r="S6" s="28" t="s">
        <v>21</v>
      </c>
      <c r="T6" s="28"/>
      <c r="U6" s="28" t="s">
        <v>31</v>
      </c>
    </row>
    <row r="7" spans="1:54" s="27" customFormat="1" x14ac:dyDescent="0.25">
      <c r="A7" s="28" t="s">
        <v>21</v>
      </c>
      <c r="B7" s="28" t="s">
        <v>21</v>
      </c>
      <c r="C7" s="28" t="s">
        <v>21</v>
      </c>
      <c r="D7" s="31">
        <v>1</v>
      </c>
      <c r="E7" s="70"/>
      <c r="F7" s="31"/>
      <c r="G7" s="32">
        <v>1.845</v>
      </c>
      <c r="H7" s="32"/>
      <c r="I7" s="32"/>
      <c r="J7" s="33"/>
      <c r="K7" s="34" t="str">
        <f t="shared" si="0"/>
        <v/>
      </c>
      <c r="L7" s="35"/>
      <c r="M7" s="36" t="str">
        <f t="shared" si="1"/>
        <v/>
      </c>
      <c r="N7" s="37"/>
      <c r="O7" s="29"/>
      <c r="P7" s="38"/>
      <c r="Q7" s="28"/>
      <c r="R7" s="28" t="s">
        <v>437</v>
      </c>
      <c r="S7" s="28" t="s">
        <v>21</v>
      </c>
      <c r="T7" s="28"/>
      <c r="U7" s="28" t="s">
        <v>31</v>
      </c>
    </row>
    <row r="8" spans="1:54" s="27" customFormat="1" x14ac:dyDescent="0.25">
      <c r="A8" s="28" t="s">
        <v>21</v>
      </c>
      <c r="B8" s="28" t="s">
        <v>419</v>
      </c>
      <c r="C8" s="28" t="s">
        <v>21</v>
      </c>
      <c r="D8" s="31">
        <v>1</v>
      </c>
      <c r="E8" s="70" t="s">
        <v>233</v>
      </c>
      <c r="F8" s="45">
        <v>599</v>
      </c>
      <c r="G8" s="32">
        <v>1.851</v>
      </c>
      <c r="H8" s="32">
        <v>3.6909999999999998</v>
      </c>
      <c r="I8" s="32">
        <v>3.6749999999999998</v>
      </c>
      <c r="J8" s="33">
        <f>IF(O8&lt;&gt;"",(H8-I8)/O8,"")</f>
        <v>8.0000000000000071E-3</v>
      </c>
      <c r="K8" s="34" t="str">
        <f t="shared" si="0"/>
        <v/>
      </c>
      <c r="L8" s="35">
        <f>F8/(O8*P8)</f>
        <v>7.4874999999999998</v>
      </c>
      <c r="M8" s="36" t="str">
        <f>IF(L8=0,"",IF(OR(L8&lt;7,L8&gt;7.8),"X",""))</f>
        <v/>
      </c>
      <c r="N8" s="37" t="s">
        <v>20</v>
      </c>
      <c r="O8" s="29">
        <v>2</v>
      </c>
      <c r="P8" s="38">
        <v>40</v>
      </c>
      <c r="Q8" s="28"/>
      <c r="R8" s="28" t="s">
        <v>438</v>
      </c>
      <c r="S8" s="28" t="s">
        <v>21</v>
      </c>
      <c r="T8" s="28"/>
      <c r="U8" s="28" t="s">
        <v>31</v>
      </c>
    </row>
    <row r="9" spans="1:54" s="27" customFormat="1" x14ac:dyDescent="0.25">
      <c r="A9" s="28" t="s">
        <v>21</v>
      </c>
      <c r="B9" s="28" t="s">
        <v>21</v>
      </c>
      <c r="C9" s="28" t="s">
        <v>21</v>
      </c>
      <c r="D9" s="31">
        <v>1</v>
      </c>
      <c r="E9" s="70"/>
      <c r="F9" s="31"/>
      <c r="G9" s="32">
        <v>1.841</v>
      </c>
      <c r="H9" s="32"/>
      <c r="I9" s="32"/>
      <c r="J9" s="33"/>
      <c r="K9" s="34" t="str">
        <f t="shared" si="0"/>
        <v/>
      </c>
      <c r="L9" s="35"/>
      <c r="M9" s="36" t="str">
        <f t="shared" si="1"/>
        <v/>
      </c>
      <c r="N9" s="37"/>
      <c r="O9" s="29"/>
      <c r="P9" s="38"/>
      <c r="Q9" s="28"/>
      <c r="R9" s="28" t="s">
        <v>436</v>
      </c>
      <c r="S9" s="28" t="s">
        <v>21</v>
      </c>
      <c r="T9" s="28"/>
      <c r="U9" s="28" t="s">
        <v>31</v>
      </c>
    </row>
    <row r="10" spans="1:54" s="27" customFormat="1" x14ac:dyDescent="0.25">
      <c r="A10" s="28" t="s">
        <v>21</v>
      </c>
      <c r="B10" s="28" t="s">
        <v>420</v>
      </c>
      <c r="C10" s="28" t="s">
        <v>21</v>
      </c>
      <c r="D10" s="31">
        <v>1</v>
      </c>
      <c r="E10" s="70" t="s">
        <v>234</v>
      </c>
      <c r="F10" s="45">
        <v>600</v>
      </c>
      <c r="G10" s="32">
        <v>1.8380000000000001</v>
      </c>
      <c r="H10" s="32">
        <v>3.6739999999999999</v>
      </c>
      <c r="I10" s="32">
        <v>3.657</v>
      </c>
      <c r="J10" s="33">
        <f>IF(O10&lt;&gt;"",(H10-I10)/O10,"")</f>
        <v>8.499999999999952E-3</v>
      </c>
      <c r="K10" s="34" t="str">
        <f t="shared" si="0"/>
        <v/>
      </c>
      <c r="L10" s="35">
        <f>F10/(O10*P10)</f>
        <v>7.5</v>
      </c>
      <c r="M10" s="36" t="str">
        <f>IF(L10=0,"",IF(OR(L10&lt;7,L10&gt;7.8),"X",""))</f>
        <v/>
      </c>
      <c r="N10" s="37" t="s">
        <v>20</v>
      </c>
      <c r="O10" s="29">
        <v>2</v>
      </c>
      <c r="P10" s="38">
        <v>40</v>
      </c>
      <c r="Q10" s="28"/>
      <c r="R10" s="28" t="s">
        <v>440</v>
      </c>
      <c r="S10" s="28" t="s">
        <v>21</v>
      </c>
      <c r="T10" s="28"/>
      <c r="U10" s="28" t="s">
        <v>31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31">
        <v>1</v>
      </c>
      <c r="E11" s="70"/>
      <c r="F11" s="31"/>
      <c r="G11" s="32">
        <v>1.837</v>
      </c>
      <c r="H11" s="32"/>
      <c r="I11" s="32"/>
      <c r="J11" s="33"/>
      <c r="K11" s="34" t="str">
        <f t="shared" si="0"/>
        <v/>
      </c>
      <c r="L11" s="35"/>
      <c r="M11" s="36" t="str">
        <f t="shared" si="1"/>
        <v/>
      </c>
      <c r="N11" s="37"/>
      <c r="O11" s="29"/>
      <c r="P11" s="38"/>
      <c r="Q11" s="28"/>
      <c r="R11" s="28" t="s">
        <v>439</v>
      </c>
      <c r="S11" s="28" t="s">
        <v>21</v>
      </c>
      <c r="T11" s="28"/>
      <c r="U11" s="28" t="s">
        <v>31</v>
      </c>
    </row>
    <row r="12" spans="1:54" s="27" customFormat="1" x14ac:dyDescent="0.25">
      <c r="A12" s="28" t="s">
        <v>21</v>
      </c>
      <c r="B12" s="28" t="s">
        <v>421</v>
      </c>
      <c r="C12" s="28" t="s">
        <v>21</v>
      </c>
      <c r="D12" s="31">
        <v>1</v>
      </c>
      <c r="E12" s="70" t="s">
        <v>462</v>
      </c>
      <c r="F12" s="45">
        <v>599</v>
      </c>
      <c r="G12" s="32">
        <v>1.845</v>
      </c>
      <c r="H12" s="32">
        <v>3.6869999999999998</v>
      </c>
      <c r="I12" s="32">
        <v>3.67</v>
      </c>
      <c r="J12" s="33">
        <f>IF(O12&lt;&gt;"",(H12-I12)/O12,"")</f>
        <v>8.499999999999952E-3</v>
      </c>
      <c r="K12" s="34" t="str">
        <f t="shared" si="0"/>
        <v/>
      </c>
      <c r="L12" s="35">
        <f>F12/(O12*P12)</f>
        <v>7.4874999999999998</v>
      </c>
      <c r="M12" s="36" t="str">
        <f>IF(L12=0,"",IF(OR(L12&lt;7,L12&gt;7.8),"X",""))</f>
        <v/>
      </c>
      <c r="N12" s="37" t="s">
        <v>20</v>
      </c>
      <c r="O12" s="29">
        <v>2</v>
      </c>
      <c r="P12" s="38">
        <v>40</v>
      </c>
      <c r="Q12" s="28"/>
      <c r="R12" s="28" t="s">
        <v>443</v>
      </c>
      <c r="S12" s="71" t="s">
        <v>103</v>
      </c>
      <c r="T12" s="28"/>
      <c r="U12" s="28" t="s">
        <v>31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31">
        <v>1</v>
      </c>
      <c r="E13" s="70"/>
      <c r="F13" s="31"/>
      <c r="G13" s="32">
        <v>1.843</v>
      </c>
      <c r="H13" s="32"/>
      <c r="I13" s="32"/>
      <c r="J13" s="33"/>
      <c r="K13" s="34" t="str">
        <f t="shared" si="0"/>
        <v/>
      </c>
      <c r="L13" s="35"/>
      <c r="M13" s="36" t="str">
        <f t="shared" si="1"/>
        <v/>
      </c>
      <c r="N13" s="37"/>
      <c r="O13" s="29"/>
      <c r="P13" s="38"/>
      <c r="Q13" s="28"/>
      <c r="R13" s="28" t="s">
        <v>444</v>
      </c>
      <c r="S13" s="71" t="s">
        <v>59</v>
      </c>
      <c r="T13" s="28"/>
      <c r="U13" s="28" t="s">
        <v>31</v>
      </c>
    </row>
    <row r="14" spans="1:54" s="27" customFormat="1" x14ac:dyDescent="0.25">
      <c r="A14" s="28" t="s">
        <v>21</v>
      </c>
      <c r="B14" s="28" t="s">
        <v>422</v>
      </c>
      <c r="C14" s="28" t="s">
        <v>21</v>
      </c>
      <c r="D14" s="31">
        <v>1</v>
      </c>
      <c r="E14" s="70" t="s">
        <v>237</v>
      </c>
      <c r="F14" s="45">
        <v>599</v>
      </c>
      <c r="G14" s="32">
        <v>1.8380000000000001</v>
      </c>
      <c r="H14" s="32">
        <v>3.6840000000000002</v>
      </c>
      <c r="I14" s="32">
        <v>3.6659999999999999</v>
      </c>
      <c r="J14" s="33">
        <f>IF(O14&lt;&gt;"",(H14-I14)/O14,"")</f>
        <v>9.000000000000119E-3</v>
      </c>
      <c r="K14" s="34" t="str">
        <f t="shared" si="0"/>
        <v/>
      </c>
      <c r="L14" s="35">
        <f>F14/(O14*P14)</f>
        <v>7.4874999999999998</v>
      </c>
      <c r="M14" s="36" t="str">
        <f>IF(L14=0,"",IF(OR(L14&lt;7,L14&gt;7.8),"X",""))</f>
        <v/>
      </c>
      <c r="N14" s="37" t="s">
        <v>20</v>
      </c>
      <c r="O14" s="29">
        <v>2</v>
      </c>
      <c r="P14" s="38">
        <v>40</v>
      </c>
      <c r="Q14" s="28"/>
      <c r="R14" s="28" t="s">
        <v>445</v>
      </c>
      <c r="S14" s="28" t="s">
        <v>21</v>
      </c>
      <c r="T14" s="28"/>
      <c r="U14" s="28" t="s">
        <v>31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1</v>
      </c>
      <c r="E15" s="70"/>
      <c r="F15" s="31"/>
      <c r="G15" s="32">
        <v>1.847</v>
      </c>
      <c r="H15" s="32"/>
      <c r="I15" s="32"/>
      <c r="J15" s="33"/>
      <c r="K15" s="34" t="str">
        <f t="shared" si="0"/>
        <v/>
      </c>
      <c r="L15" s="35"/>
      <c r="M15" s="36" t="str">
        <f t="shared" si="1"/>
        <v/>
      </c>
      <c r="N15" s="37"/>
      <c r="O15" s="29"/>
      <c r="P15" s="38"/>
      <c r="Q15" s="28"/>
      <c r="R15" s="28" t="s">
        <v>446</v>
      </c>
      <c r="S15" s="28" t="s">
        <v>21</v>
      </c>
      <c r="T15" s="28"/>
      <c r="U15" s="28" t="s">
        <v>31</v>
      </c>
    </row>
    <row r="16" spans="1:54" s="27" customFormat="1" x14ac:dyDescent="0.25">
      <c r="A16" s="28" t="s">
        <v>21</v>
      </c>
      <c r="B16" s="28" t="s">
        <v>423</v>
      </c>
      <c r="C16" s="28" t="s">
        <v>21</v>
      </c>
      <c r="D16" s="31">
        <v>1</v>
      </c>
      <c r="E16" s="70" t="s">
        <v>231</v>
      </c>
      <c r="F16" s="45">
        <v>598</v>
      </c>
      <c r="G16" s="32">
        <v>1.835</v>
      </c>
      <c r="H16" s="32">
        <v>3.6739999999999999</v>
      </c>
      <c r="I16" s="32">
        <v>3.6579999999999999</v>
      </c>
      <c r="J16" s="33">
        <f>IF(O16&lt;&gt;"",(H16-I16)/O16,"")</f>
        <v>8.0000000000000071E-3</v>
      </c>
      <c r="K16" s="34" t="str">
        <f t="shared" si="0"/>
        <v/>
      </c>
      <c r="L16" s="35">
        <f>F16/(O16*P16)</f>
        <v>7.4749999999999996</v>
      </c>
      <c r="M16" s="36" t="str">
        <f>IF(L16=0,"",IF(OR(L16&lt;7,L16&gt;7.8),"X",""))</f>
        <v/>
      </c>
      <c r="N16" s="37" t="s">
        <v>20</v>
      </c>
      <c r="O16" s="29">
        <v>2</v>
      </c>
      <c r="P16" s="38">
        <v>40</v>
      </c>
      <c r="Q16" s="28"/>
      <c r="R16" s="28" t="s">
        <v>447</v>
      </c>
      <c r="S16" s="28" t="s">
        <v>21</v>
      </c>
      <c r="T16" s="28"/>
      <c r="U16" s="28" t="s">
        <v>31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31">
        <v>1</v>
      </c>
      <c r="E17" s="70"/>
      <c r="F17" s="31"/>
      <c r="G17" s="32">
        <v>1.839</v>
      </c>
      <c r="H17" s="32"/>
      <c r="I17" s="32"/>
      <c r="J17" s="33"/>
      <c r="K17" s="34" t="str">
        <f t="shared" si="0"/>
        <v/>
      </c>
      <c r="L17" s="35"/>
      <c r="M17" s="36" t="str">
        <f t="shared" si="1"/>
        <v/>
      </c>
      <c r="N17" s="37"/>
      <c r="O17" s="29"/>
      <c r="P17" s="38"/>
      <c r="Q17" s="28"/>
      <c r="R17" s="28" t="s">
        <v>448</v>
      </c>
      <c r="S17" s="28" t="s">
        <v>21</v>
      </c>
      <c r="T17" s="28"/>
      <c r="U17" s="28" t="s">
        <v>31</v>
      </c>
    </row>
    <row r="18" spans="1:21" s="27" customFormat="1" x14ac:dyDescent="0.25">
      <c r="A18" s="28" t="s">
        <v>21</v>
      </c>
      <c r="B18" s="28" t="s">
        <v>424</v>
      </c>
      <c r="C18" s="28" t="s">
        <v>21</v>
      </c>
      <c r="D18" s="31">
        <v>1</v>
      </c>
      <c r="E18" s="70" t="s">
        <v>233</v>
      </c>
      <c r="F18" s="45">
        <v>599</v>
      </c>
      <c r="G18" s="32">
        <v>1.835</v>
      </c>
      <c r="H18" s="32">
        <v>3.6659999999999999</v>
      </c>
      <c r="I18" s="32">
        <v>3.65</v>
      </c>
      <c r="J18" s="33">
        <f>IF(O18&lt;&gt;"",(H18-I18)/O18,"")</f>
        <v>8.0000000000000071E-3</v>
      </c>
      <c r="K18" s="34" t="str">
        <f t="shared" si="0"/>
        <v/>
      </c>
      <c r="L18" s="35">
        <f>F18/(O18*P18)</f>
        <v>7.4874999999999998</v>
      </c>
      <c r="M18" s="36" t="str">
        <f>IF(L18=0,"",IF(OR(L18&lt;7,L18&gt;7.8),"X",""))</f>
        <v/>
      </c>
      <c r="N18" s="37" t="s">
        <v>20</v>
      </c>
      <c r="O18" s="29">
        <v>2</v>
      </c>
      <c r="P18" s="38">
        <v>40</v>
      </c>
      <c r="Q18" s="28"/>
      <c r="R18" s="28" t="s">
        <v>449</v>
      </c>
      <c r="S18" s="28" t="s">
        <v>21</v>
      </c>
      <c r="T18" s="28"/>
      <c r="U18" s="28" t="s">
        <v>31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31">
        <v>1</v>
      </c>
      <c r="E19" s="70"/>
      <c r="F19" s="31"/>
      <c r="G19" s="32">
        <v>1.8320000000000001</v>
      </c>
      <c r="H19" s="32"/>
      <c r="I19" s="32"/>
      <c r="J19" s="33"/>
      <c r="K19" s="34" t="str">
        <f t="shared" si="0"/>
        <v/>
      </c>
      <c r="L19" s="35"/>
      <c r="M19" s="36" t="str">
        <f t="shared" si="1"/>
        <v/>
      </c>
      <c r="N19" s="37"/>
      <c r="O19" s="29"/>
      <c r="P19" s="38"/>
      <c r="Q19" s="28"/>
      <c r="R19" s="28" t="s">
        <v>442</v>
      </c>
      <c r="S19" s="28" t="s">
        <v>21</v>
      </c>
      <c r="T19" s="28"/>
      <c r="U19" s="28" t="s">
        <v>31</v>
      </c>
    </row>
    <row r="20" spans="1:21" s="27" customFormat="1" x14ac:dyDescent="0.25">
      <c r="A20" s="28" t="s">
        <v>21</v>
      </c>
      <c r="B20" s="28" t="s">
        <v>425</v>
      </c>
      <c r="C20" s="28" t="s">
        <v>21</v>
      </c>
      <c r="D20" s="31">
        <v>1</v>
      </c>
      <c r="E20" s="70" t="s">
        <v>270</v>
      </c>
      <c r="F20" s="45">
        <v>597</v>
      </c>
      <c r="G20" s="32">
        <v>1.83</v>
      </c>
      <c r="H20" s="32">
        <v>3.66</v>
      </c>
      <c r="I20" s="32">
        <v>3.645</v>
      </c>
      <c r="J20" s="33">
        <f>IF(O20&lt;&gt;"",(H20-I20)/O20,"")</f>
        <v>7.5000000000000622E-3</v>
      </c>
      <c r="K20" s="34" t="str">
        <f t="shared" si="0"/>
        <v/>
      </c>
      <c r="L20" s="35">
        <f>F20/(O20*P20)</f>
        <v>7.4625000000000004</v>
      </c>
      <c r="M20" s="36" t="str">
        <f>IF(L20=0,"",IF(OR(L20&lt;7,L20&gt;7.8),"X",""))</f>
        <v/>
      </c>
      <c r="N20" s="37" t="s">
        <v>20</v>
      </c>
      <c r="O20" s="29">
        <v>2</v>
      </c>
      <c r="P20" s="38">
        <v>40</v>
      </c>
      <c r="Q20" s="28"/>
      <c r="R20" s="28" t="s">
        <v>450</v>
      </c>
      <c r="S20" s="28" t="s">
        <v>21</v>
      </c>
      <c r="T20" s="28"/>
      <c r="U20" s="28" t="s">
        <v>31</v>
      </c>
    </row>
    <row r="21" spans="1:21" s="27" customFormat="1" x14ac:dyDescent="0.25">
      <c r="A21" s="28" t="s">
        <v>21</v>
      </c>
      <c r="B21" s="28" t="s">
        <v>21</v>
      </c>
      <c r="C21" s="28">
        <v>698354</v>
      </c>
      <c r="D21" s="31">
        <v>1</v>
      </c>
      <c r="E21" s="70"/>
      <c r="F21" s="31"/>
      <c r="G21" s="32">
        <v>1.831</v>
      </c>
      <c r="H21" s="32"/>
      <c r="I21" s="32"/>
      <c r="J21" s="33"/>
      <c r="K21" s="34" t="str">
        <f t="shared" si="0"/>
        <v/>
      </c>
      <c r="L21" s="35"/>
      <c r="M21" s="36" t="str">
        <f t="shared" si="1"/>
        <v/>
      </c>
      <c r="N21" s="37"/>
      <c r="O21" s="29"/>
      <c r="P21" s="38"/>
      <c r="Q21" s="28"/>
      <c r="R21" s="28" t="s">
        <v>451</v>
      </c>
      <c r="S21" s="28" t="s">
        <v>21</v>
      </c>
      <c r="T21" s="28"/>
      <c r="U21" s="28" t="s">
        <v>31</v>
      </c>
    </row>
    <row r="22" spans="1:21" s="27" customFormat="1" x14ac:dyDescent="0.25">
      <c r="A22" s="28" t="s">
        <v>21</v>
      </c>
      <c r="B22" s="28" t="s">
        <v>426</v>
      </c>
      <c r="C22" s="28" t="s">
        <v>21</v>
      </c>
      <c r="D22" s="31">
        <v>1</v>
      </c>
      <c r="E22" s="30" t="s">
        <v>360</v>
      </c>
      <c r="F22" s="45">
        <v>599</v>
      </c>
      <c r="G22" s="32">
        <v>1.8320000000000001</v>
      </c>
      <c r="H22" s="32">
        <v>3.665</v>
      </c>
      <c r="I22" s="32">
        <v>3.6480000000000001</v>
      </c>
      <c r="J22" s="33">
        <f>IF(O22&lt;&gt;"",(H22-I22)/O22,"")</f>
        <v>8.499999999999952E-3</v>
      </c>
      <c r="K22" s="34" t="str">
        <f t="shared" si="0"/>
        <v/>
      </c>
      <c r="L22" s="35">
        <f>F22/(O22*P22)</f>
        <v>7.4874999999999998</v>
      </c>
      <c r="M22" s="36" t="str">
        <f>IF(L22=0,"",IF(OR(L22&lt;7,L22&gt;7.8),"X",""))</f>
        <v/>
      </c>
      <c r="N22" s="37" t="s">
        <v>20</v>
      </c>
      <c r="O22" s="29">
        <v>2</v>
      </c>
      <c r="P22" s="38">
        <v>40</v>
      </c>
      <c r="Q22" s="28"/>
      <c r="R22" s="28" t="s">
        <v>453</v>
      </c>
      <c r="S22" s="47"/>
      <c r="T22" s="28"/>
      <c r="U22" s="28" t="s">
        <v>31</v>
      </c>
    </row>
    <row r="23" spans="1:21" s="27" customFormat="1" x14ac:dyDescent="0.25">
      <c r="A23" s="28" t="s">
        <v>21</v>
      </c>
      <c r="B23" s="28" t="s">
        <v>21</v>
      </c>
      <c r="C23" s="28" t="s">
        <v>21</v>
      </c>
      <c r="D23" s="31">
        <v>1</v>
      </c>
      <c r="E23" s="30"/>
      <c r="F23" s="31"/>
      <c r="G23" s="32">
        <v>1.8340000000000001</v>
      </c>
      <c r="H23" s="32"/>
      <c r="I23" s="32"/>
      <c r="J23" s="33"/>
      <c r="K23" s="34" t="str">
        <f t="shared" si="0"/>
        <v/>
      </c>
      <c r="L23" s="35"/>
      <c r="M23" s="36" t="str">
        <f t="shared" si="1"/>
        <v/>
      </c>
      <c r="N23" s="37"/>
      <c r="O23" s="29"/>
      <c r="P23" s="38"/>
      <c r="Q23" s="28"/>
      <c r="R23" s="28" t="s">
        <v>452</v>
      </c>
      <c r="S23" s="47"/>
      <c r="T23" s="28"/>
      <c r="U23" s="28" t="s">
        <v>31</v>
      </c>
    </row>
    <row r="24" spans="1:21" s="27" customFormat="1" x14ac:dyDescent="0.25">
      <c r="A24" s="28" t="s">
        <v>21</v>
      </c>
      <c r="B24" s="28" t="s">
        <v>427</v>
      </c>
      <c r="C24" s="28" t="s">
        <v>21</v>
      </c>
      <c r="D24" s="31">
        <v>1</v>
      </c>
      <c r="E24" s="30" t="s">
        <v>131</v>
      </c>
      <c r="F24" s="45">
        <v>597</v>
      </c>
      <c r="G24" s="32">
        <v>1.8360000000000001</v>
      </c>
      <c r="H24" s="32">
        <v>3.6720000000000002</v>
      </c>
      <c r="I24" s="32">
        <v>3.657</v>
      </c>
      <c r="J24" s="33">
        <f>IF(O24&lt;&gt;"",(H24-I24)/O24,"")</f>
        <v>7.5000000000000622E-3</v>
      </c>
      <c r="K24" s="34" t="str">
        <f t="shared" si="0"/>
        <v/>
      </c>
      <c r="L24" s="35">
        <f>F24/(O24*P24)</f>
        <v>7.4625000000000004</v>
      </c>
      <c r="M24" s="36" t="str">
        <f>IF(L24=0,"",IF(OR(L24&lt;7,L24&gt;7.8),"X",""))</f>
        <v/>
      </c>
      <c r="N24" s="37" t="s">
        <v>20</v>
      </c>
      <c r="O24" s="29">
        <v>2</v>
      </c>
      <c r="P24" s="38">
        <v>40</v>
      </c>
      <c r="Q24" s="28"/>
      <c r="R24" s="28" t="s">
        <v>454</v>
      </c>
      <c r="S24" s="47"/>
      <c r="T24" s="28"/>
      <c r="U24" s="28" t="s">
        <v>31</v>
      </c>
    </row>
    <row r="25" spans="1:21" s="27" customFormat="1" x14ac:dyDescent="0.25">
      <c r="A25" s="28" t="s">
        <v>21</v>
      </c>
      <c r="B25" s="28" t="s">
        <v>21</v>
      </c>
      <c r="C25" s="28" t="s">
        <v>21</v>
      </c>
      <c r="D25" s="31">
        <v>1</v>
      </c>
      <c r="E25" s="30"/>
      <c r="F25" s="31"/>
      <c r="G25" s="32">
        <v>1.8360000000000001</v>
      </c>
      <c r="H25" s="32"/>
      <c r="I25" s="32"/>
      <c r="J25" s="33"/>
      <c r="K25" s="34" t="str">
        <f t="shared" si="0"/>
        <v/>
      </c>
      <c r="L25" s="35"/>
      <c r="M25" s="36" t="str">
        <f t="shared" si="1"/>
        <v/>
      </c>
      <c r="N25" s="37"/>
      <c r="O25" s="29"/>
      <c r="P25" s="38"/>
      <c r="Q25" s="28"/>
      <c r="R25" s="28" t="s">
        <v>455</v>
      </c>
      <c r="S25" s="47"/>
      <c r="T25" s="28"/>
      <c r="U25" s="28" t="s">
        <v>31</v>
      </c>
    </row>
    <row r="26" spans="1:21" s="27" customFormat="1" x14ac:dyDescent="0.25">
      <c r="A26" s="28" t="s">
        <v>21</v>
      </c>
      <c r="B26" s="28" t="s">
        <v>428</v>
      </c>
      <c r="C26" s="28" t="s">
        <v>21</v>
      </c>
      <c r="D26" s="31">
        <v>1</v>
      </c>
      <c r="E26" s="30" t="s">
        <v>133</v>
      </c>
      <c r="F26" s="45">
        <v>601</v>
      </c>
      <c r="G26" s="32">
        <v>1.833</v>
      </c>
      <c r="H26" s="32">
        <v>3.6619999999999999</v>
      </c>
      <c r="I26" s="32">
        <v>3.6459999999999999</v>
      </c>
      <c r="J26" s="33">
        <f>IF(O26&lt;&gt;"",(H26-I26)/O26,"")</f>
        <v>8.0000000000000071E-3</v>
      </c>
      <c r="K26" s="34" t="str">
        <f t="shared" si="0"/>
        <v/>
      </c>
      <c r="L26" s="35">
        <f>F26/(O26*P26)</f>
        <v>7.5125000000000002</v>
      </c>
      <c r="M26" s="36" t="str">
        <f>IF(L26=0,"",IF(OR(L26&lt;7,L26&gt;7.8),"X",""))</f>
        <v/>
      </c>
      <c r="N26" s="37" t="s">
        <v>20</v>
      </c>
      <c r="O26" s="29">
        <v>2</v>
      </c>
      <c r="P26" s="38">
        <v>40</v>
      </c>
      <c r="Q26" s="28"/>
      <c r="R26" s="28" t="s">
        <v>456</v>
      </c>
      <c r="S26" s="47"/>
      <c r="T26" s="28"/>
      <c r="U26" s="28" t="s">
        <v>31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1</v>
      </c>
      <c r="E27" s="30"/>
      <c r="F27" s="31"/>
      <c r="G27" s="32">
        <v>1.829</v>
      </c>
      <c r="H27" s="32"/>
      <c r="I27" s="32"/>
      <c r="J27" s="33"/>
      <c r="K27" s="34" t="str">
        <f t="shared" si="0"/>
        <v/>
      </c>
      <c r="L27" s="35"/>
      <c r="M27" s="36" t="str">
        <f t="shared" si="1"/>
        <v/>
      </c>
      <c r="N27" s="37"/>
      <c r="O27" s="29"/>
      <c r="P27" s="38"/>
      <c r="Q27" s="28"/>
      <c r="R27" s="28" t="s">
        <v>458</v>
      </c>
      <c r="S27" s="47"/>
      <c r="T27" s="28"/>
      <c r="U27" s="28" t="s">
        <v>31</v>
      </c>
    </row>
    <row r="28" spans="1:21" s="27" customFormat="1" x14ac:dyDescent="0.25">
      <c r="A28" s="28" t="s">
        <v>21</v>
      </c>
      <c r="B28" s="28" t="s">
        <v>429</v>
      </c>
      <c r="C28" s="28" t="s">
        <v>21</v>
      </c>
      <c r="D28" s="31">
        <v>1</v>
      </c>
      <c r="E28" s="30" t="s">
        <v>64</v>
      </c>
      <c r="F28" s="45">
        <v>600</v>
      </c>
      <c r="G28" s="32">
        <v>1.825</v>
      </c>
      <c r="H28" s="32">
        <v>3.6480000000000001</v>
      </c>
      <c r="I28" s="32">
        <v>3.6320000000000001</v>
      </c>
      <c r="J28" s="33">
        <f>IF(O28&lt;&gt;"",(H28-I28)/O28,"")</f>
        <v>8.0000000000000071E-3</v>
      </c>
      <c r="K28" s="34" t="str">
        <f t="shared" si="0"/>
        <v/>
      </c>
      <c r="L28" s="35">
        <f>F28/(O28*P28)</f>
        <v>7.5</v>
      </c>
      <c r="M28" s="36" t="str">
        <f>IF(L28=0,"",IF(OR(L28&lt;7,L28&gt;7.8),"X",""))</f>
        <v/>
      </c>
      <c r="N28" s="37" t="s">
        <v>20</v>
      </c>
      <c r="O28" s="29">
        <v>2</v>
      </c>
      <c r="P28" s="38">
        <v>40</v>
      </c>
      <c r="Q28" s="28"/>
      <c r="R28" s="28" t="s">
        <v>459</v>
      </c>
      <c r="S28" s="47"/>
      <c r="T28" s="28"/>
      <c r="U28" s="28" t="s">
        <v>31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1</v>
      </c>
      <c r="E29" s="30"/>
      <c r="F29" s="31"/>
      <c r="G29" s="32">
        <v>1.8220000000000001</v>
      </c>
      <c r="H29" s="32"/>
      <c r="I29" s="32"/>
      <c r="J29" s="33"/>
      <c r="K29" s="34" t="str">
        <f t="shared" si="0"/>
        <v/>
      </c>
      <c r="L29" s="35"/>
      <c r="M29" s="36" t="str">
        <f t="shared" si="1"/>
        <v/>
      </c>
      <c r="N29" s="37"/>
      <c r="O29" s="29"/>
      <c r="P29" s="38"/>
      <c r="Q29" s="28"/>
      <c r="R29" s="28" t="s">
        <v>457</v>
      </c>
      <c r="S29" s="47"/>
      <c r="T29" s="28"/>
      <c r="U29" s="28" t="s">
        <v>31</v>
      </c>
    </row>
    <row r="30" spans="1:21" s="27" customFormat="1" x14ac:dyDescent="0.25">
      <c r="A30" s="28" t="s">
        <v>21</v>
      </c>
      <c r="B30" s="28" t="s">
        <v>430</v>
      </c>
      <c r="C30" s="28" t="s">
        <v>21</v>
      </c>
      <c r="D30" s="31">
        <v>1</v>
      </c>
      <c r="E30" s="30" t="s">
        <v>269</v>
      </c>
      <c r="F30" s="45">
        <v>597</v>
      </c>
      <c r="G30" s="32">
        <v>1.8320000000000001</v>
      </c>
      <c r="H30" s="32">
        <v>3.665</v>
      </c>
      <c r="I30" s="32">
        <v>3.65</v>
      </c>
      <c r="J30" s="33">
        <f>IF(O30&lt;&gt;"",(H30-I30)/O30,"")</f>
        <v>7.5000000000000622E-3</v>
      </c>
      <c r="K30" s="34" t="str">
        <f t="shared" si="0"/>
        <v/>
      </c>
      <c r="L30" s="35">
        <f>F30/(O30*P30)</f>
        <v>7.4625000000000004</v>
      </c>
      <c r="M30" s="36" t="str">
        <f>IF(L30=0,"",IF(OR(L30&lt;7,L30&gt;7.8),"X",""))</f>
        <v/>
      </c>
      <c r="N30" s="37" t="s">
        <v>20</v>
      </c>
      <c r="O30" s="29">
        <v>2</v>
      </c>
      <c r="P30" s="38">
        <v>40</v>
      </c>
      <c r="Q30" s="28"/>
      <c r="R30" s="28" t="s">
        <v>460</v>
      </c>
      <c r="S30" s="47"/>
      <c r="T30" s="28"/>
      <c r="U30" s="28" t="s">
        <v>31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30"/>
      <c r="F31" s="31"/>
      <c r="G31" s="32">
        <v>1.8340000000000001</v>
      </c>
      <c r="H31" s="32"/>
      <c r="I31" s="32"/>
      <c r="J31" s="33"/>
      <c r="K31" s="34" t="str">
        <f t="shared" si="0"/>
        <v/>
      </c>
      <c r="L31" s="35"/>
      <c r="M31" s="36" t="str">
        <f t="shared" si="1"/>
        <v/>
      </c>
      <c r="N31" s="37"/>
      <c r="O31" s="29"/>
      <c r="P31" s="38"/>
      <c r="Q31" s="28"/>
      <c r="R31" s="28" t="s">
        <v>461</v>
      </c>
      <c r="S31" s="47"/>
      <c r="T31" s="28"/>
      <c r="U31" s="28" t="s">
        <v>31</v>
      </c>
    </row>
    <row r="32" spans="1:21" s="27" customFormat="1" x14ac:dyDescent="0.25">
      <c r="A32" s="28" t="s">
        <v>463</v>
      </c>
      <c r="B32" s="28" t="s">
        <v>464</v>
      </c>
      <c r="C32" s="28">
        <v>698228</v>
      </c>
      <c r="D32" s="31">
        <v>1</v>
      </c>
      <c r="E32" s="70" t="s">
        <v>235</v>
      </c>
      <c r="F32" s="31">
        <v>184</v>
      </c>
      <c r="G32" s="32"/>
      <c r="H32" s="32">
        <v>1.8680000000000001</v>
      </c>
      <c r="I32" s="32">
        <v>1.8620000000000001</v>
      </c>
      <c r="J32" s="33">
        <f t="shared" ref="J32:J41" si="2">IF(O32&lt;&gt;"",(H32-I32)/O32,"")</f>
        <v>6.0000000000000053E-3</v>
      </c>
      <c r="K32" s="34" t="str">
        <f t="shared" si="0"/>
        <v/>
      </c>
      <c r="L32" s="35">
        <f t="shared" ref="L32:L41" si="3">F32/(O32*P32)</f>
        <v>7.36</v>
      </c>
      <c r="M32" s="36" t="str">
        <f t="shared" ref="M32:M41" si="4">IF(L32=0,"",IF(OR(L32&lt;7,L32&gt;7.8),"X",""))</f>
        <v/>
      </c>
      <c r="N32" s="37" t="s">
        <v>16</v>
      </c>
      <c r="O32" s="29">
        <v>1</v>
      </c>
      <c r="P32" s="38">
        <v>25</v>
      </c>
      <c r="Q32" s="28"/>
      <c r="R32" s="28" t="s">
        <v>474</v>
      </c>
      <c r="S32" s="71" t="s">
        <v>58</v>
      </c>
      <c r="T32" s="28"/>
      <c r="U32" s="28" t="s">
        <v>31</v>
      </c>
    </row>
    <row r="33" spans="1:21" s="27" customFormat="1" x14ac:dyDescent="0.25">
      <c r="A33" s="28" t="s">
        <v>21</v>
      </c>
      <c r="B33" s="28" t="s">
        <v>465</v>
      </c>
      <c r="C33" s="28" t="s">
        <v>21</v>
      </c>
      <c r="D33" s="31">
        <v>1</v>
      </c>
      <c r="E33" s="70" t="s">
        <v>462</v>
      </c>
      <c r="F33" s="31">
        <v>184</v>
      </c>
      <c r="G33" s="32"/>
      <c r="H33" s="32">
        <v>1.873</v>
      </c>
      <c r="I33" s="32">
        <v>1.8680000000000001</v>
      </c>
      <c r="J33" s="33">
        <f t="shared" si="2"/>
        <v>4.9999999999998934E-3</v>
      </c>
      <c r="K33" s="34" t="str">
        <f t="shared" si="0"/>
        <v/>
      </c>
      <c r="L33" s="35">
        <f t="shared" si="3"/>
        <v>7.36</v>
      </c>
      <c r="M33" s="36" t="str">
        <f t="shared" si="4"/>
        <v/>
      </c>
      <c r="N33" s="37" t="s">
        <v>16</v>
      </c>
      <c r="O33" s="29">
        <v>1</v>
      </c>
      <c r="P33" s="38">
        <v>25</v>
      </c>
      <c r="Q33" s="28"/>
      <c r="R33" s="28" t="s">
        <v>476</v>
      </c>
      <c r="S33" s="71" t="s">
        <v>59</v>
      </c>
      <c r="T33" s="28"/>
      <c r="U33" s="28" t="s">
        <v>31</v>
      </c>
    </row>
    <row r="34" spans="1:21" s="27" customFormat="1" x14ac:dyDescent="0.25">
      <c r="A34" s="28" t="s">
        <v>21</v>
      </c>
      <c r="B34" s="28" t="s">
        <v>466</v>
      </c>
      <c r="C34" s="28" t="s">
        <v>21</v>
      </c>
      <c r="D34" s="31">
        <v>1</v>
      </c>
      <c r="E34" s="70" t="s">
        <v>234</v>
      </c>
      <c r="F34" s="31">
        <v>185</v>
      </c>
      <c r="G34" s="32"/>
      <c r="H34" s="32">
        <v>1.8759999999999999</v>
      </c>
      <c r="I34" s="32">
        <v>1.87</v>
      </c>
      <c r="J34" s="33">
        <f t="shared" si="2"/>
        <v>5.9999999999997833E-3</v>
      </c>
      <c r="K34" s="34" t="str">
        <f t="shared" si="0"/>
        <v/>
      </c>
      <c r="L34" s="35">
        <f t="shared" si="3"/>
        <v>7.4</v>
      </c>
      <c r="M34" s="36" t="str">
        <f t="shared" si="4"/>
        <v/>
      </c>
      <c r="N34" s="37" t="s">
        <v>16</v>
      </c>
      <c r="O34" s="29">
        <v>1</v>
      </c>
      <c r="P34" s="38">
        <v>25</v>
      </c>
      <c r="Q34" s="28"/>
      <c r="R34" s="28" t="s">
        <v>477</v>
      </c>
      <c r="S34" s="28" t="s">
        <v>21</v>
      </c>
      <c r="T34" s="28"/>
      <c r="U34" s="28" t="s">
        <v>31</v>
      </c>
    </row>
    <row r="35" spans="1:21" s="27" customFormat="1" x14ac:dyDescent="0.25">
      <c r="A35" s="28" t="s">
        <v>21</v>
      </c>
      <c r="B35" s="28" t="s">
        <v>467</v>
      </c>
      <c r="C35" s="28" t="s">
        <v>21</v>
      </c>
      <c r="D35" s="31">
        <v>1</v>
      </c>
      <c r="E35" s="70" t="s">
        <v>234</v>
      </c>
      <c r="F35" s="31">
        <v>184</v>
      </c>
      <c r="G35" s="32"/>
      <c r="H35" s="32">
        <v>1.869</v>
      </c>
      <c r="I35" s="32">
        <v>1.863</v>
      </c>
      <c r="J35" s="33">
        <f t="shared" si="2"/>
        <v>6.0000000000000053E-3</v>
      </c>
      <c r="K35" s="34" t="str">
        <f t="shared" si="0"/>
        <v/>
      </c>
      <c r="L35" s="35">
        <f t="shared" si="3"/>
        <v>7.36</v>
      </c>
      <c r="M35" s="36" t="str">
        <f t="shared" si="4"/>
        <v/>
      </c>
      <c r="N35" s="37" t="s">
        <v>16</v>
      </c>
      <c r="O35" s="29">
        <v>1</v>
      </c>
      <c r="P35" s="38">
        <v>25</v>
      </c>
      <c r="Q35" s="28"/>
      <c r="R35" s="28" t="s">
        <v>478</v>
      </c>
      <c r="S35" s="28" t="s">
        <v>21</v>
      </c>
      <c r="T35" s="28"/>
      <c r="U35" s="28" t="s">
        <v>31</v>
      </c>
    </row>
    <row r="36" spans="1:21" s="27" customFormat="1" x14ac:dyDescent="0.25">
      <c r="A36" s="28" t="s">
        <v>21</v>
      </c>
      <c r="B36" s="28" t="s">
        <v>468</v>
      </c>
      <c r="C36" s="28" t="s">
        <v>21</v>
      </c>
      <c r="D36" s="31">
        <v>1</v>
      </c>
      <c r="E36" s="70" t="s">
        <v>484</v>
      </c>
      <c r="F36" s="31">
        <v>184</v>
      </c>
      <c r="G36" s="32"/>
      <c r="H36" s="32">
        <v>1.8660000000000001</v>
      </c>
      <c r="I36" s="32">
        <v>1.86</v>
      </c>
      <c r="J36" s="33">
        <f t="shared" si="2"/>
        <v>6.0000000000000053E-3</v>
      </c>
      <c r="K36" s="34" t="str">
        <f t="shared" si="0"/>
        <v/>
      </c>
      <c r="L36" s="35">
        <f t="shared" si="3"/>
        <v>7.36</v>
      </c>
      <c r="M36" s="36" t="str">
        <f t="shared" si="4"/>
        <v/>
      </c>
      <c r="N36" s="37" t="s">
        <v>16</v>
      </c>
      <c r="O36" s="29">
        <v>1</v>
      </c>
      <c r="P36" s="38">
        <v>25</v>
      </c>
      <c r="Q36" s="28"/>
      <c r="R36" s="28" t="s">
        <v>480</v>
      </c>
      <c r="S36" s="28" t="s">
        <v>21</v>
      </c>
      <c r="T36" s="28"/>
      <c r="U36" s="28" t="s">
        <v>31</v>
      </c>
    </row>
    <row r="37" spans="1:21" s="27" customFormat="1" x14ac:dyDescent="0.25">
      <c r="A37" s="28" t="s">
        <v>21</v>
      </c>
      <c r="B37" s="28" t="s">
        <v>469</v>
      </c>
      <c r="C37" s="28" t="s">
        <v>21</v>
      </c>
      <c r="D37" s="31">
        <v>1</v>
      </c>
      <c r="E37" s="70" t="s">
        <v>109</v>
      </c>
      <c r="F37" s="31">
        <v>185</v>
      </c>
      <c r="G37" s="32"/>
      <c r="H37" s="32">
        <v>1.8660000000000001</v>
      </c>
      <c r="I37" s="32">
        <v>1.86</v>
      </c>
      <c r="J37" s="33">
        <f t="shared" si="2"/>
        <v>6.0000000000000053E-3</v>
      </c>
      <c r="K37" s="34" t="str">
        <f t="shared" si="0"/>
        <v/>
      </c>
      <c r="L37" s="35">
        <f t="shared" si="3"/>
        <v>7.4</v>
      </c>
      <c r="M37" s="36" t="str">
        <f t="shared" si="4"/>
        <v/>
      </c>
      <c r="N37" s="37" t="s">
        <v>16</v>
      </c>
      <c r="O37" s="29">
        <v>1</v>
      </c>
      <c r="P37" s="38">
        <v>25</v>
      </c>
      <c r="Q37" s="28"/>
      <c r="R37" s="28" t="s">
        <v>479</v>
      </c>
      <c r="S37" s="28" t="s">
        <v>21</v>
      </c>
      <c r="T37" s="28"/>
      <c r="U37" s="28" t="s">
        <v>31</v>
      </c>
    </row>
    <row r="38" spans="1:21" s="27" customFormat="1" x14ac:dyDescent="0.25">
      <c r="A38" s="28" t="s">
        <v>21</v>
      </c>
      <c r="B38" s="28" t="s">
        <v>470</v>
      </c>
      <c r="C38" s="28" t="s">
        <v>21</v>
      </c>
      <c r="D38" s="31">
        <v>1</v>
      </c>
      <c r="E38" s="70" t="s">
        <v>233</v>
      </c>
      <c r="F38" s="31">
        <v>184</v>
      </c>
      <c r="G38" s="32"/>
      <c r="H38" s="32">
        <v>1.863</v>
      </c>
      <c r="I38" s="32">
        <v>1.857</v>
      </c>
      <c r="J38" s="33">
        <f t="shared" si="2"/>
        <v>6.0000000000000053E-3</v>
      </c>
      <c r="K38" s="34" t="str">
        <f t="shared" si="0"/>
        <v/>
      </c>
      <c r="L38" s="35">
        <f t="shared" si="3"/>
        <v>7.36</v>
      </c>
      <c r="M38" s="36" t="str">
        <f t="shared" si="4"/>
        <v/>
      </c>
      <c r="N38" s="37" t="s">
        <v>16</v>
      </c>
      <c r="O38" s="29">
        <v>1</v>
      </c>
      <c r="P38" s="38">
        <v>25</v>
      </c>
      <c r="Q38" s="28"/>
      <c r="R38" s="28" t="s">
        <v>481</v>
      </c>
      <c r="S38" s="28" t="s">
        <v>21</v>
      </c>
      <c r="T38" s="28"/>
      <c r="U38" s="28" t="s">
        <v>31</v>
      </c>
    </row>
    <row r="39" spans="1:21" s="27" customFormat="1" x14ac:dyDescent="0.25">
      <c r="A39" s="28" t="s">
        <v>21</v>
      </c>
      <c r="B39" s="28" t="s">
        <v>471</v>
      </c>
      <c r="C39" s="28" t="s">
        <v>21</v>
      </c>
      <c r="D39" s="31">
        <v>1</v>
      </c>
      <c r="E39" s="70" t="s">
        <v>233</v>
      </c>
      <c r="F39" s="31">
        <v>183</v>
      </c>
      <c r="G39" s="32"/>
      <c r="H39" s="32">
        <v>1.859</v>
      </c>
      <c r="I39" s="32">
        <v>1.853</v>
      </c>
      <c r="J39" s="33">
        <f t="shared" si="2"/>
        <v>6.0000000000000053E-3</v>
      </c>
      <c r="K39" s="34" t="str">
        <f t="shared" si="0"/>
        <v/>
      </c>
      <c r="L39" s="35">
        <f t="shared" si="3"/>
        <v>7.32</v>
      </c>
      <c r="M39" s="36" t="str">
        <f t="shared" si="4"/>
        <v/>
      </c>
      <c r="N39" s="37" t="s">
        <v>16</v>
      </c>
      <c r="O39" s="29">
        <v>1</v>
      </c>
      <c r="P39" s="38">
        <v>25</v>
      </c>
      <c r="Q39" s="28"/>
      <c r="R39" s="28" t="s">
        <v>475</v>
      </c>
      <c r="S39" s="28" t="s">
        <v>21</v>
      </c>
      <c r="T39" s="28"/>
      <c r="U39" s="28" t="s">
        <v>31</v>
      </c>
    </row>
    <row r="40" spans="1:21" s="27" customFormat="1" x14ac:dyDescent="0.25">
      <c r="A40" s="28" t="s">
        <v>21</v>
      </c>
      <c r="B40" s="28" t="s">
        <v>472</v>
      </c>
      <c r="C40" s="28" t="s">
        <v>21</v>
      </c>
      <c r="D40" s="31">
        <v>1</v>
      </c>
      <c r="E40" s="70" t="s">
        <v>408</v>
      </c>
      <c r="F40" s="31">
        <v>185</v>
      </c>
      <c r="G40" s="32"/>
      <c r="H40" s="32">
        <v>1.857</v>
      </c>
      <c r="I40" s="32">
        <v>1.851</v>
      </c>
      <c r="J40" s="33">
        <f t="shared" si="2"/>
        <v>6.0000000000000053E-3</v>
      </c>
      <c r="K40" s="34" t="str">
        <f t="shared" si="0"/>
        <v/>
      </c>
      <c r="L40" s="35">
        <f t="shared" si="3"/>
        <v>7.4</v>
      </c>
      <c r="M40" s="36" t="str">
        <f t="shared" si="4"/>
        <v/>
      </c>
      <c r="N40" s="37" t="s">
        <v>16</v>
      </c>
      <c r="O40" s="29">
        <v>1</v>
      </c>
      <c r="P40" s="38">
        <v>25</v>
      </c>
      <c r="Q40" s="28"/>
      <c r="R40" s="28" t="s">
        <v>482</v>
      </c>
      <c r="S40" s="28" t="s">
        <v>21</v>
      </c>
      <c r="T40" s="28"/>
      <c r="U40" s="28" t="s">
        <v>31</v>
      </c>
    </row>
    <row r="41" spans="1:21" s="27" customFormat="1" x14ac:dyDescent="0.25">
      <c r="A41" s="28" t="s">
        <v>21</v>
      </c>
      <c r="B41" s="28" t="s">
        <v>473</v>
      </c>
      <c r="C41" s="28" t="s">
        <v>21</v>
      </c>
      <c r="D41" s="31">
        <v>1</v>
      </c>
      <c r="E41" s="70" t="s">
        <v>233</v>
      </c>
      <c r="F41" s="31">
        <v>185</v>
      </c>
      <c r="G41" s="32"/>
      <c r="H41" s="32">
        <v>1.8440000000000001</v>
      </c>
      <c r="I41" s="32">
        <v>1.837</v>
      </c>
      <c r="J41" s="33">
        <f t="shared" si="2"/>
        <v>7.0000000000001172E-3</v>
      </c>
      <c r="K41" s="34" t="str">
        <f t="shared" si="0"/>
        <v/>
      </c>
      <c r="L41" s="35">
        <f t="shared" si="3"/>
        <v>7.4</v>
      </c>
      <c r="M41" s="36" t="str">
        <f t="shared" si="4"/>
        <v/>
      </c>
      <c r="N41" s="37" t="s">
        <v>16</v>
      </c>
      <c r="O41" s="29">
        <v>1</v>
      </c>
      <c r="P41" s="38">
        <v>25</v>
      </c>
      <c r="Q41" s="28"/>
      <c r="R41" s="28" t="s">
        <v>483</v>
      </c>
      <c r="S41" s="28" t="s">
        <v>21</v>
      </c>
      <c r="T41" s="28"/>
      <c r="U41" s="28" t="s">
        <v>31</v>
      </c>
    </row>
    <row r="42" spans="1:21" s="27" customFormat="1" x14ac:dyDescent="0.25">
      <c r="A42" s="28" t="s">
        <v>485</v>
      </c>
      <c r="B42" s="28" t="s">
        <v>487</v>
      </c>
      <c r="C42" s="28">
        <v>698354</v>
      </c>
      <c r="D42" s="31">
        <v>1</v>
      </c>
      <c r="E42" s="30" t="s">
        <v>131</v>
      </c>
      <c r="F42" s="45">
        <v>297</v>
      </c>
      <c r="G42" s="32"/>
      <c r="H42" s="32">
        <v>1.8460000000000001</v>
      </c>
      <c r="I42" s="32">
        <v>1.84</v>
      </c>
      <c r="J42" s="33">
        <f t="shared" ref="J42:J68" si="5">IF(O42&lt;&gt;"",(H42-I42)/O42,"")</f>
        <v>6.0000000000000053E-3</v>
      </c>
      <c r="K42" s="34" t="str">
        <f t="shared" si="0"/>
        <v/>
      </c>
      <c r="L42" s="35">
        <f t="shared" ref="L42:L68" si="6">F42/(O42*P42)</f>
        <v>7.4249999999999998</v>
      </c>
      <c r="M42" s="36" t="str">
        <f t="shared" ref="M42:M68" si="7">IF(L42=0,"",IF(OR(L42&lt;7,L42&gt;7.8),"X",""))</f>
        <v/>
      </c>
      <c r="N42" s="37" t="s">
        <v>18</v>
      </c>
      <c r="O42" s="29">
        <v>1</v>
      </c>
      <c r="P42" s="38">
        <v>40</v>
      </c>
      <c r="Q42" s="46"/>
      <c r="R42" s="28" t="s">
        <v>514</v>
      </c>
      <c r="S42" s="47"/>
      <c r="T42" s="46"/>
      <c r="U42" s="28" t="s">
        <v>31</v>
      </c>
    </row>
    <row r="43" spans="1:21" s="27" customFormat="1" x14ac:dyDescent="0.25">
      <c r="A43" s="28" t="s">
        <v>21</v>
      </c>
      <c r="B43" s="28" t="s">
        <v>488</v>
      </c>
      <c r="C43" s="28" t="s">
        <v>21</v>
      </c>
      <c r="D43" s="31">
        <v>1</v>
      </c>
      <c r="E43" s="30" t="s">
        <v>359</v>
      </c>
      <c r="F43" s="45">
        <v>296</v>
      </c>
      <c r="G43" s="32"/>
      <c r="H43" s="32">
        <v>1.839</v>
      </c>
      <c r="I43" s="32">
        <v>1.831</v>
      </c>
      <c r="J43" s="33">
        <f t="shared" si="5"/>
        <v>8.0000000000000071E-3</v>
      </c>
      <c r="K43" s="34" t="str">
        <f t="shared" si="0"/>
        <v/>
      </c>
      <c r="L43" s="35">
        <f t="shared" si="6"/>
        <v>7.4</v>
      </c>
      <c r="M43" s="36" t="str">
        <f t="shared" si="7"/>
        <v/>
      </c>
      <c r="N43" s="37" t="s">
        <v>18</v>
      </c>
      <c r="O43" s="29">
        <v>1</v>
      </c>
      <c r="P43" s="38">
        <v>40</v>
      </c>
      <c r="Q43" s="46"/>
      <c r="R43" s="28" t="s">
        <v>515</v>
      </c>
      <c r="S43" s="47"/>
      <c r="T43" s="46"/>
      <c r="U43" s="28" t="s">
        <v>31</v>
      </c>
    </row>
    <row r="44" spans="1:21" s="27" customFormat="1" x14ac:dyDescent="0.25">
      <c r="A44" s="28" t="s">
        <v>486</v>
      </c>
      <c r="B44" s="28" t="s">
        <v>489</v>
      </c>
      <c r="C44" s="28" t="s">
        <v>21</v>
      </c>
      <c r="D44" s="31">
        <v>1</v>
      </c>
      <c r="E44" s="70" t="s">
        <v>269</v>
      </c>
      <c r="F44" s="45">
        <v>297</v>
      </c>
      <c r="G44" s="32"/>
      <c r="H44" s="32">
        <v>1.86</v>
      </c>
      <c r="I44" s="32">
        <v>1.85</v>
      </c>
      <c r="J44" s="33">
        <f t="shared" si="5"/>
        <v>1.0000000000000009E-2</v>
      </c>
      <c r="K44" s="34" t="str">
        <f t="shared" si="0"/>
        <v/>
      </c>
      <c r="L44" s="35">
        <f t="shared" si="6"/>
        <v>7.4249999999999998</v>
      </c>
      <c r="M44" s="36" t="str">
        <f t="shared" si="7"/>
        <v/>
      </c>
      <c r="N44" s="37" t="s">
        <v>18</v>
      </c>
      <c r="O44" s="29">
        <v>1</v>
      </c>
      <c r="P44" s="38">
        <v>40</v>
      </c>
      <c r="Q44" s="46"/>
      <c r="R44" s="28" t="s">
        <v>516</v>
      </c>
      <c r="S44" s="71" t="s">
        <v>58</v>
      </c>
      <c r="T44" s="46"/>
      <c r="U44" s="28" t="s">
        <v>31</v>
      </c>
    </row>
    <row r="45" spans="1:21" s="27" customFormat="1" x14ac:dyDescent="0.25">
      <c r="A45" s="28" t="s">
        <v>21</v>
      </c>
      <c r="B45" s="28" t="s">
        <v>490</v>
      </c>
      <c r="C45" s="28" t="s">
        <v>21</v>
      </c>
      <c r="D45" s="31">
        <v>1</v>
      </c>
      <c r="E45" s="70" t="s">
        <v>538</v>
      </c>
      <c r="F45" s="45">
        <v>298</v>
      </c>
      <c r="G45" s="32"/>
      <c r="H45" s="32">
        <v>1.8540000000000001</v>
      </c>
      <c r="I45" s="32">
        <v>1.847</v>
      </c>
      <c r="J45" s="33">
        <f t="shared" si="5"/>
        <v>7.0000000000001172E-3</v>
      </c>
      <c r="K45" s="34" t="str">
        <f t="shared" si="0"/>
        <v/>
      </c>
      <c r="L45" s="35">
        <f t="shared" si="6"/>
        <v>7.45</v>
      </c>
      <c r="M45" s="36" t="str">
        <f t="shared" si="7"/>
        <v/>
      </c>
      <c r="N45" s="37" t="s">
        <v>18</v>
      </c>
      <c r="O45" s="29">
        <v>1</v>
      </c>
      <c r="P45" s="38">
        <v>40</v>
      </c>
      <c r="Q45" s="46"/>
      <c r="R45" s="28" t="s">
        <v>517</v>
      </c>
      <c r="S45" s="71" t="s">
        <v>59</v>
      </c>
      <c r="T45" s="46"/>
      <c r="U45" s="28" t="s">
        <v>31</v>
      </c>
    </row>
    <row r="46" spans="1:21" s="27" customFormat="1" x14ac:dyDescent="0.25">
      <c r="A46" s="28" t="s">
        <v>21</v>
      </c>
      <c r="B46" s="28" t="s">
        <v>491</v>
      </c>
      <c r="C46" s="28">
        <v>698354</v>
      </c>
      <c r="D46" s="31">
        <v>1</v>
      </c>
      <c r="E46" s="70" t="s">
        <v>360</v>
      </c>
      <c r="F46" s="45">
        <v>296</v>
      </c>
      <c r="G46" s="32"/>
      <c r="H46" s="32">
        <v>1.857</v>
      </c>
      <c r="I46" s="32">
        <v>1.847</v>
      </c>
      <c r="J46" s="33">
        <f t="shared" si="5"/>
        <v>1.0000000000000009E-2</v>
      </c>
      <c r="K46" s="34" t="str">
        <f t="shared" si="0"/>
        <v/>
      </c>
      <c r="L46" s="35">
        <f t="shared" si="6"/>
        <v>7.4</v>
      </c>
      <c r="M46" s="36" t="str">
        <f t="shared" si="7"/>
        <v/>
      </c>
      <c r="N46" s="37" t="s">
        <v>18</v>
      </c>
      <c r="O46" s="29">
        <v>1</v>
      </c>
      <c r="P46" s="38">
        <v>40</v>
      </c>
      <c r="Q46" s="46"/>
      <c r="R46" s="28" t="s">
        <v>518</v>
      </c>
      <c r="S46" s="28" t="s">
        <v>21</v>
      </c>
      <c r="T46" s="46"/>
      <c r="U46" s="28" t="s">
        <v>31</v>
      </c>
    </row>
    <row r="47" spans="1:21" s="27" customFormat="1" x14ac:dyDescent="0.25">
      <c r="A47" s="28" t="s">
        <v>21</v>
      </c>
      <c r="B47" s="28" t="s">
        <v>492</v>
      </c>
      <c r="C47" s="28" t="s">
        <v>21</v>
      </c>
      <c r="D47" s="31">
        <v>1</v>
      </c>
      <c r="E47" s="70" t="s">
        <v>268</v>
      </c>
      <c r="F47" s="45">
        <v>297</v>
      </c>
      <c r="G47" s="32"/>
      <c r="H47" s="32">
        <v>1.859</v>
      </c>
      <c r="I47" s="32">
        <v>1.851</v>
      </c>
      <c r="J47" s="33">
        <f t="shared" si="5"/>
        <v>8.0000000000000071E-3</v>
      </c>
      <c r="K47" s="34" t="str">
        <f t="shared" si="0"/>
        <v/>
      </c>
      <c r="L47" s="35">
        <f t="shared" si="6"/>
        <v>7.4249999999999998</v>
      </c>
      <c r="M47" s="36" t="str">
        <f t="shared" si="7"/>
        <v/>
      </c>
      <c r="N47" s="37" t="s">
        <v>18</v>
      </c>
      <c r="O47" s="29">
        <v>1</v>
      </c>
      <c r="P47" s="38">
        <v>40</v>
      </c>
      <c r="Q47" s="46"/>
      <c r="R47" s="28" t="s">
        <v>520</v>
      </c>
      <c r="S47" s="28" t="s">
        <v>21</v>
      </c>
      <c r="T47" s="46"/>
      <c r="U47" s="28" t="s">
        <v>31</v>
      </c>
    </row>
    <row r="48" spans="1:21" s="27" customFormat="1" x14ac:dyDescent="0.25">
      <c r="A48" s="28" t="s">
        <v>21</v>
      </c>
      <c r="B48" s="28" t="s">
        <v>493</v>
      </c>
      <c r="C48" s="28" t="s">
        <v>21</v>
      </c>
      <c r="D48" s="31">
        <v>1</v>
      </c>
      <c r="E48" s="70" t="s">
        <v>107</v>
      </c>
      <c r="F48" s="45">
        <v>296</v>
      </c>
      <c r="G48" s="32"/>
      <c r="H48" s="32">
        <v>1.8520000000000001</v>
      </c>
      <c r="I48" s="32">
        <v>1.8460000000000001</v>
      </c>
      <c r="J48" s="33">
        <f t="shared" si="5"/>
        <v>6.0000000000000053E-3</v>
      </c>
      <c r="K48" s="34" t="str">
        <f t="shared" si="0"/>
        <v/>
      </c>
      <c r="L48" s="35">
        <f t="shared" si="6"/>
        <v>7.4</v>
      </c>
      <c r="M48" s="36" t="str">
        <f t="shared" si="7"/>
        <v/>
      </c>
      <c r="N48" s="37" t="s">
        <v>18</v>
      </c>
      <c r="O48" s="29">
        <v>1</v>
      </c>
      <c r="P48" s="38">
        <v>40</v>
      </c>
      <c r="Q48" s="46"/>
      <c r="R48" s="28" t="s">
        <v>519</v>
      </c>
      <c r="S48" s="28" t="s">
        <v>21</v>
      </c>
      <c r="T48" s="46"/>
      <c r="U48" s="28" t="s">
        <v>31</v>
      </c>
    </row>
    <row r="49" spans="1:21" s="27" customFormat="1" x14ac:dyDescent="0.25">
      <c r="A49" s="28" t="s">
        <v>21</v>
      </c>
      <c r="B49" s="28" t="s">
        <v>494</v>
      </c>
      <c r="C49" s="28" t="s">
        <v>21</v>
      </c>
      <c r="D49" s="31">
        <v>1</v>
      </c>
      <c r="E49" s="70" t="s">
        <v>128</v>
      </c>
      <c r="F49" s="45">
        <v>297</v>
      </c>
      <c r="G49" s="32"/>
      <c r="H49" s="32">
        <v>1.85</v>
      </c>
      <c r="I49" s="32">
        <v>1.8420000000000001</v>
      </c>
      <c r="J49" s="33">
        <f t="shared" si="5"/>
        <v>8.0000000000000071E-3</v>
      </c>
      <c r="K49" s="34" t="str">
        <f t="shared" si="0"/>
        <v/>
      </c>
      <c r="L49" s="35">
        <f t="shared" si="6"/>
        <v>7.4249999999999998</v>
      </c>
      <c r="M49" s="36" t="str">
        <f t="shared" si="7"/>
        <v/>
      </c>
      <c r="N49" s="37" t="s">
        <v>18</v>
      </c>
      <c r="O49" s="29">
        <v>1</v>
      </c>
      <c r="P49" s="38">
        <v>40</v>
      </c>
      <c r="Q49" s="46"/>
      <c r="R49" s="28" t="s">
        <v>521</v>
      </c>
      <c r="S49" s="28" t="s">
        <v>21</v>
      </c>
      <c r="T49" s="46"/>
      <c r="U49" s="28" t="s">
        <v>31</v>
      </c>
    </row>
    <row r="50" spans="1:21" s="27" customFormat="1" x14ac:dyDescent="0.25">
      <c r="A50" s="28" t="s">
        <v>21</v>
      </c>
      <c r="B50" s="28" t="s">
        <v>495</v>
      </c>
      <c r="C50" s="28" t="s">
        <v>21</v>
      </c>
      <c r="D50" s="31">
        <v>1</v>
      </c>
      <c r="E50" s="70" t="s">
        <v>537</v>
      </c>
      <c r="F50" s="45">
        <v>297</v>
      </c>
      <c r="G50" s="32"/>
      <c r="H50" s="32">
        <v>1.853</v>
      </c>
      <c r="I50" s="32">
        <v>1.8460000000000001</v>
      </c>
      <c r="J50" s="33">
        <f t="shared" si="5"/>
        <v>6.9999999999998952E-3</v>
      </c>
      <c r="K50" s="34" t="str">
        <f t="shared" si="0"/>
        <v/>
      </c>
      <c r="L50" s="35">
        <f t="shared" si="6"/>
        <v>7.4249999999999998</v>
      </c>
      <c r="M50" s="36" t="str">
        <f t="shared" si="7"/>
        <v/>
      </c>
      <c r="N50" s="37" t="s">
        <v>18</v>
      </c>
      <c r="O50" s="29">
        <v>1</v>
      </c>
      <c r="P50" s="38">
        <v>40</v>
      </c>
      <c r="Q50" s="46"/>
      <c r="R50" s="28" t="s">
        <v>523</v>
      </c>
      <c r="S50" s="28" t="s">
        <v>21</v>
      </c>
      <c r="T50" s="46"/>
      <c r="U50" s="28" t="s">
        <v>31</v>
      </c>
    </row>
    <row r="51" spans="1:21" s="27" customFormat="1" x14ac:dyDescent="0.25">
      <c r="A51" s="28" t="s">
        <v>21</v>
      </c>
      <c r="B51" s="28" t="s">
        <v>496</v>
      </c>
      <c r="C51" s="28" t="s">
        <v>21</v>
      </c>
      <c r="D51" s="31">
        <v>1</v>
      </c>
      <c r="E51" s="70" t="s">
        <v>129</v>
      </c>
      <c r="F51" s="45">
        <v>297</v>
      </c>
      <c r="G51" s="32"/>
      <c r="H51" s="32">
        <v>1.859</v>
      </c>
      <c r="I51" s="32">
        <v>1.8520000000000001</v>
      </c>
      <c r="J51" s="33">
        <f t="shared" si="5"/>
        <v>6.9999999999998952E-3</v>
      </c>
      <c r="K51" s="34" t="str">
        <f t="shared" si="0"/>
        <v/>
      </c>
      <c r="L51" s="35">
        <f t="shared" si="6"/>
        <v>7.4249999999999998</v>
      </c>
      <c r="M51" s="36" t="str">
        <f t="shared" si="7"/>
        <v/>
      </c>
      <c r="N51" s="37" t="s">
        <v>18</v>
      </c>
      <c r="O51" s="29">
        <v>1</v>
      </c>
      <c r="P51" s="38">
        <v>40</v>
      </c>
      <c r="Q51" s="46"/>
      <c r="R51" s="28" t="s">
        <v>525</v>
      </c>
      <c r="S51" s="28" t="s">
        <v>21</v>
      </c>
      <c r="T51" s="46"/>
      <c r="U51" s="28" t="s">
        <v>31</v>
      </c>
    </row>
    <row r="52" spans="1:21" s="27" customFormat="1" x14ac:dyDescent="0.25">
      <c r="A52" s="28" t="s">
        <v>21</v>
      </c>
      <c r="B52" s="28" t="s">
        <v>497</v>
      </c>
      <c r="C52" s="28" t="s">
        <v>21</v>
      </c>
      <c r="D52" s="31">
        <v>1</v>
      </c>
      <c r="E52" s="70" t="s">
        <v>111</v>
      </c>
      <c r="F52" s="45">
        <v>296</v>
      </c>
      <c r="G52" s="32"/>
      <c r="H52" s="32">
        <v>1.849</v>
      </c>
      <c r="I52" s="32">
        <v>1.8420000000000001</v>
      </c>
      <c r="J52" s="33">
        <f t="shared" si="5"/>
        <v>6.9999999999998952E-3</v>
      </c>
      <c r="K52" s="34" t="str">
        <f t="shared" si="0"/>
        <v/>
      </c>
      <c r="L52" s="35">
        <f t="shared" si="6"/>
        <v>7.4</v>
      </c>
      <c r="M52" s="36" t="str">
        <f t="shared" si="7"/>
        <v/>
      </c>
      <c r="N52" s="37" t="s">
        <v>18</v>
      </c>
      <c r="O52" s="29">
        <v>1</v>
      </c>
      <c r="P52" s="38">
        <v>40</v>
      </c>
      <c r="Q52" s="46"/>
      <c r="R52" s="28" t="s">
        <v>527</v>
      </c>
      <c r="S52" s="28" t="s">
        <v>21</v>
      </c>
      <c r="T52" s="46"/>
      <c r="U52" s="28" t="s">
        <v>31</v>
      </c>
    </row>
    <row r="53" spans="1:21" s="27" customFormat="1" x14ac:dyDescent="0.25">
      <c r="A53" s="28" t="s">
        <v>21</v>
      </c>
      <c r="B53" s="28" t="s">
        <v>498</v>
      </c>
      <c r="C53" s="28" t="s">
        <v>21</v>
      </c>
      <c r="D53" s="31">
        <v>1</v>
      </c>
      <c r="E53" s="70" t="s">
        <v>536</v>
      </c>
      <c r="F53" s="45">
        <v>297</v>
      </c>
      <c r="G53" s="32"/>
      <c r="H53" s="32">
        <v>1.853</v>
      </c>
      <c r="I53" s="32">
        <v>1.8460000000000001</v>
      </c>
      <c r="J53" s="33">
        <f t="shared" si="5"/>
        <v>6.9999999999998952E-3</v>
      </c>
      <c r="K53" s="34" t="str">
        <f t="shared" si="0"/>
        <v/>
      </c>
      <c r="L53" s="35">
        <f t="shared" si="6"/>
        <v>7.4249999999999998</v>
      </c>
      <c r="M53" s="36" t="str">
        <f t="shared" si="7"/>
        <v/>
      </c>
      <c r="N53" s="37" t="s">
        <v>18</v>
      </c>
      <c r="O53" s="29">
        <v>1</v>
      </c>
      <c r="P53" s="38">
        <v>40</v>
      </c>
      <c r="Q53" s="46"/>
      <c r="R53" s="28" t="s">
        <v>526</v>
      </c>
      <c r="S53" s="28" t="s">
        <v>21</v>
      </c>
      <c r="T53" s="46"/>
      <c r="U53" s="28" t="s">
        <v>31</v>
      </c>
    </row>
    <row r="54" spans="1:21" s="27" customFormat="1" x14ac:dyDescent="0.25">
      <c r="A54" s="28" t="s">
        <v>21</v>
      </c>
      <c r="B54" s="28" t="s">
        <v>499</v>
      </c>
      <c r="C54" s="28" t="s">
        <v>21</v>
      </c>
      <c r="D54" s="31">
        <v>1</v>
      </c>
      <c r="E54" s="70" t="s">
        <v>105</v>
      </c>
      <c r="F54" s="45">
        <v>297</v>
      </c>
      <c r="G54" s="32"/>
      <c r="H54" s="32">
        <v>1.861</v>
      </c>
      <c r="I54" s="32">
        <v>1.8540000000000001</v>
      </c>
      <c r="J54" s="33">
        <f t="shared" si="5"/>
        <v>6.9999999999998952E-3</v>
      </c>
      <c r="K54" s="34" t="str">
        <f t="shared" si="0"/>
        <v/>
      </c>
      <c r="L54" s="35">
        <f t="shared" si="6"/>
        <v>7.4249999999999998</v>
      </c>
      <c r="M54" s="36" t="str">
        <f t="shared" si="7"/>
        <v/>
      </c>
      <c r="N54" s="37" t="s">
        <v>18</v>
      </c>
      <c r="O54" s="29">
        <v>1</v>
      </c>
      <c r="P54" s="38">
        <v>40</v>
      </c>
      <c r="Q54" s="46"/>
      <c r="R54" s="28" t="s">
        <v>529</v>
      </c>
      <c r="S54" s="71" t="s">
        <v>103</v>
      </c>
      <c r="T54" s="46"/>
      <c r="U54" s="28" t="s">
        <v>31</v>
      </c>
    </row>
    <row r="55" spans="1:21" s="27" customFormat="1" x14ac:dyDescent="0.25">
      <c r="A55" s="28" t="s">
        <v>21</v>
      </c>
      <c r="B55" s="28" t="s">
        <v>500</v>
      </c>
      <c r="C55" s="28" t="s">
        <v>21</v>
      </c>
      <c r="D55" s="31">
        <v>1</v>
      </c>
      <c r="E55" s="70" t="s">
        <v>537</v>
      </c>
      <c r="F55" s="45">
        <v>297</v>
      </c>
      <c r="G55" s="32"/>
      <c r="H55" s="32">
        <v>1.859</v>
      </c>
      <c r="I55" s="32">
        <v>1.8520000000000001</v>
      </c>
      <c r="J55" s="33">
        <f t="shared" si="5"/>
        <v>6.9999999999998952E-3</v>
      </c>
      <c r="K55" s="34" t="str">
        <f t="shared" si="0"/>
        <v/>
      </c>
      <c r="L55" s="35">
        <f t="shared" si="6"/>
        <v>7.4249999999999998</v>
      </c>
      <c r="M55" s="36" t="str">
        <f t="shared" si="7"/>
        <v/>
      </c>
      <c r="N55" s="37" t="s">
        <v>18</v>
      </c>
      <c r="O55" s="29">
        <v>1</v>
      </c>
      <c r="P55" s="38">
        <v>40</v>
      </c>
      <c r="Q55" s="46"/>
      <c r="R55" s="28" t="s">
        <v>522</v>
      </c>
      <c r="S55" s="71" t="s">
        <v>59</v>
      </c>
      <c r="T55" s="46"/>
      <c r="U55" s="28" t="s">
        <v>31</v>
      </c>
    </row>
    <row r="56" spans="1:21" s="27" customFormat="1" x14ac:dyDescent="0.25">
      <c r="A56" s="28" t="s">
        <v>21</v>
      </c>
      <c r="B56" s="28" t="s">
        <v>501</v>
      </c>
      <c r="C56" s="28" t="s">
        <v>21</v>
      </c>
      <c r="D56" s="31">
        <v>1</v>
      </c>
      <c r="E56" s="70" t="s">
        <v>268</v>
      </c>
      <c r="F56" s="45">
        <v>296</v>
      </c>
      <c r="G56" s="32"/>
      <c r="H56" s="32">
        <v>1.8580000000000001</v>
      </c>
      <c r="I56" s="32">
        <v>1.851</v>
      </c>
      <c r="J56" s="33">
        <f t="shared" si="5"/>
        <v>7.0000000000001172E-3</v>
      </c>
      <c r="K56" s="34" t="str">
        <f t="shared" si="0"/>
        <v/>
      </c>
      <c r="L56" s="35">
        <f t="shared" si="6"/>
        <v>7.4</v>
      </c>
      <c r="M56" s="36" t="str">
        <f t="shared" si="7"/>
        <v/>
      </c>
      <c r="N56" s="37" t="s">
        <v>18</v>
      </c>
      <c r="O56" s="29">
        <v>1</v>
      </c>
      <c r="P56" s="38">
        <v>40</v>
      </c>
      <c r="Q56" s="46"/>
      <c r="R56" s="28" t="s">
        <v>530</v>
      </c>
      <c r="S56" s="28" t="s">
        <v>21</v>
      </c>
      <c r="T56" s="46"/>
      <c r="U56" s="28" t="s">
        <v>31</v>
      </c>
    </row>
    <row r="57" spans="1:21" s="27" customFormat="1" x14ac:dyDescent="0.25">
      <c r="A57" s="28" t="s">
        <v>21</v>
      </c>
      <c r="B57" s="28" t="s">
        <v>502</v>
      </c>
      <c r="C57" s="28" t="s">
        <v>21</v>
      </c>
      <c r="D57" s="31">
        <v>1</v>
      </c>
      <c r="E57" s="70" t="s">
        <v>358</v>
      </c>
      <c r="F57" s="45">
        <v>297</v>
      </c>
      <c r="G57" s="32"/>
      <c r="H57" s="32">
        <v>1.857</v>
      </c>
      <c r="I57" s="32">
        <v>1.85</v>
      </c>
      <c r="J57" s="33">
        <f t="shared" si="5"/>
        <v>6.9999999999998952E-3</v>
      </c>
      <c r="K57" s="34" t="str">
        <f t="shared" si="0"/>
        <v/>
      </c>
      <c r="L57" s="35">
        <f t="shared" si="6"/>
        <v>7.4249999999999998</v>
      </c>
      <c r="M57" s="36" t="str">
        <f t="shared" si="7"/>
        <v/>
      </c>
      <c r="N57" s="37" t="s">
        <v>18</v>
      </c>
      <c r="O57" s="29">
        <v>1</v>
      </c>
      <c r="P57" s="38">
        <v>40</v>
      </c>
      <c r="Q57" s="46"/>
      <c r="R57" s="28" t="s">
        <v>531</v>
      </c>
      <c r="S57" s="28" t="s">
        <v>21</v>
      </c>
      <c r="T57" s="46"/>
      <c r="U57" s="28" t="s">
        <v>31</v>
      </c>
    </row>
    <row r="58" spans="1:21" s="27" customFormat="1" x14ac:dyDescent="0.25">
      <c r="A58" s="28" t="s">
        <v>21</v>
      </c>
      <c r="B58" s="28" t="s">
        <v>503</v>
      </c>
      <c r="C58" s="28" t="s">
        <v>21</v>
      </c>
      <c r="D58" s="31">
        <v>1</v>
      </c>
      <c r="E58" s="70" t="s">
        <v>359</v>
      </c>
      <c r="F58" s="45">
        <v>297</v>
      </c>
      <c r="G58" s="32"/>
      <c r="H58" s="32">
        <v>1.86</v>
      </c>
      <c r="I58" s="32">
        <v>1.853</v>
      </c>
      <c r="J58" s="33">
        <f t="shared" si="5"/>
        <v>7.0000000000001172E-3</v>
      </c>
      <c r="K58" s="34" t="str">
        <f t="shared" si="0"/>
        <v/>
      </c>
      <c r="L58" s="35">
        <f t="shared" si="6"/>
        <v>7.4249999999999998</v>
      </c>
      <c r="M58" s="36" t="str">
        <f t="shared" si="7"/>
        <v/>
      </c>
      <c r="N58" s="37" t="s">
        <v>18</v>
      </c>
      <c r="O58" s="29">
        <v>1</v>
      </c>
      <c r="P58" s="38">
        <v>40</v>
      </c>
      <c r="Q58" s="46"/>
      <c r="R58" s="28" t="s">
        <v>528</v>
      </c>
      <c r="S58" s="28" t="s">
        <v>21</v>
      </c>
      <c r="T58" s="46"/>
      <c r="U58" s="28" t="s">
        <v>31</v>
      </c>
    </row>
    <row r="59" spans="1:21" s="27" customFormat="1" x14ac:dyDescent="0.25">
      <c r="A59" s="28" t="s">
        <v>21</v>
      </c>
      <c r="B59" s="28" t="s">
        <v>504</v>
      </c>
      <c r="C59" s="28" t="s">
        <v>21</v>
      </c>
      <c r="D59" s="31">
        <v>1</v>
      </c>
      <c r="E59" s="30" t="s">
        <v>63</v>
      </c>
      <c r="F59" s="45">
        <v>297</v>
      </c>
      <c r="G59" s="32"/>
      <c r="H59" s="32">
        <v>1.8580000000000001</v>
      </c>
      <c r="I59" s="32">
        <v>1.85</v>
      </c>
      <c r="J59" s="33">
        <f t="shared" si="5"/>
        <v>8.0000000000000071E-3</v>
      </c>
      <c r="K59" s="34" t="str">
        <f t="shared" si="0"/>
        <v/>
      </c>
      <c r="L59" s="35">
        <f t="shared" si="6"/>
        <v>7.4249999999999998</v>
      </c>
      <c r="M59" s="36" t="str">
        <f t="shared" si="7"/>
        <v/>
      </c>
      <c r="N59" s="37" t="s">
        <v>18</v>
      </c>
      <c r="O59" s="29">
        <v>1</v>
      </c>
      <c r="P59" s="38">
        <v>40</v>
      </c>
      <c r="Q59" s="46"/>
      <c r="R59" s="28" t="s">
        <v>524</v>
      </c>
      <c r="S59" s="47"/>
      <c r="T59" s="46"/>
      <c r="U59" s="28" t="s">
        <v>31</v>
      </c>
    </row>
    <row r="60" spans="1:21" s="27" customFormat="1" x14ac:dyDescent="0.25">
      <c r="A60" s="28" t="s">
        <v>21</v>
      </c>
      <c r="B60" s="28" t="s">
        <v>505</v>
      </c>
      <c r="C60" s="71">
        <v>698354</v>
      </c>
      <c r="D60" s="31">
        <v>1</v>
      </c>
      <c r="E60" s="30" t="s">
        <v>133</v>
      </c>
      <c r="F60" s="45">
        <v>298</v>
      </c>
      <c r="G60" s="32"/>
      <c r="H60" s="32">
        <v>1.8919999999999999</v>
      </c>
      <c r="I60" s="32">
        <v>1.885</v>
      </c>
      <c r="J60" s="33">
        <f t="shared" si="5"/>
        <v>6.9999999999998952E-3</v>
      </c>
      <c r="K60" s="34" t="str">
        <f t="shared" si="0"/>
        <v/>
      </c>
      <c r="L60" s="35">
        <f t="shared" si="6"/>
        <v>7.45</v>
      </c>
      <c r="M60" s="36" t="str">
        <f t="shared" si="7"/>
        <v/>
      </c>
      <c r="N60" s="37" t="s">
        <v>18</v>
      </c>
      <c r="O60" s="29">
        <v>1</v>
      </c>
      <c r="P60" s="38">
        <v>40</v>
      </c>
      <c r="Q60" s="46"/>
      <c r="R60" s="28" t="s">
        <v>532</v>
      </c>
      <c r="S60" s="47"/>
      <c r="T60" s="46"/>
      <c r="U60" s="28" t="s">
        <v>31</v>
      </c>
    </row>
    <row r="61" spans="1:21" s="27" customFormat="1" x14ac:dyDescent="0.25">
      <c r="A61" s="28" t="s">
        <v>21</v>
      </c>
      <c r="B61" s="28" t="s">
        <v>506</v>
      </c>
      <c r="C61" s="28" t="s">
        <v>21</v>
      </c>
      <c r="D61" s="31">
        <v>1</v>
      </c>
      <c r="E61" s="30" t="s">
        <v>538</v>
      </c>
      <c r="F61" s="45">
        <v>297</v>
      </c>
      <c r="G61" s="32"/>
      <c r="H61" s="32">
        <v>1.887</v>
      </c>
      <c r="I61" s="32">
        <v>1.88</v>
      </c>
      <c r="J61" s="33">
        <f t="shared" si="5"/>
        <v>7.0000000000001172E-3</v>
      </c>
      <c r="K61" s="34" t="str">
        <f t="shared" si="0"/>
        <v/>
      </c>
      <c r="L61" s="35">
        <f t="shared" si="6"/>
        <v>7.4249999999999998</v>
      </c>
      <c r="M61" s="36" t="str">
        <f t="shared" si="7"/>
        <v/>
      </c>
      <c r="N61" s="37" t="s">
        <v>18</v>
      </c>
      <c r="O61" s="29">
        <v>1</v>
      </c>
      <c r="P61" s="38">
        <v>40</v>
      </c>
      <c r="Q61" s="46"/>
      <c r="R61" s="28" t="s">
        <v>533</v>
      </c>
      <c r="S61" s="47"/>
      <c r="T61" s="46"/>
      <c r="U61" s="28" t="s">
        <v>31</v>
      </c>
    </row>
    <row r="62" spans="1:21" s="27" customFormat="1" x14ac:dyDescent="0.25">
      <c r="A62" s="28" t="s">
        <v>21</v>
      </c>
      <c r="B62" s="28" t="s">
        <v>507</v>
      </c>
      <c r="C62" s="28" t="s">
        <v>21</v>
      </c>
      <c r="D62" s="31">
        <v>1</v>
      </c>
      <c r="E62" s="30" t="s">
        <v>441</v>
      </c>
      <c r="F62" s="45">
        <v>297</v>
      </c>
      <c r="G62" s="32"/>
      <c r="H62" s="32">
        <v>1.885</v>
      </c>
      <c r="I62" s="32">
        <v>1.877</v>
      </c>
      <c r="J62" s="33">
        <f t="shared" si="5"/>
        <v>8.0000000000000071E-3</v>
      </c>
      <c r="K62" s="34" t="str">
        <f t="shared" si="0"/>
        <v/>
      </c>
      <c r="L62" s="35">
        <f t="shared" si="6"/>
        <v>7.4249999999999998</v>
      </c>
      <c r="M62" s="36" t="str">
        <f t="shared" si="7"/>
        <v/>
      </c>
      <c r="N62" s="37" t="s">
        <v>18</v>
      </c>
      <c r="O62" s="29">
        <v>1</v>
      </c>
      <c r="P62" s="38">
        <v>40</v>
      </c>
      <c r="Q62" s="46"/>
      <c r="R62" s="28" t="s">
        <v>534</v>
      </c>
      <c r="S62" s="47"/>
      <c r="T62" s="46"/>
      <c r="U62" s="28" t="s">
        <v>31</v>
      </c>
    </row>
    <row r="63" spans="1:21" s="27" customFormat="1" x14ac:dyDescent="0.25">
      <c r="A63" s="28" t="s">
        <v>21</v>
      </c>
      <c r="B63" s="28" t="s">
        <v>508</v>
      </c>
      <c r="C63" s="28" t="s">
        <v>21</v>
      </c>
      <c r="D63" s="31">
        <v>1</v>
      </c>
      <c r="E63" s="30" t="s">
        <v>539</v>
      </c>
      <c r="F63" s="45">
        <v>298</v>
      </c>
      <c r="G63" s="32"/>
      <c r="H63" s="32">
        <v>1.883</v>
      </c>
      <c r="I63" s="32">
        <v>1.8740000000000001</v>
      </c>
      <c r="J63" s="33">
        <f t="shared" si="5"/>
        <v>8.999999999999897E-3</v>
      </c>
      <c r="K63" s="34" t="str">
        <f t="shared" si="0"/>
        <v/>
      </c>
      <c r="L63" s="35">
        <f t="shared" si="6"/>
        <v>7.45</v>
      </c>
      <c r="M63" s="36" t="str">
        <f t="shared" si="7"/>
        <v/>
      </c>
      <c r="N63" s="37" t="s">
        <v>18</v>
      </c>
      <c r="O63" s="29">
        <v>1</v>
      </c>
      <c r="P63" s="38">
        <v>40</v>
      </c>
      <c r="Q63" s="46"/>
      <c r="R63" s="28" t="s">
        <v>535</v>
      </c>
      <c r="S63" s="47"/>
      <c r="T63" s="46"/>
      <c r="U63" s="28" t="s">
        <v>31</v>
      </c>
    </row>
    <row r="64" spans="1:21" s="27" customFormat="1" x14ac:dyDescent="0.25">
      <c r="A64" s="28" t="s">
        <v>21</v>
      </c>
      <c r="B64" s="28" t="s">
        <v>509</v>
      </c>
      <c r="C64" s="28" t="s">
        <v>21</v>
      </c>
      <c r="D64" s="31">
        <v>1</v>
      </c>
      <c r="E64" s="30" t="s">
        <v>568</v>
      </c>
      <c r="F64" s="45">
        <v>296</v>
      </c>
      <c r="G64" s="32"/>
      <c r="H64" s="32">
        <v>1.87</v>
      </c>
      <c r="I64" s="32">
        <v>1.863</v>
      </c>
      <c r="J64" s="33">
        <f t="shared" si="5"/>
        <v>7.0000000000001172E-3</v>
      </c>
      <c r="K64" s="34" t="str">
        <f t="shared" si="0"/>
        <v/>
      </c>
      <c r="L64" s="35">
        <f t="shared" si="6"/>
        <v>7.4</v>
      </c>
      <c r="M64" s="36" t="str">
        <f t="shared" si="7"/>
        <v/>
      </c>
      <c r="N64" s="37" t="s">
        <v>18</v>
      </c>
      <c r="O64" s="29">
        <v>1</v>
      </c>
      <c r="P64" s="38">
        <v>40</v>
      </c>
      <c r="Q64" s="46"/>
      <c r="R64" s="28" t="s">
        <v>540</v>
      </c>
      <c r="S64" s="47"/>
      <c r="T64" s="46"/>
      <c r="U64" s="28" t="s">
        <v>31</v>
      </c>
    </row>
    <row r="65" spans="1:21" s="27" customFormat="1" x14ac:dyDescent="0.25">
      <c r="A65" s="28" t="s">
        <v>21</v>
      </c>
      <c r="B65" s="28" t="s">
        <v>510</v>
      </c>
      <c r="C65" s="28" t="s">
        <v>21</v>
      </c>
      <c r="D65" s="31">
        <v>1</v>
      </c>
      <c r="E65" s="30" t="s">
        <v>567</v>
      </c>
      <c r="F65" s="45">
        <v>295</v>
      </c>
      <c r="G65" s="32"/>
      <c r="H65" s="32">
        <v>1.835</v>
      </c>
      <c r="I65" s="32">
        <v>1.827</v>
      </c>
      <c r="J65" s="33">
        <f t="shared" si="5"/>
        <v>8.0000000000000071E-3</v>
      </c>
      <c r="K65" s="34" t="str">
        <f t="shared" si="0"/>
        <v/>
      </c>
      <c r="L65" s="35">
        <f t="shared" si="6"/>
        <v>7.375</v>
      </c>
      <c r="M65" s="36" t="str">
        <f t="shared" si="7"/>
        <v/>
      </c>
      <c r="N65" s="37" t="s">
        <v>18</v>
      </c>
      <c r="O65" s="29">
        <v>1</v>
      </c>
      <c r="P65" s="38">
        <v>40</v>
      </c>
      <c r="Q65" s="46"/>
      <c r="R65" s="28" t="s">
        <v>541</v>
      </c>
      <c r="S65" s="47"/>
      <c r="T65" s="46"/>
      <c r="U65" s="28" t="s">
        <v>31</v>
      </c>
    </row>
    <row r="66" spans="1:21" s="27" customFormat="1" x14ac:dyDescent="0.25">
      <c r="A66" s="28" t="s">
        <v>21</v>
      </c>
      <c r="B66" s="28" t="s">
        <v>511</v>
      </c>
      <c r="C66" s="28" t="s">
        <v>21</v>
      </c>
      <c r="D66" s="31">
        <v>1</v>
      </c>
      <c r="E66" s="30" t="s">
        <v>567</v>
      </c>
      <c r="F66" s="45">
        <v>296</v>
      </c>
      <c r="G66" s="32"/>
      <c r="H66" s="32">
        <v>1.871</v>
      </c>
      <c r="I66" s="32">
        <v>1.8620000000000001</v>
      </c>
      <c r="J66" s="33">
        <f t="shared" si="5"/>
        <v>8.999999999999897E-3</v>
      </c>
      <c r="K66" s="34" t="str">
        <f t="shared" ref="K66:K128" si="8">IF(J66=0,"",IF(OR(J66&lt;0,J66&gt;0.03),"X",""))</f>
        <v/>
      </c>
      <c r="L66" s="35">
        <f t="shared" si="6"/>
        <v>7.4</v>
      </c>
      <c r="M66" s="36" t="str">
        <f t="shared" si="7"/>
        <v/>
      </c>
      <c r="N66" s="37" t="s">
        <v>18</v>
      </c>
      <c r="O66" s="29">
        <v>1</v>
      </c>
      <c r="P66" s="38">
        <v>40</v>
      </c>
      <c r="Q66" s="46"/>
      <c r="R66" s="28" t="s">
        <v>542</v>
      </c>
      <c r="S66" s="47"/>
      <c r="T66" s="46"/>
      <c r="U66" s="28" t="s">
        <v>31</v>
      </c>
    </row>
    <row r="67" spans="1:21" s="27" customFormat="1" x14ac:dyDescent="0.25">
      <c r="A67" s="28" t="s">
        <v>21</v>
      </c>
      <c r="B67" s="28" t="s">
        <v>512</v>
      </c>
      <c r="C67" s="28" t="s">
        <v>21</v>
      </c>
      <c r="D67" s="31">
        <v>1</v>
      </c>
      <c r="E67" s="30" t="s">
        <v>567</v>
      </c>
      <c r="F67" s="45">
        <v>297</v>
      </c>
      <c r="G67" s="32"/>
      <c r="H67" s="32">
        <v>1.833</v>
      </c>
      <c r="I67" s="32">
        <v>1.8260000000000001</v>
      </c>
      <c r="J67" s="33">
        <f t="shared" si="5"/>
        <v>6.9999999999998952E-3</v>
      </c>
      <c r="K67" s="34" t="str">
        <f t="shared" si="8"/>
        <v/>
      </c>
      <c r="L67" s="35">
        <f t="shared" si="6"/>
        <v>7.4249999999999998</v>
      </c>
      <c r="M67" s="36" t="str">
        <f t="shared" si="7"/>
        <v/>
      </c>
      <c r="N67" s="37" t="s">
        <v>18</v>
      </c>
      <c r="O67" s="29">
        <v>1</v>
      </c>
      <c r="P67" s="38">
        <v>40</v>
      </c>
      <c r="Q67" s="46"/>
      <c r="R67" s="28" t="s">
        <v>543</v>
      </c>
      <c r="S67" s="47"/>
      <c r="T67" s="46"/>
      <c r="U67" s="28" t="s">
        <v>31</v>
      </c>
    </row>
    <row r="68" spans="1:21" s="27" customFormat="1" x14ac:dyDescent="0.25">
      <c r="A68" s="28" t="s">
        <v>21</v>
      </c>
      <c r="B68" s="28" t="s">
        <v>513</v>
      </c>
      <c r="C68" s="28" t="s">
        <v>21</v>
      </c>
      <c r="D68" s="31">
        <v>1</v>
      </c>
      <c r="E68" s="30" t="s">
        <v>566</v>
      </c>
      <c r="F68" s="45">
        <v>297</v>
      </c>
      <c r="G68" s="32"/>
      <c r="H68" s="32">
        <v>1.8240000000000001</v>
      </c>
      <c r="I68" s="32">
        <v>1.8160000000000001</v>
      </c>
      <c r="J68" s="33">
        <f t="shared" si="5"/>
        <v>8.0000000000000071E-3</v>
      </c>
      <c r="K68" s="34" t="str">
        <f t="shared" si="8"/>
        <v/>
      </c>
      <c r="L68" s="35">
        <f t="shared" si="6"/>
        <v>7.4249999999999998</v>
      </c>
      <c r="M68" s="36" t="str">
        <f t="shared" si="7"/>
        <v/>
      </c>
      <c r="N68" s="37" t="s">
        <v>18</v>
      </c>
      <c r="O68" s="29">
        <v>1</v>
      </c>
      <c r="P68" s="38">
        <v>40</v>
      </c>
      <c r="Q68" s="46"/>
      <c r="R68" s="28" t="s">
        <v>544</v>
      </c>
      <c r="S68" s="47"/>
      <c r="T68" s="46"/>
      <c r="U68" s="28" t="s">
        <v>31</v>
      </c>
    </row>
    <row r="69" spans="1:21" s="27" customFormat="1" x14ac:dyDescent="0.25">
      <c r="A69" s="28" t="s">
        <v>545</v>
      </c>
      <c r="B69" s="28" t="s">
        <v>546</v>
      </c>
      <c r="C69" s="28">
        <v>698228</v>
      </c>
      <c r="D69" s="31">
        <v>1</v>
      </c>
      <c r="E69" s="70" t="s">
        <v>109</v>
      </c>
      <c r="F69" s="31">
        <v>185</v>
      </c>
      <c r="G69" s="32"/>
      <c r="H69" s="32">
        <v>1.8779999999999999</v>
      </c>
      <c r="I69" s="32">
        <v>1.8720000000000001</v>
      </c>
      <c r="J69" s="33">
        <f t="shared" ref="J69:J88" si="9">IF(O69&lt;&gt;"",(H69-I69)/O69,"")</f>
        <v>5.9999999999997833E-3</v>
      </c>
      <c r="K69" s="34" t="str">
        <f t="shared" si="8"/>
        <v/>
      </c>
      <c r="L69" s="35">
        <f t="shared" ref="L69:L88" si="10">F69/(O69*P69)</f>
        <v>7.4</v>
      </c>
      <c r="M69" s="36" t="str">
        <f t="shared" ref="M69:M88" si="11">IF(L69=0,"",IF(OR(L69&lt;7,L69&gt;7.8),"X",""))</f>
        <v/>
      </c>
      <c r="N69" s="37" t="s">
        <v>16</v>
      </c>
      <c r="O69" s="29">
        <v>1</v>
      </c>
      <c r="P69" s="38">
        <v>25</v>
      </c>
      <c r="Q69" s="28"/>
      <c r="R69" s="28" t="s">
        <v>569</v>
      </c>
      <c r="S69" s="71" t="s">
        <v>58</v>
      </c>
      <c r="T69" s="28"/>
      <c r="U69" s="28" t="s">
        <v>31</v>
      </c>
    </row>
    <row r="70" spans="1:21" s="27" customFormat="1" x14ac:dyDescent="0.25">
      <c r="A70" s="28" t="s">
        <v>21</v>
      </c>
      <c r="B70" s="28" t="s">
        <v>547</v>
      </c>
      <c r="C70" s="28" t="s">
        <v>21</v>
      </c>
      <c r="D70" s="31">
        <v>1</v>
      </c>
      <c r="E70" s="70" t="s">
        <v>127</v>
      </c>
      <c r="F70" s="31">
        <v>184</v>
      </c>
      <c r="G70" s="32"/>
      <c r="H70" s="32">
        <v>1.8740000000000001</v>
      </c>
      <c r="I70" s="32">
        <v>1.869</v>
      </c>
      <c r="J70" s="33">
        <f t="shared" si="9"/>
        <v>5.0000000000001155E-3</v>
      </c>
      <c r="K70" s="34" t="str">
        <f t="shared" si="8"/>
        <v/>
      </c>
      <c r="L70" s="35">
        <f t="shared" si="10"/>
        <v>7.36</v>
      </c>
      <c r="M70" s="36" t="str">
        <f t="shared" si="11"/>
        <v/>
      </c>
      <c r="N70" s="37" t="s">
        <v>16</v>
      </c>
      <c r="O70" s="29">
        <v>1</v>
      </c>
      <c r="P70" s="38">
        <v>25</v>
      </c>
      <c r="Q70" s="28"/>
      <c r="R70" s="28" t="s">
        <v>570</v>
      </c>
      <c r="S70" s="71" t="s">
        <v>59</v>
      </c>
      <c r="T70" s="28"/>
      <c r="U70" s="28" t="s">
        <v>31</v>
      </c>
    </row>
    <row r="71" spans="1:21" s="27" customFormat="1" x14ac:dyDescent="0.25">
      <c r="A71" s="28" t="s">
        <v>21</v>
      </c>
      <c r="B71" s="28" t="s">
        <v>548</v>
      </c>
      <c r="C71" s="28">
        <v>698228</v>
      </c>
      <c r="D71" s="31">
        <v>1</v>
      </c>
      <c r="E71" s="70" t="s">
        <v>127</v>
      </c>
      <c r="F71" s="31">
        <v>185</v>
      </c>
      <c r="G71" s="32"/>
      <c r="H71" s="32">
        <v>1.8759999999999999</v>
      </c>
      <c r="I71" s="32">
        <v>1.87</v>
      </c>
      <c r="J71" s="33">
        <f t="shared" si="9"/>
        <v>5.9999999999997833E-3</v>
      </c>
      <c r="K71" s="34" t="str">
        <f t="shared" si="8"/>
        <v/>
      </c>
      <c r="L71" s="35">
        <f t="shared" si="10"/>
        <v>7.4</v>
      </c>
      <c r="M71" s="36" t="str">
        <f t="shared" si="11"/>
        <v/>
      </c>
      <c r="N71" s="37" t="s">
        <v>16</v>
      </c>
      <c r="O71" s="29">
        <v>1</v>
      </c>
      <c r="P71" s="38">
        <v>25</v>
      </c>
      <c r="Q71" s="28"/>
      <c r="R71" s="28" t="s">
        <v>571</v>
      </c>
      <c r="S71" s="28" t="s">
        <v>21</v>
      </c>
      <c r="T71" s="28"/>
      <c r="U71" s="28" t="s">
        <v>31</v>
      </c>
    </row>
    <row r="72" spans="1:21" s="27" customFormat="1" x14ac:dyDescent="0.25">
      <c r="A72" s="28" t="s">
        <v>21</v>
      </c>
      <c r="B72" s="28" t="s">
        <v>549</v>
      </c>
      <c r="C72" s="28" t="s">
        <v>21</v>
      </c>
      <c r="D72" s="31">
        <v>1</v>
      </c>
      <c r="E72" s="70" t="s">
        <v>105</v>
      </c>
      <c r="F72" s="31">
        <v>185</v>
      </c>
      <c r="G72" s="32"/>
      <c r="H72" s="32">
        <v>1.869</v>
      </c>
      <c r="I72" s="32">
        <v>1.863</v>
      </c>
      <c r="J72" s="33">
        <f t="shared" si="9"/>
        <v>6.0000000000000053E-3</v>
      </c>
      <c r="K72" s="34" t="str">
        <f t="shared" si="8"/>
        <v/>
      </c>
      <c r="L72" s="35">
        <f t="shared" si="10"/>
        <v>7.4</v>
      </c>
      <c r="M72" s="36" t="str">
        <f t="shared" si="11"/>
        <v/>
      </c>
      <c r="N72" s="37" t="s">
        <v>16</v>
      </c>
      <c r="O72" s="29">
        <v>1</v>
      </c>
      <c r="P72" s="38">
        <v>25</v>
      </c>
      <c r="Q72" s="28"/>
      <c r="R72" s="28" t="s">
        <v>573</v>
      </c>
      <c r="S72" s="28" t="s">
        <v>21</v>
      </c>
      <c r="T72" s="28"/>
      <c r="U72" s="28" t="s">
        <v>31</v>
      </c>
    </row>
    <row r="73" spans="1:21" s="27" customFormat="1" x14ac:dyDescent="0.25">
      <c r="A73" s="28" t="s">
        <v>21</v>
      </c>
      <c r="B73" s="28" t="s">
        <v>550</v>
      </c>
      <c r="C73" s="28" t="s">
        <v>21</v>
      </c>
      <c r="D73" s="31">
        <v>1</v>
      </c>
      <c r="E73" s="70" t="s">
        <v>234</v>
      </c>
      <c r="F73" s="31">
        <v>185</v>
      </c>
      <c r="G73" s="32"/>
      <c r="H73" s="32">
        <v>1.873</v>
      </c>
      <c r="I73" s="32">
        <v>1.867</v>
      </c>
      <c r="J73" s="33">
        <f t="shared" si="9"/>
        <v>6.0000000000000053E-3</v>
      </c>
      <c r="K73" s="34" t="str">
        <f t="shared" si="8"/>
        <v/>
      </c>
      <c r="L73" s="35">
        <f t="shared" si="10"/>
        <v>7.4</v>
      </c>
      <c r="M73" s="36" t="str">
        <f t="shared" si="11"/>
        <v/>
      </c>
      <c r="N73" s="37" t="s">
        <v>16</v>
      </c>
      <c r="O73" s="29">
        <v>1</v>
      </c>
      <c r="P73" s="38">
        <v>25</v>
      </c>
      <c r="Q73" s="28"/>
      <c r="R73" s="28" t="s">
        <v>575</v>
      </c>
      <c r="S73" s="28" t="s">
        <v>21</v>
      </c>
      <c r="T73" s="28"/>
      <c r="U73" s="28" t="s">
        <v>31</v>
      </c>
    </row>
    <row r="74" spans="1:21" s="27" customFormat="1" x14ac:dyDescent="0.25">
      <c r="A74" s="28" t="s">
        <v>21</v>
      </c>
      <c r="B74" s="28" t="s">
        <v>551</v>
      </c>
      <c r="C74" s="28" t="s">
        <v>21</v>
      </c>
      <c r="D74" s="31">
        <v>1</v>
      </c>
      <c r="E74" s="70" t="s">
        <v>357</v>
      </c>
      <c r="F74" s="31">
        <v>185</v>
      </c>
      <c r="G74" s="32"/>
      <c r="H74" s="32">
        <v>1.867</v>
      </c>
      <c r="I74" s="32">
        <v>1.861</v>
      </c>
      <c r="J74" s="33">
        <f t="shared" si="9"/>
        <v>6.0000000000000053E-3</v>
      </c>
      <c r="K74" s="34" t="str">
        <f t="shared" si="8"/>
        <v/>
      </c>
      <c r="L74" s="35">
        <f t="shared" si="10"/>
        <v>7.4</v>
      </c>
      <c r="M74" s="36" t="str">
        <f t="shared" si="11"/>
        <v/>
      </c>
      <c r="N74" s="37" t="s">
        <v>16</v>
      </c>
      <c r="O74" s="29">
        <v>1</v>
      </c>
      <c r="P74" s="38">
        <v>25</v>
      </c>
      <c r="Q74" s="28"/>
      <c r="R74" s="28" t="s">
        <v>577</v>
      </c>
      <c r="S74" s="28" t="s">
        <v>21</v>
      </c>
      <c r="T74" s="28"/>
      <c r="U74" s="28" t="s">
        <v>31</v>
      </c>
    </row>
    <row r="75" spans="1:21" s="27" customFormat="1" x14ac:dyDescent="0.25">
      <c r="A75" s="28" t="s">
        <v>21</v>
      </c>
      <c r="B75" s="28" t="s">
        <v>552</v>
      </c>
      <c r="C75" s="28" t="s">
        <v>21</v>
      </c>
      <c r="D75" s="31">
        <v>1</v>
      </c>
      <c r="E75" s="70" t="s">
        <v>462</v>
      </c>
      <c r="F75" s="31">
        <v>185</v>
      </c>
      <c r="G75" s="32"/>
      <c r="H75" s="32">
        <v>1.873</v>
      </c>
      <c r="I75" s="32">
        <v>1.867</v>
      </c>
      <c r="J75" s="33">
        <f t="shared" si="9"/>
        <v>6.0000000000000053E-3</v>
      </c>
      <c r="K75" s="34" t="str">
        <f t="shared" si="8"/>
        <v/>
      </c>
      <c r="L75" s="35">
        <f t="shared" si="10"/>
        <v>7.4</v>
      </c>
      <c r="M75" s="36" t="str">
        <f t="shared" si="11"/>
        <v/>
      </c>
      <c r="N75" s="37" t="s">
        <v>16</v>
      </c>
      <c r="O75" s="29">
        <v>1</v>
      </c>
      <c r="P75" s="38">
        <v>25</v>
      </c>
      <c r="Q75" s="28"/>
      <c r="R75" s="28" t="s">
        <v>579</v>
      </c>
      <c r="S75" s="28" t="s">
        <v>21</v>
      </c>
      <c r="T75" s="28"/>
      <c r="U75" s="28" t="s">
        <v>31</v>
      </c>
    </row>
    <row r="76" spans="1:21" s="27" customFormat="1" x14ac:dyDescent="0.25">
      <c r="A76" s="28" t="s">
        <v>21</v>
      </c>
      <c r="B76" s="28" t="s">
        <v>553</v>
      </c>
      <c r="C76" s="28" t="s">
        <v>21</v>
      </c>
      <c r="D76" s="31">
        <v>1</v>
      </c>
      <c r="E76" s="70" t="s">
        <v>357</v>
      </c>
      <c r="F76" s="31">
        <v>184</v>
      </c>
      <c r="G76" s="32"/>
      <c r="H76" s="32">
        <v>1.867</v>
      </c>
      <c r="I76" s="32">
        <v>1.8620000000000001</v>
      </c>
      <c r="J76" s="33">
        <f t="shared" si="9"/>
        <v>4.9999999999998934E-3</v>
      </c>
      <c r="K76" s="34" t="str">
        <f t="shared" si="8"/>
        <v/>
      </c>
      <c r="L76" s="35">
        <f t="shared" si="10"/>
        <v>7.36</v>
      </c>
      <c r="M76" s="36" t="str">
        <f t="shared" si="11"/>
        <v/>
      </c>
      <c r="N76" s="37" t="s">
        <v>16</v>
      </c>
      <c r="O76" s="29">
        <v>1</v>
      </c>
      <c r="P76" s="38">
        <v>25</v>
      </c>
      <c r="Q76" s="28"/>
      <c r="R76" s="28" t="s">
        <v>574</v>
      </c>
      <c r="S76" s="28" t="s">
        <v>21</v>
      </c>
      <c r="T76" s="28"/>
      <c r="U76" s="28" t="s">
        <v>31</v>
      </c>
    </row>
    <row r="77" spans="1:21" s="27" customFormat="1" x14ac:dyDescent="0.25">
      <c r="A77" s="28" t="s">
        <v>21</v>
      </c>
      <c r="B77" s="28" t="s">
        <v>554</v>
      </c>
      <c r="C77" s="28" t="s">
        <v>21</v>
      </c>
      <c r="D77" s="31">
        <v>1</v>
      </c>
      <c r="E77" s="70" t="s">
        <v>127</v>
      </c>
      <c r="F77" s="31">
        <v>186</v>
      </c>
      <c r="G77" s="32"/>
      <c r="H77" s="32">
        <v>1.867</v>
      </c>
      <c r="I77" s="32">
        <v>1.861</v>
      </c>
      <c r="J77" s="33">
        <f t="shared" si="9"/>
        <v>6.0000000000000053E-3</v>
      </c>
      <c r="K77" s="34" t="str">
        <f t="shared" si="8"/>
        <v/>
      </c>
      <c r="L77" s="35">
        <f t="shared" si="10"/>
        <v>7.44</v>
      </c>
      <c r="M77" s="36" t="str">
        <f t="shared" si="11"/>
        <v/>
      </c>
      <c r="N77" s="37" t="s">
        <v>16</v>
      </c>
      <c r="O77" s="29">
        <v>1</v>
      </c>
      <c r="P77" s="38">
        <v>25</v>
      </c>
      <c r="Q77" s="28"/>
      <c r="R77" s="28" t="s">
        <v>580</v>
      </c>
      <c r="S77" s="28" t="s">
        <v>21</v>
      </c>
      <c r="T77" s="28"/>
      <c r="U77" s="28" t="s">
        <v>31</v>
      </c>
    </row>
    <row r="78" spans="1:21" s="27" customFormat="1" x14ac:dyDescent="0.25">
      <c r="A78" s="28" t="s">
        <v>21</v>
      </c>
      <c r="B78" s="28" t="s">
        <v>555</v>
      </c>
      <c r="C78" s="28" t="s">
        <v>21</v>
      </c>
      <c r="D78" s="31">
        <v>1</v>
      </c>
      <c r="E78" s="70" t="s">
        <v>236</v>
      </c>
      <c r="F78" s="31">
        <v>185</v>
      </c>
      <c r="G78" s="32"/>
      <c r="H78" s="32">
        <v>1.871</v>
      </c>
      <c r="I78" s="32">
        <v>1.8660000000000001</v>
      </c>
      <c r="J78" s="33">
        <f t="shared" si="9"/>
        <v>4.9999999999998934E-3</v>
      </c>
      <c r="K78" s="34" t="str">
        <f t="shared" si="8"/>
        <v/>
      </c>
      <c r="L78" s="35">
        <f t="shared" si="10"/>
        <v>7.4</v>
      </c>
      <c r="M78" s="36" t="str">
        <f t="shared" si="11"/>
        <v/>
      </c>
      <c r="N78" s="37" t="s">
        <v>16</v>
      </c>
      <c r="O78" s="29">
        <v>1</v>
      </c>
      <c r="P78" s="38">
        <v>25</v>
      </c>
      <c r="Q78" s="28"/>
      <c r="R78" s="28" t="s">
        <v>572</v>
      </c>
      <c r="S78" s="28" t="s">
        <v>21</v>
      </c>
      <c r="T78" s="28"/>
      <c r="U78" s="28" t="s">
        <v>31</v>
      </c>
    </row>
    <row r="79" spans="1:21" s="27" customFormat="1" x14ac:dyDescent="0.25">
      <c r="A79" s="28" t="s">
        <v>21</v>
      </c>
      <c r="B79" s="28" t="s">
        <v>556</v>
      </c>
      <c r="C79" s="28" t="s">
        <v>21</v>
      </c>
      <c r="D79" s="31">
        <v>1</v>
      </c>
      <c r="E79" s="70" t="s">
        <v>234</v>
      </c>
      <c r="F79" s="31">
        <v>184</v>
      </c>
      <c r="G79" s="32"/>
      <c r="H79" s="32">
        <v>1.8740000000000001</v>
      </c>
      <c r="I79" s="32">
        <v>1.867</v>
      </c>
      <c r="J79" s="33">
        <f t="shared" si="9"/>
        <v>7.0000000000001172E-3</v>
      </c>
      <c r="K79" s="34" t="str">
        <f t="shared" si="8"/>
        <v/>
      </c>
      <c r="L79" s="35">
        <f t="shared" si="10"/>
        <v>7.36</v>
      </c>
      <c r="M79" s="36" t="str">
        <f t="shared" si="11"/>
        <v/>
      </c>
      <c r="N79" s="37" t="s">
        <v>16</v>
      </c>
      <c r="O79" s="29">
        <v>1</v>
      </c>
      <c r="P79" s="38">
        <v>25</v>
      </c>
      <c r="Q79" s="28"/>
      <c r="R79" s="28" t="s">
        <v>578</v>
      </c>
      <c r="S79" s="71" t="s">
        <v>103</v>
      </c>
      <c r="T79" s="28"/>
      <c r="U79" s="28" t="s">
        <v>31</v>
      </c>
    </row>
    <row r="80" spans="1:21" s="27" customFormat="1" x14ac:dyDescent="0.25">
      <c r="A80" s="28" t="s">
        <v>21</v>
      </c>
      <c r="B80" s="28" t="s">
        <v>557</v>
      </c>
      <c r="C80" s="28" t="s">
        <v>21</v>
      </c>
      <c r="D80" s="31">
        <v>1</v>
      </c>
      <c r="E80" s="70" t="s">
        <v>105</v>
      </c>
      <c r="F80" s="31">
        <v>184</v>
      </c>
      <c r="G80" s="32"/>
      <c r="H80" s="32">
        <v>1.877</v>
      </c>
      <c r="I80" s="32">
        <v>1.87</v>
      </c>
      <c r="J80" s="33">
        <f t="shared" si="9"/>
        <v>6.9999999999998952E-3</v>
      </c>
      <c r="K80" s="34" t="str">
        <f t="shared" si="8"/>
        <v/>
      </c>
      <c r="L80" s="35">
        <f t="shared" si="10"/>
        <v>7.36</v>
      </c>
      <c r="M80" s="36" t="str">
        <f t="shared" si="11"/>
        <v/>
      </c>
      <c r="N80" s="37" t="s">
        <v>16</v>
      </c>
      <c r="O80" s="29">
        <v>1</v>
      </c>
      <c r="P80" s="38">
        <v>25</v>
      </c>
      <c r="Q80" s="28"/>
      <c r="R80" s="28" t="s">
        <v>576</v>
      </c>
      <c r="S80" s="71" t="s">
        <v>59</v>
      </c>
      <c r="T80" s="28"/>
      <c r="U80" s="28" t="s">
        <v>31</v>
      </c>
    </row>
    <row r="81" spans="1:21" s="27" customFormat="1" x14ac:dyDescent="0.25">
      <c r="A81" s="28" t="s">
        <v>21</v>
      </c>
      <c r="B81" s="28" t="s">
        <v>558</v>
      </c>
      <c r="C81" s="28">
        <v>698228</v>
      </c>
      <c r="D81" s="31">
        <v>1</v>
      </c>
      <c r="E81" s="70" t="s">
        <v>109</v>
      </c>
      <c r="F81" s="31">
        <v>185</v>
      </c>
      <c r="G81" s="32"/>
      <c r="H81" s="32">
        <v>1.881</v>
      </c>
      <c r="I81" s="32">
        <v>1.875</v>
      </c>
      <c r="J81" s="33">
        <f t="shared" si="9"/>
        <v>6.0000000000000053E-3</v>
      </c>
      <c r="K81" s="34" t="str">
        <f t="shared" si="8"/>
        <v/>
      </c>
      <c r="L81" s="35">
        <f t="shared" si="10"/>
        <v>7.4</v>
      </c>
      <c r="M81" s="36" t="str">
        <f t="shared" si="11"/>
        <v/>
      </c>
      <c r="N81" s="37" t="s">
        <v>16</v>
      </c>
      <c r="O81" s="29">
        <v>1</v>
      </c>
      <c r="P81" s="38">
        <v>25</v>
      </c>
      <c r="Q81" s="28"/>
      <c r="R81" s="28" t="s">
        <v>582</v>
      </c>
      <c r="S81" s="28" t="s">
        <v>21</v>
      </c>
      <c r="T81" s="28"/>
      <c r="U81" s="28" t="s">
        <v>31</v>
      </c>
    </row>
    <row r="82" spans="1:21" s="27" customFormat="1" x14ac:dyDescent="0.25">
      <c r="A82" s="28" t="s">
        <v>21</v>
      </c>
      <c r="B82" s="28" t="s">
        <v>559</v>
      </c>
      <c r="C82" s="28" t="s">
        <v>21</v>
      </c>
      <c r="D82" s="31">
        <v>1</v>
      </c>
      <c r="E82" s="70" t="s">
        <v>235</v>
      </c>
      <c r="F82" s="31">
        <v>185</v>
      </c>
      <c r="G82" s="32"/>
      <c r="H82" s="32">
        <v>1.887</v>
      </c>
      <c r="I82" s="32">
        <v>1.88</v>
      </c>
      <c r="J82" s="33">
        <f t="shared" si="9"/>
        <v>7.0000000000001172E-3</v>
      </c>
      <c r="K82" s="34" t="str">
        <f t="shared" si="8"/>
        <v/>
      </c>
      <c r="L82" s="35">
        <f t="shared" si="10"/>
        <v>7.4</v>
      </c>
      <c r="M82" s="36" t="str">
        <f t="shared" si="11"/>
        <v/>
      </c>
      <c r="N82" s="37" t="s">
        <v>16</v>
      </c>
      <c r="O82" s="29">
        <v>1</v>
      </c>
      <c r="P82" s="38">
        <v>25</v>
      </c>
      <c r="Q82" s="28"/>
      <c r="R82" s="28" t="s">
        <v>583</v>
      </c>
      <c r="S82" s="28" t="s">
        <v>21</v>
      </c>
      <c r="T82" s="28"/>
      <c r="U82" s="28" t="s">
        <v>31</v>
      </c>
    </row>
    <row r="83" spans="1:21" s="27" customFormat="1" x14ac:dyDescent="0.25">
      <c r="A83" s="28" t="s">
        <v>21</v>
      </c>
      <c r="B83" s="28" t="s">
        <v>560</v>
      </c>
      <c r="C83" s="28" t="s">
        <v>21</v>
      </c>
      <c r="D83" s="31">
        <v>1</v>
      </c>
      <c r="E83" s="70" t="s">
        <v>109</v>
      </c>
      <c r="F83" s="31">
        <v>185</v>
      </c>
      <c r="G83" s="32"/>
      <c r="H83" s="32">
        <v>1.8779999999999999</v>
      </c>
      <c r="I83" s="32">
        <v>1.8720000000000001</v>
      </c>
      <c r="J83" s="33">
        <f t="shared" si="9"/>
        <v>5.9999999999997833E-3</v>
      </c>
      <c r="K83" s="34" t="str">
        <f t="shared" si="8"/>
        <v/>
      </c>
      <c r="L83" s="35">
        <f t="shared" si="10"/>
        <v>7.4</v>
      </c>
      <c r="M83" s="36" t="str">
        <f t="shared" si="11"/>
        <v/>
      </c>
      <c r="N83" s="37" t="s">
        <v>16</v>
      </c>
      <c r="O83" s="29">
        <v>1</v>
      </c>
      <c r="P83" s="38">
        <v>25</v>
      </c>
      <c r="Q83" s="28"/>
      <c r="R83" s="28" t="s">
        <v>585</v>
      </c>
      <c r="S83" s="28" t="s">
        <v>21</v>
      </c>
      <c r="T83" s="28"/>
      <c r="U83" s="28" t="s">
        <v>31</v>
      </c>
    </row>
    <row r="84" spans="1:21" s="27" customFormat="1" x14ac:dyDescent="0.25">
      <c r="A84" s="28" t="s">
        <v>21</v>
      </c>
      <c r="B84" s="28" t="s">
        <v>561</v>
      </c>
      <c r="C84" s="28" t="s">
        <v>21</v>
      </c>
      <c r="D84" s="31">
        <v>1</v>
      </c>
      <c r="E84" s="30" t="s">
        <v>359</v>
      </c>
      <c r="F84" s="31">
        <v>183</v>
      </c>
      <c r="G84" s="32"/>
      <c r="H84" s="32">
        <v>1.8759999999999999</v>
      </c>
      <c r="I84" s="32">
        <v>1.871</v>
      </c>
      <c r="J84" s="33">
        <f t="shared" si="9"/>
        <v>4.9999999999998934E-3</v>
      </c>
      <c r="K84" s="34" t="str">
        <f t="shared" si="8"/>
        <v/>
      </c>
      <c r="L84" s="35">
        <f t="shared" si="10"/>
        <v>7.32</v>
      </c>
      <c r="M84" s="36" t="str">
        <f t="shared" si="11"/>
        <v/>
      </c>
      <c r="N84" s="37" t="s">
        <v>16</v>
      </c>
      <c r="O84" s="29">
        <v>1</v>
      </c>
      <c r="P84" s="38">
        <v>25</v>
      </c>
      <c r="Q84" s="28"/>
      <c r="R84" s="28" t="s">
        <v>587</v>
      </c>
      <c r="S84" s="39"/>
      <c r="T84" s="28"/>
      <c r="U84" s="28" t="s">
        <v>31</v>
      </c>
    </row>
    <row r="85" spans="1:21" s="27" customFormat="1" x14ac:dyDescent="0.25">
      <c r="A85" s="28" t="s">
        <v>21</v>
      </c>
      <c r="B85" s="28" t="s">
        <v>562</v>
      </c>
      <c r="C85" s="28" t="s">
        <v>21</v>
      </c>
      <c r="D85" s="31">
        <v>1</v>
      </c>
      <c r="E85" s="30" t="s">
        <v>268</v>
      </c>
      <c r="F85" s="31">
        <v>185</v>
      </c>
      <c r="G85" s="32"/>
      <c r="H85" s="32">
        <v>1.869</v>
      </c>
      <c r="I85" s="32">
        <v>1.8640000000000001</v>
      </c>
      <c r="J85" s="33">
        <f t="shared" si="9"/>
        <v>4.9999999999998934E-3</v>
      </c>
      <c r="K85" s="34" t="str">
        <f t="shared" si="8"/>
        <v/>
      </c>
      <c r="L85" s="35">
        <f t="shared" si="10"/>
        <v>7.4</v>
      </c>
      <c r="M85" s="36" t="str">
        <f t="shared" si="11"/>
        <v/>
      </c>
      <c r="N85" s="37" t="s">
        <v>16</v>
      </c>
      <c r="O85" s="29">
        <v>1</v>
      </c>
      <c r="P85" s="38">
        <v>25</v>
      </c>
      <c r="Q85" s="28"/>
      <c r="R85" s="28" t="s">
        <v>584</v>
      </c>
      <c r="S85" s="39"/>
      <c r="T85" s="28"/>
      <c r="U85" s="28" t="s">
        <v>31</v>
      </c>
    </row>
    <row r="86" spans="1:21" s="27" customFormat="1" x14ac:dyDescent="0.25">
      <c r="A86" s="28" t="s">
        <v>21</v>
      </c>
      <c r="B86" s="28" t="s">
        <v>563</v>
      </c>
      <c r="C86" s="28" t="s">
        <v>21</v>
      </c>
      <c r="D86" s="31">
        <v>1</v>
      </c>
      <c r="E86" s="30" t="s">
        <v>589</v>
      </c>
      <c r="F86" s="31">
        <v>185</v>
      </c>
      <c r="G86" s="32"/>
      <c r="H86" s="32">
        <v>1.865</v>
      </c>
      <c r="I86" s="32">
        <v>1.8580000000000001</v>
      </c>
      <c r="J86" s="33">
        <f t="shared" si="9"/>
        <v>6.9999999999998952E-3</v>
      </c>
      <c r="K86" s="34" t="str">
        <f t="shared" si="8"/>
        <v/>
      </c>
      <c r="L86" s="35">
        <f t="shared" si="10"/>
        <v>7.4</v>
      </c>
      <c r="M86" s="36" t="str">
        <f t="shared" si="11"/>
        <v/>
      </c>
      <c r="N86" s="37" t="s">
        <v>16</v>
      </c>
      <c r="O86" s="29">
        <v>1</v>
      </c>
      <c r="P86" s="38">
        <v>25</v>
      </c>
      <c r="Q86" s="28"/>
      <c r="R86" s="28" t="s">
        <v>588</v>
      </c>
      <c r="S86" s="39"/>
      <c r="T86" s="28"/>
      <c r="U86" s="28" t="s">
        <v>31</v>
      </c>
    </row>
    <row r="87" spans="1:21" s="27" customFormat="1" x14ac:dyDescent="0.25">
      <c r="A87" s="28" t="s">
        <v>21</v>
      </c>
      <c r="B87" s="28" t="s">
        <v>564</v>
      </c>
      <c r="C87" s="28" t="s">
        <v>21</v>
      </c>
      <c r="D87" s="31">
        <v>1</v>
      </c>
      <c r="E87" s="30" t="s">
        <v>132</v>
      </c>
      <c r="F87" s="31">
        <v>184</v>
      </c>
      <c r="G87" s="32"/>
      <c r="H87" s="32">
        <v>1.859</v>
      </c>
      <c r="I87" s="32">
        <v>1.8540000000000001</v>
      </c>
      <c r="J87" s="33">
        <f t="shared" si="9"/>
        <v>4.9999999999998934E-3</v>
      </c>
      <c r="K87" s="34" t="str">
        <f t="shared" si="8"/>
        <v/>
      </c>
      <c r="L87" s="35">
        <f t="shared" si="10"/>
        <v>7.36</v>
      </c>
      <c r="M87" s="36" t="str">
        <f t="shared" si="11"/>
        <v/>
      </c>
      <c r="N87" s="37" t="s">
        <v>16</v>
      </c>
      <c r="O87" s="29">
        <v>1</v>
      </c>
      <c r="P87" s="38">
        <v>25</v>
      </c>
      <c r="Q87" s="28"/>
      <c r="R87" s="28" t="s">
        <v>581</v>
      </c>
      <c r="S87" s="39"/>
      <c r="T87" s="28"/>
      <c r="U87" s="28" t="s">
        <v>31</v>
      </c>
    </row>
    <row r="88" spans="1:21" s="27" customFormat="1" x14ac:dyDescent="0.25">
      <c r="A88" s="28" t="s">
        <v>21</v>
      </c>
      <c r="B88" s="28" t="s">
        <v>565</v>
      </c>
      <c r="C88" s="28" t="s">
        <v>21</v>
      </c>
      <c r="D88" s="31">
        <v>1</v>
      </c>
      <c r="E88" s="30" t="s">
        <v>132</v>
      </c>
      <c r="F88" s="31">
        <v>184</v>
      </c>
      <c r="G88" s="32"/>
      <c r="H88" s="32">
        <v>1.871</v>
      </c>
      <c r="I88" s="32">
        <v>1.865</v>
      </c>
      <c r="J88" s="33">
        <f t="shared" si="9"/>
        <v>6.0000000000000053E-3</v>
      </c>
      <c r="K88" s="34" t="str">
        <f t="shared" si="8"/>
        <v/>
      </c>
      <c r="L88" s="35">
        <f t="shared" si="10"/>
        <v>7.36</v>
      </c>
      <c r="M88" s="36" t="str">
        <f t="shared" si="11"/>
        <v/>
      </c>
      <c r="N88" s="37" t="s">
        <v>16</v>
      </c>
      <c r="O88" s="29">
        <v>1</v>
      </c>
      <c r="P88" s="38">
        <v>25</v>
      </c>
      <c r="Q88" s="28"/>
      <c r="R88" s="28" t="s">
        <v>586</v>
      </c>
      <c r="S88" s="39"/>
      <c r="T88" s="28"/>
      <c r="U88" s="28" t="s">
        <v>31</v>
      </c>
    </row>
    <row r="89" spans="1:21" s="27" customFormat="1" x14ac:dyDescent="0.25">
      <c r="A89" s="28" t="s">
        <v>590</v>
      </c>
      <c r="B89" s="28" t="s">
        <v>591</v>
      </c>
      <c r="C89" s="28">
        <v>698228</v>
      </c>
      <c r="D89" s="31">
        <v>1</v>
      </c>
      <c r="E89" s="30" t="s">
        <v>133</v>
      </c>
      <c r="F89" s="31">
        <v>186</v>
      </c>
      <c r="G89" s="32"/>
      <c r="H89" s="32">
        <v>1.8720000000000001</v>
      </c>
      <c r="I89" s="32">
        <v>1.867</v>
      </c>
      <c r="J89" s="33">
        <f t="shared" ref="J89:J103" si="12">IF(O89&lt;&gt;"",(H89-I89)/O89,"")</f>
        <v>5.0000000000001155E-3</v>
      </c>
      <c r="K89" s="34" t="str">
        <f t="shared" si="8"/>
        <v/>
      </c>
      <c r="L89" s="35">
        <f t="shared" ref="L89:L103" si="13">F89/(O89*P89)</f>
        <v>7.44</v>
      </c>
      <c r="M89" s="36" t="str">
        <f t="shared" ref="M89:M103" si="14">IF(L89=0,"",IF(OR(L89&lt;7,L89&gt;7.8),"X",""))</f>
        <v/>
      </c>
      <c r="N89" s="37" t="s">
        <v>16</v>
      </c>
      <c r="O89" s="29">
        <v>1</v>
      </c>
      <c r="P89" s="38">
        <v>25</v>
      </c>
      <c r="Q89" s="28"/>
      <c r="R89" s="28" t="s">
        <v>607</v>
      </c>
      <c r="S89" s="39"/>
      <c r="T89" s="28"/>
      <c r="U89" s="28" t="s">
        <v>31</v>
      </c>
    </row>
    <row r="90" spans="1:21" s="27" customFormat="1" x14ac:dyDescent="0.25">
      <c r="A90" s="28" t="s">
        <v>21</v>
      </c>
      <c r="B90" s="28" t="s">
        <v>592</v>
      </c>
      <c r="C90" s="28" t="s">
        <v>21</v>
      </c>
      <c r="D90" s="31">
        <v>1</v>
      </c>
      <c r="E90" s="30" t="s">
        <v>646</v>
      </c>
      <c r="F90" s="31">
        <v>186</v>
      </c>
      <c r="G90" s="32"/>
      <c r="H90" s="32">
        <v>1.8640000000000001</v>
      </c>
      <c r="I90" s="32">
        <v>1.859</v>
      </c>
      <c r="J90" s="33">
        <f t="shared" si="12"/>
        <v>5.0000000000001155E-3</v>
      </c>
      <c r="K90" s="34" t="str">
        <f t="shared" si="8"/>
        <v/>
      </c>
      <c r="L90" s="35">
        <f t="shared" si="13"/>
        <v>7.44</v>
      </c>
      <c r="M90" s="36" t="str">
        <f t="shared" si="14"/>
        <v/>
      </c>
      <c r="N90" s="37" t="s">
        <v>16</v>
      </c>
      <c r="O90" s="29">
        <v>1</v>
      </c>
      <c r="P90" s="38">
        <v>25</v>
      </c>
      <c r="Q90" s="28"/>
      <c r="R90" s="28" t="s">
        <v>606</v>
      </c>
      <c r="S90" s="39"/>
      <c r="T90" s="28"/>
      <c r="U90" s="28" t="s">
        <v>31</v>
      </c>
    </row>
    <row r="91" spans="1:21" s="27" customFormat="1" x14ac:dyDescent="0.25">
      <c r="A91" s="28" t="s">
        <v>21</v>
      </c>
      <c r="B91" s="28" t="s">
        <v>593</v>
      </c>
      <c r="C91" s="28" t="s">
        <v>21</v>
      </c>
      <c r="D91" s="31">
        <v>1</v>
      </c>
      <c r="E91" s="30" t="s">
        <v>645</v>
      </c>
      <c r="F91" s="31">
        <v>185</v>
      </c>
      <c r="G91" s="32"/>
      <c r="H91" s="32">
        <v>1.877</v>
      </c>
      <c r="I91" s="32">
        <v>1.871</v>
      </c>
      <c r="J91" s="33">
        <f t="shared" si="12"/>
        <v>6.0000000000000053E-3</v>
      </c>
      <c r="K91" s="34" t="str">
        <f t="shared" si="8"/>
        <v/>
      </c>
      <c r="L91" s="35">
        <f t="shared" si="13"/>
        <v>7.4</v>
      </c>
      <c r="M91" s="36" t="str">
        <f t="shared" si="14"/>
        <v/>
      </c>
      <c r="N91" s="37" t="s">
        <v>16</v>
      </c>
      <c r="O91" s="29">
        <v>1</v>
      </c>
      <c r="P91" s="38">
        <v>25</v>
      </c>
      <c r="Q91" s="28"/>
      <c r="R91" s="28" t="s">
        <v>610</v>
      </c>
      <c r="S91" s="39"/>
      <c r="T91" s="28"/>
      <c r="U91" s="28" t="s">
        <v>31</v>
      </c>
    </row>
    <row r="92" spans="1:21" s="27" customFormat="1" x14ac:dyDescent="0.25">
      <c r="A92" s="28" t="s">
        <v>21</v>
      </c>
      <c r="B92" s="28" t="s">
        <v>594</v>
      </c>
      <c r="C92" s="28" t="s">
        <v>21</v>
      </c>
      <c r="D92" s="31">
        <v>1</v>
      </c>
      <c r="E92" s="30" t="s">
        <v>539</v>
      </c>
      <c r="F92" s="31">
        <v>186</v>
      </c>
      <c r="G92" s="32"/>
      <c r="H92" s="32">
        <v>1.867</v>
      </c>
      <c r="I92" s="32">
        <v>1.861</v>
      </c>
      <c r="J92" s="33">
        <f t="shared" si="12"/>
        <v>6.0000000000000053E-3</v>
      </c>
      <c r="K92" s="34" t="str">
        <f t="shared" si="8"/>
        <v/>
      </c>
      <c r="L92" s="35">
        <f t="shared" si="13"/>
        <v>7.44</v>
      </c>
      <c r="M92" s="36" t="str">
        <f t="shared" si="14"/>
        <v/>
      </c>
      <c r="N92" s="37" t="s">
        <v>16</v>
      </c>
      <c r="O92" s="29">
        <v>1</v>
      </c>
      <c r="P92" s="38">
        <v>25</v>
      </c>
      <c r="Q92" s="28"/>
      <c r="R92" s="28" t="s">
        <v>611</v>
      </c>
      <c r="S92" s="39"/>
      <c r="T92" s="28"/>
      <c r="U92" s="28" t="s">
        <v>31</v>
      </c>
    </row>
    <row r="93" spans="1:21" s="27" customFormat="1" x14ac:dyDescent="0.25">
      <c r="A93" s="28" t="s">
        <v>21</v>
      </c>
      <c r="B93" s="28" t="s">
        <v>595</v>
      </c>
      <c r="C93" s="28" t="s">
        <v>21</v>
      </c>
      <c r="D93" s="31">
        <v>1</v>
      </c>
      <c r="E93" s="30" t="s">
        <v>360</v>
      </c>
      <c r="F93" s="31">
        <v>186</v>
      </c>
      <c r="G93" s="32"/>
      <c r="H93" s="32">
        <v>1.863</v>
      </c>
      <c r="I93" s="32">
        <v>1.8580000000000001</v>
      </c>
      <c r="J93" s="33">
        <f t="shared" si="12"/>
        <v>4.9999999999998934E-3</v>
      </c>
      <c r="K93" s="34" t="str">
        <f t="shared" si="8"/>
        <v/>
      </c>
      <c r="L93" s="35">
        <f t="shared" si="13"/>
        <v>7.44</v>
      </c>
      <c r="M93" s="36" t="str">
        <f t="shared" si="14"/>
        <v/>
      </c>
      <c r="N93" s="37" t="s">
        <v>16</v>
      </c>
      <c r="O93" s="29">
        <v>1</v>
      </c>
      <c r="P93" s="38">
        <v>25</v>
      </c>
      <c r="Q93" s="28"/>
      <c r="R93" s="28" t="s">
        <v>613</v>
      </c>
      <c r="S93" s="39"/>
      <c r="T93" s="28"/>
      <c r="U93" s="28" t="s">
        <v>31</v>
      </c>
    </row>
    <row r="94" spans="1:21" s="27" customFormat="1" x14ac:dyDescent="0.25">
      <c r="A94" s="28" t="s">
        <v>21</v>
      </c>
      <c r="B94" s="28" t="s">
        <v>596</v>
      </c>
      <c r="C94" s="28" t="s">
        <v>21</v>
      </c>
      <c r="D94" s="31">
        <v>1</v>
      </c>
      <c r="E94" s="30" t="s">
        <v>360</v>
      </c>
      <c r="F94" s="31">
        <v>185</v>
      </c>
      <c r="G94" s="32"/>
      <c r="H94" s="32">
        <v>1.879</v>
      </c>
      <c r="I94" s="32">
        <v>1.8740000000000001</v>
      </c>
      <c r="J94" s="33">
        <f t="shared" si="12"/>
        <v>4.9999999999998934E-3</v>
      </c>
      <c r="K94" s="34" t="str">
        <f t="shared" si="8"/>
        <v/>
      </c>
      <c r="L94" s="35">
        <f t="shared" si="13"/>
        <v>7.4</v>
      </c>
      <c r="M94" s="36" t="str">
        <f t="shared" si="14"/>
        <v/>
      </c>
      <c r="N94" s="37" t="s">
        <v>16</v>
      </c>
      <c r="O94" s="29">
        <v>1</v>
      </c>
      <c r="P94" s="38">
        <v>25</v>
      </c>
      <c r="Q94" s="28"/>
      <c r="R94" s="28" t="s">
        <v>615</v>
      </c>
      <c r="S94" s="39"/>
      <c r="T94" s="28"/>
      <c r="U94" s="28" t="s">
        <v>31</v>
      </c>
    </row>
    <row r="95" spans="1:21" s="27" customFormat="1" x14ac:dyDescent="0.25">
      <c r="A95" s="28" t="s">
        <v>21</v>
      </c>
      <c r="B95" s="28" t="s">
        <v>597</v>
      </c>
      <c r="C95" s="28" t="s">
        <v>21</v>
      </c>
      <c r="D95" s="31">
        <v>1</v>
      </c>
      <c r="E95" s="30" t="s">
        <v>129</v>
      </c>
      <c r="F95" s="31">
        <v>184</v>
      </c>
      <c r="G95" s="32"/>
      <c r="H95" s="32">
        <v>1.863</v>
      </c>
      <c r="I95" s="32">
        <v>1.8580000000000001</v>
      </c>
      <c r="J95" s="33">
        <f t="shared" si="12"/>
        <v>4.9999999999998934E-3</v>
      </c>
      <c r="K95" s="34" t="str">
        <f t="shared" si="8"/>
        <v/>
      </c>
      <c r="L95" s="35">
        <f t="shared" si="13"/>
        <v>7.36</v>
      </c>
      <c r="M95" s="36" t="str">
        <f t="shared" si="14"/>
        <v/>
      </c>
      <c r="N95" s="37" t="s">
        <v>16</v>
      </c>
      <c r="O95" s="29">
        <v>1</v>
      </c>
      <c r="P95" s="38">
        <v>25</v>
      </c>
      <c r="Q95" s="28"/>
      <c r="R95" s="28" t="s">
        <v>614</v>
      </c>
      <c r="S95" s="39"/>
      <c r="T95" s="28"/>
      <c r="U95" s="28" t="s">
        <v>31</v>
      </c>
    </row>
    <row r="96" spans="1:21" s="27" customFormat="1" x14ac:dyDescent="0.25">
      <c r="A96" s="28" t="s">
        <v>21</v>
      </c>
      <c r="B96" s="28" t="s">
        <v>598</v>
      </c>
      <c r="C96" s="28" t="s">
        <v>21</v>
      </c>
      <c r="D96" s="31">
        <v>1</v>
      </c>
      <c r="E96" s="30" t="s">
        <v>132</v>
      </c>
      <c r="F96" s="31">
        <v>184</v>
      </c>
      <c r="G96" s="32"/>
      <c r="H96" s="32">
        <v>1.859</v>
      </c>
      <c r="I96" s="32">
        <v>1.853</v>
      </c>
      <c r="J96" s="33">
        <f t="shared" si="12"/>
        <v>6.0000000000000053E-3</v>
      </c>
      <c r="K96" s="34" t="str">
        <f t="shared" si="8"/>
        <v/>
      </c>
      <c r="L96" s="35">
        <f t="shared" si="13"/>
        <v>7.36</v>
      </c>
      <c r="M96" s="36" t="str">
        <f t="shared" si="14"/>
        <v/>
      </c>
      <c r="N96" s="37" t="s">
        <v>16</v>
      </c>
      <c r="O96" s="29">
        <v>1</v>
      </c>
      <c r="P96" s="38">
        <v>25</v>
      </c>
      <c r="Q96" s="28"/>
      <c r="R96" s="28" t="s">
        <v>616</v>
      </c>
      <c r="S96" s="39"/>
      <c r="T96" s="28"/>
      <c r="U96" s="28" t="s">
        <v>31</v>
      </c>
    </row>
    <row r="97" spans="1:21" s="27" customFormat="1" x14ac:dyDescent="0.25">
      <c r="A97" s="28" t="s">
        <v>21</v>
      </c>
      <c r="B97" s="28" t="s">
        <v>599</v>
      </c>
      <c r="C97" s="28" t="s">
        <v>21</v>
      </c>
      <c r="D97" s="31">
        <v>1</v>
      </c>
      <c r="E97" s="30" t="s">
        <v>129</v>
      </c>
      <c r="F97" s="31">
        <v>183</v>
      </c>
      <c r="G97" s="32"/>
      <c r="H97" s="32">
        <v>1.8440000000000001</v>
      </c>
      <c r="I97" s="32">
        <v>1.8380000000000001</v>
      </c>
      <c r="J97" s="33">
        <f t="shared" si="12"/>
        <v>6.0000000000000053E-3</v>
      </c>
      <c r="K97" s="34" t="str">
        <f t="shared" si="8"/>
        <v/>
      </c>
      <c r="L97" s="35">
        <f t="shared" si="13"/>
        <v>7.32</v>
      </c>
      <c r="M97" s="36" t="str">
        <f t="shared" si="14"/>
        <v/>
      </c>
      <c r="N97" s="37" t="s">
        <v>16</v>
      </c>
      <c r="O97" s="29">
        <v>1</v>
      </c>
      <c r="P97" s="38">
        <v>25</v>
      </c>
      <c r="Q97" s="28"/>
      <c r="R97" s="28" t="s">
        <v>608</v>
      </c>
      <c r="S97" s="39"/>
      <c r="T97" s="28"/>
      <c r="U97" s="28" t="s">
        <v>31</v>
      </c>
    </row>
    <row r="98" spans="1:21" s="27" customFormat="1" x14ac:dyDescent="0.25">
      <c r="A98" s="28" t="s">
        <v>21</v>
      </c>
      <c r="B98" s="28" t="s">
        <v>600</v>
      </c>
      <c r="C98" s="28" t="s">
        <v>21</v>
      </c>
      <c r="D98" s="31">
        <v>1</v>
      </c>
      <c r="E98" s="30" t="s">
        <v>644</v>
      </c>
      <c r="F98" s="31">
        <v>184</v>
      </c>
      <c r="G98" s="32"/>
      <c r="H98" s="32">
        <v>1.8380000000000001</v>
      </c>
      <c r="I98" s="32">
        <v>1.833</v>
      </c>
      <c r="J98" s="33">
        <f t="shared" si="12"/>
        <v>5.0000000000001155E-3</v>
      </c>
      <c r="K98" s="34" t="str">
        <f t="shared" si="8"/>
        <v/>
      </c>
      <c r="L98" s="35">
        <f t="shared" si="13"/>
        <v>7.36</v>
      </c>
      <c r="M98" s="36" t="str">
        <f t="shared" si="14"/>
        <v/>
      </c>
      <c r="N98" s="37" t="s">
        <v>16</v>
      </c>
      <c r="O98" s="29">
        <v>1</v>
      </c>
      <c r="P98" s="38">
        <v>25</v>
      </c>
      <c r="Q98" s="28"/>
      <c r="R98" s="28" t="s">
        <v>609</v>
      </c>
      <c r="S98" s="39"/>
      <c r="T98" s="28"/>
      <c r="U98" s="28" t="s">
        <v>31</v>
      </c>
    </row>
    <row r="99" spans="1:21" s="27" customFormat="1" x14ac:dyDescent="0.25">
      <c r="A99" s="28" t="s">
        <v>21</v>
      </c>
      <c r="B99" s="28" t="s">
        <v>601</v>
      </c>
      <c r="C99" s="28" t="s">
        <v>21</v>
      </c>
      <c r="D99" s="31">
        <v>1</v>
      </c>
      <c r="E99" s="30" t="s">
        <v>269</v>
      </c>
      <c r="F99" s="31">
        <v>185</v>
      </c>
      <c r="G99" s="32"/>
      <c r="H99" s="32">
        <v>1.8759999999999999</v>
      </c>
      <c r="I99" s="32">
        <v>1.871</v>
      </c>
      <c r="J99" s="33">
        <f t="shared" si="12"/>
        <v>4.9999999999998934E-3</v>
      </c>
      <c r="K99" s="34" t="str">
        <f t="shared" si="8"/>
        <v/>
      </c>
      <c r="L99" s="35">
        <f t="shared" si="13"/>
        <v>7.4</v>
      </c>
      <c r="M99" s="36" t="str">
        <f t="shared" si="14"/>
        <v/>
      </c>
      <c r="N99" s="37" t="s">
        <v>16</v>
      </c>
      <c r="O99" s="29">
        <v>1</v>
      </c>
      <c r="P99" s="38">
        <v>25</v>
      </c>
      <c r="Q99" s="28"/>
      <c r="R99" s="28" t="s">
        <v>612</v>
      </c>
      <c r="S99" s="39"/>
      <c r="T99" s="28"/>
      <c r="U99" s="28" t="s">
        <v>31</v>
      </c>
    </row>
    <row r="100" spans="1:21" s="27" customFormat="1" x14ac:dyDescent="0.25">
      <c r="A100" s="28" t="s">
        <v>21</v>
      </c>
      <c r="B100" s="28" t="s">
        <v>602</v>
      </c>
      <c r="C100" s="28" t="s">
        <v>21</v>
      </c>
      <c r="D100" s="31">
        <v>1</v>
      </c>
      <c r="E100" s="30" t="s">
        <v>441</v>
      </c>
      <c r="F100" s="31">
        <v>186</v>
      </c>
      <c r="G100" s="32"/>
      <c r="H100" s="32">
        <v>1.8759999999999999</v>
      </c>
      <c r="I100" s="32">
        <v>1.871</v>
      </c>
      <c r="J100" s="33">
        <f t="shared" si="12"/>
        <v>4.9999999999998934E-3</v>
      </c>
      <c r="K100" s="34" t="str">
        <f t="shared" si="8"/>
        <v/>
      </c>
      <c r="L100" s="35">
        <f t="shared" si="13"/>
        <v>7.44</v>
      </c>
      <c r="M100" s="36" t="str">
        <f t="shared" si="14"/>
        <v/>
      </c>
      <c r="N100" s="37" t="s">
        <v>16</v>
      </c>
      <c r="O100" s="29">
        <v>1</v>
      </c>
      <c r="P100" s="38">
        <v>25</v>
      </c>
      <c r="Q100" s="28"/>
      <c r="R100" s="28" t="s">
        <v>617</v>
      </c>
      <c r="S100" s="39"/>
      <c r="T100" s="28"/>
      <c r="U100" s="28" t="s">
        <v>31</v>
      </c>
    </row>
    <row r="101" spans="1:21" s="27" customFormat="1" x14ac:dyDescent="0.25">
      <c r="A101" s="28" t="s">
        <v>21</v>
      </c>
      <c r="B101" s="28" t="s">
        <v>603</v>
      </c>
      <c r="C101" s="28">
        <v>698228</v>
      </c>
      <c r="D101" s="31">
        <v>1</v>
      </c>
      <c r="E101" s="30" t="s">
        <v>359</v>
      </c>
      <c r="F101" s="31">
        <v>183</v>
      </c>
      <c r="G101" s="32"/>
      <c r="H101" s="32">
        <v>1.8680000000000001</v>
      </c>
      <c r="I101" s="32">
        <v>1.863</v>
      </c>
      <c r="J101" s="33">
        <f t="shared" si="12"/>
        <v>5.0000000000001155E-3</v>
      </c>
      <c r="K101" s="34" t="str">
        <f t="shared" si="8"/>
        <v/>
      </c>
      <c r="L101" s="35">
        <f t="shared" si="13"/>
        <v>7.32</v>
      </c>
      <c r="M101" s="36" t="str">
        <f t="shared" si="14"/>
        <v/>
      </c>
      <c r="N101" s="37" t="s">
        <v>16</v>
      </c>
      <c r="O101" s="29">
        <v>1</v>
      </c>
      <c r="P101" s="38">
        <v>25</v>
      </c>
      <c r="Q101" s="28"/>
      <c r="R101" s="28" t="s">
        <v>618</v>
      </c>
      <c r="S101" s="39"/>
      <c r="T101" s="28"/>
      <c r="U101" s="28" t="s">
        <v>31</v>
      </c>
    </row>
    <row r="102" spans="1:21" s="27" customFormat="1" x14ac:dyDescent="0.25">
      <c r="A102" s="28" t="s">
        <v>21</v>
      </c>
      <c r="B102" s="28" t="s">
        <v>604</v>
      </c>
      <c r="C102" s="28" t="s">
        <v>21</v>
      </c>
      <c r="D102" s="31">
        <v>1</v>
      </c>
      <c r="E102" s="30" t="s">
        <v>359</v>
      </c>
      <c r="F102" s="31">
        <v>186</v>
      </c>
      <c r="G102" s="32"/>
      <c r="H102" s="32">
        <v>1.859</v>
      </c>
      <c r="I102" s="32">
        <v>1.853</v>
      </c>
      <c r="J102" s="33">
        <f t="shared" si="12"/>
        <v>6.0000000000000053E-3</v>
      </c>
      <c r="K102" s="34" t="str">
        <f t="shared" si="8"/>
        <v/>
      </c>
      <c r="L102" s="35">
        <f t="shared" si="13"/>
        <v>7.44</v>
      </c>
      <c r="M102" s="36" t="str">
        <f t="shared" si="14"/>
        <v/>
      </c>
      <c r="N102" s="37" t="s">
        <v>16</v>
      </c>
      <c r="O102" s="29">
        <v>1</v>
      </c>
      <c r="P102" s="38">
        <v>25</v>
      </c>
      <c r="Q102" s="28"/>
      <c r="R102" s="28" t="s">
        <v>619</v>
      </c>
      <c r="S102" s="39"/>
      <c r="T102" s="28"/>
      <c r="U102" s="28" t="s">
        <v>31</v>
      </c>
    </row>
    <row r="103" spans="1:21" s="27" customFormat="1" x14ac:dyDescent="0.25">
      <c r="A103" s="28" t="s">
        <v>21</v>
      </c>
      <c r="B103" s="28" t="s">
        <v>605</v>
      </c>
      <c r="C103" s="28" t="s">
        <v>21</v>
      </c>
      <c r="D103" s="31">
        <v>1</v>
      </c>
      <c r="E103" s="30" t="s">
        <v>240</v>
      </c>
      <c r="F103" s="31">
        <v>186</v>
      </c>
      <c r="G103" s="32"/>
      <c r="H103" s="32">
        <v>1.869</v>
      </c>
      <c r="I103" s="32">
        <v>1.8640000000000001</v>
      </c>
      <c r="J103" s="33">
        <f t="shared" si="12"/>
        <v>4.9999999999998934E-3</v>
      </c>
      <c r="K103" s="34" t="str">
        <f t="shared" si="8"/>
        <v/>
      </c>
      <c r="L103" s="35">
        <f t="shared" si="13"/>
        <v>7.44</v>
      </c>
      <c r="M103" s="36" t="str">
        <f t="shared" si="14"/>
        <v/>
      </c>
      <c r="N103" s="37" t="s">
        <v>16</v>
      </c>
      <c r="O103" s="29">
        <v>1</v>
      </c>
      <c r="P103" s="38">
        <v>25</v>
      </c>
      <c r="Q103" s="28"/>
      <c r="R103" s="28" t="s">
        <v>620</v>
      </c>
      <c r="S103" s="39"/>
      <c r="T103" s="28"/>
      <c r="U103" s="28" t="s">
        <v>31</v>
      </c>
    </row>
    <row r="104" spans="1:21" s="27" customFormat="1" x14ac:dyDescent="0.25">
      <c r="A104" s="28" t="s">
        <v>621</v>
      </c>
      <c r="B104" s="28" t="s">
        <v>622</v>
      </c>
      <c r="C104" s="72">
        <v>775089</v>
      </c>
      <c r="D104" s="31">
        <v>1</v>
      </c>
      <c r="E104" s="70" t="s">
        <v>233</v>
      </c>
      <c r="F104" s="45">
        <v>900</v>
      </c>
      <c r="G104" s="32">
        <v>1.8819999999999999</v>
      </c>
      <c r="H104" s="32">
        <v>5.6440000000000001</v>
      </c>
      <c r="I104" s="32">
        <v>5.6219999999999999</v>
      </c>
      <c r="J104" s="33">
        <f>IF(O104&lt;&gt;"",(H104-I104)/O104,"")</f>
        <v>7.3333333333334139E-3</v>
      </c>
      <c r="K104" s="34" t="str">
        <f t="shared" si="8"/>
        <v/>
      </c>
      <c r="L104" s="35">
        <f>F104/(O104*P104)</f>
        <v>7.5</v>
      </c>
      <c r="M104" s="36" t="str">
        <f>IF(L104=0,"",IF(OR(L104&lt;7,L104&gt;7.8),"X",""))</f>
        <v/>
      </c>
      <c r="N104" s="37" t="s">
        <v>23</v>
      </c>
      <c r="O104" s="29">
        <v>3</v>
      </c>
      <c r="P104" s="38">
        <v>40</v>
      </c>
      <c r="Q104" s="28"/>
      <c r="R104" s="28" t="s">
        <v>632</v>
      </c>
      <c r="S104" s="71" t="s">
        <v>103</v>
      </c>
      <c r="T104" s="46"/>
      <c r="U104" s="28" t="s">
        <v>31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31">
        <v>1</v>
      </c>
      <c r="E105" s="70"/>
      <c r="F105" s="31"/>
      <c r="G105" s="32">
        <v>1.8859999999999999</v>
      </c>
      <c r="H105" s="32"/>
      <c r="I105" s="32"/>
      <c r="J105" s="33" t="str">
        <f t="shared" ref="J105:J133" si="15">IF(O105&lt;&gt;"",(H105-I105)/O105,"")</f>
        <v/>
      </c>
      <c r="K105" s="34"/>
      <c r="L105" s="35"/>
      <c r="M105" s="36" t="str">
        <f t="shared" ref="M105:M133" si="16">IF(L105=0,"",IF(OR(L105&lt;7.4,L105&gt;8),"X",""))</f>
        <v/>
      </c>
      <c r="N105" s="37"/>
      <c r="O105" s="29"/>
      <c r="P105" s="38"/>
      <c r="Q105" s="28"/>
      <c r="R105" s="28" t="s">
        <v>634</v>
      </c>
      <c r="S105" s="71" t="s">
        <v>59</v>
      </c>
      <c r="T105" s="46"/>
      <c r="U105" s="28" t="s">
        <v>31</v>
      </c>
    </row>
    <row r="106" spans="1:21" s="27" customFormat="1" ht="14.25" customHeight="1" x14ac:dyDescent="0.25">
      <c r="A106" s="28" t="s">
        <v>21</v>
      </c>
      <c r="B106" s="28" t="s">
        <v>21</v>
      </c>
      <c r="C106" s="28" t="s">
        <v>21</v>
      </c>
      <c r="D106" s="31">
        <v>1</v>
      </c>
      <c r="E106" s="70"/>
      <c r="F106" s="31"/>
      <c r="G106" s="32">
        <v>1.8759999999999999</v>
      </c>
      <c r="H106" s="32"/>
      <c r="I106" s="32"/>
      <c r="J106" s="33" t="str">
        <f t="shared" si="15"/>
        <v/>
      </c>
      <c r="K106" s="34"/>
      <c r="L106" s="35"/>
      <c r="M106" s="36" t="str">
        <f t="shared" si="16"/>
        <v/>
      </c>
      <c r="N106" s="37"/>
      <c r="O106" s="29"/>
      <c r="P106" s="38"/>
      <c r="Q106" s="28"/>
      <c r="R106" s="28" t="s">
        <v>635</v>
      </c>
      <c r="S106" s="28" t="s">
        <v>21</v>
      </c>
      <c r="T106" s="46"/>
      <c r="U106" s="28" t="s">
        <v>31</v>
      </c>
    </row>
    <row r="107" spans="1:21" s="27" customFormat="1" x14ac:dyDescent="0.25">
      <c r="A107" s="28" t="s">
        <v>21</v>
      </c>
      <c r="B107" s="28" t="s">
        <v>623</v>
      </c>
      <c r="C107" s="28" t="s">
        <v>21</v>
      </c>
      <c r="D107" s="31">
        <v>1</v>
      </c>
      <c r="E107" s="70" t="s">
        <v>105</v>
      </c>
      <c r="F107" s="45">
        <v>901</v>
      </c>
      <c r="G107" s="32">
        <v>1.885</v>
      </c>
      <c r="H107" s="32">
        <v>5.6529999999999996</v>
      </c>
      <c r="I107" s="32">
        <v>5.63</v>
      </c>
      <c r="J107" s="33">
        <f>IF(O107&lt;&gt;"",(H107-I107)/O107,"")</f>
        <v>7.6666666666665622E-3</v>
      </c>
      <c r="K107" s="34" t="str">
        <f t="shared" si="8"/>
        <v/>
      </c>
      <c r="L107" s="35">
        <f>F107/(O107*P107)</f>
        <v>7.5083333333333337</v>
      </c>
      <c r="M107" s="36" t="str">
        <f>IF(L107=0,"",IF(OR(L107&lt;7,L107&gt;7.8),"X",""))</f>
        <v/>
      </c>
      <c r="N107" s="37" t="s">
        <v>23</v>
      </c>
      <c r="O107" s="29">
        <v>3</v>
      </c>
      <c r="P107" s="38">
        <v>40</v>
      </c>
      <c r="Q107" s="28"/>
      <c r="R107" s="28" t="s">
        <v>636</v>
      </c>
      <c r="S107" s="28" t="s">
        <v>21</v>
      </c>
      <c r="T107" s="46"/>
      <c r="U107" s="28" t="s">
        <v>31</v>
      </c>
    </row>
    <row r="108" spans="1:21" s="27" customFormat="1" x14ac:dyDescent="0.25">
      <c r="A108" s="28" t="s">
        <v>21</v>
      </c>
      <c r="B108" s="28" t="s">
        <v>21</v>
      </c>
      <c r="C108" s="28" t="s">
        <v>21</v>
      </c>
      <c r="D108" s="31">
        <v>1</v>
      </c>
      <c r="E108" s="70"/>
      <c r="F108" s="31"/>
      <c r="G108" s="32">
        <v>1.879</v>
      </c>
      <c r="H108" s="32"/>
      <c r="I108" s="32"/>
      <c r="J108" s="33" t="str">
        <f t="shared" si="15"/>
        <v/>
      </c>
      <c r="K108" s="34"/>
      <c r="L108" s="35"/>
      <c r="M108" s="36" t="str">
        <f t="shared" si="16"/>
        <v/>
      </c>
      <c r="N108" s="37"/>
      <c r="O108" s="29"/>
      <c r="P108" s="38"/>
      <c r="Q108" s="28"/>
      <c r="R108" s="28" t="s">
        <v>637</v>
      </c>
      <c r="S108" s="28" t="s">
        <v>21</v>
      </c>
      <c r="T108" s="46"/>
      <c r="U108" s="28" t="s">
        <v>31</v>
      </c>
    </row>
    <row r="109" spans="1:21" s="27" customFormat="1" ht="14.25" customHeight="1" x14ac:dyDescent="0.25">
      <c r="A109" s="28" t="s">
        <v>21</v>
      </c>
      <c r="B109" s="28" t="s">
        <v>21</v>
      </c>
      <c r="C109" s="28" t="s">
        <v>21</v>
      </c>
      <c r="D109" s="31">
        <v>1</v>
      </c>
      <c r="E109" s="70"/>
      <c r="F109" s="31"/>
      <c r="G109" s="32">
        <v>1.887</v>
      </c>
      <c r="H109" s="32"/>
      <c r="I109" s="32"/>
      <c r="J109" s="33" t="str">
        <f t="shared" si="15"/>
        <v/>
      </c>
      <c r="K109" s="34"/>
      <c r="L109" s="35"/>
      <c r="M109" s="36" t="str">
        <f t="shared" si="16"/>
        <v/>
      </c>
      <c r="N109" s="37"/>
      <c r="O109" s="29"/>
      <c r="P109" s="38"/>
      <c r="Q109" s="28"/>
      <c r="R109" s="28" t="s">
        <v>633</v>
      </c>
      <c r="S109" s="28" t="s">
        <v>21</v>
      </c>
      <c r="T109" s="46"/>
      <c r="U109" s="28" t="s">
        <v>31</v>
      </c>
    </row>
    <row r="110" spans="1:21" s="27" customFormat="1" x14ac:dyDescent="0.25">
      <c r="A110" s="28" t="s">
        <v>21</v>
      </c>
      <c r="B110" s="28" t="s">
        <v>624</v>
      </c>
      <c r="C110" s="28" t="s">
        <v>21</v>
      </c>
      <c r="D110" s="31">
        <v>1</v>
      </c>
      <c r="E110" s="70" t="s">
        <v>127</v>
      </c>
      <c r="F110" s="45">
        <v>898</v>
      </c>
      <c r="G110" s="32">
        <v>1.891</v>
      </c>
      <c r="H110" s="32">
        <v>5.665</v>
      </c>
      <c r="I110" s="32">
        <v>5.6440000000000001</v>
      </c>
      <c r="J110" s="33">
        <f>IF(O110&lt;&gt;"",(H110-I110)/O110,"")</f>
        <v>6.9999999999999689E-3</v>
      </c>
      <c r="K110" s="34" t="str">
        <f t="shared" si="8"/>
        <v/>
      </c>
      <c r="L110" s="35">
        <f>F110/(O110*P110)</f>
        <v>7.4833333333333334</v>
      </c>
      <c r="M110" s="36" t="str">
        <f>IF(L110=0,"",IF(OR(L110&lt;7,L110&gt;7.8),"X",""))</f>
        <v/>
      </c>
      <c r="N110" s="37" t="s">
        <v>23</v>
      </c>
      <c r="O110" s="29">
        <v>3</v>
      </c>
      <c r="P110" s="38">
        <v>40</v>
      </c>
      <c r="Q110" s="28"/>
      <c r="R110" s="28" t="s">
        <v>640</v>
      </c>
      <c r="S110" s="28" t="s">
        <v>21</v>
      </c>
      <c r="T110" s="46"/>
      <c r="U110" s="28" t="s">
        <v>31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31">
        <v>1</v>
      </c>
      <c r="E111" s="70"/>
      <c r="F111" s="31"/>
      <c r="G111" s="32">
        <v>1.883</v>
      </c>
      <c r="H111" s="32"/>
      <c r="I111" s="32"/>
      <c r="J111" s="33" t="str">
        <f t="shared" si="15"/>
        <v/>
      </c>
      <c r="K111" s="34"/>
      <c r="L111" s="35"/>
      <c r="M111" s="36" t="str">
        <f t="shared" si="16"/>
        <v/>
      </c>
      <c r="N111" s="37"/>
      <c r="O111" s="29"/>
      <c r="P111" s="38"/>
      <c r="Q111" s="28"/>
      <c r="R111" s="28" t="s">
        <v>641</v>
      </c>
      <c r="S111" s="28" t="s">
        <v>21</v>
      </c>
      <c r="T111" s="46"/>
      <c r="U111" s="28" t="s">
        <v>31</v>
      </c>
    </row>
    <row r="112" spans="1:21" s="27" customFormat="1" ht="14.25" customHeight="1" x14ac:dyDescent="0.25">
      <c r="A112" s="28" t="s">
        <v>21</v>
      </c>
      <c r="B112" s="28" t="s">
        <v>21</v>
      </c>
      <c r="C112" s="28" t="s">
        <v>21</v>
      </c>
      <c r="D112" s="31">
        <v>1</v>
      </c>
      <c r="E112" s="70"/>
      <c r="F112" s="31"/>
      <c r="G112" s="32">
        <v>1.89</v>
      </c>
      <c r="H112" s="32"/>
      <c r="I112" s="32"/>
      <c r="J112" s="33" t="str">
        <f t="shared" si="15"/>
        <v/>
      </c>
      <c r="K112" s="34"/>
      <c r="L112" s="35"/>
      <c r="M112" s="36" t="str">
        <f t="shared" si="16"/>
        <v/>
      </c>
      <c r="N112" s="37"/>
      <c r="O112" s="29"/>
      <c r="P112" s="38"/>
      <c r="Q112" s="28"/>
      <c r="R112" s="28" t="s">
        <v>642</v>
      </c>
      <c r="S112" s="28" t="s">
        <v>21</v>
      </c>
      <c r="T112" s="46"/>
      <c r="U112" s="28" t="s">
        <v>31</v>
      </c>
    </row>
    <row r="113" spans="1:21" s="27" customFormat="1" x14ac:dyDescent="0.25">
      <c r="A113" s="28" t="s">
        <v>21</v>
      </c>
      <c r="B113" s="28" t="s">
        <v>625</v>
      </c>
      <c r="C113" s="28">
        <v>698354</v>
      </c>
      <c r="D113" s="31">
        <v>1</v>
      </c>
      <c r="E113" s="70" t="s">
        <v>62</v>
      </c>
      <c r="F113" s="45">
        <v>895</v>
      </c>
      <c r="G113" s="32">
        <v>1.8440000000000001</v>
      </c>
      <c r="H113" s="32">
        <v>5.5339999999999998</v>
      </c>
      <c r="I113" s="32">
        <v>5.5149999999999997</v>
      </c>
      <c r="J113" s="33">
        <f>IF(O113&lt;&gt;"",(H113-I113)/O113,"")</f>
        <v>6.3333333333333757E-3</v>
      </c>
      <c r="K113" s="34" t="str">
        <f t="shared" si="8"/>
        <v/>
      </c>
      <c r="L113" s="35">
        <f>F113/(O113*P113)</f>
        <v>7.458333333333333</v>
      </c>
      <c r="M113" s="36" t="str">
        <f>IF(L113=0,"",IF(OR(L113&lt;7,L113&gt;7.8),"X",""))</f>
        <v/>
      </c>
      <c r="N113" s="37" t="s">
        <v>23</v>
      </c>
      <c r="O113" s="29">
        <v>3</v>
      </c>
      <c r="P113" s="38">
        <v>40</v>
      </c>
      <c r="Q113" s="28"/>
      <c r="R113" s="28" t="s">
        <v>647</v>
      </c>
      <c r="S113" s="28" t="s">
        <v>21</v>
      </c>
      <c r="T113" s="46"/>
      <c r="U113" s="28" t="s">
        <v>31</v>
      </c>
    </row>
    <row r="114" spans="1:21" s="27" customFormat="1" x14ac:dyDescent="0.25">
      <c r="A114" s="28" t="s">
        <v>21</v>
      </c>
      <c r="B114" s="28" t="s">
        <v>21</v>
      </c>
      <c r="C114" s="28" t="s">
        <v>21</v>
      </c>
      <c r="D114" s="31">
        <v>1</v>
      </c>
      <c r="E114" s="70"/>
      <c r="F114" s="31"/>
      <c r="G114" s="32">
        <v>1.845</v>
      </c>
      <c r="H114" s="32"/>
      <c r="I114" s="32"/>
      <c r="J114" s="33" t="str">
        <f t="shared" si="15"/>
        <v/>
      </c>
      <c r="K114" s="34"/>
      <c r="L114" s="35"/>
      <c r="M114" s="36" t="str">
        <f t="shared" si="16"/>
        <v/>
      </c>
      <c r="N114" s="37"/>
      <c r="O114" s="29"/>
      <c r="P114" s="38"/>
      <c r="Q114" s="28"/>
      <c r="R114" s="28" t="s">
        <v>649</v>
      </c>
      <c r="S114" s="28" t="s">
        <v>21</v>
      </c>
      <c r="T114" s="46"/>
      <c r="U114" s="28" t="s">
        <v>31</v>
      </c>
    </row>
    <row r="115" spans="1:21" s="27" customFormat="1" ht="14.25" customHeight="1" x14ac:dyDescent="0.25">
      <c r="A115" s="28" t="s">
        <v>21</v>
      </c>
      <c r="B115" s="28" t="s">
        <v>21</v>
      </c>
      <c r="C115" s="28" t="s">
        <v>21</v>
      </c>
      <c r="D115" s="31">
        <v>1</v>
      </c>
      <c r="E115" s="70"/>
      <c r="F115" s="31"/>
      <c r="G115" s="32">
        <v>1.845</v>
      </c>
      <c r="H115" s="32"/>
      <c r="I115" s="32"/>
      <c r="J115" s="33" t="str">
        <f t="shared" si="15"/>
        <v/>
      </c>
      <c r="K115" s="34"/>
      <c r="L115" s="35"/>
      <c r="M115" s="36" t="str">
        <f t="shared" si="16"/>
        <v/>
      </c>
      <c r="N115" s="37"/>
      <c r="O115" s="29"/>
      <c r="P115" s="38"/>
      <c r="Q115" s="28"/>
      <c r="R115" s="28" t="s">
        <v>650</v>
      </c>
      <c r="S115" s="28" t="s">
        <v>21</v>
      </c>
      <c r="T115" s="46"/>
      <c r="U115" s="28" t="s">
        <v>31</v>
      </c>
    </row>
    <row r="116" spans="1:21" s="27" customFormat="1" x14ac:dyDescent="0.25">
      <c r="A116" s="28" t="s">
        <v>21</v>
      </c>
      <c r="B116" s="28" t="s">
        <v>626</v>
      </c>
      <c r="C116" s="72">
        <v>775089</v>
      </c>
      <c r="D116" s="31">
        <v>1</v>
      </c>
      <c r="E116" s="70" t="s">
        <v>109</v>
      </c>
      <c r="F116" s="45">
        <v>898</v>
      </c>
      <c r="G116" s="32">
        <v>1.881</v>
      </c>
      <c r="H116" s="32">
        <v>5.6260000000000003</v>
      </c>
      <c r="I116" s="32">
        <v>5.6079999999999997</v>
      </c>
      <c r="J116" s="33">
        <f>IF(O116&lt;&gt;"",(H116-I116)/O116,"")</f>
        <v>6.0000000000002274E-3</v>
      </c>
      <c r="K116" s="34" t="str">
        <f t="shared" si="8"/>
        <v/>
      </c>
      <c r="L116" s="35">
        <f>F116/(O116*P116)</f>
        <v>7.4833333333333334</v>
      </c>
      <c r="M116" s="36" t="str">
        <f>IF(L116=0,"",IF(OR(L116&lt;7,L116&gt;7.8),"X",""))</f>
        <v/>
      </c>
      <c r="N116" s="37" t="s">
        <v>23</v>
      </c>
      <c r="O116" s="29">
        <v>3</v>
      </c>
      <c r="P116" s="38">
        <v>40</v>
      </c>
      <c r="Q116" s="28"/>
      <c r="R116" s="28" t="s">
        <v>638</v>
      </c>
      <c r="S116" s="28" t="s">
        <v>21</v>
      </c>
      <c r="T116" s="46"/>
      <c r="U116" s="28" t="s">
        <v>31</v>
      </c>
    </row>
    <row r="117" spans="1:21" s="27" customFormat="1" x14ac:dyDescent="0.25">
      <c r="A117" s="28" t="s">
        <v>21</v>
      </c>
      <c r="B117" s="28" t="s">
        <v>21</v>
      </c>
      <c r="C117" s="28" t="s">
        <v>21</v>
      </c>
      <c r="D117" s="31">
        <v>1</v>
      </c>
      <c r="E117" s="70"/>
      <c r="F117" s="31"/>
      <c r="G117" s="32">
        <v>1.89</v>
      </c>
      <c r="H117" s="32"/>
      <c r="I117" s="32"/>
      <c r="J117" s="33" t="str">
        <f t="shared" si="15"/>
        <v/>
      </c>
      <c r="K117" s="34"/>
      <c r="L117" s="35"/>
      <c r="M117" s="36" t="str">
        <f t="shared" si="16"/>
        <v/>
      </c>
      <c r="N117" s="37"/>
      <c r="O117" s="29"/>
      <c r="P117" s="38"/>
      <c r="Q117" s="28"/>
      <c r="R117" s="28" t="s">
        <v>639</v>
      </c>
      <c r="S117" s="28" t="s">
        <v>21</v>
      </c>
      <c r="T117" s="46"/>
      <c r="U117" s="28" t="s">
        <v>31</v>
      </c>
    </row>
    <row r="118" spans="1:21" s="27" customFormat="1" ht="14.25" customHeight="1" x14ac:dyDescent="0.25">
      <c r="A118" s="28" t="s">
        <v>21</v>
      </c>
      <c r="B118" s="28" t="s">
        <v>21</v>
      </c>
      <c r="C118" s="28">
        <v>698354</v>
      </c>
      <c r="D118" s="31">
        <v>1</v>
      </c>
      <c r="E118" s="70"/>
      <c r="F118" s="31"/>
      <c r="G118" s="32">
        <v>1.853</v>
      </c>
      <c r="H118" s="32"/>
      <c r="I118" s="32"/>
      <c r="J118" s="33" t="str">
        <f t="shared" si="15"/>
        <v/>
      </c>
      <c r="K118" s="34"/>
      <c r="L118" s="35"/>
      <c r="M118" s="36" t="str">
        <f t="shared" si="16"/>
        <v/>
      </c>
      <c r="N118" s="37"/>
      <c r="O118" s="29"/>
      <c r="P118" s="38"/>
      <c r="Q118" s="28"/>
      <c r="R118" s="28" t="s">
        <v>643</v>
      </c>
      <c r="S118" s="28" t="s">
        <v>21</v>
      </c>
      <c r="T118" s="46"/>
      <c r="U118" s="28" t="s">
        <v>31</v>
      </c>
    </row>
    <row r="119" spans="1:21" s="27" customFormat="1" x14ac:dyDescent="0.25">
      <c r="A119" s="28" t="s">
        <v>21</v>
      </c>
      <c r="B119" s="28" t="s">
        <v>627</v>
      </c>
      <c r="C119" s="28" t="s">
        <v>21</v>
      </c>
      <c r="D119" s="31">
        <v>1</v>
      </c>
      <c r="E119" s="70" t="s">
        <v>270</v>
      </c>
      <c r="F119" s="45">
        <v>897</v>
      </c>
      <c r="G119" s="32">
        <v>1.8520000000000001</v>
      </c>
      <c r="H119" s="32">
        <v>5.5410000000000004</v>
      </c>
      <c r="I119" s="32">
        <v>5.52</v>
      </c>
      <c r="J119" s="33">
        <f>IF(O119&lt;&gt;"",(H119-I119)/O119,"")</f>
        <v>7.0000000000002656E-3</v>
      </c>
      <c r="K119" s="34" t="str">
        <f t="shared" si="8"/>
        <v/>
      </c>
      <c r="L119" s="35">
        <f>F119/(O119*P119)</f>
        <v>7.4749999999999996</v>
      </c>
      <c r="M119" s="36" t="str">
        <f>IF(L119=0,"",IF(OR(L119&lt;7,L119&gt;7.8),"X",""))</f>
        <v/>
      </c>
      <c r="N119" s="37" t="s">
        <v>23</v>
      </c>
      <c r="O119" s="29">
        <v>3</v>
      </c>
      <c r="P119" s="38">
        <v>40</v>
      </c>
      <c r="Q119" s="28"/>
      <c r="R119" s="28" t="s">
        <v>651</v>
      </c>
      <c r="S119" s="71" t="s">
        <v>58</v>
      </c>
      <c r="T119" s="46"/>
      <c r="U119" s="28" t="s">
        <v>31</v>
      </c>
    </row>
    <row r="120" spans="1:21" s="27" customFormat="1" x14ac:dyDescent="0.25">
      <c r="A120" s="28" t="s">
        <v>21</v>
      </c>
      <c r="B120" s="28" t="s">
        <v>21</v>
      </c>
      <c r="C120" s="28" t="s">
        <v>21</v>
      </c>
      <c r="D120" s="31">
        <v>1</v>
      </c>
      <c r="E120" s="70"/>
      <c r="F120" s="31"/>
      <c r="G120" s="32">
        <v>1.8460000000000001</v>
      </c>
      <c r="H120" s="32"/>
      <c r="I120" s="32"/>
      <c r="J120" s="33" t="str">
        <f t="shared" si="15"/>
        <v/>
      </c>
      <c r="K120" s="34"/>
      <c r="L120" s="35"/>
      <c r="M120" s="36" t="str">
        <f t="shared" si="16"/>
        <v/>
      </c>
      <c r="N120" s="37"/>
      <c r="O120" s="29"/>
      <c r="P120" s="38"/>
      <c r="Q120" s="28"/>
      <c r="R120" s="28" t="s">
        <v>648</v>
      </c>
      <c r="S120" s="71" t="s">
        <v>59</v>
      </c>
      <c r="T120" s="46"/>
      <c r="U120" s="28" t="s">
        <v>31</v>
      </c>
    </row>
    <row r="121" spans="1:21" s="27" customFormat="1" ht="14.25" customHeight="1" x14ac:dyDescent="0.25">
      <c r="A121" s="28" t="s">
        <v>21</v>
      </c>
      <c r="B121" s="28" t="s">
        <v>21</v>
      </c>
      <c r="C121" s="28">
        <v>698354</v>
      </c>
      <c r="D121" s="31">
        <v>1</v>
      </c>
      <c r="E121" s="70"/>
      <c r="F121" s="31"/>
      <c r="G121" s="32">
        <v>1.843</v>
      </c>
      <c r="H121" s="32"/>
      <c r="I121" s="32"/>
      <c r="J121" s="33" t="str">
        <f t="shared" si="15"/>
        <v/>
      </c>
      <c r="K121" s="34"/>
      <c r="L121" s="35"/>
      <c r="M121" s="36" t="str">
        <f t="shared" si="16"/>
        <v/>
      </c>
      <c r="N121" s="37"/>
      <c r="O121" s="29"/>
      <c r="P121" s="38"/>
      <c r="Q121" s="28"/>
      <c r="R121" s="28" t="s">
        <v>652</v>
      </c>
      <c r="S121" s="28" t="s">
        <v>21</v>
      </c>
      <c r="T121" s="46"/>
      <c r="U121" s="28" t="s">
        <v>31</v>
      </c>
    </row>
    <row r="122" spans="1:21" s="27" customFormat="1" x14ac:dyDescent="0.25">
      <c r="A122" s="28" t="s">
        <v>21</v>
      </c>
      <c r="B122" s="28" t="s">
        <v>628</v>
      </c>
      <c r="C122" s="28" t="s">
        <v>21</v>
      </c>
      <c r="D122" s="31">
        <v>1</v>
      </c>
      <c r="E122" s="70" t="s">
        <v>357</v>
      </c>
      <c r="F122" s="45">
        <v>899</v>
      </c>
      <c r="G122" s="32">
        <v>1.8360000000000001</v>
      </c>
      <c r="H122" s="32">
        <v>5.5010000000000003</v>
      </c>
      <c r="I122" s="32">
        <v>5.4809999999999999</v>
      </c>
      <c r="J122" s="33">
        <f>IF(O122&lt;&gt;"",(H122-I122)/O122,"")</f>
        <v>6.6666666666668206E-3</v>
      </c>
      <c r="K122" s="34" t="str">
        <f t="shared" si="8"/>
        <v/>
      </c>
      <c r="L122" s="35">
        <f>F122/(O122*P122)</f>
        <v>7.4916666666666663</v>
      </c>
      <c r="M122" s="36" t="str">
        <f>IF(L122=0,"",IF(OR(L122&lt;7,L122&gt;7.8),"X",""))</f>
        <v/>
      </c>
      <c r="N122" s="37" t="s">
        <v>23</v>
      </c>
      <c r="O122" s="29">
        <v>3</v>
      </c>
      <c r="P122" s="38">
        <v>40</v>
      </c>
      <c r="Q122" s="28"/>
      <c r="R122" s="28" t="s">
        <v>653</v>
      </c>
      <c r="S122" s="28" t="s">
        <v>21</v>
      </c>
      <c r="T122" s="46"/>
      <c r="U122" s="28" t="s">
        <v>31</v>
      </c>
    </row>
    <row r="123" spans="1:21" s="27" customFormat="1" x14ac:dyDescent="0.25">
      <c r="A123" s="28" t="s">
        <v>21</v>
      </c>
      <c r="B123" s="28" t="s">
        <v>21</v>
      </c>
      <c r="C123" s="28" t="s">
        <v>21</v>
      </c>
      <c r="D123" s="31">
        <v>1</v>
      </c>
      <c r="E123" s="70"/>
      <c r="F123" s="31"/>
      <c r="G123" s="32">
        <v>1.8380000000000001</v>
      </c>
      <c r="H123" s="32"/>
      <c r="I123" s="32"/>
      <c r="J123" s="33" t="str">
        <f t="shared" si="15"/>
        <v/>
      </c>
      <c r="K123" s="34"/>
      <c r="L123" s="35"/>
      <c r="M123" s="36" t="str">
        <f t="shared" si="16"/>
        <v/>
      </c>
      <c r="N123" s="37"/>
      <c r="O123" s="29"/>
      <c r="P123" s="38"/>
      <c r="Q123" s="28"/>
      <c r="R123" s="28" t="s">
        <v>654</v>
      </c>
      <c r="S123" s="28" t="s">
        <v>21</v>
      </c>
      <c r="T123" s="46"/>
      <c r="U123" s="28" t="s">
        <v>31</v>
      </c>
    </row>
    <row r="124" spans="1:21" s="27" customFormat="1" ht="14.25" customHeight="1" x14ac:dyDescent="0.25">
      <c r="A124" s="28" t="s">
        <v>21</v>
      </c>
      <c r="B124" s="28" t="s">
        <v>21</v>
      </c>
      <c r="C124" s="28" t="s">
        <v>21</v>
      </c>
      <c r="D124" s="31">
        <v>1</v>
      </c>
      <c r="E124" s="70"/>
      <c r="F124" s="31"/>
      <c r="G124" s="32">
        <v>1.8280000000000001</v>
      </c>
      <c r="H124" s="32"/>
      <c r="I124" s="32"/>
      <c r="J124" s="33" t="str">
        <f t="shared" si="15"/>
        <v/>
      </c>
      <c r="K124" s="34"/>
      <c r="L124" s="35"/>
      <c r="M124" s="36" t="str">
        <f t="shared" si="16"/>
        <v/>
      </c>
      <c r="N124" s="37"/>
      <c r="O124" s="29"/>
      <c r="P124" s="38"/>
      <c r="Q124" s="28"/>
      <c r="R124" s="28" t="s">
        <v>655</v>
      </c>
      <c r="S124" s="28" t="s">
        <v>21</v>
      </c>
      <c r="T124" s="46"/>
      <c r="U124" s="28" t="s">
        <v>31</v>
      </c>
    </row>
    <row r="125" spans="1:21" s="27" customFormat="1" x14ac:dyDescent="0.25">
      <c r="A125" s="28" t="s">
        <v>21</v>
      </c>
      <c r="B125" s="28" t="s">
        <v>629</v>
      </c>
      <c r="C125" s="28" t="s">
        <v>21</v>
      </c>
      <c r="D125" s="31">
        <v>1</v>
      </c>
      <c r="E125" s="70" t="s">
        <v>409</v>
      </c>
      <c r="F125" s="45">
        <v>898</v>
      </c>
      <c r="G125" s="32">
        <v>1.84</v>
      </c>
      <c r="H125" s="32">
        <v>5.508</v>
      </c>
      <c r="I125" s="32">
        <v>5.4880000000000004</v>
      </c>
      <c r="J125" s="33">
        <f>IF(O125&lt;&gt;"",(H125-I125)/O125,"")</f>
        <v>6.6666666666665248E-3</v>
      </c>
      <c r="K125" s="34" t="str">
        <f t="shared" si="8"/>
        <v/>
      </c>
      <c r="L125" s="35">
        <f>F125/(O125*P125)</f>
        <v>7.4833333333333334</v>
      </c>
      <c r="M125" s="36" t="str">
        <f>IF(L125=0,"",IF(OR(L125&lt;7,L125&gt;7.8),"X",""))</f>
        <v/>
      </c>
      <c r="N125" s="37" t="s">
        <v>23</v>
      </c>
      <c r="O125" s="29">
        <v>3</v>
      </c>
      <c r="P125" s="38">
        <v>40</v>
      </c>
      <c r="Q125" s="28"/>
      <c r="R125" s="28" t="s">
        <v>656</v>
      </c>
      <c r="S125" s="28" t="s">
        <v>21</v>
      </c>
      <c r="T125" s="46"/>
      <c r="U125" s="28" t="s">
        <v>31</v>
      </c>
    </row>
    <row r="126" spans="1:21" s="27" customFormat="1" x14ac:dyDescent="0.25">
      <c r="A126" s="28" t="s">
        <v>21</v>
      </c>
      <c r="B126" s="28" t="s">
        <v>21</v>
      </c>
      <c r="C126" s="28" t="s">
        <v>21</v>
      </c>
      <c r="D126" s="31">
        <v>1</v>
      </c>
      <c r="E126" s="70"/>
      <c r="F126" s="31"/>
      <c r="G126" s="32">
        <v>1.833</v>
      </c>
      <c r="H126" s="32"/>
      <c r="I126" s="32"/>
      <c r="J126" s="33" t="str">
        <f t="shared" si="15"/>
        <v/>
      </c>
      <c r="K126" s="34"/>
      <c r="L126" s="35"/>
      <c r="M126" s="36" t="str">
        <f t="shared" si="16"/>
        <v/>
      </c>
      <c r="N126" s="37"/>
      <c r="O126" s="29"/>
      <c r="P126" s="38"/>
      <c r="Q126" s="28"/>
      <c r="R126" s="28" t="s">
        <v>658</v>
      </c>
      <c r="S126" s="28" t="s">
        <v>21</v>
      </c>
      <c r="T126" s="46"/>
      <c r="U126" s="28" t="s">
        <v>31</v>
      </c>
    </row>
    <row r="127" spans="1:21" s="27" customFormat="1" ht="14.25" customHeight="1" x14ac:dyDescent="0.25">
      <c r="A127" s="28" t="s">
        <v>21</v>
      </c>
      <c r="B127" s="28" t="s">
        <v>21</v>
      </c>
      <c r="C127" s="28" t="s">
        <v>21</v>
      </c>
      <c r="D127" s="31">
        <v>1</v>
      </c>
      <c r="E127" s="70"/>
      <c r="F127" s="31"/>
      <c r="G127" s="32">
        <v>1.8360000000000001</v>
      </c>
      <c r="H127" s="32"/>
      <c r="I127" s="32"/>
      <c r="J127" s="33" t="str">
        <f t="shared" si="15"/>
        <v/>
      </c>
      <c r="K127" s="34"/>
      <c r="L127" s="35"/>
      <c r="M127" s="36" t="str">
        <f t="shared" si="16"/>
        <v/>
      </c>
      <c r="N127" s="37"/>
      <c r="O127" s="29"/>
      <c r="P127" s="38"/>
      <c r="Q127" s="28"/>
      <c r="R127" s="28" t="s">
        <v>657</v>
      </c>
      <c r="S127" s="28" t="s">
        <v>21</v>
      </c>
      <c r="T127" s="46"/>
      <c r="U127" s="28" t="s">
        <v>31</v>
      </c>
    </row>
    <row r="128" spans="1:21" s="27" customFormat="1" x14ac:dyDescent="0.25">
      <c r="A128" s="28" t="s">
        <v>21</v>
      </c>
      <c r="B128" s="28" t="s">
        <v>630</v>
      </c>
      <c r="C128" s="28" t="s">
        <v>21</v>
      </c>
      <c r="D128" s="31">
        <v>1</v>
      </c>
      <c r="E128" s="70" t="s">
        <v>409</v>
      </c>
      <c r="F128" s="45">
        <v>898</v>
      </c>
      <c r="G128" s="32">
        <v>1.8380000000000001</v>
      </c>
      <c r="H128" s="32">
        <v>5.52</v>
      </c>
      <c r="I128" s="32">
        <v>5.5</v>
      </c>
      <c r="J128" s="33">
        <f>IF(O128&lt;&gt;"",(H128-I128)/O128,"")</f>
        <v>6.6666666666665248E-3</v>
      </c>
      <c r="K128" s="34" t="str">
        <f t="shared" si="8"/>
        <v/>
      </c>
      <c r="L128" s="35">
        <f>F128/(O128*P128)</f>
        <v>7.4833333333333334</v>
      </c>
      <c r="M128" s="36" t="str">
        <f>IF(L128=0,"",IF(OR(L128&lt;7,L128&gt;7.8),"X",""))</f>
        <v/>
      </c>
      <c r="N128" s="37" t="s">
        <v>23</v>
      </c>
      <c r="O128" s="29">
        <v>3</v>
      </c>
      <c r="P128" s="38">
        <v>40</v>
      </c>
      <c r="Q128" s="28"/>
      <c r="R128" s="28" t="s">
        <v>659</v>
      </c>
      <c r="S128" s="28" t="s">
        <v>21</v>
      </c>
      <c r="T128" s="46"/>
      <c r="U128" s="28" t="s">
        <v>31</v>
      </c>
    </row>
    <row r="129" spans="1:21" s="27" customFormat="1" x14ac:dyDescent="0.25">
      <c r="A129" s="28" t="s">
        <v>21</v>
      </c>
      <c r="B129" s="28" t="s">
        <v>21</v>
      </c>
      <c r="C129" s="28" t="s">
        <v>21</v>
      </c>
      <c r="D129" s="31">
        <v>1</v>
      </c>
      <c r="E129" s="70"/>
      <c r="F129" s="31"/>
      <c r="G129" s="32">
        <v>1.843</v>
      </c>
      <c r="H129" s="32"/>
      <c r="I129" s="32"/>
      <c r="J129" s="33" t="str">
        <f t="shared" si="15"/>
        <v/>
      </c>
      <c r="K129" s="34"/>
      <c r="L129" s="35"/>
      <c r="M129" s="36" t="str">
        <f t="shared" si="16"/>
        <v/>
      </c>
      <c r="N129" s="37"/>
      <c r="O129" s="29"/>
      <c r="P129" s="38"/>
      <c r="Q129" s="28"/>
      <c r="R129" s="28" t="s">
        <v>661</v>
      </c>
      <c r="S129" s="28" t="s">
        <v>21</v>
      </c>
      <c r="T129" s="46"/>
      <c r="U129" s="28" t="s">
        <v>31</v>
      </c>
    </row>
    <row r="130" spans="1:21" s="27" customFormat="1" ht="14.25" customHeight="1" x14ac:dyDescent="0.25">
      <c r="A130" s="28" t="s">
        <v>21</v>
      </c>
      <c r="B130" s="28" t="s">
        <v>21</v>
      </c>
      <c r="C130" s="28" t="s">
        <v>21</v>
      </c>
      <c r="D130" s="31">
        <v>1</v>
      </c>
      <c r="E130" s="70"/>
      <c r="F130" s="31"/>
      <c r="G130" s="32">
        <v>1.839</v>
      </c>
      <c r="H130" s="32"/>
      <c r="I130" s="32"/>
      <c r="J130" s="33" t="str">
        <f t="shared" si="15"/>
        <v/>
      </c>
      <c r="K130" s="34"/>
      <c r="L130" s="35"/>
      <c r="M130" s="36" t="str">
        <f t="shared" si="16"/>
        <v/>
      </c>
      <c r="N130" s="37"/>
      <c r="O130" s="29"/>
      <c r="P130" s="38"/>
      <c r="Q130" s="28"/>
      <c r="R130" s="28" t="s">
        <v>662</v>
      </c>
      <c r="S130" s="28" t="s">
        <v>21</v>
      </c>
      <c r="T130" s="46"/>
      <c r="U130" s="28" t="s">
        <v>31</v>
      </c>
    </row>
    <row r="131" spans="1:21" s="27" customFormat="1" x14ac:dyDescent="0.25">
      <c r="A131" s="28" t="s">
        <v>21</v>
      </c>
      <c r="B131" s="28" t="s">
        <v>631</v>
      </c>
      <c r="C131" s="28" t="s">
        <v>21</v>
      </c>
      <c r="D131" s="31">
        <v>1</v>
      </c>
      <c r="E131" s="70" t="s">
        <v>484</v>
      </c>
      <c r="F131" s="45">
        <v>899</v>
      </c>
      <c r="G131" s="32">
        <v>1.837</v>
      </c>
      <c r="H131" s="32">
        <v>5.5110000000000001</v>
      </c>
      <c r="I131" s="32">
        <v>5.49</v>
      </c>
      <c r="J131" s="33">
        <f>IF(O131&lt;&gt;"",(H131-I131)/O131,"")</f>
        <v>6.9999999999999689E-3</v>
      </c>
      <c r="K131" s="34" t="str">
        <f t="shared" ref="K131" si="17">IF(J131=0,"",IF(OR(J131&lt;0,J131&gt;0.03),"X",""))</f>
        <v/>
      </c>
      <c r="L131" s="35">
        <f>F131/(O131*P131)</f>
        <v>7.4916666666666663</v>
      </c>
      <c r="M131" s="36" t="str">
        <f>IF(L131=0,"",IF(OR(L131&lt;7,L131&gt;7.8),"X",""))</f>
        <v/>
      </c>
      <c r="N131" s="37" t="s">
        <v>23</v>
      </c>
      <c r="O131" s="29">
        <v>3</v>
      </c>
      <c r="P131" s="38">
        <v>40</v>
      </c>
      <c r="Q131" s="28"/>
      <c r="R131" s="28" t="s">
        <v>663</v>
      </c>
      <c r="S131" s="28" t="s">
        <v>21</v>
      </c>
      <c r="T131" s="46"/>
      <c r="U131" s="28" t="s">
        <v>31</v>
      </c>
    </row>
    <row r="132" spans="1:21" s="27" customFormat="1" x14ac:dyDescent="0.25">
      <c r="A132" s="28" t="s">
        <v>21</v>
      </c>
      <c r="B132" s="28" t="s">
        <v>21</v>
      </c>
      <c r="C132" s="28" t="s">
        <v>21</v>
      </c>
      <c r="D132" s="31">
        <v>1</v>
      </c>
      <c r="E132" s="70"/>
      <c r="F132" s="31"/>
      <c r="G132" s="32">
        <v>1.8380000000000001</v>
      </c>
      <c r="H132" s="32"/>
      <c r="I132" s="32"/>
      <c r="J132" s="33" t="str">
        <f t="shared" si="15"/>
        <v/>
      </c>
      <c r="K132" s="34"/>
      <c r="L132" s="35"/>
      <c r="M132" s="36" t="str">
        <f t="shared" si="16"/>
        <v/>
      </c>
      <c r="N132" s="37"/>
      <c r="O132" s="29"/>
      <c r="P132" s="38"/>
      <c r="Q132" s="28"/>
      <c r="R132" s="28" t="s">
        <v>664</v>
      </c>
      <c r="S132" s="28" t="s">
        <v>21</v>
      </c>
      <c r="T132" s="46"/>
      <c r="U132" s="28" t="s">
        <v>31</v>
      </c>
    </row>
    <row r="133" spans="1:21" s="27" customFormat="1" ht="14.25" customHeight="1" x14ac:dyDescent="0.25">
      <c r="A133" s="28" t="s">
        <v>21</v>
      </c>
      <c r="B133" s="28" t="s">
        <v>21</v>
      </c>
      <c r="C133" s="28" t="s">
        <v>21</v>
      </c>
      <c r="D133" s="31">
        <v>1</v>
      </c>
      <c r="E133" s="70"/>
      <c r="F133" s="31"/>
      <c r="G133" s="32">
        <v>1.8360000000000001</v>
      </c>
      <c r="H133" s="32"/>
      <c r="I133" s="32"/>
      <c r="J133" s="33" t="str">
        <f t="shared" si="15"/>
        <v/>
      </c>
      <c r="K133" s="34"/>
      <c r="L133" s="35"/>
      <c r="M133" s="36" t="str">
        <f t="shared" si="16"/>
        <v/>
      </c>
      <c r="N133" s="37"/>
      <c r="O133" s="29"/>
      <c r="P133" s="38"/>
      <c r="Q133" s="28"/>
      <c r="R133" s="28" t="s">
        <v>660</v>
      </c>
      <c r="S133" s="28" t="s">
        <v>21</v>
      </c>
      <c r="T133" s="46"/>
      <c r="U133" s="28" t="s">
        <v>31</v>
      </c>
    </row>
    <row r="134" spans="1:21" s="27" customFormat="1" x14ac:dyDescent="0.25">
      <c r="A134" s="28" t="s">
        <v>665</v>
      </c>
      <c r="B134" s="28" t="s">
        <v>666</v>
      </c>
      <c r="C134" s="72">
        <v>775089</v>
      </c>
      <c r="D134" s="31">
        <v>1</v>
      </c>
      <c r="E134" s="70" t="s">
        <v>731</v>
      </c>
      <c r="F134" s="45">
        <v>298</v>
      </c>
      <c r="G134" s="32"/>
      <c r="H134" s="32">
        <v>1.889</v>
      </c>
      <c r="I134" s="32">
        <v>1.88</v>
      </c>
      <c r="J134" s="33">
        <f t="shared" ref="J134:J165" si="18">IF(O134&lt;&gt;"",(H134-I134)/O134,"")</f>
        <v>9.000000000000119E-3</v>
      </c>
      <c r="K134" s="34" t="str">
        <f t="shared" ref="K134:K197" si="19">IF(J134=0,"",IF(OR(J134&lt;0,J134&gt;0.03),"X",""))</f>
        <v/>
      </c>
      <c r="L134" s="35">
        <f t="shared" ref="L134:L165" si="20">F134/(O134*P134)</f>
        <v>7.45</v>
      </c>
      <c r="M134" s="36" t="str">
        <f t="shared" ref="M134:M165" si="21">IF(L134=0,"",IF(OR(L134&lt;7,L134&gt;7.8),"X",""))</f>
        <v/>
      </c>
      <c r="N134" s="37" t="s">
        <v>18</v>
      </c>
      <c r="O134" s="29">
        <v>1</v>
      </c>
      <c r="P134" s="38">
        <v>40</v>
      </c>
      <c r="Q134" s="46"/>
      <c r="R134" s="28" t="s">
        <v>716</v>
      </c>
      <c r="S134" s="71" t="s">
        <v>58</v>
      </c>
      <c r="T134" s="46"/>
      <c r="U134" s="28" t="s">
        <v>31</v>
      </c>
    </row>
    <row r="135" spans="1:21" s="27" customFormat="1" x14ac:dyDescent="0.25">
      <c r="A135" s="28" t="s">
        <v>21</v>
      </c>
      <c r="B135" s="28" t="s">
        <v>667</v>
      </c>
      <c r="C135" s="28" t="s">
        <v>21</v>
      </c>
      <c r="D135" s="31">
        <v>1</v>
      </c>
      <c r="E135" s="70" t="s">
        <v>730</v>
      </c>
      <c r="F135" s="45">
        <v>298</v>
      </c>
      <c r="G135" s="32"/>
      <c r="H135" s="32">
        <v>1.8919999999999999</v>
      </c>
      <c r="I135" s="32">
        <v>1.8839999999999999</v>
      </c>
      <c r="J135" s="33">
        <f t="shared" si="18"/>
        <v>8.0000000000000071E-3</v>
      </c>
      <c r="K135" s="34" t="str">
        <f t="shared" si="19"/>
        <v/>
      </c>
      <c r="L135" s="35">
        <f t="shared" si="20"/>
        <v>7.45</v>
      </c>
      <c r="M135" s="36" t="str">
        <f t="shared" si="21"/>
        <v/>
      </c>
      <c r="N135" s="37" t="s">
        <v>18</v>
      </c>
      <c r="O135" s="29">
        <v>1</v>
      </c>
      <c r="P135" s="38">
        <v>40</v>
      </c>
      <c r="Q135" s="46"/>
      <c r="R135" s="28" t="s">
        <v>717</v>
      </c>
      <c r="S135" s="71" t="s">
        <v>59</v>
      </c>
      <c r="T135" s="46"/>
      <c r="U135" s="28" t="s">
        <v>31</v>
      </c>
    </row>
    <row r="136" spans="1:21" s="27" customFormat="1" x14ac:dyDescent="0.25">
      <c r="A136" s="28" t="s">
        <v>21</v>
      </c>
      <c r="B136" s="28" t="s">
        <v>668</v>
      </c>
      <c r="C136" s="28" t="s">
        <v>21</v>
      </c>
      <c r="D136" s="31">
        <v>1</v>
      </c>
      <c r="E136" s="70" t="s">
        <v>131</v>
      </c>
      <c r="F136" s="45">
        <v>298</v>
      </c>
      <c r="G136" s="32"/>
      <c r="H136" s="32">
        <v>1.8819999999999999</v>
      </c>
      <c r="I136" s="32">
        <v>1.8720000000000001</v>
      </c>
      <c r="J136" s="33">
        <f t="shared" si="18"/>
        <v>9.9999999999997868E-3</v>
      </c>
      <c r="K136" s="34" t="str">
        <f t="shared" si="19"/>
        <v/>
      </c>
      <c r="L136" s="35">
        <f t="shared" si="20"/>
        <v>7.45</v>
      </c>
      <c r="M136" s="36" t="str">
        <f t="shared" si="21"/>
        <v/>
      </c>
      <c r="N136" s="37" t="s">
        <v>18</v>
      </c>
      <c r="O136" s="29">
        <v>1</v>
      </c>
      <c r="P136" s="38">
        <v>40</v>
      </c>
      <c r="Q136" s="46"/>
      <c r="R136" s="28" t="s">
        <v>718</v>
      </c>
      <c r="S136" s="28" t="s">
        <v>21</v>
      </c>
      <c r="T136" s="46"/>
      <c r="U136" s="28" t="s">
        <v>31</v>
      </c>
    </row>
    <row r="137" spans="1:21" s="27" customFormat="1" x14ac:dyDescent="0.25">
      <c r="A137" s="28" t="s">
        <v>21</v>
      </c>
      <c r="B137" s="28" t="s">
        <v>669</v>
      </c>
      <c r="C137" s="28">
        <v>698354</v>
      </c>
      <c r="D137" s="31">
        <v>1</v>
      </c>
      <c r="E137" s="70" t="s">
        <v>109</v>
      </c>
      <c r="F137" s="45">
        <v>298</v>
      </c>
      <c r="G137" s="32"/>
      <c r="H137" s="32">
        <v>1.8480000000000001</v>
      </c>
      <c r="I137" s="32">
        <v>1.84</v>
      </c>
      <c r="J137" s="33">
        <f t="shared" si="18"/>
        <v>8.0000000000000071E-3</v>
      </c>
      <c r="K137" s="34" t="str">
        <f t="shared" si="19"/>
        <v/>
      </c>
      <c r="L137" s="35">
        <f t="shared" si="20"/>
        <v>7.45</v>
      </c>
      <c r="M137" s="36" t="str">
        <f t="shared" si="21"/>
        <v/>
      </c>
      <c r="N137" s="37" t="s">
        <v>18</v>
      </c>
      <c r="O137" s="29">
        <v>1</v>
      </c>
      <c r="P137" s="38">
        <v>40</v>
      </c>
      <c r="Q137" s="46"/>
      <c r="R137" s="28" t="s">
        <v>719</v>
      </c>
      <c r="S137" s="28" t="s">
        <v>21</v>
      </c>
      <c r="T137" s="46"/>
      <c r="U137" s="28" t="s">
        <v>31</v>
      </c>
    </row>
    <row r="138" spans="1:21" s="27" customFormat="1" x14ac:dyDescent="0.25">
      <c r="A138" s="28" t="s">
        <v>21</v>
      </c>
      <c r="B138" s="28" t="s">
        <v>670</v>
      </c>
      <c r="C138" s="28" t="s">
        <v>21</v>
      </c>
      <c r="D138" s="31">
        <v>1</v>
      </c>
      <c r="E138" s="70" t="s">
        <v>105</v>
      </c>
      <c r="F138" s="45">
        <v>295</v>
      </c>
      <c r="G138" s="32"/>
      <c r="H138" s="32">
        <v>1.8380000000000001</v>
      </c>
      <c r="I138" s="32">
        <v>1.83</v>
      </c>
      <c r="J138" s="33">
        <f t="shared" si="18"/>
        <v>8.0000000000000071E-3</v>
      </c>
      <c r="K138" s="34" t="str">
        <f t="shared" si="19"/>
        <v/>
      </c>
      <c r="L138" s="35">
        <f t="shared" si="20"/>
        <v>7.375</v>
      </c>
      <c r="M138" s="36" t="str">
        <f t="shared" si="21"/>
        <v/>
      </c>
      <c r="N138" s="37" t="s">
        <v>18</v>
      </c>
      <c r="O138" s="29">
        <v>1</v>
      </c>
      <c r="P138" s="38">
        <v>40</v>
      </c>
      <c r="Q138" s="46"/>
      <c r="R138" s="28" t="s">
        <v>720</v>
      </c>
      <c r="S138" s="28" t="s">
        <v>21</v>
      </c>
      <c r="T138" s="46"/>
      <c r="U138" s="28" t="s">
        <v>31</v>
      </c>
    </row>
    <row r="139" spans="1:21" s="27" customFormat="1" x14ac:dyDescent="0.25">
      <c r="A139" s="28" t="s">
        <v>21</v>
      </c>
      <c r="B139" s="28" t="s">
        <v>671</v>
      </c>
      <c r="C139" s="28">
        <v>698354</v>
      </c>
      <c r="D139" s="31">
        <v>1</v>
      </c>
      <c r="E139" s="70" t="s">
        <v>234</v>
      </c>
      <c r="F139" s="45">
        <v>298</v>
      </c>
      <c r="G139" s="32"/>
      <c r="H139" s="32">
        <v>1.8580000000000001</v>
      </c>
      <c r="I139" s="32">
        <v>1.85</v>
      </c>
      <c r="J139" s="33">
        <f t="shared" si="18"/>
        <v>8.0000000000000071E-3</v>
      </c>
      <c r="K139" s="34" t="str">
        <f t="shared" si="19"/>
        <v/>
      </c>
      <c r="L139" s="35">
        <f t="shared" si="20"/>
        <v>7.45</v>
      </c>
      <c r="M139" s="36" t="str">
        <f t="shared" si="21"/>
        <v/>
      </c>
      <c r="N139" s="37" t="s">
        <v>18</v>
      </c>
      <c r="O139" s="29">
        <v>1</v>
      </c>
      <c r="P139" s="38">
        <v>40</v>
      </c>
      <c r="Q139" s="46"/>
      <c r="R139" s="28" t="s">
        <v>721</v>
      </c>
      <c r="S139" s="71" t="s">
        <v>103</v>
      </c>
      <c r="T139" s="46"/>
      <c r="U139" s="28" t="s">
        <v>31</v>
      </c>
    </row>
    <row r="140" spans="1:21" s="27" customFormat="1" x14ac:dyDescent="0.25">
      <c r="A140" s="28" t="s">
        <v>21</v>
      </c>
      <c r="B140" s="28" t="s">
        <v>672</v>
      </c>
      <c r="C140" s="28" t="s">
        <v>21</v>
      </c>
      <c r="D140" s="31">
        <v>1</v>
      </c>
      <c r="E140" s="70" t="s">
        <v>462</v>
      </c>
      <c r="F140" s="45">
        <v>297</v>
      </c>
      <c r="G140" s="32"/>
      <c r="H140" s="32">
        <v>1.8520000000000001</v>
      </c>
      <c r="I140" s="32">
        <v>1.8440000000000001</v>
      </c>
      <c r="J140" s="33">
        <f t="shared" si="18"/>
        <v>8.0000000000000071E-3</v>
      </c>
      <c r="K140" s="34" t="str">
        <f t="shared" si="19"/>
        <v/>
      </c>
      <c r="L140" s="35">
        <f t="shared" si="20"/>
        <v>7.4249999999999998</v>
      </c>
      <c r="M140" s="36" t="str">
        <f t="shared" si="21"/>
        <v/>
      </c>
      <c r="N140" s="37" t="s">
        <v>18</v>
      </c>
      <c r="O140" s="29">
        <v>1</v>
      </c>
      <c r="P140" s="38">
        <v>40</v>
      </c>
      <c r="Q140" s="46"/>
      <c r="R140" s="28" t="s">
        <v>722</v>
      </c>
      <c r="S140" s="71" t="s">
        <v>59</v>
      </c>
      <c r="T140" s="46"/>
      <c r="U140" s="28" t="s">
        <v>31</v>
      </c>
    </row>
    <row r="141" spans="1:21" s="27" customFormat="1" x14ac:dyDescent="0.25">
      <c r="A141" s="28" t="s">
        <v>21</v>
      </c>
      <c r="B141" s="28" t="s">
        <v>673</v>
      </c>
      <c r="C141" s="28" t="s">
        <v>21</v>
      </c>
      <c r="D141" s="31">
        <v>1</v>
      </c>
      <c r="E141" s="70" t="s">
        <v>272</v>
      </c>
      <c r="F141" s="45">
        <v>297</v>
      </c>
      <c r="G141" s="32"/>
      <c r="H141" s="32">
        <v>1.847</v>
      </c>
      <c r="I141" s="32">
        <v>1.8380000000000001</v>
      </c>
      <c r="J141" s="33">
        <f t="shared" si="18"/>
        <v>8.999999999999897E-3</v>
      </c>
      <c r="K141" s="34" t="str">
        <f t="shared" si="19"/>
        <v/>
      </c>
      <c r="L141" s="35">
        <f t="shared" si="20"/>
        <v>7.4249999999999998</v>
      </c>
      <c r="M141" s="36" t="str">
        <f t="shared" si="21"/>
        <v/>
      </c>
      <c r="N141" s="37" t="s">
        <v>18</v>
      </c>
      <c r="O141" s="29">
        <v>1</v>
      </c>
      <c r="P141" s="38">
        <v>40</v>
      </c>
      <c r="Q141" s="46"/>
      <c r="R141" s="28" t="s">
        <v>724</v>
      </c>
      <c r="S141" s="28" t="s">
        <v>21</v>
      </c>
      <c r="T141" s="46"/>
      <c r="U141" s="28" t="s">
        <v>31</v>
      </c>
    </row>
    <row r="142" spans="1:21" s="27" customFormat="1" x14ac:dyDescent="0.25">
      <c r="A142" s="28" t="s">
        <v>21</v>
      </c>
      <c r="B142" s="28" t="s">
        <v>674</v>
      </c>
      <c r="C142" s="28" t="s">
        <v>21</v>
      </c>
      <c r="D142" s="31">
        <v>1</v>
      </c>
      <c r="E142" s="70" t="s">
        <v>234</v>
      </c>
      <c r="F142" s="45">
        <v>297</v>
      </c>
      <c r="G142" s="32"/>
      <c r="H142" s="32">
        <v>1.85</v>
      </c>
      <c r="I142" s="32">
        <v>1.8420000000000001</v>
      </c>
      <c r="J142" s="33">
        <f t="shared" si="18"/>
        <v>8.0000000000000071E-3</v>
      </c>
      <c r="K142" s="34" t="str">
        <f t="shared" si="19"/>
        <v/>
      </c>
      <c r="L142" s="35">
        <f t="shared" si="20"/>
        <v>7.4249999999999998</v>
      </c>
      <c r="M142" s="36" t="str">
        <f t="shared" si="21"/>
        <v/>
      </c>
      <c r="N142" s="37" t="s">
        <v>18</v>
      </c>
      <c r="O142" s="29">
        <v>1</v>
      </c>
      <c r="P142" s="38">
        <v>40</v>
      </c>
      <c r="Q142" s="46"/>
      <c r="R142" s="28" t="s">
        <v>725</v>
      </c>
      <c r="S142" s="28" t="s">
        <v>21</v>
      </c>
      <c r="T142" s="46"/>
      <c r="U142" s="28" t="s">
        <v>31</v>
      </c>
    </row>
    <row r="143" spans="1:21" s="27" customFormat="1" x14ac:dyDescent="0.25">
      <c r="A143" s="28" t="s">
        <v>21</v>
      </c>
      <c r="B143" s="28" t="s">
        <v>675</v>
      </c>
      <c r="C143" s="28" t="s">
        <v>21</v>
      </c>
      <c r="D143" s="31">
        <v>1</v>
      </c>
      <c r="E143" s="70" t="s">
        <v>234</v>
      </c>
      <c r="F143" s="45">
        <v>297</v>
      </c>
      <c r="G143" s="32"/>
      <c r="H143" s="32">
        <v>1.8460000000000001</v>
      </c>
      <c r="I143" s="32">
        <v>1.8380000000000001</v>
      </c>
      <c r="J143" s="33">
        <f t="shared" si="18"/>
        <v>8.0000000000000071E-3</v>
      </c>
      <c r="K143" s="34" t="str">
        <f t="shared" si="19"/>
        <v/>
      </c>
      <c r="L143" s="35">
        <f t="shared" si="20"/>
        <v>7.4249999999999998</v>
      </c>
      <c r="M143" s="36" t="str">
        <f t="shared" si="21"/>
        <v/>
      </c>
      <c r="N143" s="37" t="s">
        <v>18</v>
      </c>
      <c r="O143" s="29">
        <v>1</v>
      </c>
      <c r="P143" s="38">
        <v>40</v>
      </c>
      <c r="Q143" s="46"/>
      <c r="R143" s="28" t="s">
        <v>726</v>
      </c>
      <c r="S143" s="28" t="s">
        <v>21</v>
      </c>
      <c r="T143" s="46"/>
      <c r="U143" s="28" t="s">
        <v>31</v>
      </c>
    </row>
    <row r="144" spans="1:21" s="27" customFormat="1" x14ac:dyDescent="0.25">
      <c r="A144" s="28" t="s">
        <v>21</v>
      </c>
      <c r="B144" s="28" t="s">
        <v>676</v>
      </c>
      <c r="C144" s="28" t="s">
        <v>21</v>
      </c>
      <c r="D144" s="31">
        <v>1</v>
      </c>
      <c r="E144" s="30" t="s">
        <v>441</v>
      </c>
      <c r="F144" s="45">
        <v>299</v>
      </c>
      <c r="G144" s="32"/>
      <c r="H144" s="32">
        <v>1.8420000000000001</v>
      </c>
      <c r="I144" s="32">
        <v>1.8340000000000001</v>
      </c>
      <c r="J144" s="33">
        <f t="shared" si="18"/>
        <v>8.0000000000000071E-3</v>
      </c>
      <c r="K144" s="34" t="str">
        <f t="shared" si="19"/>
        <v/>
      </c>
      <c r="L144" s="35">
        <f t="shared" si="20"/>
        <v>7.4749999999999996</v>
      </c>
      <c r="M144" s="36" t="str">
        <f t="shared" si="21"/>
        <v/>
      </c>
      <c r="N144" s="37" t="s">
        <v>18</v>
      </c>
      <c r="O144" s="29">
        <v>1</v>
      </c>
      <c r="P144" s="38">
        <v>40</v>
      </c>
      <c r="Q144" s="46"/>
      <c r="R144" s="28" t="s">
        <v>723</v>
      </c>
      <c r="S144" s="47"/>
      <c r="T144" s="46"/>
      <c r="U144" s="28" t="s">
        <v>31</v>
      </c>
    </row>
    <row r="145" spans="1:21" s="27" customFormat="1" x14ac:dyDescent="0.25">
      <c r="A145" s="28" t="s">
        <v>21</v>
      </c>
      <c r="B145" s="28" t="s">
        <v>677</v>
      </c>
      <c r="C145" s="28" t="s">
        <v>21</v>
      </c>
      <c r="D145" s="31">
        <v>1</v>
      </c>
      <c r="E145" s="30" t="s">
        <v>358</v>
      </c>
      <c r="F145" s="45">
        <v>297</v>
      </c>
      <c r="G145" s="32"/>
      <c r="H145" s="32">
        <v>1.837</v>
      </c>
      <c r="I145" s="32">
        <v>1.829</v>
      </c>
      <c r="J145" s="33">
        <f t="shared" si="18"/>
        <v>8.0000000000000071E-3</v>
      </c>
      <c r="K145" s="34" t="str">
        <f t="shared" si="19"/>
        <v/>
      </c>
      <c r="L145" s="35">
        <f t="shared" si="20"/>
        <v>7.4249999999999998</v>
      </c>
      <c r="M145" s="36" t="str">
        <f t="shared" si="21"/>
        <v/>
      </c>
      <c r="N145" s="37" t="s">
        <v>18</v>
      </c>
      <c r="O145" s="29">
        <v>1</v>
      </c>
      <c r="P145" s="38">
        <v>40</v>
      </c>
      <c r="Q145" s="46"/>
      <c r="R145" s="28" t="s">
        <v>727</v>
      </c>
      <c r="S145" s="47"/>
      <c r="T145" s="46"/>
      <c r="U145" s="28" t="s">
        <v>31</v>
      </c>
    </row>
    <row r="146" spans="1:21" s="27" customFormat="1" x14ac:dyDescent="0.25">
      <c r="A146" s="28" t="s">
        <v>21</v>
      </c>
      <c r="B146" s="28" t="s">
        <v>678</v>
      </c>
      <c r="C146" s="28" t="s">
        <v>21</v>
      </c>
      <c r="D146" s="31">
        <v>1</v>
      </c>
      <c r="E146" s="30" t="s">
        <v>133</v>
      </c>
      <c r="F146" s="45">
        <v>297</v>
      </c>
      <c r="G146" s="32"/>
      <c r="H146" s="32">
        <v>1.839</v>
      </c>
      <c r="I146" s="32">
        <v>1.831</v>
      </c>
      <c r="J146" s="33">
        <f t="shared" si="18"/>
        <v>8.0000000000000071E-3</v>
      </c>
      <c r="K146" s="34" t="str">
        <f t="shared" si="19"/>
        <v/>
      </c>
      <c r="L146" s="35">
        <f t="shared" si="20"/>
        <v>7.4249999999999998</v>
      </c>
      <c r="M146" s="36" t="str">
        <f t="shared" si="21"/>
        <v/>
      </c>
      <c r="N146" s="37" t="s">
        <v>18</v>
      </c>
      <c r="O146" s="29">
        <v>1</v>
      </c>
      <c r="P146" s="38">
        <v>40</v>
      </c>
      <c r="Q146" s="46"/>
      <c r="R146" s="28" t="s">
        <v>728</v>
      </c>
      <c r="S146" s="47"/>
      <c r="T146" s="46"/>
      <c r="U146" s="28" t="s">
        <v>31</v>
      </c>
    </row>
    <row r="147" spans="1:21" s="27" customFormat="1" x14ac:dyDescent="0.25">
      <c r="A147" s="28" t="s">
        <v>21</v>
      </c>
      <c r="B147" s="28" t="s">
        <v>679</v>
      </c>
      <c r="C147" s="28" t="s">
        <v>21</v>
      </c>
      <c r="D147" s="31">
        <v>1</v>
      </c>
      <c r="E147" s="30" t="s">
        <v>324</v>
      </c>
      <c r="F147" s="45">
        <v>297</v>
      </c>
      <c r="G147" s="32"/>
      <c r="H147" s="32">
        <v>1.8420000000000001</v>
      </c>
      <c r="I147" s="32">
        <v>1.837</v>
      </c>
      <c r="J147" s="33">
        <f t="shared" si="18"/>
        <v>5.0000000000001155E-3</v>
      </c>
      <c r="K147" s="34" t="str">
        <f t="shared" si="19"/>
        <v/>
      </c>
      <c r="L147" s="35">
        <f t="shared" si="20"/>
        <v>7.4249999999999998</v>
      </c>
      <c r="M147" s="36" t="str">
        <f t="shared" si="21"/>
        <v/>
      </c>
      <c r="N147" s="37" t="s">
        <v>18</v>
      </c>
      <c r="O147" s="29">
        <v>1</v>
      </c>
      <c r="P147" s="38">
        <v>40</v>
      </c>
      <c r="Q147" s="46"/>
      <c r="R147" s="28" t="s">
        <v>729</v>
      </c>
      <c r="S147" s="47"/>
      <c r="T147" s="46"/>
      <c r="U147" s="28" t="s">
        <v>31</v>
      </c>
    </row>
    <row r="148" spans="1:21" s="27" customFormat="1" x14ac:dyDescent="0.25">
      <c r="A148" s="28" t="s">
        <v>21</v>
      </c>
      <c r="B148" s="28" t="s">
        <v>680</v>
      </c>
      <c r="C148" s="28" t="s">
        <v>21</v>
      </c>
      <c r="D148" s="31">
        <v>1</v>
      </c>
      <c r="E148" s="30" t="s">
        <v>538</v>
      </c>
      <c r="F148" s="45">
        <v>297</v>
      </c>
      <c r="G148" s="32"/>
      <c r="H148" s="32">
        <v>1.8320000000000001</v>
      </c>
      <c r="I148" s="32">
        <v>1.8240000000000001</v>
      </c>
      <c r="J148" s="33">
        <f t="shared" si="18"/>
        <v>8.0000000000000071E-3</v>
      </c>
      <c r="K148" s="34" t="str">
        <f t="shared" si="19"/>
        <v/>
      </c>
      <c r="L148" s="35">
        <f t="shared" si="20"/>
        <v>7.4249999999999998</v>
      </c>
      <c r="M148" s="36" t="str">
        <f t="shared" si="21"/>
        <v/>
      </c>
      <c r="N148" s="37" t="s">
        <v>18</v>
      </c>
      <c r="O148" s="29">
        <v>1</v>
      </c>
      <c r="P148" s="38">
        <v>40</v>
      </c>
      <c r="Q148" s="46"/>
      <c r="R148" s="28" t="s">
        <v>732</v>
      </c>
      <c r="S148" s="47"/>
      <c r="T148" s="46"/>
      <c r="U148" s="28" t="s">
        <v>31</v>
      </c>
    </row>
    <row r="149" spans="1:21" s="27" customFormat="1" x14ac:dyDescent="0.25">
      <c r="A149" s="28" t="s">
        <v>21</v>
      </c>
      <c r="B149" s="28" t="s">
        <v>681</v>
      </c>
      <c r="C149" s="28" t="s">
        <v>21</v>
      </c>
      <c r="D149" s="31">
        <v>1</v>
      </c>
      <c r="E149" s="70" t="s">
        <v>324</v>
      </c>
      <c r="F149" s="45">
        <v>298</v>
      </c>
      <c r="G149" s="32"/>
      <c r="H149" s="32">
        <v>1.8520000000000001</v>
      </c>
      <c r="I149" s="32">
        <v>1.8440000000000001</v>
      </c>
      <c r="J149" s="33">
        <f t="shared" si="18"/>
        <v>8.0000000000000071E-3</v>
      </c>
      <c r="K149" s="34" t="str">
        <f t="shared" si="19"/>
        <v/>
      </c>
      <c r="L149" s="35">
        <f t="shared" si="20"/>
        <v>7.45</v>
      </c>
      <c r="M149" s="36" t="str">
        <f t="shared" si="21"/>
        <v/>
      </c>
      <c r="N149" s="37" t="s">
        <v>18</v>
      </c>
      <c r="O149" s="29">
        <v>1</v>
      </c>
      <c r="P149" s="38">
        <v>40</v>
      </c>
      <c r="Q149" s="46"/>
      <c r="R149" s="28" t="s">
        <v>733</v>
      </c>
      <c r="S149" s="71" t="s">
        <v>58</v>
      </c>
      <c r="T149" s="46"/>
      <c r="U149" s="28" t="s">
        <v>31</v>
      </c>
    </row>
    <row r="150" spans="1:21" s="27" customFormat="1" x14ac:dyDescent="0.25">
      <c r="A150" s="28" t="s">
        <v>21</v>
      </c>
      <c r="B150" s="28" t="s">
        <v>682</v>
      </c>
      <c r="C150" s="28" t="s">
        <v>21</v>
      </c>
      <c r="D150" s="31">
        <v>1</v>
      </c>
      <c r="E150" s="70" t="s">
        <v>130</v>
      </c>
      <c r="F150" s="45">
        <v>298</v>
      </c>
      <c r="G150" s="32"/>
      <c r="H150" s="32">
        <v>1.843</v>
      </c>
      <c r="I150" s="32">
        <v>1.8340000000000001</v>
      </c>
      <c r="J150" s="33">
        <f t="shared" si="18"/>
        <v>8.999999999999897E-3</v>
      </c>
      <c r="K150" s="34" t="str">
        <f t="shared" si="19"/>
        <v/>
      </c>
      <c r="L150" s="35">
        <f t="shared" si="20"/>
        <v>7.45</v>
      </c>
      <c r="M150" s="36" t="str">
        <f t="shared" si="21"/>
        <v/>
      </c>
      <c r="N150" s="37" t="s">
        <v>18</v>
      </c>
      <c r="O150" s="29">
        <v>1</v>
      </c>
      <c r="P150" s="38">
        <v>40</v>
      </c>
      <c r="Q150" s="46"/>
      <c r="R150" s="28" t="s">
        <v>734</v>
      </c>
      <c r="S150" s="71" t="s">
        <v>59</v>
      </c>
      <c r="T150" s="46"/>
      <c r="U150" s="28" t="s">
        <v>31</v>
      </c>
    </row>
    <row r="151" spans="1:21" s="27" customFormat="1" x14ac:dyDescent="0.25">
      <c r="A151" s="28" t="s">
        <v>21</v>
      </c>
      <c r="B151" s="28" t="s">
        <v>683</v>
      </c>
      <c r="C151" s="28" t="s">
        <v>21</v>
      </c>
      <c r="D151" s="31">
        <v>1</v>
      </c>
      <c r="E151" s="70" t="s">
        <v>324</v>
      </c>
      <c r="F151" s="45">
        <v>297</v>
      </c>
      <c r="G151" s="32"/>
      <c r="H151" s="32">
        <v>1.8420000000000001</v>
      </c>
      <c r="I151" s="32">
        <v>1.8340000000000001</v>
      </c>
      <c r="J151" s="33">
        <f t="shared" si="18"/>
        <v>8.0000000000000071E-3</v>
      </c>
      <c r="K151" s="34" t="str">
        <f t="shared" si="19"/>
        <v/>
      </c>
      <c r="L151" s="35">
        <f t="shared" si="20"/>
        <v>7.4249999999999998</v>
      </c>
      <c r="M151" s="36" t="str">
        <f t="shared" si="21"/>
        <v/>
      </c>
      <c r="N151" s="37" t="s">
        <v>18</v>
      </c>
      <c r="O151" s="29">
        <v>1</v>
      </c>
      <c r="P151" s="38">
        <v>40</v>
      </c>
      <c r="Q151" s="46"/>
      <c r="R151" s="28" t="s">
        <v>736</v>
      </c>
      <c r="S151" s="28" t="s">
        <v>21</v>
      </c>
      <c r="T151" s="46"/>
      <c r="U151" s="28" t="s">
        <v>31</v>
      </c>
    </row>
    <row r="152" spans="1:21" s="27" customFormat="1" x14ac:dyDescent="0.25">
      <c r="A152" s="28" t="s">
        <v>21</v>
      </c>
      <c r="B152" s="28" t="s">
        <v>684</v>
      </c>
      <c r="C152" s="28" t="s">
        <v>21</v>
      </c>
      <c r="D152" s="31">
        <v>1</v>
      </c>
      <c r="E152" s="70" t="s">
        <v>111</v>
      </c>
      <c r="F152" s="45">
        <v>298</v>
      </c>
      <c r="G152" s="32"/>
      <c r="H152" s="32">
        <v>1.8440000000000001</v>
      </c>
      <c r="I152" s="32">
        <v>1.8360000000000001</v>
      </c>
      <c r="J152" s="33">
        <f t="shared" si="18"/>
        <v>8.0000000000000071E-3</v>
      </c>
      <c r="K152" s="34" t="str">
        <f t="shared" si="19"/>
        <v/>
      </c>
      <c r="L152" s="35">
        <f t="shared" si="20"/>
        <v>7.45</v>
      </c>
      <c r="M152" s="36" t="str">
        <f t="shared" si="21"/>
        <v/>
      </c>
      <c r="N152" s="37" t="s">
        <v>18</v>
      </c>
      <c r="O152" s="29">
        <v>1</v>
      </c>
      <c r="P152" s="38">
        <v>40</v>
      </c>
      <c r="Q152" s="46"/>
      <c r="R152" s="28" t="s">
        <v>735</v>
      </c>
      <c r="S152" s="28" t="s">
        <v>21</v>
      </c>
      <c r="T152" s="46"/>
      <c r="U152" s="28" t="s">
        <v>31</v>
      </c>
    </row>
    <row r="153" spans="1:21" s="27" customFormat="1" x14ac:dyDescent="0.25">
      <c r="A153" s="28" t="s">
        <v>21</v>
      </c>
      <c r="B153" s="28" t="s">
        <v>685</v>
      </c>
      <c r="C153" s="28" t="s">
        <v>21</v>
      </c>
      <c r="D153" s="31">
        <v>1</v>
      </c>
      <c r="E153" s="70" t="s">
        <v>748</v>
      </c>
      <c r="F153" s="45">
        <v>298</v>
      </c>
      <c r="G153" s="32"/>
      <c r="H153" s="32">
        <v>1.845</v>
      </c>
      <c r="I153" s="32">
        <v>1.837</v>
      </c>
      <c r="J153" s="33">
        <f t="shared" si="18"/>
        <v>8.0000000000000071E-3</v>
      </c>
      <c r="K153" s="34" t="str">
        <f t="shared" si="19"/>
        <v/>
      </c>
      <c r="L153" s="35">
        <f t="shared" si="20"/>
        <v>7.45</v>
      </c>
      <c r="M153" s="36" t="str">
        <f t="shared" si="21"/>
        <v/>
      </c>
      <c r="N153" s="37" t="s">
        <v>18</v>
      </c>
      <c r="O153" s="29">
        <v>1</v>
      </c>
      <c r="P153" s="38">
        <v>40</v>
      </c>
      <c r="Q153" s="46"/>
      <c r="R153" s="28" t="s">
        <v>738</v>
      </c>
      <c r="S153" s="28" t="s">
        <v>21</v>
      </c>
      <c r="T153" s="46"/>
      <c r="U153" s="28" t="s">
        <v>31</v>
      </c>
    </row>
    <row r="154" spans="1:21" s="27" customFormat="1" x14ac:dyDescent="0.25">
      <c r="A154" s="28" t="s">
        <v>21</v>
      </c>
      <c r="B154" s="28" t="s">
        <v>686</v>
      </c>
      <c r="C154" s="28" t="s">
        <v>21</v>
      </c>
      <c r="D154" s="31">
        <v>1</v>
      </c>
      <c r="E154" s="70" t="s">
        <v>536</v>
      </c>
      <c r="F154" s="45">
        <v>298</v>
      </c>
      <c r="G154" s="32"/>
      <c r="H154" s="32">
        <v>1.8560000000000001</v>
      </c>
      <c r="I154" s="32">
        <v>1.849</v>
      </c>
      <c r="J154" s="33">
        <f t="shared" si="18"/>
        <v>7.0000000000001172E-3</v>
      </c>
      <c r="K154" s="34" t="str">
        <f t="shared" si="19"/>
        <v/>
      </c>
      <c r="L154" s="35">
        <f t="shared" si="20"/>
        <v>7.45</v>
      </c>
      <c r="M154" s="36" t="str">
        <f t="shared" si="21"/>
        <v/>
      </c>
      <c r="N154" s="37" t="s">
        <v>18</v>
      </c>
      <c r="O154" s="29">
        <v>1</v>
      </c>
      <c r="P154" s="38">
        <v>40</v>
      </c>
      <c r="Q154" s="46"/>
      <c r="R154" s="28" t="s">
        <v>739</v>
      </c>
      <c r="S154" s="71" t="s">
        <v>103</v>
      </c>
      <c r="T154" s="46"/>
      <c r="U154" s="28" t="s">
        <v>31</v>
      </c>
    </row>
    <row r="155" spans="1:21" s="27" customFormat="1" x14ac:dyDescent="0.25">
      <c r="A155" s="28" t="s">
        <v>21</v>
      </c>
      <c r="B155" s="28" t="s">
        <v>687</v>
      </c>
      <c r="C155" s="28" t="s">
        <v>21</v>
      </c>
      <c r="D155" s="31">
        <v>1</v>
      </c>
      <c r="E155" s="70" t="s">
        <v>644</v>
      </c>
      <c r="F155" s="45">
        <v>297</v>
      </c>
      <c r="G155" s="32"/>
      <c r="H155" s="32">
        <v>1.8560000000000001</v>
      </c>
      <c r="I155" s="32">
        <v>1.8480000000000001</v>
      </c>
      <c r="J155" s="33">
        <f t="shared" si="18"/>
        <v>8.0000000000000071E-3</v>
      </c>
      <c r="K155" s="34" t="str">
        <f t="shared" si="19"/>
        <v/>
      </c>
      <c r="L155" s="35">
        <f t="shared" si="20"/>
        <v>7.4249999999999998</v>
      </c>
      <c r="M155" s="36" t="str">
        <f t="shared" si="21"/>
        <v/>
      </c>
      <c r="N155" s="37" t="s">
        <v>18</v>
      </c>
      <c r="O155" s="29">
        <v>1</v>
      </c>
      <c r="P155" s="38">
        <v>40</v>
      </c>
      <c r="Q155" s="46"/>
      <c r="R155" s="28" t="s">
        <v>740</v>
      </c>
      <c r="S155" s="71" t="s">
        <v>59</v>
      </c>
      <c r="T155" s="46"/>
      <c r="U155" s="28" t="s">
        <v>31</v>
      </c>
    </row>
    <row r="156" spans="1:21" s="27" customFormat="1" x14ac:dyDescent="0.25">
      <c r="A156" s="28" t="s">
        <v>21</v>
      </c>
      <c r="B156" s="28" t="s">
        <v>688</v>
      </c>
      <c r="C156" s="28" t="s">
        <v>21</v>
      </c>
      <c r="D156" s="31">
        <v>1</v>
      </c>
      <c r="E156" s="70" t="s">
        <v>537</v>
      </c>
      <c r="F156" s="45">
        <v>297</v>
      </c>
      <c r="G156" s="32"/>
      <c r="H156" s="32">
        <v>1.8540000000000001</v>
      </c>
      <c r="I156" s="32">
        <v>1.8460000000000001</v>
      </c>
      <c r="J156" s="33">
        <f t="shared" si="18"/>
        <v>8.0000000000000071E-3</v>
      </c>
      <c r="K156" s="34" t="str">
        <f t="shared" si="19"/>
        <v/>
      </c>
      <c r="L156" s="35">
        <f t="shared" si="20"/>
        <v>7.4249999999999998</v>
      </c>
      <c r="M156" s="36" t="str">
        <f t="shared" si="21"/>
        <v/>
      </c>
      <c r="N156" s="37" t="s">
        <v>18</v>
      </c>
      <c r="O156" s="29">
        <v>1</v>
      </c>
      <c r="P156" s="38">
        <v>40</v>
      </c>
      <c r="Q156" s="46"/>
      <c r="R156" s="28" t="s">
        <v>741</v>
      </c>
      <c r="S156" s="28" t="s">
        <v>21</v>
      </c>
      <c r="T156" s="46"/>
      <c r="U156" s="28" t="s">
        <v>31</v>
      </c>
    </row>
    <row r="157" spans="1:21" s="27" customFormat="1" x14ac:dyDescent="0.25">
      <c r="A157" s="28" t="s">
        <v>21</v>
      </c>
      <c r="B157" s="28" t="s">
        <v>689</v>
      </c>
      <c r="C157" s="28" t="s">
        <v>21</v>
      </c>
      <c r="D157" s="31">
        <v>1</v>
      </c>
      <c r="E157" s="70" t="s">
        <v>107</v>
      </c>
      <c r="F157" s="45">
        <v>297</v>
      </c>
      <c r="G157" s="32"/>
      <c r="H157" s="32">
        <v>1.849</v>
      </c>
      <c r="I157" s="32">
        <v>1.8420000000000001</v>
      </c>
      <c r="J157" s="33">
        <f t="shared" si="18"/>
        <v>6.9999999999998952E-3</v>
      </c>
      <c r="K157" s="34" t="str">
        <f t="shared" si="19"/>
        <v/>
      </c>
      <c r="L157" s="35">
        <f t="shared" si="20"/>
        <v>7.4249999999999998</v>
      </c>
      <c r="M157" s="36" t="str">
        <f t="shared" si="21"/>
        <v/>
      </c>
      <c r="N157" s="37" t="s">
        <v>18</v>
      </c>
      <c r="O157" s="29">
        <v>1</v>
      </c>
      <c r="P157" s="38">
        <v>40</v>
      </c>
      <c r="Q157" s="46"/>
      <c r="R157" s="28" t="s">
        <v>742</v>
      </c>
      <c r="S157" s="28" t="s">
        <v>21</v>
      </c>
      <c r="T157" s="46"/>
      <c r="U157" s="28" t="s">
        <v>31</v>
      </c>
    </row>
    <row r="158" spans="1:21" s="27" customFormat="1" x14ac:dyDescent="0.25">
      <c r="A158" s="28" t="s">
        <v>21</v>
      </c>
      <c r="B158" s="28" t="s">
        <v>690</v>
      </c>
      <c r="C158" s="28" t="s">
        <v>21</v>
      </c>
      <c r="D158" s="31">
        <v>1</v>
      </c>
      <c r="E158" s="70" t="s">
        <v>324</v>
      </c>
      <c r="F158" s="45">
        <v>297</v>
      </c>
      <c r="G158" s="32"/>
      <c r="H158" s="32">
        <v>1.855</v>
      </c>
      <c r="I158" s="32">
        <v>1.8480000000000001</v>
      </c>
      <c r="J158" s="33">
        <f t="shared" si="18"/>
        <v>6.9999999999998952E-3</v>
      </c>
      <c r="K158" s="34" t="str">
        <f t="shared" si="19"/>
        <v/>
      </c>
      <c r="L158" s="35">
        <f t="shared" si="20"/>
        <v>7.4249999999999998</v>
      </c>
      <c r="M158" s="36" t="str">
        <f t="shared" si="21"/>
        <v/>
      </c>
      <c r="N158" s="37" t="s">
        <v>18</v>
      </c>
      <c r="O158" s="29">
        <v>1</v>
      </c>
      <c r="P158" s="38">
        <v>40</v>
      </c>
      <c r="Q158" s="46"/>
      <c r="R158" s="28" t="s">
        <v>737</v>
      </c>
      <c r="S158" s="28" t="s">
        <v>21</v>
      </c>
      <c r="T158" s="46"/>
      <c r="U158" s="28" t="s">
        <v>31</v>
      </c>
    </row>
    <row r="159" spans="1:21" s="27" customFormat="1" x14ac:dyDescent="0.25">
      <c r="A159" s="28" t="s">
        <v>21</v>
      </c>
      <c r="B159" s="28" t="s">
        <v>691</v>
      </c>
      <c r="C159" s="28">
        <v>698354</v>
      </c>
      <c r="D159" s="31">
        <v>1</v>
      </c>
      <c r="E159" s="30" t="s">
        <v>358</v>
      </c>
      <c r="F159" s="45">
        <v>299</v>
      </c>
      <c r="G159" s="32"/>
      <c r="H159" s="32">
        <v>1.8440000000000001</v>
      </c>
      <c r="I159" s="32">
        <v>1.8360000000000001</v>
      </c>
      <c r="J159" s="33">
        <f t="shared" si="18"/>
        <v>8.0000000000000071E-3</v>
      </c>
      <c r="K159" s="34" t="str">
        <f t="shared" si="19"/>
        <v/>
      </c>
      <c r="L159" s="35">
        <f t="shared" si="20"/>
        <v>7.4749999999999996</v>
      </c>
      <c r="M159" s="36" t="str">
        <f t="shared" si="21"/>
        <v/>
      </c>
      <c r="N159" s="37" t="s">
        <v>18</v>
      </c>
      <c r="O159" s="29">
        <v>1</v>
      </c>
      <c r="P159" s="38">
        <v>40</v>
      </c>
      <c r="Q159" s="46"/>
      <c r="R159" s="28" t="s">
        <v>743</v>
      </c>
      <c r="S159" s="47"/>
      <c r="T159" s="46"/>
      <c r="U159" s="28" t="s">
        <v>31</v>
      </c>
    </row>
    <row r="160" spans="1:21" s="27" customFormat="1" x14ac:dyDescent="0.25">
      <c r="A160" s="28" t="s">
        <v>21</v>
      </c>
      <c r="B160" s="28" t="s">
        <v>692</v>
      </c>
      <c r="C160" s="28" t="s">
        <v>21</v>
      </c>
      <c r="D160" s="31">
        <v>1</v>
      </c>
      <c r="E160" s="30" t="s">
        <v>63</v>
      </c>
      <c r="F160" s="45">
        <v>298</v>
      </c>
      <c r="G160" s="32"/>
      <c r="H160" s="32">
        <v>1.851</v>
      </c>
      <c r="I160" s="32">
        <v>1.843</v>
      </c>
      <c r="J160" s="33">
        <f t="shared" si="18"/>
        <v>8.0000000000000071E-3</v>
      </c>
      <c r="K160" s="34" t="str">
        <f t="shared" si="19"/>
        <v/>
      </c>
      <c r="L160" s="35">
        <f t="shared" si="20"/>
        <v>7.45</v>
      </c>
      <c r="M160" s="36" t="str">
        <f t="shared" si="21"/>
        <v/>
      </c>
      <c r="N160" s="37" t="s">
        <v>18</v>
      </c>
      <c r="O160" s="29">
        <v>1</v>
      </c>
      <c r="P160" s="38">
        <v>40</v>
      </c>
      <c r="Q160" s="46"/>
      <c r="R160" s="28" t="s">
        <v>744</v>
      </c>
      <c r="S160" s="47"/>
      <c r="T160" s="46"/>
      <c r="U160" s="28" t="s">
        <v>31</v>
      </c>
    </row>
    <row r="161" spans="1:21" s="27" customFormat="1" x14ac:dyDescent="0.25">
      <c r="A161" s="28" t="s">
        <v>21</v>
      </c>
      <c r="B161" s="28" t="s">
        <v>693</v>
      </c>
      <c r="C161" s="28" t="s">
        <v>21</v>
      </c>
      <c r="D161" s="31">
        <v>1</v>
      </c>
      <c r="E161" s="30" t="s">
        <v>538</v>
      </c>
      <c r="F161" s="45">
        <v>298</v>
      </c>
      <c r="G161" s="32"/>
      <c r="H161" s="32">
        <v>1.85</v>
      </c>
      <c r="I161" s="32">
        <v>1.843</v>
      </c>
      <c r="J161" s="33">
        <f t="shared" si="18"/>
        <v>7.0000000000001172E-3</v>
      </c>
      <c r="K161" s="34" t="str">
        <f t="shared" si="19"/>
        <v/>
      </c>
      <c r="L161" s="35">
        <f t="shared" si="20"/>
        <v>7.45</v>
      </c>
      <c r="M161" s="36" t="str">
        <f t="shared" si="21"/>
        <v/>
      </c>
      <c r="N161" s="37" t="s">
        <v>18</v>
      </c>
      <c r="O161" s="29">
        <v>1</v>
      </c>
      <c r="P161" s="38">
        <v>40</v>
      </c>
      <c r="Q161" s="46"/>
      <c r="R161" s="28" t="s">
        <v>745</v>
      </c>
      <c r="S161" s="47"/>
      <c r="T161" s="46"/>
      <c r="U161" s="28" t="s">
        <v>31</v>
      </c>
    </row>
    <row r="162" spans="1:21" s="27" customFormat="1" x14ac:dyDescent="0.25">
      <c r="A162" s="28" t="s">
        <v>21</v>
      </c>
      <c r="B162" s="28" t="s">
        <v>694</v>
      </c>
      <c r="C162" s="28" t="s">
        <v>21</v>
      </c>
      <c r="D162" s="31">
        <v>1</v>
      </c>
      <c r="E162" s="30" t="s">
        <v>537</v>
      </c>
      <c r="F162" s="45">
        <v>298</v>
      </c>
      <c r="G162" s="32"/>
      <c r="H162" s="32">
        <v>1.85</v>
      </c>
      <c r="I162" s="32">
        <v>1.8420000000000001</v>
      </c>
      <c r="J162" s="33">
        <f t="shared" si="18"/>
        <v>8.0000000000000071E-3</v>
      </c>
      <c r="K162" s="34" t="str">
        <f t="shared" si="19"/>
        <v/>
      </c>
      <c r="L162" s="35">
        <f t="shared" si="20"/>
        <v>7.45</v>
      </c>
      <c r="M162" s="36" t="str">
        <f t="shared" si="21"/>
        <v/>
      </c>
      <c r="N162" s="37" t="s">
        <v>18</v>
      </c>
      <c r="O162" s="29">
        <v>1</v>
      </c>
      <c r="P162" s="38">
        <v>40</v>
      </c>
      <c r="Q162" s="46"/>
      <c r="R162" s="28" t="s">
        <v>746</v>
      </c>
      <c r="S162" s="47"/>
      <c r="T162" s="46"/>
      <c r="U162" s="28" t="s">
        <v>31</v>
      </c>
    </row>
    <row r="163" spans="1:21" s="27" customFormat="1" x14ac:dyDescent="0.25">
      <c r="A163" s="28" t="s">
        <v>21</v>
      </c>
      <c r="B163" s="28" t="s">
        <v>695</v>
      </c>
      <c r="C163" s="28" t="s">
        <v>21</v>
      </c>
      <c r="D163" s="31">
        <v>1</v>
      </c>
      <c r="E163" s="30" t="s">
        <v>133</v>
      </c>
      <c r="F163" s="45">
        <v>297</v>
      </c>
      <c r="G163" s="32"/>
      <c r="H163" s="32">
        <v>1.8420000000000001</v>
      </c>
      <c r="I163" s="32">
        <v>1.835</v>
      </c>
      <c r="J163" s="33">
        <f t="shared" si="18"/>
        <v>7.0000000000001172E-3</v>
      </c>
      <c r="K163" s="34" t="str">
        <f t="shared" si="19"/>
        <v/>
      </c>
      <c r="L163" s="35">
        <f t="shared" si="20"/>
        <v>7.4249999999999998</v>
      </c>
      <c r="M163" s="36" t="str">
        <f t="shared" si="21"/>
        <v/>
      </c>
      <c r="N163" s="37" t="s">
        <v>18</v>
      </c>
      <c r="O163" s="29">
        <v>1</v>
      </c>
      <c r="P163" s="38">
        <v>40</v>
      </c>
      <c r="Q163" s="46"/>
      <c r="R163" s="28" t="s">
        <v>747</v>
      </c>
      <c r="S163" s="47"/>
      <c r="T163" s="46"/>
      <c r="U163" s="28" t="s">
        <v>31</v>
      </c>
    </row>
    <row r="164" spans="1:21" s="27" customFormat="1" x14ac:dyDescent="0.25">
      <c r="A164" s="28" t="s">
        <v>21</v>
      </c>
      <c r="B164" s="28" t="s">
        <v>696</v>
      </c>
      <c r="C164" s="72">
        <v>765171</v>
      </c>
      <c r="D164" s="31">
        <v>1</v>
      </c>
      <c r="E164" s="70" t="s">
        <v>644</v>
      </c>
      <c r="F164" s="45">
        <v>299</v>
      </c>
      <c r="G164" s="32"/>
      <c r="H164" s="32">
        <v>1.877</v>
      </c>
      <c r="I164" s="32">
        <v>1.8680000000000001</v>
      </c>
      <c r="J164" s="33">
        <f t="shared" si="18"/>
        <v>8.999999999999897E-3</v>
      </c>
      <c r="K164" s="34" t="str">
        <f t="shared" si="19"/>
        <v/>
      </c>
      <c r="L164" s="35">
        <f t="shared" si="20"/>
        <v>7.4749999999999996</v>
      </c>
      <c r="M164" s="36" t="str">
        <f t="shared" si="21"/>
        <v/>
      </c>
      <c r="N164" s="37" t="s">
        <v>18</v>
      </c>
      <c r="O164" s="29">
        <v>1</v>
      </c>
      <c r="P164" s="38">
        <v>40</v>
      </c>
      <c r="Q164" s="46"/>
      <c r="R164" s="28" t="s">
        <v>751</v>
      </c>
      <c r="S164" s="71" t="s">
        <v>58</v>
      </c>
      <c r="T164" s="46"/>
      <c r="U164" s="28" t="s">
        <v>31</v>
      </c>
    </row>
    <row r="165" spans="1:21" s="27" customFormat="1" x14ac:dyDescent="0.25">
      <c r="A165" s="28" t="s">
        <v>21</v>
      </c>
      <c r="B165" s="28" t="s">
        <v>697</v>
      </c>
      <c r="C165" s="28" t="s">
        <v>21</v>
      </c>
      <c r="D165" s="31">
        <v>1</v>
      </c>
      <c r="E165" s="70" t="s">
        <v>441</v>
      </c>
      <c r="F165" s="45">
        <v>301</v>
      </c>
      <c r="G165" s="32"/>
      <c r="H165" s="32">
        <v>1.8779999999999999</v>
      </c>
      <c r="I165" s="32">
        <v>1.869</v>
      </c>
      <c r="J165" s="33">
        <f t="shared" si="18"/>
        <v>8.999999999999897E-3</v>
      </c>
      <c r="K165" s="34" t="str">
        <f t="shared" si="19"/>
        <v/>
      </c>
      <c r="L165" s="35">
        <f t="shared" si="20"/>
        <v>7.5250000000000004</v>
      </c>
      <c r="M165" s="36" t="str">
        <f t="shared" si="21"/>
        <v/>
      </c>
      <c r="N165" s="37" t="s">
        <v>18</v>
      </c>
      <c r="O165" s="29">
        <v>1</v>
      </c>
      <c r="P165" s="38">
        <v>40</v>
      </c>
      <c r="Q165" s="46"/>
      <c r="R165" s="28" t="s">
        <v>753</v>
      </c>
      <c r="S165" s="71" t="s">
        <v>59</v>
      </c>
      <c r="T165" s="46"/>
      <c r="U165" s="28" t="s">
        <v>31</v>
      </c>
    </row>
    <row r="166" spans="1:21" s="27" customFormat="1" x14ac:dyDescent="0.25">
      <c r="A166" s="28" t="s">
        <v>21</v>
      </c>
      <c r="B166" s="28" t="s">
        <v>698</v>
      </c>
      <c r="C166" s="28" t="s">
        <v>21</v>
      </c>
      <c r="D166" s="31">
        <v>1</v>
      </c>
      <c r="E166" s="70" t="s">
        <v>538</v>
      </c>
      <c r="F166" s="45">
        <v>300</v>
      </c>
      <c r="G166" s="32"/>
      <c r="H166" s="32">
        <v>1.847</v>
      </c>
      <c r="I166" s="32">
        <v>1.8360000000000001</v>
      </c>
      <c r="J166" s="33">
        <f t="shared" ref="J166:J183" si="22">IF(O166&lt;&gt;"",(H166-I166)/O166,"")</f>
        <v>1.0999999999999899E-2</v>
      </c>
      <c r="K166" s="34" t="str">
        <f t="shared" si="19"/>
        <v/>
      </c>
      <c r="L166" s="35">
        <f t="shared" ref="L166:L183" si="23">F166/(O166*P166)</f>
        <v>7.5</v>
      </c>
      <c r="M166" s="36" t="str">
        <f t="shared" ref="M166:M183" si="24">IF(L166=0,"",IF(OR(L166&lt;7,L166&gt;7.8),"X",""))</f>
        <v/>
      </c>
      <c r="N166" s="37" t="s">
        <v>18</v>
      </c>
      <c r="O166" s="29">
        <v>1</v>
      </c>
      <c r="P166" s="38">
        <v>40</v>
      </c>
      <c r="Q166" s="46"/>
      <c r="R166" s="28" t="s">
        <v>755</v>
      </c>
      <c r="S166" s="28" t="s">
        <v>21</v>
      </c>
      <c r="T166" s="46"/>
      <c r="U166" s="28" t="s">
        <v>31</v>
      </c>
    </row>
    <row r="167" spans="1:21" s="27" customFormat="1" x14ac:dyDescent="0.25">
      <c r="A167" s="28" t="s">
        <v>21</v>
      </c>
      <c r="B167" s="28" t="s">
        <v>699</v>
      </c>
      <c r="C167" s="28" t="s">
        <v>21</v>
      </c>
      <c r="D167" s="31">
        <v>1</v>
      </c>
      <c r="E167" s="70" t="s">
        <v>325</v>
      </c>
      <c r="F167" s="45">
        <v>299</v>
      </c>
      <c r="G167" s="32"/>
      <c r="H167" s="32">
        <v>1.841</v>
      </c>
      <c r="I167" s="32">
        <v>1.829</v>
      </c>
      <c r="J167" s="33">
        <f t="shared" si="22"/>
        <v>1.2000000000000011E-2</v>
      </c>
      <c r="K167" s="34" t="str">
        <f t="shared" si="19"/>
        <v/>
      </c>
      <c r="L167" s="35">
        <f t="shared" si="23"/>
        <v>7.4749999999999996</v>
      </c>
      <c r="M167" s="36" t="str">
        <f t="shared" si="24"/>
        <v/>
      </c>
      <c r="N167" s="37" t="s">
        <v>18</v>
      </c>
      <c r="O167" s="29">
        <v>1</v>
      </c>
      <c r="P167" s="38">
        <v>40</v>
      </c>
      <c r="Q167" s="46"/>
      <c r="R167" s="28" t="s">
        <v>754</v>
      </c>
      <c r="S167" s="28" t="s">
        <v>21</v>
      </c>
      <c r="T167" s="46"/>
      <c r="U167" s="28" t="s">
        <v>31</v>
      </c>
    </row>
    <row r="168" spans="1:21" s="27" customFormat="1" x14ac:dyDescent="0.25">
      <c r="A168" s="28" t="s">
        <v>21</v>
      </c>
      <c r="B168" s="28" t="s">
        <v>700</v>
      </c>
      <c r="C168" s="28" t="s">
        <v>21</v>
      </c>
      <c r="D168" s="31">
        <v>1</v>
      </c>
      <c r="E168" s="70" t="s">
        <v>129</v>
      </c>
      <c r="F168" s="45">
        <v>299</v>
      </c>
      <c r="G168" s="32"/>
      <c r="H168" s="32">
        <v>1.8680000000000001</v>
      </c>
      <c r="I168" s="32">
        <v>1.857</v>
      </c>
      <c r="J168" s="33">
        <f t="shared" si="22"/>
        <v>1.1000000000000121E-2</v>
      </c>
      <c r="K168" s="34" t="str">
        <f t="shared" si="19"/>
        <v/>
      </c>
      <c r="L168" s="35">
        <f t="shared" si="23"/>
        <v>7.4749999999999996</v>
      </c>
      <c r="M168" s="36" t="str">
        <f t="shared" si="24"/>
        <v/>
      </c>
      <c r="N168" s="37" t="s">
        <v>18</v>
      </c>
      <c r="O168" s="29">
        <v>1</v>
      </c>
      <c r="P168" s="38">
        <v>40</v>
      </c>
      <c r="Q168" s="46"/>
      <c r="R168" s="28" t="s">
        <v>757</v>
      </c>
      <c r="S168" s="28" t="s">
        <v>21</v>
      </c>
      <c r="T168" s="46"/>
      <c r="U168" s="28" t="s">
        <v>31</v>
      </c>
    </row>
    <row r="169" spans="1:21" s="27" customFormat="1" x14ac:dyDescent="0.25">
      <c r="A169" s="28" t="s">
        <v>21</v>
      </c>
      <c r="B169" s="28" t="s">
        <v>701</v>
      </c>
      <c r="C169" s="28" t="s">
        <v>21</v>
      </c>
      <c r="D169" s="31">
        <v>1</v>
      </c>
      <c r="E169" s="70" t="s">
        <v>133</v>
      </c>
      <c r="F169" s="45">
        <v>300</v>
      </c>
      <c r="G169" s="32"/>
      <c r="H169" s="32">
        <v>1.8979999999999999</v>
      </c>
      <c r="I169" s="32">
        <v>1.89</v>
      </c>
      <c r="J169" s="33">
        <f t="shared" si="22"/>
        <v>8.0000000000000071E-3</v>
      </c>
      <c r="K169" s="34" t="str">
        <f t="shared" si="19"/>
        <v/>
      </c>
      <c r="L169" s="35">
        <f t="shared" si="23"/>
        <v>7.5</v>
      </c>
      <c r="M169" s="36" t="str">
        <f t="shared" si="24"/>
        <v/>
      </c>
      <c r="N169" s="37" t="s">
        <v>18</v>
      </c>
      <c r="O169" s="29">
        <v>1</v>
      </c>
      <c r="P169" s="38">
        <v>40</v>
      </c>
      <c r="Q169" s="46"/>
      <c r="R169" s="28" t="s">
        <v>758</v>
      </c>
      <c r="S169" s="71" t="s">
        <v>103</v>
      </c>
      <c r="T169" s="46"/>
      <c r="U169" s="28" t="s">
        <v>31</v>
      </c>
    </row>
    <row r="170" spans="1:21" s="27" customFormat="1" x14ac:dyDescent="0.25">
      <c r="A170" s="28" t="s">
        <v>21</v>
      </c>
      <c r="B170" s="28" t="s">
        <v>702</v>
      </c>
      <c r="C170" s="28" t="s">
        <v>21</v>
      </c>
      <c r="D170" s="31">
        <v>1</v>
      </c>
      <c r="E170" s="70" t="s">
        <v>128</v>
      </c>
      <c r="F170" s="45">
        <v>297</v>
      </c>
      <c r="G170" s="32"/>
      <c r="H170" s="32">
        <v>1.879</v>
      </c>
      <c r="I170" s="32">
        <v>1.871</v>
      </c>
      <c r="J170" s="33">
        <f t="shared" si="22"/>
        <v>8.0000000000000071E-3</v>
      </c>
      <c r="K170" s="34" t="str">
        <f t="shared" si="19"/>
        <v/>
      </c>
      <c r="L170" s="35">
        <f t="shared" si="23"/>
        <v>7.4249999999999998</v>
      </c>
      <c r="M170" s="36" t="str">
        <f t="shared" si="24"/>
        <v/>
      </c>
      <c r="N170" s="37" t="s">
        <v>18</v>
      </c>
      <c r="O170" s="29">
        <v>1</v>
      </c>
      <c r="P170" s="38">
        <v>40</v>
      </c>
      <c r="Q170" s="46"/>
      <c r="R170" s="28" t="s">
        <v>752</v>
      </c>
      <c r="S170" s="71" t="s">
        <v>59</v>
      </c>
      <c r="T170" s="46"/>
      <c r="U170" s="28" t="s">
        <v>31</v>
      </c>
    </row>
    <row r="171" spans="1:21" s="27" customFormat="1" x14ac:dyDescent="0.25">
      <c r="A171" s="28" t="s">
        <v>21</v>
      </c>
      <c r="B171" s="28" t="s">
        <v>703</v>
      </c>
      <c r="C171" s="28" t="s">
        <v>21</v>
      </c>
      <c r="D171" s="31">
        <v>1</v>
      </c>
      <c r="E171" s="70" t="s">
        <v>269</v>
      </c>
      <c r="F171" s="45">
        <v>300</v>
      </c>
      <c r="G171" s="32"/>
      <c r="H171" s="32">
        <v>1.8819999999999999</v>
      </c>
      <c r="I171" s="32">
        <v>1.8720000000000001</v>
      </c>
      <c r="J171" s="33">
        <f t="shared" si="22"/>
        <v>9.9999999999997868E-3</v>
      </c>
      <c r="K171" s="34" t="str">
        <f t="shared" si="19"/>
        <v/>
      </c>
      <c r="L171" s="35">
        <f t="shared" si="23"/>
        <v>7.5</v>
      </c>
      <c r="M171" s="36" t="str">
        <f t="shared" si="24"/>
        <v/>
      </c>
      <c r="N171" s="37" t="s">
        <v>18</v>
      </c>
      <c r="O171" s="29">
        <v>1</v>
      </c>
      <c r="P171" s="38">
        <v>40</v>
      </c>
      <c r="Q171" s="46"/>
      <c r="R171" s="28" t="s">
        <v>759</v>
      </c>
      <c r="S171" s="28" t="s">
        <v>21</v>
      </c>
      <c r="T171" s="46"/>
      <c r="U171" s="28" t="s">
        <v>31</v>
      </c>
    </row>
    <row r="172" spans="1:21" s="27" customFormat="1" x14ac:dyDescent="0.25">
      <c r="A172" s="28" t="s">
        <v>21</v>
      </c>
      <c r="B172" s="28" t="s">
        <v>704</v>
      </c>
      <c r="C172" s="28" t="s">
        <v>21</v>
      </c>
      <c r="D172" s="31">
        <v>1</v>
      </c>
      <c r="E172" s="70" t="s">
        <v>441</v>
      </c>
      <c r="F172" s="45">
        <v>299</v>
      </c>
      <c r="G172" s="32"/>
      <c r="H172" s="32">
        <v>1.8859999999999999</v>
      </c>
      <c r="I172" s="32">
        <v>1.8759999999999999</v>
      </c>
      <c r="J172" s="33">
        <f t="shared" si="22"/>
        <v>1.0000000000000009E-2</v>
      </c>
      <c r="K172" s="34" t="str">
        <f t="shared" si="19"/>
        <v/>
      </c>
      <c r="L172" s="35">
        <f t="shared" si="23"/>
        <v>7.4749999999999996</v>
      </c>
      <c r="M172" s="36" t="str">
        <f t="shared" si="24"/>
        <v/>
      </c>
      <c r="N172" s="37" t="s">
        <v>18</v>
      </c>
      <c r="O172" s="29">
        <v>1</v>
      </c>
      <c r="P172" s="38">
        <v>40</v>
      </c>
      <c r="Q172" s="46"/>
      <c r="R172" s="28" t="s">
        <v>756</v>
      </c>
      <c r="S172" s="28" t="s">
        <v>21</v>
      </c>
      <c r="T172" s="46"/>
      <c r="U172" s="28" t="s">
        <v>31</v>
      </c>
    </row>
    <row r="173" spans="1:21" s="27" customFormat="1" x14ac:dyDescent="0.25">
      <c r="A173" s="28" t="s">
        <v>21</v>
      </c>
      <c r="B173" s="28" t="s">
        <v>705</v>
      </c>
      <c r="C173" s="28" t="s">
        <v>21</v>
      </c>
      <c r="D173" s="31">
        <v>1</v>
      </c>
      <c r="E173" s="70" t="s">
        <v>359</v>
      </c>
      <c r="F173" s="45">
        <v>298</v>
      </c>
      <c r="G173" s="32"/>
      <c r="H173" s="32">
        <v>1.887</v>
      </c>
      <c r="I173" s="32">
        <v>1.877</v>
      </c>
      <c r="J173" s="33">
        <f t="shared" si="22"/>
        <v>1.0000000000000009E-2</v>
      </c>
      <c r="K173" s="34" t="str">
        <f t="shared" si="19"/>
        <v/>
      </c>
      <c r="L173" s="35">
        <f t="shared" si="23"/>
        <v>7.45</v>
      </c>
      <c r="M173" s="36" t="str">
        <f t="shared" si="24"/>
        <v/>
      </c>
      <c r="N173" s="37" t="s">
        <v>18</v>
      </c>
      <c r="O173" s="29">
        <v>1</v>
      </c>
      <c r="P173" s="38">
        <v>40</v>
      </c>
      <c r="Q173" s="46"/>
      <c r="R173" s="28" t="s">
        <v>760</v>
      </c>
      <c r="S173" s="28" t="s">
        <v>21</v>
      </c>
      <c r="T173" s="46"/>
      <c r="U173" s="28" t="s">
        <v>31</v>
      </c>
    </row>
    <row r="174" spans="1:21" s="27" customFormat="1" x14ac:dyDescent="0.25">
      <c r="A174" s="28" t="s">
        <v>21</v>
      </c>
      <c r="B174" s="28" t="s">
        <v>706</v>
      </c>
      <c r="C174" s="28">
        <v>698354</v>
      </c>
      <c r="D174" s="31">
        <v>1</v>
      </c>
      <c r="E174" s="30" t="s">
        <v>566</v>
      </c>
      <c r="F174" s="45">
        <v>298</v>
      </c>
      <c r="G174" s="32"/>
      <c r="H174" s="32">
        <v>1.853</v>
      </c>
      <c r="I174" s="32">
        <v>1.845</v>
      </c>
      <c r="J174" s="33">
        <f t="shared" si="22"/>
        <v>8.0000000000000071E-3</v>
      </c>
      <c r="K174" s="34" t="str">
        <f t="shared" si="19"/>
        <v/>
      </c>
      <c r="L174" s="35">
        <f t="shared" si="23"/>
        <v>7.45</v>
      </c>
      <c r="M174" s="36" t="str">
        <f t="shared" si="24"/>
        <v/>
      </c>
      <c r="N174" s="37" t="s">
        <v>18</v>
      </c>
      <c r="O174" s="29">
        <v>1</v>
      </c>
      <c r="P174" s="38">
        <v>40</v>
      </c>
      <c r="Q174" s="46"/>
      <c r="R174" s="28" t="s">
        <v>761</v>
      </c>
      <c r="S174" s="47"/>
      <c r="T174" s="46"/>
      <c r="U174" s="28" t="s">
        <v>31</v>
      </c>
    </row>
    <row r="175" spans="1:21" s="27" customFormat="1" x14ac:dyDescent="0.25">
      <c r="A175" s="28" t="s">
        <v>21</v>
      </c>
      <c r="B175" s="28" t="s">
        <v>707</v>
      </c>
      <c r="C175" s="28" t="s">
        <v>21</v>
      </c>
      <c r="D175" s="31">
        <v>1</v>
      </c>
      <c r="E175" s="30" t="s">
        <v>771</v>
      </c>
      <c r="F175" s="45">
        <v>299</v>
      </c>
      <c r="G175" s="32"/>
      <c r="H175" s="32">
        <v>1.847</v>
      </c>
      <c r="I175" s="32">
        <v>1.839</v>
      </c>
      <c r="J175" s="33">
        <f t="shared" si="22"/>
        <v>8.0000000000000071E-3</v>
      </c>
      <c r="K175" s="34" t="str">
        <f t="shared" si="19"/>
        <v/>
      </c>
      <c r="L175" s="35">
        <f t="shared" si="23"/>
        <v>7.4749999999999996</v>
      </c>
      <c r="M175" s="36" t="str">
        <f t="shared" si="24"/>
        <v/>
      </c>
      <c r="N175" s="37" t="s">
        <v>18</v>
      </c>
      <c r="O175" s="29">
        <v>1</v>
      </c>
      <c r="P175" s="38">
        <v>40</v>
      </c>
      <c r="Q175" s="46"/>
      <c r="R175" s="28" t="s">
        <v>762</v>
      </c>
      <c r="S175" s="47"/>
      <c r="T175" s="46"/>
      <c r="U175" s="28" t="s">
        <v>31</v>
      </c>
    </row>
    <row r="176" spans="1:21" s="27" customFormat="1" x14ac:dyDescent="0.25">
      <c r="A176" s="28" t="s">
        <v>21</v>
      </c>
      <c r="B176" s="28" t="s">
        <v>708</v>
      </c>
      <c r="C176" s="28" t="s">
        <v>21</v>
      </c>
      <c r="D176" s="31">
        <v>1</v>
      </c>
      <c r="E176" s="30" t="s">
        <v>566</v>
      </c>
      <c r="F176" s="45">
        <v>300</v>
      </c>
      <c r="G176" s="32"/>
      <c r="H176" s="32">
        <v>1.8480000000000001</v>
      </c>
      <c r="I176" s="32">
        <v>1.841</v>
      </c>
      <c r="J176" s="33">
        <f t="shared" si="22"/>
        <v>7.0000000000001172E-3</v>
      </c>
      <c r="K176" s="34" t="str">
        <f t="shared" si="19"/>
        <v/>
      </c>
      <c r="L176" s="35">
        <f t="shared" si="23"/>
        <v>7.5</v>
      </c>
      <c r="M176" s="36" t="str">
        <f t="shared" si="24"/>
        <v/>
      </c>
      <c r="N176" s="37" t="s">
        <v>18</v>
      </c>
      <c r="O176" s="29">
        <v>1</v>
      </c>
      <c r="P176" s="38">
        <v>40</v>
      </c>
      <c r="Q176" s="46"/>
      <c r="R176" s="28" t="s">
        <v>763</v>
      </c>
      <c r="S176" s="47"/>
      <c r="T176" s="46"/>
      <c r="U176" s="28" t="s">
        <v>31</v>
      </c>
    </row>
    <row r="177" spans="1:21" s="27" customFormat="1" x14ac:dyDescent="0.25">
      <c r="A177" s="28" t="s">
        <v>21</v>
      </c>
      <c r="B177" s="28" t="s">
        <v>709</v>
      </c>
      <c r="C177" s="28" t="s">
        <v>21</v>
      </c>
      <c r="D177" s="31">
        <v>1</v>
      </c>
      <c r="E177" s="30" t="s">
        <v>566</v>
      </c>
      <c r="F177" s="45">
        <v>299</v>
      </c>
      <c r="G177" s="32"/>
      <c r="H177" s="32">
        <v>1.8540000000000001</v>
      </c>
      <c r="I177" s="32">
        <v>1.847</v>
      </c>
      <c r="J177" s="33">
        <f t="shared" si="22"/>
        <v>7.0000000000001172E-3</v>
      </c>
      <c r="K177" s="34" t="str">
        <f t="shared" si="19"/>
        <v/>
      </c>
      <c r="L177" s="35">
        <f t="shared" si="23"/>
        <v>7.4749999999999996</v>
      </c>
      <c r="M177" s="36" t="str">
        <f t="shared" si="24"/>
        <v/>
      </c>
      <c r="N177" s="37" t="s">
        <v>18</v>
      </c>
      <c r="O177" s="29">
        <v>1</v>
      </c>
      <c r="P177" s="38">
        <v>40</v>
      </c>
      <c r="Q177" s="46"/>
      <c r="R177" s="28" t="s">
        <v>750</v>
      </c>
      <c r="S177" s="47"/>
      <c r="T177" s="46"/>
      <c r="U177" s="28" t="s">
        <v>31</v>
      </c>
    </row>
    <row r="178" spans="1:21" s="27" customFormat="1" x14ac:dyDescent="0.25">
      <c r="A178" s="28" t="s">
        <v>21</v>
      </c>
      <c r="B178" s="28" t="s">
        <v>710</v>
      </c>
      <c r="C178" s="28" t="s">
        <v>21</v>
      </c>
      <c r="D178" s="31">
        <v>1</v>
      </c>
      <c r="E178" s="30" t="s">
        <v>772</v>
      </c>
      <c r="F178" s="45">
        <v>300</v>
      </c>
      <c r="G178" s="32"/>
      <c r="H178" s="32">
        <v>1.8580000000000001</v>
      </c>
      <c r="I178" s="32">
        <v>1.851</v>
      </c>
      <c r="J178" s="33">
        <f t="shared" si="22"/>
        <v>7.0000000000001172E-3</v>
      </c>
      <c r="K178" s="34" t="str">
        <f t="shared" si="19"/>
        <v/>
      </c>
      <c r="L178" s="35">
        <f t="shared" si="23"/>
        <v>7.5</v>
      </c>
      <c r="M178" s="36" t="str">
        <f t="shared" si="24"/>
        <v/>
      </c>
      <c r="N178" s="37" t="s">
        <v>18</v>
      </c>
      <c r="O178" s="29">
        <v>1</v>
      </c>
      <c r="P178" s="38">
        <v>40</v>
      </c>
      <c r="Q178" s="46"/>
      <c r="R178" s="28" t="s">
        <v>765</v>
      </c>
      <c r="S178" s="47"/>
      <c r="T178" s="46"/>
      <c r="U178" s="28" t="s">
        <v>31</v>
      </c>
    </row>
    <row r="179" spans="1:21" s="27" customFormat="1" x14ac:dyDescent="0.25">
      <c r="A179" s="28" t="s">
        <v>21</v>
      </c>
      <c r="B179" s="28" t="s">
        <v>711</v>
      </c>
      <c r="C179" s="28" t="s">
        <v>21</v>
      </c>
      <c r="D179" s="31">
        <v>1</v>
      </c>
      <c r="E179" s="30" t="s">
        <v>566</v>
      </c>
      <c r="F179" s="45">
        <v>298</v>
      </c>
      <c r="G179" s="32"/>
      <c r="H179" s="32">
        <v>1.86</v>
      </c>
      <c r="I179" s="32">
        <v>1.853</v>
      </c>
      <c r="J179" s="33">
        <f t="shared" si="22"/>
        <v>7.0000000000001172E-3</v>
      </c>
      <c r="K179" s="34" t="str">
        <f t="shared" si="19"/>
        <v/>
      </c>
      <c r="L179" s="35">
        <f t="shared" si="23"/>
        <v>7.45</v>
      </c>
      <c r="M179" s="36" t="str">
        <f t="shared" si="24"/>
        <v/>
      </c>
      <c r="N179" s="37" t="s">
        <v>18</v>
      </c>
      <c r="O179" s="29">
        <v>1</v>
      </c>
      <c r="P179" s="38">
        <v>40</v>
      </c>
      <c r="Q179" s="46"/>
      <c r="R179" s="28" t="s">
        <v>766</v>
      </c>
      <c r="S179" s="47"/>
      <c r="T179" s="46"/>
      <c r="U179" s="28" t="s">
        <v>31</v>
      </c>
    </row>
    <row r="180" spans="1:21" s="27" customFormat="1" x14ac:dyDescent="0.25">
      <c r="A180" s="28" t="s">
        <v>21</v>
      </c>
      <c r="B180" s="28" t="s">
        <v>712</v>
      </c>
      <c r="C180" s="28" t="s">
        <v>21</v>
      </c>
      <c r="D180" s="31">
        <v>1</v>
      </c>
      <c r="E180" s="30" t="s">
        <v>568</v>
      </c>
      <c r="F180" s="45">
        <v>300</v>
      </c>
      <c r="G180" s="32"/>
      <c r="H180" s="32">
        <v>1.851</v>
      </c>
      <c r="I180" s="32">
        <v>1.8440000000000001</v>
      </c>
      <c r="J180" s="33">
        <f t="shared" si="22"/>
        <v>6.9999999999998952E-3</v>
      </c>
      <c r="K180" s="34" t="str">
        <f t="shared" si="19"/>
        <v/>
      </c>
      <c r="L180" s="35">
        <f t="shared" si="23"/>
        <v>7.5</v>
      </c>
      <c r="M180" s="36" t="str">
        <f t="shared" si="24"/>
        <v/>
      </c>
      <c r="N180" s="37" t="s">
        <v>18</v>
      </c>
      <c r="O180" s="29">
        <v>1</v>
      </c>
      <c r="P180" s="38">
        <v>40</v>
      </c>
      <c r="Q180" s="46"/>
      <c r="R180" s="28" t="s">
        <v>767</v>
      </c>
      <c r="S180" s="47"/>
      <c r="T180" s="46"/>
      <c r="U180" s="28" t="s">
        <v>31</v>
      </c>
    </row>
    <row r="181" spans="1:21" s="27" customFormat="1" x14ac:dyDescent="0.25">
      <c r="A181" s="28" t="s">
        <v>21</v>
      </c>
      <c r="B181" s="28" t="s">
        <v>713</v>
      </c>
      <c r="C181" s="28" t="s">
        <v>21</v>
      </c>
      <c r="D181" s="31">
        <v>1</v>
      </c>
      <c r="E181" s="30" t="s">
        <v>566</v>
      </c>
      <c r="F181" s="45">
        <v>299</v>
      </c>
      <c r="G181" s="32"/>
      <c r="H181" s="32">
        <v>1.841</v>
      </c>
      <c r="I181" s="32">
        <v>1.8320000000000001</v>
      </c>
      <c r="J181" s="33">
        <f t="shared" si="22"/>
        <v>8.999999999999897E-3</v>
      </c>
      <c r="K181" s="34" t="str">
        <f t="shared" si="19"/>
        <v/>
      </c>
      <c r="L181" s="35">
        <f t="shared" si="23"/>
        <v>7.4749999999999996</v>
      </c>
      <c r="M181" s="36" t="str">
        <f t="shared" si="24"/>
        <v/>
      </c>
      <c r="N181" s="37" t="s">
        <v>18</v>
      </c>
      <c r="O181" s="29">
        <v>1</v>
      </c>
      <c r="P181" s="38">
        <v>40</v>
      </c>
      <c r="Q181" s="46"/>
      <c r="R181" s="28" t="s">
        <v>764</v>
      </c>
      <c r="S181" s="47"/>
      <c r="T181" s="46"/>
      <c r="U181" s="28" t="s">
        <v>31</v>
      </c>
    </row>
    <row r="182" spans="1:21" s="27" customFormat="1" x14ac:dyDescent="0.25">
      <c r="A182" s="28" t="s">
        <v>21</v>
      </c>
      <c r="B182" s="28" t="s">
        <v>714</v>
      </c>
      <c r="C182" s="28" t="s">
        <v>21</v>
      </c>
      <c r="D182" s="31">
        <v>1</v>
      </c>
      <c r="E182" s="30" t="s">
        <v>771</v>
      </c>
      <c r="F182" s="45">
        <v>298</v>
      </c>
      <c r="G182" s="32"/>
      <c r="H182" s="32">
        <v>1.84</v>
      </c>
      <c r="I182" s="32">
        <v>1.831</v>
      </c>
      <c r="J182" s="33">
        <f t="shared" si="22"/>
        <v>9.000000000000119E-3</v>
      </c>
      <c r="K182" s="34" t="str">
        <f t="shared" si="19"/>
        <v/>
      </c>
      <c r="L182" s="35">
        <f t="shared" si="23"/>
        <v>7.45</v>
      </c>
      <c r="M182" s="36" t="str">
        <f t="shared" si="24"/>
        <v/>
      </c>
      <c r="N182" s="37" t="s">
        <v>18</v>
      </c>
      <c r="O182" s="29">
        <v>1</v>
      </c>
      <c r="P182" s="38">
        <v>40</v>
      </c>
      <c r="Q182" s="46"/>
      <c r="R182" s="28" t="s">
        <v>768</v>
      </c>
      <c r="S182" s="47"/>
      <c r="T182" s="46"/>
      <c r="U182" s="28" t="s">
        <v>31</v>
      </c>
    </row>
    <row r="183" spans="1:21" s="27" customFormat="1" x14ac:dyDescent="0.25">
      <c r="A183" s="28" t="s">
        <v>21</v>
      </c>
      <c r="B183" s="28" t="s">
        <v>715</v>
      </c>
      <c r="C183" s="28" t="s">
        <v>21</v>
      </c>
      <c r="D183" s="31">
        <v>1</v>
      </c>
      <c r="E183" s="30" t="s">
        <v>770</v>
      </c>
      <c r="F183" s="45">
        <v>299</v>
      </c>
      <c r="G183" s="32"/>
      <c r="H183" s="32">
        <v>1.8440000000000001</v>
      </c>
      <c r="I183" s="32">
        <v>1.8380000000000001</v>
      </c>
      <c r="J183" s="33">
        <f t="shared" si="22"/>
        <v>6.0000000000000053E-3</v>
      </c>
      <c r="K183" s="34" t="str">
        <f t="shared" si="19"/>
        <v/>
      </c>
      <c r="L183" s="35">
        <f t="shared" si="23"/>
        <v>7.4749999999999996</v>
      </c>
      <c r="M183" s="36" t="str">
        <f t="shared" si="24"/>
        <v/>
      </c>
      <c r="N183" s="37" t="s">
        <v>18</v>
      </c>
      <c r="O183" s="29">
        <v>1</v>
      </c>
      <c r="P183" s="38">
        <v>40</v>
      </c>
      <c r="Q183" s="46"/>
      <c r="R183" s="28" t="s">
        <v>769</v>
      </c>
      <c r="S183" s="47"/>
      <c r="T183" s="46"/>
      <c r="U183" s="28" t="s">
        <v>31</v>
      </c>
    </row>
    <row r="184" spans="1:21" s="27" customFormat="1" x14ac:dyDescent="0.25">
      <c r="A184" s="28" t="s">
        <v>773</v>
      </c>
      <c r="B184" s="28" t="s">
        <v>774</v>
      </c>
      <c r="C184" s="28">
        <v>698228</v>
      </c>
      <c r="D184" s="31">
        <v>1</v>
      </c>
      <c r="E184" s="70" t="s">
        <v>109</v>
      </c>
      <c r="F184" s="31">
        <v>186</v>
      </c>
      <c r="G184" s="32"/>
      <c r="H184" s="32">
        <v>1.879</v>
      </c>
      <c r="I184" s="32">
        <v>1.873</v>
      </c>
      <c r="J184" s="33">
        <f t="shared" ref="J184:J198" si="25">IF(O184&lt;&gt;"",(H184-I184)/O184,"")</f>
        <v>6.0000000000000053E-3</v>
      </c>
      <c r="K184" s="34" t="str">
        <f t="shared" si="19"/>
        <v/>
      </c>
      <c r="L184" s="35">
        <f t="shared" ref="L184:L198" si="26">F184/(O184*P184)</f>
        <v>7.44</v>
      </c>
      <c r="M184" s="36" t="str">
        <f t="shared" ref="M184:M198" si="27">IF(L184=0,"",IF(OR(L184&lt;7,L184&gt;7.8),"X",""))</f>
        <v/>
      </c>
      <c r="N184" s="37" t="s">
        <v>16</v>
      </c>
      <c r="O184" s="29">
        <v>1</v>
      </c>
      <c r="P184" s="38">
        <v>25</v>
      </c>
      <c r="Q184" s="28"/>
      <c r="R184" s="28" t="s">
        <v>789</v>
      </c>
      <c r="S184" s="71" t="s">
        <v>58</v>
      </c>
      <c r="T184" s="28"/>
      <c r="U184" s="28" t="s">
        <v>31</v>
      </c>
    </row>
    <row r="185" spans="1:21" s="27" customFormat="1" x14ac:dyDescent="0.25">
      <c r="A185" s="28" t="s">
        <v>21</v>
      </c>
      <c r="B185" s="28" t="s">
        <v>775</v>
      </c>
      <c r="C185" s="28" t="s">
        <v>21</v>
      </c>
      <c r="D185" s="31">
        <v>1</v>
      </c>
      <c r="E185" s="70" t="s">
        <v>127</v>
      </c>
      <c r="F185" s="31">
        <v>185</v>
      </c>
      <c r="G185" s="32"/>
      <c r="H185" s="32">
        <v>1.873</v>
      </c>
      <c r="I185" s="32">
        <v>1.867</v>
      </c>
      <c r="J185" s="33">
        <f t="shared" si="25"/>
        <v>6.0000000000000053E-3</v>
      </c>
      <c r="K185" s="34" t="str">
        <f t="shared" si="19"/>
        <v/>
      </c>
      <c r="L185" s="35">
        <f t="shared" si="26"/>
        <v>7.4</v>
      </c>
      <c r="M185" s="36" t="str">
        <f t="shared" si="27"/>
        <v/>
      </c>
      <c r="N185" s="37" t="s">
        <v>16</v>
      </c>
      <c r="O185" s="29">
        <v>1</v>
      </c>
      <c r="P185" s="38">
        <v>25</v>
      </c>
      <c r="Q185" s="28"/>
      <c r="R185" s="28" t="s">
        <v>791</v>
      </c>
      <c r="S185" s="71" t="s">
        <v>59</v>
      </c>
      <c r="T185" s="28"/>
      <c r="U185" s="28" t="s">
        <v>31</v>
      </c>
    </row>
    <row r="186" spans="1:21" s="27" customFormat="1" x14ac:dyDescent="0.25">
      <c r="A186" s="28" t="s">
        <v>21</v>
      </c>
      <c r="B186" s="28" t="s">
        <v>776</v>
      </c>
      <c r="C186" s="28" t="s">
        <v>21</v>
      </c>
      <c r="D186" s="31">
        <v>1</v>
      </c>
      <c r="E186" s="70" t="s">
        <v>270</v>
      </c>
      <c r="F186" s="31">
        <v>185</v>
      </c>
      <c r="G186" s="32"/>
      <c r="H186" s="32">
        <v>1.8640000000000001</v>
      </c>
      <c r="I186" s="32">
        <v>1.8580000000000001</v>
      </c>
      <c r="J186" s="33">
        <f t="shared" si="25"/>
        <v>6.0000000000000053E-3</v>
      </c>
      <c r="K186" s="34" t="str">
        <f t="shared" si="19"/>
        <v/>
      </c>
      <c r="L186" s="35">
        <f t="shared" si="26"/>
        <v>7.4</v>
      </c>
      <c r="M186" s="36" t="str">
        <f t="shared" si="27"/>
        <v/>
      </c>
      <c r="N186" s="37" t="s">
        <v>16</v>
      </c>
      <c r="O186" s="29">
        <v>1</v>
      </c>
      <c r="P186" s="38">
        <v>25</v>
      </c>
      <c r="Q186" s="28"/>
      <c r="R186" s="28" t="s">
        <v>793</v>
      </c>
      <c r="S186" s="28" t="s">
        <v>21</v>
      </c>
      <c r="T186" s="28"/>
      <c r="U186" s="28" t="s">
        <v>31</v>
      </c>
    </row>
    <row r="187" spans="1:21" s="27" customFormat="1" x14ac:dyDescent="0.25">
      <c r="A187" s="28" t="s">
        <v>21</v>
      </c>
      <c r="B187" s="28" t="s">
        <v>777</v>
      </c>
      <c r="C187" s="28" t="s">
        <v>21</v>
      </c>
      <c r="D187" s="31">
        <v>1</v>
      </c>
      <c r="E187" s="70" t="s">
        <v>356</v>
      </c>
      <c r="F187" s="31">
        <v>184</v>
      </c>
      <c r="G187" s="32"/>
      <c r="H187" s="32">
        <v>1.8759999999999999</v>
      </c>
      <c r="I187" s="32">
        <v>1.87</v>
      </c>
      <c r="J187" s="33">
        <f t="shared" si="25"/>
        <v>5.9999999999997833E-3</v>
      </c>
      <c r="K187" s="34" t="str">
        <f t="shared" si="19"/>
        <v/>
      </c>
      <c r="L187" s="35">
        <f t="shared" si="26"/>
        <v>7.36</v>
      </c>
      <c r="M187" s="36" t="str">
        <f t="shared" si="27"/>
        <v/>
      </c>
      <c r="N187" s="37" t="s">
        <v>16</v>
      </c>
      <c r="O187" s="29">
        <v>1</v>
      </c>
      <c r="P187" s="38">
        <v>25</v>
      </c>
      <c r="Q187" s="28"/>
      <c r="R187" s="28" t="s">
        <v>790</v>
      </c>
      <c r="S187" s="28" t="s">
        <v>21</v>
      </c>
      <c r="T187" s="28"/>
      <c r="U187" s="28" t="s">
        <v>31</v>
      </c>
    </row>
    <row r="188" spans="1:21" s="27" customFormat="1" x14ac:dyDescent="0.25">
      <c r="A188" s="28" t="s">
        <v>21</v>
      </c>
      <c r="B188" s="28" t="s">
        <v>778</v>
      </c>
      <c r="C188" s="28" t="s">
        <v>21</v>
      </c>
      <c r="D188" s="31">
        <v>1</v>
      </c>
      <c r="E188" s="70" t="s">
        <v>409</v>
      </c>
      <c r="F188" s="31">
        <v>185</v>
      </c>
      <c r="G188" s="32"/>
      <c r="H188" s="32">
        <v>1.8560000000000001</v>
      </c>
      <c r="I188" s="32">
        <v>1.85</v>
      </c>
      <c r="J188" s="33">
        <f t="shared" si="25"/>
        <v>6.0000000000000053E-3</v>
      </c>
      <c r="K188" s="34" t="str">
        <f t="shared" si="19"/>
        <v/>
      </c>
      <c r="L188" s="35">
        <f t="shared" si="26"/>
        <v>7.4</v>
      </c>
      <c r="M188" s="36" t="str">
        <f t="shared" si="27"/>
        <v/>
      </c>
      <c r="N188" s="37" t="s">
        <v>16</v>
      </c>
      <c r="O188" s="29">
        <v>1</v>
      </c>
      <c r="P188" s="38">
        <v>25</v>
      </c>
      <c r="Q188" s="28"/>
      <c r="R188" s="28" t="s">
        <v>796</v>
      </c>
      <c r="S188" s="28" t="s">
        <v>21</v>
      </c>
      <c r="T188" s="28"/>
      <c r="U188" s="28" t="s">
        <v>31</v>
      </c>
    </row>
    <row r="189" spans="1:21" s="27" customFormat="1" x14ac:dyDescent="0.25">
      <c r="A189" s="28" t="s">
        <v>21</v>
      </c>
      <c r="B189" s="28" t="s">
        <v>779</v>
      </c>
      <c r="C189" s="28" t="s">
        <v>21</v>
      </c>
      <c r="D189" s="31">
        <v>1</v>
      </c>
      <c r="E189" s="70" t="s">
        <v>484</v>
      </c>
      <c r="F189" s="31">
        <v>185</v>
      </c>
      <c r="G189" s="32"/>
      <c r="H189" s="32">
        <v>1.885</v>
      </c>
      <c r="I189" s="32">
        <v>1.879</v>
      </c>
      <c r="J189" s="33">
        <f t="shared" si="25"/>
        <v>6.0000000000000053E-3</v>
      </c>
      <c r="K189" s="34" t="str">
        <f t="shared" si="19"/>
        <v/>
      </c>
      <c r="L189" s="35">
        <f t="shared" si="26"/>
        <v>7.4</v>
      </c>
      <c r="M189" s="36" t="str">
        <f t="shared" si="27"/>
        <v/>
      </c>
      <c r="N189" s="37" t="s">
        <v>16</v>
      </c>
      <c r="O189" s="29">
        <v>1</v>
      </c>
      <c r="P189" s="38">
        <v>25</v>
      </c>
      <c r="Q189" s="28"/>
      <c r="R189" s="28" t="s">
        <v>797</v>
      </c>
      <c r="S189" s="71" t="s">
        <v>103</v>
      </c>
      <c r="T189" s="28"/>
      <c r="U189" s="28" t="s">
        <v>31</v>
      </c>
    </row>
    <row r="190" spans="1:21" s="27" customFormat="1" x14ac:dyDescent="0.25">
      <c r="A190" s="28" t="s">
        <v>21</v>
      </c>
      <c r="B190" s="28" t="s">
        <v>780</v>
      </c>
      <c r="C190" s="28" t="s">
        <v>21</v>
      </c>
      <c r="D190" s="31">
        <v>1</v>
      </c>
      <c r="E190" s="70" t="s">
        <v>270</v>
      </c>
      <c r="F190" s="31">
        <v>185</v>
      </c>
      <c r="G190" s="32"/>
      <c r="H190" s="32">
        <v>1.879</v>
      </c>
      <c r="I190" s="32">
        <v>1.8740000000000001</v>
      </c>
      <c r="J190" s="33">
        <f t="shared" si="25"/>
        <v>4.9999999999998934E-3</v>
      </c>
      <c r="K190" s="34" t="str">
        <f t="shared" si="19"/>
        <v/>
      </c>
      <c r="L190" s="35">
        <f t="shared" si="26"/>
        <v>7.4</v>
      </c>
      <c r="M190" s="36" t="str">
        <f t="shared" si="27"/>
        <v/>
      </c>
      <c r="N190" s="37" t="s">
        <v>16</v>
      </c>
      <c r="O190" s="29">
        <v>1</v>
      </c>
      <c r="P190" s="38">
        <v>25</v>
      </c>
      <c r="Q190" s="28"/>
      <c r="R190" s="28" t="s">
        <v>798</v>
      </c>
      <c r="S190" s="71" t="s">
        <v>59</v>
      </c>
      <c r="T190" s="28"/>
      <c r="U190" s="28" t="s">
        <v>31</v>
      </c>
    </row>
    <row r="191" spans="1:21" s="27" customFormat="1" x14ac:dyDescent="0.25">
      <c r="A191" s="28" t="s">
        <v>21</v>
      </c>
      <c r="B191" s="28" t="s">
        <v>781</v>
      </c>
      <c r="C191" s="28" t="s">
        <v>21</v>
      </c>
      <c r="D191" s="31">
        <v>1</v>
      </c>
      <c r="E191" s="70" t="s">
        <v>233</v>
      </c>
      <c r="F191" s="31">
        <v>185</v>
      </c>
      <c r="G191" s="32"/>
      <c r="H191" s="32">
        <v>1.885</v>
      </c>
      <c r="I191" s="32">
        <v>1.879</v>
      </c>
      <c r="J191" s="33">
        <f t="shared" si="25"/>
        <v>6.0000000000000053E-3</v>
      </c>
      <c r="K191" s="34" t="str">
        <f t="shared" si="19"/>
        <v/>
      </c>
      <c r="L191" s="35">
        <f t="shared" si="26"/>
        <v>7.4</v>
      </c>
      <c r="M191" s="36" t="str">
        <f t="shared" si="27"/>
        <v/>
      </c>
      <c r="N191" s="37" t="s">
        <v>16</v>
      </c>
      <c r="O191" s="29">
        <v>1</v>
      </c>
      <c r="P191" s="38">
        <v>25</v>
      </c>
      <c r="Q191" s="28"/>
      <c r="R191" s="28" t="s">
        <v>799</v>
      </c>
      <c r="S191" s="28" t="s">
        <v>21</v>
      </c>
      <c r="T191" s="28"/>
      <c r="U191" s="28" t="s">
        <v>31</v>
      </c>
    </row>
    <row r="192" spans="1:21" s="27" customFormat="1" x14ac:dyDescent="0.25">
      <c r="A192" s="28" t="s">
        <v>21</v>
      </c>
      <c r="B192" s="28" t="s">
        <v>782</v>
      </c>
      <c r="C192" s="28" t="s">
        <v>21</v>
      </c>
      <c r="D192" s="31">
        <v>1</v>
      </c>
      <c r="E192" s="70" t="s">
        <v>127</v>
      </c>
      <c r="F192" s="31">
        <v>186</v>
      </c>
      <c r="G192" s="32"/>
      <c r="H192" s="32">
        <v>1.873</v>
      </c>
      <c r="I192" s="32">
        <v>1.867</v>
      </c>
      <c r="J192" s="33">
        <f t="shared" si="25"/>
        <v>6.0000000000000053E-3</v>
      </c>
      <c r="K192" s="34" t="str">
        <f t="shared" si="19"/>
        <v/>
      </c>
      <c r="L192" s="35">
        <f t="shared" si="26"/>
        <v>7.44</v>
      </c>
      <c r="M192" s="36" t="str">
        <f t="shared" si="27"/>
        <v/>
      </c>
      <c r="N192" s="37" t="s">
        <v>16</v>
      </c>
      <c r="O192" s="29">
        <v>1</v>
      </c>
      <c r="P192" s="38">
        <v>25</v>
      </c>
      <c r="Q192" s="28"/>
      <c r="R192" s="28" t="s">
        <v>801</v>
      </c>
      <c r="S192" s="28" t="s">
        <v>21</v>
      </c>
      <c r="T192" s="28"/>
      <c r="U192" s="28" t="s">
        <v>31</v>
      </c>
    </row>
    <row r="193" spans="1:21" s="27" customFormat="1" x14ac:dyDescent="0.25">
      <c r="A193" s="28" t="s">
        <v>21</v>
      </c>
      <c r="B193" s="28" t="s">
        <v>783</v>
      </c>
      <c r="C193" s="28" t="s">
        <v>21</v>
      </c>
      <c r="D193" s="31">
        <v>1</v>
      </c>
      <c r="E193" s="70" t="s">
        <v>127</v>
      </c>
      <c r="F193" s="31">
        <v>185</v>
      </c>
      <c r="G193" s="32"/>
      <c r="H193" s="32">
        <v>1.877</v>
      </c>
      <c r="I193" s="32">
        <v>1.8720000000000001</v>
      </c>
      <c r="J193" s="33">
        <f t="shared" si="25"/>
        <v>4.9999999999998934E-3</v>
      </c>
      <c r="K193" s="34" t="str">
        <f t="shared" si="19"/>
        <v/>
      </c>
      <c r="L193" s="35">
        <f t="shared" si="26"/>
        <v>7.4</v>
      </c>
      <c r="M193" s="36" t="str">
        <f t="shared" si="27"/>
        <v/>
      </c>
      <c r="N193" s="37" t="s">
        <v>16</v>
      </c>
      <c r="O193" s="29">
        <v>1</v>
      </c>
      <c r="P193" s="38">
        <v>25</v>
      </c>
      <c r="Q193" s="28"/>
      <c r="R193" s="28" t="s">
        <v>795</v>
      </c>
      <c r="S193" s="28" t="s">
        <v>21</v>
      </c>
      <c r="T193" s="28"/>
      <c r="U193" s="28" t="s">
        <v>31</v>
      </c>
    </row>
    <row r="194" spans="1:21" s="27" customFormat="1" x14ac:dyDescent="0.25">
      <c r="A194" s="28" t="s">
        <v>21</v>
      </c>
      <c r="B194" s="28" t="s">
        <v>784</v>
      </c>
      <c r="C194" s="28" t="s">
        <v>21</v>
      </c>
      <c r="D194" s="31">
        <v>1</v>
      </c>
      <c r="E194" s="30" t="s">
        <v>131</v>
      </c>
      <c r="F194" s="31">
        <v>184</v>
      </c>
      <c r="G194" s="32"/>
      <c r="H194" s="32">
        <v>1.871</v>
      </c>
      <c r="I194" s="32">
        <v>1.8660000000000001</v>
      </c>
      <c r="J194" s="33">
        <f t="shared" si="25"/>
        <v>4.9999999999998934E-3</v>
      </c>
      <c r="K194" s="34" t="str">
        <f t="shared" si="19"/>
        <v/>
      </c>
      <c r="L194" s="35">
        <f t="shared" si="26"/>
        <v>7.36</v>
      </c>
      <c r="M194" s="36" t="str">
        <f t="shared" si="27"/>
        <v/>
      </c>
      <c r="N194" s="37" t="s">
        <v>16</v>
      </c>
      <c r="O194" s="29">
        <v>1</v>
      </c>
      <c r="P194" s="38">
        <v>25</v>
      </c>
      <c r="Q194" s="28"/>
      <c r="R194" s="28" t="s">
        <v>794</v>
      </c>
      <c r="S194" s="39"/>
      <c r="T194" s="28"/>
      <c r="U194" s="28" t="s">
        <v>31</v>
      </c>
    </row>
    <row r="195" spans="1:21" s="27" customFormat="1" x14ac:dyDescent="0.25">
      <c r="A195" s="28" t="s">
        <v>21</v>
      </c>
      <c r="B195" s="28" t="s">
        <v>785</v>
      </c>
      <c r="C195" s="28" t="s">
        <v>21</v>
      </c>
      <c r="D195" s="31">
        <v>1</v>
      </c>
      <c r="E195" s="30" t="s">
        <v>537</v>
      </c>
      <c r="F195" s="31">
        <v>184</v>
      </c>
      <c r="G195" s="32"/>
      <c r="H195" s="32">
        <v>1.865</v>
      </c>
      <c r="I195" s="32">
        <v>1.86</v>
      </c>
      <c r="J195" s="33">
        <f t="shared" si="25"/>
        <v>4.9999999999998934E-3</v>
      </c>
      <c r="K195" s="34" t="str">
        <f t="shared" si="19"/>
        <v/>
      </c>
      <c r="L195" s="35">
        <f t="shared" si="26"/>
        <v>7.36</v>
      </c>
      <c r="M195" s="36" t="str">
        <f t="shared" si="27"/>
        <v/>
      </c>
      <c r="N195" s="37" t="s">
        <v>16</v>
      </c>
      <c r="O195" s="29">
        <v>1</v>
      </c>
      <c r="P195" s="38">
        <v>25</v>
      </c>
      <c r="Q195" s="28"/>
      <c r="R195" s="28" t="s">
        <v>792</v>
      </c>
      <c r="S195" s="39"/>
      <c r="T195" s="28"/>
      <c r="U195" s="28" t="s">
        <v>31</v>
      </c>
    </row>
    <row r="196" spans="1:21" s="27" customFormat="1" x14ac:dyDescent="0.25">
      <c r="A196" s="28" t="s">
        <v>21</v>
      </c>
      <c r="B196" s="28" t="s">
        <v>786</v>
      </c>
      <c r="C196" s="28" t="s">
        <v>21</v>
      </c>
      <c r="D196" s="31">
        <v>1</v>
      </c>
      <c r="E196" s="30" t="s">
        <v>131</v>
      </c>
      <c r="F196" s="31">
        <v>186</v>
      </c>
      <c r="G196" s="32"/>
      <c r="H196" s="32">
        <v>1.863</v>
      </c>
      <c r="I196" s="32">
        <v>1.8580000000000001</v>
      </c>
      <c r="J196" s="33">
        <f t="shared" si="25"/>
        <v>4.9999999999998934E-3</v>
      </c>
      <c r="K196" s="34" t="str">
        <f t="shared" si="19"/>
        <v/>
      </c>
      <c r="L196" s="35">
        <f t="shared" si="26"/>
        <v>7.44</v>
      </c>
      <c r="M196" s="36" t="str">
        <f t="shared" si="27"/>
        <v/>
      </c>
      <c r="N196" s="37" t="s">
        <v>16</v>
      </c>
      <c r="O196" s="29">
        <v>1</v>
      </c>
      <c r="P196" s="38">
        <v>25</v>
      </c>
      <c r="Q196" s="28"/>
      <c r="R196" s="28" t="s">
        <v>802</v>
      </c>
      <c r="S196" s="39"/>
      <c r="T196" s="28"/>
      <c r="U196" s="28" t="s">
        <v>31</v>
      </c>
    </row>
    <row r="197" spans="1:21" s="27" customFormat="1" x14ac:dyDescent="0.25">
      <c r="A197" s="28" t="s">
        <v>21</v>
      </c>
      <c r="B197" s="28" t="s">
        <v>787</v>
      </c>
      <c r="C197" s="28" t="s">
        <v>21</v>
      </c>
      <c r="D197" s="31">
        <v>1</v>
      </c>
      <c r="E197" s="30" t="s">
        <v>240</v>
      </c>
      <c r="F197" s="31">
        <v>185</v>
      </c>
      <c r="G197" s="32"/>
      <c r="H197" s="32">
        <v>1.877</v>
      </c>
      <c r="I197" s="32">
        <v>1.8720000000000001</v>
      </c>
      <c r="J197" s="33">
        <f t="shared" si="25"/>
        <v>4.9999999999998934E-3</v>
      </c>
      <c r="K197" s="34" t="str">
        <f t="shared" si="19"/>
        <v/>
      </c>
      <c r="L197" s="35">
        <f t="shared" si="26"/>
        <v>7.4</v>
      </c>
      <c r="M197" s="36" t="str">
        <f t="shared" si="27"/>
        <v/>
      </c>
      <c r="N197" s="37" t="s">
        <v>16</v>
      </c>
      <c r="O197" s="29">
        <v>1</v>
      </c>
      <c r="P197" s="38">
        <v>25</v>
      </c>
      <c r="Q197" s="28"/>
      <c r="R197" s="28" t="s">
        <v>803</v>
      </c>
      <c r="S197" s="39"/>
      <c r="T197" s="28"/>
      <c r="U197" s="28" t="s">
        <v>31</v>
      </c>
    </row>
    <row r="198" spans="1:21" s="27" customFormat="1" x14ac:dyDescent="0.25">
      <c r="A198" s="28" t="s">
        <v>21</v>
      </c>
      <c r="B198" s="28" t="s">
        <v>788</v>
      </c>
      <c r="C198" s="28" t="s">
        <v>21</v>
      </c>
      <c r="D198" s="31">
        <v>1</v>
      </c>
      <c r="E198" s="30" t="s">
        <v>644</v>
      </c>
      <c r="F198" s="31">
        <v>185</v>
      </c>
      <c r="G198" s="32"/>
      <c r="H198" s="32">
        <v>1.8740000000000001</v>
      </c>
      <c r="I198" s="32">
        <v>1.869</v>
      </c>
      <c r="J198" s="33">
        <f t="shared" si="25"/>
        <v>5.0000000000001155E-3</v>
      </c>
      <c r="K198" s="34" t="str">
        <f t="shared" ref="K198:K200" si="28">IF(J198=0,"",IF(OR(J198&lt;0,J198&gt;0.03),"X",""))</f>
        <v/>
      </c>
      <c r="L198" s="35">
        <f t="shared" si="26"/>
        <v>7.4</v>
      </c>
      <c r="M198" s="36" t="str">
        <f t="shared" si="27"/>
        <v/>
      </c>
      <c r="N198" s="37" t="s">
        <v>16</v>
      </c>
      <c r="O198" s="29">
        <v>1</v>
      </c>
      <c r="P198" s="38">
        <v>25</v>
      </c>
      <c r="Q198" s="28"/>
      <c r="R198" s="28" t="s">
        <v>800</v>
      </c>
      <c r="S198" s="39"/>
      <c r="T198" s="28"/>
      <c r="U198" s="28" t="s">
        <v>31</v>
      </c>
    </row>
    <row r="199" spans="1:21" s="27" customFormat="1" x14ac:dyDescent="0.25">
      <c r="A199" s="28" t="s">
        <v>804</v>
      </c>
      <c r="B199" s="44" t="s">
        <v>805</v>
      </c>
      <c r="C199" s="28">
        <v>698354</v>
      </c>
      <c r="D199" s="31">
        <v>1</v>
      </c>
      <c r="E199" s="30"/>
      <c r="F199" s="45"/>
      <c r="G199" s="32"/>
      <c r="H199" s="32"/>
      <c r="I199" s="32"/>
      <c r="J199" s="33">
        <f>IF(O199&lt;&gt;"",(H199-I199)/O199,"")</f>
        <v>0</v>
      </c>
      <c r="K199" s="34" t="str">
        <f t="shared" si="28"/>
        <v/>
      </c>
      <c r="L199" s="35">
        <f>F199/(O199*P199)</f>
        <v>0</v>
      </c>
      <c r="M199" s="36" t="str">
        <f>IF(L199=0,"",IF(OR(L199&lt;7,L199&gt;7.8),"X",""))</f>
        <v/>
      </c>
      <c r="N199" s="37" t="s">
        <v>18</v>
      </c>
      <c r="O199" s="29">
        <v>1</v>
      </c>
      <c r="P199" s="38">
        <v>40</v>
      </c>
      <c r="Q199" s="46"/>
      <c r="R199" s="28" t="s">
        <v>806</v>
      </c>
      <c r="S199" s="47"/>
      <c r="T199" s="46"/>
      <c r="U199" s="28" t="s">
        <v>31</v>
      </c>
    </row>
    <row r="200" spans="1:21" s="27" customFormat="1" x14ac:dyDescent="0.25">
      <c r="A200" s="28" t="s">
        <v>804</v>
      </c>
      <c r="B200" s="44" t="s">
        <v>805</v>
      </c>
      <c r="C200" s="28">
        <v>698354</v>
      </c>
      <c r="D200" s="31">
        <v>1</v>
      </c>
      <c r="E200" s="70" t="s">
        <v>233</v>
      </c>
      <c r="F200" s="45">
        <v>900</v>
      </c>
      <c r="G200" s="32">
        <v>1.83</v>
      </c>
      <c r="H200" s="32">
        <v>5.4870000000000001</v>
      </c>
      <c r="I200" s="32">
        <v>5.4690000000000003</v>
      </c>
      <c r="J200" s="33">
        <f>IF(O200&lt;&gt;"",(H200-I200)/O200,"")</f>
        <v>5.9999999999999316E-3</v>
      </c>
      <c r="K200" s="34" t="str">
        <f t="shared" si="28"/>
        <v/>
      </c>
      <c r="L200" s="35">
        <f>F200/(O200*P200)</f>
        <v>7.5</v>
      </c>
      <c r="M200" s="36" t="str">
        <f>IF(L200=0,"",IF(OR(L200&lt;7,L200&gt;7.8),"X",""))</f>
        <v/>
      </c>
      <c r="N200" s="37" t="s">
        <v>23</v>
      </c>
      <c r="O200" s="29">
        <v>3</v>
      </c>
      <c r="P200" s="38">
        <v>40</v>
      </c>
      <c r="Q200" s="28"/>
      <c r="R200" s="28" t="s">
        <v>806</v>
      </c>
      <c r="S200" s="71" t="s">
        <v>103</v>
      </c>
      <c r="T200" s="46"/>
      <c r="U200" s="28" t="s">
        <v>31</v>
      </c>
    </row>
    <row r="201" spans="1:21" s="27" customFormat="1" x14ac:dyDescent="0.25">
      <c r="A201" s="28" t="s">
        <v>21</v>
      </c>
      <c r="B201" s="28" t="s">
        <v>21</v>
      </c>
      <c r="C201" s="28" t="s">
        <v>21</v>
      </c>
      <c r="D201" s="31">
        <v>1</v>
      </c>
      <c r="E201" s="70"/>
      <c r="F201" s="31"/>
      <c r="G201" s="32">
        <v>1.8260000000000001</v>
      </c>
      <c r="H201" s="32"/>
      <c r="I201" s="32"/>
      <c r="J201" s="33" t="str">
        <f t="shared" ref="J201:J202" si="29">IF(O201&lt;&gt;"",(H201-I201)/O201,"")</f>
        <v/>
      </c>
      <c r="K201" s="34"/>
      <c r="L201" s="35"/>
      <c r="M201" s="36" t="str">
        <f t="shared" ref="M201:M202" si="30">IF(L201=0,"",IF(OR(L201&lt;7.4,L201&gt;8),"X",""))</f>
        <v/>
      </c>
      <c r="N201" s="37"/>
      <c r="O201" s="29"/>
      <c r="P201" s="38"/>
      <c r="Q201" s="28"/>
      <c r="R201" s="28" t="s">
        <v>809</v>
      </c>
      <c r="S201" s="71" t="s">
        <v>59</v>
      </c>
      <c r="T201" s="46"/>
      <c r="U201" s="28" t="s">
        <v>31</v>
      </c>
    </row>
    <row r="202" spans="1:21" s="27" customFormat="1" ht="14.25" customHeight="1" x14ac:dyDescent="0.25">
      <c r="A202" s="28" t="s">
        <v>21</v>
      </c>
      <c r="B202" s="28" t="s">
        <v>21</v>
      </c>
      <c r="C202" s="28" t="s">
        <v>21</v>
      </c>
      <c r="D202" s="31">
        <v>1</v>
      </c>
      <c r="E202" s="70"/>
      <c r="F202" s="31"/>
      <c r="G202" s="32">
        <v>1.825</v>
      </c>
      <c r="H202" s="32"/>
      <c r="I202" s="32"/>
      <c r="J202" s="33" t="str">
        <f t="shared" si="29"/>
        <v/>
      </c>
      <c r="K202" s="34"/>
      <c r="L202" s="35"/>
      <c r="M202" s="36" t="str">
        <f t="shared" si="30"/>
        <v/>
      </c>
      <c r="N202" s="37"/>
      <c r="O202" s="29"/>
      <c r="P202" s="38"/>
      <c r="Q202" s="28"/>
      <c r="R202" s="28" t="s">
        <v>807</v>
      </c>
      <c r="S202" s="28" t="s">
        <v>21</v>
      </c>
      <c r="T202" s="46"/>
      <c r="U202" s="28" t="s">
        <v>31</v>
      </c>
    </row>
    <row r="203" spans="1:21" s="27" customFormat="1" x14ac:dyDescent="0.25">
      <c r="A203" s="28" t="s">
        <v>810</v>
      </c>
      <c r="B203" s="28" t="s">
        <v>811</v>
      </c>
      <c r="C203" s="28">
        <v>698354</v>
      </c>
      <c r="D203" s="31">
        <v>1</v>
      </c>
      <c r="E203" s="70" t="s">
        <v>462</v>
      </c>
      <c r="F203" s="45">
        <v>602</v>
      </c>
      <c r="G203" s="32">
        <v>1.851</v>
      </c>
      <c r="H203" s="32">
        <v>3.702</v>
      </c>
      <c r="I203" s="32">
        <v>3.6869999999999998</v>
      </c>
      <c r="J203" s="33">
        <f>IF(O203&lt;&gt;"",(H203-I203)/O203,"")</f>
        <v>7.5000000000000622E-3</v>
      </c>
      <c r="K203" s="34" t="str">
        <f t="shared" ref="K203:K222" si="31">IF(J203=0,"",IF(OR(J203&lt;0,J203&gt;0.03),"X",""))</f>
        <v/>
      </c>
      <c r="L203" s="35">
        <f>F203/(O203*P203)</f>
        <v>7.5250000000000004</v>
      </c>
      <c r="M203" s="36" t="str">
        <f>IF(L203=0,"",IF(OR(L203&lt;7,L203&gt;7.8),"X",""))</f>
        <v/>
      </c>
      <c r="N203" s="37" t="s">
        <v>20</v>
      </c>
      <c r="O203" s="29">
        <v>2</v>
      </c>
      <c r="P203" s="38">
        <v>40</v>
      </c>
      <c r="Q203" s="28"/>
      <c r="R203" s="28" t="s">
        <v>808</v>
      </c>
      <c r="S203" s="28" t="s">
        <v>21</v>
      </c>
      <c r="T203" s="28"/>
      <c r="U203" s="28" t="s">
        <v>31</v>
      </c>
    </row>
    <row r="204" spans="1:21" s="27" customFormat="1" x14ac:dyDescent="0.25">
      <c r="A204" s="28" t="s">
        <v>21</v>
      </c>
      <c r="B204" s="28" t="s">
        <v>21</v>
      </c>
      <c r="C204" s="28" t="s">
        <v>21</v>
      </c>
      <c r="D204" s="31">
        <v>1</v>
      </c>
      <c r="E204" s="70"/>
      <c r="F204" s="31"/>
      <c r="G204" s="32">
        <v>1.8520000000000001</v>
      </c>
      <c r="H204" s="32"/>
      <c r="I204" s="32"/>
      <c r="J204" s="33"/>
      <c r="K204" s="34" t="str">
        <f t="shared" si="31"/>
        <v/>
      </c>
      <c r="L204" s="35"/>
      <c r="M204" s="36" t="str">
        <f t="shared" ref="M204:M222" si="32">IF(L204=0,"",IF(OR(L204&lt;7.4,L204&gt;8),"X",""))</f>
        <v/>
      </c>
      <c r="N204" s="37"/>
      <c r="O204" s="29"/>
      <c r="P204" s="38"/>
      <c r="Q204" s="28"/>
      <c r="R204" s="28" t="s">
        <v>821</v>
      </c>
      <c r="S204" s="28" t="s">
        <v>21</v>
      </c>
      <c r="T204" s="28"/>
      <c r="U204" s="28" t="s">
        <v>31</v>
      </c>
    </row>
    <row r="205" spans="1:21" s="27" customFormat="1" x14ac:dyDescent="0.25">
      <c r="A205" s="28" t="s">
        <v>21</v>
      </c>
      <c r="B205" s="28" t="s">
        <v>812</v>
      </c>
      <c r="C205" s="28">
        <v>698354</v>
      </c>
      <c r="D205" s="31">
        <v>1</v>
      </c>
      <c r="E205" s="70" t="s">
        <v>105</v>
      </c>
      <c r="F205" s="45">
        <v>602</v>
      </c>
      <c r="G205" s="32">
        <v>1.8520000000000001</v>
      </c>
      <c r="H205" s="32">
        <v>3.7010000000000001</v>
      </c>
      <c r="I205" s="32">
        <v>3.6850000000000001</v>
      </c>
      <c r="J205" s="33">
        <f>IF(O205&lt;&gt;"",(H205-I205)/O205,"")</f>
        <v>8.0000000000000071E-3</v>
      </c>
      <c r="K205" s="34" t="str">
        <f t="shared" si="31"/>
        <v/>
      </c>
      <c r="L205" s="35">
        <f>F205/(O205*P205)</f>
        <v>7.5250000000000004</v>
      </c>
      <c r="M205" s="36" t="str">
        <f>IF(L205=0,"",IF(OR(L205&lt;7,L205&gt;7.8),"X",""))</f>
        <v/>
      </c>
      <c r="N205" s="37" t="s">
        <v>20</v>
      </c>
      <c r="O205" s="29">
        <v>2</v>
      </c>
      <c r="P205" s="38">
        <v>40</v>
      </c>
      <c r="Q205" s="28"/>
      <c r="R205" s="28" t="s">
        <v>822</v>
      </c>
      <c r="S205" s="28" t="s">
        <v>21</v>
      </c>
      <c r="T205" s="28"/>
      <c r="U205" s="28" t="s">
        <v>31</v>
      </c>
    </row>
    <row r="206" spans="1:21" s="27" customFormat="1" x14ac:dyDescent="0.25">
      <c r="A206" s="28" t="s">
        <v>21</v>
      </c>
      <c r="B206" s="28" t="s">
        <v>21</v>
      </c>
      <c r="C206" s="28" t="s">
        <v>21</v>
      </c>
      <c r="D206" s="31">
        <v>1</v>
      </c>
      <c r="E206" s="70"/>
      <c r="F206" s="31"/>
      <c r="G206" s="32">
        <v>1.849</v>
      </c>
      <c r="H206" s="32"/>
      <c r="I206" s="32"/>
      <c r="J206" s="33"/>
      <c r="K206" s="34" t="str">
        <f t="shared" si="31"/>
        <v/>
      </c>
      <c r="L206" s="35"/>
      <c r="M206" s="36" t="str">
        <f t="shared" si="32"/>
        <v/>
      </c>
      <c r="N206" s="37"/>
      <c r="O206" s="29"/>
      <c r="P206" s="38"/>
      <c r="Q206" s="28"/>
      <c r="R206" s="28" t="s">
        <v>823</v>
      </c>
      <c r="S206" s="28" t="s">
        <v>21</v>
      </c>
      <c r="T206" s="28"/>
      <c r="U206" s="28" t="s">
        <v>31</v>
      </c>
    </row>
    <row r="207" spans="1:21" s="27" customFormat="1" x14ac:dyDescent="0.25">
      <c r="A207" s="28" t="s">
        <v>21</v>
      </c>
      <c r="B207" s="28" t="s">
        <v>813</v>
      </c>
      <c r="C207" s="28" t="s">
        <v>21</v>
      </c>
      <c r="D207" s="31">
        <v>1</v>
      </c>
      <c r="E207" s="70" t="s">
        <v>355</v>
      </c>
      <c r="F207" s="45">
        <v>599</v>
      </c>
      <c r="G207" s="32">
        <v>1.857</v>
      </c>
      <c r="H207" s="32">
        <v>3.7090000000000001</v>
      </c>
      <c r="I207" s="32">
        <v>3.6970000000000001</v>
      </c>
      <c r="J207" s="33">
        <f>IF(O207&lt;&gt;"",(H207-I207)/O207,"")</f>
        <v>6.0000000000000053E-3</v>
      </c>
      <c r="K207" s="34" t="str">
        <f t="shared" si="31"/>
        <v/>
      </c>
      <c r="L207" s="35">
        <f>F207/(O207*P207)</f>
        <v>7.4874999999999998</v>
      </c>
      <c r="M207" s="36" t="str">
        <f>IF(L207=0,"",IF(OR(L207&lt;7,L207&gt;7.8),"X",""))</f>
        <v/>
      </c>
      <c r="N207" s="37" t="s">
        <v>20</v>
      </c>
      <c r="O207" s="29">
        <v>2</v>
      </c>
      <c r="P207" s="38">
        <v>40</v>
      </c>
      <c r="Q207" s="28"/>
      <c r="R207" s="28" t="s">
        <v>824</v>
      </c>
      <c r="S207" s="28" t="s">
        <v>21</v>
      </c>
      <c r="T207" s="28"/>
      <c r="U207" s="28" t="s">
        <v>31</v>
      </c>
    </row>
    <row r="208" spans="1:21" s="27" customFormat="1" x14ac:dyDescent="0.25">
      <c r="A208" s="28" t="s">
        <v>21</v>
      </c>
      <c r="B208" s="28" t="s">
        <v>21</v>
      </c>
      <c r="C208" s="28" t="s">
        <v>21</v>
      </c>
      <c r="D208" s="31">
        <v>1</v>
      </c>
      <c r="E208" s="70"/>
      <c r="F208" s="31"/>
      <c r="G208" s="32">
        <v>1.8520000000000001</v>
      </c>
      <c r="H208" s="32"/>
      <c r="I208" s="32"/>
      <c r="J208" s="33"/>
      <c r="K208" s="34" t="str">
        <f t="shared" si="31"/>
        <v/>
      </c>
      <c r="L208" s="35"/>
      <c r="M208" s="36" t="str">
        <f t="shared" si="32"/>
        <v/>
      </c>
      <c r="N208" s="37"/>
      <c r="O208" s="29"/>
      <c r="P208" s="38"/>
      <c r="Q208" s="28"/>
      <c r="R208" s="28" t="s">
        <v>825</v>
      </c>
      <c r="S208" s="28" t="s">
        <v>21</v>
      </c>
      <c r="T208" s="28"/>
      <c r="U208" s="28" t="s">
        <v>31</v>
      </c>
    </row>
    <row r="209" spans="1:21" s="27" customFormat="1" x14ac:dyDescent="0.25">
      <c r="A209" s="28" t="s">
        <v>21</v>
      </c>
      <c r="B209" s="28" t="s">
        <v>814</v>
      </c>
      <c r="C209" s="28" t="s">
        <v>21</v>
      </c>
      <c r="D209" s="31">
        <v>1</v>
      </c>
      <c r="E209" s="70" t="s">
        <v>462</v>
      </c>
      <c r="F209" s="45">
        <v>602</v>
      </c>
      <c r="G209" s="32">
        <v>1.851</v>
      </c>
      <c r="H209" s="32">
        <v>3.694</v>
      </c>
      <c r="I209" s="32">
        <v>3.6779999999999999</v>
      </c>
      <c r="J209" s="33">
        <f>IF(O209&lt;&gt;"",(H209-I209)/O209,"")</f>
        <v>8.0000000000000071E-3</v>
      </c>
      <c r="K209" s="34" t="str">
        <f t="shared" si="31"/>
        <v/>
      </c>
      <c r="L209" s="35">
        <f>F209/(O209*P209)</f>
        <v>7.5250000000000004</v>
      </c>
      <c r="M209" s="36" t="str">
        <f>IF(L209=0,"",IF(OR(L209&lt;7,L209&gt;7.8),"X",""))</f>
        <v/>
      </c>
      <c r="N209" s="37" t="s">
        <v>20</v>
      </c>
      <c r="O209" s="29">
        <v>2</v>
      </c>
      <c r="P209" s="38">
        <v>40</v>
      </c>
      <c r="Q209" s="28"/>
      <c r="R209" s="28" t="s">
        <v>827</v>
      </c>
      <c r="S209" s="28" t="s">
        <v>21</v>
      </c>
      <c r="T209" s="28"/>
      <c r="U209" s="28" t="s">
        <v>31</v>
      </c>
    </row>
    <row r="210" spans="1:21" s="27" customFormat="1" x14ac:dyDescent="0.25">
      <c r="A210" s="28" t="s">
        <v>21</v>
      </c>
      <c r="B210" s="28" t="s">
        <v>21</v>
      </c>
      <c r="C210" s="28" t="s">
        <v>21</v>
      </c>
      <c r="D210" s="31">
        <v>1</v>
      </c>
      <c r="E210" s="70"/>
      <c r="F210" s="31"/>
      <c r="G210" s="32">
        <v>1.843</v>
      </c>
      <c r="H210" s="32"/>
      <c r="I210" s="32"/>
      <c r="J210" s="33"/>
      <c r="K210" s="34" t="str">
        <f t="shared" si="31"/>
        <v/>
      </c>
      <c r="L210" s="35"/>
      <c r="M210" s="36" t="str">
        <f t="shared" si="32"/>
        <v/>
      </c>
      <c r="N210" s="37"/>
      <c r="O210" s="29"/>
      <c r="P210" s="38"/>
      <c r="Q210" s="28"/>
      <c r="R210" s="28" t="s">
        <v>828</v>
      </c>
      <c r="S210" s="28" t="s">
        <v>21</v>
      </c>
      <c r="T210" s="28"/>
      <c r="U210" s="28" t="s">
        <v>31</v>
      </c>
    </row>
    <row r="211" spans="1:21" s="27" customFormat="1" x14ac:dyDescent="0.25">
      <c r="A211" s="28" t="s">
        <v>21</v>
      </c>
      <c r="B211" s="28" t="s">
        <v>815</v>
      </c>
      <c r="C211" s="28" t="s">
        <v>21</v>
      </c>
      <c r="D211" s="31">
        <v>1</v>
      </c>
      <c r="E211" s="70" t="s">
        <v>233</v>
      </c>
      <c r="F211" s="45">
        <v>601</v>
      </c>
      <c r="G211" s="32">
        <v>1.849</v>
      </c>
      <c r="H211" s="32">
        <v>3.7</v>
      </c>
      <c r="I211" s="32">
        <v>3.6850000000000001</v>
      </c>
      <c r="J211" s="33">
        <f>IF(O211&lt;&gt;"",(H211-I211)/O211,"")</f>
        <v>7.5000000000000622E-3</v>
      </c>
      <c r="K211" s="34" t="str">
        <f t="shared" si="31"/>
        <v/>
      </c>
      <c r="L211" s="35">
        <f>F211/(O211*P211)</f>
        <v>7.5125000000000002</v>
      </c>
      <c r="M211" s="36" t="str">
        <f>IF(L211=0,"",IF(OR(L211&lt;7,L211&gt;7.8),"X",""))</f>
        <v/>
      </c>
      <c r="N211" s="37" t="s">
        <v>20</v>
      </c>
      <c r="O211" s="29">
        <v>2</v>
      </c>
      <c r="P211" s="38">
        <v>40</v>
      </c>
      <c r="Q211" s="28"/>
      <c r="R211" s="28" t="s">
        <v>826</v>
      </c>
      <c r="S211" s="28" t="s">
        <v>21</v>
      </c>
      <c r="T211" s="28"/>
      <c r="U211" s="28" t="s">
        <v>31</v>
      </c>
    </row>
    <row r="212" spans="1:21" s="27" customFormat="1" x14ac:dyDescent="0.25">
      <c r="A212" s="28" t="s">
        <v>21</v>
      </c>
      <c r="B212" s="28" t="s">
        <v>21</v>
      </c>
      <c r="C212" s="28" t="s">
        <v>21</v>
      </c>
      <c r="D212" s="31">
        <v>1</v>
      </c>
      <c r="E212" s="70"/>
      <c r="F212" s="31"/>
      <c r="G212" s="32">
        <v>1.8520000000000001</v>
      </c>
      <c r="H212" s="32"/>
      <c r="I212" s="32"/>
      <c r="J212" s="33"/>
      <c r="K212" s="34" t="str">
        <f t="shared" si="31"/>
        <v/>
      </c>
      <c r="L212" s="35"/>
      <c r="M212" s="36" t="str">
        <f t="shared" si="32"/>
        <v/>
      </c>
      <c r="N212" s="37"/>
      <c r="O212" s="29"/>
      <c r="P212" s="38"/>
      <c r="Q212" s="28"/>
      <c r="R212" s="28" t="s">
        <v>829</v>
      </c>
      <c r="S212" s="28" t="s">
        <v>21</v>
      </c>
      <c r="T212" s="28"/>
      <c r="U212" s="28" t="s">
        <v>31</v>
      </c>
    </row>
    <row r="213" spans="1:21" s="27" customFormat="1" x14ac:dyDescent="0.25">
      <c r="A213" s="28" t="s">
        <v>21</v>
      </c>
      <c r="B213" s="28" t="s">
        <v>816</v>
      </c>
      <c r="C213" s="28" t="s">
        <v>21</v>
      </c>
      <c r="D213" s="31">
        <v>1</v>
      </c>
      <c r="E213" s="70" t="s">
        <v>271</v>
      </c>
      <c r="F213" s="45">
        <v>602</v>
      </c>
      <c r="G213" s="32">
        <v>1.8620000000000001</v>
      </c>
      <c r="H213" s="32">
        <v>3.7170000000000001</v>
      </c>
      <c r="I213" s="32">
        <v>3.702</v>
      </c>
      <c r="J213" s="33">
        <f>IF(O213&lt;&gt;"",(H213-I213)/O213,"")</f>
        <v>7.5000000000000622E-3</v>
      </c>
      <c r="K213" s="34" t="str">
        <f t="shared" si="31"/>
        <v/>
      </c>
      <c r="L213" s="35">
        <f>F213/(O213*P213)</f>
        <v>7.5250000000000004</v>
      </c>
      <c r="M213" s="36" t="str">
        <f>IF(L213=0,"",IF(OR(L213&lt;7,L213&gt;7.8),"X",""))</f>
        <v/>
      </c>
      <c r="N213" s="37" t="s">
        <v>20</v>
      </c>
      <c r="O213" s="29">
        <v>2</v>
      </c>
      <c r="P213" s="38">
        <v>40</v>
      </c>
      <c r="Q213" s="28"/>
      <c r="R213" s="28" t="s">
        <v>830</v>
      </c>
      <c r="S213" s="71" t="s">
        <v>58</v>
      </c>
      <c r="T213" s="28"/>
      <c r="U213" s="28" t="s">
        <v>31</v>
      </c>
    </row>
    <row r="214" spans="1:21" s="27" customFormat="1" x14ac:dyDescent="0.25">
      <c r="A214" s="28" t="s">
        <v>21</v>
      </c>
      <c r="B214" s="28" t="s">
        <v>21</v>
      </c>
      <c r="C214" s="28" t="s">
        <v>21</v>
      </c>
      <c r="D214" s="31">
        <v>1</v>
      </c>
      <c r="E214" s="70"/>
      <c r="F214" s="31"/>
      <c r="G214" s="32">
        <v>1.857</v>
      </c>
      <c r="H214" s="32"/>
      <c r="I214" s="32"/>
      <c r="J214" s="33"/>
      <c r="K214" s="34" t="str">
        <f t="shared" si="31"/>
        <v/>
      </c>
      <c r="L214" s="35"/>
      <c r="M214" s="36" t="str">
        <f t="shared" si="32"/>
        <v/>
      </c>
      <c r="N214" s="37"/>
      <c r="O214" s="29"/>
      <c r="P214" s="38"/>
      <c r="Q214" s="28"/>
      <c r="R214" s="28" t="s">
        <v>831</v>
      </c>
      <c r="S214" s="71" t="s">
        <v>59</v>
      </c>
      <c r="T214" s="28"/>
      <c r="U214" s="28" t="s">
        <v>31</v>
      </c>
    </row>
    <row r="215" spans="1:21" s="27" customFormat="1" x14ac:dyDescent="0.25">
      <c r="A215" s="28" t="s">
        <v>21</v>
      </c>
      <c r="B215" s="28" t="s">
        <v>817</v>
      </c>
      <c r="C215" s="28" t="s">
        <v>21</v>
      </c>
      <c r="D215" s="31">
        <v>1</v>
      </c>
      <c r="E215" s="70" t="s">
        <v>235</v>
      </c>
      <c r="F215" s="45">
        <v>601</v>
      </c>
      <c r="G215" s="32">
        <v>1.849</v>
      </c>
      <c r="H215" s="32">
        <v>3.7010000000000001</v>
      </c>
      <c r="I215" s="32">
        <v>3.6869999999999998</v>
      </c>
      <c r="J215" s="33">
        <f>IF(O215&lt;&gt;"",(H215-I215)/O215,"")</f>
        <v>7.0000000000001172E-3</v>
      </c>
      <c r="K215" s="34" t="str">
        <f t="shared" si="31"/>
        <v/>
      </c>
      <c r="L215" s="35">
        <f>F215/(O215*P215)</f>
        <v>7.5125000000000002</v>
      </c>
      <c r="M215" s="36" t="str">
        <f>IF(L215=0,"",IF(OR(L215&lt;7,L215&gt;7.8),"X",""))</f>
        <v/>
      </c>
      <c r="N215" s="37" t="s">
        <v>20</v>
      </c>
      <c r="O215" s="29">
        <v>2</v>
      </c>
      <c r="P215" s="38">
        <v>40</v>
      </c>
      <c r="Q215" s="28"/>
      <c r="R215" s="28" t="s">
        <v>832</v>
      </c>
      <c r="S215" s="28" t="s">
        <v>21</v>
      </c>
      <c r="T215" s="28"/>
      <c r="U215" s="28" t="s">
        <v>31</v>
      </c>
    </row>
    <row r="216" spans="1:21" s="27" customFormat="1" x14ac:dyDescent="0.25">
      <c r="A216" s="28" t="s">
        <v>21</v>
      </c>
      <c r="B216" s="28" t="s">
        <v>21</v>
      </c>
      <c r="C216" s="28" t="s">
        <v>21</v>
      </c>
      <c r="D216" s="31">
        <v>1</v>
      </c>
      <c r="E216" s="70"/>
      <c r="F216" s="31"/>
      <c r="G216" s="32">
        <v>1.853</v>
      </c>
      <c r="H216" s="32"/>
      <c r="I216" s="32"/>
      <c r="J216" s="33"/>
      <c r="K216" s="34" t="str">
        <f t="shared" si="31"/>
        <v/>
      </c>
      <c r="L216" s="35"/>
      <c r="M216" s="36" t="str">
        <f t="shared" si="32"/>
        <v/>
      </c>
      <c r="N216" s="37"/>
      <c r="O216" s="29"/>
      <c r="P216" s="38"/>
      <c r="Q216" s="28"/>
      <c r="R216" s="28" t="s">
        <v>835</v>
      </c>
      <c r="S216" s="28" t="s">
        <v>21</v>
      </c>
      <c r="T216" s="28"/>
      <c r="U216" s="28" t="s">
        <v>31</v>
      </c>
    </row>
    <row r="217" spans="1:21" s="27" customFormat="1" x14ac:dyDescent="0.25">
      <c r="A217" s="28" t="s">
        <v>21</v>
      </c>
      <c r="B217" s="28" t="s">
        <v>818</v>
      </c>
      <c r="C217" s="28" t="s">
        <v>21</v>
      </c>
      <c r="D217" s="31">
        <v>1</v>
      </c>
      <c r="E217" s="70" t="s">
        <v>104</v>
      </c>
      <c r="F217" s="45">
        <v>601</v>
      </c>
      <c r="G217" s="32">
        <v>1.8560000000000001</v>
      </c>
      <c r="H217" s="32">
        <v>3.7090000000000001</v>
      </c>
      <c r="I217" s="32">
        <v>3.6930000000000001</v>
      </c>
      <c r="J217" s="33">
        <f>IF(O217&lt;&gt;"",(H217-I217)/O217,"")</f>
        <v>8.0000000000000071E-3</v>
      </c>
      <c r="K217" s="34" t="str">
        <f t="shared" si="31"/>
        <v/>
      </c>
      <c r="L217" s="35">
        <f>F217/(O217*P217)</f>
        <v>7.5125000000000002</v>
      </c>
      <c r="M217" s="36" t="str">
        <f>IF(L217=0,"",IF(OR(L217&lt;7,L217&gt;7.8),"X",""))</f>
        <v/>
      </c>
      <c r="N217" s="37" t="s">
        <v>20</v>
      </c>
      <c r="O217" s="29">
        <v>2</v>
      </c>
      <c r="P217" s="38">
        <v>40</v>
      </c>
      <c r="Q217" s="28"/>
      <c r="R217" s="28" t="s">
        <v>833</v>
      </c>
      <c r="S217" s="28" t="s">
        <v>21</v>
      </c>
      <c r="T217" s="28"/>
      <c r="U217" s="28" t="s">
        <v>31</v>
      </c>
    </row>
    <row r="218" spans="1:21" s="27" customFormat="1" x14ac:dyDescent="0.25">
      <c r="A218" s="28" t="s">
        <v>21</v>
      </c>
      <c r="B218" s="28" t="s">
        <v>21</v>
      </c>
      <c r="C218" s="28" t="s">
        <v>21</v>
      </c>
      <c r="D218" s="31">
        <v>1</v>
      </c>
      <c r="E218" s="70"/>
      <c r="F218" s="31"/>
      <c r="G218" s="32">
        <v>1.8540000000000001</v>
      </c>
      <c r="H218" s="32"/>
      <c r="I218" s="32"/>
      <c r="J218" s="33"/>
      <c r="K218" s="34" t="str">
        <f t="shared" si="31"/>
        <v/>
      </c>
      <c r="L218" s="35"/>
      <c r="M218" s="36" t="str">
        <f t="shared" si="32"/>
        <v/>
      </c>
      <c r="N218" s="37"/>
      <c r="O218" s="29"/>
      <c r="P218" s="38"/>
      <c r="Q218" s="28"/>
      <c r="R218" s="28" t="s">
        <v>834</v>
      </c>
      <c r="S218" s="28" t="s">
        <v>21</v>
      </c>
      <c r="T218" s="28"/>
      <c r="U218" s="28" t="s">
        <v>31</v>
      </c>
    </row>
    <row r="219" spans="1:21" s="27" customFormat="1" x14ac:dyDescent="0.25">
      <c r="A219" s="28" t="s">
        <v>21</v>
      </c>
      <c r="B219" s="28" t="s">
        <v>819</v>
      </c>
      <c r="C219" s="28" t="s">
        <v>21</v>
      </c>
      <c r="D219" s="31">
        <v>1</v>
      </c>
      <c r="E219" s="70" t="s">
        <v>109</v>
      </c>
      <c r="F219" s="45">
        <v>600</v>
      </c>
      <c r="G219" s="32">
        <v>1.859</v>
      </c>
      <c r="H219" s="32">
        <v>3.7109999999999999</v>
      </c>
      <c r="I219" s="32">
        <v>3.6960000000000002</v>
      </c>
      <c r="J219" s="33">
        <f>IF(O219&lt;&gt;"",(H219-I219)/O219,"")</f>
        <v>7.4999999999998401E-3</v>
      </c>
      <c r="K219" s="34" t="str">
        <f t="shared" si="31"/>
        <v/>
      </c>
      <c r="L219" s="35">
        <f>F219/(O219*P219)</f>
        <v>7.5</v>
      </c>
      <c r="M219" s="36" t="str">
        <f>IF(L219=0,"",IF(OR(L219&lt;7,L219&gt;7.8),"X",""))</f>
        <v/>
      </c>
      <c r="N219" s="37" t="s">
        <v>20</v>
      </c>
      <c r="O219" s="29">
        <v>2</v>
      </c>
      <c r="P219" s="38">
        <v>40</v>
      </c>
      <c r="Q219" s="28"/>
      <c r="R219" s="28" t="s">
        <v>836</v>
      </c>
      <c r="S219" s="28" t="s">
        <v>21</v>
      </c>
      <c r="T219" s="28"/>
      <c r="U219" s="28" t="s">
        <v>31</v>
      </c>
    </row>
    <row r="220" spans="1:21" s="27" customFormat="1" x14ac:dyDescent="0.25">
      <c r="A220" s="28" t="s">
        <v>21</v>
      </c>
      <c r="B220" s="28" t="s">
        <v>21</v>
      </c>
      <c r="C220" s="28" t="s">
        <v>21</v>
      </c>
      <c r="D220" s="31">
        <v>1</v>
      </c>
      <c r="E220" s="70"/>
      <c r="F220" s="31"/>
      <c r="G220" s="32">
        <v>1.853</v>
      </c>
      <c r="H220" s="32"/>
      <c r="I220" s="32"/>
      <c r="J220" s="33"/>
      <c r="K220" s="34" t="str">
        <f t="shared" si="31"/>
        <v/>
      </c>
      <c r="L220" s="35"/>
      <c r="M220" s="36" t="str">
        <f t="shared" si="32"/>
        <v/>
      </c>
      <c r="N220" s="37"/>
      <c r="O220" s="29"/>
      <c r="P220" s="38"/>
      <c r="Q220" s="28"/>
      <c r="R220" s="28" t="s">
        <v>837</v>
      </c>
      <c r="S220" s="28" t="s">
        <v>21</v>
      </c>
      <c r="T220" s="28"/>
      <c r="U220" s="28" t="s">
        <v>31</v>
      </c>
    </row>
    <row r="221" spans="1:21" s="27" customFormat="1" x14ac:dyDescent="0.25">
      <c r="A221" s="28" t="s">
        <v>21</v>
      </c>
      <c r="B221" s="28" t="s">
        <v>820</v>
      </c>
      <c r="C221" s="28" t="s">
        <v>21</v>
      </c>
      <c r="D221" s="31">
        <v>1</v>
      </c>
      <c r="E221" s="70" t="s">
        <v>109</v>
      </c>
      <c r="F221" s="45">
        <v>600</v>
      </c>
      <c r="G221" s="32">
        <v>1.8580000000000001</v>
      </c>
      <c r="H221" s="32">
        <v>3.7069999999999999</v>
      </c>
      <c r="I221" s="32">
        <v>3.6920000000000002</v>
      </c>
      <c r="J221" s="33">
        <f>IF(O221&lt;&gt;"",(H221-I221)/O221,"")</f>
        <v>7.4999999999998401E-3</v>
      </c>
      <c r="K221" s="34" t="str">
        <f t="shared" si="31"/>
        <v/>
      </c>
      <c r="L221" s="35">
        <f>F221/(O221*P221)</f>
        <v>7.5</v>
      </c>
      <c r="M221" s="36" t="str">
        <f>IF(L221=0,"",IF(OR(L221&lt;7,L221&gt;7.8),"X",""))</f>
        <v/>
      </c>
      <c r="N221" s="37" t="s">
        <v>20</v>
      </c>
      <c r="O221" s="29">
        <v>2</v>
      </c>
      <c r="P221" s="38">
        <v>40</v>
      </c>
      <c r="Q221" s="28"/>
      <c r="R221" s="28" t="s">
        <v>838</v>
      </c>
      <c r="S221" s="28" t="s">
        <v>21</v>
      </c>
      <c r="T221" s="28"/>
      <c r="U221" s="28" t="s">
        <v>31</v>
      </c>
    </row>
    <row r="222" spans="1:21" s="27" customFormat="1" x14ac:dyDescent="0.25">
      <c r="A222" s="28" t="s">
        <v>21</v>
      </c>
      <c r="B222" s="28" t="s">
        <v>21</v>
      </c>
      <c r="C222" s="28" t="s">
        <v>21</v>
      </c>
      <c r="D222" s="31">
        <v>1</v>
      </c>
      <c r="E222" s="70"/>
      <c r="F222" s="31"/>
      <c r="G222" s="32">
        <v>1.85</v>
      </c>
      <c r="H222" s="32"/>
      <c r="I222" s="32"/>
      <c r="J222" s="33"/>
      <c r="K222" s="34" t="str">
        <f t="shared" si="31"/>
        <v/>
      </c>
      <c r="L222" s="35"/>
      <c r="M222" s="36" t="str">
        <f t="shared" si="32"/>
        <v/>
      </c>
      <c r="N222" s="37"/>
      <c r="O222" s="29"/>
      <c r="P222" s="38"/>
      <c r="Q222" s="28"/>
      <c r="R222" s="28" t="s">
        <v>839</v>
      </c>
      <c r="S222" s="28" t="s">
        <v>21</v>
      </c>
      <c r="T222" s="28"/>
      <c r="U222" s="28" t="s">
        <v>31</v>
      </c>
    </row>
    <row r="258" spans="1:21" ht="15.75" thickBot="1" x14ac:dyDescent="0.3"/>
    <row r="259" spans="1:21" s="27" customFormat="1" ht="16.5" thickBot="1" x14ac:dyDescent="0.3">
      <c r="A259" s="66" t="s">
        <v>28</v>
      </c>
      <c r="B259" s="67" t="s">
        <v>29</v>
      </c>
      <c r="C259" s="68" t="s">
        <v>30</v>
      </c>
      <c r="D259" s="56"/>
      <c r="E259" s="51"/>
      <c r="F259" s="50"/>
      <c r="G259" s="53"/>
      <c r="H259" s="53"/>
      <c r="I259" s="59"/>
      <c r="J259" s="60"/>
      <c r="K259" s="22"/>
      <c r="L259" s="61"/>
      <c r="M259" s="62"/>
      <c r="N259" s="63"/>
      <c r="O259" s="64"/>
      <c r="P259" s="65"/>
      <c r="Q259" s="58"/>
      <c r="R259" s="58"/>
      <c r="S259" s="58"/>
      <c r="T259" s="58"/>
      <c r="U259" s="58"/>
    </row>
    <row r="260" spans="1:21" s="27" customFormat="1" x14ac:dyDescent="0.25">
      <c r="A260" s="28" t="s">
        <v>30</v>
      </c>
      <c r="B260" s="44" t="s">
        <v>749</v>
      </c>
      <c r="C260" s="28">
        <v>775089</v>
      </c>
      <c r="D260" s="31">
        <v>1</v>
      </c>
      <c r="E260" s="30" t="s">
        <v>106</v>
      </c>
      <c r="F260" s="45">
        <v>301</v>
      </c>
      <c r="G260" s="32"/>
      <c r="H260" s="32">
        <v>1.9550000000000001</v>
      </c>
      <c r="I260" s="32">
        <v>1.9419999999999999</v>
      </c>
      <c r="J260" s="33">
        <f>IF(O260&lt;&gt;"",(H260-I260)/O260,"")</f>
        <v>1.3000000000000123E-2</v>
      </c>
      <c r="K260" s="34" t="str">
        <f t="shared" ref="K260:K261" si="33">IF(J260=0,"",IF(OR(J260&lt;0,J260&gt;0.03),"X",""))</f>
        <v/>
      </c>
      <c r="L260" s="35">
        <f>F260/(O260*P260)</f>
        <v>7.5250000000000004</v>
      </c>
      <c r="M260" s="36" t="str">
        <f>IF(L260=0,"",IF(OR(L260&lt;7,L260&gt;7.8),"X",""))</f>
        <v/>
      </c>
      <c r="N260" s="37" t="s">
        <v>18</v>
      </c>
      <c r="O260" s="29">
        <v>1</v>
      </c>
      <c r="P260" s="38">
        <v>40</v>
      </c>
      <c r="Q260" s="46"/>
      <c r="R260" s="28"/>
      <c r="S260" s="47"/>
      <c r="T260" s="46"/>
      <c r="U260" s="28" t="s">
        <v>31</v>
      </c>
    </row>
    <row r="261" spans="1:21" s="27" customFormat="1" x14ac:dyDescent="0.25">
      <c r="A261" s="28" t="s">
        <v>30</v>
      </c>
      <c r="B261" s="44" t="s">
        <v>749</v>
      </c>
      <c r="C261" s="28">
        <v>775089</v>
      </c>
      <c r="D261" s="31">
        <v>1</v>
      </c>
      <c r="E261" s="30" t="s">
        <v>325</v>
      </c>
      <c r="F261" s="45">
        <v>292</v>
      </c>
      <c r="G261" s="32"/>
      <c r="H261" s="32">
        <v>1.921</v>
      </c>
      <c r="I261" s="32">
        <v>1.9319999999999999</v>
      </c>
      <c r="J261" s="33">
        <f>IF(O261&lt;&gt;"",(H261-I261)/O261,"")</f>
        <v>-1.0999999999999899E-2</v>
      </c>
      <c r="K261" s="34" t="str">
        <f t="shared" si="33"/>
        <v>X</v>
      </c>
      <c r="L261" s="35">
        <f>F261/(O261*P261)</f>
        <v>7.3</v>
      </c>
      <c r="M261" s="36" t="str">
        <f>IF(L261=0,"",IF(OR(L261&lt;7,L261&gt;7.8),"X",""))</f>
        <v/>
      </c>
      <c r="N261" s="37" t="s">
        <v>18</v>
      </c>
      <c r="O261" s="29">
        <v>1</v>
      </c>
      <c r="P261" s="38">
        <v>40</v>
      </c>
      <c r="Q261" s="46"/>
      <c r="R261" s="28"/>
      <c r="S261" s="47"/>
      <c r="T261" s="46"/>
      <c r="U261" s="28" t="s">
        <v>31</v>
      </c>
    </row>
  </sheetData>
  <customSheetViews>
    <customSheetView guid="{C2C34B0E-C0A2-4B0B-812E-0757ABB9DC2E}">
      <pane ySplit="1" topLeftCell="A83" activePane="bottomLeft" state="frozen"/>
      <selection pane="bottomLeft" activeCell="C184" sqref="C184"/>
      <pageMargins left="0.7" right="0.7" top="0.78740157499999996" bottom="0.78740157499999996" header="0.3" footer="0.3"/>
    </customSheetView>
    <customSheetView guid="{3652BF58-5AAC-43BD-BC8A-2FFF29529405}">
      <pane ySplit="1" topLeftCell="A83" activePane="bottomLeft" state="frozen"/>
      <selection pane="bottomLeft" activeCell="C184" sqref="C184"/>
      <pageMargins left="0.7" right="0.7" top="0.78740157499999996" bottom="0.78740157499999996" header="0.3" footer="0.3"/>
    </customSheetView>
    <customSheetView guid="{E2377352-22A7-452B-BFAD-18D3D497CC88}">
      <pane ySplit="1" topLeftCell="A83" activePane="bottomLeft" state="frozen"/>
      <selection pane="bottomLeft" activeCell="C184" sqref="C184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51"/>
  <sheetViews>
    <sheetView workbookViewId="0">
      <pane ySplit="1" topLeftCell="A263" activePane="bottomLeft" state="frozen"/>
      <selection pane="bottomLeft" activeCell="C104" sqref="C104:C106"/>
    </sheetView>
  </sheetViews>
  <sheetFormatPr baseColWidth="10" defaultRowHeight="15" x14ac:dyDescent="0.25"/>
  <cols>
    <col min="1" max="1" width="14.7109375" customWidth="1"/>
    <col min="2" max="2" width="15.28515625" customWidth="1"/>
    <col min="4" max="4" width="9.140625" customWidth="1"/>
    <col min="5" max="5" width="9.85546875" customWidth="1"/>
    <col min="9" max="9" width="11.140625" customWidth="1"/>
    <col min="10" max="10" width="9.5703125" customWidth="1"/>
    <col min="11" max="11" width="2.42578125" customWidth="1"/>
    <col min="12" max="12" width="9.28515625" customWidth="1"/>
    <col min="13" max="13" width="2.7109375" customWidth="1"/>
    <col min="14" max="14" width="10" customWidth="1"/>
    <col min="15" max="15" width="9.42578125" customWidth="1"/>
    <col min="16" max="16" width="9.140625" customWidth="1"/>
    <col min="17" max="17" width="1.5703125" customWidth="1"/>
    <col min="18" max="18" width="35.140625" customWidth="1"/>
    <col min="19" max="19" width="38.85546875" customWidth="1"/>
    <col min="20" max="20" width="0.7109375" customWidth="1"/>
    <col min="21" max="21" width="9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870</v>
      </c>
      <c r="B2" s="28" t="s">
        <v>840</v>
      </c>
      <c r="C2" s="28">
        <v>698354</v>
      </c>
      <c r="D2" s="31">
        <v>1</v>
      </c>
      <c r="E2" s="70" t="s">
        <v>271</v>
      </c>
      <c r="F2" s="45">
        <v>297</v>
      </c>
      <c r="G2" s="32"/>
      <c r="H2" s="32">
        <v>1.8560000000000001</v>
      </c>
      <c r="I2" s="32">
        <v>1.8480000000000001</v>
      </c>
      <c r="J2" s="33">
        <f t="shared" ref="J2:J31" si="0">IF(O2&lt;&gt;"",(H2-I2)/O2,"")</f>
        <v>8.0000000000000071E-3</v>
      </c>
      <c r="K2" s="34" t="str">
        <f t="shared" ref="K2:K32" si="1">IF(J2=0,"",IF(OR(J2&lt;0,J2&gt;0.03),"X",""))</f>
        <v/>
      </c>
      <c r="L2" s="35">
        <f t="shared" ref="L2:L31" si="2">F2/(O2*P2)</f>
        <v>7.4249999999999998</v>
      </c>
      <c r="M2" s="36" t="str">
        <f t="shared" ref="M2:M31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871</v>
      </c>
      <c r="S2" s="71" t="s">
        <v>58</v>
      </c>
      <c r="T2" s="46"/>
      <c r="U2" s="28" t="s">
        <v>31</v>
      </c>
    </row>
    <row r="3" spans="1:54" s="27" customFormat="1" x14ac:dyDescent="0.25">
      <c r="A3" s="28" t="s">
        <v>21</v>
      </c>
      <c r="B3" s="28" t="s">
        <v>841</v>
      </c>
      <c r="C3" s="28" t="s">
        <v>21</v>
      </c>
      <c r="D3" s="31">
        <v>1</v>
      </c>
      <c r="E3" s="70" t="s">
        <v>272</v>
      </c>
      <c r="F3" s="45">
        <v>297</v>
      </c>
      <c r="G3" s="32"/>
      <c r="H3" s="32">
        <v>1.86</v>
      </c>
      <c r="I3" s="32">
        <v>1.8520000000000001</v>
      </c>
      <c r="J3" s="33">
        <f t="shared" si="0"/>
        <v>8.0000000000000071E-3</v>
      </c>
      <c r="K3" s="34" t="str">
        <f t="shared" si="1"/>
        <v/>
      </c>
      <c r="L3" s="35">
        <f t="shared" si="2"/>
        <v>7.4249999999999998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872</v>
      </c>
      <c r="S3" s="71" t="s">
        <v>59</v>
      </c>
      <c r="T3" s="46"/>
      <c r="U3" s="28" t="s">
        <v>31</v>
      </c>
    </row>
    <row r="4" spans="1:54" s="27" customFormat="1" x14ac:dyDescent="0.25">
      <c r="A4" s="28" t="s">
        <v>21</v>
      </c>
      <c r="B4" s="28" t="s">
        <v>842</v>
      </c>
      <c r="C4" s="28">
        <v>765701</v>
      </c>
      <c r="D4" s="31">
        <v>1</v>
      </c>
      <c r="E4" s="70" t="s">
        <v>748</v>
      </c>
      <c r="F4" s="45">
        <v>298</v>
      </c>
      <c r="G4" s="32"/>
      <c r="H4" s="32">
        <v>1.853</v>
      </c>
      <c r="I4" s="32">
        <v>1.843</v>
      </c>
      <c r="J4" s="33">
        <f t="shared" si="0"/>
        <v>1.0000000000000009E-2</v>
      </c>
      <c r="K4" s="34" t="str">
        <f t="shared" si="1"/>
        <v/>
      </c>
      <c r="L4" s="35">
        <f t="shared" si="2"/>
        <v>7.45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873</v>
      </c>
      <c r="S4" s="28" t="s">
        <v>21</v>
      </c>
      <c r="T4" s="46"/>
      <c r="U4" s="28" t="s">
        <v>31</v>
      </c>
    </row>
    <row r="5" spans="1:54" s="27" customFormat="1" x14ac:dyDescent="0.25">
      <c r="A5" s="28" t="s">
        <v>21</v>
      </c>
      <c r="B5" s="28" t="s">
        <v>843</v>
      </c>
      <c r="C5" s="28" t="s">
        <v>21</v>
      </c>
      <c r="D5" s="31">
        <v>1</v>
      </c>
      <c r="E5" s="70" t="s">
        <v>106</v>
      </c>
      <c r="F5" s="45">
        <v>298</v>
      </c>
      <c r="G5" s="32"/>
      <c r="H5" s="32">
        <v>1.8360000000000001</v>
      </c>
      <c r="I5" s="32">
        <v>1.827</v>
      </c>
      <c r="J5" s="33">
        <f t="shared" si="0"/>
        <v>9.000000000000119E-3</v>
      </c>
      <c r="K5" s="34" t="str">
        <f t="shared" si="1"/>
        <v/>
      </c>
      <c r="L5" s="35">
        <f t="shared" si="2"/>
        <v>7.45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875</v>
      </c>
      <c r="S5" s="28" t="s">
        <v>21</v>
      </c>
      <c r="T5" s="46"/>
      <c r="U5" s="28" t="s">
        <v>31</v>
      </c>
    </row>
    <row r="6" spans="1:54" s="27" customFormat="1" x14ac:dyDescent="0.25">
      <c r="A6" s="28" t="s">
        <v>21</v>
      </c>
      <c r="B6" s="28" t="s">
        <v>844</v>
      </c>
      <c r="C6" s="28" t="s">
        <v>21</v>
      </c>
      <c r="D6" s="31">
        <v>1</v>
      </c>
      <c r="E6" s="70" t="s">
        <v>748</v>
      </c>
      <c r="F6" s="45">
        <v>298</v>
      </c>
      <c r="G6" s="32"/>
      <c r="H6" s="32">
        <v>1.837</v>
      </c>
      <c r="I6" s="32">
        <v>1.8280000000000001</v>
      </c>
      <c r="J6" s="33">
        <f t="shared" si="0"/>
        <v>8.999999999999897E-3</v>
      </c>
      <c r="K6" s="34" t="str">
        <f t="shared" si="1"/>
        <v/>
      </c>
      <c r="L6" s="35">
        <f t="shared" si="2"/>
        <v>7.45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874</v>
      </c>
      <c r="S6" s="28" t="s">
        <v>21</v>
      </c>
      <c r="T6" s="46"/>
      <c r="U6" s="28" t="s">
        <v>31</v>
      </c>
    </row>
    <row r="7" spans="1:54" s="27" customFormat="1" x14ac:dyDescent="0.25">
      <c r="A7" s="28" t="s">
        <v>21</v>
      </c>
      <c r="B7" s="28" t="s">
        <v>845</v>
      </c>
      <c r="C7" s="28" t="s">
        <v>21</v>
      </c>
      <c r="D7" s="31">
        <v>1</v>
      </c>
      <c r="E7" s="70" t="s">
        <v>107</v>
      </c>
      <c r="F7" s="45">
        <v>298</v>
      </c>
      <c r="G7" s="32"/>
      <c r="H7" s="32">
        <v>1.851</v>
      </c>
      <c r="I7" s="32">
        <v>1.84</v>
      </c>
      <c r="J7" s="33">
        <f t="shared" si="0"/>
        <v>1.0999999999999899E-2</v>
      </c>
      <c r="K7" s="34" t="str">
        <f t="shared" si="1"/>
        <v/>
      </c>
      <c r="L7" s="35">
        <f t="shared" si="2"/>
        <v>7.45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877</v>
      </c>
      <c r="S7" s="71" t="s">
        <v>103</v>
      </c>
      <c r="T7" s="46"/>
      <c r="U7" s="28" t="s">
        <v>31</v>
      </c>
    </row>
    <row r="8" spans="1:54" s="27" customFormat="1" x14ac:dyDescent="0.25">
      <c r="A8" s="28" t="s">
        <v>21</v>
      </c>
      <c r="B8" s="28" t="s">
        <v>846</v>
      </c>
      <c r="C8" s="28" t="s">
        <v>21</v>
      </c>
      <c r="D8" s="31">
        <v>1</v>
      </c>
      <c r="E8" s="70" t="s">
        <v>104</v>
      </c>
      <c r="F8" s="45">
        <v>298</v>
      </c>
      <c r="G8" s="32"/>
      <c r="H8" s="32">
        <v>1.871</v>
      </c>
      <c r="I8" s="32">
        <v>1.863</v>
      </c>
      <c r="J8" s="33">
        <f t="shared" si="0"/>
        <v>8.0000000000000071E-3</v>
      </c>
      <c r="K8" s="34" t="str">
        <f t="shared" si="1"/>
        <v/>
      </c>
      <c r="L8" s="35">
        <f t="shared" si="2"/>
        <v>7.45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879</v>
      </c>
      <c r="S8" s="71" t="s">
        <v>59</v>
      </c>
      <c r="T8" s="46"/>
      <c r="U8" s="28" t="s">
        <v>31</v>
      </c>
    </row>
    <row r="9" spans="1:54" s="27" customFormat="1" x14ac:dyDescent="0.25">
      <c r="A9" s="28" t="s">
        <v>21</v>
      </c>
      <c r="B9" s="28" t="s">
        <v>847</v>
      </c>
      <c r="C9" s="28" t="s">
        <v>21</v>
      </c>
      <c r="D9" s="31">
        <v>1</v>
      </c>
      <c r="E9" s="70" t="s">
        <v>237</v>
      </c>
      <c r="F9" s="45">
        <v>297</v>
      </c>
      <c r="G9" s="32"/>
      <c r="H9" s="32">
        <v>1.8620000000000001</v>
      </c>
      <c r="I9" s="32">
        <v>1.8540000000000001</v>
      </c>
      <c r="J9" s="33">
        <f t="shared" si="0"/>
        <v>8.0000000000000071E-3</v>
      </c>
      <c r="K9" s="34" t="str">
        <f t="shared" si="1"/>
        <v/>
      </c>
      <c r="L9" s="35">
        <f t="shared" si="2"/>
        <v>7.4249999999999998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876</v>
      </c>
      <c r="S9" s="28" t="s">
        <v>21</v>
      </c>
      <c r="T9" s="46"/>
      <c r="U9" s="28" t="s">
        <v>31</v>
      </c>
    </row>
    <row r="10" spans="1:54" s="27" customFormat="1" x14ac:dyDescent="0.25">
      <c r="A10" s="28" t="s">
        <v>21</v>
      </c>
      <c r="B10" s="28" t="s">
        <v>848</v>
      </c>
      <c r="C10" s="28" t="s">
        <v>21</v>
      </c>
      <c r="D10" s="31">
        <v>1</v>
      </c>
      <c r="E10" s="70" t="s">
        <v>130</v>
      </c>
      <c r="F10" s="45">
        <v>298</v>
      </c>
      <c r="G10" s="32"/>
      <c r="H10" s="32">
        <v>1.8420000000000001</v>
      </c>
      <c r="I10" s="32">
        <v>1.833</v>
      </c>
      <c r="J10" s="33">
        <f t="shared" si="0"/>
        <v>9.000000000000119E-3</v>
      </c>
      <c r="K10" s="34" t="str">
        <f t="shared" si="1"/>
        <v/>
      </c>
      <c r="L10" s="35">
        <f t="shared" si="2"/>
        <v>7.45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878</v>
      </c>
      <c r="S10" s="28" t="s">
        <v>21</v>
      </c>
      <c r="T10" s="46"/>
      <c r="U10" s="28" t="s">
        <v>31</v>
      </c>
    </row>
    <row r="11" spans="1:54" s="27" customFormat="1" x14ac:dyDescent="0.25">
      <c r="A11" s="28" t="s">
        <v>21</v>
      </c>
      <c r="B11" s="28" t="s">
        <v>849</v>
      </c>
      <c r="C11" s="28" t="s">
        <v>21</v>
      </c>
      <c r="D11" s="31">
        <v>1</v>
      </c>
      <c r="E11" s="70" t="s">
        <v>234</v>
      </c>
      <c r="F11" s="45">
        <v>297</v>
      </c>
      <c r="G11" s="32"/>
      <c r="H11" s="32">
        <v>1.8680000000000001</v>
      </c>
      <c r="I11" s="32">
        <v>1.861</v>
      </c>
      <c r="J11" s="33">
        <f t="shared" si="0"/>
        <v>7.0000000000001172E-3</v>
      </c>
      <c r="K11" s="34" t="str">
        <f t="shared" si="1"/>
        <v/>
      </c>
      <c r="L11" s="35">
        <f t="shared" si="2"/>
        <v>7.4249999999999998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882</v>
      </c>
      <c r="S11" s="28" t="s">
        <v>21</v>
      </c>
      <c r="T11" s="46"/>
      <c r="U11" s="28" t="s">
        <v>31</v>
      </c>
    </row>
    <row r="12" spans="1:54" s="27" customFormat="1" x14ac:dyDescent="0.25">
      <c r="A12" s="28" t="s">
        <v>21</v>
      </c>
      <c r="B12" s="28" t="s">
        <v>850</v>
      </c>
      <c r="C12" s="28" t="s">
        <v>21</v>
      </c>
      <c r="D12" s="31">
        <v>1</v>
      </c>
      <c r="E12" s="30" t="s">
        <v>567</v>
      </c>
      <c r="F12" s="45">
        <v>297</v>
      </c>
      <c r="G12" s="32"/>
      <c r="H12" s="32">
        <v>1.85</v>
      </c>
      <c r="I12" s="32">
        <v>1.843</v>
      </c>
      <c r="J12" s="33">
        <f t="shared" si="0"/>
        <v>7.0000000000001172E-3</v>
      </c>
      <c r="K12" s="34" t="str">
        <f t="shared" si="1"/>
        <v/>
      </c>
      <c r="L12" s="35">
        <f t="shared" si="2"/>
        <v>7.4249999999999998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880</v>
      </c>
      <c r="S12" s="47"/>
      <c r="T12" s="46"/>
      <c r="U12" s="28" t="s">
        <v>31</v>
      </c>
    </row>
    <row r="13" spans="1:54" s="27" customFormat="1" x14ac:dyDescent="0.25">
      <c r="A13" s="28" t="s">
        <v>21</v>
      </c>
      <c r="B13" s="28" t="s">
        <v>851</v>
      </c>
      <c r="C13" s="28" t="s">
        <v>21</v>
      </c>
      <c r="D13" s="31">
        <v>1</v>
      </c>
      <c r="E13" s="30" t="s">
        <v>567</v>
      </c>
      <c r="F13" s="45">
        <v>298</v>
      </c>
      <c r="G13" s="32"/>
      <c r="H13" s="32">
        <v>1.8440000000000001</v>
      </c>
      <c r="I13" s="32">
        <v>1.8360000000000001</v>
      </c>
      <c r="J13" s="33">
        <f t="shared" si="0"/>
        <v>8.0000000000000071E-3</v>
      </c>
      <c r="K13" s="34" t="str">
        <f t="shared" si="1"/>
        <v/>
      </c>
      <c r="L13" s="35">
        <f t="shared" si="2"/>
        <v>7.45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883</v>
      </c>
      <c r="S13" s="47"/>
      <c r="T13" s="46"/>
      <c r="U13" s="28" t="s">
        <v>31</v>
      </c>
    </row>
    <row r="14" spans="1:54" s="27" customFormat="1" x14ac:dyDescent="0.25">
      <c r="A14" s="28" t="s">
        <v>21</v>
      </c>
      <c r="B14" s="28" t="s">
        <v>852</v>
      </c>
      <c r="C14" s="28" t="s">
        <v>21</v>
      </c>
      <c r="D14" s="31">
        <v>1</v>
      </c>
      <c r="E14" s="30" t="s">
        <v>731</v>
      </c>
      <c r="F14" s="45">
        <v>298</v>
      </c>
      <c r="G14" s="32"/>
      <c r="H14" s="32">
        <v>1.845</v>
      </c>
      <c r="I14" s="32">
        <v>1.835</v>
      </c>
      <c r="J14" s="33">
        <f t="shared" si="0"/>
        <v>1.0000000000000009E-2</v>
      </c>
      <c r="K14" s="34" t="str">
        <f t="shared" si="1"/>
        <v/>
      </c>
      <c r="L14" s="35">
        <f t="shared" si="2"/>
        <v>7.45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884</v>
      </c>
      <c r="S14" s="47"/>
      <c r="T14" s="46"/>
      <c r="U14" s="28" t="s">
        <v>31</v>
      </c>
    </row>
    <row r="15" spans="1:54" s="27" customFormat="1" x14ac:dyDescent="0.25">
      <c r="A15" s="28" t="s">
        <v>21</v>
      </c>
      <c r="B15" s="28" t="s">
        <v>853</v>
      </c>
      <c r="C15" s="28" t="s">
        <v>21</v>
      </c>
      <c r="D15" s="31">
        <v>1</v>
      </c>
      <c r="E15" s="30" t="s">
        <v>895</v>
      </c>
      <c r="F15" s="45">
        <v>298</v>
      </c>
      <c r="G15" s="32"/>
      <c r="H15" s="32">
        <v>1.8540000000000001</v>
      </c>
      <c r="I15" s="32">
        <v>1.8440000000000001</v>
      </c>
      <c r="J15" s="33">
        <f t="shared" si="0"/>
        <v>1.0000000000000009E-2</v>
      </c>
      <c r="K15" s="34" t="str">
        <f t="shared" si="1"/>
        <v/>
      </c>
      <c r="L15" s="35">
        <f t="shared" si="2"/>
        <v>7.45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885</v>
      </c>
      <c r="S15" s="47"/>
      <c r="T15" s="46"/>
      <c r="U15" s="28" t="s">
        <v>31</v>
      </c>
    </row>
    <row r="16" spans="1:54" s="27" customFormat="1" x14ac:dyDescent="0.25">
      <c r="A16" s="28" t="s">
        <v>21</v>
      </c>
      <c r="B16" s="28" t="s">
        <v>854</v>
      </c>
      <c r="C16" s="28" t="s">
        <v>21</v>
      </c>
      <c r="D16" s="31">
        <v>1</v>
      </c>
      <c r="E16" s="30" t="s">
        <v>895</v>
      </c>
      <c r="F16" s="45">
        <v>297</v>
      </c>
      <c r="G16" s="32"/>
      <c r="H16" s="32">
        <v>1.8480000000000001</v>
      </c>
      <c r="I16" s="32">
        <v>1.8380000000000001</v>
      </c>
      <c r="J16" s="33">
        <f t="shared" si="0"/>
        <v>1.0000000000000009E-2</v>
      </c>
      <c r="K16" s="34" t="str">
        <f t="shared" si="1"/>
        <v/>
      </c>
      <c r="L16" s="35">
        <f t="shared" si="2"/>
        <v>7.4249999999999998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886</v>
      </c>
      <c r="S16" s="47"/>
      <c r="T16" s="46"/>
      <c r="U16" s="28" t="s">
        <v>31</v>
      </c>
    </row>
    <row r="17" spans="1:21" s="27" customFormat="1" x14ac:dyDescent="0.25">
      <c r="A17" s="28" t="s">
        <v>21</v>
      </c>
      <c r="B17" s="28" t="s">
        <v>855</v>
      </c>
      <c r="C17" s="28" t="s">
        <v>21</v>
      </c>
      <c r="D17" s="31">
        <v>1</v>
      </c>
      <c r="E17" s="30" t="s">
        <v>568</v>
      </c>
      <c r="F17" s="45">
        <v>298</v>
      </c>
      <c r="G17" s="32"/>
      <c r="H17" s="32">
        <v>1.8480000000000001</v>
      </c>
      <c r="I17" s="32">
        <v>1.839</v>
      </c>
      <c r="J17" s="33">
        <f t="shared" si="0"/>
        <v>9.000000000000119E-3</v>
      </c>
      <c r="K17" s="34" t="str">
        <f t="shared" si="1"/>
        <v/>
      </c>
      <c r="L17" s="35">
        <f t="shared" si="2"/>
        <v>7.45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881</v>
      </c>
      <c r="S17" s="47"/>
      <c r="T17" s="46"/>
      <c r="U17" s="28" t="s">
        <v>31</v>
      </c>
    </row>
    <row r="18" spans="1:21" s="27" customFormat="1" x14ac:dyDescent="0.25">
      <c r="A18" s="28" t="s">
        <v>21</v>
      </c>
      <c r="B18" s="28" t="s">
        <v>856</v>
      </c>
      <c r="C18" s="28">
        <v>765701</v>
      </c>
      <c r="D18" s="31">
        <v>1</v>
      </c>
      <c r="E18" s="30" t="s">
        <v>566</v>
      </c>
      <c r="F18" s="45">
        <v>297</v>
      </c>
      <c r="G18" s="32"/>
      <c r="H18" s="32">
        <v>1.851</v>
      </c>
      <c r="I18" s="32">
        <v>1.8440000000000001</v>
      </c>
      <c r="J18" s="33">
        <f t="shared" si="0"/>
        <v>6.9999999999998952E-3</v>
      </c>
      <c r="K18" s="34" t="str">
        <f t="shared" si="1"/>
        <v/>
      </c>
      <c r="L18" s="35">
        <f t="shared" si="2"/>
        <v>7.4249999999999998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887</v>
      </c>
      <c r="S18" s="47"/>
      <c r="T18" s="46"/>
      <c r="U18" s="28" t="s">
        <v>31</v>
      </c>
    </row>
    <row r="19" spans="1:21" s="27" customFormat="1" x14ac:dyDescent="0.25">
      <c r="A19" s="28" t="s">
        <v>21</v>
      </c>
      <c r="B19" s="28" t="s">
        <v>857</v>
      </c>
      <c r="C19" s="28" t="s">
        <v>21</v>
      </c>
      <c r="D19" s="31">
        <v>1</v>
      </c>
      <c r="E19" s="30" t="s">
        <v>770</v>
      </c>
      <c r="F19" s="45">
        <v>297</v>
      </c>
      <c r="G19" s="32"/>
      <c r="H19" s="32">
        <v>1.851</v>
      </c>
      <c r="I19" s="32">
        <v>1.8440000000000001</v>
      </c>
      <c r="J19" s="33">
        <f t="shared" si="0"/>
        <v>6.9999999999998952E-3</v>
      </c>
      <c r="K19" s="34" t="str">
        <f t="shared" si="1"/>
        <v/>
      </c>
      <c r="L19" s="35">
        <f t="shared" si="2"/>
        <v>7.4249999999999998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888</v>
      </c>
      <c r="S19" s="47"/>
      <c r="T19" s="46"/>
      <c r="U19" s="28" t="s">
        <v>31</v>
      </c>
    </row>
    <row r="20" spans="1:21" s="27" customFormat="1" x14ac:dyDescent="0.25">
      <c r="A20" s="28" t="s">
        <v>21</v>
      </c>
      <c r="B20" s="28" t="s">
        <v>858</v>
      </c>
      <c r="C20" s="28" t="s">
        <v>21</v>
      </c>
      <c r="D20" s="31">
        <v>1</v>
      </c>
      <c r="E20" s="30" t="s">
        <v>566</v>
      </c>
      <c r="F20" s="45">
        <v>298</v>
      </c>
      <c r="G20" s="32"/>
      <c r="H20" s="32">
        <v>1.845</v>
      </c>
      <c r="I20" s="32">
        <v>1.837</v>
      </c>
      <c r="J20" s="33">
        <f t="shared" si="0"/>
        <v>8.0000000000000071E-3</v>
      </c>
      <c r="K20" s="34" t="str">
        <f t="shared" si="1"/>
        <v/>
      </c>
      <c r="L20" s="35">
        <f t="shared" si="2"/>
        <v>7.45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889</v>
      </c>
      <c r="S20" s="47"/>
      <c r="T20" s="46"/>
      <c r="U20" s="28" t="s">
        <v>31</v>
      </c>
    </row>
    <row r="21" spans="1:21" s="27" customFormat="1" x14ac:dyDescent="0.25">
      <c r="A21" s="28" t="s">
        <v>21</v>
      </c>
      <c r="B21" s="28" t="s">
        <v>859</v>
      </c>
      <c r="C21" s="28" t="s">
        <v>21</v>
      </c>
      <c r="D21" s="31">
        <v>1</v>
      </c>
      <c r="E21" s="30" t="s">
        <v>567</v>
      </c>
      <c r="F21" s="45">
        <v>298</v>
      </c>
      <c r="G21" s="32"/>
      <c r="H21" s="32">
        <v>1.8460000000000001</v>
      </c>
      <c r="I21" s="32">
        <v>1.8380000000000001</v>
      </c>
      <c r="J21" s="33">
        <f t="shared" si="0"/>
        <v>8.0000000000000071E-3</v>
      </c>
      <c r="K21" s="34" t="str">
        <f t="shared" si="1"/>
        <v/>
      </c>
      <c r="L21" s="35">
        <f t="shared" si="2"/>
        <v>7.45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890</v>
      </c>
      <c r="S21" s="47"/>
      <c r="T21" s="46"/>
      <c r="U21" s="28" t="s">
        <v>31</v>
      </c>
    </row>
    <row r="22" spans="1:21" s="27" customFormat="1" x14ac:dyDescent="0.25">
      <c r="A22" s="28" t="s">
        <v>21</v>
      </c>
      <c r="B22" s="28" t="s">
        <v>860</v>
      </c>
      <c r="C22" s="28" t="s">
        <v>21</v>
      </c>
      <c r="D22" s="31">
        <v>1</v>
      </c>
      <c r="E22" s="70" t="s">
        <v>536</v>
      </c>
      <c r="F22" s="45">
        <v>297</v>
      </c>
      <c r="G22" s="32"/>
      <c r="H22" s="32">
        <v>1.867</v>
      </c>
      <c r="I22" s="32">
        <v>1.86</v>
      </c>
      <c r="J22" s="33">
        <f t="shared" si="0"/>
        <v>6.9999999999998952E-3</v>
      </c>
      <c r="K22" s="34" t="str">
        <f t="shared" si="1"/>
        <v/>
      </c>
      <c r="L22" s="35">
        <f t="shared" si="2"/>
        <v>7.4249999999999998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896</v>
      </c>
      <c r="S22" s="71" t="s">
        <v>58</v>
      </c>
      <c r="T22" s="46"/>
      <c r="U22" s="28" t="s">
        <v>31</v>
      </c>
    </row>
    <row r="23" spans="1:21" s="27" customFormat="1" x14ac:dyDescent="0.25">
      <c r="A23" s="28" t="s">
        <v>21</v>
      </c>
      <c r="B23" s="28" t="s">
        <v>861</v>
      </c>
      <c r="C23" s="28" t="s">
        <v>21</v>
      </c>
      <c r="D23" s="31">
        <v>1</v>
      </c>
      <c r="E23" s="70" t="s">
        <v>129</v>
      </c>
      <c r="F23" s="45">
        <v>298</v>
      </c>
      <c r="G23" s="32"/>
      <c r="H23" s="32">
        <v>1.857</v>
      </c>
      <c r="I23" s="32">
        <v>1.85</v>
      </c>
      <c r="J23" s="33">
        <f t="shared" si="0"/>
        <v>6.9999999999998952E-3</v>
      </c>
      <c r="K23" s="34" t="str">
        <f t="shared" si="1"/>
        <v/>
      </c>
      <c r="L23" s="35">
        <f t="shared" si="2"/>
        <v>7.45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898</v>
      </c>
      <c r="S23" s="71" t="s">
        <v>59</v>
      </c>
      <c r="T23" s="46"/>
      <c r="U23" s="28" t="s">
        <v>31</v>
      </c>
    </row>
    <row r="24" spans="1:21" s="27" customFormat="1" x14ac:dyDescent="0.25">
      <c r="A24" s="28" t="s">
        <v>21</v>
      </c>
      <c r="B24" s="28" t="s">
        <v>862</v>
      </c>
      <c r="C24" s="28" t="s">
        <v>21</v>
      </c>
      <c r="D24" s="31">
        <v>1</v>
      </c>
      <c r="E24" s="70" t="s">
        <v>128</v>
      </c>
      <c r="F24" s="45">
        <v>297</v>
      </c>
      <c r="G24" s="32"/>
      <c r="H24" s="32">
        <v>1.8560000000000001</v>
      </c>
      <c r="I24" s="32">
        <v>1.85</v>
      </c>
      <c r="J24" s="33">
        <f t="shared" si="0"/>
        <v>6.0000000000000053E-3</v>
      </c>
      <c r="K24" s="34" t="str">
        <f t="shared" si="1"/>
        <v/>
      </c>
      <c r="L24" s="35">
        <f t="shared" si="2"/>
        <v>7.4249999999999998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899</v>
      </c>
      <c r="S24" s="28" t="s">
        <v>21</v>
      </c>
      <c r="T24" s="46"/>
      <c r="U24" s="28" t="s">
        <v>31</v>
      </c>
    </row>
    <row r="25" spans="1:21" s="27" customFormat="1" x14ac:dyDescent="0.25">
      <c r="A25" s="28" t="s">
        <v>21</v>
      </c>
      <c r="B25" s="28" t="s">
        <v>863</v>
      </c>
      <c r="C25" s="28" t="s">
        <v>21</v>
      </c>
      <c r="D25" s="31">
        <v>1</v>
      </c>
      <c r="E25" s="70" t="s">
        <v>130</v>
      </c>
      <c r="F25" s="45">
        <v>298</v>
      </c>
      <c r="G25" s="32"/>
      <c r="H25" s="32">
        <v>1.8520000000000001</v>
      </c>
      <c r="I25" s="32">
        <v>1.8440000000000001</v>
      </c>
      <c r="J25" s="33">
        <f t="shared" si="0"/>
        <v>8.0000000000000071E-3</v>
      </c>
      <c r="K25" s="34" t="str">
        <f t="shared" si="1"/>
        <v/>
      </c>
      <c r="L25" s="35">
        <f t="shared" si="2"/>
        <v>7.45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900</v>
      </c>
      <c r="S25" s="28" t="s">
        <v>21</v>
      </c>
      <c r="T25" s="46"/>
      <c r="U25" s="28" t="s">
        <v>31</v>
      </c>
    </row>
    <row r="26" spans="1:21" s="27" customFormat="1" x14ac:dyDescent="0.25">
      <c r="A26" s="28" t="s">
        <v>21</v>
      </c>
      <c r="B26" s="28" t="s">
        <v>864</v>
      </c>
      <c r="C26" s="28" t="s">
        <v>21</v>
      </c>
      <c r="D26" s="31">
        <v>1</v>
      </c>
      <c r="E26" s="70" t="s">
        <v>324</v>
      </c>
      <c r="F26" s="45">
        <v>298</v>
      </c>
      <c r="G26" s="32"/>
      <c r="H26" s="32">
        <v>1.841</v>
      </c>
      <c r="I26" s="32">
        <v>1.833</v>
      </c>
      <c r="J26" s="33">
        <f t="shared" si="0"/>
        <v>8.0000000000000071E-3</v>
      </c>
      <c r="K26" s="34" t="str">
        <f t="shared" si="1"/>
        <v/>
      </c>
      <c r="L26" s="35">
        <f t="shared" si="2"/>
        <v>7.45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901</v>
      </c>
      <c r="S26" s="28" t="s">
        <v>21</v>
      </c>
      <c r="T26" s="46"/>
      <c r="U26" s="28" t="s">
        <v>31</v>
      </c>
    </row>
    <row r="27" spans="1:21" s="27" customFormat="1" x14ac:dyDescent="0.25">
      <c r="A27" s="28" t="s">
        <v>21</v>
      </c>
      <c r="B27" s="28" t="s">
        <v>865</v>
      </c>
      <c r="C27" s="28" t="s">
        <v>21</v>
      </c>
      <c r="D27" s="31">
        <v>1</v>
      </c>
      <c r="E27" s="70" t="s">
        <v>644</v>
      </c>
      <c r="F27" s="45">
        <v>297</v>
      </c>
      <c r="G27" s="32"/>
      <c r="H27" s="32">
        <v>1.86</v>
      </c>
      <c r="I27" s="32">
        <v>1.853</v>
      </c>
      <c r="J27" s="33">
        <f t="shared" si="0"/>
        <v>7.0000000000001172E-3</v>
      </c>
      <c r="K27" s="34" t="str">
        <f t="shared" si="1"/>
        <v/>
      </c>
      <c r="L27" s="35">
        <f t="shared" si="2"/>
        <v>7.4249999999999998</v>
      </c>
      <c r="M27" s="36" t="str">
        <f t="shared" si="3"/>
        <v/>
      </c>
      <c r="N27" s="37" t="s">
        <v>18</v>
      </c>
      <c r="O27" s="29">
        <v>1</v>
      </c>
      <c r="P27" s="38">
        <v>40</v>
      </c>
      <c r="Q27" s="46"/>
      <c r="R27" s="28" t="s">
        <v>903</v>
      </c>
      <c r="S27" s="71" t="s">
        <v>103</v>
      </c>
      <c r="T27" s="46"/>
      <c r="U27" s="28" t="s">
        <v>31</v>
      </c>
    </row>
    <row r="28" spans="1:21" s="27" customFormat="1" x14ac:dyDescent="0.25">
      <c r="A28" s="28" t="s">
        <v>21</v>
      </c>
      <c r="B28" s="28" t="s">
        <v>866</v>
      </c>
      <c r="C28" s="28" t="s">
        <v>21</v>
      </c>
      <c r="D28" s="31">
        <v>1</v>
      </c>
      <c r="E28" s="70" t="s">
        <v>129</v>
      </c>
      <c r="F28" s="45">
        <v>296</v>
      </c>
      <c r="G28" s="32"/>
      <c r="H28" s="32">
        <v>1.8640000000000001</v>
      </c>
      <c r="I28" s="32">
        <v>1.857</v>
      </c>
      <c r="J28" s="33">
        <f t="shared" si="0"/>
        <v>7.0000000000001172E-3</v>
      </c>
      <c r="K28" s="34" t="str">
        <f t="shared" si="1"/>
        <v/>
      </c>
      <c r="L28" s="35">
        <f t="shared" si="2"/>
        <v>7.4</v>
      </c>
      <c r="M28" s="36" t="str">
        <f t="shared" si="3"/>
        <v/>
      </c>
      <c r="N28" s="37" t="s">
        <v>18</v>
      </c>
      <c r="O28" s="29">
        <v>1</v>
      </c>
      <c r="P28" s="38">
        <v>40</v>
      </c>
      <c r="Q28" s="46"/>
      <c r="R28" s="28" t="s">
        <v>897</v>
      </c>
      <c r="S28" s="71" t="s">
        <v>59</v>
      </c>
      <c r="T28" s="46"/>
      <c r="U28" s="28" t="s">
        <v>31</v>
      </c>
    </row>
    <row r="29" spans="1:21" s="27" customFormat="1" x14ac:dyDescent="0.25">
      <c r="A29" s="28" t="s">
        <v>21</v>
      </c>
      <c r="B29" s="28" t="s">
        <v>867</v>
      </c>
      <c r="C29" s="28" t="s">
        <v>21</v>
      </c>
      <c r="D29" s="31">
        <v>1</v>
      </c>
      <c r="E29" s="70" t="s">
        <v>536</v>
      </c>
      <c r="F29" s="45">
        <v>297</v>
      </c>
      <c r="G29" s="32"/>
      <c r="H29" s="32">
        <v>1.859</v>
      </c>
      <c r="I29" s="32">
        <v>1.8520000000000001</v>
      </c>
      <c r="J29" s="33">
        <f t="shared" si="0"/>
        <v>6.9999999999998952E-3</v>
      </c>
      <c r="K29" s="34" t="str">
        <f t="shared" si="1"/>
        <v/>
      </c>
      <c r="L29" s="35">
        <f t="shared" si="2"/>
        <v>7.4249999999999998</v>
      </c>
      <c r="M29" s="36" t="str">
        <f t="shared" si="3"/>
        <v/>
      </c>
      <c r="N29" s="37" t="s">
        <v>18</v>
      </c>
      <c r="O29" s="29">
        <v>1</v>
      </c>
      <c r="P29" s="38">
        <v>40</v>
      </c>
      <c r="Q29" s="46"/>
      <c r="R29" s="28" t="s">
        <v>902</v>
      </c>
      <c r="S29" s="28" t="s">
        <v>21</v>
      </c>
      <c r="T29" s="46"/>
      <c r="U29" s="28" t="s">
        <v>31</v>
      </c>
    </row>
    <row r="30" spans="1:21" s="27" customFormat="1" x14ac:dyDescent="0.25">
      <c r="A30" s="28" t="s">
        <v>21</v>
      </c>
      <c r="B30" s="28" t="s">
        <v>868</v>
      </c>
      <c r="C30" s="28" t="s">
        <v>21</v>
      </c>
      <c r="D30" s="31">
        <v>1</v>
      </c>
      <c r="E30" s="70" t="s">
        <v>132</v>
      </c>
      <c r="F30" s="45">
        <v>294</v>
      </c>
      <c r="G30" s="32"/>
      <c r="H30" s="32">
        <v>1.86</v>
      </c>
      <c r="I30" s="32">
        <v>1.853</v>
      </c>
      <c r="J30" s="33">
        <f t="shared" si="0"/>
        <v>7.0000000000001172E-3</v>
      </c>
      <c r="K30" s="34" t="str">
        <f t="shared" si="1"/>
        <v/>
      </c>
      <c r="L30" s="35">
        <f t="shared" si="2"/>
        <v>7.35</v>
      </c>
      <c r="M30" s="36" t="str">
        <f t="shared" si="3"/>
        <v/>
      </c>
      <c r="N30" s="37" t="s">
        <v>18</v>
      </c>
      <c r="O30" s="29">
        <v>1</v>
      </c>
      <c r="P30" s="38">
        <v>40</v>
      </c>
      <c r="Q30" s="46"/>
      <c r="R30" s="28" t="s">
        <v>905</v>
      </c>
      <c r="S30" s="28" t="s">
        <v>21</v>
      </c>
      <c r="T30" s="46"/>
      <c r="U30" s="28" t="s">
        <v>31</v>
      </c>
    </row>
    <row r="31" spans="1:21" s="27" customFormat="1" x14ac:dyDescent="0.25">
      <c r="A31" s="28" t="s">
        <v>21</v>
      </c>
      <c r="B31" s="28" t="s">
        <v>869</v>
      </c>
      <c r="C31" s="28" t="s">
        <v>21</v>
      </c>
      <c r="D31" s="31">
        <v>1</v>
      </c>
      <c r="E31" s="70" t="s">
        <v>128</v>
      </c>
      <c r="F31" s="45">
        <v>297</v>
      </c>
      <c r="G31" s="32"/>
      <c r="H31" s="32">
        <v>1.865</v>
      </c>
      <c r="I31" s="32">
        <v>1.857</v>
      </c>
      <c r="J31" s="33">
        <f t="shared" si="0"/>
        <v>8.0000000000000071E-3</v>
      </c>
      <c r="K31" s="34" t="str">
        <f t="shared" si="1"/>
        <v/>
      </c>
      <c r="L31" s="35">
        <f t="shared" si="2"/>
        <v>7.4249999999999998</v>
      </c>
      <c r="M31" s="36" t="str">
        <f t="shared" si="3"/>
        <v/>
      </c>
      <c r="N31" s="37" t="s">
        <v>18</v>
      </c>
      <c r="O31" s="29">
        <v>1</v>
      </c>
      <c r="P31" s="38">
        <v>40</v>
      </c>
      <c r="Q31" s="46"/>
      <c r="R31" s="28" t="s">
        <v>904</v>
      </c>
      <c r="S31" s="28" t="s">
        <v>21</v>
      </c>
      <c r="T31" s="46"/>
      <c r="U31" s="28" t="s">
        <v>31</v>
      </c>
    </row>
    <row r="32" spans="1:21" s="27" customFormat="1" x14ac:dyDescent="0.25">
      <c r="A32" s="28" t="s">
        <v>906</v>
      </c>
      <c r="B32" s="28" t="s">
        <v>907</v>
      </c>
      <c r="C32" s="28">
        <v>765701</v>
      </c>
      <c r="D32" s="31">
        <v>1</v>
      </c>
      <c r="E32" s="70" t="s">
        <v>231</v>
      </c>
      <c r="F32" s="45">
        <v>1202</v>
      </c>
      <c r="G32" s="32">
        <v>1.8819999999999999</v>
      </c>
      <c r="H32" s="32">
        <v>7.52</v>
      </c>
      <c r="I32" s="32">
        <v>7.5</v>
      </c>
      <c r="J32" s="33">
        <f>IF(O32&lt;&gt;"",(H32-I32)/O32,"")</f>
        <v>4.9999999999998934E-3</v>
      </c>
      <c r="K32" s="34" t="str">
        <f t="shared" si="1"/>
        <v/>
      </c>
      <c r="L32" s="35">
        <f>F32/(O32*P32)</f>
        <v>7.5125000000000002</v>
      </c>
      <c r="M32" s="36" t="str">
        <f>IF(L32=0,"",IF(OR(L32&lt;7,L32&gt;7.8),"X",""))</f>
        <v/>
      </c>
      <c r="N32" s="37" t="s">
        <v>24</v>
      </c>
      <c r="O32" s="29">
        <v>4</v>
      </c>
      <c r="P32" s="38">
        <v>40</v>
      </c>
      <c r="Q32" s="28"/>
      <c r="R32" s="28" t="s">
        <v>912</v>
      </c>
      <c r="S32" s="71" t="s">
        <v>58</v>
      </c>
      <c r="T32" s="28"/>
      <c r="U32" s="28" t="s">
        <v>31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1</v>
      </c>
      <c r="E33" s="70"/>
      <c r="F33" s="31"/>
      <c r="G33" s="32">
        <v>1.88</v>
      </c>
      <c r="H33" s="32"/>
      <c r="I33" s="32"/>
      <c r="J33" s="33" t="str">
        <f t="shared" ref="J33:J35" si="4">IF(O33&lt;&gt;"",(H33-I33)/O33,"")</f>
        <v/>
      </c>
      <c r="K33" s="34"/>
      <c r="L33" s="35"/>
      <c r="M33" s="36" t="str">
        <f t="shared" ref="M33:M35" si="5">IF(L33=0,"",IF(OR(L33&lt;7.4,L33&gt;8),"X",""))</f>
        <v/>
      </c>
      <c r="N33" s="37"/>
      <c r="O33" s="29"/>
      <c r="P33" s="38"/>
      <c r="Q33" s="28"/>
      <c r="R33" s="28" t="s">
        <v>913</v>
      </c>
      <c r="S33" s="71" t="s">
        <v>59</v>
      </c>
      <c r="T33" s="28"/>
      <c r="U33" s="28" t="s">
        <v>31</v>
      </c>
    </row>
    <row r="34" spans="1:21" s="27" customFormat="1" x14ac:dyDescent="0.25">
      <c r="A34" s="28" t="s">
        <v>21</v>
      </c>
      <c r="B34" s="28" t="s">
        <v>21</v>
      </c>
      <c r="C34" s="28" t="s">
        <v>21</v>
      </c>
      <c r="D34" s="31">
        <v>1</v>
      </c>
      <c r="E34" s="70"/>
      <c r="F34" s="31"/>
      <c r="G34" s="32">
        <v>1.8819999999999999</v>
      </c>
      <c r="H34" s="32"/>
      <c r="I34" s="32"/>
      <c r="J34" s="33" t="str">
        <f t="shared" si="4"/>
        <v/>
      </c>
      <c r="K34" s="34"/>
      <c r="L34" s="35"/>
      <c r="M34" s="36" t="str">
        <f t="shared" si="5"/>
        <v/>
      </c>
      <c r="N34" s="37"/>
      <c r="O34" s="29"/>
      <c r="P34" s="38"/>
      <c r="Q34" s="28"/>
      <c r="R34" s="28" t="s">
        <v>915</v>
      </c>
      <c r="S34" s="28" t="s">
        <v>21</v>
      </c>
      <c r="T34" s="28"/>
      <c r="U34" s="28" t="s">
        <v>31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70"/>
      <c r="F35" s="31"/>
      <c r="G35" s="32">
        <v>1.8759999999999999</v>
      </c>
      <c r="H35" s="32"/>
      <c r="I35" s="32"/>
      <c r="J35" s="33" t="str">
        <f t="shared" si="4"/>
        <v/>
      </c>
      <c r="K35" s="34"/>
      <c r="L35" s="35"/>
      <c r="M35" s="36" t="str">
        <f t="shared" si="5"/>
        <v/>
      </c>
      <c r="N35" s="37"/>
      <c r="O35" s="29"/>
      <c r="P35" s="38"/>
      <c r="Q35" s="28"/>
      <c r="R35" s="28" t="s">
        <v>916</v>
      </c>
      <c r="S35" s="28" t="s">
        <v>21</v>
      </c>
      <c r="T35" s="28"/>
      <c r="U35" s="28" t="s">
        <v>31</v>
      </c>
    </row>
    <row r="36" spans="1:21" s="27" customFormat="1" x14ac:dyDescent="0.25">
      <c r="A36" s="28" t="s">
        <v>21</v>
      </c>
      <c r="B36" s="28" t="s">
        <v>908</v>
      </c>
      <c r="C36" s="28" t="s">
        <v>21</v>
      </c>
      <c r="D36" s="31">
        <v>1</v>
      </c>
      <c r="E36" s="70" t="s">
        <v>407</v>
      </c>
      <c r="F36" s="45">
        <v>1205</v>
      </c>
      <c r="G36" s="32">
        <v>1.8779999999999999</v>
      </c>
      <c r="H36" s="32">
        <v>7.49</v>
      </c>
      <c r="I36" s="32">
        <v>7.46</v>
      </c>
      <c r="J36" s="33">
        <f>IF(O36&lt;&gt;"",(H36-I36)/O36,"")</f>
        <v>7.5000000000000622E-3</v>
      </c>
      <c r="K36" s="34" t="str">
        <f t="shared" ref="K36" si="6">IF(J36=0,"",IF(OR(J36&lt;0,J36&gt;0.03),"X",""))</f>
        <v/>
      </c>
      <c r="L36" s="35">
        <f>F36/(O36*P36)</f>
        <v>7.53125</v>
      </c>
      <c r="M36" s="36" t="str">
        <f>IF(L36=0,"",IF(OR(L36&lt;7,L36&gt;7.8),"X",""))</f>
        <v/>
      </c>
      <c r="N36" s="37" t="s">
        <v>24</v>
      </c>
      <c r="O36" s="29">
        <v>4</v>
      </c>
      <c r="P36" s="38">
        <v>40</v>
      </c>
      <c r="Q36" s="28"/>
      <c r="R36" s="28" t="s">
        <v>914</v>
      </c>
      <c r="S36" s="28" t="s">
        <v>21</v>
      </c>
      <c r="T36" s="28"/>
      <c r="U36" s="28" t="s">
        <v>31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70"/>
      <c r="F37" s="31"/>
      <c r="G37" s="32">
        <v>1.8759999999999999</v>
      </c>
      <c r="H37" s="32"/>
      <c r="I37" s="32"/>
      <c r="J37" s="33" t="str">
        <f t="shared" ref="J37:J39" si="7">IF(O37&lt;&gt;"",(H37-I37)/O37,"")</f>
        <v/>
      </c>
      <c r="K37" s="34"/>
      <c r="L37" s="35"/>
      <c r="M37" s="36" t="str">
        <f t="shared" ref="M37:M39" si="8">IF(L37=0,"",IF(OR(L37&lt;7.4,L37&gt;8),"X",""))</f>
        <v/>
      </c>
      <c r="N37" s="37"/>
      <c r="O37" s="29"/>
      <c r="P37" s="38"/>
      <c r="Q37" s="28"/>
      <c r="R37" s="28" t="s">
        <v>917</v>
      </c>
      <c r="S37" s="28" t="s">
        <v>21</v>
      </c>
      <c r="T37" s="28"/>
      <c r="U37" s="28" t="s">
        <v>31</v>
      </c>
    </row>
    <row r="38" spans="1:21" s="27" customFormat="1" x14ac:dyDescent="0.25">
      <c r="A38" s="28" t="s">
        <v>21</v>
      </c>
      <c r="B38" s="28" t="s">
        <v>21</v>
      </c>
      <c r="C38" s="28">
        <v>765701</v>
      </c>
      <c r="D38" s="31">
        <v>1</v>
      </c>
      <c r="E38" s="70"/>
      <c r="F38" s="31"/>
      <c r="G38" s="32">
        <v>1.8660000000000001</v>
      </c>
      <c r="H38" s="32"/>
      <c r="I38" s="32"/>
      <c r="J38" s="33" t="str">
        <f t="shared" si="7"/>
        <v/>
      </c>
      <c r="K38" s="34"/>
      <c r="L38" s="35"/>
      <c r="M38" s="36" t="str">
        <f t="shared" si="8"/>
        <v/>
      </c>
      <c r="N38" s="37"/>
      <c r="O38" s="29"/>
      <c r="P38" s="38"/>
      <c r="Q38" s="28"/>
      <c r="R38" s="28" t="s">
        <v>918</v>
      </c>
      <c r="S38" s="28" t="s">
        <v>21</v>
      </c>
      <c r="T38" s="28"/>
      <c r="U38" s="28" t="s">
        <v>31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31">
        <v>1</v>
      </c>
      <c r="E39" s="70"/>
      <c r="F39" s="31"/>
      <c r="G39" s="32">
        <v>1.8660000000000001</v>
      </c>
      <c r="H39" s="32"/>
      <c r="I39" s="32"/>
      <c r="J39" s="33" t="str">
        <f t="shared" si="7"/>
        <v/>
      </c>
      <c r="K39" s="34"/>
      <c r="L39" s="35"/>
      <c r="M39" s="36" t="str">
        <f t="shared" si="8"/>
        <v/>
      </c>
      <c r="N39" s="37"/>
      <c r="O39" s="29"/>
      <c r="P39" s="38"/>
      <c r="Q39" s="28"/>
      <c r="R39" s="28" t="s">
        <v>920</v>
      </c>
      <c r="S39" s="28" t="s">
        <v>21</v>
      </c>
      <c r="T39" s="28"/>
      <c r="U39" s="28" t="s">
        <v>31</v>
      </c>
    </row>
    <row r="40" spans="1:21" s="27" customFormat="1" x14ac:dyDescent="0.25">
      <c r="A40" s="28" t="s">
        <v>21</v>
      </c>
      <c r="B40" s="28" t="s">
        <v>909</v>
      </c>
      <c r="C40" s="28" t="s">
        <v>21</v>
      </c>
      <c r="D40" s="31">
        <v>1</v>
      </c>
      <c r="E40" s="70" t="s">
        <v>409</v>
      </c>
      <c r="F40" s="45">
        <v>1202</v>
      </c>
      <c r="G40" s="32">
        <v>1.8680000000000001</v>
      </c>
      <c r="H40" s="32">
        <v>7.47</v>
      </c>
      <c r="I40" s="32">
        <v>7.45</v>
      </c>
      <c r="J40" s="33">
        <f>IF(O40&lt;&gt;"",(H40-I40)/O40,"")</f>
        <v>4.9999999999998934E-3</v>
      </c>
      <c r="K40" s="34" t="str">
        <f t="shared" ref="K40" si="9">IF(J40=0,"",IF(OR(J40&lt;0,J40&gt;0.03),"X",""))</f>
        <v/>
      </c>
      <c r="L40" s="35">
        <f>F40/(O40*P40)</f>
        <v>7.5125000000000002</v>
      </c>
      <c r="M40" s="36" t="str">
        <f>IF(L40=0,"",IF(OR(L40&lt;7,L40&gt;7.8),"X",""))</f>
        <v/>
      </c>
      <c r="N40" s="37" t="s">
        <v>24</v>
      </c>
      <c r="O40" s="29">
        <v>4</v>
      </c>
      <c r="P40" s="38">
        <v>40</v>
      </c>
      <c r="Q40" s="28"/>
      <c r="R40" s="28" t="s">
        <v>922</v>
      </c>
      <c r="S40" s="28" t="s">
        <v>21</v>
      </c>
      <c r="T40" s="28"/>
      <c r="U40" s="28" t="s">
        <v>31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>
        <v>1</v>
      </c>
      <c r="E41" s="70"/>
      <c r="F41" s="31"/>
      <c r="G41" s="32">
        <v>1.873</v>
      </c>
      <c r="H41" s="32"/>
      <c r="I41" s="32"/>
      <c r="J41" s="33" t="str">
        <f t="shared" ref="J41:J43" si="10">IF(O41&lt;&gt;"",(H41-I41)/O41,"")</f>
        <v/>
      </c>
      <c r="K41" s="34"/>
      <c r="L41" s="35"/>
      <c r="M41" s="36" t="str">
        <f t="shared" ref="M41:M43" si="11">IF(L41=0,"",IF(OR(L41&lt;7.4,L41&gt;8),"X",""))</f>
        <v/>
      </c>
      <c r="N41" s="37"/>
      <c r="O41" s="29"/>
      <c r="P41" s="38"/>
      <c r="Q41" s="28"/>
      <c r="R41" s="28" t="s">
        <v>924</v>
      </c>
      <c r="S41" s="28" t="s">
        <v>21</v>
      </c>
      <c r="T41" s="28"/>
      <c r="U41" s="28" t="s">
        <v>31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31">
        <v>1</v>
      </c>
      <c r="E42" s="70"/>
      <c r="F42" s="31"/>
      <c r="G42" s="32">
        <v>1.8680000000000001</v>
      </c>
      <c r="H42" s="32"/>
      <c r="I42" s="32"/>
      <c r="J42" s="33" t="str">
        <f t="shared" si="10"/>
        <v/>
      </c>
      <c r="K42" s="34"/>
      <c r="L42" s="35"/>
      <c r="M42" s="36" t="str">
        <f t="shared" si="11"/>
        <v/>
      </c>
      <c r="N42" s="37"/>
      <c r="O42" s="29"/>
      <c r="P42" s="38"/>
      <c r="Q42" s="28"/>
      <c r="R42" s="28" t="s">
        <v>925</v>
      </c>
      <c r="S42" s="28" t="s">
        <v>21</v>
      </c>
      <c r="T42" s="28"/>
      <c r="U42" s="28" t="s">
        <v>31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31">
        <v>1</v>
      </c>
      <c r="E43" s="70"/>
      <c r="F43" s="31"/>
      <c r="G43" s="32">
        <v>1.863</v>
      </c>
      <c r="H43" s="32"/>
      <c r="I43" s="32"/>
      <c r="J43" s="33" t="str">
        <f t="shared" si="10"/>
        <v/>
      </c>
      <c r="K43" s="34"/>
      <c r="L43" s="35"/>
      <c r="M43" s="36" t="str">
        <f t="shared" si="11"/>
        <v/>
      </c>
      <c r="N43" s="37"/>
      <c r="O43" s="29"/>
      <c r="P43" s="38"/>
      <c r="Q43" s="28"/>
      <c r="R43" s="28" t="s">
        <v>926</v>
      </c>
      <c r="S43" s="28" t="s">
        <v>21</v>
      </c>
      <c r="T43" s="28"/>
      <c r="U43" s="28" t="s">
        <v>31</v>
      </c>
    </row>
    <row r="44" spans="1:21" s="27" customFormat="1" x14ac:dyDescent="0.25">
      <c r="A44" s="28" t="s">
        <v>21</v>
      </c>
      <c r="B44" s="28" t="s">
        <v>910</v>
      </c>
      <c r="C44" s="28" t="s">
        <v>21</v>
      </c>
      <c r="D44" s="31">
        <v>1</v>
      </c>
      <c r="E44" s="30" t="s">
        <v>409</v>
      </c>
      <c r="F44" s="45">
        <v>1199</v>
      </c>
      <c r="G44" s="32">
        <v>1.8660000000000001</v>
      </c>
      <c r="H44" s="32">
        <v>7.49</v>
      </c>
      <c r="I44" s="32">
        <v>7.46</v>
      </c>
      <c r="J44" s="33">
        <f>IF(O44&lt;&gt;"",(H44-I44)/O44,"")</f>
        <v>7.5000000000000622E-3</v>
      </c>
      <c r="K44" s="34" t="str">
        <f t="shared" ref="K44" si="12">IF(J44=0,"",IF(OR(J44&lt;0,J44&gt;0.03),"X",""))</f>
        <v/>
      </c>
      <c r="L44" s="35">
        <f>F44/(O44*P44)</f>
        <v>7.4937500000000004</v>
      </c>
      <c r="M44" s="36" t="str">
        <f>IF(L44=0,"",IF(OR(L44&lt;7,L44&gt;7.8),"X",""))</f>
        <v/>
      </c>
      <c r="N44" s="37" t="s">
        <v>24</v>
      </c>
      <c r="O44" s="29">
        <v>4</v>
      </c>
      <c r="P44" s="38">
        <v>40</v>
      </c>
      <c r="Q44" s="28"/>
      <c r="R44" s="28" t="s">
        <v>919</v>
      </c>
      <c r="S44" s="71" t="s">
        <v>103</v>
      </c>
      <c r="T44" s="28"/>
      <c r="U44" s="28" t="s">
        <v>31</v>
      </c>
    </row>
    <row r="45" spans="1:21" s="27" customFormat="1" x14ac:dyDescent="0.25">
      <c r="A45" s="28" t="s">
        <v>21</v>
      </c>
      <c r="B45" s="28" t="s">
        <v>21</v>
      </c>
      <c r="C45" s="28" t="s">
        <v>21</v>
      </c>
      <c r="D45" s="31">
        <v>1</v>
      </c>
      <c r="E45" s="30"/>
      <c r="F45" s="31"/>
      <c r="G45" s="32">
        <v>1.873</v>
      </c>
      <c r="H45" s="32"/>
      <c r="I45" s="32"/>
      <c r="J45" s="33" t="str">
        <f t="shared" ref="J45:J47" si="13">IF(O45&lt;&gt;"",(H45-I45)/O45,"")</f>
        <v/>
      </c>
      <c r="K45" s="34"/>
      <c r="L45" s="35"/>
      <c r="M45" s="36" t="str">
        <f t="shared" ref="M45:M47" si="14">IF(L45=0,"",IF(OR(L45&lt;7.4,L45&gt;8),"X",""))</f>
        <v/>
      </c>
      <c r="N45" s="37"/>
      <c r="O45" s="29"/>
      <c r="P45" s="38"/>
      <c r="Q45" s="28"/>
      <c r="R45" s="28" t="s">
        <v>928</v>
      </c>
      <c r="S45" s="71" t="s">
        <v>59</v>
      </c>
      <c r="T45" s="28"/>
      <c r="U45" s="28" t="s">
        <v>31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31">
        <v>1</v>
      </c>
      <c r="E46" s="30"/>
      <c r="F46" s="31"/>
      <c r="G46" s="32">
        <v>1.873</v>
      </c>
      <c r="H46" s="32"/>
      <c r="I46" s="32"/>
      <c r="J46" s="33" t="str">
        <f t="shared" si="13"/>
        <v/>
      </c>
      <c r="K46" s="34"/>
      <c r="L46" s="35"/>
      <c r="M46" s="36" t="str">
        <f t="shared" si="14"/>
        <v/>
      </c>
      <c r="N46" s="37"/>
      <c r="O46" s="29"/>
      <c r="P46" s="38"/>
      <c r="Q46" s="28"/>
      <c r="R46" s="28" t="s">
        <v>929</v>
      </c>
      <c r="S46" s="28" t="s">
        <v>21</v>
      </c>
      <c r="T46" s="28"/>
      <c r="U46" s="28" t="s">
        <v>31</v>
      </c>
    </row>
    <row r="47" spans="1:21" s="27" customFormat="1" x14ac:dyDescent="0.25">
      <c r="A47" s="28" t="s">
        <v>21</v>
      </c>
      <c r="B47" s="28" t="s">
        <v>21</v>
      </c>
      <c r="C47" s="28" t="s">
        <v>21</v>
      </c>
      <c r="D47" s="31">
        <v>1</v>
      </c>
      <c r="E47" s="30"/>
      <c r="F47" s="31"/>
      <c r="G47" s="32">
        <v>1.8759999999999999</v>
      </c>
      <c r="H47" s="32"/>
      <c r="I47" s="32"/>
      <c r="J47" s="33" t="str">
        <f t="shared" si="13"/>
        <v/>
      </c>
      <c r="K47" s="34"/>
      <c r="L47" s="35"/>
      <c r="M47" s="36" t="str">
        <f t="shared" si="14"/>
        <v/>
      </c>
      <c r="N47" s="37"/>
      <c r="O47" s="29"/>
      <c r="P47" s="38"/>
      <c r="Q47" s="28"/>
      <c r="R47" s="28" t="s">
        <v>923</v>
      </c>
      <c r="S47" s="28" t="s">
        <v>21</v>
      </c>
      <c r="T47" s="28"/>
      <c r="U47" s="28" t="s">
        <v>31</v>
      </c>
    </row>
    <row r="48" spans="1:21" s="27" customFormat="1" x14ac:dyDescent="0.25">
      <c r="A48" s="28" t="s">
        <v>21</v>
      </c>
      <c r="B48" s="28" t="s">
        <v>911</v>
      </c>
      <c r="C48" s="28" t="s">
        <v>21</v>
      </c>
      <c r="D48" s="31">
        <v>1</v>
      </c>
      <c r="E48" s="30" t="s">
        <v>408</v>
      </c>
      <c r="F48" s="45">
        <v>1201</v>
      </c>
      <c r="G48" s="32">
        <v>1.8720000000000001</v>
      </c>
      <c r="H48" s="32">
        <v>7.48</v>
      </c>
      <c r="I48" s="32">
        <v>7.45</v>
      </c>
      <c r="J48" s="33">
        <f>IF(O48&lt;&gt;"",(H48-I48)/O48,"")</f>
        <v>7.5000000000000622E-3</v>
      </c>
      <c r="K48" s="34" t="str">
        <f t="shared" ref="K48" si="15">IF(J48=0,"",IF(OR(J48&lt;0,J48&gt;0.03),"X",""))</f>
        <v/>
      </c>
      <c r="L48" s="35">
        <f>F48/(O48*P48)</f>
        <v>7.5062499999999996</v>
      </c>
      <c r="M48" s="36" t="str">
        <f>IF(L48=0,"",IF(OR(L48&lt;7,L48&gt;7.8),"X",""))</f>
        <v/>
      </c>
      <c r="N48" s="37" t="s">
        <v>24</v>
      </c>
      <c r="O48" s="29">
        <v>4</v>
      </c>
      <c r="P48" s="38">
        <v>40</v>
      </c>
      <c r="Q48" s="28"/>
      <c r="R48" s="28" t="s">
        <v>930</v>
      </c>
      <c r="S48" s="28" t="s">
        <v>21</v>
      </c>
      <c r="T48" s="28"/>
      <c r="U48" s="28" t="s">
        <v>31</v>
      </c>
    </row>
    <row r="49" spans="1:21" s="27" customFormat="1" x14ac:dyDescent="0.25">
      <c r="A49" s="28" t="s">
        <v>21</v>
      </c>
      <c r="B49" s="28" t="s">
        <v>21</v>
      </c>
      <c r="C49" s="28" t="s">
        <v>21</v>
      </c>
      <c r="D49" s="31">
        <v>1</v>
      </c>
      <c r="E49" s="30"/>
      <c r="F49" s="31"/>
      <c r="G49" s="32">
        <v>1.863</v>
      </c>
      <c r="H49" s="32"/>
      <c r="I49" s="32"/>
      <c r="J49" s="33" t="str">
        <f t="shared" ref="J49:J51" si="16">IF(O49&lt;&gt;"",(H49-I49)/O49,"")</f>
        <v/>
      </c>
      <c r="K49" s="34"/>
      <c r="L49" s="35"/>
      <c r="M49" s="36" t="str">
        <f t="shared" ref="M49:M51" si="17">IF(L49=0,"",IF(OR(L49&lt;7.4,L49&gt;8),"X",""))</f>
        <v/>
      </c>
      <c r="N49" s="37"/>
      <c r="O49" s="29"/>
      <c r="P49" s="38"/>
      <c r="Q49" s="28"/>
      <c r="R49" s="28" t="s">
        <v>921</v>
      </c>
      <c r="S49" s="28" t="s">
        <v>21</v>
      </c>
      <c r="T49" s="28"/>
      <c r="U49" s="28" t="s">
        <v>31</v>
      </c>
    </row>
    <row r="50" spans="1:21" s="27" customFormat="1" x14ac:dyDescent="0.25">
      <c r="A50" s="28" t="s">
        <v>21</v>
      </c>
      <c r="B50" s="28" t="s">
        <v>21</v>
      </c>
      <c r="C50" s="28" t="s">
        <v>21</v>
      </c>
      <c r="D50" s="31">
        <v>1</v>
      </c>
      <c r="E50" s="30"/>
      <c r="F50" s="31"/>
      <c r="G50" s="32">
        <v>1.869</v>
      </c>
      <c r="H50" s="32"/>
      <c r="I50" s="32"/>
      <c r="J50" s="33" t="str">
        <f t="shared" si="16"/>
        <v/>
      </c>
      <c r="K50" s="34"/>
      <c r="L50" s="35"/>
      <c r="M50" s="36" t="str">
        <f t="shared" si="17"/>
        <v/>
      </c>
      <c r="N50" s="37"/>
      <c r="O50" s="29"/>
      <c r="P50" s="38"/>
      <c r="Q50" s="28"/>
      <c r="R50" s="28" t="s">
        <v>927</v>
      </c>
      <c r="S50" s="28" t="s">
        <v>21</v>
      </c>
      <c r="T50" s="28"/>
      <c r="U50" s="28" t="s">
        <v>31</v>
      </c>
    </row>
    <row r="51" spans="1:21" s="27" customFormat="1" x14ac:dyDescent="0.25">
      <c r="A51" s="28" t="s">
        <v>21</v>
      </c>
      <c r="B51" s="28" t="s">
        <v>21</v>
      </c>
      <c r="C51" s="28" t="s">
        <v>21</v>
      </c>
      <c r="D51" s="31">
        <v>1</v>
      </c>
      <c r="E51" s="30"/>
      <c r="F51" s="31"/>
      <c r="G51" s="32">
        <v>1.875</v>
      </c>
      <c r="H51" s="32"/>
      <c r="I51" s="32"/>
      <c r="J51" s="33" t="str">
        <f t="shared" si="16"/>
        <v/>
      </c>
      <c r="K51" s="34"/>
      <c r="L51" s="35"/>
      <c r="M51" s="36" t="str">
        <f t="shared" si="17"/>
        <v/>
      </c>
      <c r="N51" s="37"/>
      <c r="O51" s="29"/>
      <c r="P51" s="38"/>
      <c r="Q51" s="28"/>
      <c r="R51" s="28" t="s">
        <v>931</v>
      </c>
      <c r="S51" s="28" t="s">
        <v>21</v>
      </c>
      <c r="T51" s="28"/>
      <c r="U51" s="28" t="s">
        <v>31</v>
      </c>
    </row>
    <row r="52" spans="1:21" s="27" customFormat="1" x14ac:dyDescent="0.25">
      <c r="A52" s="28" t="s">
        <v>932</v>
      </c>
      <c r="B52" s="28" t="s">
        <v>934</v>
      </c>
      <c r="C52" s="28">
        <v>698228</v>
      </c>
      <c r="D52" s="31">
        <v>1</v>
      </c>
      <c r="E52" s="30" t="s">
        <v>132</v>
      </c>
      <c r="F52" s="31">
        <v>186</v>
      </c>
      <c r="G52" s="32"/>
      <c r="H52" s="32">
        <v>1.897</v>
      </c>
      <c r="I52" s="32">
        <v>1.8919999999999999</v>
      </c>
      <c r="J52" s="33">
        <f t="shared" ref="J52:J86" si="18">IF(O52&lt;&gt;"",(H52-I52)/O52,"")</f>
        <v>5.0000000000001155E-3</v>
      </c>
      <c r="K52" s="34" t="str">
        <f t="shared" ref="K52:K115" si="19">IF(J52=0,"",IF(OR(J52&lt;0,J52&gt;0.03),"X",""))</f>
        <v/>
      </c>
      <c r="L52" s="35">
        <f t="shared" ref="L52:L86" si="20">F52/(O52*P52)</f>
        <v>7.44</v>
      </c>
      <c r="M52" s="36" t="str">
        <f t="shared" ref="M52:M86" si="21">IF(L52=0,"",IF(OR(L52&lt;7,L52&gt;7.8),"X",""))</f>
        <v/>
      </c>
      <c r="N52" s="37" t="s">
        <v>16</v>
      </c>
      <c r="O52" s="29">
        <v>1</v>
      </c>
      <c r="P52" s="38">
        <v>25</v>
      </c>
      <c r="Q52" s="28"/>
      <c r="R52" s="28" t="s">
        <v>933</v>
      </c>
      <c r="S52" s="39"/>
      <c r="T52" s="28"/>
      <c r="U52" s="28" t="s">
        <v>31</v>
      </c>
    </row>
    <row r="53" spans="1:21" s="27" customFormat="1" x14ac:dyDescent="0.25">
      <c r="A53" s="28" t="s">
        <v>21</v>
      </c>
      <c r="B53" s="28" t="s">
        <v>935</v>
      </c>
      <c r="C53" s="28" t="s">
        <v>21</v>
      </c>
      <c r="D53" s="31">
        <v>1</v>
      </c>
      <c r="E53" s="30" t="s">
        <v>129</v>
      </c>
      <c r="F53" s="31">
        <v>185</v>
      </c>
      <c r="G53" s="32"/>
      <c r="H53" s="32">
        <v>1.883</v>
      </c>
      <c r="I53" s="32">
        <v>1.877</v>
      </c>
      <c r="J53" s="33">
        <f t="shared" si="18"/>
        <v>6.0000000000000053E-3</v>
      </c>
      <c r="K53" s="34" t="str">
        <f t="shared" si="19"/>
        <v/>
      </c>
      <c r="L53" s="35">
        <f t="shared" si="20"/>
        <v>7.4</v>
      </c>
      <c r="M53" s="36" t="str">
        <f t="shared" si="21"/>
        <v/>
      </c>
      <c r="N53" s="37" t="s">
        <v>16</v>
      </c>
      <c r="O53" s="29">
        <v>1</v>
      </c>
      <c r="P53" s="38">
        <v>25</v>
      </c>
      <c r="Q53" s="28"/>
      <c r="R53" s="28" t="s">
        <v>939</v>
      </c>
      <c r="S53" s="39"/>
      <c r="T53" s="28"/>
      <c r="U53" s="28" t="s">
        <v>31</v>
      </c>
    </row>
    <row r="54" spans="1:21" s="27" customFormat="1" x14ac:dyDescent="0.25">
      <c r="A54" s="28" t="s">
        <v>21</v>
      </c>
      <c r="B54" s="28" t="s">
        <v>936</v>
      </c>
      <c r="C54" s="28">
        <v>698232</v>
      </c>
      <c r="D54" s="31">
        <v>1</v>
      </c>
      <c r="E54" s="30" t="s">
        <v>269</v>
      </c>
      <c r="F54" s="31">
        <v>185</v>
      </c>
      <c r="G54" s="32"/>
      <c r="H54" s="32">
        <v>1.8979999999999999</v>
      </c>
      <c r="I54" s="32">
        <v>1.8919999999999999</v>
      </c>
      <c r="J54" s="33">
        <f t="shared" si="18"/>
        <v>6.0000000000000053E-3</v>
      </c>
      <c r="K54" s="34" t="str">
        <f t="shared" si="19"/>
        <v/>
      </c>
      <c r="L54" s="35">
        <f t="shared" si="20"/>
        <v>7.4</v>
      </c>
      <c r="M54" s="36" t="str">
        <f t="shared" si="21"/>
        <v/>
      </c>
      <c r="N54" s="37" t="s">
        <v>16</v>
      </c>
      <c r="O54" s="29">
        <v>1</v>
      </c>
      <c r="P54" s="38">
        <v>25</v>
      </c>
      <c r="Q54" s="28"/>
      <c r="R54" s="28" t="s">
        <v>940</v>
      </c>
      <c r="S54" s="39"/>
      <c r="T54" s="28"/>
      <c r="U54" s="28" t="s">
        <v>31</v>
      </c>
    </row>
    <row r="55" spans="1:21" s="27" customFormat="1" x14ac:dyDescent="0.25">
      <c r="A55" s="28" t="s">
        <v>21</v>
      </c>
      <c r="B55" s="28" t="s">
        <v>937</v>
      </c>
      <c r="C55" s="28" t="s">
        <v>21</v>
      </c>
      <c r="D55" s="31">
        <v>1</v>
      </c>
      <c r="E55" s="30" t="s">
        <v>131</v>
      </c>
      <c r="F55" s="31">
        <v>185</v>
      </c>
      <c r="G55" s="32"/>
      <c r="H55" s="32">
        <v>1.907</v>
      </c>
      <c r="I55" s="32">
        <v>1.9019999999999999</v>
      </c>
      <c r="J55" s="33">
        <f t="shared" si="18"/>
        <v>5.0000000000001155E-3</v>
      </c>
      <c r="K55" s="34" t="str">
        <f t="shared" si="19"/>
        <v/>
      </c>
      <c r="L55" s="35">
        <f t="shared" si="20"/>
        <v>7.4</v>
      </c>
      <c r="M55" s="36" t="str">
        <f t="shared" si="21"/>
        <v/>
      </c>
      <c r="N55" s="37" t="s">
        <v>16</v>
      </c>
      <c r="O55" s="29">
        <v>1</v>
      </c>
      <c r="P55" s="38">
        <v>25</v>
      </c>
      <c r="Q55" s="28"/>
      <c r="R55" s="28" t="s">
        <v>941</v>
      </c>
      <c r="S55" s="39"/>
      <c r="T55" s="28"/>
      <c r="U55" s="28" t="s">
        <v>31</v>
      </c>
    </row>
    <row r="56" spans="1:21" s="27" customFormat="1" x14ac:dyDescent="0.25">
      <c r="A56" s="28" t="s">
        <v>21</v>
      </c>
      <c r="B56" s="28" t="s">
        <v>938</v>
      </c>
      <c r="C56" s="28" t="s">
        <v>21</v>
      </c>
      <c r="D56" s="31">
        <v>1</v>
      </c>
      <c r="E56" s="30" t="s">
        <v>537</v>
      </c>
      <c r="F56" s="31">
        <v>185</v>
      </c>
      <c r="G56" s="32"/>
      <c r="H56" s="32">
        <v>1.89</v>
      </c>
      <c r="I56" s="32">
        <v>1.885</v>
      </c>
      <c r="J56" s="33">
        <f t="shared" si="18"/>
        <v>4.9999999999998934E-3</v>
      </c>
      <c r="K56" s="34" t="str">
        <f t="shared" si="19"/>
        <v/>
      </c>
      <c r="L56" s="35">
        <f t="shared" si="20"/>
        <v>7.4</v>
      </c>
      <c r="M56" s="36" t="str">
        <f t="shared" si="21"/>
        <v/>
      </c>
      <c r="N56" s="37" t="s">
        <v>16</v>
      </c>
      <c r="O56" s="29">
        <v>1</v>
      </c>
      <c r="P56" s="38">
        <v>25</v>
      </c>
      <c r="Q56" s="28"/>
      <c r="R56" s="28" t="s">
        <v>942</v>
      </c>
      <c r="S56" s="39"/>
      <c r="T56" s="28"/>
      <c r="U56" s="28" t="s">
        <v>31</v>
      </c>
    </row>
    <row r="57" spans="1:21" s="27" customFormat="1" x14ac:dyDescent="0.25">
      <c r="A57" s="28" t="s">
        <v>943</v>
      </c>
      <c r="B57" s="28" t="s">
        <v>944</v>
      </c>
      <c r="C57" s="28">
        <v>698232</v>
      </c>
      <c r="D57" s="31">
        <v>1</v>
      </c>
      <c r="E57" s="70" t="s">
        <v>105</v>
      </c>
      <c r="F57" s="31">
        <v>185</v>
      </c>
      <c r="G57" s="32"/>
      <c r="H57" s="32">
        <v>1.8879999999999999</v>
      </c>
      <c r="I57" s="32">
        <v>1.883</v>
      </c>
      <c r="J57" s="33">
        <f t="shared" si="18"/>
        <v>4.9999999999998934E-3</v>
      </c>
      <c r="K57" s="34" t="str">
        <f t="shared" si="19"/>
        <v/>
      </c>
      <c r="L57" s="35">
        <f t="shared" si="20"/>
        <v>7.4</v>
      </c>
      <c r="M57" s="36" t="str">
        <f t="shared" si="21"/>
        <v/>
      </c>
      <c r="N57" s="37" t="s">
        <v>16</v>
      </c>
      <c r="O57" s="29">
        <v>1</v>
      </c>
      <c r="P57" s="38">
        <v>25</v>
      </c>
      <c r="Q57" s="28"/>
      <c r="R57" s="28" t="s">
        <v>975</v>
      </c>
      <c r="S57" s="71" t="s">
        <v>58</v>
      </c>
      <c r="T57" s="28"/>
      <c r="U57" s="28" t="s">
        <v>31</v>
      </c>
    </row>
    <row r="58" spans="1:21" s="27" customFormat="1" x14ac:dyDescent="0.25">
      <c r="A58" s="28" t="s">
        <v>21</v>
      </c>
      <c r="B58" s="28" t="s">
        <v>945</v>
      </c>
      <c r="C58" s="28" t="s">
        <v>21</v>
      </c>
      <c r="D58" s="31">
        <v>1</v>
      </c>
      <c r="E58" s="70" t="s">
        <v>234</v>
      </c>
      <c r="F58" s="31">
        <v>185</v>
      </c>
      <c r="G58" s="32"/>
      <c r="H58" s="32">
        <v>1.8939999999999999</v>
      </c>
      <c r="I58" s="32">
        <v>1.889</v>
      </c>
      <c r="J58" s="33">
        <f t="shared" si="18"/>
        <v>4.9999999999998934E-3</v>
      </c>
      <c r="K58" s="34" t="str">
        <f t="shared" si="19"/>
        <v/>
      </c>
      <c r="L58" s="35">
        <f t="shared" si="20"/>
        <v>7.4</v>
      </c>
      <c r="M58" s="36" t="str">
        <f t="shared" si="21"/>
        <v/>
      </c>
      <c r="N58" s="37" t="s">
        <v>16</v>
      </c>
      <c r="O58" s="29">
        <v>1</v>
      </c>
      <c r="P58" s="38">
        <v>25</v>
      </c>
      <c r="Q58" s="28"/>
      <c r="R58" s="28" t="s">
        <v>977</v>
      </c>
      <c r="S58" s="71" t="s">
        <v>59</v>
      </c>
      <c r="T58" s="28"/>
      <c r="U58" s="28" t="s">
        <v>31</v>
      </c>
    </row>
    <row r="59" spans="1:21" s="27" customFormat="1" x14ac:dyDescent="0.25">
      <c r="A59" s="28" t="s">
        <v>21</v>
      </c>
      <c r="B59" s="28" t="s">
        <v>946</v>
      </c>
      <c r="C59" s="28" t="s">
        <v>21</v>
      </c>
      <c r="D59" s="31">
        <v>1</v>
      </c>
      <c r="E59" s="70" t="s">
        <v>105</v>
      </c>
      <c r="F59" s="31">
        <v>186</v>
      </c>
      <c r="G59" s="32"/>
      <c r="H59" s="32">
        <v>1.8919999999999999</v>
      </c>
      <c r="I59" s="32">
        <v>1.8859999999999999</v>
      </c>
      <c r="J59" s="33">
        <f t="shared" si="18"/>
        <v>6.0000000000000053E-3</v>
      </c>
      <c r="K59" s="34" t="str">
        <f t="shared" si="19"/>
        <v/>
      </c>
      <c r="L59" s="35">
        <f t="shared" si="20"/>
        <v>7.44</v>
      </c>
      <c r="M59" s="36" t="str">
        <f t="shared" si="21"/>
        <v/>
      </c>
      <c r="N59" s="37" t="s">
        <v>16</v>
      </c>
      <c r="O59" s="29">
        <v>1</v>
      </c>
      <c r="P59" s="38">
        <v>25</v>
      </c>
      <c r="Q59" s="28"/>
      <c r="R59" s="28" t="s">
        <v>978</v>
      </c>
      <c r="S59" s="28" t="s">
        <v>21</v>
      </c>
      <c r="T59" s="28"/>
      <c r="U59" s="28" t="s">
        <v>31</v>
      </c>
    </row>
    <row r="60" spans="1:21" s="27" customFormat="1" x14ac:dyDescent="0.25">
      <c r="A60" s="28" t="s">
        <v>21</v>
      </c>
      <c r="B60" s="28" t="s">
        <v>947</v>
      </c>
      <c r="C60" s="28" t="s">
        <v>21</v>
      </c>
      <c r="D60" s="31">
        <v>1</v>
      </c>
      <c r="E60" s="70" t="s">
        <v>234</v>
      </c>
      <c r="F60" s="31">
        <v>186</v>
      </c>
      <c r="G60" s="32"/>
      <c r="H60" s="32">
        <v>1.8939999999999999</v>
      </c>
      <c r="I60" s="32">
        <v>1.8879999999999999</v>
      </c>
      <c r="J60" s="33">
        <f t="shared" si="18"/>
        <v>6.0000000000000053E-3</v>
      </c>
      <c r="K60" s="34" t="str">
        <f t="shared" si="19"/>
        <v/>
      </c>
      <c r="L60" s="35">
        <f t="shared" si="20"/>
        <v>7.44</v>
      </c>
      <c r="M60" s="36" t="str">
        <f t="shared" si="21"/>
        <v/>
      </c>
      <c r="N60" s="37" t="s">
        <v>16</v>
      </c>
      <c r="O60" s="29">
        <v>1</v>
      </c>
      <c r="P60" s="38">
        <v>25</v>
      </c>
      <c r="Q60" s="28"/>
      <c r="R60" s="28" t="s">
        <v>979</v>
      </c>
      <c r="S60" s="28" t="s">
        <v>21</v>
      </c>
      <c r="T60" s="28"/>
      <c r="U60" s="28" t="s">
        <v>31</v>
      </c>
    </row>
    <row r="61" spans="1:21" s="27" customFormat="1" x14ac:dyDescent="0.25">
      <c r="A61" s="28" t="s">
        <v>21</v>
      </c>
      <c r="B61" s="28" t="s">
        <v>948</v>
      </c>
      <c r="C61" s="28" t="s">
        <v>21</v>
      </c>
      <c r="D61" s="31">
        <v>1</v>
      </c>
      <c r="E61" s="70" t="s">
        <v>237</v>
      </c>
      <c r="F61" s="31">
        <v>185</v>
      </c>
      <c r="G61" s="32"/>
      <c r="H61" s="32">
        <v>1.8919999999999999</v>
      </c>
      <c r="I61" s="32">
        <v>1.8859999999999999</v>
      </c>
      <c r="J61" s="33">
        <f t="shared" si="18"/>
        <v>6.0000000000000053E-3</v>
      </c>
      <c r="K61" s="34" t="str">
        <f t="shared" si="19"/>
        <v/>
      </c>
      <c r="L61" s="35">
        <f t="shared" si="20"/>
        <v>7.4</v>
      </c>
      <c r="M61" s="36" t="str">
        <f t="shared" si="21"/>
        <v/>
      </c>
      <c r="N61" s="37" t="s">
        <v>16</v>
      </c>
      <c r="O61" s="29">
        <v>1</v>
      </c>
      <c r="P61" s="38">
        <v>25</v>
      </c>
      <c r="Q61" s="28"/>
      <c r="R61" s="28" t="s">
        <v>981</v>
      </c>
      <c r="S61" s="28" t="s">
        <v>21</v>
      </c>
      <c r="T61" s="28"/>
      <c r="U61" s="28" t="s">
        <v>31</v>
      </c>
    </row>
    <row r="62" spans="1:21" s="27" customFormat="1" x14ac:dyDescent="0.25">
      <c r="A62" s="28" t="s">
        <v>21</v>
      </c>
      <c r="B62" s="28" t="s">
        <v>949</v>
      </c>
      <c r="C62" s="28" t="s">
        <v>21</v>
      </c>
      <c r="D62" s="31">
        <v>1</v>
      </c>
      <c r="E62" s="30" t="s">
        <v>462</v>
      </c>
      <c r="F62" s="31">
        <v>185</v>
      </c>
      <c r="G62" s="32"/>
      <c r="H62" s="32">
        <v>1.8919999999999999</v>
      </c>
      <c r="I62" s="32">
        <v>1.8859999999999999</v>
      </c>
      <c r="J62" s="33">
        <f t="shared" si="18"/>
        <v>6.0000000000000053E-3</v>
      </c>
      <c r="K62" s="34" t="str">
        <f t="shared" si="19"/>
        <v/>
      </c>
      <c r="L62" s="35">
        <f t="shared" si="20"/>
        <v>7.4</v>
      </c>
      <c r="M62" s="36" t="str">
        <f t="shared" si="21"/>
        <v/>
      </c>
      <c r="N62" s="37" t="s">
        <v>16</v>
      </c>
      <c r="O62" s="29">
        <v>1</v>
      </c>
      <c r="P62" s="38">
        <v>25</v>
      </c>
      <c r="Q62" s="28"/>
      <c r="R62" s="28" t="s">
        <v>982</v>
      </c>
      <c r="S62" s="71" t="s">
        <v>103</v>
      </c>
      <c r="T62" s="28"/>
      <c r="U62" s="28" t="s">
        <v>31</v>
      </c>
    </row>
    <row r="63" spans="1:21" s="27" customFormat="1" x14ac:dyDescent="0.25">
      <c r="A63" s="28" t="s">
        <v>21</v>
      </c>
      <c r="B63" s="28" t="s">
        <v>950</v>
      </c>
      <c r="C63" s="28" t="s">
        <v>21</v>
      </c>
      <c r="D63" s="31">
        <v>1</v>
      </c>
      <c r="E63" s="30" t="s">
        <v>236</v>
      </c>
      <c r="F63" s="31">
        <v>186</v>
      </c>
      <c r="G63" s="32"/>
      <c r="H63" s="32">
        <v>1.8979999999999999</v>
      </c>
      <c r="I63" s="32">
        <v>1.893</v>
      </c>
      <c r="J63" s="33">
        <f t="shared" si="18"/>
        <v>4.9999999999998934E-3</v>
      </c>
      <c r="K63" s="34" t="str">
        <f t="shared" si="19"/>
        <v/>
      </c>
      <c r="L63" s="35">
        <f t="shared" si="20"/>
        <v>7.44</v>
      </c>
      <c r="M63" s="36" t="str">
        <f t="shared" si="21"/>
        <v/>
      </c>
      <c r="N63" s="37" t="s">
        <v>16</v>
      </c>
      <c r="O63" s="29">
        <v>1</v>
      </c>
      <c r="P63" s="38">
        <v>25</v>
      </c>
      <c r="Q63" s="28"/>
      <c r="R63" s="28" t="s">
        <v>984</v>
      </c>
      <c r="S63" s="71" t="s">
        <v>59</v>
      </c>
      <c r="T63" s="28"/>
      <c r="U63" s="28" t="s">
        <v>31</v>
      </c>
    </row>
    <row r="64" spans="1:21" s="27" customFormat="1" x14ac:dyDescent="0.25">
      <c r="A64" s="28" t="s">
        <v>21</v>
      </c>
      <c r="B64" s="28" t="s">
        <v>951</v>
      </c>
      <c r="C64" s="28" t="s">
        <v>21</v>
      </c>
      <c r="D64" s="31">
        <v>1</v>
      </c>
      <c r="E64" s="30" t="s">
        <v>232</v>
      </c>
      <c r="F64" s="31">
        <v>186</v>
      </c>
      <c r="G64" s="32"/>
      <c r="H64" s="32">
        <v>1.895</v>
      </c>
      <c r="I64" s="32">
        <v>1.89</v>
      </c>
      <c r="J64" s="33">
        <f t="shared" si="18"/>
        <v>5.0000000000001155E-3</v>
      </c>
      <c r="K64" s="34" t="str">
        <f t="shared" si="19"/>
        <v/>
      </c>
      <c r="L64" s="35">
        <f t="shared" si="20"/>
        <v>7.44</v>
      </c>
      <c r="M64" s="36" t="str">
        <f t="shared" si="21"/>
        <v/>
      </c>
      <c r="N64" s="37" t="s">
        <v>16</v>
      </c>
      <c r="O64" s="29">
        <v>1</v>
      </c>
      <c r="P64" s="38">
        <v>25</v>
      </c>
      <c r="Q64" s="28"/>
      <c r="R64" s="28" t="s">
        <v>985</v>
      </c>
      <c r="S64" s="28" t="s">
        <v>21</v>
      </c>
      <c r="T64" s="28"/>
      <c r="U64" s="28" t="s">
        <v>31</v>
      </c>
    </row>
    <row r="65" spans="1:21" s="27" customFormat="1" x14ac:dyDescent="0.25">
      <c r="A65" s="28" t="s">
        <v>21</v>
      </c>
      <c r="B65" s="28" t="s">
        <v>952</v>
      </c>
      <c r="C65" s="28" t="s">
        <v>21</v>
      </c>
      <c r="D65" s="31">
        <v>1</v>
      </c>
      <c r="E65" s="30" t="s">
        <v>109</v>
      </c>
      <c r="F65" s="31">
        <v>185</v>
      </c>
      <c r="G65" s="32"/>
      <c r="H65" s="32">
        <v>1.893</v>
      </c>
      <c r="I65" s="32">
        <v>1.887</v>
      </c>
      <c r="J65" s="33">
        <f t="shared" si="18"/>
        <v>6.0000000000000053E-3</v>
      </c>
      <c r="K65" s="34" t="str">
        <f t="shared" si="19"/>
        <v/>
      </c>
      <c r="L65" s="35">
        <f t="shared" si="20"/>
        <v>7.4</v>
      </c>
      <c r="M65" s="36" t="str">
        <f t="shared" si="21"/>
        <v/>
      </c>
      <c r="N65" s="37" t="s">
        <v>16</v>
      </c>
      <c r="O65" s="29">
        <v>1</v>
      </c>
      <c r="P65" s="38">
        <v>25</v>
      </c>
      <c r="Q65" s="28"/>
      <c r="R65" s="28" t="s">
        <v>986</v>
      </c>
      <c r="S65" s="28" t="s">
        <v>21</v>
      </c>
      <c r="T65" s="28"/>
      <c r="U65" s="28" t="s">
        <v>31</v>
      </c>
    </row>
    <row r="66" spans="1:21" s="27" customFormat="1" x14ac:dyDescent="0.25">
      <c r="A66" s="28" t="s">
        <v>21</v>
      </c>
      <c r="B66" s="28" t="s">
        <v>953</v>
      </c>
      <c r="C66" s="28" t="s">
        <v>21</v>
      </c>
      <c r="D66" s="31">
        <v>1</v>
      </c>
      <c r="E66" s="30" t="s">
        <v>232</v>
      </c>
      <c r="F66" s="31">
        <v>186</v>
      </c>
      <c r="G66" s="32"/>
      <c r="H66" s="32">
        <v>1.895</v>
      </c>
      <c r="I66" s="32">
        <v>1.889</v>
      </c>
      <c r="J66" s="33">
        <f t="shared" si="18"/>
        <v>6.0000000000000053E-3</v>
      </c>
      <c r="K66" s="34" t="str">
        <f t="shared" si="19"/>
        <v/>
      </c>
      <c r="L66" s="35">
        <f t="shared" si="20"/>
        <v>7.44</v>
      </c>
      <c r="M66" s="36" t="str">
        <f t="shared" si="21"/>
        <v/>
      </c>
      <c r="N66" s="37" t="s">
        <v>16</v>
      </c>
      <c r="O66" s="29">
        <v>1</v>
      </c>
      <c r="P66" s="38">
        <v>25</v>
      </c>
      <c r="Q66" s="28"/>
      <c r="R66" s="28" t="s">
        <v>976</v>
      </c>
      <c r="S66" s="28" t="s">
        <v>21</v>
      </c>
      <c r="T66" s="28"/>
      <c r="U66" s="28" t="s">
        <v>31</v>
      </c>
    </row>
    <row r="67" spans="1:21" s="27" customFormat="1" x14ac:dyDescent="0.25">
      <c r="A67" s="28" t="s">
        <v>21</v>
      </c>
      <c r="B67" s="28" t="s">
        <v>954</v>
      </c>
      <c r="C67" s="28" t="s">
        <v>21</v>
      </c>
      <c r="D67" s="31">
        <v>1</v>
      </c>
      <c r="E67" s="30" t="s">
        <v>236</v>
      </c>
      <c r="F67" s="31">
        <v>185</v>
      </c>
      <c r="G67" s="32"/>
      <c r="H67" s="32">
        <v>1.89</v>
      </c>
      <c r="I67" s="32">
        <v>1.8839999999999999</v>
      </c>
      <c r="J67" s="33">
        <f t="shared" si="18"/>
        <v>6.0000000000000053E-3</v>
      </c>
      <c r="K67" s="34" t="str">
        <f t="shared" si="19"/>
        <v/>
      </c>
      <c r="L67" s="35">
        <f t="shared" si="20"/>
        <v>7.4</v>
      </c>
      <c r="M67" s="36" t="str">
        <f t="shared" si="21"/>
        <v/>
      </c>
      <c r="N67" s="37" t="s">
        <v>16</v>
      </c>
      <c r="O67" s="29">
        <v>1</v>
      </c>
      <c r="P67" s="38">
        <v>25</v>
      </c>
      <c r="Q67" s="28"/>
      <c r="R67" s="28" t="s">
        <v>987</v>
      </c>
      <c r="S67" s="28" t="s">
        <v>21</v>
      </c>
      <c r="T67" s="28"/>
      <c r="U67" s="28" t="s">
        <v>31</v>
      </c>
    </row>
    <row r="68" spans="1:21" s="27" customFormat="1" x14ac:dyDescent="0.25">
      <c r="A68" s="28" t="s">
        <v>21</v>
      </c>
      <c r="B68" s="28" t="s">
        <v>955</v>
      </c>
      <c r="C68" s="28" t="s">
        <v>21</v>
      </c>
      <c r="D68" s="31">
        <v>1</v>
      </c>
      <c r="E68" s="30" t="s">
        <v>127</v>
      </c>
      <c r="F68" s="31">
        <v>186</v>
      </c>
      <c r="G68" s="32"/>
      <c r="H68" s="32">
        <v>1.8879999999999999</v>
      </c>
      <c r="I68" s="32">
        <v>1.883</v>
      </c>
      <c r="J68" s="33">
        <f t="shared" si="18"/>
        <v>4.9999999999998934E-3</v>
      </c>
      <c r="K68" s="34" t="str">
        <f t="shared" si="19"/>
        <v/>
      </c>
      <c r="L68" s="35">
        <f t="shared" si="20"/>
        <v>7.44</v>
      </c>
      <c r="M68" s="36" t="str">
        <f t="shared" si="21"/>
        <v/>
      </c>
      <c r="N68" s="37" t="s">
        <v>16</v>
      </c>
      <c r="O68" s="29">
        <v>1</v>
      </c>
      <c r="P68" s="38">
        <v>25</v>
      </c>
      <c r="Q68" s="28"/>
      <c r="R68" s="28" t="s">
        <v>988</v>
      </c>
      <c r="S68" s="28" t="s">
        <v>21</v>
      </c>
      <c r="T68" s="28"/>
      <c r="U68" s="28" t="s">
        <v>31</v>
      </c>
    </row>
    <row r="69" spans="1:21" s="27" customFormat="1" x14ac:dyDescent="0.25">
      <c r="A69" s="28" t="s">
        <v>21</v>
      </c>
      <c r="B69" s="28" t="s">
        <v>956</v>
      </c>
      <c r="C69" s="28" t="s">
        <v>21</v>
      </c>
      <c r="D69" s="31">
        <v>1</v>
      </c>
      <c r="E69" s="30" t="s">
        <v>236</v>
      </c>
      <c r="F69" s="31">
        <v>185</v>
      </c>
      <c r="G69" s="32"/>
      <c r="H69" s="32">
        <v>1.899</v>
      </c>
      <c r="I69" s="32">
        <v>1.893</v>
      </c>
      <c r="J69" s="33">
        <f t="shared" si="18"/>
        <v>6.0000000000000053E-3</v>
      </c>
      <c r="K69" s="34" t="str">
        <f t="shared" si="19"/>
        <v/>
      </c>
      <c r="L69" s="35">
        <f t="shared" si="20"/>
        <v>7.4</v>
      </c>
      <c r="M69" s="36" t="str">
        <f t="shared" si="21"/>
        <v/>
      </c>
      <c r="N69" s="37" t="s">
        <v>16</v>
      </c>
      <c r="O69" s="29">
        <v>1</v>
      </c>
      <c r="P69" s="38">
        <v>25</v>
      </c>
      <c r="Q69" s="28"/>
      <c r="R69" s="28" t="s">
        <v>980</v>
      </c>
      <c r="S69" s="28" t="s">
        <v>21</v>
      </c>
      <c r="T69" s="28"/>
      <c r="U69" s="28" t="s">
        <v>31</v>
      </c>
    </row>
    <row r="70" spans="1:21" s="27" customFormat="1" x14ac:dyDescent="0.25">
      <c r="A70" s="28" t="s">
        <v>21</v>
      </c>
      <c r="B70" s="28" t="s">
        <v>957</v>
      </c>
      <c r="C70" s="28" t="s">
        <v>21</v>
      </c>
      <c r="D70" s="31">
        <v>1</v>
      </c>
      <c r="E70" s="30" t="s">
        <v>105</v>
      </c>
      <c r="F70" s="31">
        <v>185</v>
      </c>
      <c r="G70" s="32"/>
      <c r="H70" s="32">
        <v>1.891</v>
      </c>
      <c r="I70" s="32">
        <v>1.885</v>
      </c>
      <c r="J70" s="33">
        <f t="shared" si="18"/>
        <v>6.0000000000000053E-3</v>
      </c>
      <c r="K70" s="34" t="str">
        <f t="shared" si="19"/>
        <v/>
      </c>
      <c r="L70" s="35">
        <f t="shared" si="20"/>
        <v>7.4</v>
      </c>
      <c r="M70" s="36" t="str">
        <f t="shared" si="21"/>
        <v/>
      </c>
      <c r="N70" s="37" t="s">
        <v>16</v>
      </c>
      <c r="O70" s="29">
        <v>1</v>
      </c>
      <c r="P70" s="38">
        <v>25</v>
      </c>
      <c r="Q70" s="28"/>
      <c r="R70" s="28" t="s">
        <v>974</v>
      </c>
      <c r="S70" s="28" t="s">
        <v>21</v>
      </c>
      <c r="T70" s="28"/>
      <c r="U70" s="28" t="s">
        <v>31</v>
      </c>
    </row>
    <row r="71" spans="1:21" s="27" customFormat="1" x14ac:dyDescent="0.25">
      <c r="A71" s="28" t="s">
        <v>21</v>
      </c>
      <c r="B71" s="28" t="s">
        <v>958</v>
      </c>
      <c r="C71" s="28" t="s">
        <v>21</v>
      </c>
      <c r="D71" s="31">
        <v>1</v>
      </c>
      <c r="E71" s="30" t="s">
        <v>109</v>
      </c>
      <c r="F71" s="31">
        <v>185</v>
      </c>
      <c r="G71" s="32"/>
      <c r="H71" s="32">
        <v>1.8979999999999999</v>
      </c>
      <c r="I71" s="32">
        <v>1.893</v>
      </c>
      <c r="J71" s="33">
        <f t="shared" si="18"/>
        <v>4.9999999999998934E-3</v>
      </c>
      <c r="K71" s="34" t="str">
        <f t="shared" si="19"/>
        <v/>
      </c>
      <c r="L71" s="35">
        <f t="shared" si="20"/>
        <v>7.4</v>
      </c>
      <c r="M71" s="36" t="str">
        <f t="shared" si="21"/>
        <v/>
      </c>
      <c r="N71" s="37" t="s">
        <v>16</v>
      </c>
      <c r="O71" s="29">
        <v>1</v>
      </c>
      <c r="P71" s="38">
        <v>25</v>
      </c>
      <c r="Q71" s="28"/>
      <c r="R71" s="28" t="s">
        <v>983</v>
      </c>
      <c r="S71" s="28" t="s">
        <v>21</v>
      </c>
      <c r="T71" s="28"/>
      <c r="U71" s="28" t="s">
        <v>31</v>
      </c>
    </row>
    <row r="72" spans="1:21" s="27" customFormat="1" x14ac:dyDescent="0.25">
      <c r="A72" s="28" t="s">
        <v>21</v>
      </c>
      <c r="B72" s="28" t="s">
        <v>959</v>
      </c>
      <c r="C72" s="28">
        <v>698228</v>
      </c>
      <c r="D72" s="31">
        <v>1</v>
      </c>
      <c r="E72" s="70" t="s">
        <v>104</v>
      </c>
      <c r="F72" s="31">
        <v>185</v>
      </c>
      <c r="G72" s="32"/>
      <c r="H72" s="32">
        <v>1.8740000000000001</v>
      </c>
      <c r="I72" s="32">
        <v>1.8680000000000001</v>
      </c>
      <c r="J72" s="33">
        <f t="shared" si="18"/>
        <v>6.0000000000000053E-3</v>
      </c>
      <c r="K72" s="34" t="str">
        <f t="shared" si="19"/>
        <v/>
      </c>
      <c r="L72" s="35">
        <f t="shared" si="20"/>
        <v>7.4</v>
      </c>
      <c r="M72" s="36" t="str">
        <f t="shared" si="21"/>
        <v/>
      </c>
      <c r="N72" s="37" t="s">
        <v>16</v>
      </c>
      <c r="O72" s="29">
        <v>1</v>
      </c>
      <c r="P72" s="38">
        <v>25</v>
      </c>
      <c r="Q72" s="28"/>
      <c r="R72" s="28" t="s">
        <v>989</v>
      </c>
      <c r="S72" s="71" t="s">
        <v>103</v>
      </c>
      <c r="T72" s="28"/>
      <c r="U72" s="28" t="s">
        <v>31</v>
      </c>
    </row>
    <row r="73" spans="1:21" s="27" customFormat="1" x14ac:dyDescent="0.25">
      <c r="A73" s="28" t="s">
        <v>21</v>
      </c>
      <c r="B73" s="28" t="s">
        <v>960</v>
      </c>
      <c r="C73" s="28" t="s">
        <v>21</v>
      </c>
      <c r="D73" s="31">
        <v>1</v>
      </c>
      <c r="E73" s="70" t="s">
        <v>233</v>
      </c>
      <c r="F73" s="31">
        <v>184</v>
      </c>
      <c r="G73" s="32"/>
      <c r="H73" s="32">
        <v>1.899</v>
      </c>
      <c r="I73" s="32">
        <v>1.893</v>
      </c>
      <c r="J73" s="33">
        <f t="shared" si="18"/>
        <v>6.0000000000000053E-3</v>
      </c>
      <c r="K73" s="34" t="str">
        <f t="shared" si="19"/>
        <v/>
      </c>
      <c r="L73" s="35">
        <f t="shared" si="20"/>
        <v>7.36</v>
      </c>
      <c r="M73" s="36" t="str">
        <f t="shared" si="21"/>
        <v/>
      </c>
      <c r="N73" s="37" t="s">
        <v>16</v>
      </c>
      <c r="O73" s="29">
        <v>1</v>
      </c>
      <c r="P73" s="38">
        <v>25</v>
      </c>
      <c r="Q73" s="28"/>
      <c r="R73" s="28" t="s">
        <v>991</v>
      </c>
      <c r="S73" s="71" t="s">
        <v>59</v>
      </c>
      <c r="T73" s="28"/>
      <c r="U73" s="28" t="s">
        <v>31</v>
      </c>
    </row>
    <row r="74" spans="1:21" s="27" customFormat="1" x14ac:dyDescent="0.25">
      <c r="A74" s="28" t="s">
        <v>21</v>
      </c>
      <c r="B74" s="28" t="s">
        <v>961</v>
      </c>
      <c r="C74" s="28" t="s">
        <v>21</v>
      </c>
      <c r="D74" s="31">
        <v>1</v>
      </c>
      <c r="E74" s="70" t="s">
        <v>409</v>
      </c>
      <c r="F74" s="31">
        <v>185</v>
      </c>
      <c r="G74" s="32"/>
      <c r="H74" s="32">
        <v>1.8759999999999999</v>
      </c>
      <c r="I74" s="32">
        <v>1.87</v>
      </c>
      <c r="J74" s="33">
        <f t="shared" si="18"/>
        <v>5.9999999999997833E-3</v>
      </c>
      <c r="K74" s="34" t="str">
        <f t="shared" si="19"/>
        <v/>
      </c>
      <c r="L74" s="35">
        <f t="shared" si="20"/>
        <v>7.4</v>
      </c>
      <c r="M74" s="36" t="str">
        <f t="shared" si="21"/>
        <v/>
      </c>
      <c r="N74" s="37" t="s">
        <v>16</v>
      </c>
      <c r="O74" s="29">
        <v>1</v>
      </c>
      <c r="P74" s="38">
        <v>25</v>
      </c>
      <c r="Q74" s="28"/>
      <c r="R74" s="28" t="s">
        <v>993</v>
      </c>
      <c r="S74" s="28" t="s">
        <v>21</v>
      </c>
      <c r="T74" s="28"/>
      <c r="U74" s="28" t="s">
        <v>31</v>
      </c>
    </row>
    <row r="75" spans="1:21" s="27" customFormat="1" x14ac:dyDescent="0.25">
      <c r="A75" s="28" t="s">
        <v>21</v>
      </c>
      <c r="B75" s="28" t="s">
        <v>962</v>
      </c>
      <c r="C75" s="28" t="s">
        <v>21</v>
      </c>
      <c r="D75" s="31">
        <v>1</v>
      </c>
      <c r="E75" s="70" t="s">
        <v>272</v>
      </c>
      <c r="F75" s="31">
        <v>185</v>
      </c>
      <c r="G75" s="32"/>
      <c r="H75" s="32">
        <v>1.877</v>
      </c>
      <c r="I75" s="32">
        <v>1.87</v>
      </c>
      <c r="J75" s="33">
        <f t="shared" si="18"/>
        <v>6.9999999999998952E-3</v>
      </c>
      <c r="K75" s="34" t="str">
        <f t="shared" si="19"/>
        <v/>
      </c>
      <c r="L75" s="35">
        <f t="shared" si="20"/>
        <v>7.4</v>
      </c>
      <c r="M75" s="36" t="str">
        <f t="shared" si="21"/>
        <v/>
      </c>
      <c r="N75" s="37" t="s">
        <v>16</v>
      </c>
      <c r="O75" s="29">
        <v>1</v>
      </c>
      <c r="P75" s="38">
        <v>25</v>
      </c>
      <c r="Q75" s="28"/>
      <c r="R75" s="28" t="s">
        <v>994</v>
      </c>
      <c r="S75" s="28" t="s">
        <v>21</v>
      </c>
      <c r="T75" s="28"/>
      <c r="U75" s="28" t="s">
        <v>31</v>
      </c>
    </row>
    <row r="76" spans="1:21" s="27" customFormat="1" x14ac:dyDescent="0.25">
      <c r="A76" s="28" t="s">
        <v>21</v>
      </c>
      <c r="B76" s="28" t="s">
        <v>963</v>
      </c>
      <c r="C76" s="28" t="s">
        <v>21</v>
      </c>
      <c r="D76" s="31">
        <v>1</v>
      </c>
      <c r="E76" s="70" t="s">
        <v>106</v>
      </c>
      <c r="F76" s="31">
        <v>184</v>
      </c>
      <c r="G76" s="32"/>
      <c r="H76" s="32">
        <v>1.865</v>
      </c>
      <c r="I76" s="32">
        <v>1.859</v>
      </c>
      <c r="J76" s="33">
        <f t="shared" si="18"/>
        <v>6.0000000000000053E-3</v>
      </c>
      <c r="K76" s="34" t="str">
        <f t="shared" si="19"/>
        <v/>
      </c>
      <c r="L76" s="35">
        <f t="shared" si="20"/>
        <v>7.36</v>
      </c>
      <c r="M76" s="36" t="str">
        <f t="shared" si="21"/>
        <v/>
      </c>
      <c r="N76" s="37" t="s">
        <v>16</v>
      </c>
      <c r="O76" s="29">
        <v>1</v>
      </c>
      <c r="P76" s="38">
        <v>25</v>
      </c>
      <c r="Q76" s="28"/>
      <c r="R76" s="28" t="s">
        <v>996</v>
      </c>
      <c r="S76" s="28" t="s">
        <v>21</v>
      </c>
      <c r="T76" s="28"/>
      <c r="U76" s="28" t="s">
        <v>31</v>
      </c>
    </row>
    <row r="77" spans="1:21" s="27" customFormat="1" x14ac:dyDescent="0.25">
      <c r="A77" s="28" t="s">
        <v>21</v>
      </c>
      <c r="B77" s="28" t="s">
        <v>964</v>
      </c>
      <c r="C77" s="28" t="s">
        <v>21</v>
      </c>
      <c r="D77" s="31">
        <v>1</v>
      </c>
      <c r="E77" s="70" t="s">
        <v>108</v>
      </c>
      <c r="F77" s="31">
        <v>186</v>
      </c>
      <c r="G77" s="32"/>
      <c r="H77" s="32">
        <v>1.869</v>
      </c>
      <c r="I77" s="32">
        <v>1.8620000000000001</v>
      </c>
      <c r="J77" s="33">
        <f t="shared" si="18"/>
        <v>6.9999999999998952E-3</v>
      </c>
      <c r="K77" s="34" t="str">
        <f t="shared" si="19"/>
        <v/>
      </c>
      <c r="L77" s="35">
        <f t="shared" si="20"/>
        <v>7.44</v>
      </c>
      <c r="M77" s="36" t="str">
        <f t="shared" si="21"/>
        <v/>
      </c>
      <c r="N77" s="37" t="s">
        <v>16</v>
      </c>
      <c r="O77" s="29">
        <v>1</v>
      </c>
      <c r="P77" s="38">
        <v>25</v>
      </c>
      <c r="Q77" s="28"/>
      <c r="R77" s="28" t="s">
        <v>990</v>
      </c>
      <c r="S77" s="28" t="s">
        <v>21</v>
      </c>
      <c r="T77" s="28"/>
      <c r="U77" s="28" t="s">
        <v>31</v>
      </c>
    </row>
    <row r="78" spans="1:21" s="27" customFormat="1" x14ac:dyDescent="0.25">
      <c r="A78" s="28" t="s">
        <v>21</v>
      </c>
      <c r="B78" s="28" t="s">
        <v>965</v>
      </c>
      <c r="C78" s="28" t="s">
        <v>21</v>
      </c>
      <c r="D78" s="31">
        <v>1</v>
      </c>
      <c r="E78" s="70" t="s">
        <v>271</v>
      </c>
      <c r="F78" s="31">
        <v>184</v>
      </c>
      <c r="G78" s="32"/>
      <c r="H78" s="32">
        <v>1.861</v>
      </c>
      <c r="I78" s="32">
        <v>1.855</v>
      </c>
      <c r="J78" s="33">
        <f t="shared" si="18"/>
        <v>6.0000000000000053E-3</v>
      </c>
      <c r="K78" s="34" t="str">
        <f t="shared" si="19"/>
        <v/>
      </c>
      <c r="L78" s="35">
        <f t="shared" si="20"/>
        <v>7.36</v>
      </c>
      <c r="M78" s="36" t="str">
        <f t="shared" si="21"/>
        <v/>
      </c>
      <c r="N78" s="37" t="s">
        <v>16</v>
      </c>
      <c r="O78" s="29">
        <v>1</v>
      </c>
      <c r="P78" s="38">
        <v>25</v>
      </c>
      <c r="Q78" s="28"/>
      <c r="R78" s="28" t="s">
        <v>997</v>
      </c>
      <c r="S78" s="28" t="s">
        <v>21</v>
      </c>
      <c r="T78" s="28"/>
      <c r="U78" s="28" t="s">
        <v>31</v>
      </c>
    </row>
    <row r="79" spans="1:21" s="27" customFormat="1" x14ac:dyDescent="0.25">
      <c r="A79" s="28" t="s">
        <v>21</v>
      </c>
      <c r="B79" s="28" t="s">
        <v>966</v>
      </c>
      <c r="C79" s="28" t="s">
        <v>21</v>
      </c>
      <c r="D79" s="31">
        <v>1</v>
      </c>
      <c r="E79" s="70" t="s">
        <v>106</v>
      </c>
      <c r="F79" s="31">
        <v>185</v>
      </c>
      <c r="G79" s="32"/>
      <c r="H79" s="32">
        <v>1.861</v>
      </c>
      <c r="I79" s="32">
        <v>1.855</v>
      </c>
      <c r="J79" s="33">
        <f t="shared" si="18"/>
        <v>6.0000000000000053E-3</v>
      </c>
      <c r="K79" s="34" t="str">
        <f t="shared" si="19"/>
        <v/>
      </c>
      <c r="L79" s="35">
        <f t="shared" si="20"/>
        <v>7.4</v>
      </c>
      <c r="M79" s="36" t="str">
        <f t="shared" si="21"/>
        <v/>
      </c>
      <c r="N79" s="37" t="s">
        <v>16</v>
      </c>
      <c r="O79" s="29">
        <v>1</v>
      </c>
      <c r="P79" s="38">
        <v>25</v>
      </c>
      <c r="Q79" s="28"/>
      <c r="R79" s="28" t="s">
        <v>998</v>
      </c>
      <c r="S79" s="28" t="s">
        <v>21</v>
      </c>
      <c r="T79" s="28"/>
      <c r="U79" s="28" t="s">
        <v>31</v>
      </c>
    </row>
    <row r="80" spans="1:21" s="27" customFormat="1" x14ac:dyDescent="0.25">
      <c r="A80" s="28" t="s">
        <v>21</v>
      </c>
      <c r="B80" s="28" t="s">
        <v>967</v>
      </c>
      <c r="C80" s="28" t="s">
        <v>21</v>
      </c>
      <c r="D80" s="31">
        <v>1</v>
      </c>
      <c r="E80" s="70" t="s">
        <v>407</v>
      </c>
      <c r="F80" s="31">
        <v>185</v>
      </c>
      <c r="G80" s="32"/>
      <c r="H80" s="32">
        <v>1.871</v>
      </c>
      <c r="I80" s="32">
        <v>1.865</v>
      </c>
      <c r="J80" s="33">
        <f t="shared" si="18"/>
        <v>6.0000000000000053E-3</v>
      </c>
      <c r="K80" s="34" t="str">
        <f t="shared" si="19"/>
        <v/>
      </c>
      <c r="L80" s="35">
        <f t="shared" si="20"/>
        <v>7.4</v>
      </c>
      <c r="M80" s="36" t="str">
        <f t="shared" si="21"/>
        <v/>
      </c>
      <c r="N80" s="37" t="s">
        <v>16</v>
      </c>
      <c r="O80" s="29">
        <v>1</v>
      </c>
      <c r="P80" s="38">
        <v>25</v>
      </c>
      <c r="Q80" s="28"/>
      <c r="R80" s="28" t="s">
        <v>995</v>
      </c>
      <c r="S80" s="28" t="s">
        <v>21</v>
      </c>
      <c r="T80" s="28"/>
      <c r="U80" s="28" t="s">
        <v>31</v>
      </c>
    </row>
    <row r="81" spans="1:21" s="27" customFormat="1" x14ac:dyDescent="0.25">
      <c r="A81" s="28" t="s">
        <v>21</v>
      </c>
      <c r="B81" s="28" t="s">
        <v>968</v>
      </c>
      <c r="C81" s="28" t="s">
        <v>21</v>
      </c>
      <c r="D81" s="31">
        <v>1</v>
      </c>
      <c r="E81" s="70" t="s">
        <v>357</v>
      </c>
      <c r="F81" s="31">
        <v>185</v>
      </c>
      <c r="G81" s="32"/>
      <c r="H81" s="32">
        <v>1.865</v>
      </c>
      <c r="I81" s="32">
        <v>1.859</v>
      </c>
      <c r="J81" s="33">
        <f t="shared" si="18"/>
        <v>6.0000000000000053E-3</v>
      </c>
      <c r="K81" s="34" t="str">
        <f t="shared" si="19"/>
        <v/>
      </c>
      <c r="L81" s="35">
        <f t="shared" si="20"/>
        <v>7.4</v>
      </c>
      <c r="M81" s="36" t="str">
        <f t="shared" si="21"/>
        <v/>
      </c>
      <c r="N81" s="37" t="s">
        <v>16</v>
      </c>
      <c r="O81" s="29">
        <v>1</v>
      </c>
      <c r="P81" s="38">
        <v>25</v>
      </c>
      <c r="Q81" s="28"/>
      <c r="R81" s="28" t="s">
        <v>992</v>
      </c>
      <c r="S81" s="28" t="s">
        <v>21</v>
      </c>
      <c r="T81" s="28"/>
      <c r="U81" s="28" t="s">
        <v>31</v>
      </c>
    </row>
    <row r="82" spans="1:21" s="27" customFormat="1" x14ac:dyDescent="0.25">
      <c r="A82" s="28" t="s">
        <v>21</v>
      </c>
      <c r="B82" s="28" t="s">
        <v>969</v>
      </c>
      <c r="C82" s="28">
        <v>698232</v>
      </c>
      <c r="D82" s="31">
        <v>1</v>
      </c>
      <c r="E82" s="30" t="s">
        <v>645</v>
      </c>
      <c r="F82" s="31">
        <v>186</v>
      </c>
      <c r="G82" s="32"/>
      <c r="H82" s="32">
        <v>1.8680000000000001</v>
      </c>
      <c r="I82" s="32">
        <v>1.861</v>
      </c>
      <c r="J82" s="33">
        <f t="shared" si="18"/>
        <v>7.0000000000001172E-3</v>
      </c>
      <c r="K82" s="34" t="str">
        <f t="shared" si="19"/>
        <v/>
      </c>
      <c r="L82" s="35">
        <f t="shared" si="20"/>
        <v>7.44</v>
      </c>
      <c r="M82" s="36" t="str">
        <f t="shared" si="21"/>
        <v/>
      </c>
      <c r="N82" s="37" t="s">
        <v>16</v>
      </c>
      <c r="O82" s="29">
        <v>1</v>
      </c>
      <c r="P82" s="38">
        <v>25</v>
      </c>
      <c r="Q82" s="28"/>
      <c r="R82" s="28" t="s">
        <v>999</v>
      </c>
      <c r="S82" s="39"/>
      <c r="T82" s="28"/>
      <c r="U82" s="28" t="s">
        <v>31</v>
      </c>
    </row>
    <row r="83" spans="1:21" s="27" customFormat="1" x14ac:dyDescent="0.25">
      <c r="A83" s="28" t="s">
        <v>21</v>
      </c>
      <c r="B83" s="28" t="s">
        <v>970</v>
      </c>
      <c r="C83" s="28" t="s">
        <v>21</v>
      </c>
      <c r="D83" s="31">
        <v>1</v>
      </c>
      <c r="E83" s="30" t="s">
        <v>63</v>
      </c>
      <c r="F83" s="31">
        <v>186</v>
      </c>
      <c r="G83" s="32"/>
      <c r="H83" s="32">
        <v>1.8859999999999999</v>
      </c>
      <c r="I83" s="32">
        <v>1.881</v>
      </c>
      <c r="J83" s="33">
        <f t="shared" si="18"/>
        <v>4.9999999999998934E-3</v>
      </c>
      <c r="K83" s="34" t="str">
        <f t="shared" si="19"/>
        <v/>
      </c>
      <c r="L83" s="35">
        <f t="shared" si="20"/>
        <v>7.44</v>
      </c>
      <c r="M83" s="36" t="str">
        <f t="shared" si="21"/>
        <v/>
      </c>
      <c r="N83" s="37" t="s">
        <v>16</v>
      </c>
      <c r="O83" s="29">
        <v>1</v>
      </c>
      <c r="P83" s="38">
        <v>25</v>
      </c>
      <c r="Q83" s="28"/>
      <c r="R83" s="28" t="s">
        <v>1000</v>
      </c>
      <c r="S83" s="39"/>
      <c r="T83" s="28"/>
      <c r="U83" s="28" t="s">
        <v>31</v>
      </c>
    </row>
    <row r="84" spans="1:21" s="27" customFormat="1" x14ac:dyDescent="0.25">
      <c r="A84" s="28" t="s">
        <v>21</v>
      </c>
      <c r="B84" s="28" t="s">
        <v>971</v>
      </c>
      <c r="C84" s="28" t="s">
        <v>21</v>
      </c>
      <c r="D84" s="31">
        <v>1</v>
      </c>
      <c r="E84" s="30" t="s">
        <v>441</v>
      </c>
      <c r="F84" s="31">
        <v>186</v>
      </c>
      <c r="G84" s="32"/>
      <c r="H84" s="32">
        <v>1.8740000000000001</v>
      </c>
      <c r="I84" s="32">
        <v>1.8680000000000001</v>
      </c>
      <c r="J84" s="33">
        <f t="shared" si="18"/>
        <v>6.0000000000000053E-3</v>
      </c>
      <c r="K84" s="34" t="str">
        <f t="shared" si="19"/>
        <v/>
      </c>
      <c r="L84" s="35">
        <f t="shared" si="20"/>
        <v>7.44</v>
      </c>
      <c r="M84" s="36" t="str">
        <f t="shared" si="21"/>
        <v/>
      </c>
      <c r="N84" s="37" t="s">
        <v>16</v>
      </c>
      <c r="O84" s="29">
        <v>1</v>
      </c>
      <c r="P84" s="38">
        <v>25</v>
      </c>
      <c r="Q84" s="28"/>
      <c r="R84" s="28" t="s">
        <v>1002</v>
      </c>
      <c r="S84" s="39"/>
      <c r="T84" s="28"/>
      <c r="U84" s="28" t="s">
        <v>31</v>
      </c>
    </row>
    <row r="85" spans="1:21" s="27" customFormat="1" x14ac:dyDescent="0.25">
      <c r="A85" s="28" t="s">
        <v>21</v>
      </c>
      <c r="B85" s="28" t="s">
        <v>972</v>
      </c>
      <c r="C85" s="28" t="s">
        <v>21</v>
      </c>
      <c r="D85" s="31">
        <v>1</v>
      </c>
      <c r="E85" s="30" t="s">
        <v>538</v>
      </c>
      <c r="F85" s="31">
        <v>185</v>
      </c>
      <c r="G85" s="32"/>
      <c r="H85" s="32">
        <v>1.8740000000000001</v>
      </c>
      <c r="I85" s="32">
        <v>1.869</v>
      </c>
      <c r="J85" s="33">
        <f t="shared" si="18"/>
        <v>5.0000000000001155E-3</v>
      </c>
      <c r="K85" s="34" t="str">
        <f t="shared" si="19"/>
        <v/>
      </c>
      <c r="L85" s="35">
        <f t="shared" si="20"/>
        <v>7.4</v>
      </c>
      <c r="M85" s="36" t="str">
        <f t="shared" si="21"/>
        <v/>
      </c>
      <c r="N85" s="37" t="s">
        <v>16</v>
      </c>
      <c r="O85" s="29">
        <v>1</v>
      </c>
      <c r="P85" s="38">
        <v>25</v>
      </c>
      <c r="Q85" s="28"/>
      <c r="R85" s="28" t="s">
        <v>1001</v>
      </c>
      <c r="S85" s="39"/>
      <c r="T85" s="28"/>
      <c r="U85" s="28" t="s">
        <v>31</v>
      </c>
    </row>
    <row r="86" spans="1:21" s="27" customFormat="1" x14ac:dyDescent="0.25">
      <c r="A86" s="28" t="s">
        <v>21</v>
      </c>
      <c r="B86" s="28" t="s">
        <v>973</v>
      </c>
      <c r="C86" s="28" t="s">
        <v>21</v>
      </c>
      <c r="D86" s="31">
        <v>1</v>
      </c>
      <c r="E86" s="30" t="s">
        <v>64</v>
      </c>
      <c r="F86" s="31">
        <v>186</v>
      </c>
      <c r="G86" s="32"/>
      <c r="H86" s="32">
        <v>1.8680000000000001</v>
      </c>
      <c r="I86" s="32">
        <v>1.8620000000000001</v>
      </c>
      <c r="J86" s="33">
        <f t="shared" si="18"/>
        <v>6.0000000000000053E-3</v>
      </c>
      <c r="K86" s="34" t="str">
        <f t="shared" si="19"/>
        <v/>
      </c>
      <c r="L86" s="35">
        <f t="shared" si="20"/>
        <v>7.44</v>
      </c>
      <c r="M86" s="36" t="str">
        <f t="shared" si="21"/>
        <v/>
      </c>
      <c r="N86" s="37" t="s">
        <v>16</v>
      </c>
      <c r="O86" s="29">
        <v>1</v>
      </c>
      <c r="P86" s="38">
        <v>25</v>
      </c>
      <c r="Q86" s="28"/>
      <c r="R86" s="28" t="s">
        <v>1003</v>
      </c>
      <c r="S86" s="39"/>
      <c r="T86" s="28"/>
      <c r="U86" s="28" t="s">
        <v>31</v>
      </c>
    </row>
    <row r="87" spans="1:21" s="27" customFormat="1" x14ac:dyDescent="0.25">
      <c r="A87" s="28" t="s">
        <v>1004</v>
      </c>
      <c r="B87" s="28" t="s">
        <v>1005</v>
      </c>
      <c r="C87" s="71">
        <v>776984</v>
      </c>
      <c r="D87" s="31">
        <v>1</v>
      </c>
      <c r="E87" s="70" t="s">
        <v>441</v>
      </c>
      <c r="F87" s="45">
        <v>300</v>
      </c>
      <c r="G87" s="32"/>
      <c r="H87" s="32">
        <v>1.8839999999999999</v>
      </c>
      <c r="I87" s="32">
        <v>1.873</v>
      </c>
      <c r="J87" s="33">
        <f t="shared" ref="J87:J116" si="22">IF(O87&lt;&gt;"",(H87-I87)/O87,"")</f>
        <v>1.0999999999999899E-2</v>
      </c>
      <c r="K87" s="34" t="str">
        <f t="shared" si="19"/>
        <v/>
      </c>
      <c r="L87" s="35">
        <f t="shared" ref="L87:L116" si="23">F87/(O87*P87)</f>
        <v>7.5</v>
      </c>
      <c r="M87" s="36" t="str">
        <f t="shared" ref="M87:M116" si="24">IF(L87=0,"",IF(OR(L87&lt;7,L87&gt;7.8),"X",""))</f>
        <v/>
      </c>
      <c r="N87" s="37" t="s">
        <v>18</v>
      </c>
      <c r="O87" s="29">
        <v>1</v>
      </c>
      <c r="P87" s="38">
        <v>40</v>
      </c>
      <c r="Q87" s="46"/>
      <c r="R87" s="28" t="s">
        <v>1035</v>
      </c>
      <c r="S87" s="71" t="s">
        <v>58</v>
      </c>
      <c r="T87" s="46"/>
      <c r="U87" s="28" t="s">
        <v>31</v>
      </c>
    </row>
    <row r="88" spans="1:21" s="27" customFormat="1" x14ac:dyDescent="0.25">
      <c r="A88" s="28" t="s">
        <v>21</v>
      </c>
      <c r="B88" s="28" t="s">
        <v>1006</v>
      </c>
      <c r="C88" s="28" t="s">
        <v>21</v>
      </c>
      <c r="D88" s="31">
        <v>1</v>
      </c>
      <c r="E88" s="70" t="s">
        <v>646</v>
      </c>
      <c r="F88" s="45">
        <v>300</v>
      </c>
      <c r="G88" s="32"/>
      <c r="H88" s="32">
        <v>1.875</v>
      </c>
      <c r="I88" s="32">
        <v>1.8620000000000001</v>
      </c>
      <c r="J88" s="33">
        <f t="shared" si="22"/>
        <v>1.2999999999999901E-2</v>
      </c>
      <c r="K88" s="34" t="str">
        <f t="shared" si="19"/>
        <v/>
      </c>
      <c r="L88" s="35">
        <f t="shared" si="23"/>
        <v>7.5</v>
      </c>
      <c r="M88" s="36" t="str">
        <f t="shared" si="24"/>
        <v/>
      </c>
      <c r="N88" s="37" t="s">
        <v>18</v>
      </c>
      <c r="O88" s="29">
        <v>1</v>
      </c>
      <c r="P88" s="38">
        <v>40</v>
      </c>
      <c r="Q88" s="46"/>
      <c r="R88" s="28" t="s">
        <v>1036</v>
      </c>
      <c r="S88" s="71" t="s">
        <v>59</v>
      </c>
      <c r="T88" s="46"/>
      <c r="U88" s="28" t="s">
        <v>31</v>
      </c>
    </row>
    <row r="89" spans="1:21" s="27" customFormat="1" x14ac:dyDescent="0.25">
      <c r="A89" s="28" t="s">
        <v>21</v>
      </c>
      <c r="B89" s="28" t="s">
        <v>1007</v>
      </c>
      <c r="C89" s="28" t="s">
        <v>21</v>
      </c>
      <c r="D89" s="31">
        <v>1</v>
      </c>
      <c r="E89" s="70" t="s">
        <v>646</v>
      </c>
      <c r="F89" s="45">
        <v>300</v>
      </c>
      <c r="G89" s="32"/>
      <c r="H89" s="32">
        <v>1.8740000000000001</v>
      </c>
      <c r="I89" s="32">
        <v>1.861</v>
      </c>
      <c r="J89" s="33">
        <f t="shared" si="22"/>
        <v>1.3000000000000123E-2</v>
      </c>
      <c r="K89" s="34" t="str">
        <f t="shared" si="19"/>
        <v/>
      </c>
      <c r="L89" s="35">
        <f t="shared" si="23"/>
        <v>7.5</v>
      </c>
      <c r="M89" s="36" t="str">
        <f t="shared" si="24"/>
        <v/>
      </c>
      <c r="N89" s="37" t="s">
        <v>18</v>
      </c>
      <c r="O89" s="29">
        <v>1</v>
      </c>
      <c r="P89" s="38">
        <v>40</v>
      </c>
      <c r="Q89" s="46"/>
      <c r="R89" s="28" t="s">
        <v>1038</v>
      </c>
      <c r="S89" s="28" t="s">
        <v>21</v>
      </c>
      <c r="T89" s="46"/>
      <c r="U89" s="28" t="s">
        <v>31</v>
      </c>
    </row>
    <row r="90" spans="1:21" s="27" customFormat="1" x14ac:dyDescent="0.25">
      <c r="A90" s="28" t="s">
        <v>21</v>
      </c>
      <c r="B90" s="28" t="s">
        <v>1008</v>
      </c>
      <c r="C90" s="28" t="s">
        <v>21</v>
      </c>
      <c r="D90" s="31">
        <v>1</v>
      </c>
      <c r="E90" s="70" t="s">
        <v>358</v>
      </c>
      <c r="F90" s="45">
        <v>301</v>
      </c>
      <c r="G90" s="32"/>
      <c r="H90" s="32">
        <v>1.9179999999999999</v>
      </c>
      <c r="I90" s="32">
        <v>1.901</v>
      </c>
      <c r="J90" s="33">
        <f t="shared" si="22"/>
        <v>1.6999999999999904E-2</v>
      </c>
      <c r="K90" s="34" t="str">
        <f t="shared" si="19"/>
        <v/>
      </c>
      <c r="L90" s="35">
        <f t="shared" si="23"/>
        <v>7.5250000000000004</v>
      </c>
      <c r="M90" s="36" t="str">
        <f t="shared" si="24"/>
        <v/>
      </c>
      <c r="N90" s="37" t="s">
        <v>18</v>
      </c>
      <c r="O90" s="29">
        <v>1</v>
      </c>
      <c r="P90" s="38">
        <v>40</v>
      </c>
      <c r="Q90" s="46"/>
      <c r="R90" s="28" t="s">
        <v>1039</v>
      </c>
      <c r="S90" s="28" t="s">
        <v>21</v>
      </c>
      <c r="T90" s="46"/>
      <c r="U90" s="28" t="s">
        <v>31</v>
      </c>
    </row>
    <row r="91" spans="1:21" s="27" customFormat="1" x14ac:dyDescent="0.25">
      <c r="A91" s="28" t="s">
        <v>21</v>
      </c>
      <c r="B91" s="28" t="s">
        <v>1009</v>
      </c>
      <c r="C91" s="28" t="s">
        <v>21</v>
      </c>
      <c r="D91" s="31">
        <v>1</v>
      </c>
      <c r="E91" s="70" t="s">
        <v>537</v>
      </c>
      <c r="F91" s="45">
        <v>301</v>
      </c>
      <c r="G91" s="32"/>
      <c r="H91" s="32">
        <v>1.877</v>
      </c>
      <c r="I91" s="32">
        <v>1.8640000000000001</v>
      </c>
      <c r="J91" s="33">
        <f t="shared" si="22"/>
        <v>1.2999999999999901E-2</v>
      </c>
      <c r="K91" s="34" t="str">
        <f t="shared" si="19"/>
        <v/>
      </c>
      <c r="L91" s="35">
        <f t="shared" si="23"/>
        <v>7.5250000000000004</v>
      </c>
      <c r="M91" s="36" t="str">
        <f t="shared" si="24"/>
        <v/>
      </c>
      <c r="N91" s="37" t="s">
        <v>18</v>
      </c>
      <c r="O91" s="29">
        <v>1</v>
      </c>
      <c r="P91" s="38">
        <v>40</v>
      </c>
      <c r="Q91" s="46"/>
      <c r="R91" s="28" t="s">
        <v>1037</v>
      </c>
      <c r="S91" s="28" t="s">
        <v>21</v>
      </c>
      <c r="T91" s="46"/>
      <c r="U91" s="28" t="s">
        <v>31</v>
      </c>
    </row>
    <row r="92" spans="1:21" s="27" customFormat="1" x14ac:dyDescent="0.25">
      <c r="A92" s="28" t="s">
        <v>21</v>
      </c>
      <c r="B92" s="28" t="s">
        <v>1010</v>
      </c>
      <c r="C92" s="28" t="s">
        <v>21</v>
      </c>
      <c r="D92" s="31">
        <v>1</v>
      </c>
      <c r="E92" s="70" t="s">
        <v>129</v>
      </c>
      <c r="F92" s="45">
        <v>298</v>
      </c>
      <c r="G92" s="32"/>
      <c r="H92" s="32">
        <v>1.8620000000000001</v>
      </c>
      <c r="I92" s="32">
        <v>1.851</v>
      </c>
      <c r="J92" s="33">
        <f t="shared" si="22"/>
        <v>1.1000000000000121E-2</v>
      </c>
      <c r="K92" s="34" t="str">
        <f t="shared" si="19"/>
        <v/>
      </c>
      <c r="L92" s="35">
        <f t="shared" si="23"/>
        <v>7.45</v>
      </c>
      <c r="M92" s="36" t="str">
        <f t="shared" si="24"/>
        <v/>
      </c>
      <c r="N92" s="37" t="s">
        <v>18</v>
      </c>
      <c r="O92" s="29">
        <v>1</v>
      </c>
      <c r="P92" s="38">
        <v>40</v>
      </c>
      <c r="Q92" s="46"/>
      <c r="R92" s="28" t="s">
        <v>1040</v>
      </c>
      <c r="S92" s="71" t="s">
        <v>103</v>
      </c>
      <c r="T92" s="46"/>
      <c r="U92" s="28" t="s">
        <v>31</v>
      </c>
    </row>
    <row r="93" spans="1:21" s="27" customFormat="1" x14ac:dyDescent="0.25">
      <c r="A93" s="28" t="s">
        <v>21</v>
      </c>
      <c r="B93" s="28" t="s">
        <v>1011</v>
      </c>
      <c r="C93" s="28" t="s">
        <v>21</v>
      </c>
      <c r="D93" s="31">
        <v>1</v>
      </c>
      <c r="E93" s="70" t="s">
        <v>128</v>
      </c>
      <c r="F93" s="45">
        <v>298</v>
      </c>
      <c r="G93" s="32"/>
      <c r="H93" s="32">
        <v>1.859</v>
      </c>
      <c r="I93" s="32">
        <v>1.8480000000000001</v>
      </c>
      <c r="J93" s="33">
        <f t="shared" si="22"/>
        <v>1.0999999999999899E-2</v>
      </c>
      <c r="K93" s="34" t="str">
        <f t="shared" si="19"/>
        <v/>
      </c>
      <c r="L93" s="35">
        <f t="shared" si="23"/>
        <v>7.45</v>
      </c>
      <c r="M93" s="36" t="str">
        <f t="shared" si="24"/>
        <v/>
      </c>
      <c r="N93" s="37" t="s">
        <v>18</v>
      </c>
      <c r="O93" s="29">
        <v>1</v>
      </c>
      <c r="P93" s="38">
        <v>40</v>
      </c>
      <c r="Q93" s="46"/>
      <c r="R93" s="28" t="s">
        <v>1041</v>
      </c>
      <c r="S93" s="71" t="s">
        <v>59</v>
      </c>
      <c r="T93" s="46"/>
      <c r="U93" s="28" t="s">
        <v>31</v>
      </c>
    </row>
    <row r="94" spans="1:21" s="27" customFormat="1" x14ac:dyDescent="0.25">
      <c r="A94" s="28" t="s">
        <v>21</v>
      </c>
      <c r="B94" s="28" t="s">
        <v>1012</v>
      </c>
      <c r="C94" s="28" t="s">
        <v>21</v>
      </c>
      <c r="D94" s="31">
        <v>1</v>
      </c>
      <c r="E94" s="70" t="s">
        <v>128</v>
      </c>
      <c r="F94" s="45">
        <v>298</v>
      </c>
      <c r="G94" s="32"/>
      <c r="H94" s="32">
        <v>1.865</v>
      </c>
      <c r="I94" s="32">
        <v>1.853</v>
      </c>
      <c r="J94" s="33">
        <f t="shared" si="22"/>
        <v>1.2000000000000011E-2</v>
      </c>
      <c r="K94" s="34" t="str">
        <f t="shared" si="19"/>
        <v/>
      </c>
      <c r="L94" s="35">
        <f t="shared" si="23"/>
        <v>7.45</v>
      </c>
      <c r="M94" s="36" t="str">
        <f t="shared" si="24"/>
        <v/>
      </c>
      <c r="N94" s="37" t="s">
        <v>18</v>
      </c>
      <c r="O94" s="29">
        <v>1</v>
      </c>
      <c r="P94" s="38">
        <v>40</v>
      </c>
      <c r="Q94" s="46"/>
      <c r="R94" s="28" t="s">
        <v>1042</v>
      </c>
      <c r="S94" s="28" t="s">
        <v>21</v>
      </c>
      <c r="T94" s="46"/>
      <c r="U94" s="28" t="s">
        <v>31</v>
      </c>
    </row>
    <row r="95" spans="1:21" s="27" customFormat="1" x14ac:dyDescent="0.25">
      <c r="A95" s="28" t="s">
        <v>21</v>
      </c>
      <c r="B95" s="28" t="s">
        <v>1013</v>
      </c>
      <c r="C95" s="28" t="s">
        <v>21</v>
      </c>
      <c r="D95" s="31">
        <v>1</v>
      </c>
      <c r="E95" s="70" t="s">
        <v>537</v>
      </c>
      <c r="F95" s="45">
        <v>298</v>
      </c>
      <c r="G95" s="32"/>
      <c r="H95" s="32">
        <v>1.8580000000000001</v>
      </c>
      <c r="I95" s="32">
        <v>1.8440000000000001</v>
      </c>
      <c r="J95" s="33">
        <f t="shared" si="22"/>
        <v>1.4000000000000012E-2</v>
      </c>
      <c r="K95" s="34" t="str">
        <f t="shared" si="19"/>
        <v/>
      </c>
      <c r="L95" s="35">
        <f t="shared" si="23"/>
        <v>7.45</v>
      </c>
      <c r="M95" s="36" t="str">
        <f t="shared" si="24"/>
        <v/>
      </c>
      <c r="N95" s="37" t="s">
        <v>18</v>
      </c>
      <c r="O95" s="29">
        <v>1</v>
      </c>
      <c r="P95" s="38">
        <v>40</v>
      </c>
      <c r="Q95" s="46"/>
      <c r="R95" s="28" t="s">
        <v>1043</v>
      </c>
      <c r="S95" s="28" t="s">
        <v>21</v>
      </c>
      <c r="T95" s="46"/>
      <c r="U95" s="28" t="s">
        <v>31</v>
      </c>
    </row>
    <row r="96" spans="1:21" s="27" customFormat="1" x14ac:dyDescent="0.25">
      <c r="A96" s="28" t="s">
        <v>21</v>
      </c>
      <c r="B96" s="28" t="s">
        <v>1014</v>
      </c>
      <c r="C96" s="28" t="s">
        <v>21</v>
      </c>
      <c r="D96" s="31">
        <v>1</v>
      </c>
      <c r="E96" s="70" t="s">
        <v>131</v>
      </c>
      <c r="F96" s="45">
        <v>298</v>
      </c>
      <c r="G96" s="32"/>
      <c r="H96" s="32">
        <v>1.8680000000000001</v>
      </c>
      <c r="I96" s="32">
        <v>1.855</v>
      </c>
      <c r="J96" s="33">
        <f t="shared" si="22"/>
        <v>1.3000000000000123E-2</v>
      </c>
      <c r="K96" s="34" t="str">
        <f t="shared" si="19"/>
        <v/>
      </c>
      <c r="L96" s="35">
        <f t="shared" si="23"/>
        <v>7.45</v>
      </c>
      <c r="M96" s="36" t="str">
        <f t="shared" si="24"/>
        <v/>
      </c>
      <c r="N96" s="37" t="s">
        <v>18</v>
      </c>
      <c r="O96" s="29">
        <v>1</v>
      </c>
      <c r="P96" s="38">
        <v>40</v>
      </c>
      <c r="Q96" s="46"/>
      <c r="R96" s="28" t="s">
        <v>1045</v>
      </c>
      <c r="S96" s="28" t="s">
        <v>21</v>
      </c>
      <c r="T96" s="46"/>
      <c r="U96" s="28" t="s">
        <v>31</v>
      </c>
    </row>
    <row r="97" spans="1:21" s="27" customFormat="1" x14ac:dyDescent="0.25">
      <c r="A97" s="28" t="s">
        <v>21</v>
      </c>
      <c r="B97" s="28" t="s">
        <v>1015</v>
      </c>
      <c r="C97" s="28" t="s">
        <v>21</v>
      </c>
      <c r="D97" s="31">
        <v>1</v>
      </c>
      <c r="E97" s="70" t="s">
        <v>644</v>
      </c>
      <c r="F97" s="45">
        <v>299</v>
      </c>
      <c r="G97" s="32"/>
      <c r="H97" s="32">
        <v>1.8580000000000001</v>
      </c>
      <c r="I97" s="32">
        <v>1.845</v>
      </c>
      <c r="J97" s="33">
        <f t="shared" si="22"/>
        <v>1.3000000000000123E-2</v>
      </c>
      <c r="K97" s="34" t="str">
        <f t="shared" si="19"/>
        <v/>
      </c>
      <c r="L97" s="35">
        <f t="shared" si="23"/>
        <v>7.4749999999999996</v>
      </c>
      <c r="M97" s="36" t="str">
        <f t="shared" si="24"/>
        <v/>
      </c>
      <c r="N97" s="37" t="s">
        <v>18</v>
      </c>
      <c r="O97" s="29">
        <v>1</v>
      </c>
      <c r="P97" s="38">
        <v>40</v>
      </c>
      <c r="Q97" s="46"/>
      <c r="R97" s="28" t="s">
        <v>1044</v>
      </c>
      <c r="S97" s="28" t="s">
        <v>21</v>
      </c>
      <c r="T97" s="46"/>
      <c r="U97" s="28" t="s">
        <v>31</v>
      </c>
    </row>
    <row r="98" spans="1:21" s="27" customFormat="1" x14ac:dyDescent="0.25">
      <c r="A98" s="28" t="s">
        <v>21</v>
      </c>
      <c r="B98" s="28" t="s">
        <v>1016</v>
      </c>
      <c r="C98" s="28" t="s">
        <v>21</v>
      </c>
      <c r="D98" s="31">
        <v>1</v>
      </c>
      <c r="E98" s="70" t="s">
        <v>129</v>
      </c>
      <c r="F98" s="45">
        <v>298</v>
      </c>
      <c r="G98" s="32"/>
      <c r="H98" s="32">
        <v>1.863</v>
      </c>
      <c r="I98" s="32">
        <v>1.8520000000000001</v>
      </c>
      <c r="J98" s="33">
        <f t="shared" si="22"/>
        <v>1.0999999999999899E-2</v>
      </c>
      <c r="K98" s="34" t="str">
        <f t="shared" si="19"/>
        <v/>
      </c>
      <c r="L98" s="35">
        <f t="shared" si="23"/>
        <v>7.45</v>
      </c>
      <c r="M98" s="36" t="str">
        <f t="shared" si="24"/>
        <v/>
      </c>
      <c r="N98" s="37" t="s">
        <v>18</v>
      </c>
      <c r="O98" s="29">
        <v>1</v>
      </c>
      <c r="P98" s="38">
        <v>40</v>
      </c>
      <c r="Q98" s="46"/>
      <c r="R98" s="28" t="s">
        <v>1046</v>
      </c>
      <c r="S98" s="28" t="s">
        <v>21</v>
      </c>
      <c r="T98" s="46"/>
      <c r="U98" s="28" t="s">
        <v>31</v>
      </c>
    </row>
    <row r="99" spans="1:21" s="27" customFormat="1" x14ac:dyDescent="0.25">
      <c r="A99" s="28" t="s">
        <v>21</v>
      </c>
      <c r="B99" s="28" t="s">
        <v>1017</v>
      </c>
      <c r="C99" s="28" t="s">
        <v>21</v>
      </c>
      <c r="D99" s="31">
        <v>1</v>
      </c>
      <c r="E99" s="70" t="s">
        <v>325</v>
      </c>
      <c r="F99" s="45">
        <v>298</v>
      </c>
      <c r="G99" s="32"/>
      <c r="H99" s="32">
        <v>1.853</v>
      </c>
      <c r="I99" s="32">
        <v>1.8420000000000001</v>
      </c>
      <c r="J99" s="33">
        <f t="shared" si="22"/>
        <v>1.0999999999999899E-2</v>
      </c>
      <c r="K99" s="34" t="str">
        <f t="shared" si="19"/>
        <v/>
      </c>
      <c r="L99" s="35">
        <f t="shared" si="23"/>
        <v>7.45</v>
      </c>
      <c r="M99" s="36" t="str">
        <f t="shared" si="24"/>
        <v/>
      </c>
      <c r="N99" s="37" t="s">
        <v>18</v>
      </c>
      <c r="O99" s="29">
        <v>1</v>
      </c>
      <c r="P99" s="38">
        <v>40</v>
      </c>
      <c r="Q99" s="46"/>
      <c r="R99" s="28" t="s">
        <v>1045</v>
      </c>
      <c r="S99" s="28" t="s">
        <v>21</v>
      </c>
      <c r="T99" s="46"/>
      <c r="U99" s="28" t="s">
        <v>31</v>
      </c>
    </row>
    <row r="100" spans="1:21" s="27" customFormat="1" x14ac:dyDescent="0.25">
      <c r="A100" s="28" t="s">
        <v>21</v>
      </c>
      <c r="B100" s="28" t="s">
        <v>1018</v>
      </c>
      <c r="C100" s="28" t="s">
        <v>21</v>
      </c>
      <c r="D100" s="31">
        <v>1</v>
      </c>
      <c r="E100" s="70" t="s">
        <v>130</v>
      </c>
      <c r="F100" s="45">
        <v>298</v>
      </c>
      <c r="G100" s="32"/>
      <c r="H100" s="32">
        <v>1.85</v>
      </c>
      <c r="I100" s="32">
        <v>1.8380000000000001</v>
      </c>
      <c r="J100" s="33">
        <f t="shared" si="22"/>
        <v>1.2000000000000011E-2</v>
      </c>
      <c r="K100" s="34" t="str">
        <f t="shared" si="19"/>
        <v/>
      </c>
      <c r="L100" s="35">
        <f t="shared" si="23"/>
        <v>7.45</v>
      </c>
      <c r="M100" s="36" t="str">
        <f t="shared" si="24"/>
        <v/>
      </c>
      <c r="N100" s="37" t="s">
        <v>18</v>
      </c>
      <c r="O100" s="29">
        <v>1</v>
      </c>
      <c r="P100" s="38">
        <v>40</v>
      </c>
      <c r="Q100" s="46"/>
      <c r="R100" s="28" t="s">
        <v>1047</v>
      </c>
      <c r="S100" s="28" t="s">
        <v>21</v>
      </c>
      <c r="T100" s="46"/>
      <c r="U100" s="28" t="s">
        <v>31</v>
      </c>
    </row>
    <row r="101" spans="1:21" s="27" customFormat="1" x14ac:dyDescent="0.25">
      <c r="A101" s="28" t="s">
        <v>21</v>
      </c>
      <c r="B101" s="28" t="s">
        <v>1019</v>
      </c>
      <c r="C101" s="28" t="s">
        <v>21</v>
      </c>
      <c r="D101" s="31">
        <v>1</v>
      </c>
      <c r="E101" s="70" t="s">
        <v>324</v>
      </c>
      <c r="F101" s="45">
        <v>299</v>
      </c>
      <c r="G101" s="32"/>
      <c r="H101" s="32">
        <v>1.8560000000000001</v>
      </c>
      <c r="I101" s="32">
        <v>1.8460000000000001</v>
      </c>
      <c r="J101" s="33">
        <f t="shared" si="22"/>
        <v>1.0000000000000009E-2</v>
      </c>
      <c r="K101" s="34" t="str">
        <f t="shared" si="19"/>
        <v/>
      </c>
      <c r="L101" s="35">
        <f t="shared" si="23"/>
        <v>7.4749999999999996</v>
      </c>
      <c r="M101" s="36" t="str">
        <f t="shared" si="24"/>
        <v/>
      </c>
      <c r="N101" s="37" t="s">
        <v>18</v>
      </c>
      <c r="O101" s="29">
        <v>1</v>
      </c>
      <c r="P101" s="38">
        <v>40</v>
      </c>
      <c r="Q101" s="46"/>
      <c r="R101" s="28" t="s">
        <v>1045</v>
      </c>
      <c r="S101" s="28" t="s">
        <v>21</v>
      </c>
      <c r="T101" s="46"/>
      <c r="U101" s="28" t="s">
        <v>31</v>
      </c>
    </row>
    <row r="102" spans="1:21" s="27" customFormat="1" x14ac:dyDescent="0.25">
      <c r="A102" s="28" t="s">
        <v>21</v>
      </c>
      <c r="B102" s="28" t="s">
        <v>1020</v>
      </c>
      <c r="C102" s="28" t="s">
        <v>21</v>
      </c>
      <c r="D102" s="31">
        <v>1</v>
      </c>
      <c r="E102" s="70" t="s">
        <v>567</v>
      </c>
      <c r="F102" s="45">
        <v>298</v>
      </c>
      <c r="G102" s="32"/>
      <c r="H102" s="32">
        <v>1.853</v>
      </c>
      <c r="I102" s="32">
        <v>1.8420000000000001</v>
      </c>
      <c r="J102" s="33">
        <f t="shared" si="22"/>
        <v>1.0999999999999899E-2</v>
      </c>
      <c r="K102" s="34" t="str">
        <f t="shared" si="19"/>
        <v/>
      </c>
      <c r="L102" s="35">
        <f t="shared" si="23"/>
        <v>7.45</v>
      </c>
      <c r="M102" s="36" t="str">
        <f t="shared" si="24"/>
        <v/>
      </c>
      <c r="N102" s="37" t="s">
        <v>18</v>
      </c>
      <c r="O102" s="29">
        <v>1</v>
      </c>
      <c r="P102" s="38">
        <v>40</v>
      </c>
      <c r="Q102" s="46"/>
      <c r="R102" s="28" t="s">
        <v>1048</v>
      </c>
      <c r="S102" s="71" t="s">
        <v>58</v>
      </c>
      <c r="T102" s="46"/>
      <c r="U102" s="28" t="s">
        <v>31</v>
      </c>
    </row>
    <row r="103" spans="1:21" s="27" customFormat="1" x14ac:dyDescent="0.25">
      <c r="A103" s="28" t="s">
        <v>21</v>
      </c>
      <c r="B103" s="28" t="s">
        <v>1021</v>
      </c>
      <c r="C103" s="28">
        <v>765701</v>
      </c>
      <c r="D103" s="31">
        <v>1</v>
      </c>
      <c r="E103" s="70" t="s">
        <v>236</v>
      </c>
      <c r="F103" s="45">
        <v>297</v>
      </c>
      <c r="G103" s="32"/>
      <c r="H103" s="32">
        <v>1.8420000000000001</v>
      </c>
      <c r="I103" s="32">
        <v>1.835</v>
      </c>
      <c r="J103" s="33">
        <f t="shared" si="22"/>
        <v>7.0000000000001172E-3</v>
      </c>
      <c r="K103" s="34" t="str">
        <f t="shared" si="19"/>
        <v/>
      </c>
      <c r="L103" s="35">
        <f t="shared" si="23"/>
        <v>7.4249999999999998</v>
      </c>
      <c r="M103" s="36" t="str">
        <f t="shared" si="24"/>
        <v/>
      </c>
      <c r="N103" s="37" t="s">
        <v>18</v>
      </c>
      <c r="O103" s="29">
        <v>1</v>
      </c>
      <c r="P103" s="38">
        <v>40</v>
      </c>
      <c r="Q103" s="46"/>
      <c r="R103" s="28" t="s">
        <v>1088</v>
      </c>
      <c r="S103" s="71" t="s">
        <v>59</v>
      </c>
      <c r="T103" s="46"/>
      <c r="U103" s="28" t="s">
        <v>31</v>
      </c>
    </row>
    <row r="104" spans="1:21" s="27" customFormat="1" x14ac:dyDescent="0.25">
      <c r="A104" s="28" t="s">
        <v>21</v>
      </c>
      <c r="B104" s="28" t="s">
        <v>1022</v>
      </c>
      <c r="C104" s="71">
        <v>776984</v>
      </c>
      <c r="D104" s="31">
        <v>1</v>
      </c>
      <c r="E104" s="70" t="s">
        <v>895</v>
      </c>
      <c r="F104" s="45">
        <v>298</v>
      </c>
      <c r="G104" s="32"/>
      <c r="H104" s="32">
        <v>1.8420000000000001</v>
      </c>
      <c r="I104" s="32">
        <v>1.8320000000000001</v>
      </c>
      <c r="J104" s="33">
        <f t="shared" si="22"/>
        <v>1.0000000000000009E-2</v>
      </c>
      <c r="K104" s="34" t="str">
        <f t="shared" si="19"/>
        <v/>
      </c>
      <c r="L104" s="35">
        <f t="shared" si="23"/>
        <v>7.45</v>
      </c>
      <c r="M104" s="36" t="str">
        <f t="shared" si="24"/>
        <v/>
      </c>
      <c r="N104" s="37" t="s">
        <v>18</v>
      </c>
      <c r="O104" s="29">
        <v>1</v>
      </c>
      <c r="P104" s="38">
        <v>40</v>
      </c>
      <c r="Q104" s="46"/>
      <c r="R104" s="28" t="s">
        <v>1049</v>
      </c>
      <c r="S104" s="28" t="s">
        <v>21</v>
      </c>
      <c r="T104" s="46"/>
      <c r="U104" s="28" t="s">
        <v>31</v>
      </c>
    </row>
    <row r="105" spans="1:21" s="27" customFormat="1" x14ac:dyDescent="0.25">
      <c r="A105" s="28" t="s">
        <v>21</v>
      </c>
      <c r="B105" s="28" t="s">
        <v>1023</v>
      </c>
      <c r="C105" s="28" t="s">
        <v>21</v>
      </c>
      <c r="D105" s="31">
        <v>1</v>
      </c>
      <c r="E105" s="70" t="s">
        <v>1090</v>
      </c>
      <c r="F105" s="45">
        <v>299</v>
      </c>
      <c r="G105" s="32"/>
      <c r="H105" s="32">
        <v>1.8420000000000001</v>
      </c>
      <c r="I105" s="32">
        <v>1.831</v>
      </c>
      <c r="J105" s="33">
        <f t="shared" si="22"/>
        <v>1.1000000000000121E-2</v>
      </c>
      <c r="K105" s="34" t="str">
        <f t="shared" si="19"/>
        <v/>
      </c>
      <c r="L105" s="35">
        <f t="shared" si="23"/>
        <v>7.4749999999999996</v>
      </c>
      <c r="M105" s="36" t="str">
        <f t="shared" si="24"/>
        <v/>
      </c>
      <c r="N105" s="37" t="s">
        <v>18</v>
      </c>
      <c r="O105" s="29">
        <v>1</v>
      </c>
      <c r="P105" s="38">
        <v>40</v>
      </c>
      <c r="Q105" s="46"/>
      <c r="R105" s="28" t="s">
        <v>1050</v>
      </c>
      <c r="S105" s="28" t="s">
        <v>21</v>
      </c>
      <c r="T105" s="46"/>
      <c r="U105" s="28" t="s">
        <v>31</v>
      </c>
    </row>
    <row r="106" spans="1:21" s="27" customFormat="1" x14ac:dyDescent="0.25">
      <c r="A106" s="28" t="s">
        <v>21</v>
      </c>
      <c r="B106" s="28" t="s">
        <v>1024</v>
      </c>
      <c r="C106" s="28" t="s">
        <v>21</v>
      </c>
      <c r="D106" s="31">
        <v>1</v>
      </c>
      <c r="E106" s="70" t="s">
        <v>1089</v>
      </c>
      <c r="F106" s="45">
        <v>299</v>
      </c>
      <c r="G106" s="32"/>
      <c r="H106" s="32">
        <v>1.839</v>
      </c>
      <c r="I106" s="32">
        <v>1.8280000000000001</v>
      </c>
      <c r="J106" s="33">
        <f t="shared" si="22"/>
        <v>1.0999999999999899E-2</v>
      </c>
      <c r="K106" s="34" t="str">
        <f t="shared" si="19"/>
        <v/>
      </c>
      <c r="L106" s="35">
        <f t="shared" si="23"/>
        <v>7.4749999999999996</v>
      </c>
      <c r="M106" s="36" t="str">
        <f t="shared" si="24"/>
        <v/>
      </c>
      <c r="N106" s="37" t="s">
        <v>18</v>
      </c>
      <c r="O106" s="29">
        <v>1</v>
      </c>
      <c r="P106" s="38">
        <v>40</v>
      </c>
      <c r="Q106" s="46"/>
      <c r="R106" s="28" t="s">
        <v>1051</v>
      </c>
      <c r="S106" s="28" t="s">
        <v>21</v>
      </c>
      <c r="T106" s="46"/>
      <c r="U106" s="28" t="s">
        <v>31</v>
      </c>
    </row>
    <row r="107" spans="1:21" s="27" customFormat="1" x14ac:dyDescent="0.25">
      <c r="A107" s="28" t="s">
        <v>21</v>
      </c>
      <c r="B107" s="28" t="s">
        <v>1025</v>
      </c>
      <c r="C107" s="28">
        <v>765701</v>
      </c>
      <c r="D107" s="31">
        <v>1</v>
      </c>
      <c r="E107" s="70" t="s">
        <v>232</v>
      </c>
      <c r="F107" s="45">
        <v>297</v>
      </c>
      <c r="G107" s="32"/>
      <c r="H107" s="32">
        <v>1.855</v>
      </c>
      <c r="I107" s="32">
        <v>1.8480000000000001</v>
      </c>
      <c r="J107" s="33">
        <f t="shared" si="22"/>
        <v>6.9999999999998952E-3</v>
      </c>
      <c r="K107" s="34" t="str">
        <f t="shared" si="19"/>
        <v/>
      </c>
      <c r="L107" s="35">
        <f t="shared" si="23"/>
        <v>7.4249999999999998</v>
      </c>
      <c r="M107" s="36" t="str">
        <f t="shared" si="24"/>
        <v/>
      </c>
      <c r="N107" s="37" t="s">
        <v>18</v>
      </c>
      <c r="O107" s="29">
        <v>1</v>
      </c>
      <c r="P107" s="38">
        <v>40</v>
      </c>
      <c r="Q107" s="46"/>
      <c r="R107" s="28" t="s">
        <v>1052</v>
      </c>
      <c r="S107" s="71" t="s">
        <v>103</v>
      </c>
      <c r="T107" s="46"/>
      <c r="U107" s="28" t="s">
        <v>31</v>
      </c>
    </row>
    <row r="108" spans="1:21" s="27" customFormat="1" x14ac:dyDescent="0.25">
      <c r="A108" s="28" t="s">
        <v>21</v>
      </c>
      <c r="B108" s="28" t="s">
        <v>1026</v>
      </c>
      <c r="C108" s="28" t="s">
        <v>21</v>
      </c>
      <c r="D108" s="31">
        <v>1</v>
      </c>
      <c r="E108" s="70" t="s">
        <v>233</v>
      </c>
      <c r="F108" s="45">
        <v>297</v>
      </c>
      <c r="G108" s="32"/>
      <c r="H108" s="32">
        <v>1.863</v>
      </c>
      <c r="I108" s="32">
        <v>1.857</v>
      </c>
      <c r="J108" s="33">
        <f t="shared" si="22"/>
        <v>6.0000000000000053E-3</v>
      </c>
      <c r="K108" s="34" t="str">
        <f t="shared" si="19"/>
        <v/>
      </c>
      <c r="L108" s="35">
        <f t="shared" si="23"/>
        <v>7.4249999999999998</v>
      </c>
      <c r="M108" s="36" t="str">
        <f t="shared" si="24"/>
        <v/>
      </c>
      <c r="N108" s="37" t="s">
        <v>18</v>
      </c>
      <c r="O108" s="29">
        <v>1</v>
      </c>
      <c r="P108" s="38">
        <v>40</v>
      </c>
      <c r="Q108" s="46"/>
      <c r="R108" s="28" t="s">
        <v>1054</v>
      </c>
      <c r="S108" s="71" t="s">
        <v>59</v>
      </c>
      <c r="T108" s="46"/>
      <c r="U108" s="28" t="s">
        <v>31</v>
      </c>
    </row>
    <row r="109" spans="1:21" s="27" customFormat="1" x14ac:dyDescent="0.25">
      <c r="A109" s="28" t="s">
        <v>21</v>
      </c>
      <c r="B109" s="28" t="s">
        <v>1027</v>
      </c>
      <c r="C109" s="28" t="s">
        <v>21</v>
      </c>
      <c r="D109" s="31">
        <v>1</v>
      </c>
      <c r="E109" s="70" t="s">
        <v>484</v>
      </c>
      <c r="F109" s="45">
        <v>297</v>
      </c>
      <c r="G109" s="32"/>
      <c r="H109" s="32">
        <v>1.855</v>
      </c>
      <c r="I109" s="32">
        <v>1.8480000000000001</v>
      </c>
      <c r="J109" s="33">
        <f t="shared" si="22"/>
        <v>6.9999999999998952E-3</v>
      </c>
      <c r="K109" s="34" t="str">
        <f t="shared" si="19"/>
        <v/>
      </c>
      <c r="L109" s="35">
        <f t="shared" si="23"/>
        <v>7.4249999999999998</v>
      </c>
      <c r="M109" s="36" t="str">
        <f t="shared" si="24"/>
        <v/>
      </c>
      <c r="N109" s="37" t="s">
        <v>18</v>
      </c>
      <c r="O109" s="29">
        <v>1</v>
      </c>
      <c r="P109" s="38">
        <v>40</v>
      </c>
      <c r="Q109" s="46"/>
      <c r="R109" s="28" t="s">
        <v>1055</v>
      </c>
      <c r="S109" s="28" t="s">
        <v>21</v>
      </c>
      <c r="T109" s="46"/>
      <c r="U109" s="28" t="s">
        <v>31</v>
      </c>
    </row>
    <row r="110" spans="1:21" s="27" customFormat="1" x14ac:dyDescent="0.25">
      <c r="A110" s="28" t="s">
        <v>21</v>
      </c>
      <c r="B110" s="28" t="s">
        <v>1028</v>
      </c>
      <c r="C110" s="28" t="s">
        <v>21</v>
      </c>
      <c r="D110" s="31">
        <v>1</v>
      </c>
      <c r="E110" s="70" t="s">
        <v>232</v>
      </c>
      <c r="F110" s="45">
        <v>298</v>
      </c>
      <c r="G110" s="32"/>
      <c r="H110" s="32">
        <v>1.85</v>
      </c>
      <c r="I110" s="32">
        <v>1.8420000000000001</v>
      </c>
      <c r="J110" s="33">
        <f t="shared" si="22"/>
        <v>8.0000000000000071E-3</v>
      </c>
      <c r="K110" s="34" t="str">
        <f t="shared" si="19"/>
        <v/>
      </c>
      <c r="L110" s="35">
        <f t="shared" si="23"/>
        <v>7.45</v>
      </c>
      <c r="M110" s="36" t="str">
        <f t="shared" si="24"/>
        <v/>
      </c>
      <c r="N110" s="37" t="s">
        <v>18</v>
      </c>
      <c r="O110" s="29">
        <v>1</v>
      </c>
      <c r="P110" s="38">
        <v>40</v>
      </c>
      <c r="Q110" s="46"/>
      <c r="R110" s="28" t="s">
        <v>1056</v>
      </c>
      <c r="S110" s="28" t="s">
        <v>21</v>
      </c>
      <c r="T110" s="46"/>
      <c r="U110" s="28" t="s">
        <v>31</v>
      </c>
    </row>
    <row r="111" spans="1:21" s="27" customFormat="1" x14ac:dyDescent="0.25">
      <c r="A111" s="28" t="s">
        <v>21</v>
      </c>
      <c r="B111" s="28" t="s">
        <v>1029</v>
      </c>
      <c r="C111" s="28" t="s">
        <v>21</v>
      </c>
      <c r="D111" s="31">
        <v>1</v>
      </c>
      <c r="E111" s="70" t="s">
        <v>233</v>
      </c>
      <c r="F111" s="45">
        <v>298</v>
      </c>
      <c r="G111" s="32"/>
      <c r="H111" s="32">
        <v>1.8540000000000001</v>
      </c>
      <c r="I111" s="32">
        <v>1.847</v>
      </c>
      <c r="J111" s="33">
        <f t="shared" si="22"/>
        <v>7.0000000000001172E-3</v>
      </c>
      <c r="K111" s="34" t="str">
        <f t="shared" si="19"/>
        <v/>
      </c>
      <c r="L111" s="35">
        <f t="shared" si="23"/>
        <v>7.45</v>
      </c>
      <c r="M111" s="36" t="str">
        <f t="shared" si="24"/>
        <v/>
      </c>
      <c r="N111" s="37" t="s">
        <v>18</v>
      </c>
      <c r="O111" s="29">
        <v>1</v>
      </c>
      <c r="P111" s="38">
        <v>40</v>
      </c>
      <c r="Q111" s="46"/>
      <c r="R111" s="28" t="s">
        <v>1053</v>
      </c>
      <c r="S111" s="28" t="s">
        <v>21</v>
      </c>
      <c r="T111" s="46"/>
      <c r="U111" s="28" t="s">
        <v>31</v>
      </c>
    </row>
    <row r="112" spans="1:21" s="27" customFormat="1" x14ac:dyDescent="0.25">
      <c r="A112" s="28" t="s">
        <v>21</v>
      </c>
      <c r="B112" s="28" t="s">
        <v>1030</v>
      </c>
      <c r="C112" s="28" t="s">
        <v>21</v>
      </c>
      <c r="D112" s="31">
        <v>1</v>
      </c>
      <c r="E112" s="70" t="s">
        <v>462</v>
      </c>
      <c r="F112" s="45">
        <v>298</v>
      </c>
      <c r="G112" s="32"/>
      <c r="H112" s="32">
        <v>1.853</v>
      </c>
      <c r="I112" s="32">
        <v>1.8460000000000001</v>
      </c>
      <c r="J112" s="33">
        <f t="shared" si="22"/>
        <v>6.9999999999998952E-3</v>
      </c>
      <c r="K112" s="34" t="str">
        <f t="shared" si="19"/>
        <v/>
      </c>
      <c r="L112" s="35">
        <f t="shared" si="23"/>
        <v>7.45</v>
      </c>
      <c r="M112" s="36" t="str">
        <f t="shared" si="24"/>
        <v/>
      </c>
      <c r="N112" s="37" t="s">
        <v>18</v>
      </c>
      <c r="O112" s="29">
        <v>1</v>
      </c>
      <c r="P112" s="38">
        <v>40</v>
      </c>
      <c r="Q112" s="46"/>
      <c r="R112" s="28" t="s">
        <v>1057</v>
      </c>
      <c r="S112" s="28" t="s">
        <v>21</v>
      </c>
      <c r="T112" s="46"/>
      <c r="U112" s="28" t="s">
        <v>31</v>
      </c>
    </row>
    <row r="113" spans="1:21" s="27" customFormat="1" x14ac:dyDescent="0.25">
      <c r="A113" s="28" t="s">
        <v>21</v>
      </c>
      <c r="B113" s="28" t="s">
        <v>1031</v>
      </c>
      <c r="C113" s="28">
        <v>765701</v>
      </c>
      <c r="D113" s="31">
        <v>1</v>
      </c>
      <c r="E113" s="70" t="s">
        <v>127</v>
      </c>
      <c r="F113" s="45">
        <v>297</v>
      </c>
      <c r="G113" s="32"/>
      <c r="H113" s="32">
        <v>1.85</v>
      </c>
      <c r="I113" s="32">
        <v>1.8420000000000001</v>
      </c>
      <c r="J113" s="33">
        <f t="shared" si="22"/>
        <v>8.0000000000000071E-3</v>
      </c>
      <c r="K113" s="34" t="str">
        <f t="shared" si="19"/>
        <v/>
      </c>
      <c r="L113" s="35">
        <f t="shared" si="23"/>
        <v>7.4249999999999998</v>
      </c>
      <c r="M113" s="36" t="str">
        <f t="shared" si="24"/>
        <v/>
      </c>
      <c r="N113" s="37" t="s">
        <v>18</v>
      </c>
      <c r="O113" s="29">
        <v>1</v>
      </c>
      <c r="P113" s="38">
        <v>40</v>
      </c>
      <c r="Q113" s="46"/>
      <c r="R113" s="28" t="s">
        <v>1058</v>
      </c>
      <c r="S113" s="28" t="s">
        <v>21</v>
      </c>
      <c r="T113" s="46"/>
      <c r="U113" s="28" t="s">
        <v>31</v>
      </c>
    </row>
    <row r="114" spans="1:21" s="27" customFormat="1" x14ac:dyDescent="0.25">
      <c r="A114" s="28" t="s">
        <v>21</v>
      </c>
      <c r="B114" s="28" t="s">
        <v>1032</v>
      </c>
      <c r="C114" s="28" t="s">
        <v>21</v>
      </c>
      <c r="D114" s="31">
        <v>1</v>
      </c>
      <c r="E114" s="70" t="s">
        <v>237</v>
      </c>
      <c r="F114" s="45">
        <v>297</v>
      </c>
      <c r="G114" s="32"/>
      <c r="H114" s="32">
        <v>1.8560000000000001</v>
      </c>
      <c r="I114" s="32">
        <v>1.849</v>
      </c>
      <c r="J114" s="33">
        <f t="shared" si="22"/>
        <v>7.0000000000001172E-3</v>
      </c>
      <c r="K114" s="34" t="str">
        <f t="shared" si="19"/>
        <v/>
      </c>
      <c r="L114" s="35">
        <f t="shared" si="23"/>
        <v>7.4249999999999998</v>
      </c>
      <c r="M114" s="36" t="str">
        <f t="shared" si="24"/>
        <v/>
      </c>
      <c r="N114" s="37" t="s">
        <v>18</v>
      </c>
      <c r="O114" s="29">
        <v>1</v>
      </c>
      <c r="P114" s="38">
        <v>40</v>
      </c>
      <c r="Q114" s="46"/>
      <c r="R114" s="28" t="s">
        <v>1059</v>
      </c>
      <c r="S114" s="28" t="s">
        <v>21</v>
      </c>
      <c r="T114" s="46"/>
      <c r="U114" s="28" t="s">
        <v>31</v>
      </c>
    </row>
    <row r="115" spans="1:21" s="27" customFormat="1" x14ac:dyDescent="0.25">
      <c r="A115" s="28" t="s">
        <v>21</v>
      </c>
      <c r="B115" s="28" t="s">
        <v>1033</v>
      </c>
      <c r="C115" s="28" t="s">
        <v>21</v>
      </c>
      <c r="D115" s="31">
        <v>1</v>
      </c>
      <c r="E115" s="70" t="s">
        <v>234</v>
      </c>
      <c r="F115" s="45">
        <v>298</v>
      </c>
      <c r="G115" s="32"/>
      <c r="H115" s="32">
        <v>1.8520000000000001</v>
      </c>
      <c r="I115" s="32">
        <v>1.8440000000000001</v>
      </c>
      <c r="J115" s="33">
        <f t="shared" si="22"/>
        <v>8.0000000000000071E-3</v>
      </c>
      <c r="K115" s="34" t="str">
        <f t="shared" si="19"/>
        <v/>
      </c>
      <c r="L115" s="35">
        <f t="shared" si="23"/>
        <v>7.45</v>
      </c>
      <c r="M115" s="36" t="str">
        <f t="shared" si="24"/>
        <v/>
      </c>
      <c r="N115" s="37" t="s">
        <v>18</v>
      </c>
      <c r="O115" s="29">
        <v>1</v>
      </c>
      <c r="P115" s="38">
        <v>40</v>
      </c>
      <c r="Q115" s="46"/>
      <c r="R115" s="28" t="s">
        <v>1060</v>
      </c>
      <c r="S115" s="28" t="s">
        <v>21</v>
      </c>
      <c r="T115" s="46"/>
      <c r="U115" s="28" t="s">
        <v>31</v>
      </c>
    </row>
    <row r="116" spans="1:21" s="27" customFormat="1" x14ac:dyDescent="0.25">
      <c r="A116" s="28" t="s">
        <v>21</v>
      </c>
      <c r="B116" s="28" t="s">
        <v>1034</v>
      </c>
      <c r="C116" s="28" t="s">
        <v>21</v>
      </c>
      <c r="D116" s="31">
        <v>1</v>
      </c>
      <c r="E116" s="70" t="s">
        <v>127</v>
      </c>
      <c r="F116" s="45">
        <v>298</v>
      </c>
      <c r="G116" s="32"/>
      <c r="H116" s="32">
        <v>1.853</v>
      </c>
      <c r="I116" s="32">
        <v>1.8460000000000001</v>
      </c>
      <c r="J116" s="33">
        <f t="shared" si="22"/>
        <v>6.9999999999998952E-3</v>
      </c>
      <c r="K116" s="34" t="str">
        <f t="shared" ref="K116:K179" si="25">IF(J116=0,"",IF(OR(J116&lt;0,J116&gt;0.03),"X",""))</f>
        <v/>
      </c>
      <c r="L116" s="35">
        <f t="shared" si="23"/>
        <v>7.45</v>
      </c>
      <c r="M116" s="36" t="str">
        <f t="shared" si="24"/>
        <v/>
      </c>
      <c r="N116" s="37" t="s">
        <v>18</v>
      </c>
      <c r="O116" s="29">
        <v>1</v>
      </c>
      <c r="P116" s="38">
        <v>40</v>
      </c>
      <c r="Q116" s="46"/>
      <c r="R116" s="28" t="s">
        <v>1061</v>
      </c>
      <c r="S116" s="28" t="s">
        <v>21</v>
      </c>
      <c r="T116" s="46"/>
      <c r="U116" s="28" t="s">
        <v>31</v>
      </c>
    </row>
    <row r="117" spans="1:21" s="27" customFormat="1" x14ac:dyDescent="0.25">
      <c r="A117" s="28" t="s">
        <v>1062</v>
      </c>
      <c r="B117" s="28" t="s">
        <v>1063</v>
      </c>
      <c r="C117" s="28">
        <v>765701</v>
      </c>
      <c r="D117" s="31">
        <v>1</v>
      </c>
      <c r="E117" s="70" t="s">
        <v>462</v>
      </c>
      <c r="F117" s="45">
        <v>299</v>
      </c>
      <c r="G117" s="32"/>
      <c r="H117" s="32">
        <v>1.859</v>
      </c>
      <c r="I117" s="32">
        <v>1.8520000000000001</v>
      </c>
      <c r="J117" s="33">
        <f t="shared" ref="J117:J141" si="26">IF(O117&lt;&gt;"",(H117-I117)/O117,"")</f>
        <v>6.9999999999998952E-3</v>
      </c>
      <c r="K117" s="34" t="str">
        <f t="shared" si="25"/>
        <v/>
      </c>
      <c r="L117" s="35">
        <f t="shared" ref="L117:L141" si="27">F117/(O117*P117)</f>
        <v>7.4749999999999996</v>
      </c>
      <c r="M117" s="36" t="str">
        <f t="shared" ref="M117:M141" si="28">IF(L117=0,"",IF(OR(L117&lt;7,L117&gt;7.8),"X",""))</f>
        <v/>
      </c>
      <c r="N117" s="37" t="s">
        <v>18</v>
      </c>
      <c r="O117" s="29">
        <v>1</v>
      </c>
      <c r="P117" s="38">
        <v>40</v>
      </c>
      <c r="Q117" s="46"/>
      <c r="R117" s="28" t="s">
        <v>1091</v>
      </c>
      <c r="S117" s="71" t="s">
        <v>103</v>
      </c>
      <c r="T117" s="46"/>
      <c r="U117" s="28" t="s">
        <v>31</v>
      </c>
    </row>
    <row r="118" spans="1:21" s="27" customFormat="1" x14ac:dyDescent="0.25">
      <c r="A118" s="28" t="s">
        <v>21</v>
      </c>
      <c r="B118" s="28" t="s">
        <v>1064</v>
      </c>
      <c r="C118" s="28" t="s">
        <v>21</v>
      </c>
      <c r="D118" s="31">
        <v>1</v>
      </c>
      <c r="E118" s="70" t="s">
        <v>233</v>
      </c>
      <c r="F118" s="45">
        <v>297</v>
      </c>
      <c r="G118" s="32"/>
      <c r="H118" s="32">
        <v>1.8580000000000001</v>
      </c>
      <c r="I118" s="32">
        <v>1.851</v>
      </c>
      <c r="J118" s="33">
        <f t="shared" si="26"/>
        <v>7.0000000000001172E-3</v>
      </c>
      <c r="K118" s="34" t="str">
        <f t="shared" si="25"/>
        <v/>
      </c>
      <c r="L118" s="35">
        <f t="shared" si="27"/>
        <v>7.4249999999999998</v>
      </c>
      <c r="M118" s="36" t="str">
        <f t="shared" si="28"/>
        <v/>
      </c>
      <c r="N118" s="37" t="s">
        <v>18</v>
      </c>
      <c r="O118" s="29">
        <v>1</v>
      </c>
      <c r="P118" s="38">
        <v>40</v>
      </c>
      <c r="Q118" s="46"/>
      <c r="R118" s="28" t="s">
        <v>1093</v>
      </c>
      <c r="S118" s="71" t="s">
        <v>59</v>
      </c>
      <c r="T118" s="46"/>
      <c r="U118" s="28" t="s">
        <v>31</v>
      </c>
    </row>
    <row r="119" spans="1:21" s="27" customFormat="1" x14ac:dyDescent="0.25">
      <c r="A119" s="28" t="s">
        <v>21</v>
      </c>
      <c r="B119" s="28" t="s">
        <v>1065</v>
      </c>
      <c r="C119" s="28" t="s">
        <v>21</v>
      </c>
      <c r="D119" s="31">
        <v>1</v>
      </c>
      <c r="E119" s="70" t="s">
        <v>105</v>
      </c>
      <c r="F119" s="45">
        <v>298</v>
      </c>
      <c r="G119" s="32"/>
      <c r="H119" s="32">
        <v>1.855</v>
      </c>
      <c r="I119" s="32">
        <v>1.847</v>
      </c>
      <c r="J119" s="33">
        <f t="shared" si="26"/>
        <v>8.0000000000000071E-3</v>
      </c>
      <c r="K119" s="34" t="str">
        <f t="shared" si="25"/>
        <v/>
      </c>
      <c r="L119" s="35">
        <f t="shared" si="27"/>
        <v>7.45</v>
      </c>
      <c r="M119" s="36" t="str">
        <f t="shared" si="28"/>
        <v/>
      </c>
      <c r="N119" s="37" t="s">
        <v>18</v>
      </c>
      <c r="O119" s="29">
        <v>1</v>
      </c>
      <c r="P119" s="38">
        <v>40</v>
      </c>
      <c r="Q119" s="46"/>
      <c r="R119" s="28" t="s">
        <v>1094</v>
      </c>
      <c r="S119" s="28" t="s">
        <v>21</v>
      </c>
      <c r="T119" s="46"/>
      <c r="U119" s="28" t="s">
        <v>31</v>
      </c>
    </row>
    <row r="120" spans="1:21" s="27" customFormat="1" x14ac:dyDescent="0.25">
      <c r="A120" s="28" t="s">
        <v>21</v>
      </c>
      <c r="B120" s="28" t="s">
        <v>1066</v>
      </c>
      <c r="C120" s="28" t="s">
        <v>21</v>
      </c>
      <c r="D120" s="31">
        <v>1</v>
      </c>
      <c r="E120" s="70" t="s">
        <v>407</v>
      </c>
      <c r="F120" s="45">
        <v>297</v>
      </c>
      <c r="G120" s="32"/>
      <c r="H120" s="32">
        <v>1.859</v>
      </c>
      <c r="I120" s="32">
        <v>1.8520000000000001</v>
      </c>
      <c r="J120" s="33">
        <f t="shared" si="26"/>
        <v>6.9999999999998952E-3</v>
      </c>
      <c r="K120" s="34" t="str">
        <f t="shared" si="25"/>
        <v/>
      </c>
      <c r="L120" s="35">
        <f t="shared" si="27"/>
        <v>7.4249999999999998</v>
      </c>
      <c r="M120" s="36" t="str">
        <f t="shared" si="28"/>
        <v/>
      </c>
      <c r="N120" s="37" t="s">
        <v>18</v>
      </c>
      <c r="O120" s="29">
        <v>1</v>
      </c>
      <c r="P120" s="38">
        <v>40</v>
      </c>
      <c r="Q120" s="46"/>
      <c r="R120" s="28" t="s">
        <v>1092</v>
      </c>
      <c r="S120" s="28" t="s">
        <v>21</v>
      </c>
      <c r="T120" s="46"/>
      <c r="U120" s="28" t="s">
        <v>31</v>
      </c>
    </row>
    <row r="121" spans="1:21" s="27" customFormat="1" x14ac:dyDescent="0.25">
      <c r="A121" s="28" t="s">
        <v>21</v>
      </c>
      <c r="B121" s="28" t="s">
        <v>1067</v>
      </c>
      <c r="C121" s="28" t="s">
        <v>21</v>
      </c>
      <c r="D121" s="31">
        <v>1</v>
      </c>
      <c r="E121" s="70" t="s">
        <v>408</v>
      </c>
      <c r="F121" s="45">
        <v>297</v>
      </c>
      <c r="G121" s="32"/>
      <c r="H121" s="32">
        <v>1.845</v>
      </c>
      <c r="I121" s="32">
        <v>1.8380000000000001</v>
      </c>
      <c r="J121" s="33">
        <f t="shared" si="26"/>
        <v>6.9999999999998952E-3</v>
      </c>
      <c r="K121" s="34" t="str">
        <f t="shared" si="25"/>
        <v/>
      </c>
      <c r="L121" s="35">
        <f t="shared" si="27"/>
        <v>7.4249999999999998</v>
      </c>
      <c r="M121" s="36" t="str">
        <f t="shared" si="28"/>
        <v/>
      </c>
      <c r="N121" s="37" t="s">
        <v>18</v>
      </c>
      <c r="O121" s="29">
        <v>1</v>
      </c>
      <c r="P121" s="38">
        <v>40</v>
      </c>
      <c r="Q121" s="46"/>
      <c r="R121" s="28" t="s">
        <v>1095</v>
      </c>
      <c r="S121" s="28" t="s">
        <v>21</v>
      </c>
      <c r="T121" s="46"/>
      <c r="U121" s="28" t="s">
        <v>31</v>
      </c>
    </row>
    <row r="122" spans="1:21" s="27" customFormat="1" x14ac:dyDescent="0.25">
      <c r="A122" s="28" t="s">
        <v>21</v>
      </c>
      <c r="B122" s="28" t="s">
        <v>1068</v>
      </c>
      <c r="C122" s="28" t="s">
        <v>21</v>
      </c>
      <c r="D122" s="31">
        <v>1</v>
      </c>
      <c r="E122" s="70" t="s">
        <v>462</v>
      </c>
      <c r="F122" s="45">
        <v>298</v>
      </c>
      <c r="G122" s="32"/>
      <c r="H122" s="32">
        <v>1.8440000000000001</v>
      </c>
      <c r="I122" s="32">
        <v>1.837</v>
      </c>
      <c r="J122" s="33">
        <f t="shared" si="26"/>
        <v>7.0000000000001172E-3</v>
      </c>
      <c r="K122" s="34" t="str">
        <f t="shared" si="25"/>
        <v/>
      </c>
      <c r="L122" s="35">
        <f t="shared" si="27"/>
        <v>7.45</v>
      </c>
      <c r="M122" s="36" t="str">
        <f t="shared" si="28"/>
        <v/>
      </c>
      <c r="N122" s="37" t="s">
        <v>18</v>
      </c>
      <c r="O122" s="29">
        <v>1</v>
      </c>
      <c r="P122" s="38">
        <v>40</v>
      </c>
      <c r="Q122" s="46"/>
      <c r="R122" s="28" t="s">
        <v>1097</v>
      </c>
      <c r="S122" s="28" t="s">
        <v>21</v>
      </c>
      <c r="T122" s="46"/>
      <c r="U122" s="28" t="s">
        <v>31</v>
      </c>
    </row>
    <row r="123" spans="1:21" s="27" customFormat="1" x14ac:dyDescent="0.25">
      <c r="A123" s="28" t="s">
        <v>21</v>
      </c>
      <c r="B123" s="28" t="s">
        <v>1069</v>
      </c>
      <c r="C123" s="28" t="s">
        <v>21</v>
      </c>
      <c r="D123" s="31">
        <v>1</v>
      </c>
      <c r="E123" s="70" t="s">
        <v>234</v>
      </c>
      <c r="F123" s="45">
        <v>299</v>
      </c>
      <c r="G123" s="32"/>
      <c r="H123" s="32">
        <v>1.85</v>
      </c>
      <c r="I123" s="32">
        <v>1.841</v>
      </c>
      <c r="J123" s="33">
        <f t="shared" si="26"/>
        <v>9.000000000000119E-3</v>
      </c>
      <c r="K123" s="34" t="str">
        <f t="shared" si="25"/>
        <v/>
      </c>
      <c r="L123" s="35">
        <f t="shared" si="27"/>
        <v>7.4749999999999996</v>
      </c>
      <c r="M123" s="36" t="str">
        <f t="shared" si="28"/>
        <v/>
      </c>
      <c r="N123" s="37" t="s">
        <v>18</v>
      </c>
      <c r="O123" s="29">
        <v>1</v>
      </c>
      <c r="P123" s="38">
        <v>40</v>
      </c>
      <c r="Q123" s="46"/>
      <c r="R123" s="28" t="s">
        <v>1096</v>
      </c>
      <c r="S123" s="28" t="s">
        <v>21</v>
      </c>
      <c r="T123" s="46"/>
      <c r="U123" s="28" t="s">
        <v>31</v>
      </c>
    </row>
    <row r="124" spans="1:21" s="27" customFormat="1" x14ac:dyDescent="0.25">
      <c r="A124" s="28" t="s">
        <v>21</v>
      </c>
      <c r="B124" s="28" t="s">
        <v>1070</v>
      </c>
      <c r="C124" s="28" t="s">
        <v>21</v>
      </c>
      <c r="D124" s="31">
        <v>1</v>
      </c>
      <c r="E124" s="70" t="s">
        <v>407</v>
      </c>
      <c r="F124" s="45">
        <v>299</v>
      </c>
      <c r="G124" s="32"/>
      <c r="H124" s="32">
        <v>1.851</v>
      </c>
      <c r="I124" s="32">
        <v>1.8440000000000001</v>
      </c>
      <c r="J124" s="33">
        <f t="shared" si="26"/>
        <v>6.9999999999998952E-3</v>
      </c>
      <c r="K124" s="34" t="str">
        <f t="shared" si="25"/>
        <v/>
      </c>
      <c r="L124" s="35">
        <f t="shared" si="27"/>
        <v>7.4749999999999996</v>
      </c>
      <c r="M124" s="36" t="str">
        <f t="shared" si="28"/>
        <v/>
      </c>
      <c r="N124" s="37" t="s">
        <v>18</v>
      </c>
      <c r="O124" s="29">
        <v>1</v>
      </c>
      <c r="P124" s="38">
        <v>40</v>
      </c>
      <c r="Q124" s="46"/>
      <c r="R124" s="28" t="s">
        <v>1098</v>
      </c>
      <c r="S124" s="28" t="s">
        <v>21</v>
      </c>
      <c r="T124" s="46"/>
      <c r="U124" s="28" t="s">
        <v>31</v>
      </c>
    </row>
    <row r="125" spans="1:21" s="27" customFormat="1" x14ac:dyDescent="0.25">
      <c r="A125" s="28" t="s">
        <v>21</v>
      </c>
      <c r="B125" s="28" t="s">
        <v>1071</v>
      </c>
      <c r="C125" s="28" t="s">
        <v>21</v>
      </c>
      <c r="D125" s="31">
        <v>1</v>
      </c>
      <c r="E125" s="70" t="s">
        <v>408</v>
      </c>
      <c r="F125" s="45">
        <v>300</v>
      </c>
      <c r="G125" s="32"/>
      <c r="H125" s="32">
        <v>1.8440000000000001</v>
      </c>
      <c r="I125" s="32">
        <v>1.837</v>
      </c>
      <c r="J125" s="33">
        <f t="shared" si="26"/>
        <v>7.0000000000001172E-3</v>
      </c>
      <c r="K125" s="34" t="str">
        <f t="shared" si="25"/>
        <v/>
      </c>
      <c r="L125" s="35">
        <f t="shared" si="27"/>
        <v>7.5</v>
      </c>
      <c r="M125" s="36" t="str">
        <f t="shared" si="28"/>
        <v/>
      </c>
      <c r="N125" s="37" t="s">
        <v>18</v>
      </c>
      <c r="O125" s="29">
        <v>1</v>
      </c>
      <c r="P125" s="38">
        <v>40</v>
      </c>
      <c r="Q125" s="46"/>
      <c r="R125" s="28" t="s">
        <v>1099</v>
      </c>
      <c r="S125" s="28" t="s">
        <v>21</v>
      </c>
      <c r="T125" s="46"/>
      <c r="U125" s="28" t="s">
        <v>31</v>
      </c>
    </row>
    <row r="126" spans="1:21" s="27" customFormat="1" x14ac:dyDescent="0.25">
      <c r="A126" s="28" t="s">
        <v>21</v>
      </c>
      <c r="B126" s="28" t="s">
        <v>1072</v>
      </c>
      <c r="C126" s="28" t="s">
        <v>21</v>
      </c>
      <c r="D126" s="31">
        <v>1</v>
      </c>
      <c r="E126" s="70" t="s">
        <v>484</v>
      </c>
      <c r="F126" s="45">
        <v>298</v>
      </c>
      <c r="G126" s="32"/>
      <c r="H126" s="32">
        <v>1.8440000000000001</v>
      </c>
      <c r="I126" s="32">
        <v>1.837</v>
      </c>
      <c r="J126" s="33">
        <f t="shared" si="26"/>
        <v>7.0000000000001172E-3</v>
      </c>
      <c r="K126" s="34" t="str">
        <f t="shared" si="25"/>
        <v/>
      </c>
      <c r="L126" s="35">
        <f t="shared" si="27"/>
        <v>7.45</v>
      </c>
      <c r="M126" s="36" t="str">
        <f t="shared" si="28"/>
        <v/>
      </c>
      <c r="N126" s="37" t="s">
        <v>18</v>
      </c>
      <c r="O126" s="29">
        <v>1</v>
      </c>
      <c r="P126" s="38">
        <v>40</v>
      </c>
      <c r="Q126" s="46"/>
      <c r="R126" s="28" t="s">
        <v>1100</v>
      </c>
      <c r="S126" s="28" t="s">
        <v>21</v>
      </c>
      <c r="T126" s="46"/>
      <c r="U126" s="28" t="s">
        <v>31</v>
      </c>
    </row>
    <row r="127" spans="1:21" s="27" customFormat="1" x14ac:dyDescent="0.25">
      <c r="A127" s="28" t="s">
        <v>21</v>
      </c>
      <c r="B127" s="28" t="s">
        <v>1073</v>
      </c>
      <c r="C127" s="28" t="s">
        <v>21</v>
      </c>
      <c r="D127" s="31">
        <v>1</v>
      </c>
      <c r="E127" s="70" t="s">
        <v>1142</v>
      </c>
      <c r="F127" s="45">
        <v>299</v>
      </c>
      <c r="G127" s="32"/>
      <c r="H127" s="32">
        <v>1.85</v>
      </c>
      <c r="I127" s="32">
        <v>1.8420000000000001</v>
      </c>
      <c r="J127" s="33">
        <f t="shared" si="26"/>
        <v>8.0000000000000071E-3</v>
      </c>
      <c r="K127" s="34" t="str">
        <f t="shared" si="25"/>
        <v/>
      </c>
      <c r="L127" s="35">
        <f t="shared" si="27"/>
        <v>7.4749999999999996</v>
      </c>
      <c r="M127" s="36" t="str">
        <f t="shared" si="28"/>
        <v/>
      </c>
      <c r="N127" s="37" t="s">
        <v>18</v>
      </c>
      <c r="O127" s="29">
        <v>1</v>
      </c>
      <c r="P127" s="38">
        <v>40</v>
      </c>
      <c r="Q127" s="46"/>
      <c r="R127" s="28" t="s">
        <v>1102</v>
      </c>
      <c r="S127" s="71" t="s">
        <v>58</v>
      </c>
      <c r="T127" s="46"/>
      <c r="U127" s="28" t="s">
        <v>31</v>
      </c>
    </row>
    <row r="128" spans="1:21" s="27" customFormat="1" x14ac:dyDescent="0.25">
      <c r="A128" s="28" t="s">
        <v>21</v>
      </c>
      <c r="B128" s="28" t="s">
        <v>1074</v>
      </c>
      <c r="C128" s="28" t="s">
        <v>21</v>
      </c>
      <c r="D128" s="31">
        <v>1</v>
      </c>
      <c r="E128" s="70" t="s">
        <v>235</v>
      </c>
      <c r="F128" s="45">
        <v>298</v>
      </c>
      <c r="G128" s="32"/>
      <c r="H128" s="32">
        <v>1.8560000000000001</v>
      </c>
      <c r="I128" s="32">
        <v>1.8480000000000001</v>
      </c>
      <c r="J128" s="33">
        <f t="shared" si="26"/>
        <v>8.0000000000000071E-3</v>
      </c>
      <c r="K128" s="34" t="str">
        <f t="shared" si="25"/>
        <v/>
      </c>
      <c r="L128" s="35">
        <f t="shared" si="27"/>
        <v>7.45</v>
      </c>
      <c r="M128" s="36" t="str">
        <f t="shared" si="28"/>
        <v/>
      </c>
      <c r="N128" s="37" t="s">
        <v>18</v>
      </c>
      <c r="O128" s="29">
        <v>1</v>
      </c>
      <c r="P128" s="38">
        <v>40</v>
      </c>
      <c r="Q128" s="46"/>
      <c r="R128" s="28" t="s">
        <v>1103</v>
      </c>
      <c r="S128" s="71" t="s">
        <v>59</v>
      </c>
      <c r="T128" s="46"/>
      <c r="U128" s="28" t="s">
        <v>31</v>
      </c>
    </row>
    <row r="129" spans="1:21" s="27" customFormat="1" x14ac:dyDescent="0.25">
      <c r="A129" s="28" t="s">
        <v>21</v>
      </c>
      <c r="B129" s="28" t="s">
        <v>1075</v>
      </c>
      <c r="C129" s="28" t="s">
        <v>21</v>
      </c>
      <c r="D129" s="31">
        <v>1</v>
      </c>
      <c r="E129" s="70" t="s">
        <v>127</v>
      </c>
      <c r="F129" s="45">
        <v>297</v>
      </c>
      <c r="G129" s="32"/>
      <c r="H129" s="32">
        <v>1.861</v>
      </c>
      <c r="I129" s="32">
        <v>1.8540000000000001</v>
      </c>
      <c r="J129" s="33">
        <f t="shared" si="26"/>
        <v>6.9999999999998952E-3</v>
      </c>
      <c r="K129" s="34" t="str">
        <f t="shared" si="25"/>
        <v/>
      </c>
      <c r="L129" s="35">
        <f t="shared" si="27"/>
        <v>7.4249999999999998</v>
      </c>
      <c r="M129" s="36" t="str">
        <f t="shared" si="28"/>
        <v/>
      </c>
      <c r="N129" s="37" t="s">
        <v>18</v>
      </c>
      <c r="O129" s="29">
        <v>1</v>
      </c>
      <c r="P129" s="38">
        <v>40</v>
      </c>
      <c r="Q129" s="46"/>
      <c r="R129" s="28" t="s">
        <v>1104</v>
      </c>
      <c r="S129" s="28" t="s">
        <v>21</v>
      </c>
      <c r="T129" s="46"/>
      <c r="U129" s="28" t="s">
        <v>31</v>
      </c>
    </row>
    <row r="130" spans="1:21" s="27" customFormat="1" x14ac:dyDescent="0.25">
      <c r="A130" s="28" t="s">
        <v>21</v>
      </c>
      <c r="B130" s="28" t="s">
        <v>1076</v>
      </c>
      <c r="C130" s="28" t="s">
        <v>21</v>
      </c>
      <c r="D130" s="31">
        <v>1</v>
      </c>
      <c r="E130" s="70" t="s">
        <v>234</v>
      </c>
      <c r="F130" s="45">
        <v>297</v>
      </c>
      <c r="G130" s="32"/>
      <c r="H130" s="32">
        <v>1.86</v>
      </c>
      <c r="I130" s="32">
        <v>1.8520000000000001</v>
      </c>
      <c r="J130" s="33">
        <f t="shared" si="26"/>
        <v>8.0000000000000071E-3</v>
      </c>
      <c r="K130" s="34" t="str">
        <f t="shared" si="25"/>
        <v/>
      </c>
      <c r="L130" s="35">
        <f t="shared" si="27"/>
        <v>7.4249999999999998</v>
      </c>
      <c r="M130" s="36" t="str">
        <f t="shared" si="28"/>
        <v/>
      </c>
      <c r="N130" s="37" t="s">
        <v>18</v>
      </c>
      <c r="O130" s="29">
        <v>1</v>
      </c>
      <c r="P130" s="38">
        <v>40</v>
      </c>
      <c r="Q130" s="46"/>
      <c r="R130" s="28" t="s">
        <v>1105</v>
      </c>
      <c r="S130" s="28" t="s">
        <v>21</v>
      </c>
      <c r="T130" s="46"/>
      <c r="U130" s="28" t="s">
        <v>31</v>
      </c>
    </row>
    <row r="131" spans="1:21" s="27" customFormat="1" x14ac:dyDescent="0.25">
      <c r="A131" s="28" t="s">
        <v>21</v>
      </c>
      <c r="B131" s="28" t="s">
        <v>1077</v>
      </c>
      <c r="C131" s="28" t="s">
        <v>21</v>
      </c>
      <c r="D131" s="31">
        <v>1</v>
      </c>
      <c r="E131" s="70" t="s">
        <v>357</v>
      </c>
      <c r="F131" s="45">
        <v>297</v>
      </c>
      <c r="G131" s="32"/>
      <c r="H131" s="32">
        <v>1.8640000000000001</v>
      </c>
      <c r="I131" s="32">
        <v>1.857</v>
      </c>
      <c r="J131" s="33">
        <f t="shared" si="26"/>
        <v>7.0000000000001172E-3</v>
      </c>
      <c r="K131" s="34" t="str">
        <f t="shared" si="25"/>
        <v/>
      </c>
      <c r="L131" s="35">
        <f t="shared" si="27"/>
        <v>7.4249999999999998</v>
      </c>
      <c r="M131" s="36" t="str">
        <f t="shared" si="28"/>
        <v/>
      </c>
      <c r="N131" s="37" t="s">
        <v>18</v>
      </c>
      <c r="O131" s="29">
        <v>1</v>
      </c>
      <c r="P131" s="38">
        <v>40</v>
      </c>
      <c r="Q131" s="46"/>
      <c r="R131" s="28" t="s">
        <v>1101</v>
      </c>
      <c r="S131" s="28" t="s">
        <v>21</v>
      </c>
      <c r="T131" s="46"/>
      <c r="U131" s="28" t="s">
        <v>31</v>
      </c>
    </row>
    <row r="132" spans="1:21" s="27" customFormat="1" x14ac:dyDescent="0.25">
      <c r="A132" s="28" t="s">
        <v>21</v>
      </c>
      <c r="B132" s="28" t="s">
        <v>1078</v>
      </c>
      <c r="C132" s="28">
        <v>765701</v>
      </c>
      <c r="D132" s="31">
        <v>1</v>
      </c>
      <c r="E132" s="70" t="s">
        <v>271</v>
      </c>
      <c r="F132" s="45">
        <v>298</v>
      </c>
      <c r="G132" s="32"/>
      <c r="H132" s="32">
        <v>1.859</v>
      </c>
      <c r="I132" s="32">
        <v>1.851</v>
      </c>
      <c r="J132" s="33">
        <f t="shared" si="26"/>
        <v>8.0000000000000071E-3</v>
      </c>
      <c r="K132" s="34" t="str">
        <f t="shared" si="25"/>
        <v/>
      </c>
      <c r="L132" s="35">
        <f t="shared" si="27"/>
        <v>7.45</v>
      </c>
      <c r="M132" s="36" t="str">
        <f t="shared" si="28"/>
        <v/>
      </c>
      <c r="N132" s="37" t="s">
        <v>18</v>
      </c>
      <c r="O132" s="29">
        <v>1</v>
      </c>
      <c r="P132" s="38">
        <v>40</v>
      </c>
      <c r="Q132" s="46"/>
      <c r="R132" s="28" t="s">
        <v>1106</v>
      </c>
      <c r="S132" s="71" t="s">
        <v>103</v>
      </c>
      <c r="T132" s="46"/>
      <c r="U132" s="28" t="s">
        <v>31</v>
      </c>
    </row>
    <row r="133" spans="1:21" s="27" customFormat="1" x14ac:dyDescent="0.25">
      <c r="A133" s="28" t="s">
        <v>21</v>
      </c>
      <c r="B133" s="28" t="s">
        <v>1079</v>
      </c>
      <c r="C133" s="28" t="s">
        <v>21</v>
      </c>
      <c r="D133" s="31">
        <v>1</v>
      </c>
      <c r="E133" s="70" t="s">
        <v>234</v>
      </c>
      <c r="F133" s="45">
        <v>298</v>
      </c>
      <c r="G133" s="32"/>
      <c r="H133" s="32">
        <v>1.855</v>
      </c>
      <c r="I133" s="32">
        <v>1.8480000000000001</v>
      </c>
      <c r="J133" s="33">
        <f t="shared" si="26"/>
        <v>6.9999999999998952E-3</v>
      </c>
      <c r="K133" s="34" t="str">
        <f t="shared" si="25"/>
        <v/>
      </c>
      <c r="L133" s="35">
        <f t="shared" si="27"/>
        <v>7.45</v>
      </c>
      <c r="M133" s="36" t="str">
        <f t="shared" si="28"/>
        <v/>
      </c>
      <c r="N133" s="37" t="s">
        <v>18</v>
      </c>
      <c r="O133" s="29">
        <v>1</v>
      </c>
      <c r="P133" s="38">
        <v>40</v>
      </c>
      <c r="Q133" s="46"/>
      <c r="R133" s="28" t="s">
        <v>1107</v>
      </c>
      <c r="S133" s="71" t="s">
        <v>59</v>
      </c>
      <c r="T133" s="46"/>
      <c r="U133" s="28" t="s">
        <v>31</v>
      </c>
    </row>
    <row r="134" spans="1:21" s="27" customFormat="1" x14ac:dyDescent="0.25">
      <c r="A134" s="28" t="s">
        <v>21</v>
      </c>
      <c r="B134" s="28" t="s">
        <v>1080</v>
      </c>
      <c r="C134" s="28" t="s">
        <v>21</v>
      </c>
      <c r="D134" s="31">
        <v>1</v>
      </c>
      <c r="E134" s="70" t="s">
        <v>234</v>
      </c>
      <c r="F134" s="45">
        <v>299</v>
      </c>
      <c r="G134" s="32"/>
      <c r="H134" s="32">
        <v>1.861</v>
      </c>
      <c r="I134" s="32">
        <v>1.8540000000000001</v>
      </c>
      <c r="J134" s="33">
        <f t="shared" si="26"/>
        <v>6.9999999999998952E-3</v>
      </c>
      <c r="K134" s="34" t="str">
        <f t="shared" si="25"/>
        <v/>
      </c>
      <c r="L134" s="35">
        <f t="shared" si="27"/>
        <v>7.4749999999999996</v>
      </c>
      <c r="M134" s="36" t="str">
        <f t="shared" si="28"/>
        <v/>
      </c>
      <c r="N134" s="37" t="s">
        <v>18</v>
      </c>
      <c r="O134" s="29">
        <v>1</v>
      </c>
      <c r="P134" s="38">
        <v>40</v>
      </c>
      <c r="Q134" s="46"/>
      <c r="R134" s="28" t="s">
        <v>1108</v>
      </c>
      <c r="S134" s="28" t="s">
        <v>21</v>
      </c>
      <c r="T134" s="46"/>
      <c r="U134" s="28" t="s">
        <v>31</v>
      </c>
    </row>
    <row r="135" spans="1:21" s="27" customFormat="1" x14ac:dyDescent="0.25">
      <c r="A135" s="28" t="s">
        <v>21</v>
      </c>
      <c r="B135" s="28" t="s">
        <v>1081</v>
      </c>
      <c r="C135" s="28" t="s">
        <v>21</v>
      </c>
      <c r="D135" s="31">
        <v>1</v>
      </c>
      <c r="E135" s="70" t="s">
        <v>236</v>
      </c>
      <c r="F135" s="45">
        <v>297</v>
      </c>
      <c r="G135" s="32"/>
      <c r="H135" s="32">
        <v>1.849</v>
      </c>
      <c r="I135" s="32">
        <v>1.841</v>
      </c>
      <c r="J135" s="33">
        <f t="shared" si="26"/>
        <v>8.0000000000000071E-3</v>
      </c>
      <c r="K135" s="34" t="str">
        <f t="shared" si="25"/>
        <v/>
      </c>
      <c r="L135" s="35">
        <f t="shared" si="27"/>
        <v>7.4249999999999998</v>
      </c>
      <c r="M135" s="36" t="str">
        <f t="shared" si="28"/>
        <v/>
      </c>
      <c r="N135" s="37" t="s">
        <v>18</v>
      </c>
      <c r="O135" s="29">
        <v>1</v>
      </c>
      <c r="P135" s="38">
        <v>40</v>
      </c>
      <c r="Q135" s="46"/>
      <c r="R135" s="28" t="s">
        <v>1109</v>
      </c>
      <c r="S135" s="28" t="s">
        <v>21</v>
      </c>
      <c r="T135" s="46"/>
      <c r="U135" s="28" t="s">
        <v>31</v>
      </c>
    </row>
    <row r="136" spans="1:21" s="27" customFormat="1" x14ac:dyDescent="0.25">
      <c r="A136" s="28" t="s">
        <v>21</v>
      </c>
      <c r="B136" s="28" t="s">
        <v>1082</v>
      </c>
      <c r="C136" s="28" t="s">
        <v>21</v>
      </c>
      <c r="D136" s="31">
        <v>1</v>
      </c>
      <c r="E136" s="70" t="s">
        <v>484</v>
      </c>
      <c r="F136" s="45">
        <v>296</v>
      </c>
      <c r="G136" s="32"/>
      <c r="H136" s="32">
        <v>1.853</v>
      </c>
      <c r="I136" s="32">
        <v>1.847</v>
      </c>
      <c r="J136" s="33">
        <f t="shared" si="26"/>
        <v>6.0000000000000053E-3</v>
      </c>
      <c r="K136" s="34" t="str">
        <f t="shared" si="25"/>
        <v/>
      </c>
      <c r="L136" s="35">
        <f t="shared" si="27"/>
        <v>7.4</v>
      </c>
      <c r="M136" s="36" t="str">
        <f t="shared" si="28"/>
        <v/>
      </c>
      <c r="N136" s="37" t="s">
        <v>18</v>
      </c>
      <c r="O136" s="29">
        <v>1</v>
      </c>
      <c r="P136" s="38">
        <v>40</v>
      </c>
      <c r="Q136" s="46"/>
      <c r="R136" s="28" t="s">
        <v>1110</v>
      </c>
      <c r="S136" s="28" t="s">
        <v>21</v>
      </c>
      <c r="T136" s="46"/>
      <c r="U136" s="28" t="s">
        <v>31</v>
      </c>
    </row>
    <row r="137" spans="1:21" s="27" customFormat="1" x14ac:dyDescent="0.25">
      <c r="A137" s="28" t="s">
        <v>21</v>
      </c>
      <c r="B137" s="28" t="s">
        <v>1083</v>
      </c>
      <c r="C137" s="28" t="s">
        <v>21</v>
      </c>
      <c r="D137" s="31">
        <v>1</v>
      </c>
      <c r="E137" s="70" t="s">
        <v>231</v>
      </c>
      <c r="F137" s="45">
        <v>295</v>
      </c>
      <c r="G137" s="32"/>
      <c r="H137" s="32">
        <v>1.831</v>
      </c>
      <c r="I137" s="32">
        <v>1.8240000000000001</v>
      </c>
      <c r="J137" s="33">
        <f t="shared" si="26"/>
        <v>6.9999999999998952E-3</v>
      </c>
      <c r="K137" s="34" t="str">
        <f t="shared" si="25"/>
        <v/>
      </c>
      <c r="L137" s="35">
        <f t="shared" si="27"/>
        <v>7.375</v>
      </c>
      <c r="M137" s="36" t="str">
        <f t="shared" si="28"/>
        <v/>
      </c>
      <c r="N137" s="37" t="s">
        <v>18</v>
      </c>
      <c r="O137" s="29">
        <v>1</v>
      </c>
      <c r="P137" s="38">
        <v>40</v>
      </c>
      <c r="Q137" s="46"/>
      <c r="R137" s="28" t="s">
        <v>1111</v>
      </c>
      <c r="S137" s="28" t="s">
        <v>21</v>
      </c>
      <c r="T137" s="46"/>
      <c r="U137" s="28" t="s">
        <v>31</v>
      </c>
    </row>
    <row r="138" spans="1:21" s="27" customFormat="1" x14ac:dyDescent="0.25">
      <c r="A138" s="28" t="s">
        <v>21</v>
      </c>
      <c r="B138" s="28" t="s">
        <v>1084</v>
      </c>
      <c r="C138" s="28" t="s">
        <v>21</v>
      </c>
      <c r="D138" s="31">
        <v>1</v>
      </c>
      <c r="E138" s="70" t="s">
        <v>484</v>
      </c>
      <c r="F138" s="45">
        <v>297</v>
      </c>
      <c r="G138" s="32"/>
      <c r="H138" s="32">
        <v>1.847</v>
      </c>
      <c r="I138" s="32">
        <v>1.841</v>
      </c>
      <c r="J138" s="33">
        <f t="shared" si="26"/>
        <v>6.0000000000000053E-3</v>
      </c>
      <c r="K138" s="34" t="str">
        <f t="shared" si="25"/>
        <v/>
      </c>
      <c r="L138" s="35">
        <f t="shared" si="27"/>
        <v>7.4249999999999998</v>
      </c>
      <c r="M138" s="36" t="str">
        <f t="shared" si="28"/>
        <v/>
      </c>
      <c r="N138" s="37" t="s">
        <v>18</v>
      </c>
      <c r="O138" s="29">
        <v>1</v>
      </c>
      <c r="P138" s="38">
        <v>40</v>
      </c>
      <c r="Q138" s="46"/>
      <c r="R138" s="28" t="s">
        <v>1112</v>
      </c>
      <c r="S138" s="28" t="s">
        <v>21</v>
      </c>
      <c r="T138" s="46"/>
      <c r="U138" s="28" t="s">
        <v>31</v>
      </c>
    </row>
    <row r="139" spans="1:21" s="27" customFormat="1" x14ac:dyDescent="0.25">
      <c r="A139" s="28" t="s">
        <v>21</v>
      </c>
      <c r="B139" s="28" t="s">
        <v>1085</v>
      </c>
      <c r="C139" s="28" t="s">
        <v>21</v>
      </c>
      <c r="D139" s="31">
        <v>1</v>
      </c>
      <c r="E139" s="70" t="s">
        <v>237</v>
      </c>
      <c r="F139" s="45">
        <v>298</v>
      </c>
      <c r="G139" s="32"/>
      <c r="H139" s="32">
        <v>1.85</v>
      </c>
      <c r="I139" s="32">
        <v>1.8420000000000001</v>
      </c>
      <c r="J139" s="33">
        <f t="shared" si="26"/>
        <v>8.0000000000000071E-3</v>
      </c>
      <c r="K139" s="34" t="str">
        <f t="shared" si="25"/>
        <v/>
      </c>
      <c r="L139" s="35">
        <f t="shared" si="27"/>
        <v>7.45</v>
      </c>
      <c r="M139" s="36" t="str">
        <f t="shared" si="28"/>
        <v/>
      </c>
      <c r="N139" s="37" t="s">
        <v>18</v>
      </c>
      <c r="O139" s="29">
        <v>1</v>
      </c>
      <c r="P139" s="38">
        <v>40</v>
      </c>
      <c r="Q139" s="46"/>
      <c r="R139" s="28" t="s">
        <v>1113</v>
      </c>
      <c r="S139" s="28" t="s">
        <v>21</v>
      </c>
      <c r="T139" s="46"/>
      <c r="U139" s="28" t="s">
        <v>31</v>
      </c>
    </row>
    <row r="140" spans="1:21" s="27" customFormat="1" x14ac:dyDescent="0.25">
      <c r="A140" s="28" t="s">
        <v>21</v>
      </c>
      <c r="B140" s="28" t="s">
        <v>1086</v>
      </c>
      <c r="C140" s="28" t="s">
        <v>21</v>
      </c>
      <c r="D140" s="31">
        <v>1</v>
      </c>
      <c r="E140" s="70" t="s">
        <v>234</v>
      </c>
      <c r="F140" s="45">
        <v>297</v>
      </c>
      <c r="G140" s="32"/>
      <c r="H140" s="32">
        <v>1.85</v>
      </c>
      <c r="I140" s="32">
        <v>1.843</v>
      </c>
      <c r="J140" s="33">
        <f t="shared" si="26"/>
        <v>7.0000000000001172E-3</v>
      </c>
      <c r="K140" s="34" t="str">
        <f t="shared" si="25"/>
        <v/>
      </c>
      <c r="L140" s="35">
        <f t="shared" si="27"/>
        <v>7.4249999999999998</v>
      </c>
      <c r="M140" s="36" t="str">
        <f t="shared" si="28"/>
        <v/>
      </c>
      <c r="N140" s="37" t="s">
        <v>18</v>
      </c>
      <c r="O140" s="29">
        <v>1</v>
      </c>
      <c r="P140" s="38">
        <v>40</v>
      </c>
      <c r="Q140" s="46"/>
      <c r="R140" s="28" t="s">
        <v>1115</v>
      </c>
      <c r="S140" s="28" t="s">
        <v>21</v>
      </c>
      <c r="T140" s="46"/>
      <c r="U140" s="28" t="s">
        <v>31</v>
      </c>
    </row>
    <row r="141" spans="1:21" s="27" customFormat="1" x14ac:dyDescent="0.25">
      <c r="A141" s="28" t="s">
        <v>21</v>
      </c>
      <c r="B141" s="28" t="s">
        <v>1087</v>
      </c>
      <c r="C141" s="28" t="s">
        <v>21</v>
      </c>
      <c r="D141" s="31">
        <v>1</v>
      </c>
      <c r="E141" s="70" t="s">
        <v>1090</v>
      </c>
      <c r="F141" s="45">
        <v>295</v>
      </c>
      <c r="G141" s="32"/>
      <c r="H141" s="32">
        <v>1.861</v>
      </c>
      <c r="I141" s="32">
        <v>1.8540000000000001</v>
      </c>
      <c r="J141" s="33">
        <f t="shared" si="26"/>
        <v>6.9999999999998952E-3</v>
      </c>
      <c r="K141" s="34" t="str">
        <f t="shared" si="25"/>
        <v/>
      </c>
      <c r="L141" s="35">
        <f t="shared" si="27"/>
        <v>7.375</v>
      </c>
      <c r="M141" s="36" t="str">
        <f t="shared" si="28"/>
        <v/>
      </c>
      <c r="N141" s="37" t="s">
        <v>18</v>
      </c>
      <c r="O141" s="29">
        <v>1</v>
      </c>
      <c r="P141" s="38">
        <v>40</v>
      </c>
      <c r="Q141" s="46"/>
      <c r="R141" s="28" t="s">
        <v>1114</v>
      </c>
      <c r="S141" s="28" t="s">
        <v>21</v>
      </c>
      <c r="T141" s="46"/>
      <c r="U141" s="28" t="s">
        <v>31</v>
      </c>
    </row>
    <row r="142" spans="1:21" s="27" customFormat="1" x14ac:dyDescent="0.25">
      <c r="A142" s="28" t="s">
        <v>1118</v>
      </c>
      <c r="B142" s="44" t="s">
        <v>1116</v>
      </c>
      <c r="C142" s="28">
        <v>765701</v>
      </c>
      <c r="D142" s="31">
        <v>1</v>
      </c>
      <c r="E142" s="30" t="s">
        <v>645</v>
      </c>
      <c r="F142" s="45">
        <v>299</v>
      </c>
      <c r="G142" s="32"/>
      <c r="H142" s="32">
        <v>1.8120000000000001</v>
      </c>
      <c r="I142" s="32">
        <v>1.8029999999999999</v>
      </c>
      <c r="J142" s="33">
        <f>IF(O142&lt;&gt;"",(H142-I142)/O142,"")</f>
        <v>9.000000000000119E-3</v>
      </c>
      <c r="K142" s="34" t="str">
        <f t="shared" si="25"/>
        <v/>
      </c>
      <c r="L142" s="35">
        <f>F142/(O142*P142)</f>
        <v>7.4749999999999996</v>
      </c>
      <c r="M142" s="36" t="str">
        <f>IF(L142=0,"",IF(OR(L142&lt;7,L142&gt;7.8),"X",""))</f>
        <v/>
      </c>
      <c r="N142" s="37" t="s">
        <v>18</v>
      </c>
      <c r="O142" s="29">
        <v>1</v>
      </c>
      <c r="P142" s="38">
        <v>40</v>
      </c>
      <c r="Q142" s="46"/>
      <c r="R142" s="28" t="s">
        <v>1119</v>
      </c>
      <c r="S142" s="47"/>
      <c r="T142" s="46"/>
      <c r="U142" s="28" t="s">
        <v>31</v>
      </c>
    </row>
    <row r="143" spans="1:21" s="27" customFormat="1" x14ac:dyDescent="0.25">
      <c r="A143" s="28" t="s">
        <v>21</v>
      </c>
      <c r="B143" s="44" t="s">
        <v>1117</v>
      </c>
      <c r="C143" s="28" t="s">
        <v>21</v>
      </c>
      <c r="D143" s="31">
        <v>1</v>
      </c>
      <c r="E143" s="30" t="s">
        <v>131</v>
      </c>
      <c r="F143" s="45">
        <v>296</v>
      </c>
      <c r="G143" s="32"/>
      <c r="H143" s="32">
        <v>1.8140000000000001</v>
      </c>
      <c r="I143" s="32">
        <v>1.8080000000000001</v>
      </c>
      <c r="J143" s="33">
        <f>IF(O143&lt;&gt;"",(H143-I143)/O143,"")</f>
        <v>6.0000000000000053E-3</v>
      </c>
      <c r="K143" s="34" t="str">
        <f t="shared" si="25"/>
        <v/>
      </c>
      <c r="L143" s="35">
        <f>F143/(O143*P143)</f>
        <v>7.4</v>
      </c>
      <c r="M143" s="36" t="str">
        <f>IF(L143=0,"",IF(OR(L143&lt;7,L143&gt;7.8),"X",""))</f>
        <v/>
      </c>
      <c r="N143" s="37" t="s">
        <v>18</v>
      </c>
      <c r="O143" s="29">
        <v>1</v>
      </c>
      <c r="P143" s="38">
        <v>40</v>
      </c>
      <c r="Q143" s="46"/>
      <c r="R143" s="28" t="s">
        <v>1120</v>
      </c>
      <c r="S143" s="47"/>
      <c r="T143" s="46"/>
      <c r="U143" s="28" t="s">
        <v>31</v>
      </c>
    </row>
    <row r="144" spans="1:21" s="27" customFormat="1" x14ac:dyDescent="0.25">
      <c r="A144" s="28" t="s">
        <v>1121</v>
      </c>
      <c r="B144" s="28" t="s">
        <v>1122</v>
      </c>
      <c r="C144" s="28">
        <v>765701</v>
      </c>
      <c r="D144" s="31">
        <v>1</v>
      </c>
      <c r="E144" s="70" t="s">
        <v>234</v>
      </c>
      <c r="F144" s="45">
        <v>603</v>
      </c>
      <c r="G144" s="32">
        <v>1.8420000000000001</v>
      </c>
      <c r="H144" s="32">
        <v>3.681</v>
      </c>
      <c r="I144" s="32">
        <v>3.6669999999999998</v>
      </c>
      <c r="J144" s="33">
        <f>IF(O144&lt;&gt;"",(H144-I144)/O144,"")</f>
        <v>7.0000000000001172E-3</v>
      </c>
      <c r="K144" s="34" t="str">
        <f t="shared" si="25"/>
        <v/>
      </c>
      <c r="L144" s="35">
        <f>F144/(O144*P144)</f>
        <v>7.5374999999999996</v>
      </c>
      <c r="M144" s="36" t="str">
        <f>IF(L144=0,"",IF(OR(L144&lt;7,L144&gt;7.8),"X",""))</f>
        <v/>
      </c>
      <c r="N144" s="37" t="s">
        <v>20</v>
      </c>
      <c r="O144" s="29">
        <v>2</v>
      </c>
      <c r="P144" s="38">
        <v>40</v>
      </c>
      <c r="Q144" s="28"/>
      <c r="R144" s="28" t="s">
        <v>1143</v>
      </c>
      <c r="S144" s="71" t="s">
        <v>58</v>
      </c>
      <c r="T144" s="28"/>
      <c r="U144" s="28" t="s">
        <v>31</v>
      </c>
    </row>
    <row r="145" spans="1:21" s="27" customFormat="1" x14ac:dyDescent="0.25">
      <c r="A145" s="28" t="s">
        <v>21</v>
      </c>
      <c r="B145" s="28" t="s">
        <v>21</v>
      </c>
      <c r="C145" s="28" t="s">
        <v>21</v>
      </c>
      <c r="D145" s="31">
        <v>1</v>
      </c>
      <c r="E145" s="70"/>
      <c r="F145" s="31"/>
      <c r="G145" s="32">
        <v>1.839</v>
      </c>
      <c r="H145" s="32"/>
      <c r="I145" s="32"/>
      <c r="J145" s="33"/>
      <c r="K145" s="34" t="str">
        <f t="shared" si="25"/>
        <v/>
      </c>
      <c r="L145" s="35"/>
      <c r="M145" s="36" t="str">
        <f t="shared" ref="M145:M183" si="29">IF(L145=0,"",IF(OR(L145&lt;7.4,L145&gt;8),"X",""))</f>
        <v/>
      </c>
      <c r="N145" s="37"/>
      <c r="O145" s="29"/>
      <c r="P145" s="38"/>
      <c r="Q145" s="28"/>
      <c r="R145" s="28" t="s">
        <v>1144</v>
      </c>
      <c r="S145" s="71" t="s">
        <v>59</v>
      </c>
      <c r="T145" s="28"/>
      <c r="U145" s="28" t="s">
        <v>31</v>
      </c>
    </row>
    <row r="146" spans="1:21" s="27" customFormat="1" x14ac:dyDescent="0.25">
      <c r="A146" s="28" t="s">
        <v>21</v>
      </c>
      <c r="B146" s="28" t="s">
        <v>1123</v>
      </c>
      <c r="C146" s="28">
        <v>765701</v>
      </c>
      <c r="D146" s="31">
        <v>1</v>
      </c>
      <c r="E146" s="70" t="s">
        <v>237</v>
      </c>
      <c r="F146" s="45">
        <v>602</v>
      </c>
      <c r="G146" s="32">
        <v>1.833</v>
      </c>
      <c r="H146" s="32">
        <v>3.67</v>
      </c>
      <c r="I146" s="32">
        <v>3.653</v>
      </c>
      <c r="J146" s="33">
        <f>IF(O146&lt;&gt;"",(H146-I146)/O146,"")</f>
        <v>8.499999999999952E-3</v>
      </c>
      <c r="K146" s="34" t="str">
        <f t="shared" si="25"/>
        <v/>
      </c>
      <c r="L146" s="35">
        <f>F146/(O146*P146)</f>
        <v>7.5250000000000004</v>
      </c>
      <c r="M146" s="36" t="str">
        <f>IF(L146=0,"",IF(OR(L146&lt;7,L146&gt;7.8),"X",""))</f>
        <v/>
      </c>
      <c r="N146" s="37" t="s">
        <v>20</v>
      </c>
      <c r="O146" s="29">
        <v>2</v>
      </c>
      <c r="P146" s="38">
        <v>40</v>
      </c>
      <c r="Q146" s="28"/>
      <c r="R146" s="28" t="s">
        <v>1145</v>
      </c>
      <c r="S146" s="28" t="s">
        <v>21</v>
      </c>
      <c r="T146" s="28"/>
      <c r="U146" s="28" t="s">
        <v>31</v>
      </c>
    </row>
    <row r="147" spans="1:21" s="27" customFormat="1" x14ac:dyDescent="0.25">
      <c r="A147" s="28" t="s">
        <v>21</v>
      </c>
      <c r="B147" s="28" t="s">
        <v>21</v>
      </c>
      <c r="C147" s="28" t="s">
        <v>21</v>
      </c>
      <c r="D147" s="31">
        <v>1</v>
      </c>
      <c r="E147" s="70"/>
      <c r="F147" s="31"/>
      <c r="G147" s="32">
        <v>1.8380000000000001</v>
      </c>
      <c r="H147" s="32"/>
      <c r="I147" s="32"/>
      <c r="J147" s="33"/>
      <c r="K147" s="34" t="str">
        <f t="shared" si="25"/>
        <v/>
      </c>
      <c r="L147" s="35"/>
      <c r="M147" s="36" t="str">
        <f t="shared" si="29"/>
        <v/>
      </c>
      <c r="N147" s="37"/>
      <c r="O147" s="29"/>
      <c r="P147" s="38"/>
      <c r="Q147" s="28"/>
      <c r="R147" s="28" t="s">
        <v>1147</v>
      </c>
      <c r="S147" s="28" t="s">
        <v>21</v>
      </c>
      <c r="T147" s="28"/>
      <c r="U147" s="28" t="s">
        <v>31</v>
      </c>
    </row>
    <row r="148" spans="1:21" s="27" customFormat="1" x14ac:dyDescent="0.25">
      <c r="A148" s="28" t="s">
        <v>21</v>
      </c>
      <c r="B148" s="28" t="s">
        <v>1124</v>
      </c>
      <c r="C148" s="28" t="s">
        <v>21</v>
      </c>
      <c r="D148" s="31">
        <v>1</v>
      </c>
      <c r="E148" s="70" t="s">
        <v>236</v>
      </c>
      <c r="F148" s="45">
        <v>602</v>
      </c>
      <c r="G148" s="32">
        <v>1.8420000000000001</v>
      </c>
      <c r="H148" s="32">
        <v>3.6930000000000001</v>
      </c>
      <c r="I148" s="32">
        <v>3.6760000000000002</v>
      </c>
      <c r="J148" s="33">
        <f>IF(O148&lt;&gt;"",(H148-I148)/O148,"")</f>
        <v>8.499999999999952E-3</v>
      </c>
      <c r="K148" s="34" t="str">
        <f t="shared" si="25"/>
        <v/>
      </c>
      <c r="L148" s="35">
        <f>F148/(O148*P148)</f>
        <v>7.5250000000000004</v>
      </c>
      <c r="M148" s="36" t="str">
        <f>IF(L148=0,"",IF(OR(L148&lt;7,L148&gt;7.8),"X",""))</f>
        <v/>
      </c>
      <c r="N148" s="37" t="s">
        <v>20</v>
      </c>
      <c r="O148" s="29">
        <v>2</v>
      </c>
      <c r="P148" s="38">
        <v>40</v>
      </c>
      <c r="Q148" s="28"/>
      <c r="R148" s="28" t="s">
        <v>1148</v>
      </c>
      <c r="S148" s="28" t="s">
        <v>21</v>
      </c>
      <c r="T148" s="28"/>
      <c r="U148" s="28" t="s">
        <v>31</v>
      </c>
    </row>
    <row r="149" spans="1:21" s="27" customFormat="1" x14ac:dyDescent="0.25">
      <c r="A149" s="28" t="s">
        <v>21</v>
      </c>
      <c r="B149" s="28" t="s">
        <v>21</v>
      </c>
      <c r="C149" s="28" t="s">
        <v>21</v>
      </c>
      <c r="D149" s="31">
        <v>1</v>
      </c>
      <c r="E149" s="70"/>
      <c r="F149" s="31"/>
      <c r="G149" s="32">
        <v>1.8520000000000001</v>
      </c>
      <c r="H149" s="32"/>
      <c r="I149" s="32"/>
      <c r="J149" s="33"/>
      <c r="K149" s="34" t="str">
        <f t="shared" si="25"/>
        <v/>
      </c>
      <c r="L149" s="35"/>
      <c r="M149" s="36" t="str">
        <f t="shared" si="29"/>
        <v/>
      </c>
      <c r="N149" s="37"/>
      <c r="O149" s="29"/>
      <c r="P149" s="38"/>
      <c r="Q149" s="28"/>
      <c r="R149" s="28" t="s">
        <v>1150</v>
      </c>
      <c r="S149" s="28" t="s">
        <v>21</v>
      </c>
      <c r="T149" s="28"/>
      <c r="U149" s="28" t="s">
        <v>31</v>
      </c>
    </row>
    <row r="150" spans="1:21" s="27" customFormat="1" x14ac:dyDescent="0.25">
      <c r="A150" s="28" t="s">
        <v>21</v>
      </c>
      <c r="B150" s="28" t="s">
        <v>1125</v>
      </c>
      <c r="C150" s="28" t="s">
        <v>21</v>
      </c>
      <c r="D150" s="31">
        <v>1</v>
      </c>
      <c r="E150" s="70" t="s">
        <v>462</v>
      </c>
      <c r="F150" s="45">
        <v>601</v>
      </c>
      <c r="G150" s="32">
        <v>1.839</v>
      </c>
      <c r="H150" s="32">
        <v>3.6760000000000002</v>
      </c>
      <c r="I150" s="32">
        <v>3.6589999999999998</v>
      </c>
      <c r="J150" s="33">
        <f>IF(O150&lt;&gt;"",(H150-I150)/O150,"")</f>
        <v>8.5000000000001741E-3</v>
      </c>
      <c r="K150" s="34" t="str">
        <f t="shared" si="25"/>
        <v/>
      </c>
      <c r="L150" s="35">
        <f>F150/(O150*P150)</f>
        <v>7.5125000000000002</v>
      </c>
      <c r="M150" s="36" t="str">
        <f>IF(L150=0,"",IF(OR(L150&lt;7,L150&gt;7.8),"X",""))</f>
        <v/>
      </c>
      <c r="N150" s="37" t="s">
        <v>20</v>
      </c>
      <c r="O150" s="29">
        <v>2</v>
      </c>
      <c r="P150" s="38">
        <v>40</v>
      </c>
      <c r="Q150" s="28"/>
      <c r="R150" s="28" t="s">
        <v>1146</v>
      </c>
      <c r="S150" s="28" t="s">
        <v>21</v>
      </c>
      <c r="T150" s="28"/>
      <c r="U150" s="28" t="s">
        <v>31</v>
      </c>
    </row>
    <row r="151" spans="1:21" s="27" customFormat="1" x14ac:dyDescent="0.25">
      <c r="A151" s="28" t="s">
        <v>21</v>
      </c>
      <c r="B151" s="28" t="s">
        <v>21</v>
      </c>
      <c r="C151" s="28" t="s">
        <v>21</v>
      </c>
      <c r="D151" s="31">
        <v>1</v>
      </c>
      <c r="E151" s="70"/>
      <c r="F151" s="31"/>
      <c r="G151" s="32">
        <v>1.837</v>
      </c>
      <c r="H151" s="32"/>
      <c r="I151" s="32"/>
      <c r="J151" s="33"/>
      <c r="K151" s="34" t="str">
        <f t="shared" si="25"/>
        <v/>
      </c>
      <c r="L151" s="35"/>
      <c r="M151" s="36" t="str">
        <f t="shared" si="29"/>
        <v/>
      </c>
      <c r="N151" s="37"/>
      <c r="O151" s="29"/>
      <c r="P151" s="38"/>
      <c r="Q151" s="28"/>
      <c r="R151" s="28" t="s">
        <v>1149</v>
      </c>
      <c r="S151" s="28" t="s">
        <v>21</v>
      </c>
      <c r="T151" s="28"/>
      <c r="U151" s="28" t="s">
        <v>31</v>
      </c>
    </row>
    <row r="152" spans="1:21" s="27" customFormat="1" x14ac:dyDescent="0.25">
      <c r="A152" s="28" t="s">
        <v>21</v>
      </c>
      <c r="B152" s="28" t="s">
        <v>1126</v>
      </c>
      <c r="C152" s="28" t="s">
        <v>21</v>
      </c>
      <c r="D152" s="31">
        <v>1</v>
      </c>
      <c r="E152" s="70" t="s">
        <v>234</v>
      </c>
      <c r="F152" s="45">
        <v>602</v>
      </c>
      <c r="G152" s="32">
        <v>1.829</v>
      </c>
      <c r="H152" s="32">
        <v>3.6640000000000001</v>
      </c>
      <c r="I152" s="32">
        <v>3.6480000000000001</v>
      </c>
      <c r="J152" s="33">
        <f>IF(O152&lt;&gt;"",(H152-I152)/O152,"")</f>
        <v>8.0000000000000071E-3</v>
      </c>
      <c r="K152" s="34" t="str">
        <f t="shared" si="25"/>
        <v/>
      </c>
      <c r="L152" s="35">
        <f>F152/(O152*P152)</f>
        <v>7.5250000000000004</v>
      </c>
      <c r="M152" s="36" t="str">
        <f>IF(L152=0,"",IF(OR(L152&lt;7,L152&gt;7.8),"X",""))</f>
        <v/>
      </c>
      <c r="N152" s="37" t="s">
        <v>20</v>
      </c>
      <c r="O152" s="29">
        <v>2</v>
      </c>
      <c r="P152" s="38">
        <v>40</v>
      </c>
      <c r="Q152" s="28"/>
      <c r="R152" s="28" t="s">
        <v>1151</v>
      </c>
      <c r="S152" s="28" t="s">
        <v>21</v>
      </c>
      <c r="T152" s="28"/>
      <c r="U152" s="28" t="s">
        <v>31</v>
      </c>
    </row>
    <row r="153" spans="1:21" s="27" customFormat="1" x14ac:dyDescent="0.25">
      <c r="A153" s="28" t="s">
        <v>21</v>
      </c>
      <c r="B153" s="28" t="s">
        <v>21</v>
      </c>
      <c r="C153" s="28" t="s">
        <v>21</v>
      </c>
      <c r="D153" s="31">
        <v>1</v>
      </c>
      <c r="E153" s="70"/>
      <c r="F153" s="31"/>
      <c r="G153" s="32">
        <v>1.8320000000000001</v>
      </c>
      <c r="H153" s="32"/>
      <c r="I153" s="32"/>
      <c r="J153" s="33"/>
      <c r="K153" s="34" t="str">
        <f t="shared" si="25"/>
        <v/>
      </c>
      <c r="L153" s="35"/>
      <c r="M153" s="36" t="str">
        <f t="shared" si="29"/>
        <v/>
      </c>
      <c r="N153" s="37"/>
      <c r="O153" s="29"/>
      <c r="P153" s="38"/>
      <c r="Q153" s="28"/>
      <c r="R153" s="28" t="s">
        <v>1152</v>
      </c>
      <c r="S153" s="28" t="s">
        <v>21</v>
      </c>
      <c r="T153" s="28"/>
      <c r="U153" s="28" t="s">
        <v>31</v>
      </c>
    </row>
    <row r="154" spans="1:21" s="27" customFormat="1" x14ac:dyDescent="0.25">
      <c r="A154" s="28" t="s">
        <v>21</v>
      </c>
      <c r="B154" s="28" t="s">
        <v>1127</v>
      </c>
      <c r="C154" s="28" t="s">
        <v>21</v>
      </c>
      <c r="D154" s="31">
        <v>1</v>
      </c>
      <c r="E154" s="70" t="s">
        <v>1184</v>
      </c>
      <c r="F154" s="45">
        <v>602</v>
      </c>
      <c r="G154" s="32">
        <v>1.8460000000000001</v>
      </c>
      <c r="H154" s="32">
        <v>3.6859999999999999</v>
      </c>
      <c r="I154" s="32">
        <v>3.6720000000000002</v>
      </c>
      <c r="J154" s="33">
        <f>IF(O154&lt;&gt;"",(H154-I154)/O154,"")</f>
        <v>6.9999999999998952E-3</v>
      </c>
      <c r="K154" s="34" t="str">
        <f t="shared" si="25"/>
        <v/>
      </c>
      <c r="L154" s="35">
        <f>F154/(O154*P154)</f>
        <v>7.5250000000000004</v>
      </c>
      <c r="M154" s="36" t="str">
        <f>IF(L154=0,"",IF(OR(L154&lt;7,L154&gt;7.8),"X",""))</f>
        <v/>
      </c>
      <c r="N154" s="37" t="s">
        <v>20</v>
      </c>
      <c r="O154" s="29">
        <v>2</v>
      </c>
      <c r="P154" s="38">
        <v>40</v>
      </c>
      <c r="Q154" s="28"/>
      <c r="R154" s="28" t="s">
        <v>1153</v>
      </c>
      <c r="S154" s="71" t="s">
        <v>58</v>
      </c>
      <c r="T154" s="28"/>
      <c r="U154" s="28" t="s">
        <v>31</v>
      </c>
    </row>
    <row r="155" spans="1:21" s="27" customFormat="1" x14ac:dyDescent="0.25">
      <c r="A155" s="28" t="s">
        <v>21</v>
      </c>
      <c r="B155" s="28" t="s">
        <v>21</v>
      </c>
      <c r="C155" s="28" t="s">
        <v>21</v>
      </c>
      <c r="D155" s="31">
        <v>1</v>
      </c>
      <c r="E155" s="70"/>
      <c r="F155" s="31"/>
      <c r="G155" s="32">
        <v>1.841</v>
      </c>
      <c r="H155" s="32"/>
      <c r="I155" s="32"/>
      <c r="J155" s="33"/>
      <c r="K155" s="34" t="str">
        <f t="shared" si="25"/>
        <v/>
      </c>
      <c r="L155" s="35"/>
      <c r="M155" s="36" t="str">
        <f t="shared" si="29"/>
        <v/>
      </c>
      <c r="N155" s="37"/>
      <c r="O155" s="29"/>
      <c r="P155" s="38"/>
      <c r="Q155" s="28"/>
      <c r="R155" s="28" t="s">
        <v>1155</v>
      </c>
      <c r="S155" s="71" t="s">
        <v>59</v>
      </c>
      <c r="T155" s="28"/>
      <c r="U155" s="28" t="s">
        <v>31</v>
      </c>
    </row>
    <row r="156" spans="1:21" s="27" customFormat="1" x14ac:dyDescent="0.25">
      <c r="A156" s="28" t="s">
        <v>21</v>
      </c>
      <c r="B156" s="28" t="s">
        <v>1128</v>
      </c>
      <c r="C156" s="28" t="s">
        <v>21</v>
      </c>
      <c r="D156" s="31">
        <v>1</v>
      </c>
      <c r="E156" s="70" t="s">
        <v>407</v>
      </c>
      <c r="F156" s="45">
        <v>601</v>
      </c>
      <c r="G156" s="32">
        <v>1.8360000000000001</v>
      </c>
      <c r="H156" s="32">
        <v>3.6680000000000001</v>
      </c>
      <c r="I156" s="32">
        <v>3.653</v>
      </c>
      <c r="J156" s="33">
        <f>IF(O156&lt;&gt;"",(H156-I156)/O156,"")</f>
        <v>7.5000000000000622E-3</v>
      </c>
      <c r="K156" s="34" t="str">
        <f t="shared" si="25"/>
        <v/>
      </c>
      <c r="L156" s="35">
        <f>F156/(O156*P156)</f>
        <v>7.5125000000000002</v>
      </c>
      <c r="M156" s="36" t="str">
        <f>IF(L156=0,"",IF(OR(L156&lt;7,L156&gt;7.8),"X",""))</f>
        <v/>
      </c>
      <c r="N156" s="37" t="s">
        <v>20</v>
      </c>
      <c r="O156" s="29">
        <v>2</v>
      </c>
      <c r="P156" s="38">
        <v>40</v>
      </c>
      <c r="Q156" s="28"/>
      <c r="R156" s="28" t="s">
        <v>1157</v>
      </c>
      <c r="S156" s="28" t="s">
        <v>21</v>
      </c>
      <c r="T156" s="28"/>
      <c r="U156" s="28" t="s">
        <v>31</v>
      </c>
    </row>
    <row r="157" spans="1:21" s="27" customFormat="1" x14ac:dyDescent="0.25">
      <c r="A157" s="28" t="s">
        <v>21</v>
      </c>
      <c r="B157" s="28" t="s">
        <v>21</v>
      </c>
      <c r="C157" s="28" t="s">
        <v>21</v>
      </c>
      <c r="D157" s="31">
        <v>1</v>
      </c>
      <c r="E157" s="70"/>
      <c r="F157" s="31"/>
      <c r="G157" s="32">
        <v>1.8320000000000001</v>
      </c>
      <c r="H157" s="32"/>
      <c r="I157" s="32"/>
      <c r="J157" s="33"/>
      <c r="K157" s="34" t="str">
        <f t="shared" si="25"/>
        <v/>
      </c>
      <c r="L157" s="35"/>
      <c r="M157" s="36" t="str">
        <f t="shared" si="29"/>
        <v/>
      </c>
      <c r="N157" s="37"/>
      <c r="O157" s="29"/>
      <c r="P157" s="38"/>
      <c r="Q157" s="28"/>
      <c r="R157" s="28" t="s">
        <v>1156</v>
      </c>
      <c r="S157" s="28" t="s">
        <v>21</v>
      </c>
      <c r="T157" s="28"/>
      <c r="U157" s="28" t="s">
        <v>31</v>
      </c>
    </row>
    <row r="158" spans="1:21" s="27" customFormat="1" x14ac:dyDescent="0.25">
      <c r="A158" s="28" t="s">
        <v>21</v>
      </c>
      <c r="B158" s="28" t="s">
        <v>1129</v>
      </c>
      <c r="C158" s="28" t="s">
        <v>21</v>
      </c>
      <c r="D158" s="31">
        <v>1</v>
      </c>
      <c r="E158" s="70" t="s">
        <v>61</v>
      </c>
      <c r="F158" s="45">
        <v>602</v>
      </c>
      <c r="G158" s="32">
        <v>1.845</v>
      </c>
      <c r="H158" s="32">
        <v>3.681</v>
      </c>
      <c r="I158" s="32">
        <v>3.6659999999999999</v>
      </c>
      <c r="J158" s="33">
        <f>IF(O158&lt;&gt;"",(H158-I158)/O158,"")</f>
        <v>7.5000000000000622E-3</v>
      </c>
      <c r="K158" s="34" t="str">
        <f t="shared" si="25"/>
        <v/>
      </c>
      <c r="L158" s="35">
        <f>F158/(O158*P158)</f>
        <v>7.5250000000000004</v>
      </c>
      <c r="M158" s="36" t="str">
        <f>IF(L158=0,"",IF(OR(L158&lt;7,L158&gt;7.8),"X",""))</f>
        <v/>
      </c>
      <c r="N158" s="37" t="s">
        <v>20</v>
      </c>
      <c r="O158" s="29">
        <v>2</v>
      </c>
      <c r="P158" s="38">
        <v>40</v>
      </c>
      <c r="Q158" s="28"/>
      <c r="R158" s="28" t="s">
        <v>1158</v>
      </c>
      <c r="S158" s="28" t="s">
        <v>21</v>
      </c>
      <c r="T158" s="28"/>
      <c r="U158" s="28" t="s">
        <v>31</v>
      </c>
    </row>
    <row r="159" spans="1:21" s="27" customFormat="1" x14ac:dyDescent="0.25">
      <c r="A159" s="28" t="s">
        <v>21</v>
      </c>
      <c r="B159" s="28" t="s">
        <v>21</v>
      </c>
      <c r="C159" s="28" t="s">
        <v>21</v>
      </c>
      <c r="D159" s="31">
        <v>1</v>
      </c>
      <c r="E159" s="70"/>
      <c r="F159" s="31"/>
      <c r="G159" s="32">
        <v>1.8360000000000001</v>
      </c>
      <c r="H159" s="32"/>
      <c r="I159" s="32"/>
      <c r="J159" s="33"/>
      <c r="K159" s="34" t="str">
        <f t="shared" si="25"/>
        <v/>
      </c>
      <c r="L159" s="35"/>
      <c r="M159" s="36" t="str">
        <f t="shared" si="29"/>
        <v/>
      </c>
      <c r="N159" s="37"/>
      <c r="O159" s="29"/>
      <c r="P159" s="38"/>
      <c r="Q159" s="28"/>
      <c r="R159" s="28" t="s">
        <v>1159</v>
      </c>
      <c r="S159" s="28" t="s">
        <v>21</v>
      </c>
      <c r="T159" s="28"/>
      <c r="U159" s="28" t="s">
        <v>31</v>
      </c>
    </row>
    <row r="160" spans="1:21" s="27" customFormat="1" x14ac:dyDescent="0.25">
      <c r="A160" s="28" t="s">
        <v>21</v>
      </c>
      <c r="B160" s="28" t="s">
        <v>1130</v>
      </c>
      <c r="C160" s="28" t="s">
        <v>21</v>
      </c>
      <c r="D160" s="31">
        <v>1</v>
      </c>
      <c r="E160" s="70" t="s">
        <v>1184</v>
      </c>
      <c r="F160" s="45">
        <v>602</v>
      </c>
      <c r="G160" s="32">
        <v>1.827</v>
      </c>
      <c r="H160" s="32">
        <v>3.6539999999999999</v>
      </c>
      <c r="I160" s="32">
        <v>3.6389999999999998</v>
      </c>
      <c r="J160" s="33">
        <f>IF(O160&lt;&gt;"",(H160-I160)/O160,"")</f>
        <v>7.5000000000000622E-3</v>
      </c>
      <c r="K160" s="34" t="str">
        <f t="shared" si="25"/>
        <v/>
      </c>
      <c r="L160" s="35">
        <f>F160/(O160*P160)</f>
        <v>7.5250000000000004</v>
      </c>
      <c r="M160" s="36" t="str">
        <f>IF(L160=0,"",IF(OR(L160&lt;7,L160&gt;7.8),"X",""))</f>
        <v/>
      </c>
      <c r="N160" s="37" t="s">
        <v>20</v>
      </c>
      <c r="O160" s="29">
        <v>2</v>
      </c>
      <c r="P160" s="38">
        <v>40</v>
      </c>
      <c r="Q160" s="28"/>
      <c r="R160" s="28" t="s">
        <v>1154</v>
      </c>
      <c r="S160" s="28" t="s">
        <v>21</v>
      </c>
      <c r="T160" s="28"/>
      <c r="U160" s="28" t="s">
        <v>31</v>
      </c>
    </row>
    <row r="161" spans="1:21" s="27" customFormat="1" x14ac:dyDescent="0.25">
      <c r="A161" s="28" t="s">
        <v>21</v>
      </c>
      <c r="B161" s="28" t="s">
        <v>21</v>
      </c>
      <c r="C161" s="28">
        <v>765701</v>
      </c>
      <c r="D161" s="31">
        <v>1</v>
      </c>
      <c r="E161" s="70"/>
      <c r="F161" s="31"/>
      <c r="G161" s="32">
        <v>1.8280000000000001</v>
      </c>
      <c r="H161" s="32"/>
      <c r="I161" s="32"/>
      <c r="J161" s="33"/>
      <c r="K161" s="34" t="str">
        <f t="shared" si="25"/>
        <v/>
      </c>
      <c r="L161" s="35"/>
      <c r="M161" s="36" t="str">
        <f t="shared" si="29"/>
        <v/>
      </c>
      <c r="N161" s="37"/>
      <c r="O161" s="29"/>
      <c r="P161" s="38"/>
      <c r="Q161" s="28"/>
      <c r="R161" s="28" t="s">
        <v>1160</v>
      </c>
      <c r="S161" s="28" t="s">
        <v>21</v>
      </c>
      <c r="T161" s="28"/>
      <c r="U161" s="28" t="s">
        <v>31</v>
      </c>
    </row>
    <row r="162" spans="1:21" s="27" customFormat="1" x14ac:dyDescent="0.25">
      <c r="A162" s="28" t="s">
        <v>21</v>
      </c>
      <c r="B162" s="28" t="s">
        <v>1131</v>
      </c>
      <c r="C162" s="28" t="s">
        <v>21</v>
      </c>
      <c r="D162" s="31">
        <v>1</v>
      </c>
      <c r="E162" s="70" t="s">
        <v>1183</v>
      </c>
      <c r="F162" s="45">
        <v>602</v>
      </c>
      <c r="G162" s="32">
        <v>1.8140000000000001</v>
      </c>
      <c r="H162" s="32">
        <v>3.6320000000000001</v>
      </c>
      <c r="I162" s="32">
        <v>3.6160000000000001</v>
      </c>
      <c r="J162" s="33">
        <f>IF(O162&lt;&gt;"",(H162-I162)/O162,"")</f>
        <v>8.0000000000000071E-3</v>
      </c>
      <c r="K162" s="34" t="str">
        <f t="shared" si="25"/>
        <v/>
      </c>
      <c r="L162" s="35">
        <f>F162/(O162*P162)</f>
        <v>7.5250000000000004</v>
      </c>
      <c r="M162" s="36" t="str">
        <f>IF(L162=0,"",IF(OR(L162&lt;7,L162&gt;7.8),"X",""))</f>
        <v/>
      </c>
      <c r="N162" s="37" t="s">
        <v>20</v>
      </c>
      <c r="O162" s="29">
        <v>2</v>
      </c>
      <c r="P162" s="38">
        <v>40</v>
      </c>
      <c r="Q162" s="28"/>
      <c r="R162" s="28" t="s">
        <v>1162</v>
      </c>
      <c r="S162" s="28" t="s">
        <v>21</v>
      </c>
      <c r="T162" s="28"/>
      <c r="U162" s="28" t="s">
        <v>31</v>
      </c>
    </row>
    <row r="163" spans="1:21" s="27" customFormat="1" x14ac:dyDescent="0.25">
      <c r="A163" s="28" t="s">
        <v>21</v>
      </c>
      <c r="B163" s="28" t="s">
        <v>21</v>
      </c>
      <c r="C163" s="28" t="s">
        <v>21</v>
      </c>
      <c r="D163" s="31">
        <v>1</v>
      </c>
      <c r="E163" s="70"/>
      <c r="F163" s="31"/>
      <c r="G163" s="32">
        <v>1.8180000000000001</v>
      </c>
      <c r="H163" s="32"/>
      <c r="I163" s="32"/>
      <c r="J163" s="33"/>
      <c r="K163" s="34" t="str">
        <f t="shared" si="25"/>
        <v/>
      </c>
      <c r="L163" s="35"/>
      <c r="M163" s="36" t="str">
        <f t="shared" si="29"/>
        <v/>
      </c>
      <c r="N163" s="37"/>
      <c r="O163" s="29"/>
      <c r="P163" s="38"/>
      <c r="Q163" s="28"/>
      <c r="R163" s="28" t="s">
        <v>1163</v>
      </c>
      <c r="S163" s="28" t="s">
        <v>21</v>
      </c>
      <c r="T163" s="28"/>
      <c r="U163" s="28" t="s">
        <v>31</v>
      </c>
    </row>
    <row r="164" spans="1:21" s="27" customFormat="1" x14ac:dyDescent="0.25">
      <c r="A164" s="28" t="s">
        <v>21</v>
      </c>
      <c r="B164" s="28" t="s">
        <v>1132</v>
      </c>
      <c r="C164" s="28" t="s">
        <v>21</v>
      </c>
      <c r="D164" s="31">
        <v>1</v>
      </c>
      <c r="E164" s="70" t="s">
        <v>61</v>
      </c>
      <c r="F164" s="45">
        <v>605</v>
      </c>
      <c r="G164" s="32">
        <v>1.8480000000000001</v>
      </c>
      <c r="H164" s="32">
        <v>3.694</v>
      </c>
      <c r="I164" s="32">
        <v>3.6789999999999998</v>
      </c>
      <c r="J164" s="33">
        <f>IF(O164&lt;&gt;"",(H164-I164)/O164,"")</f>
        <v>7.5000000000000622E-3</v>
      </c>
      <c r="K164" s="34" t="str">
        <f t="shared" si="25"/>
        <v/>
      </c>
      <c r="L164" s="35">
        <f>F164/(O164*P164)</f>
        <v>7.5625</v>
      </c>
      <c r="M164" s="36" t="str">
        <f>IF(L164=0,"",IF(OR(L164&lt;7,L164&gt;7.8),"X",""))</f>
        <v/>
      </c>
      <c r="N164" s="37" t="s">
        <v>20</v>
      </c>
      <c r="O164" s="29">
        <v>2</v>
      </c>
      <c r="P164" s="38">
        <v>40</v>
      </c>
      <c r="Q164" s="28"/>
      <c r="R164" s="28" t="s">
        <v>1161</v>
      </c>
      <c r="S164" s="71" t="s">
        <v>58</v>
      </c>
      <c r="T164" s="28"/>
      <c r="U164" s="28" t="s">
        <v>31</v>
      </c>
    </row>
    <row r="165" spans="1:21" s="27" customFormat="1" x14ac:dyDescent="0.25">
      <c r="A165" s="28" t="s">
        <v>21</v>
      </c>
      <c r="B165" s="28" t="s">
        <v>21</v>
      </c>
      <c r="C165" s="28" t="s">
        <v>21</v>
      </c>
      <c r="D165" s="31">
        <v>1</v>
      </c>
      <c r="E165" s="70"/>
      <c r="F165" s="31"/>
      <c r="G165" s="32">
        <v>1.8460000000000001</v>
      </c>
      <c r="H165" s="32"/>
      <c r="I165" s="32"/>
      <c r="J165" s="33"/>
      <c r="K165" s="34" t="str">
        <f t="shared" si="25"/>
        <v/>
      </c>
      <c r="L165" s="35"/>
      <c r="M165" s="36" t="str">
        <f t="shared" si="29"/>
        <v/>
      </c>
      <c r="N165" s="37"/>
      <c r="O165" s="29"/>
      <c r="P165" s="38"/>
      <c r="Q165" s="28"/>
      <c r="R165" s="28" t="s">
        <v>1164</v>
      </c>
      <c r="S165" s="71" t="s">
        <v>59</v>
      </c>
      <c r="T165" s="28"/>
      <c r="U165" s="28" t="s">
        <v>31</v>
      </c>
    </row>
    <row r="166" spans="1:21" s="27" customFormat="1" x14ac:dyDescent="0.25">
      <c r="A166" s="28" t="s">
        <v>21</v>
      </c>
      <c r="B166" s="28" t="s">
        <v>1133</v>
      </c>
      <c r="C166" s="28" t="s">
        <v>21</v>
      </c>
      <c r="D166" s="31">
        <v>1</v>
      </c>
      <c r="E166" s="70" t="s">
        <v>1183</v>
      </c>
      <c r="F166" s="45">
        <v>602</v>
      </c>
      <c r="G166" s="32">
        <v>1.8560000000000001</v>
      </c>
      <c r="H166" s="32">
        <v>3.7040000000000002</v>
      </c>
      <c r="I166" s="32">
        <v>3.6890000000000001</v>
      </c>
      <c r="J166" s="33">
        <f>IF(O166&lt;&gt;"",(H166-I166)/O166,"")</f>
        <v>7.5000000000000622E-3</v>
      </c>
      <c r="K166" s="34" t="str">
        <f t="shared" si="25"/>
        <v/>
      </c>
      <c r="L166" s="35">
        <f>F166/(O166*P166)</f>
        <v>7.5250000000000004</v>
      </c>
      <c r="M166" s="36" t="str">
        <f>IF(L166=0,"",IF(OR(L166&lt;7,L166&gt;7.8),"X",""))</f>
        <v/>
      </c>
      <c r="N166" s="37" t="s">
        <v>20</v>
      </c>
      <c r="O166" s="29">
        <v>2</v>
      </c>
      <c r="P166" s="38">
        <v>40</v>
      </c>
      <c r="Q166" s="28"/>
      <c r="R166" s="28" t="s">
        <v>1165</v>
      </c>
      <c r="S166" s="28" t="s">
        <v>21</v>
      </c>
      <c r="T166" s="28"/>
      <c r="U166" s="28" t="s">
        <v>31</v>
      </c>
    </row>
    <row r="167" spans="1:21" s="27" customFormat="1" x14ac:dyDescent="0.25">
      <c r="A167" s="28" t="s">
        <v>21</v>
      </c>
      <c r="B167" s="28" t="s">
        <v>21</v>
      </c>
      <c r="C167" s="28" t="s">
        <v>21</v>
      </c>
      <c r="D167" s="31">
        <v>1</v>
      </c>
      <c r="E167" s="70"/>
      <c r="F167" s="31"/>
      <c r="G167" s="32">
        <v>1.85</v>
      </c>
      <c r="H167" s="32"/>
      <c r="I167" s="32"/>
      <c r="J167" s="33"/>
      <c r="K167" s="34" t="str">
        <f t="shared" si="25"/>
        <v/>
      </c>
      <c r="L167" s="35"/>
      <c r="M167" s="36" t="str">
        <f t="shared" si="29"/>
        <v/>
      </c>
      <c r="N167" s="37"/>
      <c r="O167" s="29"/>
      <c r="P167" s="38"/>
      <c r="Q167" s="28"/>
      <c r="R167" s="28" t="s">
        <v>1166</v>
      </c>
      <c r="S167" s="28" t="s">
        <v>21</v>
      </c>
      <c r="T167" s="28"/>
      <c r="U167" s="28" t="s">
        <v>31</v>
      </c>
    </row>
    <row r="168" spans="1:21" s="27" customFormat="1" x14ac:dyDescent="0.25">
      <c r="A168" s="28" t="s">
        <v>21</v>
      </c>
      <c r="B168" s="28" t="s">
        <v>1134</v>
      </c>
      <c r="C168" s="28" t="s">
        <v>21</v>
      </c>
      <c r="D168" s="31">
        <v>1</v>
      </c>
      <c r="E168" s="70" t="s">
        <v>1187</v>
      </c>
      <c r="F168" s="45">
        <v>602</v>
      </c>
      <c r="G168" s="32">
        <v>1.851</v>
      </c>
      <c r="H168" s="32">
        <v>3.6970000000000001</v>
      </c>
      <c r="I168" s="32">
        <v>3.681</v>
      </c>
      <c r="J168" s="33">
        <f>IF(O168&lt;&gt;"",(H168-I168)/O168,"")</f>
        <v>8.0000000000000071E-3</v>
      </c>
      <c r="K168" s="34" t="str">
        <f t="shared" si="25"/>
        <v/>
      </c>
      <c r="L168" s="35">
        <f>F168/(O168*P168)</f>
        <v>7.5250000000000004</v>
      </c>
      <c r="M168" s="36" t="str">
        <f>IF(L168=0,"",IF(OR(L168&lt;7,L168&gt;7.8),"X",""))</f>
        <v/>
      </c>
      <c r="N168" s="37" t="s">
        <v>20</v>
      </c>
      <c r="O168" s="29">
        <v>2</v>
      </c>
      <c r="P168" s="38">
        <v>40</v>
      </c>
      <c r="Q168" s="28"/>
      <c r="R168" s="28" t="s">
        <v>1167</v>
      </c>
      <c r="S168" s="28" t="s">
        <v>21</v>
      </c>
      <c r="T168" s="28"/>
      <c r="U168" s="28" t="s">
        <v>31</v>
      </c>
    </row>
    <row r="169" spans="1:21" s="27" customFormat="1" x14ac:dyDescent="0.25">
      <c r="A169" s="28" t="s">
        <v>21</v>
      </c>
      <c r="B169" s="28" t="s">
        <v>21</v>
      </c>
      <c r="C169" s="28" t="s">
        <v>21</v>
      </c>
      <c r="D169" s="31">
        <v>1</v>
      </c>
      <c r="E169" s="70"/>
      <c r="F169" s="31"/>
      <c r="G169" s="32">
        <v>1.847</v>
      </c>
      <c r="H169" s="32"/>
      <c r="I169" s="32"/>
      <c r="J169" s="33"/>
      <c r="K169" s="34" t="str">
        <f t="shared" si="25"/>
        <v/>
      </c>
      <c r="L169" s="35"/>
      <c r="M169" s="36" t="str">
        <f t="shared" si="29"/>
        <v/>
      </c>
      <c r="N169" s="37"/>
      <c r="O169" s="29"/>
      <c r="P169" s="38"/>
      <c r="Q169" s="28"/>
      <c r="R169" s="28" t="s">
        <v>1168</v>
      </c>
      <c r="S169" s="28" t="s">
        <v>21</v>
      </c>
      <c r="T169" s="28"/>
      <c r="U169" s="28" t="s">
        <v>31</v>
      </c>
    </row>
    <row r="170" spans="1:21" s="27" customFormat="1" x14ac:dyDescent="0.25">
      <c r="A170" s="28" t="s">
        <v>21</v>
      </c>
      <c r="B170" s="28" t="s">
        <v>1135</v>
      </c>
      <c r="C170" s="28" t="s">
        <v>21</v>
      </c>
      <c r="D170" s="31">
        <v>1</v>
      </c>
      <c r="E170" s="70" t="s">
        <v>1186</v>
      </c>
      <c r="F170" s="45">
        <v>603</v>
      </c>
      <c r="G170" s="32">
        <v>1.8520000000000001</v>
      </c>
      <c r="H170" s="32">
        <v>3.69</v>
      </c>
      <c r="I170" s="32">
        <v>3.6829999999999998</v>
      </c>
      <c r="J170" s="33">
        <f>IF(O170&lt;&gt;"",(H170-I170)/O170,"")</f>
        <v>3.5000000000000586E-3</v>
      </c>
      <c r="K170" s="34" t="str">
        <f t="shared" si="25"/>
        <v/>
      </c>
      <c r="L170" s="35">
        <f>F170/(O170*P170)</f>
        <v>7.5374999999999996</v>
      </c>
      <c r="M170" s="36" t="str">
        <f>IF(L170=0,"",IF(OR(L170&lt;7,L170&gt;7.8),"X",""))</f>
        <v/>
      </c>
      <c r="N170" s="37" t="s">
        <v>20</v>
      </c>
      <c r="O170" s="29">
        <v>2</v>
      </c>
      <c r="P170" s="38">
        <v>40</v>
      </c>
      <c r="Q170" s="28"/>
      <c r="R170" s="28" t="s">
        <v>1169</v>
      </c>
      <c r="S170" s="28" t="s">
        <v>21</v>
      </c>
      <c r="T170" s="28"/>
      <c r="U170" s="28" t="s">
        <v>31</v>
      </c>
    </row>
    <row r="171" spans="1:21" s="27" customFormat="1" x14ac:dyDescent="0.25">
      <c r="A171" s="28" t="s">
        <v>21</v>
      </c>
      <c r="B171" s="28" t="s">
        <v>21</v>
      </c>
      <c r="C171" s="28">
        <v>765701</v>
      </c>
      <c r="D171" s="31">
        <v>1</v>
      </c>
      <c r="E171" s="70"/>
      <c r="F171" s="31"/>
      <c r="G171" s="32">
        <v>1.843</v>
      </c>
      <c r="H171" s="32"/>
      <c r="I171" s="32"/>
      <c r="J171" s="33"/>
      <c r="K171" s="34" t="str">
        <f t="shared" si="25"/>
        <v/>
      </c>
      <c r="L171" s="35"/>
      <c r="M171" s="36" t="str">
        <f t="shared" si="29"/>
        <v/>
      </c>
      <c r="N171" s="37"/>
      <c r="O171" s="29"/>
      <c r="P171" s="38"/>
      <c r="Q171" s="28"/>
      <c r="R171" s="28" t="s">
        <v>1170</v>
      </c>
      <c r="S171" s="28" t="s">
        <v>21</v>
      </c>
      <c r="T171" s="28"/>
      <c r="U171" s="28" t="s">
        <v>31</v>
      </c>
    </row>
    <row r="172" spans="1:21" s="27" customFormat="1" x14ac:dyDescent="0.25">
      <c r="A172" s="28" t="s">
        <v>21</v>
      </c>
      <c r="B172" s="28" t="s">
        <v>1136</v>
      </c>
      <c r="C172" s="28" t="s">
        <v>21</v>
      </c>
      <c r="D172" s="31">
        <v>1</v>
      </c>
      <c r="E172" s="70" t="s">
        <v>1185</v>
      </c>
      <c r="F172" s="45">
        <v>603</v>
      </c>
      <c r="G172" s="32">
        <v>1.845</v>
      </c>
      <c r="H172" s="32">
        <v>3.6920000000000002</v>
      </c>
      <c r="I172" s="32">
        <v>3.6760000000000002</v>
      </c>
      <c r="J172" s="33">
        <f>IF(O172&lt;&gt;"",(H172-I172)/O172,"")</f>
        <v>8.0000000000000071E-3</v>
      </c>
      <c r="K172" s="34" t="str">
        <f t="shared" si="25"/>
        <v/>
      </c>
      <c r="L172" s="35">
        <f>F172/(O172*P172)</f>
        <v>7.5374999999999996</v>
      </c>
      <c r="M172" s="36" t="str">
        <f>IF(L172=0,"",IF(OR(L172&lt;7,L172&gt;7.8),"X",""))</f>
        <v/>
      </c>
      <c r="N172" s="37" t="s">
        <v>20</v>
      </c>
      <c r="O172" s="29">
        <v>2</v>
      </c>
      <c r="P172" s="38">
        <v>40</v>
      </c>
      <c r="Q172" s="28"/>
      <c r="R172" s="28" t="s">
        <v>1171</v>
      </c>
      <c r="S172" s="28" t="s">
        <v>21</v>
      </c>
      <c r="T172" s="28"/>
      <c r="U172" s="28" t="s">
        <v>31</v>
      </c>
    </row>
    <row r="173" spans="1:21" s="27" customFormat="1" x14ac:dyDescent="0.25">
      <c r="A173" s="28" t="s">
        <v>21</v>
      </c>
      <c r="B173" s="28" t="s">
        <v>21</v>
      </c>
      <c r="C173" s="28" t="s">
        <v>21</v>
      </c>
      <c r="D173" s="31">
        <v>1</v>
      </c>
      <c r="E173" s="70"/>
      <c r="F173" s="31"/>
      <c r="G173" s="32">
        <v>1.847</v>
      </c>
      <c r="H173" s="32"/>
      <c r="I173" s="32"/>
      <c r="J173" s="33"/>
      <c r="K173" s="34" t="str">
        <f t="shared" si="25"/>
        <v/>
      </c>
      <c r="L173" s="35"/>
      <c r="M173" s="36" t="str">
        <f t="shared" si="29"/>
        <v/>
      </c>
      <c r="N173" s="37"/>
      <c r="O173" s="29"/>
      <c r="P173" s="38"/>
      <c r="Q173" s="28"/>
      <c r="R173" s="28" t="s">
        <v>1173</v>
      </c>
      <c r="S173" s="28" t="s">
        <v>21</v>
      </c>
      <c r="T173" s="28"/>
      <c r="U173" s="28" t="s">
        <v>31</v>
      </c>
    </row>
    <row r="174" spans="1:21" s="27" customFormat="1" x14ac:dyDescent="0.25">
      <c r="A174" s="28" t="s">
        <v>21</v>
      </c>
      <c r="B174" s="28" t="s">
        <v>1137</v>
      </c>
      <c r="C174" s="28" t="s">
        <v>21</v>
      </c>
      <c r="D174" s="31">
        <v>1</v>
      </c>
      <c r="E174" s="30" t="s">
        <v>133</v>
      </c>
      <c r="F174" s="45">
        <v>603</v>
      </c>
      <c r="G174" s="32">
        <v>1.845</v>
      </c>
      <c r="H174" s="32">
        <v>3.681</v>
      </c>
      <c r="I174" s="32">
        <v>3.6640000000000001</v>
      </c>
      <c r="J174" s="33">
        <f>IF(O174&lt;&gt;"",(H174-I174)/O174,"")</f>
        <v>8.499999999999952E-3</v>
      </c>
      <c r="K174" s="34" t="str">
        <f t="shared" si="25"/>
        <v/>
      </c>
      <c r="L174" s="35">
        <f>F174/(O174*P174)</f>
        <v>7.5374999999999996</v>
      </c>
      <c r="M174" s="36" t="str">
        <f>IF(L174=0,"",IF(OR(L174&lt;7,L174&gt;7.8),"X",""))</f>
        <v/>
      </c>
      <c r="N174" s="37" t="s">
        <v>20</v>
      </c>
      <c r="O174" s="29">
        <v>2</v>
      </c>
      <c r="P174" s="38">
        <v>40</v>
      </c>
      <c r="Q174" s="28"/>
      <c r="R174" s="28" t="s">
        <v>1172</v>
      </c>
      <c r="S174" s="47"/>
      <c r="T174" s="28"/>
      <c r="U174" s="28" t="s">
        <v>31</v>
      </c>
    </row>
    <row r="175" spans="1:21" s="27" customFormat="1" x14ac:dyDescent="0.25">
      <c r="A175" s="28" t="s">
        <v>21</v>
      </c>
      <c r="B175" s="28" t="s">
        <v>21</v>
      </c>
      <c r="C175" s="28" t="s">
        <v>21</v>
      </c>
      <c r="D175" s="31">
        <v>1</v>
      </c>
      <c r="E175" s="30"/>
      <c r="F175" s="31"/>
      <c r="G175" s="32">
        <v>1.837</v>
      </c>
      <c r="H175" s="32"/>
      <c r="I175" s="32"/>
      <c r="J175" s="33"/>
      <c r="K175" s="34" t="str">
        <f t="shared" si="25"/>
        <v/>
      </c>
      <c r="L175" s="35"/>
      <c r="M175" s="36" t="str">
        <f t="shared" si="29"/>
        <v/>
      </c>
      <c r="N175" s="37"/>
      <c r="O175" s="29"/>
      <c r="P175" s="38"/>
      <c r="Q175" s="28"/>
      <c r="R175" s="28" t="s">
        <v>1174</v>
      </c>
      <c r="S175" s="47"/>
      <c r="T175" s="28"/>
      <c r="U175" s="28" t="s">
        <v>31</v>
      </c>
    </row>
    <row r="176" spans="1:21" s="27" customFormat="1" x14ac:dyDescent="0.25">
      <c r="A176" s="28" t="s">
        <v>21</v>
      </c>
      <c r="B176" s="28" t="s">
        <v>1138</v>
      </c>
      <c r="C176" s="28" t="s">
        <v>21</v>
      </c>
      <c r="D176" s="31">
        <v>1</v>
      </c>
      <c r="E176" s="30" t="s">
        <v>133</v>
      </c>
      <c r="F176" s="45">
        <v>602</v>
      </c>
      <c r="G176" s="32">
        <v>1.847</v>
      </c>
      <c r="H176" s="32">
        <v>3.69</v>
      </c>
      <c r="I176" s="32">
        <v>3.6709999999999998</v>
      </c>
      <c r="J176" s="33">
        <f>IF(O176&lt;&gt;"",(H176-I176)/O176,"")</f>
        <v>9.5000000000000639E-3</v>
      </c>
      <c r="K176" s="34" t="str">
        <f t="shared" si="25"/>
        <v/>
      </c>
      <c r="L176" s="35">
        <f>F176/(O176*P176)</f>
        <v>7.5250000000000004</v>
      </c>
      <c r="M176" s="36" t="str">
        <f>IF(L176=0,"",IF(OR(L176&lt;7,L176&gt;7.8),"X",""))</f>
        <v/>
      </c>
      <c r="N176" s="37" t="s">
        <v>20</v>
      </c>
      <c r="O176" s="29">
        <v>2</v>
      </c>
      <c r="P176" s="38">
        <v>40</v>
      </c>
      <c r="Q176" s="28"/>
      <c r="R176" s="28" t="s">
        <v>1175</v>
      </c>
      <c r="S176" s="47"/>
      <c r="T176" s="28"/>
      <c r="U176" s="28" t="s">
        <v>31</v>
      </c>
    </row>
    <row r="177" spans="1:21" s="27" customFormat="1" x14ac:dyDescent="0.25">
      <c r="A177" s="28" t="s">
        <v>21</v>
      </c>
      <c r="B177" s="28" t="s">
        <v>21</v>
      </c>
      <c r="C177" s="28" t="s">
        <v>21</v>
      </c>
      <c r="D177" s="31">
        <v>1</v>
      </c>
      <c r="E177" s="30"/>
      <c r="F177" s="31"/>
      <c r="G177" s="32">
        <v>1.8440000000000001</v>
      </c>
      <c r="H177" s="32"/>
      <c r="I177" s="32"/>
      <c r="J177" s="33"/>
      <c r="K177" s="34" t="str">
        <f t="shared" si="25"/>
        <v/>
      </c>
      <c r="L177" s="35"/>
      <c r="M177" s="36" t="str">
        <f t="shared" si="29"/>
        <v/>
      </c>
      <c r="N177" s="37"/>
      <c r="O177" s="29"/>
      <c r="P177" s="38"/>
      <c r="Q177" s="28"/>
      <c r="R177" s="28" t="s">
        <v>1176</v>
      </c>
      <c r="S177" s="47"/>
      <c r="T177" s="28"/>
      <c r="U177" s="28" t="s">
        <v>31</v>
      </c>
    </row>
    <row r="178" spans="1:21" s="27" customFormat="1" x14ac:dyDescent="0.25">
      <c r="A178" s="28" t="s">
        <v>21</v>
      </c>
      <c r="B178" s="28" t="s">
        <v>1139</v>
      </c>
      <c r="C178" s="28" t="s">
        <v>21</v>
      </c>
      <c r="D178" s="31">
        <v>1</v>
      </c>
      <c r="E178" s="30" t="s">
        <v>538</v>
      </c>
      <c r="F178" s="45">
        <v>603</v>
      </c>
      <c r="G178" s="32">
        <v>1.841</v>
      </c>
      <c r="H178" s="32">
        <v>3.6859999999999999</v>
      </c>
      <c r="I178" s="32">
        <v>3.669</v>
      </c>
      <c r="J178" s="33">
        <f>IF(O178&lt;&gt;"",(H178-I178)/O178,"")</f>
        <v>8.499999999999952E-3</v>
      </c>
      <c r="K178" s="34" t="str">
        <f t="shared" si="25"/>
        <v/>
      </c>
      <c r="L178" s="35">
        <f>F178/(O178*P178)</f>
        <v>7.5374999999999996</v>
      </c>
      <c r="M178" s="36" t="str">
        <f>IF(L178=0,"",IF(OR(L178&lt;7,L178&gt;7.8),"X",""))</f>
        <v/>
      </c>
      <c r="N178" s="37" t="s">
        <v>20</v>
      </c>
      <c r="O178" s="29">
        <v>2</v>
      </c>
      <c r="P178" s="38">
        <v>40</v>
      </c>
      <c r="Q178" s="28"/>
      <c r="R178" s="28" t="s">
        <v>1178</v>
      </c>
      <c r="S178" s="47"/>
      <c r="T178" s="28"/>
      <c r="U178" s="28" t="s">
        <v>31</v>
      </c>
    </row>
    <row r="179" spans="1:21" s="27" customFormat="1" x14ac:dyDescent="0.25">
      <c r="A179" s="28" t="s">
        <v>21</v>
      </c>
      <c r="B179" s="28" t="s">
        <v>21</v>
      </c>
      <c r="C179" s="28" t="s">
        <v>21</v>
      </c>
      <c r="D179" s="31">
        <v>1</v>
      </c>
      <c r="E179" s="30"/>
      <c r="F179" s="31"/>
      <c r="G179" s="32">
        <v>1.8460000000000001</v>
      </c>
      <c r="H179" s="32"/>
      <c r="I179" s="32"/>
      <c r="J179" s="33"/>
      <c r="K179" s="34" t="str">
        <f t="shared" si="25"/>
        <v/>
      </c>
      <c r="L179" s="35"/>
      <c r="M179" s="36" t="str">
        <f t="shared" si="29"/>
        <v/>
      </c>
      <c r="N179" s="37"/>
      <c r="O179" s="29"/>
      <c r="P179" s="38"/>
      <c r="Q179" s="28"/>
      <c r="R179" s="28" t="s">
        <v>1177</v>
      </c>
      <c r="S179" s="47"/>
      <c r="T179" s="28"/>
      <c r="U179" s="28" t="s">
        <v>31</v>
      </c>
    </row>
    <row r="180" spans="1:21" s="27" customFormat="1" x14ac:dyDescent="0.25">
      <c r="A180" s="28" t="s">
        <v>21</v>
      </c>
      <c r="B180" s="28" t="s">
        <v>1140</v>
      </c>
      <c r="C180" s="28" t="s">
        <v>21</v>
      </c>
      <c r="D180" s="31">
        <v>1</v>
      </c>
      <c r="E180" s="30" t="s">
        <v>359</v>
      </c>
      <c r="F180" s="45">
        <v>603</v>
      </c>
      <c r="G180" s="32">
        <v>1.851</v>
      </c>
      <c r="H180" s="32">
        <v>3.6960000000000002</v>
      </c>
      <c r="I180" s="32">
        <v>3.681</v>
      </c>
      <c r="J180" s="33">
        <f>IF(O180&lt;&gt;"",(H180-I180)/O180,"")</f>
        <v>7.5000000000000622E-3</v>
      </c>
      <c r="K180" s="34" t="str">
        <f t="shared" ref="K180:K243" si="30">IF(J180=0,"",IF(OR(J180&lt;0,J180&gt;0.03),"X",""))</f>
        <v/>
      </c>
      <c r="L180" s="35">
        <f>F180/(O180*P180)</f>
        <v>7.5374999999999996</v>
      </c>
      <c r="M180" s="36" t="str">
        <f>IF(L180=0,"",IF(OR(L180&lt;7,L180&gt;7.8),"X",""))</f>
        <v/>
      </c>
      <c r="N180" s="37" t="s">
        <v>20</v>
      </c>
      <c r="O180" s="29">
        <v>2</v>
      </c>
      <c r="P180" s="38">
        <v>40</v>
      </c>
      <c r="Q180" s="28"/>
      <c r="R180" s="28" t="s">
        <v>1180</v>
      </c>
      <c r="S180" s="47"/>
      <c r="T180" s="28"/>
      <c r="U180" s="28" t="s">
        <v>31</v>
      </c>
    </row>
    <row r="181" spans="1:21" s="27" customFormat="1" x14ac:dyDescent="0.25">
      <c r="A181" s="28" t="s">
        <v>21</v>
      </c>
      <c r="B181" s="28" t="s">
        <v>21</v>
      </c>
      <c r="C181" s="28" t="s">
        <v>21</v>
      </c>
      <c r="D181" s="31">
        <v>1</v>
      </c>
      <c r="E181" s="30"/>
      <c r="F181" s="31"/>
      <c r="G181" s="32">
        <v>1.847</v>
      </c>
      <c r="H181" s="32"/>
      <c r="I181" s="32"/>
      <c r="J181" s="33"/>
      <c r="K181" s="34" t="str">
        <f t="shared" si="30"/>
        <v/>
      </c>
      <c r="L181" s="35"/>
      <c r="M181" s="36" t="str">
        <f t="shared" si="29"/>
        <v/>
      </c>
      <c r="N181" s="37"/>
      <c r="O181" s="29"/>
      <c r="P181" s="38"/>
      <c r="Q181" s="28"/>
      <c r="R181" s="28" t="s">
        <v>1179</v>
      </c>
      <c r="S181" s="47"/>
      <c r="T181" s="28"/>
      <c r="U181" s="28" t="s">
        <v>31</v>
      </c>
    </row>
    <row r="182" spans="1:21" s="27" customFormat="1" x14ac:dyDescent="0.25">
      <c r="A182" s="28" t="s">
        <v>21</v>
      </c>
      <c r="B182" s="28" t="s">
        <v>1141</v>
      </c>
      <c r="C182" s="28" t="s">
        <v>21</v>
      </c>
      <c r="D182" s="31">
        <v>1</v>
      </c>
      <c r="E182" s="30" t="s">
        <v>538</v>
      </c>
      <c r="F182" s="45">
        <v>604</v>
      </c>
      <c r="G182" s="32">
        <v>1.8480000000000001</v>
      </c>
      <c r="H182" s="32">
        <v>3.698</v>
      </c>
      <c r="I182" s="32">
        <v>3.6819999999999999</v>
      </c>
      <c r="J182" s="33">
        <f>IF(O182&lt;&gt;"",(H182-I182)/O182,"")</f>
        <v>8.0000000000000071E-3</v>
      </c>
      <c r="K182" s="34" t="str">
        <f t="shared" si="30"/>
        <v/>
      </c>
      <c r="L182" s="35">
        <f>F182/(O182*P182)</f>
        <v>7.55</v>
      </c>
      <c r="M182" s="36" t="str">
        <f>IF(L182=0,"",IF(OR(L182&lt;7,L182&gt;7.8),"X",""))</f>
        <v/>
      </c>
      <c r="N182" s="37" t="s">
        <v>20</v>
      </c>
      <c r="O182" s="29">
        <v>2</v>
      </c>
      <c r="P182" s="38">
        <v>40</v>
      </c>
      <c r="Q182" s="28"/>
      <c r="R182" s="28" t="s">
        <v>1181</v>
      </c>
      <c r="S182" s="47"/>
      <c r="T182" s="28"/>
      <c r="U182" s="28" t="s">
        <v>31</v>
      </c>
    </row>
    <row r="183" spans="1:21" s="27" customFormat="1" x14ac:dyDescent="0.25">
      <c r="A183" s="28" t="s">
        <v>21</v>
      </c>
      <c r="B183" s="28" t="s">
        <v>21</v>
      </c>
      <c r="C183" s="28" t="s">
        <v>21</v>
      </c>
      <c r="D183" s="31">
        <v>1</v>
      </c>
      <c r="E183" s="30"/>
      <c r="F183" s="31"/>
      <c r="G183" s="32">
        <v>1.8520000000000001</v>
      </c>
      <c r="H183" s="32"/>
      <c r="I183" s="32"/>
      <c r="J183" s="33"/>
      <c r="K183" s="34" t="str">
        <f t="shared" si="30"/>
        <v/>
      </c>
      <c r="L183" s="35"/>
      <c r="M183" s="36" t="str">
        <f t="shared" si="29"/>
        <v/>
      </c>
      <c r="N183" s="37"/>
      <c r="O183" s="29"/>
      <c r="P183" s="38"/>
      <c r="Q183" s="28"/>
      <c r="R183" s="28" t="s">
        <v>1182</v>
      </c>
      <c r="S183" s="47"/>
      <c r="T183" s="28"/>
      <c r="U183" s="28" t="s">
        <v>31</v>
      </c>
    </row>
    <row r="184" spans="1:21" s="27" customFormat="1" x14ac:dyDescent="0.25">
      <c r="A184" s="28" t="s">
        <v>1238</v>
      </c>
      <c r="B184" s="28" t="s">
        <v>1188</v>
      </c>
      <c r="C184" s="28">
        <v>765701</v>
      </c>
      <c r="D184" s="31">
        <v>1</v>
      </c>
      <c r="E184" s="70" t="s">
        <v>409</v>
      </c>
      <c r="F184" s="45">
        <v>298</v>
      </c>
      <c r="G184" s="32"/>
      <c r="H184" s="32">
        <v>1.871</v>
      </c>
      <c r="I184" s="32">
        <v>1.8640000000000001</v>
      </c>
      <c r="J184" s="33">
        <f t="shared" ref="J184:J215" si="31">IF(O184&lt;&gt;"",(H184-I184)/O184,"")</f>
        <v>6.9999999999998952E-3</v>
      </c>
      <c r="K184" s="34" t="str">
        <f t="shared" si="30"/>
        <v/>
      </c>
      <c r="L184" s="35">
        <f t="shared" ref="L184:L215" si="32">F184/(O184*P184)</f>
        <v>7.45</v>
      </c>
      <c r="M184" s="36" t="str">
        <f t="shared" ref="M184:M215" si="33">IF(L184=0,"",IF(OR(L184&lt;7,L184&gt;7.8),"X",""))</f>
        <v/>
      </c>
      <c r="N184" s="37" t="s">
        <v>18</v>
      </c>
      <c r="O184" s="29">
        <v>1</v>
      </c>
      <c r="P184" s="38">
        <v>40</v>
      </c>
      <c r="Q184" s="46"/>
      <c r="R184" s="28" t="s">
        <v>1249</v>
      </c>
      <c r="S184" s="71" t="s">
        <v>103</v>
      </c>
      <c r="T184" s="46"/>
      <c r="U184" s="28" t="s">
        <v>135</v>
      </c>
    </row>
    <row r="185" spans="1:21" s="27" customFormat="1" x14ac:dyDescent="0.25">
      <c r="A185" s="28" t="s">
        <v>21</v>
      </c>
      <c r="B185" s="28" t="s">
        <v>1189</v>
      </c>
      <c r="C185" s="28" t="s">
        <v>21</v>
      </c>
      <c r="D185" s="31">
        <v>1</v>
      </c>
      <c r="E185" s="70" t="s">
        <v>233</v>
      </c>
      <c r="F185" s="45">
        <v>297</v>
      </c>
      <c r="G185" s="32"/>
      <c r="H185" s="32">
        <v>1.855</v>
      </c>
      <c r="I185" s="32">
        <v>1.8480000000000001</v>
      </c>
      <c r="J185" s="33">
        <f t="shared" si="31"/>
        <v>6.9999999999998952E-3</v>
      </c>
      <c r="K185" s="34" t="str">
        <f t="shared" si="30"/>
        <v/>
      </c>
      <c r="L185" s="35">
        <f t="shared" si="32"/>
        <v>7.4249999999999998</v>
      </c>
      <c r="M185" s="36" t="str">
        <f t="shared" si="33"/>
        <v/>
      </c>
      <c r="N185" s="37" t="s">
        <v>18</v>
      </c>
      <c r="O185" s="29">
        <v>1</v>
      </c>
      <c r="P185" s="38">
        <v>40</v>
      </c>
      <c r="Q185" s="46"/>
      <c r="R185" s="28" t="s">
        <v>1250</v>
      </c>
      <c r="S185" s="71" t="s">
        <v>59</v>
      </c>
      <c r="T185" s="46"/>
      <c r="U185" s="28" t="s">
        <v>135</v>
      </c>
    </row>
    <row r="186" spans="1:21" s="27" customFormat="1" x14ac:dyDescent="0.25">
      <c r="A186" s="28" t="s">
        <v>21</v>
      </c>
      <c r="B186" s="28" t="s">
        <v>1190</v>
      </c>
      <c r="C186" s="28" t="s">
        <v>21</v>
      </c>
      <c r="D186" s="31">
        <v>1</v>
      </c>
      <c r="E186" s="70" t="s">
        <v>407</v>
      </c>
      <c r="F186" s="45">
        <v>296</v>
      </c>
      <c r="G186" s="32"/>
      <c r="H186" s="32">
        <v>1.861</v>
      </c>
      <c r="I186" s="32">
        <v>1.8540000000000001</v>
      </c>
      <c r="J186" s="33">
        <f t="shared" si="31"/>
        <v>6.9999999999998952E-3</v>
      </c>
      <c r="K186" s="34" t="str">
        <f t="shared" si="30"/>
        <v/>
      </c>
      <c r="L186" s="35">
        <f t="shared" si="32"/>
        <v>7.4</v>
      </c>
      <c r="M186" s="36" t="str">
        <f t="shared" si="33"/>
        <v/>
      </c>
      <c r="N186" s="37" t="s">
        <v>18</v>
      </c>
      <c r="O186" s="29">
        <v>1</v>
      </c>
      <c r="P186" s="38">
        <v>40</v>
      </c>
      <c r="Q186" s="46"/>
      <c r="R186" s="28" t="s">
        <v>1251</v>
      </c>
      <c r="S186" s="28" t="s">
        <v>21</v>
      </c>
      <c r="T186" s="46"/>
      <c r="U186" s="28" t="s">
        <v>135</v>
      </c>
    </row>
    <row r="187" spans="1:21" s="27" customFormat="1" x14ac:dyDescent="0.25">
      <c r="A187" s="28" t="s">
        <v>21</v>
      </c>
      <c r="B187" s="28" t="s">
        <v>1191</v>
      </c>
      <c r="C187" s="28" t="s">
        <v>21</v>
      </c>
      <c r="D187" s="31">
        <v>1</v>
      </c>
      <c r="E187" s="70" t="s">
        <v>1185</v>
      </c>
      <c r="F187" s="45">
        <v>296</v>
      </c>
      <c r="G187" s="32"/>
      <c r="H187" s="32">
        <v>1.857</v>
      </c>
      <c r="I187" s="32">
        <v>1.851</v>
      </c>
      <c r="J187" s="33">
        <f t="shared" si="31"/>
        <v>6.0000000000000053E-3</v>
      </c>
      <c r="K187" s="34" t="str">
        <f t="shared" si="30"/>
        <v/>
      </c>
      <c r="L187" s="35">
        <f t="shared" si="32"/>
        <v>7.4</v>
      </c>
      <c r="M187" s="36" t="str">
        <f t="shared" si="33"/>
        <v/>
      </c>
      <c r="N187" s="37" t="s">
        <v>18</v>
      </c>
      <c r="O187" s="29">
        <v>1</v>
      </c>
      <c r="P187" s="38">
        <v>40</v>
      </c>
      <c r="Q187" s="46"/>
      <c r="R187" s="28" t="s">
        <v>1252</v>
      </c>
      <c r="S187" s="28" t="s">
        <v>21</v>
      </c>
      <c r="T187" s="46"/>
      <c r="U187" s="28" t="s">
        <v>135</v>
      </c>
    </row>
    <row r="188" spans="1:21" s="27" customFormat="1" x14ac:dyDescent="0.25">
      <c r="A188" s="28" t="s">
        <v>21</v>
      </c>
      <c r="B188" s="28" t="s">
        <v>1192</v>
      </c>
      <c r="C188" s="28" t="s">
        <v>21</v>
      </c>
      <c r="D188" s="31">
        <v>1</v>
      </c>
      <c r="E188" s="70" t="s">
        <v>1187</v>
      </c>
      <c r="F188" s="45">
        <v>296</v>
      </c>
      <c r="G188" s="32"/>
      <c r="H188" s="32">
        <v>1.8520000000000001</v>
      </c>
      <c r="I188" s="32">
        <v>1.8460000000000001</v>
      </c>
      <c r="J188" s="33">
        <f t="shared" si="31"/>
        <v>6.0000000000000053E-3</v>
      </c>
      <c r="K188" s="34" t="str">
        <f t="shared" si="30"/>
        <v/>
      </c>
      <c r="L188" s="35">
        <f t="shared" si="32"/>
        <v>7.4</v>
      </c>
      <c r="M188" s="36" t="str">
        <f t="shared" si="33"/>
        <v/>
      </c>
      <c r="N188" s="37" t="s">
        <v>18</v>
      </c>
      <c r="O188" s="29">
        <v>1</v>
      </c>
      <c r="P188" s="38">
        <v>40</v>
      </c>
      <c r="Q188" s="46"/>
      <c r="R188" s="28" t="s">
        <v>1253</v>
      </c>
      <c r="S188" s="28" t="s">
        <v>21</v>
      </c>
      <c r="T188" s="46"/>
      <c r="U188" s="28" t="s">
        <v>135</v>
      </c>
    </row>
    <row r="189" spans="1:21" s="27" customFormat="1" x14ac:dyDescent="0.25">
      <c r="A189" s="28" t="s">
        <v>21</v>
      </c>
      <c r="B189" s="28" t="s">
        <v>1193</v>
      </c>
      <c r="C189" s="28" t="s">
        <v>21</v>
      </c>
      <c r="D189" s="31">
        <v>1</v>
      </c>
      <c r="E189" s="70" t="s">
        <v>408</v>
      </c>
      <c r="F189" s="45">
        <v>296</v>
      </c>
      <c r="G189" s="32"/>
      <c r="H189" s="32">
        <v>1.8560000000000001</v>
      </c>
      <c r="I189" s="32">
        <v>1.8480000000000001</v>
      </c>
      <c r="J189" s="33">
        <f t="shared" si="31"/>
        <v>8.0000000000000071E-3</v>
      </c>
      <c r="K189" s="34" t="str">
        <f t="shared" si="30"/>
        <v/>
      </c>
      <c r="L189" s="35">
        <f t="shared" si="32"/>
        <v>7.4</v>
      </c>
      <c r="M189" s="36" t="str">
        <f t="shared" si="33"/>
        <v/>
      </c>
      <c r="N189" s="37" t="s">
        <v>18</v>
      </c>
      <c r="O189" s="29">
        <v>1</v>
      </c>
      <c r="P189" s="38">
        <v>40</v>
      </c>
      <c r="Q189" s="46"/>
      <c r="R189" s="28" t="s">
        <v>1254</v>
      </c>
      <c r="S189" s="28" t="s">
        <v>21</v>
      </c>
      <c r="T189" s="46"/>
      <c r="U189" s="28" t="s">
        <v>135</v>
      </c>
    </row>
    <row r="190" spans="1:21" s="27" customFormat="1" x14ac:dyDescent="0.25">
      <c r="A190" s="28" t="s">
        <v>21</v>
      </c>
      <c r="B190" s="28" t="s">
        <v>1194</v>
      </c>
      <c r="C190" s="28" t="s">
        <v>21</v>
      </c>
      <c r="D190" s="31">
        <v>1</v>
      </c>
      <c r="E190" s="70" t="s">
        <v>60</v>
      </c>
      <c r="F190" s="45">
        <v>297</v>
      </c>
      <c r="G190" s="32"/>
      <c r="H190" s="32">
        <v>1.8540000000000001</v>
      </c>
      <c r="I190" s="32">
        <v>1.8460000000000001</v>
      </c>
      <c r="J190" s="33">
        <f t="shared" si="31"/>
        <v>8.0000000000000071E-3</v>
      </c>
      <c r="K190" s="34" t="str">
        <f t="shared" si="30"/>
        <v/>
      </c>
      <c r="L190" s="35">
        <f t="shared" si="32"/>
        <v>7.4249999999999998</v>
      </c>
      <c r="M190" s="36" t="str">
        <f t="shared" si="33"/>
        <v/>
      </c>
      <c r="N190" s="37" t="s">
        <v>18</v>
      </c>
      <c r="O190" s="29">
        <v>1</v>
      </c>
      <c r="P190" s="38">
        <v>40</v>
      </c>
      <c r="Q190" s="46"/>
      <c r="R190" s="28" t="s">
        <v>1255</v>
      </c>
      <c r="S190" s="28" t="s">
        <v>21</v>
      </c>
      <c r="T190" s="46"/>
      <c r="U190" s="28" t="s">
        <v>135</v>
      </c>
    </row>
    <row r="191" spans="1:21" s="27" customFormat="1" x14ac:dyDescent="0.25">
      <c r="A191" s="28" t="s">
        <v>21</v>
      </c>
      <c r="B191" s="28" t="s">
        <v>1195</v>
      </c>
      <c r="C191" s="28" t="s">
        <v>21</v>
      </c>
      <c r="D191" s="31">
        <v>1</v>
      </c>
      <c r="E191" s="70" t="s">
        <v>127</v>
      </c>
      <c r="F191" s="45">
        <v>298</v>
      </c>
      <c r="G191" s="32"/>
      <c r="H191" s="32">
        <v>1.853</v>
      </c>
      <c r="I191" s="32">
        <v>1.845</v>
      </c>
      <c r="J191" s="33">
        <f t="shared" si="31"/>
        <v>8.0000000000000071E-3</v>
      </c>
      <c r="K191" s="34" t="str">
        <f t="shared" si="30"/>
        <v/>
      </c>
      <c r="L191" s="35">
        <f t="shared" si="32"/>
        <v>7.45</v>
      </c>
      <c r="M191" s="36" t="str">
        <f t="shared" si="33"/>
        <v/>
      </c>
      <c r="N191" s="37" t="s">
        <v>18</v>
      </c>
      <c r="O191" s="29">
        <v>1</v>
      </c>
      <c r="P191" s="38">
        <v>40</v>
      </c>
      <c r="Q191" s="46"/>
      <c r="R191" s="28" t="s">
        <v>1256</v>
      </c>
      <c r="S191" s="28" t="s">
        <v>21</v>
      </c>
      <c r="T191" s="46"/>
      <c r="U191" s="28" t="s">
        <v>135</v>
      </c>
    </row>
    <row r="192" spans="1:21" s="27" customFormat="1" x14ac:dyDescent="0.25">
      <c r="A192" s="28" t="s">
        <v>21</v>
      </c>
      <c r="B192" s="28" t="s">
        <v>1196</v>
      </c>
      <c r="C192" s="28" t="s">
        <v>21</v>
      </c>
      <c r="D192" s="31">
        <v>1</v>
      </c>
      <c r="E192" s="70" t="s">
        <v>233</v>
      </c>
      <c r="F192" s="45">
        <v>296</v>
      </c>
      <c r="G192" s="32"/>
      <c r="H192" s="32">
        <v>1.851</v>
      </c>
      <c r="I192" s="32">
        <v>1.845</v>
      </c>
      <c r="J192" s="33">
        <f t="shared" si="31"/>
        <v>6.0000000000000053E-3</v>
      </c>
      <c r="K192" s="34" t="str">
        <f t="shared" si="30"/>
        <v/>
      </c>
      <c r="L192" s="35">
        <f t="shared" si="32"/>
        <v>7.4</v>
      </c>
      <c r="M192" s="36" t="str">
        <f t="shared" si="33"/>
        <v/>
      </c>
      <c r="N192" s="37" t="s">
        <v>18</v>
      </c>
      <c r="O192" s="29">
        <v>1</v>
      </c>
      <c r="P192" s="38">
        <v>40</v>
      </c>
      <c r="Q192" s="46"/>
      <c r="R192" s="28" t="s">
        <v>1257</v>
      </c>
      <c r="S192" s="28" t="s">
        <v>21</v>
      </c>
      <c r="T192" s="46"/>
      <c r="U192" s="28" t="s">
        <v>135</v>
      </c>
    </row>
    <row r="193" spans="1:21" s="27" customFormat="1" x14ac:dyDescent="0.25">
      <c r="A193" s="28" t="s">
        <v>21</v>
      </c>
      <c r="B193" s="28" t="s">
        <v>1197</v>
      </c>
      <c r="C193" s="28" t="s">
        <v>21</v>
      </c>
      <c r="D193" s="31">
        <v>1</v>
      </c>
      <c r="E193" s="70" t="s">
        <v>105</v>
      </c>
      <c r="F193" s="45">
        <v>297</v>
      </c>
      <c r="G193" s="32"/>
      <c r="H193" s="32">
        <v>1.85</v>
      </c>
      <c r="I193" s="32">
        <v>1.8420000000000001</v>
      </c>
      <c r="J193" s="33">
        <f t="shared" si="31"/>
        <v>8.0000000000000071E-3</v>
      </c>
      <c r="K193" s="34" t="str">
        <f t="shared" si="30"/>
        <v/>
      </c>
      <c r="L193" s="35">
        <f t="shared" si="32"/>
        <v>7.4249999999999998</v>
      </c>
      <c r="M193" s="36" t="str">
        <f t="shared" si="33"/>
        <v/>
      </c>
      <c r="N193" s="37" t="s">
        <v>18</v>
      </c>
      <c r="O193" s="29">
        <v>1</v>
      </c>
      <c r="P193" s="38">
        <v>40</v>
      </c>
      <c r="Q193" s="46"/>
      <c r="R193" s="28" t="s">
        <v>1244</v>
      </c>
      <c r="S193" s="28" t="s">
        <v>21</v>
      </c>
      <c r="T193" s="46"/>
      <c r="U193" s="28" t="s">
        <v>135</v>
      </c>
    </row>
    <row r="194" spans="1:21" s="27" customFormat="1" x14ac:dyDescent="0.25">
      <c r="A194" s="28" t="s">
        <v>21</v>
      </c>
      <c r="B194" s="28" t="s">
        <v>1198</v>
      </c>
      <c r="C194" s="28" t="s">
        <v>21</v>
      </c>
      <c r="D194" s="31">
        <v>1</v>
      </c>
      <c r="E194" s="30" t="s">
        <v>238</v>
      </c>
      <c r="F194" s="45">
        <v>298</v>
      </c>
      <c r="G194" s="32"/>
      <c r="H194" s="32">
        <v>1.8540000000000001</v>
      </c>
      <c r="I194" s="32">
        <v>1.847</v>
      </c>
      <c r="J194" s="33">
        <f t="shared" si="31"/>
        <v>7.0000000000001172E-3</v>
      </c>
      <c r="K194" s="34" t="str">
        <f t="shared" si="30"/>
        <v/>
      </c>
      <c r="L194" s="35">
        <f t="shared" si="32"/>
        <v>7.45</v>
      </c>
      <c r="M194" s="36" t="str">
        <f t="shared" si="33"/>
        <v/>
      </c>
      <c r="N194" s="37" t="s">
        <v>18</v>
      </c>
      <c r="O194" s="29">
        <v>1</v>
      </c>
      <c r="P194" s="38">
        <v>40</v>
      </c>
      <c r="Q194" s="46"/>
      <c r="R194" s="28" t="s">
        <v>1266</v>
      </c>
      <c r="S194" s="47"/>
      <c r="T194" s="46"/>
      <c r="U194" s="28" t="s">
        <v>135</v>
      </c>
    </row>
    <row r="195" spans="1:21" s="27" customFormat="1" x14ac:dyDescent="0.25">
      <c r="A195" s="28" t="s">
        <v>21</v>
      </c>
      <c r="B195" s="28" t="s">
        <v>1199</v>
      </c>
      <c r="C195" s="28" t="s">
        <v>21</v>
      </c>
      <c r="D195" s="31">
        <v>1</v>
      </c>
      <c r="E195" s="30" t="s">
        <v>268</v>
      </c>
      <c r="F195" s="45">
        <v>297</v>
      </c>
      <c r="G195" s="32"/>
      <c r="H195" s="32">
        <v>1.8580000000000001</v>
      </c>
      <c r="I195" s="32">
        <v>1.8520000000000001</v>
      </c>
      <c r="J195" s="33">
        <f t="shared" si="31"/>
        <v>6.0000000000000053E-3</v>
      </c>
      <c r="K195" s="34" t="str">
        <f t="shared" si="30"/>
        <v/>
      </c>
      <c r="L195" s="35">
        <f t="shared" si="32"/>
        <v>7.4249999999999998</v>
      </c>
      <c r="M195" s="36" t="str">
        <f t="shared" si="33"/>
        <v/>
      </c>
      <c r="N195" s="37" t="s">
        <v>18</v>
      </c>
      <c r="O195" s="29">
        <v>1</v>
      </c>
      <c r="P195" s="38">
        <v>40</v>
      </c>
      <c r="Q195" s="46"/>
      <c r="R195" s="28" t="s">
        <v>1267</v>
      </c>
      <c r="S195" s="47"/>
      <c r="T195" s="46"/>
      <c r="U195" s="28" t="s">
        <v>135</v>
      </c>
    </row>
    <row r="196" spans="1:21" s="27" customFormat="1" x14ac:dyDescent="0.25">
      <c r="A196" s="28" t="s">
        <v>21</v>
      </c>
      <c r="B196" s="28" t="s">
        <v>1200</v>
      </c>
      <c r="C196" s="28" t="s">
        <v>21</v>
      </c>
      <c r="D196" s="31">
        <v>1</v>
      </c>
      <c r="E196" s="30" t="s">
        <v>537</v>
      </c>
      <c r="F196" s="45">
        <v>298</v>
      </c>
      <c r="G196" s="32"/>
      <c r="H196" s="32">
        <v>1.859</v>
      </c>
      <c r="I196" s="32">
        <v>1.8520000000000001</v>
      </c>
      <c r="J196" s="33">
        <f t="shared" si="31"/>
        <v>6.9999999999998952E-3</v>
      </c>
      <c r="K196" s="34" t="str">
        <f t="shared" si="30"/>
        <v/>
      </c>
      <c r="L196" s="35">
        <f t="shared" si="32"/>
        <v>7.45</v>
      </c>
      <c r="M196" s="36" t="str">
        <f t="shared" si="33"/>
        <v/>
      </c>
      <c r="N196" s="37" t="s">
        <v>18</v>
      </c>
      <c r="O196" s="29">
        <v>1</v>
      </c>
      <c r="P196" s="38">
        <v>40</v>
      </c>
      <c r="Q196" s="46"/>
      <c r="R196" s="28" t="s">
        <v>1258</v>
      </c>
      <c r="S196" s="47"/>
      <c r="T196" s="46"/>
      <c r="U196" s="28" t="s">
        <v>135</v>
      </c>
    </row>
    <row r="197" spans="1:21" s="27" customFormat="1" x14ac:dyDescent="0.25">
      <c r="A197" s="28" t="s">
        <v>21</v>
      </c>
      <c r="B197" s="28" t="s">
        <v>1201</v>
      </c>
      <c r="C197" s="28" t="s">
        <v>21</v>
      </c>
      <c r="D197" s="31">
        <v>1</v>
      </c>
      <c r="E197" s="30" t="s">
        <v>269</v>
      </c>
      <c r="F197" s="45">
        <v>298</v>
      </c>
      <c r="G197" s="32"/>
      <c r="H197" s="32">
        <v>1.859</v>
      </c>
      <c r="I197" s="32">
        <v>1.8520000000000001</v>
      </c>
      <c r="J197" s="33">
        <f t="shared" si="31"/>
        <v>6.9999999999998952E-3</v>
      </c>
      <c r="K197" s="34" t="str">
        <f t="shared" si="30"/>
        <v/>
      </c>
      <c r="L197" s="35">
        <f t="shared" si="32"/>
        <v>7.45</v>
      </c>
      <c r="M197" s="36" t="str">
        <f t="shared" si="33"/>
        <v/>
      </c>
      <c r="N197" s="37" t="s">
        <v>18</v>
      </c>
      <c r="O197" s="29">
        <v>1</v>
      </c>
      <c r="P197" s="38">
        <v>40</v>
      </c>
      <c r="Q197" s="46"/>
      <c r="R197" s="28" t="s">
        <v>1259</v>
      </c>
      <c r="S197" s="47"/>
      <c r="T197" s="46"/>
      <c r="U197" s="28" t="s">
        <v>135</v>
      </c>
    </row>
    <row r="198" spans="1:21" s="27" customFormat="1" x14ac:dyDescent="0.25">
      <c r="A198" s="28" t="s">
        <v>21</v>
      </c>
      <c r="B198" s="28" t="s">
        <v>1202</v>
      </c>
      <c r="C198" s="28" t="s">
        <v>21</v>
      </c>
      <c r="D198" s="31">
        <v>1</v>
      </c>
      <c r="E198" s="30" t="s">
        <v>441</v>
      </c>
      <c r="F198" s="45">
        <v>299</v>
      </c>
      <c r="G198" s="32"/>
      <c r="H198" s="32">
        <v>1.8480000000000001</v>
      </c>
      <c r="I198" s="32">
        <v>1.84</v>
      </c>
      <c r="J198" s="33">
        <f t="shared" si="31"/>
        <v>8.0000000000000071E-3</v>
      </c>
      <c r="K198" s="34" t="str">
        <f t="shared" si="30"/>
        <v/>
      </c>
      <c r="L198" s="35">
        <f t="shared" si="32"/>
        <v>7.4749999999999996</v>
      </c>
      <c r="M198" s="36" t="str">
        <f t="shared" si="33"/>
        <v/>
      </c>
      <c r="N198" s="37" t="s">
        <v>18</v>
      </c>
      <c r="O198" s="29">
        <v>1</v>
      </c>
      <c r="P198" s="38">
        <v>40</v>
      </c>
      <c r="Q198" s="46"/>
      <c r="R198" s="28" t="s">
        <v>1260</v>
      </c>
      <c r="S198" s="47"/>
      <c r="T198" s="46"/>
      <c r="U198" s="28" t="s">
        <v>135</v>
      </c>
    </row>
    <row r="199" spans="1:21" s="27" customFormat="1" x14ac:dyDescent="0.25">
      <c r="A199" s="28" t="s">
        <v>21</v>
      </c>
      <c r="B199" s="28" t="s">
        <v>1203</v>
      </c>
      <c r="C199" s="28" t="s">
        <v>21</v>
      </c>
      <c r="D199" s="31">
        <v>1</v>
      </c>
      <c r="E199" s="30" t="s">
        <v>240</v>
      </c>
      <c r="F199" s="45">
        <v>299</v>
      </c>
      <c r="G199" s="32"/>
      <c r="H199" s="32">
        <v>1.8560000000000001</v>
      </c>
      <c r="I199" s="32">
        <v>1.849</v>
      </c>
      <c r="J199" s="33">
        <f t="shared" si="31"/>
        <v>7.0000000000001172E-3</v>
      </c>
      <c r="K199" s="34" t="str">
        <f t="shared" si="30"/>
        <v/>
      </c>
      <c r="L199" s="35">
        <f t="shared" si="32"/>
        <v>7.4749999999999996</v>
      </c>
      <c r="M199" s="36" t="str">
        <f t="shared" si="33"/>
        <v/>
      </c>
      <c r="N199" s="37" t="s">
        <v>18</v>
      </c>
      <c r="O199" s="29">
        <v>1</v>
      </c>
      <c r="P199" s="38">
        <v>40</v>
      </c>
      <c r="Q199" s="46"/>
      <c r="R199" s="28" t="s">
        <v>1261</v>
      </c>
      <c r="S199" s="47"/>
      <c r="T199" s="46"/>
      <c r="U199" s="28" t="s">
        <v>135</v>
      </c>
    </row>
    <row r="200" spans="1:21" s="27" customFormat="1" x14ac:dyDescent="0.25">
      <c r="A200" s="28" t="s">
        <v>21</v>
      </c>
      <c r="B200" s="28" t="s">
        <v>1204</v>
      </c>
      <c r="C200" s="28" t="s">
        <v>21</v>
      </c>
      <c r="D200" s="31">
        <v>1</v>
      </c>
      <c r="E200" s="30" t="s">
        <v>537</v>
      </c>
      <c r="F200" s="45">
        <v>297</v>
      </c>
      <c r="G200" s="32"/>
      <c r="H200" s="32">
        <v>1.849</v>
      </c>
      <c r="I200" s="32">
        <v>1.8420000000000001</v>
      </c>
      <c r="J200" s="33">
        <f t="shared" si="31"/>
        <v>6.9999999999998952E-3</v>
      </c>
      <c r="K200" s="34" t="str">
        <f t="shared" si="30"/>
        <v/>
      </c>
      <c r="L200" s="35">
        <f t="shared" si="32"/>
        <v>7.4249999999999998</v>
      </c>
      <c r="M200" s="36" t="str">
        <f t="shared" si="33"/>
        <v/>
      </c>
      <c r="N200" s="37" t="s">
        <v>18</v>
      </c>
      <c r="O200" s="29">
        <v>1</v>
      </c>
      <c r="P200" s="38">
        <v>40</v>
      </c>
      <c r="Q200" s="46"/>
      <c r="R200" s="28" t="s">
        <v>1262</v>
      </c>
      <c r="S200" s="47"/>
      <c r="T200" s="46"/>
      <c r="U200" s="28" t="s">
        <v>135</v>
      </c>
    </row>
    <row r="201" spans="1:21" s="27" customFormat="1" x14ac:dyDescent="0.25">
      <c r="A201" s="28" t="s">
        <v>21</v>
      </c>
      <c r="B201" s="28" t="s">
        <v>1205</v>
      </c>
      <c r="C201" s="28" t="s">
        <v>21</v>
      </c>
      <c r="D201" s="31">
        <v>1</v>
      </c>
      <c r="E201" s="30" t="s">
        <v>441</v>
      </c>
      <c r="F201" s="45">
        <v>297</v>
      </c>
      <c r="G201" s="32"/>
      <c r="H201" s="32">
        <v>1.8520000000000001</v>
      </c>
      <c r="I201" s="32">
        <v>1.8440000000000001</v>
      </c>
      <c r="J201" s="33">
        <f t="shared" si="31"/>
        <v>8.0000000000000071E-3</v>
      </c>
      <c r="K201" s="34" t="str">
        <f t="shared" si="30"/>
        <v/>
      </c>
      <c r="L201" s="35">
        <f t="shared" si="32"/>
        <v>7.4249999999999998</v>
      </c>
      <c r="M201" s="36" t="str">
        <f t="shared" si="33"/>
        <v/>
      </c>
      <c r="N201" s="37" t="s">
        <v>18</v>
      </c>
      <c r="O201" s="29">
        <v>1</v>
      </c>
      <c r="P201" s="38">
        <v>40</v>
      </c>
      <c r="Q201" s="46"/>
      <c r="R201" s="28" t="s">
        <v>1263</v>
      </c>
      <c r="S201" s="47"/>
      <c r="T201" s="46"/>
      <c r="U201" s="28" t="s">
        <v>135</v>
      </c>
    </row>
    <row r="202" spans="1:21" s="27" customFormat="1" x14ac:dyDescent="0.25">
      <c r="A202" s="28" t="s">
        <v>21</v>
      </c>
      <c r="B202" s="28" t="s">
        <v>1206</v>
      </c>
      <c r="C202" s="28" t="s">
        <v>21</v>
      </c>
      <c r="D202" s="31">
        <v>1</v>
      </c>
      <c r="E202" s="30" t="s">
        <v>63</v>
      </c>
      <c r="F202" s="45">
        <v>296</v>
      </c>
      <c r="G202" s="32"/>
      <c r="H202" s="32">
        <v>1.849</v>
      </c>
      <c r="I202" s="32">
        <v>1.841</v>
      </c>
      <c r="J202" s="33">
        <f t="shared" si="31"/>
        <v>8.0000000000000071E-3</v>
      </c>
      <c r="K202" s="34" t="str">
        <f t="shared" si="30"/>
        <v/>
      </c>
      <c r="L202" s="35">
        <f t="shared" si="32"/>
        <v>7.4</v>
      </c>
      <c r="M202" s="36" t="str">
        <f t="shared" si="33"/>
        <v/>
      </c>
      <c r="N202" s="37" t="s">
        <v>18</v>
      </c>
      <c r="O202" s="29">
        <v>1</v>
      </c>
      <c r="P202" s="38">
        <v>40</v>
      </c>
      <c r="Q202" s="46"/>
      <c r="R202" s="28" t="s">
        <v>1264</v>
      </c>
      <c r="S202" s="47"/>
      <c r="T202" s="46"/>
      <c r="U202" s="28" t="s">
        <v>135</v>
      </c>
    </row>
    <row r="203" spans="1:21" s="27" customFormat="1" x14ac:dyDescent="0.25">
      <c r="A203" s="28" t="s">
        <v>21</v>
      </c>
      <c r="B203" s="28" t="s">
        <v>1207</v>
      </c>
      <c r="C203" s="28" t="s">
        <v>21</v>
      </c>
      <c r="D203" s="31">
        <v>1</v>
      </c>
      <c r="E203" s="30" t="s">
        <v>240</v>
      </c>
      <c r="F203" s="45">
        <v>297</v>
      </c>
      <c r="G203" s="32"/>
      <c r="H203" s="32">
        <v>1.849</v>
      </c>
      <c r="I203" s="32">
        <v>1.841</v>
      </c>
      <c r="J203" s="33">
        <f t="shared" si="31"/>
        <v>8.0000000000000071E-3</v>
      </c>
      <c r="K203" s="34" t="str">
        <f t="shared" si="30"/>
        <v/>
      </c>
      <c r="L203" s="35">
        <f t="shared" si="32"/>
        <v>7.4249999999999998</v>
      </c>
      <c r="M203" s="36" t="str">
        <f t="shared" si="33"/>
        <v/>
      </c>
      <c r="N203" s="37" t="s">
        <v>18</v>
      </c>
      <c r="O203" s="29">
        <v>1</v>
      </c>
      <c r="P203" s="38">
        <v>40</v>
      </c>
      <c r="Q203" s="46"/>
      <c r="R203" s="28" t="s">
        <v>1265</v>
      </c>
      <c r="S203" s="47"/>
      <c r="T203" s="46"/>
      <c r="U203" s="28" t="s">
        <v>135</v>
      </c>
    </row>
    <row r="204" spans="1:21" s="27" customFormat="1" x14ac:dyDescent="0.25">
      <c r="A204" s="28" t="s">
        <v>21</v>
      </c>
      <c r="B204" s="28" t="s">
        <v>1208</v>
      </c>
      <c r="C204" s="28" t="s">
        <v>21</v>
      </c>
      <c r="D204" s="31">
        <v>1</v>
      </c>
      <c r="E204" s="70" t="s">
        <v>1186</v>
      </c>
      <c r="F204" s="45">
        <v>296</v>
      </c>
      <c r="G204" s="32"/>
      <c r="H204" s="32">
        <v>1.8440000000000001</v>
      </c>
      <c r="I204" s="32">
        <v>1.837</v>
      </c>
      <c r="J204" s="33">
        <f t="shared" si="31"/>
        <v>7.0000000000001172E-3</v>
      </c>
      <c r="K204" s="34" t="str">
        <f t="shared" si="30"/>
        <v/>
      </c>
      <c r="L204" s="35">
        <f t="shared" si="32"/>
        <v>7.4</v>
      </c>
      <c r="M204" s="36" t="str">
        <f t="shared" si="33"/>
        <v/>
      </c>
      <c r="N204" s="37" t="s">
        <v>18</v>
      </c>
      <c r="O204" s="29">
        <v>1</v>
      </c>
      <c r="P204" s="38">
        <v>40</v>
      </c>
      <c r="Q204" s="46"/>
      <c r="R204" s="28" t="s">
        <v>1278</v>
      </c>
      <c r="S204" s="71" t="s">
        <v>103</v>
      </c>
      <c r="T204" s="46"/>
      <c r="U204" s="28" t="s">
        <v>135</v>
      </c>
    </row>
    <row r="205" spans="1:21" s="27" customFormat="1" x14ac:dyDescent="0.25">
      <c r="A205" s="28" t="s">
        <v>21</v>
      </c>
      <c r="B205" s="28" t="s">
        <v>1209</v>
      </c>
      <c r="C205" s="28" t="s">
        <v>21</v>
      </c>
      <c r="D205" s="31">
        <v>1</v>
      </c>
      <c r="E205" s="70" t="s">
        <v>1298</v>
      </c>
      <c r="F205" s="45">
        <v>298</v>
      </c>
      <c r="G205" s="32"/>
      <c r="H205" s="32">
        <v>1.853</v>
      </c>
      <c r="I205" s="32">
        <v>1.845</v>
      </c>
      <c r="J205" s="33">
        <f t="shared" si="31"/>
        <v>8.0000000000000071E-3</v>
      </c>
      <c r="K205" s="34" t="str">
        <f t="shared" si="30"/>
        <v/>
      </c>
      <c r="L205" s="35">
        <f t="shared" si="32"/>
        <v>7.45</v>
      </c>
      <c r="M205" s="36" t="str">
        <f t="shared" si="33"/>
        <v/>
      </c>
      <c r="N205" s="37" t="s">
        <v>18</v>
      </c>
      <c r="O205" s="29">
        <v>1</v>
      </c>
      <c r="P205" s="38">
        <v>40</v>
      </c>
      <c r="Q205" s="46"/>
      <c r="R205" s="28" t="s">
        <v>1279</v>
      </c>
      <c r="S205" s="71" t="s">
        <v>59</v>
      </c>
      <c r="T205" s="46"/>
      <c r="U205" s="28" t="s">
        <v>135</v>
      </c>
    </row>
    <row r="206" spans="1:21" s="27" customFormat="1" x14ac:dyDescent="0.25">
      <c r="A206" s="28" t="s">
        <v>21</v>
      </c>
      <c r="B206" s="28" t="s">
        <v>1210</v>
      </c>
      <c r="C206" s="28" t="s">
        <v>21</v>
      </c>
      <c r="D206" s="31">
        <v>1</v>
      </c>
      <c r="E206" s="70" t="s">
        <v>1299</v>
      </c>
      <c r="F206" s="45">
        <v>297</v>
      </c>
      <c r="G206" s="32"/>
      <c r="H206" s="32">
        <v>1.85</v>
      </c>
      <c r="I206" s="32">
        <v>1.843</v>
      </c>
      <c r="J206" s="33">
        <f t="shared" si="31"/>
        <v>7.0000000000001172E-3</v>
      </c>
      <c r="K206" s="34" t="str">
        <f t="shared" si="30"/>
        <v/>
      </c>
      <c r="L206" s="35">
        <f t="shared" si="32"/>
        <v>7.4249999999999998</v>
      </c>
      <c r="M206" s="36" t="str">
        <f t="shared" si="33"/>
        <v/>
      </c>
      <c r="N206" s="37" t="s">
        <v>18</v>
      </c>
      <c r="O206" s="29">
        <v>1</v>
      </c>
      <c r="P206" s="38">
        <v>40</v>
      </c>
      <c r="Q206" s="46"/>
      <c r="R206" s="28" t="s">
        <v>1280</v>
      </c>
      <c r="S206" s="28" t="s">
        <v>21</v>
      </c>
      <c r="T206" s="46"/>
      <c r="U206" s="28" t="s">
        <v>135</v>
      </c>
    </row>
    <row r="207" spans="1:21" s="27" customFormat="1" x14ac:dyDescent="0.25">
      <c r="A207" s="28" t="s">
        <v>21</v>
      </c>
      <c r="B207" s="28" t="s">
        <v>1211</v>
      </c>
      <c r="C207" s="28" t="s">
        <v>21</v>
      </c>
      <c r="D207" s="31">
        <v>1</v>
      </c>
      <c r="E207" s="70" t="s">
        <v>61</v>
      </c>
      <c r="F207" s="45">
        <v>298</v>
      </c>
      <c r="G207" s="32"/>
      <c r="H207" s="32">
        <v>1.8540000000000001</v>
      </c>
      <c r="I207" s="32">
        <v>1.8460000000000001</v>
      </c>
      <c r="J207" s="33">
        <f t="shared" si="31"/>
        <v>8.0000000000000071E-3</v>
      </c>
      <c r="K207" s="34" t="str">
        <f t="shared" si="30"/>
        <v/>
      </c>
      <c r="L207" s="35">
        <f t="shared" si="32"/>
        <v>7.45</v>
      </c>
      <c r="M207" s="36" t="str">
        <f t="shared" si="33"/>
        <v/>
      </c>
      <c r="N207" s="37" t="s">
        <v>18</v>
      </c>
      <c r="O207" s="29">
        <v>1</v>
      </c>
      <c r="P207" s="38">
        <v>40</v>
      </c>
      <c r="Q207" s="46"/>
      <c r="R207" s="28" t="s">
        <v>1281</v>
      </c>
      <c r="S207" s="28" t="s">
        <v>21</v>
      </c>
      <c r="T207" s="46"/>
      <c r="U207" s="28" t="s">
        <v>135</v>
      </c>
    </row>
    <row r="208" spans="1:21" s="27" customFormat="1" x14ac:dyDescent="0.25">
      <c r="A208" s="28" t="s">
        <v>21</v>
      </c>
      <c r="B208" s="28" t="s">
        <v>1212</v>
      </c>
      <c r="C208" s="28" t="s">
        <v>21</v>
      </c>
      <c r="D208" s="31">
        <v>1</v>
      </c>
      <c r="E208" s="70" t="s">
        <v>1185</v>
      </c>
      <c r="F208" s="45">
        <v>297</v>
      </c>
      <c r="G208" s="32"/>
      <c r="H208" s="32">
        <v>1.8520000000000001</v>
      </c>
      <c r="I208" s="32">
        <v>1.845</v>
      </c>
      <c r="J208" s="33">
        <f t="shared" si="31"/>
        <v>7.0000000000001172E-3</v>
      </c>
      <c r="K208" s="34" t="str">
        <f t="shared" si="30"/>
        <v/>
      </c>
      <c r="L208" s="35">
        <f t="shared" si="32"/>
        <v>7.4249999999999998</v>
      </c>
      <c r="M208" s="36" t="str">
        <f t="shared" si="33"/>
        <v/>
      </c>
      <c r="N208" s="37" t="s">
        <v>18</v>
      </c>
      <c r="O208" s="29">
        <v>1</v>
      </c>
      <c r="P208" s="38">
        <v>40</v>
      </c>
      <c r="Q208" s="46"/>
      <c r="R208" s="28" t="s">
        <v>1282</v>
      </c>
      <c r="S208" s="28" t="s">
        <v>21</v>
      </c>
      <c r="T208" s="46"/>
      <c r="U208" s="28" t="s">
        <v>135</v>
      </c>
    </row>
    <row r="209" spans="1:21" s="27" customFormat="1" x14ac:dyDescent="0.25">
      <c r="A209" s="28" t="s">
        <v>21</v>
      </c>
      <c r="B209" s="28" t="s">
        <v>1213</v>
      </c>
      <c r="C209" s="28" t="s">
        <v>21</v>
      </c>
      <c r="D209" s="31">
        <v>1</v>
      </c>
      <c r="E209" s="70" t="s">
        <v>61</v>
      </c>
      <c r="F209" s="45">
        <v>297</v>
      </c>
      <c r="G209" s="32"/>
      <c r="H209" s="32">
        <v>1.8540000000000001</v>
      </c>
      <c r="I209" s="32">
        <v>1.847</v>
      </c>
      <c r="J209" s="33">
        <f t="shared" si="31"/>
        <v>7.0000000000001172E-3</v>
      </c>
      <c r="K209" s="34" t="str">
        <f t="shared" si="30"/>
        <v/>
      </c>
      <c r="L209" s="35">
        <f t="shared" si="32"/>
        <v>7.4249999999999998</v>
      </c>
      <c r="M209" s="36" t="str">
        <f t="shared" si="33"/>
        <v/>
      </c>
      <c r="N209" s="37" t="s">
        <v>18</v>
      </c>
      <c r="O209" s="29">
        <v>1</v>
      </c>
      <c r="P209" s="38">
        <v>40</v>
      </c>
      <c r="Q209" s="46"/>
      <c r="R209" s="28" t="s">
        <v>1283</v>
      </c>
      <c r="S209" s="28" t="s">
        <v>21</v>
      </c>
      <c r="T209" s="46"/>
      <c r="U209" s="28" t="s">
        <v>135</v>
      </c>
    </row>
    <row r="210" spans="1:21" s="27" customFormat="1" x14ac:dyDescent="0.25">
      <c r="A210" s="28" t="s">
        <v>21</v>
      </c>
      <c r="B210" s="28" t="s">
        <v>1214</v>
      </c>
      <c r="C210" s="28" t="s">
        <v>21</v>
      </c>
      <c r="D210" s="31">
        <v>1</v>
      </c>
      <c r="E210" s="70" t="s">
        <v>60</v>
      </c>
      <c r="F210" s="45">
        <v>298</v>
      </c>
      <c r="G210" s="32"/>
      <c r="H210" s="32">
        <v>1.8620000000000001</v>
      </c>
      <c r="I210" s="32">
        <v>1.855</v>
      </c>
      <c r="J210" s="33">
        <f t="shared" si="31"/>
        <v>7.0000000000001172E-3</v>
      </c>
      <c r="K210" s="34" t="str">
        <f t="shared" si="30"/>
        <v/>
      </c>
      <c r="L210" s="35">
        <f t="shared" si="32"/>
        <v>7.45</v>
      </c>
      <c r="M210" s="36" t="str">
        <f t="shared" si="33"/>
        <v/>
      </c>
      <c r="N210" s="37" t="s">
        <v>18</v>
      </c>
      <c r="O210" s="29">
        <v>1</v>
      </c>
      <c r="P210" s="38">
        <v>40</v>
      </c>
      <c r="Q210" s="46"/>
      <c r="R210" s="28" t="s">
        <v>1284</v>
      </c>
      <c r="S210" s="28" t="s">
        <v>21</v>
      </c>
      <c r="T210" s="46"/>
      <c r="U210" s="28" t="s">
        <v>135</v>
      </c>
    </row>
    <row r="211" spans="1:21" s="27" customFormat="1" x14ac:dyDescent="0.25">
      <c r="A211" s="28" t="s">
        <v>21</v>
      </c>
      <c r="B211" s="28" t="s">
        <v>1215</v>
      </c>
      <c r="C211" s="28" t="s">
        <v>21</v>
      </c>
      <c r="D211" s="31">
        <v>1</v>
      </c>
      <c r="E211" s="70" t="s">
        <v>60</v>
      </c>
      <c r="F211" s="45">
        <v>298</v>
      </c>
      <c r="G211" s="32"/>
      <c r="H211" s="32">
        <v>1.8680000000000001</v>
      </c>
      <c r="I211" s="32">
        <v>1.8620000000000001</v>
      </c>
      <c r="J211" s="33">
        <f t="shared" si="31"/>
        <v>6.0000000000000053E-3</v>
      </c>
      <c r="K211" s="34" t="str">
        <f t="shared" si="30"/>
        <v/>
      </c>
      <c r="L211" s="35">
        <f t="shared" si="32"/>
        <v>7.45</v>
      </c>
      <c r="M211" s="36" t="str">
        <f t="shared" si="33"/>
        <v/>
      </c>
      <c r="N211" s="37" t="s">
        <v>18</v>
      </c>
      <c r="O211" s="29">
        <v>1</v>
      </c>
      <c r="P211" s="38">
        <v>40</v>
      </c>
      <c r="Q211" s="46"/>
      <c r="R211" s="28" t="s">
        <v>1285</v>
      </c>
      <c r="S211" s="28" t="s">
        <v>21</v>
      </c>
      <c r="T211" s="46"/>
      <c r="U211" s="28" t="s">
        <v>135</v>
      </c>
    </row>
    <row r="212" spans="1:21" s="27" customFormat="1" x14ac:dyDescent="0.25">
      <c r="A212" s="28" t="s">
        <v>21</v>
      </c>
      <c r="B212" s="28" t="s">
        <v>1216</v>
      </c>
      <c r="C212" s="28" t="s">
        <v>21</v>
      </c>
      <c r="D212" s="31">
        <v>1</v>
      </c>
      <c r="E212" s="70" t="s">
        <v>1185</v>
      </c>
      <c r="F212" s="45">
        <v>298</v>
      </c>
      <c r="G212" s="32"/>
      <c r="H212" s="32">
        <v>1.8720000000000001</v>
      </c>
      <c r="I212" s="32">
        <v>1.8660000000000001</v>
      </c>
      <c r="J212" s="33">
        <f t="shared" si="31"/>
        <v>6.0000000000000053E-3</v>
      </c>
      <c r="K212" s="34" t="str">
        <f t="shared" si="30"/>
        <v/>
      </c>
      <c r="L212" s="35">
        <f t="shared" si="32"/>
        <v>7.45</v>
      </c>
      <c r="M212" s="36" t="str">
        <f t="shared" si="33"/>
        <v/>
      </c>
      <c r="N212" s="37" t="s">
        <v>18</v>
      </c>
      <c r="O212" s="29">
        <v>1</v>
      </c>
      <c r="P212" s="38">
        <v>40</v>
      </c>
      <c r="Q212" s="46"/>
      <c r="R212" s="28" t="s">
        <v>1286</v>
      </c>
      <c r="S212" s="28" t="s">
        <v>21</v>
      </c>
      <c r="T212" s="46"/>
      <c r="U212" s="28" t="s">
        <v>135</v>
      </c>
    </row>
    <row r="213" spans="1:21" s="27" customFormat="1" x14ac:dyDescent="0.25">
      <c r="A213" s="28" t="s">
        <v>21</v>
      </c>
      <c r="B213" s="28" t="s">
        <v>1217</v>
      </c>
      <c r="C213" s="28" t="s">
        <v>21</v>
      </c>
      <c r="D213" s="31">
        <v>1</v>
      </c>
      <c r="E213" s="70" t="s">
        <v>62</v>
      </c>
      <c r="F213" s="45">
        <v>298</v>
      </c>
      <c r="G213" s="32"/>
      <c r="H213" s="32">
        <v>1.865</v>
      </c>
      <c r="I213" s="32">
        <v>1.859</v>
      </c>
      <c r="J213" s="33">
        <f t="shared" si="31"/>
        <v>6.0000000000000053E-3</v>
      </c>
      <c r="K213" s="34" t="str">
        <f t="shared" si="30"/>
        <v/>
      </c>
      <c r="L213" s="35">
        <f t="shared" si="32"/>
        <v>7.45</v>
      </c>
      <c r="M213" s="36" t="str">
        <f t="shared" si="33"/>
        <v/>
      </c>
      <c r="N213" s="37" t="s">
        <v>18</v>
      </c>
      <c r="O213" s="29">
        <v>1</v>
      </c>
      <c r="P213" s="38">
        <v>40</v>
      </c>
      <c r="Q213" s="46"/>
      <c r="R213" s="28" t="s">
        <v>1287</v>
      </c>
      <c r="S213" s="28" t="s">
        <v>21</v>
      </c>
      <c r="T213" s="46"/>
      <c r="U213" s="28" t="s">
        <v>135</v>
      </c>
    </row>
    <row r="214" spans="1:21" s="27" customFormat="1" x14ac:dyDescent="0.25">
      <c r="A214" s="28" t="s">
        <v>21</v>
      </c>
      <c r="B214" s="28" t="s">
        <v>1218</v>
      </c>
      <c r="C214" s="28" t="s">
        <v>21</v>
      </c>
      <c r="D214" s="31">
        <v>1</v>
      </c>
      <c r="E214" s="30" t="s">
        <v>1089</v>
      </c>
      <c r="F214" s="45">
        <v>300</v>
      </c>
      <c r="G214" s="32"/>
      <c r="H214" s="32">
        <v>1.865</v>
      </c>
      <c r="I214" s="32">
        <v>1.857</v>
      </c>
      <c r="J214" s="33">
        <f t="shared" si="31"/>
        <v>8.0000000000000071E-3</v>
      </c>
      <c r="K214" s="34" t="str">
        <f t="shared" si="30"/>
        <v/>
      </c>
      <c r="L214" s="35">
        <f t="shared" si="32"/>
        <v>7.5</v>
      </c>
      <c r="M214" s="36" t="str">
        <f t="shared" si="33"/>
        <v/>
      </c>
      <c r="N214" s="37" t="s">
        <v>18</v>
      </c>
      <c r="O214" s="29">
        <v>1</v>
      </c>
      <c r="P214" s="38">
        <v>40</v>
      </c>
      <c r="Q214" s="46"/>
      <c r="R214" s="28" t="s">
        <v>1288</v>
      </c>
      <c r="S214" s="47"/>
      <c r="T214" s="46"/>
      <c r="U214" s="28" t="s">
        <v>135</v>
      </c>
    </row>
    <row r="215" spans="1:21" s="27" customFormat="1" x14ac:dyDescent="0.25">
      <c r="A215" s="28" t="s">
        <v>21</v>
      </c>
      <c r="B215" s="28" t="s">
        <v>1219</v>
      </c>
      <c r="C215" s="28" t="s">
        <v>21</v>
      </c>
      <c r="D215" s="31">
        <v>1</v>
      </c>
      <c r="E215" s="30" t="s">
        <v>730</v>
      </c>
      <c r="F215" s="45">
        <v>301</v>
      </c>
      <c r="G215" s="32"/>
      <c r="H215" s="32">
        <v>1.8580000000000001</v>
      </c>
      <c r="I215" s="32">
        <v>1.851</v>
      </c>
      <c r="J215" s="33">
        <f t="shared" si="31"/>
        <v>7.0000000000001172E-3</v>
      </c>
      <c r="K215" s="34" t="str">
        <f t="shared" si="30"/>
        <v/>
      </c>
      <c r="L215" s="35">
        <f t="shared" si="32"/>
        <v>7.5250000000000004</v>
      </c>
      <c r="M215" s="36" t="str">
        <f t="shared" si="33"/>
        <v/>
      </c>
      <c r="N215" s="37" t="s">
        <v>18</v>
      </c>
      <c r="O215" s="29">
        <v>1</v>
      </c>
      <c r="P215" s="38">
        <v>40</v>
      </c>
      <c r="Q215" s="46"/>
      <c r="R215" s="28" t="s">
        <v>1289</v>
      </c>
      <c r="S215" s="47"/>
      <c r="T215" s="46"/>
      <c r="U215" s="28" t="s">
        <v>135</v>
      </c>
    </row>
    <row r="216" spans="1:21" s="27" customFormat="1" x14ac:dyDescent="0.25">
      <c r="A216" s="28" t="s">
        <v>21</v>
      </c>
      <c r="B216" s="28" t="s">
        <v>1220</v>
      </c>
      <c r="C216" s="28" t="s">
        <v>21</v>
      </c>
      <c r="D216" s="31">
        <v>1</v>
      </c>
      <c r="E216" s="30" t="s">
        <v>566</v>
      </c>
      <c r="F216" s="45">
        <v>299</v>
      </c>
      <c r="G216" s="32"/>
      <c r="H216" s="32">
        <v>1.865</v>
      </c>
      <c r="I216" s="32">
        <v>1.86</v>
      </c>
      <c r="J216" s="33">
        <f t="shared" ref="J216:J234" si="34">IF(O216&lt;&gt;"",(H216-I216)/O216,"")</f>
        <v>4.9999999999998934E-3</v>
      </c>
      <c r="K216" s="34" t="str">
        <f t="shared" si="30"/>
        <v/>
      </c>
      <c r="L216" s="35">
        <f t="shared" ref="L216:L234" si="35">F216/(O216*P216)</f>
        <v>7.4749999999999996</v>
      </c>
      <c r="M216" s="36" t="str">
        <f t="shared" ref="M216:M234" si="36">IF(L216=0,"",IF(OR(L216&lt;7,L216&gt;7.8),"X",""))</f>
        <v/>
      </c>
      <c r="N216" s="37" t="s">
        <v>18</v>
      </c>
      <c r="O216" s="29">
        <v>1</v>
      </c>
      <c r="P216" s="38">
        <v>40</v>
      </c>
      <c r="Q216" s="46"/>
      <c r="R216" s="28" t="s">
        <v>1290</v>
      </c>
      <c r="S216" s="47"/>
      <c r="T216" s="46"/>
      <c r="U216" s="28" t="s">
        <v>135</v>
      </c>
    </row>
    <row r="217" spans="1:21" s="27" customFormat="1" x14ac:dyDescent="0.25">
      <c r="A217" s="28" t="s">
        <v>21</v>
      </c>
      <c r="B217" s="28" t="s">
        <v>1221</v>
      </c>
      <c r="C217" s="28" t="s">
        <v>21</v>
      </c>
      <c r="D217" s="31">
        <v>1</v>
      </c>
      <c r="E217" s="30" t="s">
        <v>730</v>
      </c>
      <c r="F217" s="45">
        <v>300</v>
      </c>
      <c r="G217" s="32"/>
      <c r="H217" s="32">
        <v>1.869</v>
      </c>
      <c r="I217" s="32">
        <v>1.8620000000000001</v>
      </c>
      <c r="J217" s="33">
        <f t="shared" si="34"/>
        <v>6.9999999999998952E-3</v>
      </c>
      <c r="K217" s="34" t="str">
        <f t="shared" si="30"/>
        <v/>
      </c>
      <c r="L217" s="35">
        <f t="shared" si="35"/>
        <v>7.5</v>
      </c>
      <c r="M217" s="36" t="str">
        <f t="shared" si="36"/>
        <v/>
      </c>
      <c r="N217" s="37" t="s">
        <v>18</v>
      </c>
      <c r="O217" s="29">
        <v>1</v>
      </c>
      <c r="P217" s="38">
        <v>40</v>
      </c>
      <c r="Q217" s="46"/>
      <c r="R217" s="28" t="s">
        <v>1291</v>
      </c>
      <c r="S217" s="47"/>
      <c r="T217" s="46"/>
      <c r="U217" s="28" t="s">
        <v>135</v>
      </c>
    </row>
    <row r="218" spans="1:21" s="27" customFormat="1" x14ac:dyDescent="0.25">
      <c r="A218" s="28" t="s">
        <v>21</v>
      </c>
      <c r="B218" s="28" t="s">
        <v>1222</v>
      </c>
      <c r="C218" s="28" t="s">
        <v>21</v>
      </c>
      <c r="D218" s="31">
        <v>1</v>
      </c>
      <c r="E218" s="30" t="s">
        <v>63</v>
      </c>
      <c r="F218" s="45">
        <v>299</v>
      </c>
      <c r="G218" s="32"/>
      <c r="H218" s="32">
        <v>1.859</v>
      </c>
      <c r="I218" s="32">
        <v>1.853</v>
      </c>
      <c r="J218" s="33">
        <f t="shared" si="34"/>
        <v>6.0000000000000053E-3</v>
      </c>
      <c r="K218" s="34" t="str">
        <f t="shared" si="30"/>
        <v/>
      </c>
      <c r="L218" s="35">
        <f t="shared" si="35"/>
        <v>7.4749999999999996</v>
      </c>
      <c r="M218" s="36" t="str">
        <f t="shared" si="36"/>
        <v/>
      </c>
      <c r="N218" s="37" t="s">
        <v>18</v>
      </c>
      <c r="O218" s="29">
        <v>1</v>
      </c>
      <c r="P218" s="38">
        <v>40</v>
      </c>
      <c r="Q218" s="46"/>
      <c r="R218" s="28" t="s">
        <v>1292</v>
      </c>
      <c r="S218" s="47"/>
      <c r="T218" s="46"/>
      <c r="U218" s="28" t="s">
        <v>135</v>
      </c>
    </row>
    <row r="219" spans="1:21" s="27" customFormat="1" x14ac:dyDescent="0.25">
      <c r="A219" s="28" t="s">
        <v>21</v>
      </c>
      <c r="B219" s="28" t="s">
        <v>1223</v>
      </c>
      <c r="C219" s="28" t="s">
        <v>21</v>
      </c>
      <c r="D219" s="31">
        <v>1</v>
      </c>
      <c r="E219" s="30" t="s">
        <v>772</v>
      </c>
      <c r="F219" s="45">
        <v>301</v>
      </c>
      <c r="G219" s="32"/>
      <c r="H219" s="32">
        <v>1.861</v>
      </c>
      <c r="I219" s="32">
        <v>1.8540000000000001</v>
      </c>
      <c r="J219" s="33">
        <f t="shared" si="34"/>
        <v>6.9999999999998952E-3</v>
      </c>
      <c r="K219" s="34" t="str">
        <f t="shared" si="30"/>
        <v/>
      </c>
      <c r="L219" s="35">
        <f t="shared" si="35"/>
        <v>7.5250000000000004</v>
      </c>
      <c r="M219" s="36" t="str">
        <f t="shared" si="36"/>
        <v/>
      </c>
      <c r="N219" s="37" t="s">
        <v>18</v>
      </c>
      <c r="O219" s="29">
        <v>1</v>
      </c>
      <c r="P219" s="38">
        <v>40</v>
      </c>
      <c r="Q219" s="46"/>
      <c r="R219" s="28" t="s">
        <v>1293</v>
      </c>
      <c r="S219" s="47"/>
      <c r="T219" s="46"/>
      <c r="U219" s="28" t="s">
        <v>135</v>
      </c>
    </row>
    <row r="220" spans="1:21" s="27" customFormat="1" x14ac:dyDescent="0.25">
      <c r="A220" s="28" t="s">
        <v>21</v>
      </c>
      <c r="B220" s="28" t="s">
        <v>1224</v>
      </c>
      <c r="C220" s="28" t="s">
        <v>21</v>
      </c>
      <c r="D220" s="31">
        <v>1</v>
      </c>
      <c r="E220" s="30" t="s">
        <v>645</v>
      </c>
      <c r="F220" s="45">
        <v>300</v>
      </c>
      <c r="G220" s="32"/>
      <c r="H220" s="32">
        <v>1.8620000000000001</v>
      </c>
      <c r="I220" s="32">
        <v>1.855</v>
      </c>
      <c r="J220" s="33">
        <f t="shared" si="34"/>
        <v>7.0000000000001172E-3</v>
      </c>
      <c r="K220" s="34" t="str">
        <f t="shared" si="30"/>
        <v/>
      </c>
      <c r="L220" s="35">
        <f t="shared" si="35"/>
        <v>7.5</v>
      </c>
      <c r="M220" s="36" t="str">
        <f t="shared" si="36"/>
        <v/>
      </c>
      <c r="N220" s="37" t="s">
        <v>18</v>
      </c>
      <c r="O220" s="29">
        <v>1</v>
      </c>
      <c r="P220" s="38">
        <v>40</v>
      </c>
      <c r="Q220" s="46"/>
      <c r="R220" s="28" t="s">
        <v>1294</v>
      </c>
      <c r="S220" s="47"/>
      <c r="T220" s="46"/>
      <c r="U220" s="28" t="s">
        <v>135</v>
      </c>
    </row>
    <row r="221" spans="1:21" s="27" customFormat="1" x14ac:dyDescent="0.25">
      <c r="A221" s="28" t="s">
        <v>21</v>
      </c>
      <c r="B221" s="28" t="s">
        <v>1225</v>
      </c>
      <c r="C221" s="28" t="s">
        <v>21</v>
      </c>
      <c r="D221" s="31">
        <v>1</v>
      </c>
      <c r="E221" s="30" t="s">
        <v>772</v>
      </c>
      <c r="F221" s="45">
        <v>300</v>
      </c>
      <c r="G221" s="32"/>
      <c r="H221" s="32">
        <v>1.861</v>
      </c>
      <c r="I221" s="32">
        <v>1.855</v>
      </c>
      <c r="J221" s="33">
        <f t="shared" si="34"/>
        <v>6.0000000000000053E-3</v>
      </c>
      <c r="K221" s="34" t="str">
        <f t="shared" si="30"/>
        <v/>
      </c>
      <c r="L221" s="35">
        <f t="shared" si="35"/>
        <v>7.5</v>
      </c>
      <c r="M221" s="36" t="str">
        <f t="shared" si="36"/>
        <v/>
      </c>
      <c r="N221" s="37" t="s">
        <v>18</v>
      </c>
      <c r="O221" s="29">
        <v>1</v>
      </c>
      <c r="P221" s="38">
        <v>40</v>
      </c>
      <c r="Q221" s="46"/>
      <c r="R221" s="28" t="s">
        <v>1295</v>
      </c>
      <c r="S221" s="47"/>
      <c r="T221" s="46"/>
      <c r="U221" s="28" t="s">
        <v>135</v>
      </c>
    </row>
    <row r="222" spans="1:21" s="27" customFormat="1" x14ac:dyDescent="0.25">
      <c r="A222" s="28" t="s">
        <v>21</v>
      </c>
      <c r="B222" s="28" t="s">
        <v>1226</v>
      </c>
      <c r="C222" s="28" t="s">
        <v>21</v>
      </c>
      <c r="D222" s="31">
        <v>1</v>
      </c>
      <c r="E222" s="30" t="s">
        <v>772</v>
      </c>
      <c r="F222" s="45">
        <v>300</v>
      </c>
      <c r="G222" s="32"/>
      <c r="H222" s="32">
        <v>1.853</v>
      </c>
      <c r="I222" s="32">
        <v>1.8460000000000001</v>
      </c>
      <c r="J222" s="33">
        <f t="shared" si="34"/>
        <v>6.9999999999998952E-3</v>
      </c>
      <c r="K222" s="34" t="str">
        <f t="shared" si="30"/>
        <v/>
      </c>
      <c r="L222" s="35">
        <f t="shared" si="35"/>
        <v>7.5</v>
      </c>
      <c r="M222" s="36" t="str">
        <f t="shared" si="36"/>
        <v/>
      </c>
      <c r="N222" s="37" t="s">
        <v>18</v>
      </c>
      <c r="O222" s="29">
        <v>1</v>
      </c>
      <c r="P222" s="38">
        <v>40</v>
      </c>
      <c r="Q222" s="46"/>
      <c r="R222" s="28" t="s">
        <v>1297</v>
      </c>
      <c r="S222" s="47"/>
      <c r="T222" s="46"/>
      <c r="U222" s="28" t="s">
        <v>135</v>
      </c>
    </row>
    <row r="223" spans="1:21" s="27" customFormat="1" x14ac:dyDescent="0.25">
      <c r="A223" s="28" t="s">
        <v>21</v>
      </c>
      <c r="B223" s="28" t="s">
        <v>1227</v>
      </c>
      <c r="C223" s="28" t="s">
        <v>21</v>
      </c>
      <c r="D223" s="31">
        <v>1</v>
      </c>
      <c r="E223" s="30" t="s">
        <v>730</v>
      </c>
      <c r="F223" s="45">
        <v>301</v>
      </c>
      <c r="G223" s="32"/>
      <c r="H223" s="32">
        <v>1.867</v>
      </c>
      <c r="I223" s="32">
        <v>1.86</v>
      </c>
      <c r="J223" s="33">
        <f t="shared" si="34"/>
        <v>6.9999999999998952E-3</v>
      </c>
      <c r="K223" s="34" t="str">
        <f t="shared" si="30"/>
        <v/>
      </c>
      <c r="L223" s="35">
        <f t="shared" si="35"/>
        <v>7.5250000000000004</v>
      </c>
      <c r="M223" s="36" t="str">
        <f t="shared" si="36"/>
        <v/>
      </c>
      <c r="N223" s="37" t="s">
        <v>18</v>
      </c>
      <c r="O223" s="29">
        <v>1</v>
      </c>
      <c r="P223" s="38">
        <v>40</v>
      </c>
      <c r="Q223" s="46"/>
      <c r="R223" s="28" t="s">
        <v>1296</v>
      </c>
      <c r="S223" s="47"/>
      <c r="T223" s="46"/>
      <c r="U223" s="28" t="s">
        <v>135</v>
      </c>
    </row>
    <row r="224" spans="1:21" s="27" customFormat="1" x14ac:dyDescent="0.25">
      <c r="A224" s="28" t="s">
        <v>21</v>
      </c>
      <c r="B224" s="28" t="s">
        <v>1228</v>
      </c>
      <c r="C224" s="28">
        <v>772821</v>
      </c>
      <c r="D224" s="31">
        <v>1</v>
      </c>
      <c r="E224" s="70" t="s">
        <v>1269</v>
      </c>
      <c r="F224" s="45">
        <v>296</v>
      </c>
      <c r="G224" s="32"/>
      <c r="H224" s="32">
        <v>1.857</v>
      </c>
      <c r="I224" s="32">
        <v>1.8520000000000001</v>
      </c>
      <c r="J224" s="33">
        <f t="shared" si="34"/>
        <v>4.9999999999998934E-3</v>
      </c>
      <c r="K224" s="34" t="str">
        <f t="shared" si="30"/>
        <v/>
      </c>
      <c r="L224" s="35">
        <f t="shared" si="35"/>
        <v>7.4</v>
      </c>
      <c r="M224" s="36" t="str">
        <f t="shared" si="36"/>
        <v/>
      </c>
      <c r="N224" s="37" t="s">
        <v>18</v>
      </c>
      <c r="O224" s="29">
        <v>1</v>
      </c>
      <c r="P224" s="38">
        <v>40</v>
      </c>
      <c r="Q224" s="46"/>
      <c r="R224" s="28" t="s">
        <v>1247</v>
      </c>
      <c r="S224" s="71" t="s">
        <v>58</v>
      </c>
      <c r="T224" s="46"/>
      <c r="U224" s="28" t="s">
        <v>31</v>
      </c>
    </row>
    <row r="225" spans="1:21" s="27" customFormat="1" x14ac:dyDescent="0.25">
      <c r="A225" s="28" t="s">
        <v>21</v>
      </c>
      <c r="B225" s="28" t="s">
        <v>1229</v>
      </c>
      <c r="C225" s="28" t="s">
        <v>21</v>
      </c>
      <c r="D225" s="31">
        <v>1</v>
      </c>
      <c r="E225" s="70" t="s">
        <v>1270</v>
      </c>
      <c r="F225" s="45">
        <v>296</v>
      </c>
      <c r="G225" s="32"/>
      <c r="H225" s="32">
        <v>1.857</v>
      </c>
      <c r="I225" s="32">
        <v>1.8520000000000001</v>
      </c>
      <c r="J225" s="33">
        <f t="shared" si="34"/>
        <v>4.9999999999998934E-3</v>
      </c>
      <c r="K225" s="34" t="str">
        <f t="shared" si="30"/>
        <v/>
      </c>
      <c r="L225" s="35">
        <f t="shared" si="35"/>
        <v>7.4</v>
      </c>
      <c r="M225" s="36" t="str">
        <f t="shared" si="36"/>
        <v/>
      </c>
      <c r="N225" s="37" t="s">
        <v>18</v>
      </c>
      <c r="O225" s="29">
        <v>1</v>
      </c>
      <c r="P225" s="38">
        <v>40</v>
      </c>
      <c r="Q225" s="46"/>
      <c r="R225" s="28" t="s">
        <v>1248</v>
      </c>
      <c r="S225" s="71" t="s">
        <v>59</v>
      </c>
      <c r="T225" s="46"/>
      <c r="U225" s="28" t="s">
        <v>31</v>
      </c>
    </row>
    <row r="226" spans="1:21" s="27" customFormat="1" x14ac:dyDescent="0.25">
      <c r="A226" s="28" t="s">
        <v>21</v>
      </c>
      <c r="B226" s="28" t="s">
        <v>1230</v>
      </c>
      <c r="C226" s="28" t="s">
        <v>21</v>
      </c>
      <c r="D226" s="31">
        <v>1</v>
      </c>
      <c r="E226" s="70" t="s">
        <v>1269</v>
      </c>
      <c r="F226" s="45">
        <v>295</v>
      </c>
      <c r="G226" s="32"/>
      <c r="H226" s="32">
        <v>1.8580000000000001</v>
      </c>
      <c r="I226" s="32">
        <v>1.851</v>
      </c>
      <c r="J226" s="33">
        <f t="shared" si="34"/>
        <v>7.0000000000001172E-3</v>
      </c>
      <c r="K226" s="34" t="str">
        <f t="shared" si="30"/>
        <v/>
      </c>
      <c r="L226" s="35">
        <f t="shared" si="35"/>
        <v>7.375</v>
      </c>
      <c r="M226" s="36" t="str">
        <f t="shared" si="36"/>
        <v/>
      </c>
      <c r="N226" s="37" t="s">
        <v>18</v>
      </c>
      <c r="O226" s="29">
        <v>1</v>
      </c>
      <c r="P226" s="38">
        <v>40</v>
      </c>
      <c r="Q226" s="46"/>
      <c r="R226" s="28" t="s">
        <v>1268</v>
      </c>
      <c r="S226" s="28" t="s">
        <v>21</v>
      </c>
      <c r="T226" s="46"/>
      <c r="U226" s="28" t="s">
        <v>31</v>
      </c>
    </row>
    <row r="227" spans="1:21" s="27" customFormat="1" x14ac:dyDescent="0.25">
      <c r="A227" s="28" t="s">
        <v>21</v>
      </c>
      <c r="B227" s="28" t="s">
        <v>1231</v>
      </c>
      <c r="C227" s="28">
        <v>772821</v>
      </c>
      <c r="D227" s="31">
        <v>1</v>
      </c>
      <c r="E227" s="70" t="s">
        <v>357</v>
      </c>
      <c r="F227" s="45">
        <v>299</v>
      </c>
      <c r="G227" s="32"/>
      <c r="H227" s="32">
        <v>1.855</v>
      </c>
      <c r="I227" s="32">
        <v>1.8460000000000001</v>
      </c>
      <c r="J227" s="33">
        <f t="shared" si="34"/>
        <v>8.999999999999897E-3</v>
      </c>
      <c r="K227" s="34" t="str">
        <f t="shared" si="30"/>
        <v/>
      </c>
      <c r="L227" s="35">
        <f t="shared" si="35"/>
        <v>7.4749999999999996</v>
      </c>
      <c r="M227" s="36" t="str">
        <f t="shared" si="36"/>
        <v/>
      </c>
      <c r="N227" s="37" t="s">
        <v>18</v>
      </c>
      <c r="O227" s="29">
        <v>1</v>
      </c>
      <c r="P227" s="38">
        <v>40</v>
      </c>
      <c r="Q227" s="46"/>
      <c r="R227" s="28" t="s">
        <v>1271</v>
      </c>
      <c r="S227" s="28" t="s">
        <v>21</v>
      </c>
      <c r="T227" s="46"/>
      <c r="U227" s="28" t="s">
        <v>31</v>
      </c>
    </row>
    <row r="228" spans="1:21" s="27" customFormat="1" x14ac:dyDescent="0.25">
      <c r="A228" s="28" t="s">
        <v>21</v>
      </c>
      <c r="B228" s="28" t="s">
        <v>1232</v>
      </c>
      <c r="C228" s="28" t="s">
        <v>21</v>
      </c>
      <c r="D228" s="31">
        <v>1</v>
      </c>
      <c r="E228" s="70" t="s">
        <v>408</v>
      </c>
      <c r="F228" s="45">
        <v>299</v>
      </c>
      <c r="G228" s="32"/>
      <c r="H228" s="32">
        <v>1.861</v>
      </c>
      <c r="I228" s="32">
        <v>1.853</v>
      </c>
      <c r="J228" s="33">
        <f t="shared" si="34"/>
        <v>8.0000000000000071E-3</v>
      </c>
      <c r="K228" s="34" t="str">
        <f t="shared" si="30"/>
        <v/>
      </c>
      <c r="L228" s="35">
        <f t="shared" si="35"/>
        <v>7.4749999999999996</v>
      </c>
      <c r="M228" s="36" t="str">
        <f t="shared" si="36"/>
        <v/>
      </c>
      <c r="N228" s="37" t="s">
        <v>18</v>
      </c>
      <c r="O228" s="29">
        <v>1</v>
      </c>
      <c r="P228" s="38">
        <v>40</v>
      </c>
      <c r="Q228" s="46"/>
      <c r="R228" s="28" t="s">
        <v>1272</v>
      </c>
      <c r="S228" s="28" t="s">
        <v>21</v>
      </c>
      <c r="T228" s="46"/>
      <c r="U228" s="28" t="s">
        <v>31</v>
      </c>
    </row>
    <row r="229" spans="1:21" s="27" customFormat="1" x14ac:dyDescent="0.25">
      <c r="A229" s="28" t="s">
        <v>21</v>
      </c>
      <c r="B229" s="28" t="s">
        <v>1233</v>
      </c>
      <c r="C229" s="28" t="s">
        <v>21</v>
      </c>
      <c r="D229" s="31">
        <v>1</v>
      </c>
      <c r="E229" s="70" t="s">
        <v>355</v>
      </c>
      <c r="F229" s="45">
        <v>299</v>
      </c>
      <c r="G229" s="32"/>
      <c r="H229" s="32">
        <v>1.8540000000000001</v>
      </c>
      <c r="I229" s="32">
        <v>1.847</v>
      </c>
      <c r="J229" s="33">
        <f t="shared" si="34"/>
        <v>7.0000000000001172E-3</v>
      </c>
      <c r="K229" s="34" t="str">
        <f t="shared" si="30"/>
        <v/>
      </c>
      <c r="L229" s="35">
        <f t="shared" si="35"/>
        <v>7.4749999999999996</v>
      </c>
      <c r="M229" s="36" t="str">
        <f t="shared" si="36"/>
        <v/>
      </c>
      <c r="N229" s="37" t="s">
        <v>18</v>
      </c>
      <c r="O229" s="29">
        <v>1</v>
      </c>
      <c r="P229" s="38">
        <v>40</v>
      </c>
      <c r="Q229" s="46"/>
      <c r="R229" s="28" t="s">
        <v>1274</v>
      </c>
      <c r="S229" s="28" t="s">
        <v>21</v>
      </c>
      <c r="T229" s="46"/>
      <c r="U229" s="28" t="s">
        <v>31</v>
      </c>
    </row>
    <row r="230" spans="1:21" s="27" customFormat="1" x14ac:dyDescent="0.25">
      <c r="A230" s="28" t="s">
        <v>21</v>
      </c>
      <c r="B230" s="28" t="s">
        <v>1234</v>
      </c>
      <c r="C230" s="28" t="s">
        <v>21</v>
      </c>
      <c r="D230" s="31">
        <v>1</v>
      </c>
      <c r="E230" s="70" t="s">
        <v>233</v>
      </c>
      <c r="F230" s="45">
        <v>299</v>
      </c>
      <c r="G230" s="32"/>
      <c r="H230" s="32">
        <v>1.853</v>
      </c>
      <c r="I230" s="32">
        <v>1.845</v>
      </c>
      <c r="J230" s="33">
        <f t="shared" si="34"/>
        <v>8.0000000000000071E-3</v>
      </c>
      <c r="K230" s="34" t="str">
        <f t="shared" si="30"/>
        <v/>
      </c>
      <c r="L230" s="35">
        <f t="shared" si="35"/>
        <v>7.4749999999999996</v>
      </c>
      <c r="M230" s="36" t="str">
        <f t="shared" si="36"/>
        <v/>
      </c>
      <c r="N230" s="37" t="s">
        <v>18</v>
      </c>
      <c r="O230" s="29">
        <v>1</v>
      </c>
      <c r="P230" s="38">
        <v>40</v>
      </c>
      <c r="Q230" s="46"/>
      <c r="R230" s="28" t="s">
        <v>1273</v>
      </c>
      <c r="S230" s="28" t="s">
        <v>21</v>
      </c>
      <c r="T230" s="46"/>
      <c r="U230" s="28" t="s">
        <v>31</v>
      </c>
    </row>
    <row r="231" spans="1:21" s="27" customFormat="1" x14ac:dyDescent="0.25">
      <c r="A231" s="28" t="s">
        <v>21</v>
      </c>
      <c r="B231" s="28" t="s">
        <v>1235</v>
      </c>
      <c r="C231" s="28" t="s">
        <v>21</v>
      </c>
      <c r="D231" s="31">
        <v>1</v>
      </c>
      <c r="E231" s="70" t="s">
        <v>236</v>
      </c>
      <c r="F231" s="45">
        <v>299</v>
      </c>
      <c r="G231" s="32"/>
      <c r="H231" s="32">
        <v>1.853</v>
      </c>
      <c r="I231" s="32">
        <v>1.845</v>
      </c>
      <c r="J231" s="33">
        <f t="shared" si="34"/>
        <v>8.0000000000000071E-3</v>
      </c>
      <c r="K231" s="34" t="str">
        <f t="shared" si="30"/>
        <v/>
      </c>
      <c r="L231" s="35">
        <f t="shared" si="35"/>
        <v>7.4749999999999996</v>
      </c>
      <c r="M231" s="36" t="str">
        <f t="shared" si="36"/>
        <v/>
      </c>
      <c r="N231" s="37" t="s">
        <v>18</v>
      </c>
      <c r="O231" s="29">
        <v>1</v>
      </c>
      <c r="P231" s="38">
        <v>40</v>
      </c>
      <c r="Q231" s="46"/>
      <c r="R231" s="28" t="s">
        <v>1276</v>
      </c>
      <c r="S231" s="28" t="s">
        <v>21</v>
      </c>
      <c r="T231" s="46"/>
      <c r="U231" s="28" t="s">
        <v>31</v>
      </c>
    </row>
    <row r="232" spans="1:21" s="27" customFormat="1" x14ac:dyDescent="0.25">
      <c r="A232" s="28" t="s">
        <v>21</v>
      </c>
      <c r="B232" s="28" t="s">
        <v>1236</v>
      </c>
      <c r="C232" s="28" t="s">
        <v>21</v>
      </c>
      <c r="D232" s="31">
        <v>1</v>
      </c>
      <c r="E232" s="70" t="s">
        <v>61</v>
      </c>
      <c r="F232" s="45">
        <v>298</v>
      </c>
      <c r="G232" s="32"/>
      <c r="H232" s="32">
        <v>1.8680000000000001</v>
      </c>
      <c r="I232" s="32">
        <v>1.861</v>
      </c>
      <c r="J232" s="33">
        <f t="shared" si="34"/>
        <v>7.0000000000001172E-3</v>
      </c>
      <c r="K232" s="34" t="str">
        <f t="shared" si="30"/>
        <v/>
      </c>
      <c r="L232" s="35">
        <f t="shared" si="35"/>
        <v>7.45</v>
      </c>
      <c r="M232" s="36" t="str">
        <f t="shared" si="36"/>
        <v/>
      </c>
      <c r="N232" s="37" t="s">
        <v>18</v>
      </c>
      <c r="O232" s="29">
        <v>1</v>
      </c>
      <c r="P232" s="38">
        <v>40</v>
      </c>
      <c r="Q232" s="46"/>
      <c r="R232" s="28" t="s">
        <v>1277</v>
      </c>
      <c r="S232" s="28" t="s">
        <v>21</v>
      </c>
      <c r="T232" s="46"/>
      <c r="U232" s="28" t="s">
        <v>31</v>
      </c>
    </row>
    <row r="233" spans="1:21" s="27" customFormat="1" x14ac:dyDescent="0.25">
      <c r="A233" s="28" t="s">
        <v>21</v>
      </c>
      <c r="B233" s="28" t="s">
        <v>1237</v>
      </c>
      <c r="C233" s="28" t="s">
        <v>21</v>
      </c>
      <c r="D233" s="31">
        <v>1</v>
      </c>
      <c r="E233" s="70" t="s">
        <v>236</v>
      </c>
      <c r="F233" s="45">
        <v>298</v>
      </c>
      <c r="G233" s="32"/>
      <c r="H233" s="32">
        <v>1.853</v>
      </c>
      <c r="I233" s="32">
        <v>1.845</v>
      </c>
      <c r="J233" s="33">
        <f t="shared" si="34"/>
        <v>8.0000000000000071E-3</v>
      </c>
      <c r="K233" s="34" t="str">
        <f t="shared" si="30"/>
        <v/>
      </c>
      <c r="L233" s="35">
        <f t="shared" si="35"/>
        <v>7.45</v>
      </c>
      <c r="M233" s="36" t="str">
        <f t="shared" si="36"/>
        <v/>
      </c>
      <c r="N233" s="37" t="s">
        <v>18</v>
      </c>
      <c r="O233" s="29">
        <v>1</v>
      </c>
      <c r="P233" s="38">
        <v>40</v>
      </c>
      <c r="Q233" s="46"/>
      <c r="R233" s="28" t="s">
        <v>1275</v>
      </c>
      <c r="S233" s="28" t="s">
        <v>21</v>
      </c>
      <c r="T233" s="46"/>
      <c r="U233" s="28" t="s">
        <v>31</v>
      </c>
    </row>
    <row r="234" spans="1:21" s="27" customFormat="1" x14ac:dyDescent="0.25">
      <c r="A234" s="28" t="s">
        <v>1239</v>
      </c>
      <c r="B234" s="28" t="s">
        <v>1240</v>
      </c>
      <c r="C234" s="28">
        <v>765701</v>
      </c>
      <c r="D234" s="31">
        <v>1</v>
      </c>
      <c r="E234" s="70" t="s">
        <v>236</v>
      </c>
      <c r="F234" s="45">
        <v>603</v>
      </c>
      <c r="G234" s="32">
        <v>1.88</v>
      </c>
      <c r="H234" s="32">
        <v>3.75</v>
      </c>
      <c r="I234" s="32">
        <v>3.7349999999999999</v>
      </c>
      <c r="J234" s="33">
        <f t="shared" si="34"/>
        <v>7.5000000000000622E-3</v>
      </c>
      <c r="K234" s="34" t="str">
        <f t="shared" si="30"/>
        <v/>
      </c>
      <c r="L234" s="35">
        <f t="shared" si="35"/>
        <v>7.5374999999999996</v>
      </c>
      <c r="M234" s="36" t="str">
        <f t="shared" si="36"/>
        <v/>
      </c>
      <c r="N234" s="37" t="s">
        <v>20</v>
      </c>
      <c r="O234" s="29">
        <v>2</v>
      </c>
      <c r="P234" s="38">
        <v>40</v>
      </c>
      <c r="Q234" s="28"/>
      <c r="R234" s="28" t="s">
        <v>1242</v>
      </c>
      <c r="S234" s="71" t="s">
        <v>58</v>
      </c>
      <c r="T234" s="28"/>
      <c r="U234" s="28" t="s">
        <v>31</v>
      </c>
    </row>
    <row r="235" spans="1:21" s="27" customFormat="1" x14ac:dyDescent="0.25">
      <c r="A235" s="28" t="s">
        <v>21</v>
      </c>
      <c r="B235" s="28" t="s">
        <v>21</v>
      </c>
      <c r="C235" s="28">
        <v>765701</v>
      </c>
      <c r="D235" s="31">
        <v>1</v>
      </c>
      <c r="E235" s="70"/>
      <c r="F235" s="31"/>
      <c r="G235" s="32">
        <v>1.87</v>
      </c>
      <c r="H235" s="32"/>
      <c r="I235" s="32"/>
      <c r="J235" s="33"/>
      <c r="K235" s="34" t="str">
        <f t="shared" si="30"/>
        <v/>
      </c>
      <c r="L235" s="35"/>
      <c r="M235" s="36" t="str">
        <f t="shared" ref="M235:M237" si="37">IF(L235=0,"",IF(OR(L235&lt;7.4,L235&gt;8),"X",""))</f>
        <v/>
      </c>
      <c r="N235" s="37"/>
      <c r="O235" s="29"/>
      <c r="P235" s="38"/>
      <c r="Q235" s="28"/>
      <c r="R235" s="28" t="s">
        <v>1243</v>
      </c>
      <c r="S235" s="71" t="s">
        <v>59</v>
      </c>
      <c r="T235" s="28"/>
      <c r="U235" s="28" t="s">
        <v>31</v>
      </c>
    </row>
    <row r="236" spans="1:21" s="27" customFormat="1" x14ac:dyDescent="0.25">
      <c r="A236" s="28" t="s">
        <v>21</v>
      </c>
      <c r="B236" s="28" t="s">
        <v>1241</v>
      </c>
      <c r="C236" s="28" t="s">
        <v>21</v>
      </c>
      <c r="D236" s="31">
        <v>1</v>
      </c>
      <c r="E236" s="70" t="s">
        <v>232</v>
      </c>
      <c r="F236" s="45">
        <v>603</v>
      </c>
      <c r="G236" s="32">
        <v>1.887</v>
      </c>
      <c r="H236" s="32">
        <v>3.7669999999999999</v>
      </c>
      <c r="I236" s="32">
        <v>3.7530000000000001</v>
      </c>
      <c r="J236" s="33">
        <f>IF(O236&lt;&gt;"",(H236-I236)/O236,"")</f>
        <v>6.9999999999998952E-3</v>
      </c>
      <c r="K236" s="34" t="str">
        <f t="shared" si="30"/>
        <v/>
      </c>
      <c r="L236" s="35">
        <f>F236/(O236*P236)</f>
        <v>7.5374999999999996</v>
      </c>
      <c r="M236" s="36" t="str">
        <f>IF(L236=0,"",IF(OR(L236&lt;7,L236&gt;7.8),"X",""))</f>
        <v/>
      </c>
      <c r="N236" s="37" t="s">
        <v>20</v>
      </c>
      <c r="O236" s="29">
        <v>2</v>
      </c>
      <c r="P236" s="38">
        <v>40</v>
      </c>
      <c r="Q236" s="28"/>
      <c r="R236" s="28" t="s">
        <v>1245</v>
      </c>
      <c r="S236" s="28" t="s">
        <v>21</v>
      </c>
      <c r="T236" s="28"/>
      <c r="U236" s="28" t="s">
        <v>31</v>
      </c>
    </row>
    <row r="237" spans="1:21" s="27" customFormat="1" x14ac:dyDescent="0.25">
      <c r="A237" s="28" t="s">
        <v>21</v>
      </c>
      <c r="B237" s="28" t="s">
        <v>21</v>
      </c>
      <c r="C237" s="28" t="s">
        <v>21</v>
      </c>
      <c r="D237" s="31">
        <v>1</v>
      </c>
      <c r="E237" s="70"/>
      <c r="F237" s="31"/>
      <c r="G237" s="32">
        <v>1.881</v>
      </c>
      <c r="H237" s="32"/>
      <c r="I237" s="32"/>
      <c r="J237" s="33"/>
      <c r="K237" s="34" t="str">
        <f t="shared" si="30"/>
        <v/>
      </c>
      <c r="L237" s="35"/>
      <c r="M237" s="36" t="str">
        <f t="shared" si="37"/>
        <v/>
      </c>
      <c r="N237" s="37"/>
      <c r="O237" s="29"/>
      <c r="P237" s="38"/>
      <c r="Q237" s="28"/>
      <c r="R237" s="28" t="s">
        <v>1246</v>
      </c>
      <c r="S237" s="28" t="s">
        <v>21</v>
      </c>
      <c r="T237" s="28"/>
      <c r="U237" s="28" t="s">
        <v>31</v>
      </c>
    </row>
    <row r="238" spans="1:21" s="27" customFormat="1" x14ac:dyDescent="0.25">
      <c r="A238" s="28" t="s">
        <v>1300</v>
      </c>
      <c r="B238" s="28" t="s">
        <v>1301</v>
      </c>
      <c r="C238" s="28">
        <v>772821</v>
      </c>
      <c r="D238" s="31">
        <v>1</v>
      </c>
      <c r="E238" s="70" t="s">
        <v>62</v>
      </c>
      <c r="F238" s="45">
        <v>602</v>
      </c>
      <c r="G238" s="32">
        <v>1.8620000000000001</v>
      </c>
      <c r="H238" s="32">
        <v>3.73</v>
      </c>
      <c r="I238" s="32">
        <v>3.718</v>
      </c>
      <c r="J238" s="33">
        <f>IF(O238&lt;&gt;"",(H238-I238)/O238,"")</f>
        <v>6.0000000000000053E-3</v>
      </c>
      <c r="K238" s="34" t="str">
        <f t="shared" si="30"/>
        <v/>
      </c>
      <c r="L238" s="35">
        <f>F238/(O238*P238)</f>
        <v>7.5250000000000004</v>
      </c>
      <c r="M238" s="36" t="str">
        <f>IF(L238=0,"",IF(OR(L238&lt;7,L238&gt;7.8),"X",""))</f>
        <v/>
      </c>
      <c r="N238" s="37" t="s">
        <v>20</v>
      </c>
      <c r="O238" s="29">
        <v>2</v>
      </c>
      <c r="P238" s="38">
        <v>40</v>
      </c>
      <c r="Q238" s="28"/>
      <c r="R238" s="28" t="s">
        <v>1326</v>
      </c>
      <c r="S238" s="71" t="s">
        <v>58</v>
      </c>
      <c r="T238" s="28"/>
      <c r="U238" s="28" t="s">
        <v>31</v>
      </c>
    </row>
    <row r="239" spans="1:21" s="27" customFormat="1" x14ac:dyDescent="0.25">
      <c r="A239" s="28" t="s">
        <v>21</v>
      </c>
      <c r="B239" s="28" t="s">
        <v>21</v>
      </c>
      <c r="C239" s="28" t="s">
        <v>21</v>
      </c>
      <c r="D239" s="31">
        <v>1</v>
      </c>
      <c r="E239" s="70"/>
      <c r="F239" s="31"/>
      <c r="G239" s="32">
        <v>1.867</v>
      </c>
      <c r="H239" s="32"/>
      <c r="I239" s="32"/>
      <c r="J239" s="33"/>
      <c r="K239" s="34" t="str">
        <f t="shared" si="30"/>
        <v/>
      </c>
      <c r="L239" s="35"/>
      <c r="M239" s="36" t="str">
        <f t="shared" ref="M239:M287" si="38">IF(L239=0,"",IF(OR(L239&lt;7.4,L239&gt;8),"X",""))</f>
        <v/>
      </c>
      <c r="N239" s="37"/>
      <c r="O239" s="29"/>
      <c r="P239" s="38"/>
      <c r="Q239" s="28"/>
      <c r="R239" s="28" t="s">
        <v>1328</v>
      </c>
      <c r="S239" s="71" t="s">
        <v>59</v>
      </c>
      <c r="T239" s="28"/>
      <c r="U239" s="28" t="s">
        <v>31</v>
      </c>
    </row>
    <row r="240" spans="1:21" s="27" customFormat="1" x14ac:dyDescent="0.25">
      <c r="A240" s="28" t="s">
        <v>21</v>
      </c>
      <c r="B240" s="28" t="s">
        <v>1302</v>
      </c>
      <c r="C240" s="28" t="s">
        <v>21</v>
      </c>
      <c r="D240" s="31">
        <v>1</v>
      </c>
      <c r="E240" s="70" t="s">
        <v>60</v>
      </c>
      <c r="F240" s="45">
        <v>602</v>
      </c>
      <c r="G240" s="32">
        <v>1.855</v>
      </c>
      <c r="H240" s="32">
        <v>3.72</v>
      </c>
      <c r="I240" s="32">
        <v>3.7069999999999999</v>
      </c>
      <c r="J240" s="33">
        <f>IF(O240&lt;&gt;"",(H240-I240)/O240,"")</f>
        <v>6.5000000000001723E-3</v>
      </c>
      <c r="K240" s="34" t="str">
        <f t="shared" si="30"/>
        <v/>
      </c>
      <c r="L240" s="35">
        <f>F240/(O240*P240)</f>
        <v>7.5250000000000004</v>
      </c>
      <c r="M240" s="36" t="str">
        <f>IF(L240=0,"",IF(OR(L240&lt;7,L240&gt;7.8),"X",""))</f>
        <v/>
      </c>
      <c r="N240" s="37" t="s">
        <v>20</v>
      </c>
      <c r="O240" s="29">
        <v>2</v>
      </c>
      <c r="P240" s="38">
        <v>40</v>
      </c>
      <c r="Q240" s="28"/>
      <c r="R240" s="28" t="s">
        <v>1327</v>
      </c>
      <c r="S240" s="28" t="s">
        <v>21</v>
      </c>
      <c r="T240" s="28"/>
      <c r="U240" s="28" t="s">
        <v>31</v>
      </c>
    </row>
    <row r="241" spans="1:21" s="27" customFormat="1" x14ac:dyDescent="0.25">
      <c r="A241" s="28" t="s">
        <v>21</v>
      </c>
      <c r="B241" s="28" t="s">
        <v>21</v>
      </c>
      <c r="C241" s="28" t="s">
        <v>21</v>
      </c>
      <c r="D241" s="31">
        <v>1</v>
      </c>
      <c r="E241" s="70"/>
      <c r="F241" s="31"/>
      <c r="G241" s="32">
        <v>1.8640000000000001</v>
      </c>
      <c r="H241" s="32"/>
      <c r="I241" s="32"/>
      <c r="J241" s="33"/>
      <c r="K241" s="34" t="str">
        <f t="shared" si="30"/>
        <v/>
      </c>
      <c r="L241" s="35"/>
      <c r="M241" s="36" t="str">
        <f t="shared" si="38"/>
        <v/>
      </c>
      <c r="N241" s="37"/>
      <c r="O241" s="29"/>
      <c r="P241" s="38"/>
      <c r="Q241" s="28"/>
      <c r="R241" s="28" t="s">
        <v>1329</v>
      </c>
      <c r="S241" s="28" t="s">
        <v>21</v>
      </c>
      <c r="T241" s="28"/>
      <c r="U241" s="28" t="s">
        <v>31</v>
      </c>
    </row>
    <row r="242" spans="1:21" s="27" customFormat="1" x14ac:dyDescent="0.25">
      <c r="A242" s="28" t="s">
        <v>21</v>
      </c>
      <c r="B242" s="28" t="s">
        <v>1303</v>
      </c>
      <c r="C242" s="28">
        <v>772821</v>
      </c>
      <c r="D242" s="31">
        <v>1</v>
      </c>
      <c r="E242" s="70" t="s">
        <v>356</v>
      </c>
      <c r="F242" s="45">
        <v>602</v>
      </c>
      <c r="G242" s="32">
        <v>1.845</v>
      </c>
      <c r="H242" s="32">
        <v>3.6949999999999998</v>
      </c>
      <c r="I242" s="32">
        <v>3.68</v>
      </c>
      <c r="J242" s="33">
        <f>IF(O242&lt;&gt;"",(H242-I242)/O242,"")</f>
        <v>7.4999999999998401E-3</v>
      </c>
      <c r="K242" s="34" t="str">
        <f t="shared" si="30"/>
        <v/>
      </c>
      <c r="L242" s="35">
        <f>F242/(O242*P242)</f>
        <v>7.5250000000000004</v>
      </c>
      <c r="M242" s="36" t="str">
        <f>IF(L242=0,"",IF(OR(L242&lt;7,L242&gt;7.8),"X",""))</f>
        <v/>
      </c>
      <c r="N242" s="37" t="s">
        <v>20</v>
      </c>
      <c r="O242" s="29">
        <v>2</v>
      </c>
      <c r="P242" s="38">
        <v>40</v>
      </c>
      <c r="Q242" s="28"/>
      <c r="R242" s="28" t="s">
        <v>1330</v>
      </c>
      <c r="S242" s="28" t="s">
        <v>21</v>
      </c>
      <c r="T242" s="28"/>
      <c r="U242" s="28" t="s">
        <v>31</v>
      </c>
    </row>
    <row r="243" spans="1:21" s="27" customFormat="1" x14ac:dyDescent="0.25">
      <c r="A243" s="28" t="s">
        <v>21</v>
      </c>
      <c r="B243" s="28" t="s">
        <v>21</v>
      </c>
      <c r="C243" s="28" t="s">
        <v>21</v>
      </c>
      <c r="D243" s="31">
        <v>1</v>
      </c>
      <c r="E243" s="70"/>
      <c r="F243" s="31"/>
      <c r="G243" s="32">
        <v>1.851</v>
      </c>
      <c r="H243" s="32"/>
      <c r="I243" s="32"/>
      <c r="J243" s="33"/>
      <c r="K243" s="34" t="str">
        <f t="shared" si="30"/>
        <v/>
      </c>
      <c r="L243" s="35"/>
      <c r="M243" s="36" t="str">
        <f t="shared" si="38"/>
        <v/>
      </c>
      <c r="N243" s="37"/>
      <c r="O243" s="29"/>
      <c r="P243" s="38"/>
      <c r="Q243" s="28"/>
      <c r="R243" s="28" t="s">
        <v>1332</v>
      </c>
      <c r="S243" s="28" t="s">
        <v>21</v>
      </c>
      <c r="T243" s="28"/>
      <c r="U243" s="28" t="s">
        <v>31</v>
      </c>
    </row>
    <row r="244" spans="1:21" s="27" customFormat="1" x14ac:dyDescent="0.25">
      <c r="A244" s="28" t="s">
        <v>21</v>
      </c>
      <c r="B244" s="28" t="s">
        <v>1304</v>
      </c>
      <c r="C244" s="28" t="s">
        <v>21</v>
      </c>
      <c r="D244" s="31">
        <v>1</v>
      </c>
      <c r="E244" s="70" t="s">
        <v>356</v>
      </c>
      <c r="F244" s="45">
        <v>601</v>
      </c>
      <c r="G244" s="32">
        <v>1.8460000000000001</v>
      </c>
      <c r="H244" s="32">
        <v>3.6989999999999998</v>
      </c>
      <c r="I244" s="32">
        <v>3.6840000000000002</v>
      </c>
      <c r="J244" s="33">
        <f>IF(O244&lt;&gt;"",(H244-I244)/O244,"")</f>
        <v>7.4999999999998401E-3</v>
      </c>
      <c r="K244" s="34" t="str">
        <f t="shared" ref="K244:K287" si="39">IF(J244=0,"",IF(OR(J244&lt;0,J244&gt;0.03),"X",""))</f>
        <v/>
      </c>
      <c r="L244" s="35">
        <f>F244/(O244*P244)</f>
        <v>7.5125000000000002</v>
      </c>
      <c r="M244" s="36" t="str">
        <f>IF(L244=0,"",IF(OR(L244&lt;7,L244&gt;7.8),"X",""))</f>
        <v/>
      </c>
      <c r="N244" s="37" t="s">
        <v>20</v>
      </c>
      <c r="O244" s="29">
        <v>2</v>
      </c>
      <c r="P244" s="38">
        <v>40</v>
      </c>
      <c r="Q244" s="28"/>
      <c r="R244" s="28" t="s">
        <v>1334</v>
      </c>
      <c r="S244" s="28" t="s">
        <v>21</v>
      </c>
      <c r="T244" s="28"/>
      <c r="U244" s="28" t="s">
        <v>31</v>
      </c>
    </row>
    <row r="245" spans="1:21" s="27" customFormat="1" x14ac:dyDescent="0.25">
      <c r="A245" s="28" t="s">
        <v>21</v>
      </c>
      <c r="B245" s="28" t="s">
        <v>21</v>
      </c>
      <c r="C245" s="28" t="s">
        <v>21</v>
      </c>
      <c r="D245" s="31">
        <v>1</v>
      </c>
      <c r="E245" s="70"/>
      <c r="F245" s="31"/>
      <c r="G245" s="32">
        <v>1.853</v>
      </c>
      <c r="H245" s="32"/>
      <c r="I245" s="32"/>
      <c r="J245" s="33"/>
      <c r="K245" s="34" t="str">
        <f t="shared" si="39"/>
        <v/>
      </c>
      <c r="L245" s="35"/>
      <c r="M245" s="36" t="str">
        <f t="shared" si="38"/>
        <v/>
      </c>
      <c r="N245" s="37"/>
      <c r="O245" s="29"/>
      <c r="P245" s="38"/>
      <c r="Q245" s="28"/>
      <c r="R245" s="28" t="s">
        <v>1335</v>
      </c>
      <c r="S245" s="28" t="s">
        <v>21</v>
      </c>
      <c r="T245" s="28"/>
      <c r="U245" s="28" t="s">
        <v>31</v>
      </c>
    </row>
    <row r="246" spans="1:21" s="27" customFormat="1" x14ac:dyDescent="0.25">
      <c r="A246" s="28" t="s">
        <v>21</v>
      </c>
      <c r="B246" s="28" t="s">
        <v>1305</v>
      </c>
      <c r="C246" s="28" t="s">
        <v>21</v>
      </c>
      <c r="D246" s="31">
        <v>1</v>
      </c>
      <c r="E246" s="70" t="s">
        <v>356</v>
      </c>
      <c r="F246" s="45">
        <v>601</v>
      </c>
      <c r="G246" s="32">
        <v>1.8480000000000001</v>
      </c>
      <c r="H246" s="32">
        <v>3.6909999999999998</v>
      </c>
      <c r="I246" s="32">
        <v>3.6779999999999999</v>
      </c>
      <c r="J246" s="33">
        <f>IF(O246&lt;&gt;"",(H246-I246)/O246,"")</f>
        <v>6.4999999999999503E-3</v>
      </c>
      <c r="K246" s="34" t="str">
        <f t="shared" si="39"/>
        <v/>
      </c>
      <c r="L246" s="35">
        <f>F246/(O246*P246)</f>
        <v>7.5125000000000002</v>
      </c>
      <c r="M246" s="36" t="str">
        <f>IF(L246=0,"",IF(OR(L246&lt;7,L246&gt;7.8),"X",""))</f>
        <v/>
      </c>
      <c r="N246" s="37" t="s">
        <v>20</v>
      </c>
      <c r="O246" s="29">
        <v>2</v>
      </c>
      <c r="P246" s="38">
        <v>40</v>
      </c>
      <c r="Q246" s="28"/>
      <c r="R246" s="28" t="s">
        <v>1336</v>
      </c>
      <c r="S246" s="28" t="s">
        <v>21</v>
      </c>
      <c r="T246" s="28"/>
      <c r="U246" s="28" t="s">
        <v>31</v>
      </c>
    </row>
    <row r="247" spans="1:21" s="27" customFormat="1" x14ac:dyDescent="0.25">
      <c r="A247" s="28" t="s">
        <v>21</v>
      </c>
      <c r="B247" s="28" t="s">
        <v>21</v>
      </c>
      <c r="C247" s="28" t="s">
        <v>21</v>
      </c>
      <c r="D247" s="31">
        <v>1</v>
      </c>
      <c r="E247" s="70"/>
      <c r="F247" s="31"/>
      <c r="G247" s="32">
        <v>1.843</v>
      </c>
      <c r="H247" s="32"/>
      <c r="I247" s="32"/>
      <c r="J247" s="33"/>
      <c r="K247" s="34" t="str">
        <f t="shared" si="39"/>
        <v/>
      </c>
      <c r="L247" s="35"/>
      <c r="M247" s="36" t="str">
        <f t="shared" si="38"/>
        <v/>
      </c>
      <c r="N247" s="37"/>
      <c r="O247" s="29"/>
      <c r="P247" s="38"/>
      <c r="Q247" s="28"/>
      <c r="R247" s="28" t="s">
        <v>1331</v>
      </c>
      <c r="S247" s="28" t="s">
        <v>21</v>
      </c>
      <c r="T247" s="28"/>
      <c r="U247" s="28" t="s">
        <v>31</v>
      </c>
    </row>
    <row r="248" spans="1:21" s="27" customFormat="1" x14ac:dyDescent="0.25">
      <c r="A248" s="28" t="s">
        <v>21</v>
      </c>
      <c r="B248" s="28" t="s">
        <v>1306</v>
      </c>
      <c r="C248" s="28" t="s">
        <v>21</v>
      </c>
      <c r="D248" s="31">
        <v>1</v>
      </c>
      <c r="E248" s="70" t="s">
        <v>407</v>
      </c>
      <c r="F248" s="45">
        <v>602</v>
      </c>
      <c r="G248" s="32">
        <v>1.851</v>
      </c>
      <c r="H248" s="32">
        <v>3.6970000000000001</v>
      </c>
      <c r="I248" s="32">
        <v>3.6819999999999999</v>
      </c>
      <c r="J248" s="33">
        <f>IF(O248&lt;&gt;"",(H248-I248)/O248,"")</f>
        <v>7.5000000000000622E-3</v>
      </c>
      <c r="K248" s="34" t="str">
        <f t="shared" si="39"/>
        <v/>
      </c>
      <c r="L248" s="35">
        <f>F248/(O248*P248)</f>
        <v>7.5250000000000004</v>
      </c>
      <c r="M248" s="36" t="str">
        <f>IF(L248=0,"",IF(OR(L248&lt;7,L248&gt;7.8),"X",""))</f>
        <v/>
      </c>
      <c r="N248" s="37" t="s">
        <v>20</v>
      </c>
      <c r="O248" s="29">
        <v>2</v>
      </c>
      <c r="P248" s="38">
        <v>40</v>
      </c>
      <c r="Q248" s="28"/>
      <c r="R248" s="28" t="s">
        <v>1338</v>
      </c>
      <c r="S248" s="28" t="s">
        <v>21</v>
      </c>
      <c r="T248" s="28"/>
      <c r="U248" s="28" t="s">
        <v>31</v>
      </c>
    </row>
    <row r="249" spans="1:21" s="27" customFormat="1" x14ac:dyDescent="0.25">
      <c r="A249" s="28" t="s">
        <v>21</v>
      </c>
      <c r="B249" s="28" t="s">
        <v>21</v>
      </c>
      <c r="C249" s="28" t="s">
        <v>21</v>
      </c>
      <c r="D249" s="31">
        <v>1</v>
      </c>
      <c r="E249" s="70"/>
      <c r="F249" s="31"/>
      <c r="G249" s="32">
        <v>1.847</v>
      </c>
      <c r="H249" s="32"/>
      <c r="I249" s="32"/>
      <c r="J249" s="33"/>
      <c r="K249" s="34" t="str">
        <f t="shared" si="39"/>
        <v/>
      </c>
      <c r="L249" s="35"/>
      <c r="M249" s="36" t="str">
        <f t="shared" si="38"/>
        <v/>
      </c>
      <c r="N249" s="37"/>
      <c r="O249" s="29"/>
      <c r="P249" s="38"/>
      <c r="Q249" s="28"/>
      <c r="R249" s="28" t="s">
        <v>1339</v>
      </c>
      <c r="S249" s="28" t="s">
        <v>21</v>
      </c>
      <c r="T249" s="28"/>
      <c r="U249" s="28" t="s">
        <v>31</v>
      </c>
    </row>
    <row r="250" spans="1:21" s="27" customFormat="1" x14ac:dyDescent="0.25">
      <c r="A250" s="28" t="s">
        <v>21</v>
      </c>
      <c r="B250" s="28" t="s">
        <v>1307</v>
      </c>
      <c r="C250" s="28" t="s">
        <v>21</v>
      </c>
      <c r="D250" s="31">
        <v>1</v>
      </c>
      <c r="E250" s="70" t="s">
        <v>231</v>
      </c>
      <c r="F250" s="45">
        <v>604</v>
      </c>
      <c r="G250" s="32">
        <v>1.841</v>
      </c>
      <c r="H250" s="32">
        <v>3.6850000000000001</v>
      </c>
      <c r="I250" s="32">
        <v>3.669</v>
      </c>
      <c r="J250" s="33">
        <f>IF(O250&lt;&gt;"",(H250-I250)/O250,"")</f>
        <v>8.0000000000000071E-3</v>
      </c>
      <c r="K250" s="34" t="str">
        <f t="shared" si="39"/>
        <v/>
      </c>
      <c r="L250" s="35">
        <f>F250/(O250*P250)</f>
        <v>7.55</v>
      </c>
      <c r="M250" s="36" t="str">
        <f>IF(L250=0,"",IF(OR(L250&lt;7,L250&gt;7.8),"X",""))</f>
        <v/>
      </c>
      <c r="N250" s="37" t="s">
        <v>20</v>
      </c>
      <c r="O250" s="29">
        <v>2</v>
      </c>
      <c r="P250" s="38">
        <v>40</v>
      </c>
      <c r="Q250" s="28"/>
      <c r="R250" s="28" t="s">
        <v>1333</v>
      </c>
      <c r="S250" s="28" t="s">
        <v>21</v>
      </c>
      <c r="T250" s="28"/>
      <c r="U250" s="28" t="s">
        <v>31</v>
      </c>
    </row>
    <row r="251" spans="1:21" s="27" customFormat="1" x14ac:dyDescent="0.25">
      <c r="A251" s="28" t="s">
        <v>21</v>
      </c>
      <c r="B251" s="28" t="s">
        <v>21</v>
      </c>
      <c r="C251" s="28" t="s">
        <v>21</v>
      </c>
      <c r="D251" s="31">
        <v>1</v>
      </c>
      <c r="E251" s="70"/>
      <c r="F251" s="31"/>
      <c r="G251" s="32">
        <v>1.8440000000000001</v>
      </c>
      <c r="H251" s="32"/>
      <c r="I251" s="32"/>
      <c r="J251" s="33"/>
      <c r="K251" s="34" t="str">
        <f t="shared" si="39"/>
        <v/>
      </c>
      <c r="L251" s="35"/>
      <c r="M251" s="36" t="str">
        <f t="shared" si="38"/>
        <v/>
      </c>
      <c r="N251" s="37"/>
      <c r="O251" s="29"/>
      <c r="P251" s="38"/>
      <c r="Q251" s="28"/>
      <c r="R251" s="28" t="s">
        <v>1340</v>
      </c>
      <c r="S251" s="28" t="s">
        <v>21</v>
      </c>
      <c r="T251" s="28"/>
      <c r="U251" s="28" t="s">
        <v>31</v>
      </c>
    </row>
    <row r="252" spans="1:21" s="27" customFormat="1" x14ac:dyDescent="0.25">
      <c r="A252" s="28" t="s">
        <v>21</v>
      </c>
      <c r="B252" s="28" t="s">
        <v>1308</v>
      </c>
      <c r="C252" s="28" t="s">
        <v>21</v>
      </c>
      <c r="D252" s="31">
        <v>1</v>
      </c>
      <c r="E252" s="30" t="s">
        <v>360</v>
      </c>
      <c r="F252" s="45">
        <v>604</v>
      </c>
      <c r="G252" s="32">
        <v>1.851</v>
      </c>
      <c r="H252" s="32">
        <v>3.698</v>
      </c>
      <c r="I252" s="32">
        <v>3.6840000000000002</v>
      </c>
      <c r="J252" s="33">
        <f>IF(O252&lt;&gt;"",(H252-I252)/O252,"")</f>
        <v>6.9999999999998952E-3</v>
      </c>
      <c r="K252" s="34" t="str">
        <f t="shared" si="39"/>
        <v/>
      </c>
      <c r="L252" s="35">
        <f>F252/(O252*P252)</f>
        <v>7.55</v>
      </c>
      <c r="M252" s="36" t="str">
        <f>IF(L252=0,"",IF(OR(L252&lt;7,L252&gt;7.8),"X",""))</f>
        <v/>
      </c>
      <c r="N252" s="37" t="s">
        <v>20</v>
      </c>
      <c r="O252" s="29">
        <v>2</v>
      </c>
      <c r="P252" s="38">
        <v>40</v>
      </c>
      <c r="Q252" s="28"/>
      <c r="R252" s="28" t="s">
        <v>1341</v>
      </c>
      <c r="S252" s="47"/>
      <c r="T252" s="28"/>
      <c r="U252" s="28" t="s">
        <v>31</v>
      </c>
    </row>
    <row r="253" spans="1:21" s="27" customFormat="1" x14ac:dyDescent="0.25">
      <c r="A253" s="28" t="s">
        <v>21</v>
      </c>
      <c r="B253" s="28" t="s">
        <v>21</v>
      </c>
      <c r="C253" s="28" t="s">
        <v>21</v>
      </c>
      <c r="D253" s="31">
        <v>1</v>
      </c>
      <c r="E253" s="30"/>
      <c r="F253" s="31"/>
      <c r="G253" s="32">
        <v>1.8480000000000001</v>
      </c>
      <c r="H253" s="32"/>
      <c r="I253" s="32"/>
      <c r="J253" s="33"/>
      <c r="K253" s="34" t="str">
        <f t="shared" si="39"/>
        <v/>
      </c>
      <c r="L253" s="35"/>
      <c r="M253" s="36" t="str">
        <f t="shared" si="38"/>
        <v/>
      </c>
      <c r="N253" s="37"/>
      <c r="O253" s="29"/>
      <c r="P253" s="38"/>
      <c r="Q253" s="28"/>
      <c r="R253" s="28" t="s">
        <v>1337</v>
      </c>
      <c r="S253" s="47"/>
      <c r="T253" s="28"/>
      <c r="U253" s="28" t="s">
        <v>31</v>
      </c>
    </row>
    <row r="254" spans="1:21" s="27" customFormat="1" x14ac:dyDescent="0.25">
      <c r="A254" s="28" t="s">
        <v>21</v>
      </c>
      <c r="B254" s="28" t="s">
        <v>1309</v>
      </c>
      <c r="C254" s="28" t="s">
        <v>21</v>
      </c>
      <c r="D254" s="31">
        <v>1</v>
      </c>
      <c r="E254" s="30" t="s">
        <v>360</v>
      </c>
      <c r="F254" s="45">
        <v>601</v>
      </c>
      <c r="G254" s="32">
        <v>1.8420000000000001</v>
      </c>
      <c r="H254" s="32">
        <v>3.6859999999999999</v>
      </c>
      <c r="I254" s="32">
        <v>3.67</v>
      </c>
      <c r="J254" s="33">
        <f>IF(O254&lt;&gt;"",(H254-I254)/O254,"")</f>
        <v>8.0000000000000071E-3</v>
      </c>
      <c r="K254" s="34" t="str">
        <f t="shared" si="39"/>
        <v/>
      </c>
      <c r="L254" s="35">
        <f>F254/(O254*P254)</f>
        <v>7.5125000000000002</v>
      </c>
      <c r="M254" s="36" t="str">
        <f>IF(L254=0,"",IF(OR(L254&lt;7,L254&gt;7.8),"X",""))</f>
        <v/>
      </c>
      <c r="N254" s="37" t="s">
        <v>20</v>
      </c>
      <c r="O254" s="29">
        <v>2</v>
      </c>
      <c r="P254" s="38">
        <v>40</v>
      </c>
      <c r="Q254" s="28"/>
      <c r="R254" s="28" t="s">
        <v>1342</v>
      </c>
      <c r="S254" s="47"/>
      <c r="T254" s="28"/>
      <c r="U254" s="28" t="s">
        <v>31</v>
      </c>
    </row>
    <row r="255" spans="1:21" s="27" customFormat="1" x14ac:dyDescent="0.25">
      <c r="A255" s="28" t="s">
        <v>21</v>
      </c>
      <c r="B255" s="28" t="s">
        <v>21</v>
      </c>
      <c r="C255" s="28">
        <v>772821</v>
      </c>
      <c r="D255" s="31">
        <v>1</v>
      </c>
      <c r="E255" s="30"/>
      <c r="F255" s="31"/>
      <c r="G255" s="32">
        <v>1.845</v>
      </c>
      <c r="H255" s="32"/>
      <c r="I255" s="32"/>
      <c r="J255" s="33"/>
      <c r="K255" s="34" t="str">
        <f t="shared" si="39"/>
        <v/>
      </c>
      <c r="L255" s="35"/>
      <c r="M255" s="36" t="str">
        <f t="shared" si="38"/>
        <v/>
      </c>
      <c r="N255" s="37"/>
      <c r="O255" s="29"/>
      <c r="P255" s="38"/>
      <c r="Q255" s="28"/>
      <c r="R255" s="28" t="s">
        <v>1343</v>
      </c>
      <c r="S255" s="47"/>
      <c r="T255" s="28"/>
      <c r="U255" s="28" t="s">
        <v>31</v>
      </c>
    </row>
    <row r="256" spans="1:21" s="27" customFormat="1" x14ac:dyDescent="0.25">
      <c r="A256" s="28" t="s">
        <v>21</v>
      </c>
      <c r="B256" s="28" t="s">
        <v>1310</v>
      </c>
      <c r="C256" s="28" t="s">
        <v>21</v>
      </c>
      <c r="D256" s="31">
        <v>1</v>
      </c>
      <c r="E256" s="30" t="s">
        <v>269</v>
      </c>
      <c r="F256" s="45">
        <v>603</v>
      </c>
      <c r="G256" s="32">
        <v>1.8360000000000001</v>
      </c>
      <c r="H256" s="32">
        <v>3.68</v>
      </c>
      <c r="I256" s="32">
        <v>3.6659999999999999</v>
      </c>
      <c r="J256" s="33">
        <f>IF(O256&lt;&gt;"",(H256-I256)/O256,"")</f>
        <v>7.0000000000001172E-3</v>
      </c>
      <c r="K256" s="34" t="str">
        <f t="shared" si="39"/>
        <v/>
      </c>
      <c r="L256" s="35">
        <f>F256/(O256*P256)</f>
        <v>7.5374999999999996</v>
      </c>
      <c r="M256" s="36" t="str">
        <f>IF(L256=0,"",IF(OR(L256&lt;7,L256&gt;7.8),"X",""))</f>
        <v/>
      </c>
      <c r="N256" s="37" t="s">
        <v>20</v>
      </c>
      <c r="O256" s="29">
        <v>2</v>
      </c>
      <c r="P256" s="38">
        <v>40</v>
      </c>
      <c r="Q256" s="28"/>
      <c r="R256" s="28" t="s">
        <v>1344</v>
      </c>
      <c r="S256" s="47"/>
      <c r="T256" s="28"/>
      <c r="U256" s="28" t="s">
        <v>31</v>
      </c>
    </row>
    <row r="257" spans="1:21" s="27" customFormat="1" x14ac:dyDescent="0.25">
      <c r="A257" s="28" t="s">
        <v>21</v>
      </c>
      <c r="B257" s="28" t="s">
        <v>21</v>
      </c>
      <c r="C257" s="28" t="s">
        <v>21</v>
      </c>
      <c r="D257" s="31">
        <v>1</v>
      </c>
      <c r="E257" s="30"/>
      <c r="F257" s="31"/>
      <c r="G257" s="32">
        <v>1.845</v>
      </c>
      <c r="H257" s="32"/>
      <c r="I257" s="32"/>
      <c r="J257" s="33"/>
      <c r="K257" s="34" t="str">
        <f t="shared" si="39"/>
        <v/>
      </c>
      <c r="L257" s="35"/>
      <c r="M257" s="36" t="str">
        <f t="shared" si="38"/>
        <v/>
      </c>
      <c r="N257" s="37"/>
      <c r="O257" s="29"/>
      <c r="P257" s="38"/>
      <c r="Q257" s="28"/>
      <c r="R257" s="28" t="s">
        <v>1345</v>
      </c>
      <c r="S257" s="47"/>
      <c r="T257" s="28"/>
      <c r="U257" s="28" t="s">
        <v>31</v>
      </c>
    </row>
    <row r="258" spans="1:21" s="27" customFormat="1" x14ac:dyDescent="0.25">
      <c r="A258" s="28" t="s">
        <v>21</v>
      </c>
      <c r="B258" s="28" t="s">
        <v>1311</v>
      </c>
      <c r="C258" s="28" t="s">
        <v>21</v>
      </c>
      <c r="D258" s="31">
        <v>1</v>
      </c>
      <c r="E258" s="30" t="s">
        <v>63</v>
      </c>
      <c r="F258" s="45">
        <v>603</v>
      </c>
      <c r="G258" s="32">
        <v>1.835</v>
      </c>
      <c r="H258" s="32">
        <v>3.6659999999999999</v>
      </c>
      <c r="I258" s="32">
        <v>3.65</v>
      </c>
      <c r="J258" s="33">
        <f>IF(O258&lt;&gt;"",(H258-I258)/O258,"")</f>
        <v>8.0000000000000071E-3</v>
      </c>
      <c r="K258" s="34" t="str">
        <f t="shared" si="39"/>
        <v/>
      </c>
      <c r="L258" s="35">
        <f>F258/(O258*P258)</f>
        <v>7.5374999999999996</v>
      </c>
      <c r="M258" s="36" t="str">
        <f>IF(L258=0,"",IF(OR(L258&lt;7,L258&gt;7.8),"X",""))</f>
        <v/>
      </c>
      <c r="N258" s="37" t="s">
        <v>20</v>
      </c>
      <c r="O258" s="29">
        <v>2</v>
      </c>
      <c r="P258" s="38">
        <v>40</v>
      </c>
      <c r="Q258" s="28"/>
      <c r="R258" s="28" t="s">
        <v>1346</v>
      </c>
      <c r="S258" s="47"/>
      <c r="T258" s="28"/>
      <c r="U258" s="28" t="s">
        <v>31</v>
      </c>
    </row>
    <row r="259" spans="1:21" s="27" customFormat="1" x14ac:dyDescent="0.25">
      <c r="A259" s="28" t="s">
        <v>21</v>
      </c>
      <c r="B259" s="28" t="s">
        <v>21</v>
      </c>
      <c r="C259" s="28" t="s">
        <v>21</v>
      </c>
      <c r="D259" s="31">
        <v>1</v>
      </c>
      <c r="E259" s="30"/>
      <c r="F259" s="31"/>
      <c r="G259" s="32">
        <v>1.831</v>
      </c>
      <c r="H259" s="32"/>
      <c r="I259" s="32"/>
      <c r="J259" s="33"/>
      <c r="K259" s="34" t="str">
        <f t="shared" si="39"/>
        <v/>
      </c>
      <c r="L259" s="35"/>
      <c r="M259" s="36" t="str">
        <f t="shared" si="38"/>
        <v/>
      </c>
      <c r="N259" s="37"/>
      <c r="O259" s="29"/>
      <c r="P259" s="38"/>
      <c r="Q259" s="28"/>
      <c r="R259" s="28" t="s">
        <v>1347</v>
      </c>
      <c r="S259" s="47"/>
      <c r="T259" s="28"/>
      <c r="U259" s="28" t="s">
        <v>31</v>
      </c>
    </row>
    <row r="260" spans="1:21" s="27" customFormat="1" x14ac:dyDescent="0.25">
      <c r="A260" s="28" t="s">
        <v>21</v>
      </c>
      <c r="B260" s="28" t="s">
        <v>1312</v>
      </c>
      <c r="C260" s="28" t="s">
        <v>21</v>
      </c>
      <c r="D260" s="31">
        <v>1</v>
      </c>
      <c r="E260" s="30" t="s">
        <v>63</v>
      </c>
      <c r="F260" s="45">
        <v>602</v>
      </c>
      <c r="G260" s="32">
        <v>1.843</v>
      </c>
      <c r="H260" s="32">
        <v>3.6890000000000001</v>
      </c>
      <c r="I260" s="32">
        <v>3.6720000000000002</v>
      </c>
      <c r="J260" s="33">
        <f>IF(O260&lt;&gt;"",(H260-I260)/O260,"")</f>
        <v>8.499999999999952E-3</v>
      </c>
      <c r="K260" s="34" t="str">
        <f t="shared" si="39"/>
        <v/>
      </c>
      <c r="L260" s="35">
        <f>F260/(O260*P260)</f>
        <v>7.5250000000000004</v>
      </c>
      <c r="M260" s="36" t="str">
        <f>IF(L260=0,"",IF(OR(L260&lt;7,L260&gt;7.8),"X",""))</f>
        <v/>
      </c>
      <c r="N260" s="37" t="s">
        <v>20</v>
      </c>
      <c r="O260" s="29">
        <v>2</v>
      </c>
      <c r="P260" s="38">
        <v>40</v>
      </c>
      <c r="Q260" s="28"/>
      <c r="R260" s="28" t="s">
        <v>1349</v>
      </c>
      <c r="S260" s="47"/>
      <c r="T260" s="28"/>
      <c r="U260" s="28" t="s">
        <v>31</v>
      </c>
    </row>
    <row r="261" spans="1:21" s="27" customFormat="1" x14ac:dyDescent="0.25">
      <c r="A261" s="28" t="s">
        <v>21</v>
      </c>
      <c r="B261" s="28" t="s">
        <v>21</v>
      </c>
      <c r="C261" s="28" t="s">
        <v>21</v>
      </c>
      <c r="D261" s="31">
        <v>1</v>
      </c>
      <c r="E261" s="30"/>
      <c r="F261" s="31"/>
      <c r="G261" s="32">
        <v>1.847</v>
      </c>
      <c r="H261" s="32"/>
      <c r="I261" s="32"/>
      <c r="J261" s="33"/>
      <c r="K261" s="34" t="str">
        <f t="shared" si="39"/>
        <v/>
      </c>
      <c r="L261" s="35"/>
      <c r="M261" s="36" t="str">
        <f t="shared" si="38"/>
        <v/>
      </c>
      <c r="N261" s="37"/>
      <c r="O261" s="29"/>
      <c r="P261" s="38"/>
      <c r="Q261" s="28"/>
      <c r="R261" s="28" t="s">
        <v>1348</v>
      </c>
      <c r="S261" s="47"/>
      <c r="T261" s="28"/>
      <c r="U261" s="28" t="s">
        <v>31</v>
      </c>
    </row>
    <row r="262" spans="1:21" s="27" customFormat="1" x14ac:dyDescent="0.25">
      <c r="A262" s="28" t="s">
        <v>21</v>
      </c>
      <c r="B262" s="28" t="s">
        <v>1313</v>
      </c>
      <c r="C262" s="28" t="s">
        <v>21</v>
      </c>
      <c r="D262" s="31">
        <v>1</v>
      </c>
      <c r="E262" s="70" t="s">
        <v>408</v>
      </c>
      <c r="F262" s="45">
        <v>601</v>
      </c>
      <c r="G262" s="32">
        <v>1.861</v>
      </c>
      <c r="H262" s="32">
        <v>3.7160000000000002</v>
      </c>
      <c r="I262" s="32">
        <v>3.7</v>
      </c>
      <c r="J262" s="33">
        <f>IF(O262&lt;&gt;"",(H262-I262)/O262,"")</f>
        <v>8.0000000000000071E-3</v>
      </c>
      <c r="K262" s="34" t="str">
        <f t="shared" si="39"/>
        <v/>
      </c>
      <c r="L262" s="35">
        <f>F262/(O262*P262)</f>
        <v>7.5125000000000002</v>
      </c>
      <c r="M262" s="36" t="str">
        <f>IF(L262=0,"",IF(OR(L262&lt;7,L262&gt;7.8),"X",""))</f>
        <v/>
      </c>
      <c r="N262" s="37" t="s">
        <v>20</v>
      </c>
      <c r="O262" s="29">
        <v>2</v>
      </c>
      <c r="P262" s="38">
        <v>40</v>
      </c>
      <c r="Q262" s="28"/>
      <c r="R262" s="28" t="s">
        <v>1351</v>
      </c>
      <c r="S262" s="71" t="s">
        <v>58</v>
      </c>
      <c r="T262" s="28"/>
      <c r="U262" s="28" t="s">
        <v>31</v>
      </c>
    </row>
    <row r="263" spans="1:21" s="27" customFormat="1" x14ac:dyDescent="0.25">
      <c r="A263" s="28" t="s">
        <v>21</v>
      </c>
      <c r="B263" s="28" t="s">
        <v>21</v>
      </c>
      <c r="C263" s="28" t="s">
        <v>21</v>
      </c>
      <c r="D263" s="31">
        <v>1</v>
      </c>
      <c r="E263" s="70"/>
      <c r="F263" s="31"/>
      <c r="G263" s="32">
        <v>1.8560000000000001</v>
      </c>
      <c r="H263" s="32"/>
      <c r="I263" s="32"/>
      <c r="J263" s="33"/>
      <c r="K263" s="34" t="str">
        <f t="shared" si="39"/>
        <v/>
      </c>
      <c r="L263" s="35"/>
      <c r="M263" s="36" t="str">
        <f t="shared" si="38"/>
        <v/>
      </c>
      <c r="N263" s="37"/>
      <c r="O263" s="29"/>
      <c r="P263" s="38"/>
      <c r="Q263" s="28"/>
      <c r="R263" s="28" t="s">
        <v>1352</v>
      </c>
      <c r="S263" s="71" t="s">
        <v>59</v>
      </c>
      <c r="T263" s="28"/>
      <c r="U263" s="28" t="s">
        <v>31</v>
      </c>
    </row>
    <row r="264" spans="1:21" s="27" customFormat="1" x14ac:dyDescent="0.25">
      <c r="A264" s="28" t="s">
        <v>21</v>
      </c>
      <c r="B264" s="28" t="s">
        <v>1314</v>
      </c>
      <c r="C264" s="28" t="s">
        <v>21</v>
      </c>
      <c r="D264" s="31">
        <v>1</v>
      </c>
      <c r="E264" s="70" t="s">
        <v>484</v>
      </c>
      <c r="F264" s="45">
        <v>600</v>
      </c>
      <c r="G264" s="32">
        <v>1.845</v>
      </c>
      <c r="H264" s="32">
        <v>3.6890000000000001</v>
      </c>
      <c r="I264" s="32">
        <v>3.6720000000000002</v>
      </c>
      <c r="J264" s="33">
        <f>IF(O264&lt;&gt;"",(H264-I264)/O264,"")</f>
        <v>8.499999999999952E-3</v>
      </c>
      <c r="K264" s="34" t="str">
        <f t="shared" si="39"/>
        <v/>
      </c>
      <c r="L264" s="35">
        <f>F264/(O264*P264)</f>
        <v>7.5</v>
      </c>
      <c r="M264" s="36" t="str">
        <f>IF(L264=0,"",IF(OR(L264&lt;7,L264&gt;7.8),"X",""))</f>
        <v/>
      </c>
      <c r="N264" s="37" t="s">
        <v>20</v>
      </c>
      <c r="O264" s="29">
        <v>2</v>
      </c>
      <c r="P264" s="38">
        <v>40</v>
      </c>
      <c r="Q264" s="28"/>
      <c r="R264" s="28" t="s">
        <v>1353</v>
      </c>
      <c r="S264" s="28" t="s">
        <v>21</v>
      </c>
      <c r="T264" s="28"/>
      <c r="U264" s="28" t="s">
        <v>31</v>
      </c>
    </row>
    <row r="265" spans="1:21" s="27" customFormat="1" x14ac:dyDescent="0.25">
      <c r="A265" s="28" t="s">
        <v>21</v>
      </c>
      <c r="B265" s="28" t="s">
        <v>21</v>
      </c>
      <c r="C265" s="28" t="s">
        <v>21</v>
      </c>
      <c r="D265" s="31">
        <v>1</v>
      </c>
      <c r="E265" s="70"/>
      <c r="F265" s="31"/>
      <c r="G265" s="32">
        <v>1.8440000000000001</v>
      </c>
      <c r="H265" s="32"/>
      <c r="I265" s="32"/>
      <c r="J265" s="33"/>
      <c r="K265" s="34" t="str">
        <f t="shared" si="39"/>
        <v/>
      </c>
      <c r="L265" s="35"/>
      <c r="M265" s="36" t="str">
        <f t="shared" si="38"/>
        <v/>
      </c>
      <c r="N265" s="37"/>
      <c r="O265" s="29"/>
      <c r="P265" s="38"/>
      <c r="Q265" s="28"/>
      <c r="R265" s="28" t="s">
        <v>1354</v>
      </c>
      <c r="S265" s="28" t="s">
        <v>21</v>
      </c>
      <c r="T265" s="28"/>
      <c r="U265" s="28" t="s">
        <v>31</v>
      </c>
    </row>
    <row r="266" spans="1:21" s="27" customFormat="1" x14ac:dyDescent="0.25">
      <c r="A266" s="28" t="s">
        <v>21</v>
      </c>
      <c r="B266" s="28" t="s">
        <v>1315</v>
      </c>
      <c r="C266" s="28" t="s">
        <v>21</v>
      </c>
      <c r="D266" s="31">
        <v>1</v>
      </c>
      <c r="E266" s="70" t="s">
        <v>231</v>
      </c>
      <c r="F266" s="45">
        <v>601</v>
      </c>
      <c r="G266" s="32">
        <v>1.843</v>
      </c>
      <c r="H266" s="32">
        <v>3.6869999999999998</v>
      </c>
      <c r="I266" s="32">
        <v>3.6709999999999998</v>
      </c>
      <c r="J266" s="33">
        <f>IF(O266&lt;&gt;"",(H266-I266)/O266,"")</f>
        <v>8.0000000000000071E-3</v>
      </c>
      <c r="K266" s="34" t="str">
        <f t="shared" si="39"/>
        <v/>
      </c>
      <c r="L266" s="35">
        <f>F266/(O266*P266)</f>
        <v>7.5125000000000002</v>
      </c>
      <c r="M266" s="36" t="str">
        <f>IF(L266=0,"",IF(OR(L266&lt;7,L266&gt;7.8),"X",""))</f>
        <v/>
      </c>
      <c r="N266" s="37" t="s">
        <v>20</v>
      </c>
      <c r="O266" s="29">
        <v>2</v>
      </c>
      <c r="P266" s="38">
        <v>40</v>
      </c>
      <c r="Q266" s="28"/>
      <c r="R266" s="28" t="s">
        <v>1356</v>
      </c>
      <c r="S266" s="28" t="s">
        <v>21</v>
      </c>
      <c r="T266" s="28"/>
      <c r="U266" s="28" t="s">
        <v>31</v>
      </c>
    </row>
    <row r="267" spans="1:21" s="27" customFormat="1" x14ac:dyDescent="0.25">
      <c r="A267" s="28" t="s">
        <v>21</v>
      </c>
      <c r="B267" s="28" t="s">
        <v>21</v>
      </c>
      <c r="C267" s="28" t="s">
        <v>21</v>
      </c>
      <c r="D267" s="31">
        <v>1</v>
      </c>
      <c r="E267" s="70"/>
      <c r="F267" s="31"/>
      <c r="G267" s="32">
        <v>1.8440000000000001</v>
      </c>
      <c r="H267" s="32"/>
      <c r="I267" s="32"/>
      <c r="J267" s="33"/>
      <c r="K267" s="34" t="str">
        <f t="shared" si="39"/>
        <v/>
      </c>
      <c r="L267" s="35"/>
      <c r="M267" s="36" t="str">
        <f t="shared" si="38"/>
        <v/>
      </c>
      <c r="N267" s="37"/>
      <c r="O267" s="29"/>
      <c r="P267" s="38"/>
      <c r="Q267" s="28"/>
      <c r="R267" s="28" t="s">
        <v>1355</v>
      </c>
      <c r="S267" s="28" t="s">
        <v>21</v>
      </c>
      <c r="T267" s="28"/>
      <c r="U267" s="28" t="s">
        <v>31</v>
      </c>
    </row>
    <row r="268" spans="1:21" s="27" customFormat="1" x14ac:dyDescent="0.25">
      <c r="A268" s="28" t="s">
        <v>21</v>
      </c>
      <c r="B268" s="28" t="s">
        <v>1316</v>
      </c>
      <c r="C268" s="28" t="s">
        <v>21</v>
      </c>
      <c r="D268" s="31">
        <v>1</v>
      </c>
      <c r="E268" s="70" t="s">
        <v>409</v>
      </c>
      <c r="F268" s="45">
        <v>600</v>
      </c>
      <c r="G268" s="32">
        <v>1.845</v>
      </c>
      <c r="H268" s="32">
        <v>3.69</v>
      </c>
      <c r="I268" s="32">
        <v>3.6739999999999999</v>
      </c>
      <c r="J268" s="33">
        <f>IF(O268&lt;&gt;"",(H268-I268)/O268,"")</f>
        <v>8.0000000000000071E-3</v>
      </c>
      <c r="K268" s="34" t="str">
        <f t="shared" si="39"/>
        <v/>
      </c>
      <c r="L268" s="35">
        <f>F268/(O268*P268)</f>
        <v>7.5</v>
      </c>
      <c r="M268" s="36" t="str">
        <f>IF(L268=0,"",IF(OR(L268&lt;7,L268&gt;7.8),"X",""))</f>
        <v/>
      </c>
      <c r="N268" s="37" t="s">
        <v>20</v>
      </c>
      <c r="O268" s="29">
        <v>2</v>
      </c>
      <c r="P268" s="38">
        <v>40</v>
      </c>
      <c r="Q268" s="28"/>
      <c r="R268" s="28" t="s">
        <v>1359</v>
      </c>
      <c r="S268" s="28" t="s">
        <v>21</v>
      </c>
      <c r="T268" s="28"/>
      <c r="U268" s="28" t="s">
        <v>31</v>
      </c>
    </row>
    <row r="269" spans="1:21" s="27" customFormat="1" x14ac:dyDescent="0.25">
      <c r="A269" s="28" t="s">
        <v>21</v>
      </c>
      <c r="B269" s="28" t="s">
        <v>21</v>
      </c>
      <c r="C269" s="28" t="s">
        <v>21</v>
      </c>
      <c r="D269" s="31">
        <v>1</v>
      </c>
      <c r="E269" s="70"/>
      <c r="F269" s="31"/>
      <c r="G269" s="32">
        <v>1.845</v>
      </c>
      <c r="H269" s="32"/>
      <c r="I269" s="32"/>
      <c r="J269" s="33"/>
      <c r="K269" s="34" t="str">
        <f t="shared" si="39"/>
        <v/>
      </c>
      <c r="L269" s="35"/>
      <c r="M269" s="36" t="str">
        <f t="shared" si="38"/>
        <v/>
      </c>
      <c r="N269" s="37"/>
      <c r="O269" s="29"/>
      <c r="P269" s="38"/>
      <c r="Q269" s="28"/>
      <c r="R269" s="28" t="s">
        <v>1357</v>
      </c>
      <c r="S269" s="28" t="s">
        <v>21</v>
      </c>
      <c r="T269" s="28"/>
      <c r="U269" s="28" t="s">
        <v>31</v>
      </c>
    </row>
    <row r="270" spans="1:21" s="27" customFormat="1" x14ac:dyDescent="0.25">
      <c r="A270" s="28" t="s">
        <v>21</v>
      </c>
      <c r="B270" s="28" t="s">
        <v>1317</v>
      </c>
      <c r="C270" s="28" t="s">
        <v>21</v>
      </c>
      <c r="D270" s="31">
        <v>1</v>
      </c>
      <c r="E270" s="70" t="s">
        <v>1299</v>
      </c>
      <c r="F270" s="45">
        <v>600</v>
      </c>
      <c r="G270" s="32">
        <v>1.8360000000000001</v>
      </c>
      <c r="H270" s="32">
        <v>3.6880000000000002</v>
      </c>
      <c r="I270" s="32">
        <v>3.673</v>
      </c>
      <c r="J270" s="33">
        <f>IF(O270&lt;&gt;"",(H270-I270)/O270,"")</f>
        <v>7.5000000000000622E-3</v>
      </c>
      <c r="K270" s="34" t="str">
        <f t="shared" si="39"/>
        <v/>
      </c>
      <c r="L270" s="35">
        <f>F270/(O270*P270)</f>
        <v>7.5</v>
      </c>
      <c r="M270" s="36" t="str">
        <f>IF(L270=0,"",IF(OR(L270&lt;7,L270&gt;7.8),"X",""))</f>
        <v/>
      </c>
      <c r="N270" s="37" t="s">
        <v>20</v>
      </c>
      <c r="O270" s="29">
        <v>2</v>
      </c>
      <c r="P270" s="38">
        <v>40</v>
      </c>
      <c r="Q270" s="28"/>
      <c r="R270" s="28" t="s">
        <v>1360</v>
      </c>
      <c r="S270" s="28" t="s">
        <v>21</v>
      </c>
      <c r="T270" s="28"/>
      <c r="U270" s="28" t="s">
        <v>31</v>
      </c>
    </row>
    <row r="271" spans="1:21" s="27" customFormat="1" x14ac:dyDescent="0.25">
      <c r="A271" s="28" t="s">
        <v>21</v>
      </c>
      <c r="B271" s="28" t="s">
        <v>21</v>
      </c>
      <c r="C271" s="28" t="s">
        <v>21</v>
      </c>
      <c r="D271" s="31">
        <v>1</v>
      </c>
      <c r="E271" s="70"/>
      <c r="F271" s="31"/>
      <c r="G271" s="32">
        <v>1.841</v>
      </c>
      <c r="H271" s="32"/>
      <c r="I271" s="32"/>
      <c r="J271" s="33"/>
      <c r="K271" s="34" t="str">
        <f t="shared" si="39"/>
        <v/>
      </c>
      <c r="L271" s="35"/>
      <c r="M271" s="36" t="str">
        <f t="shared" si="38"/>
        <v/>
      </c>
      <c r="N271" s="37"/>
      <c r="O271" s="29"/>
      <c r="P271" s="38"/>
      <c r="Q271" s="28"/>
      <c r="R271" s="28" t="s">
        <v>1358</v>
      </c>
      <c r="S271" s="28" t="s">
        <v>21</v>
      </c>
      <c r="T271" s="28"/>
      <c r="U271" s="28" t="s">
        <v>31</v>
      </c>
    </row>
    <row r="272" spans="1:21" s="27" customFormat="1" x14ac:dyDescent="0.25">
      <c r="A272" s="28" t="s">
        <v>21</v>
      </c>
      <c r="B272" s="28" t="s">
        <v>1318</v>
      </c>
      <c r="C272" s="28" t="s">
        <v>21</v>
      </c>
      <c r="D272" s="31">
        <v>1</v>
      </c>
      <c r="E272" s="30" t="s">
        <v>1089</v>
      </c>
      <c r="F272" s="45">
        <v>603</v>
      </c>
      <c r="G272" s="32">
        <v>1.843</v>
      </c>
      <c r="H272" s="32">
        <v>3.6890000000000001</v>
      </c>
      <c r="I272" s="32">
        <v>3.6720000000000002</v>
      </c>
      <c r="J272" s="33">
        <f>IF(O272&lt;&gt;"",(H272-I272)/O272,"")</f>
        <v>8.499999999999952E-3</v>
      </c>
      <c r="K272" s="34" t="str">
        <f t="shared" si="39"/>
        <v/>
      </c>
      <c r="L272" s="35">
        <f>F272/(O272*P272)</f>
        <v>7.5374999999999996</v>
      </c>
      <c r="M272" s="36" t="str">
        <f>IF(L272=0,"",IF(OR(L272&lt;7,L272&gt;7.8),"X",""))</f>
        <v/>
      </c>
      <c r="N272" s="37" t="s">
        <v>20</v>
      </c>
      <c r="O272" s="29">
        <v>2</v>
      </c>
      <c r="P272" s="38">
        <v>40</v>
      </c>
      <c r="Q272" s="28"/>
      <c r="R272" s="28" t="s">
        <v>1361</v>
      </c>
      <c r="S272" s="28"/>
      <c r="T272" s="28"/>
      <c r="U272" s="28" t="s">
        <v>31</v>
      </c>
    </row>
    <row r="273" spans="1:21" s="27" customFormat="1" x14ac:dyDescent="0.25">
      <c r="A273" s="28" t="s">
        <v>21</v>
      </c>
      <c r="B273" s="28" t="s">
        <v>21</v>
      </c>
      <c r="C273" s="28" t="s">
        <v>21</v>
      </c>
      <c r="D273" s="31">
        <v>1</v>
      </c>
      <c r="E273" s="30"/>
      <c r="F273" s="31"/>
      <c r="G273" s="32">
        <v>1.8460000000000001</v>
      </c>
      <c r="H273" s="32"/>
      <c r="I273" s="32"/>
      <c r="J273" s="33"/>
      <c r="K273" s="34" t="str">
        <f t="shared" si="39"/>
        <v/>
      </c>
      <c r="L273" s="35"/>
      <c r="M273" s="36" t="str">
        <f t="shared" si="38"/>
        <v/>
      </c>
      <c r="N273" s="37"/>
      <c r="O273" s="29"/>
      <c r="P273" s="38"/>
      <c r="Q273" s="28"/>
      <c r="R273" s="28" t="s">
        <v>1362</v>
      </c>
      <c r="S273" s="28"/>
      <c r="T273" s="28"/>
      <c r="U273" s="28" t="s">
        <v>31</v>
      </c>
    </row>
    <row r="274" spans="1:21" s="27" customFormat="1" x14ac:dyDescent="0.25">
      <c r="A274" s="28" t="s">
        <v>21</v>
      </c>
      <c r="B274" s="28" t="s">
        <v>1319</v>
      </c>
      <c r="C274" s="28" t="s">
        <v>21</v>
      </c>
      <c r="D274" s="31">
        <v>1</v>
      </c>
      <c r="E274" s="30" t="s">
        <v>1367</v>
      </c>
      <c r="F274" s="45">
        <v>600</v>
      </c>
      <c r="G274" s="32">
        <v>1.8380000000000001</v>
      </c>
      <c r="H274" s="32">
        <v>3.681</v>
      </c>
      <c r="I274" s="32">
        <v>3.6680000000000001</v>
      </c>
      <c r="J274" s="33">
        <f>IF(O274&lt;&gt;"",(H274-I274)/O274,"")</f>
        <v>6.4999999999999503E-3</v>
      </c>
      <c r="K274" s="34" t="str">
        <f t="shared" si="39"/>
        <v/>
      </c>
      <c r="L274" s="35">
        <f>F274/(O274*P274)</f>
        <v>7.5</v>
      </c>
      <c r="M274" s="36" t="str">
        <f>IF(L274=0,"",IF(OR(L274&lt;7,L274&gt;7.8),"X",""))</f>
        <v/>
      </c>
      <c r="N274" s="37" t="s">
        <v>20</v>
      </c>
      <c r="O274" s="29">
        <v>2</v>
      </c>
      <c r="P274" s="38">
        <v>40</v>
      </c>
      <c r="Q274" s="28"/>
      <c r="R274" s="28" t="s">
        <v>1363</v>
      </c>
      <c r="S274" s="28"/>
      <c r="T274" s="28"/>
      <c r="U274" s="28" t="s">
        <v>31</v>
      </c>
    </row>
    <row r="275" spans="1:21" s="27" customFormat="1" x14ac:dyDescent="0.25">
      <c r="A275" s="28" t="s">
        <v>21</v>
      </c>
      <c r="B275" s="28" t="s">
        <v>21</v>
      </c>
      <c r="C275" s="28">
        <v>772821</v>
      </c>
      <c r="D275" s="31">
        <v>1</v>
      </c>
      <c r="E275" s="30"/>
      <c r="F275" s="31"/>
      <c r="G275" s="32">
        <v>1.8440000000000001</v>
      </c>
      <c r="H275" s="32"/>
      <c r="I275" s="32"/>
      <c r="J275" s="33"/>
      <c r="K275" s="34" t="str">
        <f t="shared" si="39"/>
        <v/>
      </c>
      <c r="L275" s="35"/>
      <c r="M275" s="36" t="str">
        <f t="shared" si="38"/>
        <v/>
      </c>
      <c r="N275" s="37"/>
      <c r="O275" s="29"/>
      <c r="P275" s="38"/>
      <c r="Q275" s="28"/>
      <c r="R275" s="28" t="s">
        <v>1364</v>
      </c>
      <c r="S275" s="28"/>
      <c r="T275" s="28"/>
      <c r="U275" s="28" t="s">
        <v>31</v>
      </c>
    </row>
    <row r="276" spans="1:21" s="27" customFormat="1" x14ac:dyDescent="0.25">
      <c r="A276" s="28" t="s">
        <v>21</v>
      </c>
      <c r="B276" s="28" t="s">
        <v>1320</v>
      </c>
      <c r="C276" s="28" t="s">
        <v>21</v>
      </c>
      <c r="D276" s="31">
        <v>1</v>
      </c>
      <c r="E276" s="30" t="s">
        <v>771</v>
      </c>
      <c r="F276" s="45">
        <v>600</v>
      </c>
      <c r="G276" s="32">
        <v>1.831</v>
      </c>
      <c r="H276" s="32">
        <v>3.669</v>
      </c>
      <c r="I276" s="32">
        <v>3.653</v>
      </c>
      <c r="J276" s="33">
        <f>IF(O276&lt;&gt;"",(H276-I276)/O276,"")</f>
        <v>8.0000000000000071E-3</v>
      </c>
      <c r="K276" s="34" t="str">
        <f t="shared" si="39"/>
        <v/>
      </c>
      <c r="L276" s="35">
        <f>F276/(O276*P276)</f>
        <v>7.5</v>
      </c>
      <c r="M276" s="36" t="str">
        <f>IF(L276=0,"",IF(OR(L276&lt;7,L276&gt;7.8),"X",""))</f>
        <v/>
      </c>
      <c r="N276" s="37" t="s">
        <v>20</v>
      </c>
      <c r="O276" s="29">
        <v>2</v>
      </c>
      <c r="P276" s="38">
        <v>40</v>
      </c>
      <c r="Q276" s="28"/>
      <c r="R276" s="28" t="s">
        <v>1365</v>
      </c>
      <c r="S276" s="28"/>
      <c r="T276" s="28"/>
      <c r="U276" s="28" t="s">
        <v>31</v>
      </c>
    </row>
    <row r="277" spans="1:21" s="27" customFormat="1" x14ac:dyDescent="0.25">
      <c r="A277" s="28" t="s">
        <v>21</v>
      </c>
      <c r="B277" s="28" t="s">
        <v>21</v>
      </c>
      <c r="C277" s="28" t="s">
        <v>21</v>
      </c>
      <c r="D277" s="31">
        <v>1</v>
      </c>
      <c r="E277" s="30"/>
      <c r="F277" s="31"/>
      <c r="G277" s="32">
        <v>1.8380000000000001</v>
      </c>
      <c r="H277" s="32"/>
      <c r="I277" s="32"/>
      <c r="J277" s="33"/>
      <c r="K277" s="34" t="str">
        <f t="shared" si="39"/>
        <v/>
      </c>
      <c r="L277" s="35"/>
      <c r="M277" s="36" t="str">
        <f t="shared" si="38"/>
        <v/>
      </c>
      <c r="N277" s="37"/>
      <c r="O277" s="29"/>
      <c r="P277" s="38"/>
      <c r="Q277" s="28"/>
      <c r="R277" s="28" t="s">
        <v>1366</v>
      </c>
      <c r="S277" s="28"/>
      <c r="T277" s="28"/>
      <c r="U277" s="28" t="s">
        <v>31</v>
      </c>
    </row>
    <row r="278" spans="1:21" s="27" customFormat="1" x14ac:dyDescent="0.25">
      <c r="A278" s="28" t="s">
        <v>21</v>
      </c>
      <c r="B278" s="28" t="s">
        <v>1321</v>
      </c>
      <c r="C278" s="28" t="s">
        <v>21</v>
      </c>
      <c r="D278" s="31">
        <v>1</v>
      </c>
      <c r="E278" s="70" t="s">
        <v>270</v>
      </c>
      <c r="F278" s="45">
        <v>601</v>
      </c>
      <c r="G278" s="32">
        <v>1.851</v>
      </c>
      <c r="H278" s="32">
        <v>3.71</v>
      </c>
      <c r="I278" s="32">
        <v>3.6960000000000002</v>
      </c>
      <c r="J278" s="33">
        <f>IF(O278&lt;&gt;"",(H278-I278)/O278,"")</f>
        <v>6.9999999999998952E-3</v>
      </c>
      <c r="K278" s="34" t="str">
        <f t="shared" si="39"/>
        <v/>
      </c>
      <c r="L278" s="35">
        <f>F278/(O278*P278)</f>
        <v>7.5125000000000002</v>
      </c>
      <c r="M278" s="36" t="str">
        <f>IF(L278=0,"",IF(OR(L278&lt;7,L278&gt;7.8),"X",""))</f>
        <v/>
      </c>
      <c r="N278" s="37" t="s">
        <v>20</v>
      </c>
      <c r="O278" s="29">
        <v>2</v>
      </c>
      <c r="P278" s="38">
        <v>40</v>
      </c>
      <c r="Q278" s="28"/>
      <c r="R278" s="28" t="s">
        <v>1368</v>
      </c>
      <c r="S278" s="71" t="s">
        <v>58</v>
      </c>
      <c r="T278" s="28"/>
      <c r="U278" s="28" t="s">
        <v>31</v>
      </c>
    </row>
    <row r="279" spans="1:21" s="27" customFormat="1" x14ac:dyDescent="0.25">
      <c r="A279" s="28" t="s">
        <v>21</v>
      </c>
      <c r="B279" s="28" t="s">
        <v>21</v>
      </c>
      <c r="C279" s="28" t="s">
        <v>21</v>
      </c>
      <c r="D279" s="31">
        <v>1</v>
      </c>
      <c r="E279" s="70"/>
      <c r="F279" s="31"/>
      <c r="G279" s="32">
        <v>1.86</v>
      </c>
      <c r="H279" s="32"/>
      <c r="I279" s="32"/>
      <c r="J279" s="33"/>
      <c r="K279" s="34" t="str">
        <f t="shared" si="39"/>
        <v/>
      </c>
      <c r="L279" s="35"/>
      <c r="M279" s="36" t="str">
        <f t="shared" si="38"/>
        <v/>
      </c>
      <c r="N279" s="37"/>
      <c r="O279" s="29"/>
      <c r="P279" s="38"/>
      <c r="Q279" s="28"/>
      <c r="R279" s="28" t="s">
        <v>1370</v>
      </c>
      <c r="S279" s="71" t="s">
        <v>59</v>
      </c>
      <c r="T279" s="28"/>
      <c r="U279" s="28" t="s">
        <v>31</v>
      </c>
    </row>
    <row r="280" spans="1:21" s="27" customFormat="1" x14ac:dyDescent="0.25">
      <c r="A280" s="28" t="s">
        <v>21</v>
      </c>
      <c r="B280" s="28" t="s">
        <v>1322</v>
      </c>
      <c r="C280" s="28" t="s">
        <v>21</v>
      </c>
      <c r="D280" s="31">
        <v>1</v>
      </c>
      <c r="E280" s="70" t="s">
        <v>233</v>
      </c>
      <c r="F280" s="45">
        <v>601</v>
      </c>
      <c r="G280" s="32">
        <v>1.847</v>
      </c>
      <c r="H280" s="32">
        <v>3.69</v>
      </c>
      <c r="I280" s="32">
        <v>3.6739999999999999</v>
      </c>
      <c r="J280" s="33">
        <f>IF(O280&lt;&gt;"",(H280-I280)/O280,"")</f>
        <v>8.0000000000000071E-3</v>
      </c>
      <c r="K280" s="34" t="str">
        <f t="shared" si="39"/>
        <v/>
      </c>
      <c r="L280" s="35">
        <f>F280/(O280*P280)</f>
        <v>7.5125000000000002</v>
      </c>
      <c r="M280" s="36" t="str">
        <f>IF(L280=0,"",IF(OR(L280&lt;7,L280&gt;7.8),"X",""))</f>
        <v/>
      </c>
      <c r="N280" s="37" t="s">
        <v>20</v>
      </c>
      <c r="O280" s="29">
        <v>2</v>
      </c>
      <c r="P280" s="38">
        <v>40</v>
      </c>
      <c r="Q280" s="28"/>
      <c r="R280" s="28" t="s">
        <v>1369</v>
      </c>
      <c r="S280" s="28" t="s">
        <v>21</v>
      </c>
      <c r="T280" s="28"/>
      <c r="U280" s="28" t="s">
        <v>31</v>
      </c>
    </row>
    <row r="281" spans="1:21" s="27" customFormat="1" x14ac:dyDescent="0.25">
      <c r="A281" s="28" t="s">
        <v>21</v>
      </c>
      <c r="B281" s="28" t="s">
        <v>21</v>
      </c>
      <c r="C281" s="28" t="s">
        <v>21</v>
      </c>
      <c r="D281" s="31">
        <v>1</v>
      </c>
      <c r="E281" s="70"/>
      <c r="F281" s="31"/>
      <c r="G281" s="32">
        <v>1.843</v>
      </c>
      <c r="H281" s="32"/>
      <c r="I281" s="32"/>
      <c r="J281" s="33"/>
      <c r="K281" s="34" t="str">
        <f t="shared" si="39"/>
        <v/>
      </c>
      <c r="L281" s="35"/>
      <c r="M281" s="36" t="str">
        <f t="shared" si="38"/>
        <v/>
      </c>
      <c r="N281" s="37"/>
      <c r="O281" s="29"/>
      <c r="P281" s="38"/>
      <c r="Q281" s="28"/>
      <c r="R281" s="28" t="s">
        <v>1372</v>
      </c>
      <c r="S281" s="28" t="s">
        <v>21</v>
      </c>
      <c r="T281" s="28"/>
      <c r="U281" s="28" t="s">
        <v>31</v>
      </c>
    </row>
    <row r="282" spans="1:21" s="27" customFormat="1" x14ac:dyDescent="0.25">
      <c r="A282" s="28" t="s">
        <v>21</v>
      </c>
      <c r="B282" s="28" t="s">
        <v>1323</v>
      </c>
      <c r="C282" s="28" t="s">
        <v>21</v>
      </c>
      <c r="D282" s="31">
        <v>1</v>
      </c>
      <c r="E282" s="70" t="s">
        <v>408</v>
      </c>
      <c r="F282" s="45">
        <v>601</v>
      </c>
      <c r="G282" s="32">
        <v>1.8460000000000001</v>
      </c>
      <c r="H282" s="32">
        <v>3.698</v>
      </c>
      <c r="I282" s="32">
        <v>3.6829999999999998</v>
      </c>
      <c r="J282" s="33">
        <f>IF(O282&lt;&gt;"",(H282-I282)/O282,"")</f>
        <v>7.5000000000000622E-3</v>
      </c>
      <c r="K282" s="34" t="str">
        <f t="shared" si="39"/>
        <v/>
      </c>
      <c r="L282" s="35">
        <f>F282/(O282*P282)</f>
        <v>7.5125000000000002</v>
      </c>
      <c r="M282" s="36" t="str">
        <f>IF(L282=0,"",IF(OR(L282&lt;7,L282&gt;7.8),"X",""))</f>
        <v/>
      </c>
      <c r="N282" s="37" t="s">
        <v>20</v>
      </c>
      <c r="O282" s="29">
        <v>2</v>
      </c>
      <c r="P282" s="38">
        <v>40</v>
      </c>
      <c r="Q282" s="28"/>
      <c r="R282" s="28" t="s">
        <v>1371</v>
      </c>
      <c r="S282" s="28" t="s">
        <v>21</v>
      </c>
      <c r="T282" s="28"/>
      <c r="U282" s="28" t="s">
        <v>31</v>
      </c>
    </row>
    <row r="283" spans="1:21" s="27" customFormat="1" x14ac:dyDescent="0.25">
      <c r="A283" s="28" t="s">
        <v>21</v>
      </c>
      <c r="B283" s="28" t="s">
        <v>21</v>
      </c>
      <c r="C283" s="28" t="s">
        <v>21</v>
      </c>
      <c r="D283" s="31">
        <v>1</v>
      </c>
      <c r="E283" s="70"/>
      <c r="F283" s="31"/>
      <c r="G283" s="32">
        <v>1.853</v>
      </c>
      <c r="H283" s="32"/>
      <c r="I283" s="32"/>
      <c r="J283" s="33"/>
      <c r="K283" s="34" t="str">
        <f t="shared" si="39"/>
        <v/>
      </c>
      <c r="L283" s="35"/>
      <c r="M283" s="36" t="str">
        <f t="shared" si="38"/>
        <v/>
      </c>
      <c r="N283" s="37"/>
      <c r="O283" s="29"/>
      <c r="P283" s="38"/>
      <c r="Q283" s="28"/>
      <c r="R283" s="28" t="s">
        <v>1374</v>
      </c>
      <c r="S283" s="28" t="s">
        <v>21</v>
      </c>
      <c r="T283" s="28"/>
      <c r="U283" s="28" t="s">
        <v>31</v>
      </c>
    </row>
    <row r="284" spans="1:21" s="27" customFormat="1" x14ac:dyDescent="0.25">
      <c r="A284" s="28" t="s">
        <v>21</v>
      </c>
      <c r="B284" s="28" t="s">
        <v>1324</v>
      </c>
      <c r="C284" s="28" t="s">
        <v>21</v>
      </c>
      <c r="D284" s="31">
        <v>1</v>
      </c>
      <c r="E284" s="70" t="s">
        <v>409</v>
      </c>
      <c r="F284" s="45">
        <v>600</v>
      </c>
      <c r="G284" s="32">
        <v>1.8420000000000001</v>
      </c>
      <c r="H284" s="32">
        <v>3.694</v>
      </c>
      <c r="I284" s="32">
        <v>3.6789999999999998</v>
      </c>
      <c r="J284" s="33">
        <f>IF(O284&lt;&gt;"",(H284-I284)/O284,"")</f>
        <v>7.5000000000000622E-3</v>
      </c>
      <c r="K284" s="34" t="str">
        <f t="shared" si="39"/>
        <v/>
      </c>
      <c r="L284" s="35">
        <f>F284/(O284*P284)</f>
        <v>7.5</v>
      </c>
      <c r="M284" s="36" t="str">
        <f>IF(L284=0,"",IF(OR(L284&lt;7,L284&gt;7.8),"X",""))</f>
        <v/>
      </c>
      <c r="N284" s="37" t="s">
        <v>20</v>
      </c>
      <c r="O284" s="29">
        <v>2</v>
      </c>
      <c r="P284" s="38">
        <v>40</v>
      </c>
      <c r="Q284" s="28"/>
      <c r="R284" s="28" t="s">
        <v>1375</v>
      </c>
      <c r="S284" s="28" t="s">
        <v>21</v>
      </c>
      <c r="T284" s="28"/>
      <c r="U284" s="28" t="s">
        <v>31</v>
      </c>
    </row>
    <row r="285" spans="1:21" s="27" customFormat="1" x14ac:dyDescent="0.25">
      <c r="A285" s="28" t="s">
        <v>21</v>
      </c>
      <c r="B285" s="28" t="s">
        <v>21</v>
      </c>
      <c r="C285" s="28" t="s">
        <v>21</v>
      </c>
      <c r="D285" s="31">
        <v>1</v>
      </c>
      <c r="E285" s="70"/>
      <c r="F285" s="31"/>
      <c r="G285" s="32">
        <v>1.853</v>
      </c>
      <c r="H285" s="32"/>
      <c r="I285" s="32"/>
      <c r="J285" s="33"/>
      <c r="K285" s="34" t="str">
        <f t="shared" si="39"/>
        <v/>
      </c>
      <c r="L285" s="35"/>
      <c r="M285" s="36" t="str">
        <f t="shared" si="38"/>
        <v/>
      </c>
      <c r="N285" s="37"/>
      <c r="O285" s="29"/>
      <c r="P285" s="38"/>
      <c r="Q285" s="28"/>
      <c r="R285" s="28" t="s">
        <v>1373</v>
      </c>
      <c r="S285" s="28" t="s">
        <v>21</v>
      </c>
      <c r="T285" s="28"/>
      <c r="U285" s="28" t="s">
        <v>31</v>
      </c>
    </row>
    <row r="286" spans="1:21" s="27" customFormat="1" x14ac:dyDescent="0.25">
      <c r="A286" s="28" t="s">
        <v>21</v>
      </c>
      <c r="B286" s="28" t="s">
        <v>1325</v>
      </c>
      <c r="C286" s="28" t="s">
        <v>21</v>
      </c>
      <c r="D286" s="31">
        <v>1</v>
      </c>
      <c r="E286" s="70" t="s">
        <v>484</v>
      </c>
      <c r="F286" s="45">
        <v>599</v>
      </c>
      <c r="G286" s="32">
        <v>1.839</v>
      </c>
      <c r="H286" s="32">
        <v>3.6749999999999998</v>
      </c>
      <c r="I286" s="32">
        <v>3.6589999999999998</v>
      </c>
      <c r="J286" s="33">
        <f>IF(O286&lt;&gt;"",(H286-I286)/O286,"")</f>
        <v>8.0000000000000071E-3</v>
      </c>
      <c r="K286" s="34" t="str">
        <f t="shared" si="39"/>
        <v/>
      </c>
      <c r="L286" s="35">
        <f>F286/(O286*P286)</f>
        <v>7.4874999999999998</v>
      </c>
      <c r="M286" s="36" t="str">
        <f>IF(L286=0,"",IF(OR(L286&lt;7,L286&gt;7.8),"X",""))</f>
        <v/>
      </c>
      <c r="N286" s="37" t="s">
        <v>20</v>
      </c>
      <c r="O286" s="29">
        <v>2</v>
      </c>
      <c r="P286" s="38">
        <v>40</v>
      </c>
      <c r="Q286" s="28"/>
      <c r="R286" s="28" t="s">
        <v>1377</v>
      </c>
      <c r="S286" s="28" t="s">
        <v>21</v>
      </c>
      <c r="T286" s="28"/>
      <c r="U286" s="28" t="s">
        <v>31</v>
      </c>
    </row>
    <row r="287" spans="1:21" s="27" customFormat="1" x14ac:dyDescent="0.25">
      <c r="A287" s="28" t="s">
        <v>21</v>
      </c>
      <c r="B287" s="28" t="s">
        <v>21</v>
      </c>
      <c r="C287" s="28" t="s">
        <v>21</v>
      </c>
      <c r="D287" s="31">
        <v>1</v>
      </c>
      <c r="E287" s="70"/>
      <c r="F287" s="31"/>
      <c r="G287" s="32">
        <v>1.837</v>
      </c>
      <c r="H287" s="32"/>
      <c r="I287" s="32"/>
      <c r="J287" s="33"/>
      <c r="K287" s="34" t="str">
        <f t="shared" si="39"/>
        <v/>
      </c>
      <c r="L287" s="35"/>
      <c r="M287" s="36" t="str">
        <f t="shared" si="38"/>
        <v/>
      </c>
      <c r="N287" s="37"/>
      <c r="O287" s="29"/>
      <c r="P287" s="38"/>
      <c r="Q287" s="28"/>
      <c r="R287" s="28" t="s">
        <v>1376</v>
      </c>
      <c r="S287" s="28" t="s">
        <v>21</v>
      </c>
      <c r="T287" s="28"/>
      <c r="U287" s="28" t="s">
        <v>31</v>
      </c>
    </row>
    <row r="346" spans="1:21" ht="15.75" thickBot="1" x14ac:dyDescent="0.3"/>
    <row r="347" spans="1:21" s="27" customFormat="1" ht="16.5" thickBot="1" x14ac:dyDescent="0.3">
      <c r="A347" s="66" t="s">
        <v>28</v>
      </c>
      <c r="B347" s="67" t="s">
        <v>29</v>
      </c>
      <c r="C347" s="68" t="s">
        <v>30</v>
      </c>
      <c r="D347" s="56"/>
      <c r="E347" s="51"/>
      <c r="F347" s="50"/>
      <c r="G347" s="53"/>
      <c r="H347" s="53"/>
      <c r="I347" s="59"/>
      <c r="J347" s="60"/>
      <c r="K347" s="22"/>
      <c r="L347" s="61"/>
      <c r="M347" s="62"/>
      <c r="N347" s="63"/>
      <c r="O347" s="64"/>
      <c r="P347" s="65"/>
      <c r="Q347" s="58"/>
      <c r="R347" s="58"/>
      <c r="S347" s="58"/>
      <c r="T347" s="58"/>
      <c r="U347" s="58"/>
    </row>
    <row r="348" spans="1:21" s="27" customFormat="1" x14ac:dyDescent="0.25">
      <c r="A348" s="28" t="s">
        <v>891</v>
      </c>
      <c r="B348" s="44" t="s">
        <v>894</v>
      </c>
      <c r="C348" s="28" t="s">
        <v>892</v>
      </c>
      <c r="D348" s="31">
        <v>1</v>
      </c>
      <c r="E348" s="70" t="s">
        <v>64</v>
      </c>
      <c r="F348" s="45">
        <v>298</v>
      </c>
      <c r="G348" s="32"/>
      <c r="H348" s="32">
        <v>1.8759999999999999</v>
      </c>
      <c r="I348" s="32">
        <v>1.8580000000000001</v>
      </c>
      <c r="J348" s="33">
        <f>IF(O348&lt;&gt;"",(H348-I348)/O348,"")</f>
        <v>1.7999999999999794E-2</v>
      </c>
      <c r="K348" s="34" t="str">
        <f t="shared" ref="K348:K351" si="40">IF(J348=0,"",IF(OR(J348&lt;0,J348&gt;0.03),"X",""))</f>
        <v/>
      </c>
      <c r="L348" s="35">
        <f>F348/(O348*P348)</f>
        <v>7.45</v>
      </c>
      <c r="M348" s="36" t="str">
        <f>IF(L348=0,"",IF(OR(L348&lt;7,L348&gt;7.8),"X",""))</f>
        <v/>
      </c>
      <c r="N348" s="37" t="s">
        <v>18</v>
      </c>
      <c r="O348" s="29">
        <v>1</v>
      </c>
      <c r="P348" s="38">
        <v>40</v>
      </c>
      <c r="Q348" s="46"/>
      <c r="R348" s="28" t="s">
        <v>893</v>
      </c>
      <c r="S348" s="47"/>
      <c r="T348" s="46"/>
      <c r="U348" s="28" t="s">
        <v>31</v>
      </c>
    </row>
    <row r="349" spans="1:21" s="27" customFormat="1" x14ac:dyDescent="0.25">
      <c r="A349" s="28" t="s">
        <v>891</v>
      </c>
      <c r="B349" s="28" t="s">
        <v>1378</v>
      </c>
      <c r="C349" s="28" t="s">
        <v>892</v>
      </c>
      <c r="D349" s="31" t="s">
        <v>1379</v>
      </c>
      <c r="E349" s="30" t="s">
        <v>1090</v>
      </c>
      <c r="F349" s="45">
        <v>600</v>
      </c>
      <c r="G349" s="32">
        <v>1.847</v>
      </c>
      <c r="H349" s="32">
        <v>3.7250000000000001</v>
      </c>
      <c r="I349" s="32">
        <v>3.67</v>
      </c>
      <c r="J349" s="33">
        <f>IF(O349&lt;&gt;"",(H349-I349)/O349,"")</f>
        <v>2.750000000000008E-2</v>
      </c>
      <c r="K349" s="34" t="str">
        <f t="shared" si="40"/>
        <v/>
      </c>
      <c r="L349" s="35">
        <f>F349/(O349*P349)</f>
        <v>7.5</v>
      </c>
      <c r="M349" s="36" t="str">
        <f>IF(L349=0,"",IF(OR(L349&lt;7,L349&gt;7.8),"X",""))</f>
        <v/>
      </c>
      <c r="N349" s="37" t="s">
        <v>20</v>
      </c>
      <c r="O349" s="29">
        <v>2</v>
      </c>
      <c r="P349" s="38">
        <v>40</v>
      </c>
      <c r="Q349" s="28"/>
      <c r="R349" s="28"/>
      <c r="S349" s="47"/>
      <c r="T349" s="28"/>
      <c r="U349" s="28" t="s">
        <v>31</v>
      </c>
    </row>
    <row r="350" spans="1:21" s="27" customFormat="1" x14ac:dyDescent="0.25">
      <c r="A350" s="28" t="s">
        <v>21</v>
      </c>
      <c r="B350" s="28" t="s">
        <v>21</v>
      </c>
      <c r="C350" s="28" t="s">
        <v>21</v>
      </c>
      <c r="D350" s="31" t="s">
        <v>1379</v>
      </c>
      <c r="E350" s="30"/>
      <c r="F350" s="31"/>
      <c r="G350" s="32">
        <v>1.881</v>
      </c>
      <c r="H350" s="32"/>
      <c r="I350" s="32"/>
      <c r="J350" s="33"/>
      <c r="K350" s="34" t="str">
        <f t="shared" si="40"/>
        <v/>
      </c>
      <c r="L350" s="35"/>
      <c r="M350" s="36" t="str">
        <f t="shared" ref="M350" si="41">IF(L350=0,"",IF(OR(L350&lt;7.4,L350&gt;8),"X",""))</f>
        <v/>
      </c>
      <c r="N350" s="37"/>
      <c r="O350" s="29"/>
      <c r="P350" s="38"/>
      <c r="Q350" s="28"/>
      <c r="R350" s="28"/>
      <c r="S350" s="47"/>
      <c r="T350" s="28"/>
      <c r="U350" s="28" t="s">
        <v>31</v>
      </c>
    </row>
    <row r="351" spans="1:21" s="27" customFormat="1" x14ac:dyDescent="0.25">
      <c r="A351" s="28" t="s">
        <v>891</v>
      </c>
      <c r="B351" s="28" t="s">
        <v>1380</v>
      </c>
      <c r="C351" s="28" t="s">
        <v>892</v>
      </c>
      <c r="D351" s="31" t="s">
        <v>1379</v>
      </c>
      <c r="E351" s="30" t="s">
        <v>1090</v>
      </c>
      <c r="F351" s="31">
        <v>185</v>
      </c>
      <c r="G351" s="32"/>
      <c r="H351" s="32">
        <v>1.907</v>
      </c>
      <c r="I351" s="32">
        <v>1.883</v>
      </c>
      <c r="J351" s="33">
        <f>IF(O351&lt;&gt;"",(H351-I351)/O351,"")</f>
        <v>2.4000000000000021E-2</v>
      </c>
      <c r="K351" s="34" t="str">
        <f t="shared" si="40"/>
        <v/>
      </c>
      <c r="L351" s="35">
        <f>F351/(O351*P351)</f>
        <v>7.4</v>
      </c>
      <c r="M351" s="36" t="str">
        <f>IF(L351=0,"",IF(OR(L351&lt;7,L351&gt;7.8),"X",""))</f>
        <v/>
      </c>
      <c r="N351" s="37" t="s">
        <v>16</v>
      </c>
      <c r="O351" s="29">
        <v>1</v>
      </c>
      <c r="P351" s="38">
        <v>25</v>
      </c>
      <c r="Q351" s="28"/>
      <c r="R351" s="28"/>
      <c r="S351" s="39"/>
      <c r="T351" s="28"/>
      <c r="U351" s="28" t="s">
        <v>31</v>
      </c>
    </row>
  </sheetData>
  <customSheetViews>
    <customSheetView guid="{C2C34B0E-C0A2-4B0B-812E-0757ABB9DC2E}">
      <pane ySplit="1" topLeftCell="A263" activePane="bottomLeft" state="frozen"/>
      <selection pane="bottomLeft" activeCell="C104" sqref="C104:C106"/>
      <pageMargins left="0.7" right="0.7" top="0.78740157499999996" bottom="0.78740157499999996" header="0.3" footer="0.3"/>
    </customSheetView>
    <customSheetView guid="{3652BF58-5AAC-43BD-BC8A-2FFF29529405}">
      <pane ySplit="1" topLeftCell="A263" activePane="bottomLeft" state="frozen"/>
      <selection pane="bottomLeft" activeCell="C104" sqref="C104:C106"/>
      <pageMargins left="0.7" right="0.7" top="0.78740157499999996" bottom="0.78740157499999996" header="0.3" footer="0.3"/>
    </customSheetView>
    <customSheetView guid="{E2377352-22A7-452B-BFAD-18D3D497CC88}">
      <pane ySplit="1" topLeftCell="A263" activePane="bottomLeft" state="frozen"/>
      <selection pane="bottomLeft" activeCell="C104" sqref="C104:C10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72"/>
  <sheetViews>
    <sheetView workbookViewId="0">
      <pane ySplit="1" topLeftCell="A140" activePane="bottomLeft" state="frozen"/>
      <selection pane="bottomLeft" activeCell="S145" sqref="S145:S149"/>
    </sheetView>
  </sheetViews>
  <sheetFormatPr baseColWidth="10" defaultRowHeight="15" x14ac:dyDescent="0.25"/>
  <cols>
    <col min="1" max="1" width="13.42578125" customWidth="1"/>
    <col min="2" max="2" width="15.28515625" customWidth="1"/>
    <col min="4" max="4" width="8.140625" customWidth="1"/>
    <col min="5" max="5" width="8.28515625" customWidth="1"/>
    <col min="6" max="6" width="10.7109375" customWidth="1"/>
    <col min="9" max="9" width="10.7109375" customWidth="1"/>
    <col min="10" max="10" width="9.42578125" customWidth="1"/>
    <col min="11" max="11" width="2" customWidth="1"/>
    <col min="12" max="12" width="8.85546875" customWidth="1"/>
    <col min="13" max="13" width="2.140625" customWidth="1"/>
    <col min="14" max="14" width="12" customWidth="1"/>
    <col min="15" max="15" width="9" customWidth="1"/>
    <col min="16" max="16" width="8.140625" customWidth="1"/>
    <col min="17" max="17" width="2.140625" customWidth="1"/>
    <col min="18" max="18" width="36.42578125" customWidth="1"/>
    <col min="19" max="19" width="41.85546875" customWidth="1"/>
    <col min="20" max="20" width="0.7109375" customWidth="1"/>
    <col min="21" max="21" width="8.425781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1381</v>
      </c>
      <c r="B2" s="28" t="s">
        <v>1382</v>
      </c>
      <c r="C2" s="28">
        <v>772821</v>
      </c>
      <c r="D2" s="31">
        <v>1</v>
      </c>
      <c r="E2" s="71">
        <v>68</v>
      </c>
      <c r="F2" s="45">
        <v>903</v>
      </c>
      <c r="G2" s="32">
        <v>1.8460000000000001</v>
      </c>
      <c r="H2" s="32">
        <v>5.5460000000000003</v>
      </c>
      <c r="I2" s="32">
        <v>5.5229999999999997</v>
      </c>
      <c r="J2" s="33">
        <f>IF(O2&lt;&gt;"",(H2-I2)/O2,"")</f>
        <v>7.6666666666668588E-3</v>
      </c>
      <c r="K2" s="34" t="str">
        <f t="shared" ref="K2:K29" si="0">IF(J2=0,"",IF(OR(J2&lt;0,J2&gt;0.03),"X",""))</f>
        <v/>
      </c>
      <c r="L2" s="35">
        <f>F2/(O2*P2)</f>
        <v>7.5250000000000004</v>
      </c>
      <c r="M2" s="36" t="str">
        <f>IF(L2=0,"",IF(OR(L2&lt;7,L2&gt;7.8),"X",""))</f>
        <v/>
      </c>
      <c r="N2" s="37" t="s">
        <v>23</v>
      </c>
      <c r="O2" s="29">
        <v>3</v>
      </c>
      <c r="P2" s="38">
        <v>40</v>
      </c>
      <c r="Q2" s="28"/>
      <c r="R2" s="28" t="s">
        <v>1392</v>
      </c>
      <c r="S2" s="71" t="s">
        <v>58</v>
      </c>
      <c r="T2" s="46"/>
      <c r="U2" s="28" t="s">
        <v>31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31">
        <v>1</v>
      </c>
      <c r="E3" s="71"/>
      <c r="F3" s="31"/>
      <c r="G3" s="32">
        <v>1.849</v>
      </c>
      <c r="H3" s="32"/>
      <c r="I3" s="32"/>
      <c r="J3" s="33" t="str">
        <f t="shared" ref="J3:J31" si="1">IF(O3&lt;&gt;"",(H3-I3)/O3,"")</f>
        <v/>
      </c>
      <c r="K3" s="34"/>
      <c r="L3" s="35"/>
      <c r="M3" s="36" t="str">
        <f t="shared" ref="M3:M31" si="2">IF(L3=0,"",IF(OR(L3&lt;7.4,L3&gt;8),"X",""))</f>
        <v/>
      </c>
      <c r="N3" s="37"/>
      <c r="O3" s="29"/>
      <c r="P3" s="38"/>
      <c r="Q3" s="28"/>
      <c r="R3" s="28" t="s">
        <v>1394</v>
      </c>
      <c r="S3" s="28" t="s">
        <v>21</v>
      </c>
      <c r="T3" s="46"/>
      <c r="U3" s="28" t="s">
        <v>31</v>
      </c>
    </row>
    <row r="4" spans="1:54" s="27" customFormat="1" ht="14.25" customHeight="1" x14ac:dyDescent="0.25">
      <c r="A4" s="28" t="s">
        <v>21</v>
      </c>
      <c r="B4" s="28" t="s">
        <v>21</v>
      </c>
      <c r="C4" s="28" t="s">
        <v>21</v>
      </c>
      <c r="D4" s="31">
        <v>1</v>
      </c>
      <c r="E4" s="71"/>
      <c r="F4" s="31"/>
      <c r="G4" s="32">
        <v>1.851</v>
      </c>
      <c r="H4" s="32"/>
      <c r="I4" s="32"/>
      <c r="J4" s="33" t="str">
        <f t="shared" si="1"/>
        <v/>
      </c>
      <c r="K4" s="34"/>
      <c r="L4" s="35"/>
      <c r="M4" s="36" t="str">
        <f t="shared" si="2"/>
        <v/>
      </c>
      <c r="N4" s="37"/>
      <c r="O4" s="29"/>
      <c r="P4" s="38"/>
      <c r="Q4" s="28"/>
      <c r="R4" s="28" t="s">
        <v>1395</v>
      </c>
      <c r="S4" s="28" t="s">
        <v>21</v>
      </c>
      <c r="T4" s="46"/>
      <c r="U4" s="28" t="s">
        <v>31</v>
      </c>
    </row>
    <row r="5" spans="1:54" s="27" customFormat="1" x14ac:dyDescent="0.25">
      <c r="A5" s="28" t="s">
        <v>21</v>
      </c>
      <c r="B5" s="28" t="s">
        <v>1383</v>
      </c>
      <c r="C5" s="28" t="s">
        <v>21</v>
      </c>
      <c r="D5" s="31">
        <v>1</v>
      </c>
      <c r="E5" s="71">
        <v>69</v>
      </c>
      <c r="F5" s="45">
        <v>904</v>
      </c>
      <c r="G5" s="32">
        <v>1.843</v>
      </c>
      <c r="H5" s="32">
        <v>5.5430000000000001</v>
      </c>
      <c r="I5" s="32">
        <v>5.52</v>
      </c>
      <c r="J5" s="33">
        <f>IF(O5&lt;&gt;"",(H5-I5)/O5,"")</f>
        <v>7.6666666666668588E-3</v>
      </c>
      <c r="K5" s="34" t="str">
        <f t="shared" si="0"/>
        <v/>
      </c>
      <c r="L5" s="35">
        <f>F5/(O5*P5)</f>
        <v>7.5333333333333332</v>
      </c>
      <c r="M5" s="36" t="str">
        <f>IF(L5=0,"",IF(OR(L5&lt;7,L5&gt;7.8),"X",""))</f>
        <v/>
      </c>
      <c r="N5" s="37" t="s">
        <v>23</v>
      </c>
      <c r="O5" s="29">
        <v>3</v>
      </c>
      <c r="P5" s="38">
        <v>40</v>
      </c>
      <c r="Q5" s="28"/>
      <c r="R5" s="28" t="s">
        <v>1397</v>
      </c>
      <c r="S5" s="28" t="s">
        <v>21</v>
      </c>
      <c r="T5" s="46"/>
      <c r="U5" s="28" t="s">
        <v>31</v>
      </c>
    </row>
    <row r="6" spans="1:54" s="27" customFormat="1" x14ac:dyDescent="0.25">
      <c r="A6" s="28" t="s">
        <v>21</v>
      </c>
      <c r="B6" s="28" t="s">
        <v>21</v>
      </c>
      <c r="C6" s="28" t="s">
        <v>21</v>
      </c>
      <c r="D6" s="31">
        <v>1</v>
      </c>
      <c r="E6" s="71"/>
      <c r="F6" s="31"/>
      <c r="G6" s="32">
        <v>1.8480000000000001</v>
      </c>
      <c r="H6" s="32"/>
      <c r="I6" s="32"/>
      <c r="J6" s="33" t="str">
        <f t="shared" si="1"/>
        <v/>
      </c>
      <c r="K6" s="34"/>
      <c r="L6" s="35"/>
      <c r="M6" s="36" t="str">
        <f t="shared" si="2"/>
        <v/>
      </c>
      <c r="N6" s="37"/>
      <c r="O6" s="29"/>
      <c r="P6" s="38"/>
      <c r="Q6" s="28"/>
      <c r="R6" s="28" t="s">
        <v>1393</v>
      </c>
      <c r="S6" s="28" t="s">
        <v>21</v>
      </c>
      <c r="T6" s="46"/>
      <c r="U6" s="28" t="s">
        <v>31</v>
      </c>
    </row>
    <row r="7" spans="1:54" s="27" customFormat="1" ht="14.25" customHeight="1" x14ac:dyDescent="0.25">
      <c r="A7" s="28" t="s">
        <v>21</v>
      </c>
      <c r="B7" s="28" t="s">
        <v>21</v>
      </c>
      <c r="C7" s="28" t="s">
        <v>21</v>
      </c>
      <c r="D7" s="31">
        <v>1</v>
      </c>
      <c r="E7" s="71"/>
      <c r="F7" s="31"/>
      <c r="G7" s="32">
        <v>1.853</v>
      </c>
      <c r="H7" s="32"/>
      <c r="I7" s="32"/>
      <c r="J7" s="33" t="str">
        <f t="shared" si="1"/>
        <v/>
      </c>
      <c r="K7" s="34"/>
      <c r="L7" s="35"/>
      <c r="M7" s="36" t="str">
        <f t="shared" si="2"/>
        <v/>
      </c>
      <c r="N7" s="37"/>
      <c r="O7" s="29"/>
      <c r="P7" s="38"/>
      <c r="Q7" s="28"/>
      <c r="R7" s="28" t="s">
        <v>1396</v>
      </c>
      <c r="S7" s="28" t="s">
        <v>21</v>
      </c>
      <c r="T7" s="46"/>
      <c r="U7" s="28" t="s">
        <v>31</v>
      </c>
    </row>
    <row r="8" spans="1:54" s="27" customFormat="1" x14ac:dyDescent="0.25">
      <c r="A8" s="28" t="s">
        <v>21</v>
      </c>
      <c r="B8" s="28" t="s">
        <v>1384</v>
      </c>
      <c r="C8" s="28" t="s">
        <v>21</v>
      </c>
      <c r="D8" s="31">
        <v>1</v>
      </c>
      <c r="E8" s="71">
        <v>73</v>
      </c>
      <c r="F8" s="45">
        <v>903</v>
      </c>
      <c r="G8" s="32">
        <v>1.8480000000000001</v>
      </c>
      <c r="H8" s="32">
        <v>5.5590000000000002</v>
      </c>
      <c r="I8" s="32">
        <v>5.5359999999999996</v>
      </c>
      <c r="J8" s="33">
        <f>IF(O8&lt;&gt;"",(H8-I8)/O8,"")</f>
        <v>7.6666666666668588E-3</v>
      </c>
      <c r="K8" s="34" t="str">
        <f t="shared" si="0"/>
        <v/>
      </c>
      <c r="L8" s="35">
        <f>F8/(O8*P8)</f>
        <v>7.5250000000000004</v>
      </c>
      <c r="M8" s="36" t="str">
        <f>IF(L8=0,"",IF(OR(L8&lt;7,L8&gt;7.8),"X",""))</f>
        <v/>
      </c>
      <c r="N8" s="37" t="s">
        <v>23</v>
      </c>
      <c r="O8" s="29">
        <v>3</v>
      </c>
      <c r="P8" s="38">
        <v>40</v>
      </c>
      <c r="Q8" s="28"/>
      <c r="R8" s="28" t="s">
        <v>1398</v>
      </c>
      <c r="S8" s="28" t="s">
        <v>21</v>
      </c>
      <c r="T8" s="46"/>
      <c r="U8" s="28" t="s">
        <v>31</v>
      </c>
    </row>
    <row r="9" spans="1:54" s="27" customFormat="1" x14ac:dyDescent="0.25">
      <c r="A9" s="28" t="s">
        <v>21</v>
      </c>
      <c r="B9" s="28" t="s">
        <v>21</v>
      </c>
      <c r="C9" s="28">
        <v>765171</v>
      </c>
      <c r="D9" s="31">
        <v>1</v>
      </c>
      <c r="E9" s="71"/>
      <c r="F9" s="31"/>
      <c r="G9" s="32">
        <v>1.8540000000000001</v>
      </c>
      <c r="H9" s="32"/>
      <c r="I9" s="32"/>
      <c r="J9" s="33" t="str">
        <f t="shared" si="1"/>
        <v/>
      </c>
      <c r="K9" s="34"/>
      <c r="L9" s="35"/>
      <c r="M9" s="36" t="str">
        <f t="shared" si="2"/>
        <v/>
      </c>
      <c r="N9" s="37"/>
      <c r="O9" s="29"/>
      <c r="P9" s="38"/>
      <c r="Q9" s="28"/>
      <c r="R9" s="28" t="s">
        <v>1399</v>
      </c>
      <c r="S9" s="28" t="s">
        <v>21</v>
      </c>
      <c r="T9" s="46"/>
      <c r="U9" s="28" t="s">
        <v>31</v>
      </c>
    </row>
    <row r="10" spans="1:54" s="27" customFormat="1" ht="14.25" customHeight="1" x14ac:dyDescent="0.25">
      <c r="A10" s="28" t="s">
        <v>21</v>
      </c>
      <c r="B10" s="28" t="s">
        <v>21</v>
      </c>
      <c r="C10" s="28" t="s">
        <v>21</v>
      </c>
      <c r="D10" s="31">
        <v>1</v>
      </c>
      <c r="E10" s="71"/>
      <c r="F10" s="31"/>
      <c r="G10" s="32">
        <v>1.8560000000000001</v>
      </c>
      <c r="H10" s="32"/>
      <c r="I10" s="32"/>
      <c r="J10" s="33" t="str">
        <f t="shared" si="1"/>
        <v/>
      </c>
      <c r="K10" s="34"/>
      <c r="L10" s="35"/>
      <c r="M10" s="36" t="str">
        <f t="shared" si="2"/>
        <v/>
      </c>
      <c r="N10" s="37"/>
      <c r="O10" s="29"/>
      <c r="P10" s="38"/>
      <c r="Q10" s="28"/>
      <c r="R10" s="28" t="s">
        <v>1400</v>
      </c>
      <c r="S10" s="28" t="s">
        <v>21</v>
      </c>
      <c r="T10" s="46"/>
      <c r="U10" s="28" t="s">
        <v>31</v>
      </c>
    </row>
    <row r="11" spans="1:54" s="27" customFormat="1" x14ac:dyDescent="0.25">
      <c r="A11" s="28" t="s">
        <v>21</v>
      </c>
      <c r="B11" s="28" t="s">
        <v>1385</v>
      </c>
      <c r="C11" s="28" t="s">
        <v>21</v>
      </c>
      <c r="D11" s="31">
        <v>1</v>
      </c>
      <c r="E11" s="71">
        <v>79</v>
      </c>
      <c r="F11" s="45">
        <v>903</v>
      </c>
      <c r="G11" s="32">
        <v>1.8460000000000001</v>
      </c>
      <c r="H11" s="32">
        <v>5.5469999999999997</v>
      </c>
      <c r="I11" s="32">
        <v>5.5270000000000001</v>
      </c>
      <c r="J11" s="33">
        <f>IF(O11&lt;&gt;"",(H11-I11)/O11,"")</f>
        <v>6.6666666666665248E-3</v>
      </c>
      <c r="K11" s="34" t="str">
        <f t="shared" si="0"/>
        <v/>
      </c>
      <c r="L11" s="35">
        <f>F11/(O11*P11)</f>
        <v>7.5250000000000004</v>
      </c>
      <c r="M11" s="36" t="str">
        <f>IF(L11=0,"",IF(OR(L11&lt;7,L11&gt;7.8),"X",""))</f>
        <v/>
      </c>
      <c r="N11" s="37" t="s">
        <v>23</v>
      </c>
      <c r="O11" s="29">
        <v>3</v>
      </c>
      <c r="P11" s="38">
        <v>40</v>
      </c>
      <c r="Q11" s="28"/>
      <c r="R11" s="28" t="s">
        <v>1401</v>
      </c>
      <c r="S11" s="28" t="s">
        <v>21</v>
      </c>
      <c r="T11" s="46"/>
      <c r="U11" s="28" t="s">
        <v>31</v>
      </c>
    </row>
    <row r="12" spans="1:54" s="27" customFormat="1" x14ac:dyDescent="0.25">
      <c r="A12" s="28" t="s">
        <v>21</v>
      </c>
      <c r="B12" s="28" t="s">
        <v>21</v>
      </c>
      <c r="C12" s="28" t="s">
        <v>21</v>
      </c>
      <c r="D12" s="31">
        <v>1</v>
      </c>
      <c r="E12" s="71"/>
      <c r="F12" s="31"/>
      <c r="G12" s="32">
        <v>1.857</v>
      </c>
      <c r="H12" s="32"/>
      <c r="I12" s="32"/>
      <c r="J12" s="33" t="str">
        <f t="shared" si="1"/>
        <v/>
      </c>
      <c r="K12" s="34"/>
      <c r="L12" s="35"/>
      <c r="M12" s="36" t="str">
        <f t="shared" si="2"/>
        <v/>
      </c>
      <c r="N12" s="37"/>
      <c r="O12" s="29"/>
      <c r="P12" s="38"/>
      <c r="Q12" s="28"/>
      <c r="R12" s="28" t="s">
        <v>1403</v>
      </c>
      <c r="S12" s="28" t="s">
        <v>21</v>
      </c>
      <c r="T12" s="46"/>
      <c r="U12" s="28" t="s">
        <v>31</v>
      </c>
    </row>
    <row r="13" spans="1:54" s="27" customFormat="1" ht="14.25" customHeight="1" x14ac:dyDescent="0.25">
      <c r="A13" s="28" t="s">
        <v>21</v>
      </c>
      <c r="B13" s="28" t="s">
        <v>21</v>
      </c>
      <c r="C13" s="28" t="s">
        <v>21</v>
      </c>
      <c r="D13" s="31">
        <v>1</v>
      </c>
      <c r="E13" s="71"/>
      <c r="F13" s="31"/>
      <c r="G13" s="32">
        <v>1.8440000000000001</v>
      </c>
      <c r="H13" s="32"/>
      <c r="I13" s="32"/>
      <c r="J13" s="33" t="str">
        <f t="shared" si="1"/>
        <v/>
      </c>
      <c r="K13" s="34"/>
      <c r="L13" s="35"/>
      <c r="M13" s="36" t="str">
        <f t="shared" si="2"/>
        <v/>
      </c>
      <c r="N13" s="37"/>
      <c r="O13" s="29"/>
      <c r="P13" s="38"/>
      <c r="Q13" s="28"/>
      <c r="R13" s="28" t="s">
        <v>1404</v>
      </c>
      <c r="S13" s="28" t="s">
        <v>21</v>
      </c>
      <c r="T13" s="46"/>
      <c r="U13" s="28" t="s">
        <v>31</v>
      </c>
    </row>
    <row r="14" spans="1:54" s="27" customFormat="1" x14ac:dyDescent="0.25">
      <c r="A14" s="28" t="s">
        <v>21</v>
      </c>
      <c r="B14" s="28" t="s">
        <v>1386</v>
      </c>
      <c r="C14" s="28" t="s">
        <v>21</v>
      </c>
      <c r="D14" s="31">
        <v>1</v>
      </c>
      <c r="E14" s="71">
        <v>74</v>
      </c>
      <c r="F14" s="45">
        <v>905</v>
      </c>
      <c r="G14" s="32">
        <v>1.8460000000000001</v>
      </c>
      <c r="H14" s="32">
        <v>5.5270000000000001</v>
      </c>
      <c r="I14" s="32">
        <v>5.5049999999999999</v>
      </c>
      <c r="J14" s="33">
        <f>IF(O14&lt;&gt;"",(H14-I14)/O14,"")</f>
        <v>7.3333333333334139E-3</v>
      </c>
      <c r="K14" s="34" t="str">
        <f t="shared" si="0"/>
        <v/>
      </c>
      <c r="L14" s="35">
        <f>F14/(O14*P14)</f>
        <v>7.541666666666667</v>
      </c>
      <c r="M14" s="36" t="str">
        <f>IF(L14=0,"",IF(OR(L14&lt;7,L14&gt;7.8),"X",""))</f>
        <v/>
      </c>
      <c r="N14" s="37" t="s">
        <v>23</v>
      </c>
      <c r="O14" s="29">
        <v>3</v>
      </c>
      <c r="P14" s="38">
        <v>40</v>
      </c>
      <c r="Q14" s="28"/>
      <c r="R14" s="28" t="s">
        <v>1402</v>
      </c>
      <c r="S14" s="28" t="s">
        <v>21</v>
      </c>
      <c r="T14" s="46"/>
      <c r="U14" s="28" t="s">
        <v>31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1</v>
      </c>
      <c r="E15" s="71"/>
      <c r="F15" s="31"/>
      <c r="G15" s="32">
        <v>1.8420000000000001</v>
      </c>
      <c r="H15" s="32"/>
      <c r="I15" s="32"/>
      <c r="J15" s="33" t="str">
        <f t="shared" si="1"/>
        <v/>
      </c>
      <c r="K15" s="34"/>
      <c r="L15" s="35"/>
      <c r="M15" s="36" t="str">
        <f t="shared" si="2"/>
        <v/>
      </c>
      <c r="N15" s="37"/>
      <c r="O15" s="29"/>
      <c r="P15" s="38"/>
      <c r="Q15" s="28"/>
      <c r="R15" s="28" t="s">
        <v>1405</v>
      </c>
      <c r="S15" s="28" t="s">
        <v>21</v>
      </c>
      <c r="T15" s="46"/>
      <c r="U15" s="28" t="s">
        <v>31</v>
      </c>
    </row>
    <row r="16" spans="1:54" s="27" customFormat="1" ht="14.25" customHeight="1" x14ac:dyDescent="0.25">
      <c r="A16" s="28" t="s">
        <v>21</v>
      </c>
      <c r="B16" s="28" t="s">
        <v>21</v>
      </c>
      <c r="C16" s="28" t="s">
        <v>21</v>
      </c>
      <c r="D16" s="31">
        <v>1</v>
      </c>
      <c r="E16" s="71"/>
      <c r="F16" s="31"/>
      <c r="G16" s="32">
        <v>1.835</v>
      </c>
      <c r="H16" s="32"/>
      <c r="I16" s="32"/>
      <c r="J16" s="33" t="str">
        <f t="shared" si="1"/>
        <v/>
      </c>
      <c r="K16" s="34"/>
      <c r="L16" s="35"/>
      <c r="M16" s="36" t="str">
        <f t="shared" si="2"/>
        <v/>
      </c>
      <c r="N16" s="37"/>
      <c r="O16" s="29"/>
      <c r="P16" s="38"/>
      <c r="Q16" s="28"/>
      <c r="R16" s="28" t="s">
        <v>1406</v>
      </c>
      <c r="S16" s="28" t="s">
        <v>21</v>
      </c>
      <c r="T16" s="46"/>
      <c r="U16" s="28" t="s">
        <v>31</v>
      </c>
    </row>
    <row r="17" spans="1:21" s="27" customFormat="1" x14ac:dyDescent="0.25">
      <c r="A17" s="28" t="s">
        <v>21</v>
      </c>
      <c r="B17" s="28" t="s">
        <v>1387</v>
      </c>
      <c r="C17" s="28" t="s">
        <v>21</v>
      </c>
      <c r="D17" s="31">
        <v>1</v>
      </c>
      <c r="E17" s="73">
        <v>23</v>
      </c>
      <c r="F17" s="45">
        <v>903</v>
      </c>
      <c r="G17" s="32">
        <v>1.8280000000000001</v>
      </c>
      <c r="H17" s="32">
        <v>5.4989999999999997</v>
      </c>
      <c r="I17" s="32">
        <v>5.4779999999999998</v>
      </c>
      <c r="J17" s="33">
        <f>IF(O17&lt;&gt;"",(H17-I17)/O17,"")</f>
        <v>6.9999999999999689E-3</v>
      </c>
      <c r="K17" s="34" t="str">
        <f t="shared" si="0"/>
        <v/>
      </c>
      <c r="L17" s="35">
        <f>F17/(O17*P17)</f>
        <v>7.5250000000000004</v>
      </c>
      <c r="M17" s="36" t="str">
        <f>IF(L17=0,"",IF(OR(L17&lt;7,L17&gt;7.8),"X",""))</f>
        <v/>
      </c>
      <c r="N17" s="37" t="s">
        <v>23</v>
      </c>
      <c r="O17" s="29">
        <v>3</v>
      </c>
      <c r="P17" s="38">
        <v>40</v>
      </c>
      <c r="Q17" s="28"/>
      <c r="R17" s="28" t="s">
        <v>1408</v>
      </c>
      <c r="S17" s="47"/>
      <c r="T17" s="46"/>
      <c r="U17" s="28" t="s">
        <v>31</v>
      </c>
    </row>
    <row r="18" spans="1:21" s="27" customFormat="1" x14ac:dyDescent="0.25">
      <c r="A18" s="28" t="s">
        <v>21</v>
      </c>
      <c r="B18" s="28" t="s">
        <v>21</v>
      </c>
      <c r="C18" s="28" t="s">
        <v>21</v>
      </c>
      <c r="D18" s="31">
        <v>1</v>
      </c>
      <c r="E18" s="73"/>
      <c r="F18" s="31"/>
      <c r="G18" s="32">
        <v>1.837</v>
      </c>
      <c r="H18" s="32"/>
      <c r="I18" s="32"/>
      <c r="J18" s="33" t="str">
        <f t="shared" si="1"/>
        <v/>
      </c>
      <c r="K18" s="34"/>
      <c r="L18" s="35"/>
      <c r="M18" s="36" t="str">
        <f t="shared" si="2"/>
        <v/>
      </c>
      <c r="N18" s="37"/>
      <c r="O18" s="29"/>
      <c r="P18" s="38"/>
      <c r="Q18" s="28"/>
      <c r="R18" s="28" t="s">
        <v>1407</v>
      </c>
      <c r="S18" s="47"/>
      <c r="T18" s="46"/>
      <c r="U18" s="28" t="s">
        <v>31</v>
      </c>
    </row>
    <row r="19" spans="1:21" s="27" customFormat="1" ht="14.25" customHeight="1" x14ac:dyDescent="0.25">
      <c r="A19" s="28" t="s">
        <v>21</v>
      </c>
      <c r="B19" s="28" t="s">
        <v>21</v>
      </c>
      <c r="C19" s="28" t="s">
        <v>21</v>
      </c>
      <c r="D19" s="31">
        <v>1</v>
      </c>
      <c r="E19" s="73"/>
      <c r="F19" s="31"/>
      <c r="G19" s="32">
        <v>1.8340000000000001</v>
      </c>
      <c r="H19" s="32"/>
      <c r="I19" s="32"/>
      <c r="J19" s="33" t="str">
        <f t="shared" si="1"/>
        <v/>
      </c>
      <c r="K19" s="34"/>
      <c r="L19" s="35"/>
      <c r="M19" s="36" t="str">
        <f t="shared" si="2"/>
        <v/>
      </c>
      <c r="N19" s="37"/>
      <c r="O19" s="29"/>
      <c r="P19" s="38"/>
      <c r="Q19" s="28"/>
      <c r="R19" s="28" t="s">
        <v>1409</v>
      </c>
      <c r="S19" s="47"/>
      <c r="T19" s="46"/>
      <c r="U19" s="28" t="s">
        <v>31</v>
      </c>
    </row>
    <row r="20" spans="1:21" s="27" customFormat="1" x14ac:dyDescent="0.25">
      <c r="A20" s="28" t="s">
        <v>21</v>
      </c>
      <c r="B20" s="28" t="s">
        <v>1388</v>
      </c>
      <c r="C20" s="28" t="s">
        <v>21</v>
      </c>
      <c r="D20" s="31">
        <v>1</v>
      </c>
      <c r="E20" s="73">
        <v>21</v>
      </c>
      <c r="F20" s="45">
        <v>903</v>
      </c>
      <c r="G20" s="32">
        <v>1.84</v>
      </c>
      <c r="H20" s="32">
        <v>5.5149999999999997</v>
      </c>
      <c r="I20" s="32">
        <v>5.4930000000000003</v>
      </c>
      <c r="J20" s="33">
        <f>IF(O20&lt;&gt;"",(H20-I20)/O20,"")</f>
        <v>7.3333333333331181E-3</v>
      </c>
      <c r="K20" s="34" t="str">
        <f t="shared" si="0"/>
        <v/>
      </c>
      <c r="L20" s="35">
        <f>F20/(O20*P20)</f>
        <v>7.5250000000000004</v>
      </c>
      <c r="M20" s="36" t="str">
        <f>IF(L20=0,"",IF(OR(L20&lt;7,L20&gt;7.8),"X",""))</f>
        <v/>
      </c>
      <c r="N20" s="37" t="s">
        <v>23</v>
      </c>
      <c r="O20" s="29">
        <v>3</v>
      </c>
      <c r="P20" s="38">
        <v>40</v>
      </c>
      <c r="Q20" s="28"/>
      <c r="R20" s="28" t="s">
        <v>1410</v>
      </c>
      <c r="S20" s="47"/>
      <c r="T20" s="46"/>
      <c r="U20" s="28" t="s">
        <v>31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31">
        <v>1</v>
      </c>
      <c r="E21" s="73"/>
      <c r="F21" s="31"/>
      <c r="G21" s="32">
        <v>1.84</v>
      </c>
      <c r="H21" s="32"/>
      <c r="I21" s="32"/>
      <c r="J21" s="33" t="str">
        <f t="shared" si="1"/>
        <v/>
      </c>
      <c r="K21" s="34"/>
      <c r="L21" s="35"/>
      <c r="M21" s="36" t="str">
        <f t="shared" si="2"/>
        <v/>
      </c>
      <c r="N21" s="37"/>
      <c r="O21" s="29"/>
      <c r="P21" s="38"/>
      <c r="Q21" s="28"/>
      <c r="R21" s="28" t="s">
        <v>1411</v>
      </c>
      <c r="S21" s="47"/>
      <c r="T21" s="46"/>
      <c r="U21" s="28" t="s">
        <v>31</v>
      </c>
    </row>
    <row r="22" spans="1:21" s="27" customFormat="1" ht="14.25" customHeight="1" x14ac:dyDescent="0.25">
      <c r="A22" s="28" t="s">
        <v>21</v>
      </c>
      <c r="B22" s="28" t="s">
        <v>21</v>
      </c>
      <c r="C22" s="28" t="s">
        <v>21</v>
      </c>
      <c r="D22" s="31">
        <v>1</v>
      </c>
      <c r="E22" s="73"/>
      <c r="F22" s="31"/>
      <c r="G22" s="32">
        <v>1.835</v>
      </c>
      <c r="H22" s="32"/>
      <c r="I22" s="32"/>
      <c r="J22" s="33" t="str">
        <f t="shared" si="1"/>
        <v/>
      </c>
      <c r="K22" s="34"/>
      <c r="L22" s="35"/>
      <c r="M22" s="36" t="str">
        <f t="shared" si="2"/>
        <v/>
      </c>
      <c r="N22" s="37"/>
      <c r="O22" s="29"/>
      <c r="P22" s="38"/>
      <c r="Q22" s="28"/>
      <c r="R22" s="28" t="s">
        <v>1413</v>
      </c>
      <c r="S22" s="47"/>
      <c r="T22" s="46"/>
      <c r="U22" s="28" t="s">
        <v>31</v>
      </c>
    </row>
    <row r="23" spans="1:21" s="27" customFormat="1" x14ac:dyDescent="0.25">
      <c r="A23" s="28" t="s">
        <v>21</v>
      </c>
      <c r="B23" s="28" t="s">
        <v>1389</v>
      </c>
      <c r="C23" s="28" t="s">
        <v>21</v>
      </c>
      <c r="D23" s="31">
        <v>1</v>
      </c>
      <c r="E23" s="73">
        <v>22</v>
      </c>
      <c r="F23" s="45">
        <v>902</v>
      </c>
      <c r="G23" s="32">
        <v>1.831</v>
      </c>
      <c r="H23" s="32">
        <v>5.4950000000000001</v>
      </c>
      <c r="I23" s="32">
        <v>5.4729999999999999</v>
      </c>
      <c r="J23" s="33">
        <f>IF(O23&lt;&gt;"",(H23-I23)/O23,"")</f>
        <v>7.3333333333334139E-3</v>
      </c>
      <c r="K23" s="34" t="str">
        <f t="shared" si="0"/>
        <v/>
      </c>
      <c r="L23" s="35">
        <f>F23/(O23*P23)</f>
        <v>7.5166666666666666</v>
      </c>
      <c r="M23" s="36" t="str">
        <f>IF(L23=0,"",IF(OR(L23&lt;7,L23&gt;7.8),"X",""))</f>
        <v/>
      </c>
      <c r="N23" s="37" t="s">
        <v>23</v>
      </c>
      <c r="O23" s="29">
        <v>3</v>
      </c>
      <c r="P23" s="38">
        <v>40</v>
      </c>
      <c r="Q23" s="28"/>
      <c r="R23" s="28" t="s">
        <v>1414</v>
      </c>
      <c r="S23" s="47"/>
      <c r="T23" s="46"/>
      <c r="U23" s="28" t="s">
        <v>31</v>
      </c>
    </row>
    <row r="24" spans="1:21" s="27" customFormat="1" x14ac:dyDescent="0.25">
      <c r="A24" s="28" t="s">
        <v>21</v>
      </c>
      <c r="B24" s="28" t="s">
        <v>21</v>
      </c>
      <c r="C24" s="28" t="s">
        <v>21</v>
      </c>
      <c r="D24" s="31">
        <v>1</v>
      </c>
      <c r="E24" s="73"/>
      <c r="F24" s="31"/>
      <c r="G24" s="32">
        <v>1.833</v>
      </c>
      <c r="H24" s="32"/>
      <c r="I24" s="32"/>
      <c r="J24" s="33" t="str">
        <f t="shared" si="1"/>
        <v/>
      </c>
      <c r="K24" s="34"/>
      <c r="L24" s="35"/>
      <c r="M24" s="36" t="str">
        <f t="shared" si="2"/>
        <v/>
      </c>
      <c r="N24" s="37"/>
      <c r="O24" s="29"/>
      <c r="P24" s="38"/>
      <c r="Q24" s="28"/>
      <c r="R24" s="28" t="s">
        <v>1412</v>
      </c>
      <c r="S24" s="47"/>
      <c r="T24" s="46"/>
      <c r="U24" s="28" t="s">
        <v>31</v>
      </c>
    </row>
    <row r="25" spans="1:21" s="27" customFormat="1" ht="14.25" customHeight="1" x14ac:dyDescent="0.25">
      <c r="A25" s="28" t="s">
        <v>21</v>
      </c>
      <c r="B25" s="28" t="s">
        <v>21</v>
      </c>
      <c r="C25" s="28" t="s">
        <v>21</v>
      </c>
      <c r="D25" s="31">
        <v>1</v>
      </c>
      <c r="E25" s="73"/>
      <c r="F25" s="31"/>
      <c r="G25" s="32">
        <v>1.831</v>
      </c>
      <c r="H25" s="32"/>
      <c r="I25" s="32"/>
      <c r="J25" s="33" t="str">
        <f t="shared" si="1"/>
        <v/>
      </c>
      <c r="K25" s="34"/>
      <c r="L25" s="35"/>
      <c r="M25" s="36" t="str">
        <f t="shared" si="2"/>
        <v/>
      </c>
      <c r="N25" s="37"/>
      <c r="O25" s="29"/>
      <c r="P25" s="38"/>
      <c r="Q25" s="28"/>
      <c r="R25" s="28" t="s">
        <v>1415</v>
      </c>
      <c r="S25" s="47"/>
      <c r="T25" s="46"/>
      <c r="U25" s="28" t="s">
        <v>31</v>
      </c>
    </row>
    <row r="26" spans="1:21" s="27" customFormat="1" x14ac:dyDescent="0.25">
      <c r="A26" s="28" t="s">
        <v>21</v>
      </c>
      <c r="B26" s="28" t="s">
        <v>1390</v>
      </c>
      <c r="C26" s="28" t="s">
        <v>21</v>
      </c>
      <c r="D26" s="31">
        <v>1</v>
      </c>
      <c r="E26" s="73">
        <v>25</v>
      </c>
      <c r="F26" s="45">
        <v>902</v>
      </c>
      <c r="G26" s="32">
        <v>1.835</v>
      </c>
      <c r="H26" s="32">
        <v>5.5110000000000001</v>
      </c>
      <c r="I26" s="32">
        <v>5.4889999999999999</v>
      </c>
      <c r="J26" s="33">
        <f>IF(O26&lt;&gt;"",(H26-I26)/O26,"")</f>
        <v>7.3333333333334139E-3</v>
      </c>
      <c r="K26" s="34" t="str">
        <f t="shared" si="0"/>
        <v/>
      </c>
      <c r="L26" s="35">
        <f>F26/(O26*P26)</f>
        <v>7.5166666666666666</v>
      </c>
      <c r="M26" s="36" t="str">
        <f>IF(L26=0,"",IF(OR(L26&lt;7,L26&gt;7.8),"X",""))</f>
        <v/>
      </c>
      <c r="N26" s="37" t="s">
        <v>23</v>
      </c>
      <c r="O26" s="29">
        <v>3</v>
      </c>
      <c r="P26" s="38">
        <v>40</v>
      </c>
      <c r="Q26" s="28"/>
      <c r="R26" s="28" t="s">
        <v>1416</v>
      </c>
      <c r="S26" s="47"/>
      <c r="T26" s="46"/>
      <c r="U26" s="28" t="s">
        <v>31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1</v>
      </c>
      <c r="E27" s="73"/>
      <c r="F27" s="31"/>
      <c r="G27" s="32">
        <v>1.841</v>
      </c>
      <c r="H27" s="32"/>
      <c r="I27" s="32"/>
      <c r="J27" s="33" t="str">
        <f t="shared" si="1"/>
        <v/>
      </c>
      <c r="K27" s="34"/>
      <c r="L27" s="35"/>
      <c r="M27" s="36" t="str">
        <f t="shared" si="2"/>
        <v/>
      </c>
      <c r="N27" s="37"/>
      <c r="O27" s="29"/>
      <c r="P27" s="38"/>
      <c r="Q27" s="28"/>
      <c r="R27" s="28" t="s">
        <v>1417</v>
      </c>
      <c r="S27" s="47"/>
      <c r="T27" s="46"/>
      <c r="U27" s="28" t="s">
        <v>31</v>
      </c>
    </row>
    <row r="28" spans="1:21" s="27" customFormat="1" ht="14.25" customHeight="1" x14ac:dyDescent="0.25">
      <c r="A28" s="28" t="s">
        <v>21</v>
      </c>
      <c r="B28" s="28" t="s">
        <v>21</v>
      </c>
      <c r="C28" s="28" t="s">
        <v>21</v>
      </c>
      <c r="D28" s="31">
        <v>1</v>
      </c>
      <c r="E28" s="73"/>
      <c r="F28" s="31"/>
      <c r="G28" s="32">
        <v>1.837</v>
      </c>
      <c r="H28" s="32"/>
      <c r="I28" s="32"/>
      <c r="J28" s="33" t="str">
        <f t="shared" si="1"/>
        <v/>
      </c>
      <c r="K28" s="34"/>
      <c r="L28" s="35"/>
      <c r="M28" s="36" t="str">
        <f t="shared" si="2"/>
        <v/>
      </c>
      <c r="N28" s="37"/>
      <c r="O28" s="29"/>
      <c r="P28" s="38"/>
      <c r="Q28" s="28"/>
      <c r="R28" s="28" t="s">
        <v>1418</v>
      </c>
      <c r="S28" s="47"/>
      <c r="T28" s="46"/>
      <c r="U28" s="28" t="s">
        <v>31</v>
      </c>
    </row>
    <row r="29" spans="1:21" s="27" customFormat="1" x14ac:dyDescent="0.25">
      <c r="A29" s="28" t="s">
        <v>21</v>
      </c>
      <c r="B29" s="28" t="s">
        <v>1391</v>
      </c>
      <c r="C29" s="28">
        <v>765171</v>
      </c>
      <c r="D29" s="31">
        <v>1</v>
      </c>
      <c r="E29" s="73">
        <v>33</v>
      </c>
      <c r="F29" s="45">
        <v>903</v>
      </c>
      <c r="G29" s="32">
        <v>1.831</v>
      </c>
      <c r="H29" s="32">
        <v>5.4969999999999999</v>
      </c>
      <c r="I29" s="32">
        <v>5.4740000000000002</v>
      </c>
      <c r="J29" s="33">
        <f>IF(O29&lt;&gt;"",(H29-I29)/O29,"")</f>
        <v>7.6666666666665622E-3</v>
      </c>
      <c r="K29" s="34" t="str">
        <f t="shared" si="0"/>
        <v/>
      </c>
      <c r="L29" s="35">
        <f>F29/(O29*P29)</f>
        <v>7.5250000000000004</v>
      </c>
      <c r="M29" s="36" t="str">
        <f>IF(L29=0,"",IF(OR(L29&lt;7,L29&gt;7.8),"X",""))</f>
        <v/>
      </c>
      <c r="N29" s="37" t="s">
        <v>23</v>
      </c>
      <c r="O29" s="29">
        <v>3</v>
      </c>
      <c r="P29" s="38">
        <v>40</v>
      </c>
      <c r="Q29" s="28"/>
      <c r="R29" s="28" t="s">
        <v>1419</v>
      </c>
      <c r="S29" s="47"/>
      <c r="T29" s="46"/>
      <c r="U29" s="28" t="s">
        <v>31</v>
      </c>
    </row>
    <row r="30" spans="1:21" s="27" customFormat="1" x14ac:dyDescent="0.25">
      <c r="A30" s="28" t="s">
        <v>21</v>
      </c>
      <c r="B30" s="28" t="s">
        <v>21</v>
      </c>
      <c r="C30" s="28" t="s">
        <v>21</v>
      </c>
      <c r="D30" s="31">
        <v>1</v>
      </c>
      <c r="E30" s="73"/>
      <c r="F30" s="31"/>
      <c r="G30" s="32">
        <v>1.833</v>
      </c>
      <c r="H30" s="32"/>
      <c r="I30" s="32"/>
      <c r="J30" s="33" t="str">
        <f t="shared" si="1"/>
        <v/>
      </c>
      <c r="K30" s="34"/>
      <c r="L30" s="35"/>
      <c r="M30" s="36" t="str">
        <f t="shared" si="2"/>
        <v/>
      </c>
      <c r="N30" s="37"/>
      <c r="O30" s="29"/>
      <c r="P30" s="38"/>
      <c r="Q30" s="28"/>
      <c r="R30" s="28" t="s">
        <v>1420</v>
      </c>
      <c r="S30" s="47"/>
      <c r="T30" s="46"/>
      <c r="U30" s="28" t="s">
        <v>31</v>
      </c>
    </row>
    <row r="31" spans="1:21" s="27" customFormat="1" ht="14.25" customHeigh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73"/>
      <c r="F31" s="31"/>
      <c r="G31" s="32">
        <v>1.8340000000000001</v>
      </c>
      <c r="H31" s="32"/>
      <c r="I31" s="32"/>
      <c r="J31" s="33" t="str">
        <f t="shared" si="1"/>
        <v/>
      </c>
      <c r="K31" s="34"/>
      <c r="L31" s="35"/>
      <c r="M31" s="36" t="str">
        <f t="shared" si="2"/>
        <v/>
      </c>
      <c r="N31" s="37"/>
      <c r="O31" s="29"/>
      <c r="P31" s="38"/>
      <c r="Q31" s="28"/>
      <c r="R31" s="28" t="s">
        <v>1421</v>
      </c>
      <c r="S31" s="47"/>
      <c r="T31" s="46"/>
      <c r="U31" s="28" t="s">
        <v>31</v>
      </c>
    </row>
    <row r="32" spans="1:21" s="27" customFormat="1" x14ac:dyDescent="0.25">
      <c r="A32" s="28" t="s">
        <v>1422</v>
      </c>
      <c r="B32" s="28" t="s">
        <v>1423</v>
      </c>
      <c r="C32" s="28">
        <v>765171</v>
      </c>
      <c r="D32" s="31">
        <v>1</v>
      </c>
      <c r="E32" s="73">
        <v>14</v>
      </c>
      <c r="F32" s="45">
        <v>1201</v>
      </c>
      <c r="G32" s="32">
        <v>1.833</v>
      </c>
      <c r="H32" s="32">
        <v>7.34</v>
      </c>
      <c r="I32" s="32">
        <v>7.31</v>
      </c>
      <c r="J32" s="33">
        <f>IF(O32&lt;&gt;"",(H32-I32)/O32,"")</f>
        <v>7.5000000000000622E-3</v>
      </c>
      <c r="K32" s="34" t="str">
        <f t="shared" ref="K32:K36" si="3">IF(J32=0,"",IF(OR(J32&lt;0,J32&gt;0.03),"X",""))</f>
        <v/>
      </c>
      <c r="L32" s="35">
        <f>F32/(O32*P32)</f>
        <v>7.5062499999999996</v>
      </c>
      <c r="M32" s="36" t="str">
        <f>IF(L32=0,"",IF(OR(L32&lt;7,L32&gt;7.8),"X",""))</f>
        <v/>
      </c>
      <c r="N32" s="37" t="s">
        <v>24</v>
      </c>
      <c r="O32" s="29">
        <v>4</v>
      </c>
      <c r="P32" s="38">
        <v>40</v>
      </c>
      <c r="Q32" s="28"/>
      <c r="R32" s="28" t="s">
        <v>1427</v>
      </c>
      <c r="S32" s="47"/>
      <c r="T32" s="28"/>
      <c r="U32" s="28" t="s">
        <v>31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1</v>
      </c>
      <c r="E33" s="73"/>
      <c r="F33" s="31"/>
      <c r="G33" s="32">
        <v>1.8360000000000001</v>
      </c>
      <c r="H33" s="32"/>
      <c r="I33" s="32"/>
      <c r="J33" s="33" t="str">
        <f t="shared" ref="J33:J39" si="4">IF(O33&lt;&gt;"",(H33-I33)/O33,"")</f>
        <v/>
      </c>
      <c r="K33" s="34"/>
      <c r="L33" s="35"/>
      <c r="M33" s="36" t="str">
        <f t="shared" ref="M33:M39" si="5">IF(L33=0,"",IF(OR(L33&lt;7.4,L33&gt;8),"X",""))</f>
        <v/>
      </c>
      <c r="N33" s="37"/>
      <c r="O33" s="29"/>
      <c r="P33" s="38"/>
      <c r="Q33" s="28"/>
      <c r="R33" s="28" t="s">
        <v>1426</v>
      </c>
      <c r="S33" s="47"/>
      <c r="T33" s="28"/>
      <c r="U33" s="28" t="s">
        <v>31</v>
      </c>
    </row>
    <row r="34" spans="1:21" s="27" customFormat="1" x14ac:dyDescent="0.25">
      <c r="A34" s="28" t="s">
        <v>21</v>
      </c>
      <c r="B34" s="28" t="s">
        <v>21</v>
      </c>
      <c r="C34" s="28" t="s">
        <v>21</v>
      </c>
      <c r="D34" s="31">
        <v>1</v>
      </c>
      <c r="E34" s="73"/>
      <c r="F34" s="31"/>
      <c r="G34" s="32">
        <v>1.841</v>
      </c>
      <c r="H34" s="32"/>
      <c r="I34" s="32"/>
      <c r="J34" s="33" t="str">
        <f t="shared" si="4"/>
        <v/>
      </c>
      <c r="K34" s="34"/>
      <c r="L34" s="35"/>
      <c r="M34" s="36" t="str">
        <f t="shared" si="5"/>
        <v/>
      </c>
      <c r="N34" s="37"/>
      <c r="O34" s="29"/>
      <c r="P34" s="38"/>
      <c r="Q34" s="28"/>
      <c r="R34" s="28" t="s">
        <v>1429</v>
      </c>
      <c r="S34" s="47"/>
      <c r="T34" s="28"/>
      <c r="U34" s="28" t="s">
        <v>31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73"/>
      <c r="F35" s="31"/>
      <c r="G35" s="32">
        <v>1.831</v>
      </c>
      <c r="H35" s="32"/>
      <c r="I35" s="32"/>
      <c r="J35" s="33" t="str">
        <f t="shared" si="4"/>
        <v/>
      </c>
      <c r="K35" s="34"/>
      <c r="L35" s="35"/>
      <c r="M35" s="36" t="str">
        <f t="shared" si="5"/>
        <v/>
      </c>
      <c r="N35" s="37"/>
      <c r="O35" s="29"/>
      <c r="P35" s="38"/>
      <c r="Q35" s="28"/>
      <c r="R35" s="28" t="s">
        <v>1431</v>
      </c>
      <c r="S35" s="47"/>
      <c r="T35" s="28"/>
      <c r="U35" s="28" t="s">
        <v>31</v>
      </c>
    </row>
    <row r="36" spans="1:21" s="27" customFormat="1" x14ac:dyDescent="0.25">
      <c r="A36" s="28" t="s">
        <v>21</v>
      </c>
      <c r="B36" s="28" t="s">
        <v>1424</v>
      </c>
      <c r="C36" s="28" t="s">
        <v>21</v>
      </c>
      <c r="D36" s="31">
        <v>1</v>
      </c>
      <c r="E36" s="73">
        <v>12</v>
      </c>
      <c r="F36" s="45">
        <v>1204</v>
      </c>
      <c r="G36" s="32">
        <v>1.8380000000000001</v>
      </c>
      <c r="H36" s="32">
        <v>7.34</v>
      </c>
      <c r="I36" s="32">
        <v>7.31</v>
      </c>
      <c r="J36" s="33">
        <f>IF(O36&lt;&gt;"",(H36-I36)/O36,"")</f>
        <v>7.5000000000000622E-3</v>
      </c>
      <c r="K36" s="34" t="str">
        <f t="shared" si="3"/>
        <v/>
      </c>
      <c r="L36" s="35">
        <f>F36/(O36*P36)</f>
        <v>7.5250000000000004</v>
      </c>
      <c r="M36" s="36" t="str">
        <f>IF(L36=0,"",IF(OR(L36&lt;7,L36&gt;7.8),"X",""))</f>
        <v/>
      </c>
      <c r="N36" s="37" t="s">
        <v>24</v>
      </c>
      <c r="O36" s="29">
        <v>4</v>
      </c>
      <c r="P36" s="38">
        <v>40</v>
      </c>
      <c r="Q36" s="28"/>
      <c r="R36" s="28" t="s">
        <v>1428</v>
      </c>
      <c r="S36" s="47"/>
      <c r="T36" s="28"/>
      <c r="U36" s="28" t="s">
        <v>31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73"/>
      <c r="F37" s="31"/>
      <c r="G37" s="32">
        <v>1.837</v>
      </c>
      <c r="H37" s="32"/>
      <c r="I37" s="32"/>
      <c r="J37" s="33" t="str">
        <f t="shared" si="4"/>
        <v/>
      </c>
      <c r="K37" s="34"/>
      <c r="L37" s="35"/>
      <c r="M37" s="36" t="str">
        <f t="shared" si="5"/>
        <v/>
      </c>
      <c r="N37" s="37"/>
      <c r="O37" s="29"/>
      <c r="P37" s="38"/>
      <c r="Q37" s="28"/>
      <c r="R37" s="28" t="s">
        <v>1433</v>
      </c>
      <c r="S37" s="47"/>
      <c r="T37" s="28"/>
      <c r="U37" s="28" t="s">
        <v>31</v>
      </c>
    </row>
    <row r="38" spans="1:21" s="27" customFormat="1" x14ac:dyDescent="0.25">
      <c r="A38" s="28" t="s">
        <v>21</v>
      </c>
      <c r="B38" s="28" t="s">
        <v>21</v>
      </c>
      <c r="C38" s="28" t="s">
        <v>21</v>
      </c>
      <c r="D38" s="31">
        <v>1</v>
      </c>
      <c r="E38" s="73"/>
      <c r="F38" s="31"/>
      <c r="G38" s="32">
        <v>1.831</v>
      </c>
      <c r="H38" s="32"/>
      <c r="I38" s="32"/>
      <c r="J38" s="33" t="str">
        <f t="shared" si="4"/>
        <v/>
      </c>
      <c r="K38" s="34"/>
      <c r="L38" s="35"/>
      <c r="M38" s="36" t="str">
        <f t="shared" si="5"/>
        <v/>
      </c>
      <c r="N38" s="37"/>
      <c r="O38" s="29"/>
      <c r="P38" s="38"/>
      <c r="Q38" s="28"/>
      <c r="R38" s="28" t="s">
        <v>1435</v>
      </c>
      <c r="S38" s="47"/>
      <c r="T38" s="28"/>
      <c r="U38" s="28" t="s">
        <v>31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31">
        <v>1</v>
      </c>
      <c r="E39" s="73"/>
      <c r="F39" s="31"/>
      <c r="G39" s="32">
        <v>1.8380000000000001</v>
      </c>
      <c r="H39" s="32"/>
      <c r="I39" s="32"/>
      <c r="J39" s="33" t="str">
        <f t="shared" si="4"/>
        <v/>
      </c>
      <c r="K39" s="34"/>
      <c r="L39" s="35"/>
      <c r="M39" s="36" t="str">
        <f t="shared" si="5"/>
        <v/>
      </c>
      <c r="N39" s="37"/>
      <c r="O39" s="29"/>
      <c r="P39" s="38"/>
      <c r="Q39" s="28"/>
      <c r="R39" s="28" t="s">
        <v>1432</v>
      </c>
      <c r="S39" s="47"/>
      <c r="T39" s="28"/>
      <c r="U39" s="28" t="s">
        <v>31</v>
      </c>
    </row>
    <row r="40" spans="1:21" s="27" customFormat="1" x14ac:dyDescent="0.25">
      <c r="A40" s="28" t="s">
        <v>21</v>
      </c>
      <c r="B40" s="28" t="s">
        <v>1425</v>
      </c>
      <c r="C40" s="28" t="s">
        <v>21</v>
      </c>
      <c r="D40" s="31">
        <v>1</v>
      </c>
      <c r="E40" s="73">
        <v>21</v>
      </c>
      <c r="F40" s="45">
        <v>1200</v>
      </c>
      <c r="G40" s="32">
        <v>1.8460000000000001</v>
      </c>
      <c r="H40" s="32">
        <v>7.37</v>
      </c>
      <c r="I40" s="32">
        <v>7.34</v>
      </c>
      <c r="J40" s="33">
        <f>IF(O40&lt;&gt;"",(H40-I40)/O40,"")</f>
        <v>7.5000000000000622E-3</v>
      </c>
      <c r="K40" s="34" t="str">
        <f t="shared" ref="K40" si="6">IF(J40=0,"",IF(OR(J40&lt;0,J40&gt;0.03),"X",""))</f>
        <v/>
      </c>
      <c r="L40" s="35">
        <f>F40/(O40*P40)</f>
        <v>7.5</v>
      </c>
      <c r="M40" s="36" t="str">
        <f>IF(L40=0,"",IF(OR(L40&lt;7,L40&gt;7.8),"X",""))</f>
        <v/>
      </c>
      <c r="N40" s="37" t="s">
        <v>24</v>
      </c>
      <c r="O40" s="29">
        <v>4</v>
      </c>
      <c r="P40" s="38">
        <v>40</v>
      </c>
      <c r="Q40" s="28"/>
      <c r="R40" s="28" t="s">
        <v>1430</v>
      </c>
      <c r="S40" s="47"/>
      <c r="T40" s="28"/>
      <c r="U40" s="28" t="s">
        <v>31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>
        <v>1</v>
      </c>
      <c r="E41" s="73"/>
      <c r="F41" s="31"/>
      <c r="G41" s="32">
        <v>1.84</v>
      </c>
      <c r="H41" s="32"/>
      <c r="I41" s="32"/>
      <c r="J41" s="33" t="str">
        <f t="shared" ref="J41:J43" si="7">IF(O41&lt;&gt;"",(H41-I41)/O41,"")</f>
        <v/>
      </c>
      <c r="K41" s="34"/>
      <c r="L41" s="35"/>
      <c r="M41" s="36" t="str">
        <f t="shared" ref="M41:M43" si="8">IF(L41=0,"",IF(OR(L41&lt;7.4,L41&gt;8),"X",""))</f>
        <v/>
      </c>
      <c r="N41" s="37"/>
      <c r="O41" s="29"/>
      <c r="P41" s="38"/>
      <c r="Q41" s="28"/>
      <c r="R41" s="28" t="s">
        <v>1436</v>
      </c>
      <c r="S41" s="47"/>
      <c r="T41" s="28"/>
      <c r="U41" s="28" t="s">
        <v>31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31">
        <v>1</v>
      </c>
      <c r="E42" s="73"/>
      <c r="F42" s="31"/>
      <c r="G42" s="32">
        <v>1.839</v>
      </c>
      <c r="H42" s="32"/>
      <c r="I42" s="32"/>
      <c r="J42" s="33" t="str">
        <f t="shared" si="7"/>
        <v/>
      </c>
      <c r="K42" s="34"/>
      <c r="L42" s="35"/>
      <c r="M42" s="36" t="str">
        <f t="shared" si="8"/>
        <v/>
      </c>
      <c r="N42" s="37"/>
      <c r="O42" s="29"/>
      <c r="P42" s="38"/>
      <c r="Q42" s="28"/>
      <c r="R42" s="28" t="s">
        <v>1438</v>
      </c>
      <c r="S42" s="47"/>
      <c r="T42" s="28"/>
      <c r="U42" s="28" t="s">
        <v>31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31">
        <v>1</v>
      </c>
      <c r="E43" s="73"/>
      <c r="F43" s="31"/>
      <c r="G43" s="32">
        <v>1.845</v>
      </c>
      <c r="H43" s="32"/>
      <c r="I43" s="32"/>
      <c r="J43" s="33" t="str">
        <f t="shared" si="7"/>
        <v/>
      </c>
      <c r="K43" s="34"/>
      <c r="L43" s="35"/>
      <c r="M43" s="36" t="str">
        <f t="shared" si="8"/>
        <v/>
      </c>
      <c r="N43" s="37"/>
      <c r="O43" s="29"/>
      <c r="P43" s="38"/>
      <c r="Q43" s="28"/>
      <c r="R43" s="28" t="s">
        <v>1439</v>
      </c>
      <c r="S43" s="47"/>
      <c r="T43" s="28"/>
      <c r="U43" s="28" t="s">
        <v>31</v>
      </c>
    </row>
    <row r="44" spans="1:21" s="27" customFormat="1" x14ac:dyDescent="0.25">
      <c r="A44" s="28" t="s">
        <v>1440</v>
      </c>
      <c r="B44" s="28" t="s">
        <v>1444</v>
      </c>
      <c r="C44" s="28">
        <v>765171</v>
      </c>
      <c r="D44" s="31">
        <v>1</v>
      </c>
      <c r="E44" s="71">
        <v>59</v>
      </c>
      <c r="F44" s="45">
        <v>299</v>
      </c>
      <c r="G44" s="32"/>
      <c r="H44" s="32">
        <v>1.883</v>
      </c>
      <c r="I44" s="32">
        <v>1.877</v>
      </c>
      <c r="J44" s="33">
        <f t="shared" ref="J44:J50" si="9">IF(O44&lt;&gt;"",(H44-I44)/O44,"")</f>
        <v>6.0000000000000053E-3</v>
      </c>
      <c r="K44" s="34" t="str">
        <f t="shared" ref="K44:K50" si="10">IF(J44=0,"",IF(OR(J44&lt;0,J44&gt;0.03),"X",""))</f>
        <v/>
      </c>
      <c r="L44" s="35">
        <f t="shared" ref="L44:L50" si="11">F44/(O44*P44)</f>
        <v>7.4749999999999996</v>
      </c>
      <c r="M44" s="36" t="str">
        <f t="shared" ref="M44:M50" si="12">IF(L44=0,"",IF(OR(L44&lt;7,L44&gt;7.8),"X",""))</f>
        <v/>
      </c>
      <c r="N44" s="37" t="s">
        <v>27</v>
      </c>
      <c r="O44" s="29">
        <v>1</v>
      </c>
      <c r="P44" s="38">
        <v>40</v>
      </c>
      <c r="Q44" s="28"/>
      <c r="R44" s="28" t="s">
        <v>1446</v>
      </c>
      <c r="S44" s="71" t="s">
        <v>58</v>
      </c>
      <c r="T44" s="28"/>
      <c r="U44" s="28" t="s">
        <v>31</v>
      </c>
    </row>
    <row r="45" spans="1:21" s="27" customFormat="1" x14ac:dyDescent="0.25">
      <c r="A45" s="28" t="s">
        <v>21</v>
      </c>
      <c r="B45" s="28" t="s">
        <v>1445</v>
      </c>
      <c r="C45" s="28" t="s">
        <v>21</v>
      </c>
      <c r="D45" s="31">
        <v>1</v>
      </c>
      <c r="E45" s="71">
        <v>50</v>
      </c>
      <c r="F45" s="45">
        <v>300</v>
      </c>
      <c r="G45" s="32"/>
      <c r="H45" s="32">
        <v>1.8819999999999999</v>
      </c>
      <c r="I45" s="32">
        <v>1.875</v>
      </c>
      <c r="J45" s="33">
        <f t="shared" si="9"/>
        <v>6.9999999999998952E-3</v>
      </c>
      <c r="K45" s="34" t="str">
        <f t="shared" si="10"/>
        <v/>
      </c>
      <c r="L45" s="35">
        <f t="shared" si="11"/>
        <v>7.5</v>
      </c>
      <c r="M45" s="36" t="str">
        <f t="shared" si="12"/>
        <v/>
      </c>
      <c r="N45" s="37" t="s">
        <v>27</v>
      </c>
      <c r="O45" s="29">
        <v>1</v>
      </c>
      <c r="P45" s="38">
        <v>40</v>
      </c>
      <c r="Q45" s="28"/>
      <c r="R45" s="28" t="s">
        <v>1447</v>
      </c>
      <c r="S45" s="71" t="s">
        <v>59</v>
      </c>
      <c r="T45" s="28"/>
      <c r="U45" s="28" t="s">
        <v>31</v>
      </c>
    </row>
    <row r="46" spans="1:21" s="27" customFormat="1" x14ac:dyDescent="0.25">
      <c r="A46" s="28" t="s">
        <v>21</v>
      </c>
      <c r="B46" s="28" t="s">
        <v>1441</v>
      </c>
      <c r="C46" s="28" t="s">
        <v>21</v>
      </c>
      <c r="D46" s="31">
        <v>1</v>
      </c>
      <c r="E46" s="71">
        <v>51</v>
      </c>
      <c r="F46" s="45">
        <v>301</v>
      </c>
      <c r="G46" s="32"/>
      <c r="H46" s="32">
        <v>1.871</v>
      </c>
      <c r="I46" s="32">
        <v>1.863</v>
      </c>
      <c r="J46" s="33">
        <f t="shared" si="9"/>
        <v>8.0000000000000071E-3</v>
      </c>
      <c r="K46" s="34" t="str">
        <f t="shared" si="10"/>
        <v/>
      </c>
      <c r="L46" s="35">
        <f t="shared" si="11"/>
        <v>7.5250000000000004</v>
      </c>
      <c r="M46" s="36" t="str">
        <f t="shared" si="12"/>
        <v/>
      </c>
      <c r="N46" s="37" t="s">
        <v>27</v>
      </c>
      <c r="O46" s="29">
        <v>1</v>
      </c>
      <c r="P46" s="38">
        <v>40</v>
      </c>
      <c r="Q46" s="28"/>
      <c r="R46" s="28" t="s">
        <v>1448</v>
      </c>
      <c r="S46" s="28" t="s">
        <v>21</v>
      </c>
      <c r="T46" s="28"/>
      <c r="U46" s="28" t="s">
        <v>31</v>
      </c>
    </row>
    <row r="47" spans="1:21" s="27" customFormat="1" x14ac:dyDescent="0.25">
      <c r="A47" s="28" t="s">
        <v>21</v>
      </c>
      <c r="B47" s="28" t="s">
        <v>1442</v>
      </c>
      <c r="C47" s="28" t="s">
        <v>21</v>
      </c>
      <c r="D47" s="31">
        <v>1</v>
      </c>
      <c r="E47" s="71">
        <v>50</v>
      </c>
      <c r="F47" s="45">
        <v>301</v>
      </c>
      <c r="G47" s="32"/>
      <c r="H47" s="32">
        <v>1.8779999999999999</v>
      </c>
      <c r="I47" s="32">
        <v>1.871</v>
      </c>
      <c r="J47" s="33">
        <f t="shared" si="9"/>
        <v>6.9999999999998952E-3</v>
      </c>
      <c r="K47" s="34" t="str">
        <f t="shared" si="10"/>
        <v/>
      </c>
      <c r="L47" s="35">
        <f t="shared" si="11"/>
        <v>7.5250000000000004</v>
      </c>
      <c r="M47" s="36" t="str">
        <f t="shared" si="12"/>
        <v/>
      </c>
      <c r="N47" s="37" t="s">
        <v>27</v>
      </c>
      <c r="O47" s="29">
        <v>1</v>
      </c>
      <c r="P47" s="38">
        <v>40</v>
      </c>
      <c r="Q47" s="28"/>
      <c r="R47" s="28" t="s">
        <v>1434</v>
      </c>
      <c r="S47" s="28" t="s">
        <v>21</v>
      </c>
      <c r="T47" s="28"/>
      <c r="U47" s="28" t="s">
        <v>31</v>
      </c>
    </row>
    <row r="48" spans="1:21" s="27" customFormat="1" x14ac:dyDescent="0.25">
      <c r="A48" s="28" t="s">
        <v>21</v>
      </c>
      <c r="B48" s="28" t="s">
        <v>1443</v>
      </c>
      <c r="C48" s="28" t="s">
        <v>21</v>
      </c>
      <c r="D48" s="31">
        <v>1</v>
      </c>
      <c r="E48" s="71">
        <v>49</v>
      </c>
      <c r="F48" s="45">
        <v>301</v>
      </c>
      <c r="G48" s="32"/>
      <c r="H48" s="32">
        <v>1.887</v>
      </c>
      <c r="I48" s="32">
        <v>1.88</v>
      </c>
      <c r="J48" s="33">
        <f t="shared" si="9"/>
        <v>7.0000000000001172E-3</v>
      </c>
      <c r="K48" s="34" t="str">
        <f t="shared" si="10"/>
        <v/>
      </c>
      <c r="L48" s="35">
        <f t="shared" si="11"/>
        <v>7.5250000000000004</v>
      </c>
      <c r="M48" s="36" t="str">
        <f t="shared" si="12"/>
        <v/>
      </c>
      <c r="N48" s="37" t="s">
        <v>27</v>
      </c>
      <c r="O48" s="29">
        <v>1</v>
      </c>
      <c r="P48" s="38">
        <v>40</v>
      </c>
      <c r="Q48" s="28"/>
      <c r="R48" s="28" t="s">
        <v>1437</v>
      </c>
      <c r="S48" s="28" t="s">
        <v>21</v>
      </c>
      <c r="T48" s="28"/>
      <c r="U48" s="28" t="s">
        <v>31</v>
      </c>
    </row>
    <row r="49" spans="1:21" s="27" customFormat="1" x14ac:dyDescent="0.25">
      <c r="A49" s="28" t="s">
        <v>1449</v>
      </c>
      <c r="B49" s="44" t="s">
        <v>1451</v>
      </c>
      <c r="C49" s="28">
        <v>765171</v>
      </c>
      <c r="D49" s="31">
        <v>1</v>
      </c>
      <c r="E49" s="73">
        <v>10</v>
      </c>
      <c r="F49" s="45">
        <v>300</v>
      </c>
      <c r="G49" s="32"/>
      <c r="H49" s="32">
        <v>1.831</v>
      </c>
      <c r="I49" s="32">
        <v>1.823</v>
      </c>
      <c r="J49" s="33">
        <f t="shared" si="9"/>
        <v>8.0000000000000071E-3</v>
      </c>
      <c r="K49" s="34" t="str">
        <f t="shared" si="10"/>
        <v/>
      </c>
      <c r="L49" s="35">
        <f t="shared" si="11"/>
        <v>7.5</v>
      </c>
      <c r="M49" s="36" t="str">
        <f t="shared" si="12"/>
        <v/>
      </c>
      <c r="N49" s="37" t="s">
        <v>18</v>
      </c>
      <c r="O49" s="29">
        <v>1</v>
      </c>
      <c r="P49" s="38">
        <v>40</v>
      </c>
      <c r="Q49" s="46" t="s">
        <v>1454</v>
      </c>
      <c r="R49" s="28" t="s">
        <v>1455</v>
      </c>
      <c r="S49" s="47"/>
      <c r="T49" s="46"/>
      <c r="U49" s="28" t="s">
        <v>31</v>
      </c>
    </row>
    <row r="50" spans="1:21" s="27" customFormat="1" x14ac:dyDescent="0.25">
      <c r="A50" s="28" t="s">
        <v>1450</v>
      </c>
      <c r="B50" s="28" t="s">
        <v>1452</v>
      </c>
      <c r="C50" s="28">
        <v>765171</v>
      </c>
      <c r="D50" s="31">
        <v>1</v>
      </c>
      <c r="E50" s="73">
        <v>12</v>
      </c>
      <c r="F50" s="45">
        <v>908</v>
      </c>
      <c r="G50" s="32">
        <v>1.8240000000000001</v>
      </c>
      <c r="H50" s="32">
        <v>5.4859999999999998</v>
      </c>
      <c r="I50" s="32">
        <v>5.4589999999999996</v>
      </c>
      <c r="J50" s="33">
        <f t="shared" si="9"/>
        <v>9.0000000000000444E-3</v>
      </c>
      <c r="K50" s="34" t="str">
        <f t="shared" si="10"/>
        <v/>
      </c>
      <c r="L50" s="35">
        <f t="shared" si="11"/>
        <v>7.5666666666666664</v>
      </c>
      <c r="M50" s="36" t="str">
        <f t="shared" si="12"/>
        <v/>
      </c>
      <c r="N50" s="37" t="s">
        <v>23</v>
      </c>
      <c r="O50" s="29">
        <v>3</v>
      </c>
      <c r="P50" s="38">
        <v>40</v>
      </c>
      <c r="Q50" s="28"/>
      <c r="R50" s="28" t="s">
        <v>1456</v>
      </c>
      <c r="S50" s="47"/>
      <c r="T50" s="46"/>
      <c r="U50" s="28" t="s">
        <v>31</v>
      </c>
    </row>
    <row r="51" spans="1:21" s="27" customFormat="1" x14ac:dyDescent="0.25">
      <c r="A51" s="28" t="s">
        <v>21</v>
      </c>
      <c r="B51" s="28" t="s">
        <v>21</v>
      </c>
      <c r="C51" s="28" t="s">
        <v>21</v>
      </c>
      <c r="D51" s="31">
        <v>1</v>
      </c>
      <c r="E51" s="73"/>
      <c r="F51" s="31"/>
      <c r="G51" s="32">
        <v>1.827</v>
      </c>
      <c r="H51" s="32"/>
      <c r="I51" s="32"/>
      <c r="J51" s="33" t="str">
        <f t="shared" ref="J51:J52" si="13">IF(O51&lt;&gt;"",(H51-I51)/O51,"")</f>
        <v/>
      </c>
      <c r="K51" s="34"/>
      <c r="L51" s="35"/>
      <c r="M51" s="36" t="str">
        <f t="shared" ref="M51:M52" si="14">IF(L51=0,"",IF(OR(L51&lt;7.4,L51&gt;8),"X",""))</f>
        <v/>
      </c>
      <c r="N51" s="37"/>
      <c r="O51" s="29"/>
      <c r="P51" s="38"/>
      <c r="Q51" s="28"/>
      <c r="R51" s="28" t="s">
        <v>1457</v>
      </c>
      <c r="S51" s="47"/>
      <c r="T51" s="46"/>
      <c r="U51" s="28" t="s">
        <v>31</v>
      </c>
    </row>
    <row r="52" spans="1:21" s="27" customFormat="1" ht="14.25" customHeight="1" x14ac:dyDescent="0.25">
      <c r="A52" s="28" t="s">
        <v>21</v>
      </c>
      <c r="B52" s="28" t="s">
        <v>21</v>
      </c>
      <c r="C52" s="28" t="s">
        <v>21</v>
      </c>
      <c r="D52" s="31">
        <v>1</v>
      </c>
      <c r="E52" s="73"/>
      <c r="F52" s="31"/>
      <c r="G52" s="32">
        <v>1.833</v>
      </c>
      <c r="H52" s="32"/>
      <c r="I52" s="32"/>
      <c r="J52" s="33" t="str">
        <f t="shared" si="13"/>
        <v/>
      </c>
      <c r="K52" s="34"/>
      <c r="L52" s="35"/>
      <c r="M52" s="36" t="str">
        <f t="shared" si="14"/>
        <v/>
      </c>
      <c r="N52" s="37"/>
      <c r="O52" s="29"/>
      <c r="P52" s="38"/>
      <c r="Q52" s="28"/>
      <c r="R52" s="28" t="s">
        <v>1458</v>
      </c>
      <c r="S52" s="47"/>
      <c r="T52" s="46"/>
      <c r="U52" s="28" t="s">
        <v>31</v>
      </c>
    </row>
    <row r="53" spans="1:21" s="27" customFormat="1" x14ac:dyDescent="0.25">
      <c r="A53" s="28" t="s">
        <v>1453</v>
      </c>
      <c r="B53" s="28" t="s">
        <v>1459</v>
      </c>
      <c r="C53" s="28">
        <v>698232</v>
      </c>
      <c r="D53" s="31">
        <v>1</v>
      </c>
      <c r="E53" s="71">
        <v>35</v>
      </c>
      <c r="F53" s="31">
        <v>185</v>
      </c>
      <c r="G53" s="32"/>
      <c r="H53" s="32">
        <v>1.863</v>
      </c>
      <c r="I53" s="32">
        <v>1.857</v>
      </c>
      <c r="J53" s="33">
        <f t="shared" ref="J53:J72" si="15">IF(O53&lt;&gt;"",(H53-I53)/O53,"")</f>
        <v>6.0000000000000053E-3</v>
      </c>
      <c r="K53" s="34" t="str">
        <f t="shared" ref="K53:K103" si="16">IF(J53=0,"",IF(OR(J53&lt;0,J53&gt;0.03),"X",""))</f>
        <v/>
      </c>
      <c r="L53" s="35">
        <f t="shared" ref="L53:L72" si="17">F53/(O53*P53)</f>
        <v>7.4</v>
      </c>
      <c r="M53" s="36" t="str">
        <f t="shared" ref="M53:M72" si="18">IF(L53=0,"",IF(OR(L53&lt;7,L53&gt;7.8),"X",""))</f>
        <v/>
      </c>
      <c r="N53" s="37" t="s">
        <v>16</v>
      </c>
      <c r="O53" s="29">
        <v>1</v>
      </c>
      <c r="P53" s="38">
        <v>25</v>
      </c>
      <c r="Q53" s="28"/>
      <c r="R53" s="28" t="s">
        <v>1479</v>
      </c>
      <c r="S53" s="71" t="s">
        <v>58</v>
      </c>
      <c r="T53" s="28"/>
      <c r="U53" s="28" t="s">
        <v>31</v>
      </c>
    </row>
    <row r="54" spans="1:21" s="27" customFormat="1" x14ac:dyDescent="0.25">
      <c r="A54" s="28" t="s">
        <v>21</v>
      </c>
      <c r="B54" s="28" t="s">
        <v>1460</v>
      </c>
      <c r="C54" s="28" t="s">
        <v>21</v>
      </c>
      <c r="D54" s="31">
        <v>1</v>
      </c>
      <c r="E54" s="71">
        <v>43</v>
      </c>
      <c r="F54" s="31">
        <v>185</v>
      </c>
      <c r="G54" s="32"/>
      <c r="H54" s="32">
        <v>1.8640000000000001</v>
      </c>
      <c r="I54" s="32">
        <v>1.8580000000000001</v>
      </c>
      <c r="J54" s="33">
        <f t="shared" si="15"/>
        <v>6.0000000000000053E-3</v>
      </c>
      <c r="K54" s="34" t="str">
        <f t="shared" si="16"/>
        <v/>
      </c>
      <c r="L54" s="35">
        <f t="shared" si="17"/>
        <v>7.4</v>
      </c>
      <c r="M54" s="36" t="str">
        <f t="shared" si="18"/>
        <v/>
      </c>
      <c r="N54" s="37" t="s">
        <v>16</v>
      </c>
      <c r="O54" s="29">
        <v>1</v>
      </c>
      <c r="P54" s="38">
        <v>25</v>
      </c>
      <c r="Q54" s="28"/>
      <c r="R54" s="28" t="s">
        <v>1481</v>
      </c>
      <c r="S54" s="71" t="s">
        <v>59</v>
      </c>
      <c r="T54" s="28"/>
      <c r="U54" s="28" t="s">
        <v>31</v>
      </c>
    </row>
    <row r="55" spans="1:21" s="27" customFormat="1" x14ac:dyDescent="0.25">
      <c r="A55" s="28" t="s">
        <v>21</v>
      </c>
      <c r="B55" s="28" t="s">
        <v>1461</v>
      </c>
      <c r="C55" s="28" t="s">
        <v>21</v>
      </c>
      <c r="D55" s="31">
        <v>1</v>
      </c>
      <c r="E55" s="71">
        <v>34</v>
      </c>
      <c r="F55" s="31">
        <v>185</v>
      </c>
      <c r="G55" s="32"/>
      <c r="H55" s="32">
        <v>1.843</v>
      </c>
      <c r="I55" s="32">
        <v>1.835</v>
      </c>
      <c r="J55" s="33">
        <f t="shared" si="15"/>
        <v>8.0000000000000071E-3</v>
      </c>
      <c r="K55" s="34" t="str">
        <f t="shared" si="16"/>
        <v/>
      </c>
      <c r="L55" s="35">
        <f t="shared" si="17"/>
        <v>7.4</v>
      </c>
      <c r="M55" s="36" t="str">
        <f t="shared" si="18"/>
        <v/>
      </c>
      <c r="N55" s="37" t="s">
        <v>16</v>
      </c>
      <c r="O55" s="29">
        <v>1</v>
      </c>
      <c r="P55" s="38">
        <v>25</v>
      </c>
      <c r="Q55" s="28"/>
      <c r="R55" s="28" t="s">
        <v>1480</v>
      </c>
      <c r="S55" s="28" t="s">
        <v>21</v>
      </c>
      <c r="T55" s="28"/>
      <c r="U55" s="28" t="s">
        <v>31</v>
      </c>
    </row>
    <row r="56" spans="1:21" s="27" customFormat="1" x14ac:dyDescent="0.25">
      <c r="A56" s="28" t="s">
        <v>21</v>
      </c>
      <c r="B56" s="28" t="s">
        <v>1462</v>
      </c>
      <c r="C56" s="28" t="s">
        <v>21</v>
      </c>
      <c r="D56" s="31">
        <v>1</v>
      </c>
      <c r="E56" s="71">
        <v>44</v>
      </c>
      <c r="F56" s="31">
        <v>185</v>
      </c>
      <c r="G56" s="32"/>
      <c r="H56" s="32">
        <v>1.851</v>
      </c>
      <c r="I56" s="32">
        <v>1.845</v>
      </c>
      <c r="J56" s="33">
        <f t="shared" si="15"/>
        <v>6.0000000000000053E-3</v>
      </c>
      <c r="K56" s="34" t="str">
        <f t="shared" si="16"/>
        <v/>
      </c>
      <c r="L56" s="35">
        <f t="shared" si="17"/>
        <v>7.4</v>
      </c>
      <c r="M56" s="36" t="str">
        <f t="shared" si="18"/>
        <v/>
      </c>
      <c r="N56" s="37" t="s">
        <v>16</v>
      </c>
      <c r="O56" s="29">
        <v>1</v>
      </c>
      <c r="P56" s="38">
        <v>25</v>
      </c>
      <c r="Q56" s="28"/>
      <c r="R56" s="28" t="s">
        <v>1484</v>
      </c>
      <c r="S56" s="28" t="s">
        <v>21</v>
      </c>
      <c r="T56" s="28"/>
      <c r="U56" s="28" t="s">
        <v>31</v>
      </c>
    </row>
    <row r="57" spans="1:21" s="27" customFormat="1" x14ac:dyDescent="0.25">
      <c r="A57" s="28" t="s">
        <v>21</v>
      </c>
      <c r="B57" s="28" t="s">
        <v>1463</v>
      </c>
      <c r="C57" s="28" t="s">
        <v>21</v>
      </c>
      <c r="D57" s="31">
        <v>1</v>
      </c>
      <c r="E57" s="71">
        <v>40</v>
      </c>
      <c r="F57" s="31">
        <v>185</v>
      </c>
      <c r="G57" s="32"/>
      <c r="H57" s="32">
        <v>1.861</v>
      </c>
      <c r="I57" s="32">
        <v>1.855</v>
      </c>
      <c r="J57" s="33">
        <f t="shared" si="15"/>
        <v>6.0000000000000053E-3</v>
      </c>
      <c r="K57" s="34" t="str">
        <f t="shared" si="16"/>
        <v/>
      </c>
      <c r="L57" s="35">
        <f t="shared" si="17"/>
        <v>7.4</v>
      </c>
      <c r="M57" s="36" t="str">
        <f t="shared" si="18"/>
        <v/>
      </c>
      <c r="N57" s="37" t="s">
        <v>16</v>
      </c>
      <c r="O57" s="29">
        <v>1</v>
      </c>
      <c r="P57" s="38">
        <v>25</v>
      </c>
      <c r="Q57" s="28"/>
      <c r="R57" s="28" t="s">
        <v>1486</v>
      </c>
      <c r="S57" s="28" t="s">
        <v>21</v>
      </c>
      <c r="T57" s="28"/>
      <c r="U57" s="28" t="s">
        <v>31</v>
      </c>
    </row>
    <row r="58" spans="1:21" s="27" customFormat="1" x14ac:dyDescent="0.25">
      <c r="A58" s="28" t="s">
        <v>21</v>
      </c>
      <c r="B58" s="28" t="s">
        <v>1464</v>
      </c>
      <c r="C58" s="28" t="s">
        <v>21</v>
      </c>
      <c r="D58" s="31">
        <v>1</v>
      </c>
      <c r="E58" s="71">
        <v>25</v>
      </c>
      <c r="F58" s="31">
        <v>185</v>
      </c>
      <c r="G58" s="32"/>
      <c r="H58" s="32">
        <v>1.8839999999999999</v>
      </c>
      <c r="I58" s="32">
        <v>1.877</v>
      </c>
      <c r="J58" s="33">
        <f t="shared" si="15"/>
        <v>6.9999999999998952E-3</v>
      </c>
      <c r="K58" s="34" t="str">
        <f t="shared" si="16"/>
        <v/>
      </c>
      <c r="L58" s="35">
        <f t="shared" si="17"/>
        <v>7.4</v>
      </c>
      <c r="M58" s="36" t="str">
        <f t="shared" si="18"/>
        <v/>
      </c>
      <c r="N58" s="37" t="s">
        <v>16</v>
      </c>
      <c r="O58" s="29">
        <v>1</v>
      </c>
      <c r="P58" s="38">
        <v>25</v>
      </c>
      <c r="Q58" s="28"/>
      <c r="R58" s="28" t="s">
        <v>1487</v>
      </c>
      <c r="S58" s="71" t="s">
        <v>103</v>
      </c>
      <c r="T58" s="28"/>
      <c r="U58" s="28" t="s">
        <v>31</v>
      </c>
    </row>
    <row r="59" spans="1:21" s="27" customFormat="1" x14ac:dyDescent="0.25">
      <c r="A59" s="28" t="s">
        <v>21</v>
      </c>
      <c r="B59" s="28" t="s">
        <v>1465</v>
      </c>
      <c r="C59" s="28" t="s">
        <v>21</v>
      </c>
      <c r="D59" s="31">
        <v>1</v>
      </c>
      <c r="E59" s="71">
        <v>39</v>
      </c>
      <c r="F59" s="31">
        <v>185</v>
      </c>
      <c r="G59" s="32"/>
      <c r="H59" s="32">
        <v>1.8740000000000001</v>
      </c>
      <c r="I59" s="32">
        <v>1.8680000000000001</v>
      </c>
      <c r="J59" s="33">
        <f t="shared" si="15"/>
        <v>6.0000000000000053E-3</v>
      </c>
      <c r="K59" s="34" t="str">
        <f t="shared" si="16"/>
        <v/>
      </c>
      <c r="L59" s="35">
        <f t="shared" si="17"/>
        <v>7.4</v>
      </c>
      <c r="M59" s="36" t="str">
        <f t="shared" si="18"/>
        <v/>
      </c>
      <c r="N59" s="37" t="s">
        <v>16</v>
      </c>
      <c r="O59" s="29">
        <v>1</v>
      </c>
      <c r="P59" s="38">
        <v>25</v>
      </c>
      <c r="Q59" s="28"/>
      <c r="R59" s="28" t="s">
        <v>1489</v>
      </c>
      <c r="S59" s="71" t="s">
        <v>59</v>
      </c>
      <c r="T59" s="28"/>
      <c r="U59" s="28" t="s">
        <v>31</v>
      </c>
    </row>
    <row r="60" spans="1:21" s="27" customFormat="1" x14ac:dyDescent="0.25">
      <c r="A60" s="28" t="s">
        <v>21</v>
      </c>
      <c r="B60" s="28" t="s">
        <v>1466</v>
      </c>
      <c r="C60" s="28" t="s">
        <v>21</v>
      </c>
      <c r="D60" s="31">
        <v>1</v>
      </c>
      <c r="E60" s="71">
        <v>33</v>
      </c>
      <c r="F60" s="31">
        <v>185</v>
      </c>
      <c r="G60" s="32"/>
      <c r="H60" s="32">
        <v>1.88</v>
      </c>
      <c r="I60" s="32">
        <v>1.875</v>
      </c>
      <c r="J60" s="33">
        <f t="shared" si="15"/>
        <v>4.9999999999998934E-3</v>
      </c>
      <c r="K60" s="34" t="str">
        <f t="shared" si="16"/>
        <v/>
      </c>
      <c r="L60" s="35">
        <f t="shared" si="17"/>
        <v>7.4</v>
      </c>
      <c r="M60" s="36" t="str">
        <f t="shared" si="18"/>
        <v/>
      </c>
      <c r="N60" s="37" t="s">
        <v>16</v>
      </c>
      <c r="O60" s="29">
        <v>1</v>
      </c>
      <c r="P60" s="38">
        <v>25</v>
      </c>
      <c r="Q60" s="28"/>
      <c r="R60" s="28" t="s">
        <v>1483</v>
      </c>
      <c r="S60" s="28" t="s">
        <v>21</v>
      </c>
      <c r="T60" s="28"/>
      <c r="U60" s="28" t="s">
        <v>31</v>
      </c>
    </row>
    <row r="61" spans="1:21" s="27" customFormat="1" x14ac:dyDescent="0.25">
      <c r="A61" s="28" t="s">
        <v>21</v>
      </c>
      <c r="B61" s="28" t="s">
        <v>1467</v>
      </c>
      <c r="C61" s="28" t="s">
        <v>21</v>
      </c>
      <c r="D61" s="31">
        <v>1</v>
      </c>
      <c r="E61" s="71">
        <v>35</v>
      </c>
      <c r="F61" s="31">
        <v>185</v>
      </c>
      <c r="G61" s="32"/>
      <c r="H61" s="32">
        <v>1.8839999999999999</v>
      </c>
      <c r="I61" s="32">
        <v>1.8779999999999999</v>
      </c>
      <c r="J61" s="33">
        <f t="shared" si="15"/>
        <v>6.0000000000000053E-3</v>
      </c>
      <c r="K61" s="34" t="str">
        <f t="shared" si="16"/>
        <v/>
      </c>
      <c r="L61" s="35">
        <f t="shared" si="17"/>
        <v>7.4</v>
      </c>
      <c r="M61" s="36" t="str">
        <f t="shared" si="18"/>
        <v/>
      </c>
      <c r="N61" s="37" t="s">
        <v>16</v>
      </c>
      <c r="O61" s="29">
        <v>1</v>
      </c>
      <c r="P61" s="38">
        <v>25</v>
      </c>
      <c r="Q61" s="28"/>
      <c r="R61" s="28" t="s">
        <v>1485</v>
      </c>
      <c r="S61" s="28" t="s">
        <v>21</v>
      </c>
      <c r="T61" s="28"/>
      <c r="U61" s="28" t="s">
        <v>31</v>
      </c>
    </row>
    <row r="62" spans="1:21" s="27" customFormat="1" x14ac:dyDescent="0.25">
      <c r="A62" s="28" t="s">
        <v>21</v>
      </c>
      <c r="B62" s="28" t="s">
        <v>1468</v>
      </c>
      <c r="C62" s="28" t="s">
        <v>21</v>
      </c>
      <c r="D62" s="31">
        <v>1</v>
      </c>
      <c r="E62" s="71">
        <v>26</v>
      </c>
      <c r="F62" s="31">
        <v>186</v>
      </c>
      <c r="G62" s="32"/>
      <c r="H62" s="32">
        <v>1.877</v>
      </c>
      <c r="I62" s="32">
        <v>1.87</v>
      </c>
      <c r="J62" s="33">
        <f t="shared" si="15"/>
        <v>6.9999999999998952E-3</v>
      </c>
      <c r="K62" s="34" t="str">
        <f t="shared" si="16"/>
        <v/>
      </c>
      <c r="L62" s="35">
        <f t="shared" si="17"/>
        <v>7.44</v>
      </c>
      <c r="M62" s="36" t="str">
        <f t="shared" si="18"/>
        <v/>
      </c>
      <c r="N62" s="37" t="s">
        <v>16</v>
      </c>
      <c r="O62" s="29">
        <v>1</v>
      </c>
      <c r="P62" s="38">
        <v>25</v>
      </c>
      <c r="Q62" s="28"/>
      <c r="R62" s="28" t="s">
        <v>1491</v>
      </c>
      <c r="S62" s="28" t="s">
        <v>21</v>
      </c>
      <c r="T62" s="28"/>
      <c r="U62" s="28" t="s">
        <v>31</v>
      </c>
    </row>
    <row r="63" spans="1:21" s="27" customFormat="1" x14ac:dyDescent="0.25">
      <c r="A63" s="28" t="s">
        <v>21</v>
      </c>
      <c r="B63" s="28" t="s">
        <v>1469</v>
      </c>
      <c r="C63" s="28" t="s">
        <v>21</v>
      </c>
      <c r="D63" s="31">
        <v>1</v>
      </c>
      <c r="E63" s="71">
        <v>28</v>
      </c>
      <c r="F63" s="31">
        <v>185</v>
      </c>
      <c r="G63" s="32"/>
      <c r="H63" s="32">
        <v>1.881</v>
      </c>
      <c r="I63" s="32">
        <v>1.8740000000000001</v>
      </c>
      <c r="J63" s="33">
        <f t="shared" si="15"/>
        <v>6.9999999999998952E-3</v>
      </c>
      <c r="K63" s="34" t="str">
        <f t="shared" si="16"/>
        <v/>
      </c>
      <c r="L63" s="35">
        <f t="shared" si="17"/>
        <v>7.4</v>
      </c>
      <c r="M63" s="36" t="str">
        <f t="shared" si="18"/>
        <v/>
      </c>
      <c r="N63" s="37" t="s">
        <v>16</v>
      </c>
      <c r="O63" s="29">
        <v>1</v>
      </c>
      <c r="P63" s="38">
        <v>25</v>
      </c>
      <c r="Q63" s="28"/>
      <c r="R63" s="28" t="s">
        <v>1492</v>
      </c>
      <c r="S63" s="28" t="s">
        <v>21</v>
      </c>
      <c r="T63" s="28"/>
      <c r="U63" s="28" t="s">
        <v>31</v>
      </c>
    </row>
    <row r="64" spans="1:21" s="27" customFormat="1" x14ac:dyDescent="0.25">
      <c r="A64" s="28" t="s">
        <v>21</v>
      </c>
      <c r="B64" s="28" t="s">
        <v>1470</v>
      </c>
      <c r="C64" s="28" t="s">
        <v>21</v>
      </c>
      <c r="D64" s="31">
        <v>1</v>
      </c>
      <c r="E64" s="71">
        <v>39</v>
      </c>
      <c r="F64" s="31">
        <v>186</v>
      </c>
      <c r="G64" s="32"/>
      <c r="H64" s="32">
        <v>1.879</v>
      </c>
      <c r="I64" s="32">
        <v>1.873</v>
      </c>
      <c r="J64" s="33">
        <f t="shared" si="15"/>
        <v>6.0000000000000053E-3</v>
      </c>
      <c r="K64" s="34" t="str">
        <f t="shared" si="16"/>
        <v/>
      </c>
      <c r="L64" s="35">
        <f t="shared" si="17"/>
        <v>7.44</v>
      </c>
      <c r="M64" s="36" t="str">
        <f t="shared" si="18"/>
        <v/>
      </c>
      <c r="N64" s="37" t="s">
        <v>16</v>
      </c>
      <c r="O64" s="29">
        <v>1</v>
      </c>
      <c r="P64" s="38">
        <v>25</v>
      </c>
      <c r="Q64" s="28"/>
      <c r="R64" s="28" t="s">
        <v>1493</v>
      </c>
      <c r="S64" s="28" t="s">
        <v>21</v>
      </c>
      <c r="T64" s="28"/>
      <c r="U64" s="28" t="s">
        <v>31</v>
      </c>
    </row>
    <row r="65" spans="1:21" s="27" customFormat="1" x14ac:dyDescent="0.25">
      <c r="A65" s="28" t="s">
        <v>21</v>
      </c>
      <c r="B65" s="28" t="s">
        <v>1471</v>
      </c>
      <c r="C65" s="28" t="s">
        <v>21</v>
      </c>
      <c r="D65" s="31">
        <v>1</v>
      </c>
      <c r="E65" s="71">
        <v>36</v>
      </c>
      <c r="F65" s="31">
        <v>185</v>
      </c>
      <c r="G65" s="32"/>
      <c r="H65" s="32">
        <v>1.8839999999999999</v>
      </c>
      <c r="I65" s="32">
        <v>1.877</v>
      </c>
      <c r="J65" s="33">
        <f t="shared" si="15"/>
        <v>6.9999999999998952E-3</v>
      </c>
      <c r="K65" s="34" t="str">
        <f t="shared" si="16"/>
        <v/>
      </c>
      <c r="L65" s="35">
        <f t="shared" si="17"/>
        <v>7.4</v>
      </c>
      <c r="M65" s="36" t="str">
        <f t="shared" si="18"/>
        <v/>
      </c>
      <c r="N65" s="37" t="s">
        <v>16</v>
      </c>
      <c r="O65" s="29">
        <v>1</v>
      </c>
      <c r="P65" s="38">
        <v>25</v>
      </c>
      <c r="Q65" s="28"/>
      <c r="R65" s="28" t="s">
        <v>1490</v>
      </c>
      <c r="S65" s="28" t="s">
        <v>21</v>
      </c>
      <c r="T65" s="28"/>
      <c r="U65" s="28" t="s">
        <v>31</v>
      </c>
    </row>
    <row r="66" spans="1:21" s="27" customFormat="1" x14ac:dyDescent="0.25">
      <c r="A66" s="28" t="s">
        <v>21</v>
      </c>
      <c r="B66" s="28" t="s">
        <v>1472</v>
      </c>
      <c r="C66" s="28" t="s">
        <v>21</v>
      </c>
      <c r="D66" s="31">
        <v>1</v>
      </c>
      <c r="E66" s="71">
        <v>35</v>
      </c>
      <c r="F66" s="31">
        <v>185</v>
      </c>
      <c r="G66" s="32"/>
      <c r="H66" s="32">
        <v>1.8779999999999999</v>
      </c>
      <c r="I66" s="32">
        <v>1.871</v>
      </c>
      <c r="J66" s="33">
        <f t="shared" si="15"/>
        <v>6.9999999999998952E-3</v>
      </c>
      <c r="K66" s="34" t="str">
        <f t="shared" si="16"/>
        <v/>
      </c>
      <c r="L66" s="35">
        <f t="shared" si="17"/>
        <v>7.4</v>
      </c>
      <c r="M66" s="36" t="str">
        <f t="shared" si="18"/>
        <v/>
      </c>
      <c r="N66" s="37" t="s">
        <v>16</v>
      </c>
      <c r="O66" s="29">
        <v>1</v>
      </c>
      <c r="P66" s="38">
        <v>25</v>
      </c>
      <c r="Q66" s="28"/>
      <c r="R66" s="28" t="s">
        <v>1482</v>
      </c>
      <c r="S66" s="28" t="s">
        <v>21</v>
      </c>
      <c r="T66" s="28"/>
      <c r="U66" s="28" t="s">
        <v>31</v>
      </c>
    </row>
    <row r="67" spans="1:21" s="27" customFormat="1" x14ac:dyDescent="0.25">
      <c r="A67" s="28" t="s">
        <v>21</v>
      </c>
      <c r="B67" s="28" t="s">
        <v>1473</v>
      </c>
      <c r="C67" s="28" t="s">
        <v>21</v>
      </c>
      <c r="D67" s="31">
        <v>1</v>
      </c>
      <c r="E67" s="71">
        <v>27</v>
      </c>
      <c r="F67" s="31">
        <v>185</v>
      </c>
      <c r="G67" s="32"/>
      <c r="H67" s="32">
        <v>1.8859999999999999</v>
      </c>
      <c r="I67" s="32">
        <v>1.88</v>
      </c>
      <c r="J67" s="33">
        <f t="shared" si="15"/>
        <v>6.0000000000000053E-3</v>
      </c>
      <c r="K67" s="34" t="str">
        <f t="shared" si="16"/>
        <v/>
      </c>
      <c r="L67" s="35">
        <f t="shared" si="17"/>
        <v>7.4</v>
      </c>
      <c r="M67" s="36" t="str">
        <f t="shared" si="18"/>
        <v/>
      </c>
      <c r="N67" s="37" t="s">
        <v>16</v>
      </c>
      <c r="O67" s="29">
        <v>1</v>
      </c>
      <c r="P67" s="38">
        <v>25</v>
      </c>
      <c r="Q67" s="28"/>
      <c r="R67" s="28" t="s">
        <v>1488</v>
      </c>
      <c r="S67" s="28" t="s">
        <v>21</v>
      </c>
      <c r="T67" s="28"/>
      <c r="U67" s="28" t="s">
        <v>31</v>
      </c>
    </row>
    <row r="68" spans="1:21" s="27" customFormat="1" x14ac:dyDescent="0.25">
      <c r="A68" s="28" t="s">
        <v>21</v>
      </c>
      <c r="B68" s="28" t="s">
        <v>1474</v>
      </c>
      <c r="C68" s="28">
        <v>698232</v>
      </c>
      <c r="D68" s="31">
        <v>1</v>
      </c>
      <c r="E68" s="73">
        <v>14</v>
      </c>
      <c r="F68" s="31">
        <v>184</v>
      </c>
      <c r="G68" s="32"/>
      <c r="H68" s="32">
        <v>1.8720000000000001</v>
      </c>
      <c r="I68" s="32">
        <v>1.867</v>
      </c>
      <c r="J68" s="33">
        <f t="shared" si="15"/>
        <v>5.0000000000001155E-3</v>
      </c>
      <c r="K68" s="34" t="str">
        <f t="shared" si="16"/>
        <v/>
      </c>
      <c r="L68" s="35">
        <f t="shared" si="17"/>
        <v>7.36</v>
      </c>
      <c r="M68" s="36" t="str">
        <f t="shared" si="18"/>
        <v/>
      </c>
      <c r="N68" s="37" t="s">
        <v>16</v>
      </c>
      <c r="O68" s="29">
        <v>1</v>
      </c>
      <c r="P68" s="38">
        <v>25</v>
      </c>
      <c r="Q68" s="28"/>
      <c r="R68" s="28" t="s">
        <v>1494</v>
      </c>
      <c r="S68" s="39"/>
      <c r="T68" s="28"/>
      <c r="U68" s="28" t="s">
        <v>31</v>
      </c>
    </row>
    <row r="69" spans="1:21" s="27" customFormat="1" x14ac:dyDescent="0.25">
      <c r="A69" s="28" t="s">
        <v>21</v>
      </c>
      <c r="B69" s="28" t="s">
        <v>1475</v>
      </c>
      <c r="C69" s="28" t="s">
        <v>21</v>
      </c>
      <c r="D69" s="31">
        <v>1</v>
      </c>
      <c r="E69" s="73">
        <v>8</v>
      </c>
      <c r="F69" s="31">
        <v>184</v>
      </c>
      <c r="G69" s="32"/>
      <c r="H69" s="32">
        <v>1.857</v>
      </c>
      <c r="I69" s="32">
        <v>1.85</v>
      </c>
      <c r="J69" s="33">
        <f t="shared" si="15"/>
        <v>6.9999999999998952E-3</v>
      </c>
      <c r="K69" s="34" t="str">
        <f t="shared" si="16"/>
        <v/>
      </c>
      <c r="L69" s="35">
        <f t="shared" si="17"/>
        <v>7.36</v>
      </c>
      <c r="M69" s="36" t="str">
        <f t="shared" si="18"/>
        <v/>
      </c>
      <c r="N69" s="37" t="s">
        <v>16</v>
      </c>
      <c r="O69" s="29">
        <v>1</v>
      </c>
      <c r="P69" s="38">
        <v>25</v>
      </c>
      <c r="Q69" s="28"/>
      <c r="R69" s="28" t="s">
        <v>1495</v>
      </c>
      <c r="S69" s="39"/>
      <c r="T69" s="28"/>
      <c r="U69" s="28" t="s">
        <v>31</v>
      </c>
    </row>
    <row r="70" spans="1:21" s="27" customFormat="1" x14ac:dyDescent="0.25">
      <c r="A70" s="28" t="s">
        <v>21</v>
      </c>
      <c r="B70" s="28" t="s">
        <v>1476</v>
      </c>
      <c r="C70" s="28" t="s">
        <v>21</v>
      </c>
      <c r="D70" s="31">
        <v>1</v>
      </c>
      <c r="E70" s="73">
        <v>10</v>
      </c>
      <c r="F70" s="31">
        <v>185</v>
      </c>
      <c r="G70" s="32"/>
      <c r="H70" s="32">
        <v>1.8720000000000001</v>
      </c>
      <c r="I70" s="32">
        <v>1.867</v>
      </c>
      <c r="J70" s="33">
        <f t="shared" si="15"/>
        <v>5.0000000000001155E-3</v>
      </c>
      <c r="K70" s="34" t="str">
        <f t="shared" si="16"/>
        <v/>
      </c>
      <c r="L70" s="35">
        <f t="shared" si="17"/>
        <v>7.4</v>
      </c>
      <c r="M70" s="36" t="str">
        <f t="shared" si="18"/>
        <v/>
      </c>
      <c r="N70" s="37" t="s">
        <v>16</v>
      </c>
      <c r="O70" s="29">
        <v>1</v>
      </c>
      <c r="P70" s="38">
        <v>25</v>
      </c>
      <c r="Q70" s="28"/>
      <c r="R70" s="28" t="s">
        <v>1496</v>
      </c>
      <c r="S70" s="39"/>
      <c r="T70" s="28"/>
      <c r="U70" s="28" t="s">
        <v>31</v>
      </c>
    </row>
    <row r="71" spans="1:21" s="27" customFormat="1" x14ac:dyDescent="0.25">
      <c r="A71" s="28" t="s">
        <v>21</v>
      </c>
      <c r="B71" s="28" t="s">
        <v>1477</v>
      </c>
      <c r="C71" s="28" t="s">
        <v>21</v>
      </c>
      <c r="D71" s="31">
        <v>1</v>
      </c>
      <c r="E71" s="73">
        <v>10</v>
      </c>
      <c r="F71" s="31">
        <v>184</v>
      </c>
      <c r="G71" s="32"/>
      <c r="H71" s="32">
        <v>1.8620000000000001</v>
      </c>
      <c r="I71" s="32">
        <v>1.857</v>
      </c>
      <c r="J71" s="33">
        <f t="shared" si="15"/>
        <v>5.0000000000001155E-3</v>
      </c>
      <c r="K71" s="34" t="str">
        <f t="shared" si="16"/>
        <v/>
      </c>
      <c r="L71" s="35">
        <f t="shared" si="17"/>
        <v>7.36</v>
      </c>
      <c r="M71" s="36" t="str">
        <f t="shared" si="18"/>
        <v/>
      </c>
      <c r="N71" s="37" t="s">
        <v>16</v>
      </c>
      <c r="O71" s="29">
        <v>1</v>
      </c>
      <c r="P71" s="38">
        <v>25</v>
      </c>
      <c r="Q71" s="28"/>
      <c r="R71" s="28" t="s">
        <v>1497</v>
      </c>
      <c r="S71" s="39"/>
      <c r="T71" s="28"/>
      <c r="U71" s="28" t="s">
        <v>31</v>
      </c>
    </row>
    <row r="72" spans="1:21" s="27" customFormat="1" x14ac:dyDescent="0.25">
      <c r="A72" s="28" t="s">
        <v>21</v>
      </c>
      <c r="B72" s="28" t="s">
        <v>1478</v>
      </c>
      <c r="C72" s="28" t="s">
        <v>21</v>
      </c>
      <c r="D72" s="31">
        <v>1</v>
      </c>
      <c r="E72" s="73">
        <v>13</v>
      </c>
      <c r="F72" s="31">
        <v>186</v>
      </c>
      <c r="G72" s="32"/>
      <c r="H72" s="32">
        <v>1.8640000000000001</v>
      </c>
      <c r="I72" s="32">
        <v>1.8580000000000001</v>
      </c>
      <c r="J72" s="33">
        <f t="shared" si="15"/>
        <v>6.0000000000000053E-3</v>
      </c>
      <c r="K72" s="34" t="str">
        <f t="shared" si="16"/>
        <v/>
      </c>
      <c r="L72" s="35">
        <f t="shared" si="17"/>
        <v>7.44</v>
      </c>
      <c r="M72" s="36" t="str">
        <f t="shared" si="18"/>
        <v/>
      </c>
      <c r="N72" s="37" t="s">
        <v>16</v>
      </c>
      <c r="O72" s="29">
        <v>1</v>
      </c>
      <c r="P72" s="38">
        <v>25</v>
      </c>
      <c r="Q72" s="28"/>
      <c r="R72" s="28" t="s">
        <v>1498</v>
      </c>
      <c r="S72" s="39"/>
      <c r="T72" s="28"/>
      <c r="U72" s="28" t="s">
        <v>31</v>
      </c>
    </row>
    <row r="73" spans="1:21" s="27" customFormat="1" x14ac:dyDescent="0.25">
      <c r="A73" s="28" t="s">
        <v>1499</v>
      </c>
      <c r="B73" s="28" t="s">
        <v>1500</v>
      </c>
      <c r="C73" s="28">
        <v>765171</v>
      </c>
      <c r="D73" s="31">
        <v>1</v>
      </c>
      <c r="E73" s="71">
        <v>51</v>
      </c>
      <c r="F73" s="45">
        <v>298</v>
      </c>
      <c r="G73" s="32"/>
      <c r="H73" s="32">
        <v>1.8360000000000001</v>
      </c>
      <c r="I73" s="32">
        <v>1.8280000000000001</v>
      </c>
      <c r="J73" s="33">
        <f t="shared" ref="J73:J102" si="19">IF(O73&lt;&gt;"",(H73-I73)/O73,"")</f>
        <v>8.0000000000000071E-3</v>
      </c>
      <c r="K73" s="34" t="str">
        <f t="shared" si="16"/>
        <v/>
      </c>
      <c r="L73" s="35">
        <f t="shared" ref="L73:L102" si="20">F73/(O73*P73)</f>
        <v>7.45</v>
      </c>
      <c r="M73" s="36" t="str">
        <f t="shared" ref="M73:M102" si="21">IF(L73=0,"",IF(OR(L73&lt;7,L73&gt;7.8),"X",""))</f>
        <v/>
      </c>
      <c r="N73" s="37" t="s">
        <v>18</v>
      </c>
      <c r="O73" s="29">
        <v>1</v>
      </c>
      <c r="P73" s="38">
        <v>40</v>
      </c>
      <c r="Q73" s="46"/>
      <c r="R73" s="28" t="s">
        <v>1530</v>
      </c>
      <c r="S73" s="71" t="s">
        <v>58</v>
      </c>
      <c r="T73" s="46"/>
      <c r="U73" s="28" t="s">
        <v>31</v>
      </c>
    </row>
    <row r="74" spans="1:21" s="27" customFormat="1" x14ac:dyDescent="0.25">
      <c r="A74" s="28" t="s">
        <v>21</v>
      </c>
      <c r="B74" s="28" t="s">
        <v>1501</v>
      </c>
      <c r="C74" s="28" t="s">
        <v>21</v>
      </c>
      <c r="D74" s="31">
        <v>1</v>
      </c>
      <c r="E74" s="71">
        <v>69</v>
      </c>
      <c r="F74" s="45">
        <v>297</v>
      </c>
      <c r="G74" s="32"/>
      <c r="H74" s="32">
        <v>1.837</v>
      </c>
      <c r="I74" s="32">
        <v>1.83</v>
      </c>
      <c r="J74" s="33">
        <f t="shared" si="19"/>
        <v>6.9999999999998952E-3</v>
      </c>
      <c r="K74" s="34" t="str">
        <f t="shared" si="16"/>
        <v/>
      </c>
      <c r="L74" s="35">
        <f t="shared" si="20"/>
        <v>7.4249999999999998</v>
      </c>
      <c r="M74" s="36" t="str">
        <f t="shared" si="21"/>
        <v/>
      </c>
      <c r="N74" s="37" t="s">
        <v>18</v>
      </c>
      <c r="O74" s="29">
        <v>1</v>
      </c>
      <c r="P74" s="38">
        <v>40</v>
      </c>
      <c r="Q74" s="46"/>
      <c r="R74" s="28" t="s">
        <v>1531</v>
      </c>
      <c r="S74" s="71" t="s">
        <v>59</v>
      </c>
      <c r="T74" s="46"/>
      <c r="U74" s="28" t="s">
        <v>31</v>
      </c>
    </row>
    <row r="75" spans="1:21" s="27" customFormat="1" x14ac:dyDescent="0.25">
      <c r="A75" s="28" t="s">
        <v>21</v>
      </c>
      <c r="B75" s="28" t="s">
        <v>1502</v>
      </c>
      <c r="C75" s="28" t="s">
        <v>21</v>
      </c>
      <c r="D75" s="31">
        <v>1</v>
      </c>
      <c r="E75" s="71">
        <v>70</v>
      </c>
      <c r="F75" s="45">
        <v>298</v>
      </c>
      <c r="G75" s="32"/>
      <c r="H75" s="32">
        <v>1.8320000000000001</v>
      </c>
      <c r="I75" s="32">
        <v>1.8240000000000001</v>
      </c>
      <c r="J75" s="33">
        <f t="shared" si="19"/>
        <v>8.0000000000000071E-3</v>
      </c>
      <c r="K75" s="34" t="str">
        <f t="shared" si="16"/>
        <v/>
      </c>
      <c r="L75" s="35">
        <f t="shared" si="20"/>
        <v>7.45</v>
      </c>
      <c r="M75" s="36" t="str">
        <f t="shared" si="21"/>
        <v/>
      </c>
      <c r="N75" s="37" t="s">
        <v>18</v>
      </c>
      <c r="O75" s="29">
        <v>1</v>
      </c>
      <c r="P75" s="38">
        <v>40</v>
      </c>
      <c r="Q75" s="46"/>
      <c r="R75" s="28" t="s">
        <v>1533</v>
      </c>
      <c r="S75" s="28" t="s">
        <v>21</v>
      </c>
      <c r="T75" s="46"/>
      <c r="U75" s="28" t="s">
        <v>31</v>
      </c>
    </row>
    <row r="76" spans="1:21" s="27" customFormat="1" x14ac:dyDescent="0.25">
      <c r="A76" s="28" t="s">
        <v>21</v>
      </c>
      <c r="B76" s="28" t="s">
        <v>1503</v>
      </c>
      <c r="C76" s="28" t="s">
        <v>21</v>
      </c>
      <c r="D76" s="31">
        <v>1</v>
      </c>
      <c r="E76" s="71">
        <v>57</v>
      </c>
      <c r="F76" s="45">
        <v>299</v>
      </c>
      <c r="G76" s="32"/>
      <c r="H76" s="32">
        <v>1.819</v>
      </c>
      <c r="I76" s="32">
        <v>1.81</v>
      </c>
      <c r="J76" s="33">
        <f t="shared" si="19"/>
        <v>8.999999999999897E-3</v>
      </c>
      <c r="K76" s="34" t="str">
        <f t="shared" si="16"/>
        <v/>
      </c>
      <c r="L76" s="35">
        <f t="shared" si="20"/>
        <v>7.4749999999999996</v>
      </c>
      <c r="M76" s="36" t="str">
        <f t="shared" si="21"/>
        <v/>
      </c>
      <c r="N76" s="37" t="s">
        <v>18</v>
      </c>
      <c r="O76" s="29">
        <v>1</v>
      </c>
      <c r="P76" s="38">
        <v>40</v>
      </c>
      <c r="Q76" s="46"/>
      <c r="R76" s="28" t="s">
        <v>1534</v>
      </c>
      <c r="S76" s="28" t="s">
        <v>21</v>
      </c>
      <c r="T76" s="46"/>
      <c r="U76" s="28" t="s">
        <v>31</v>
      </c>
    </row>
    <row r="77" spans="1:21" s="27" customFormat="1" x14ac:dyDescent="0.25">
      <c r="A77" s="28" t="s">
        <v>21</v>
      </c>
      <c r="B77" s="28" t="s">
        <v>1504</v>
      </c>
      <c r="C77" s="28" t="s">
        <v>21</v>
      </c>
      <c r="D77" s="31">
        <v>1</v>
      </c>
      <c r="E77" s="71">
        <v>76</v>
      </c>
      <c r="F77" s="45">
        <v>299</v>
      </c>
      <c r="G77" s="32"/>
      <c r="H77" s="32">
        <v>1.821</v>
      </c>
      <c r="I77" s="32">
        <v>1.8129999999999999</v>
      </c>
      <c r="J77" s="33">
        <f t="shared" si="19"/>
        <v>8.0000000000000071E-3</v>
      </c>
      <c r="K77" s="34" t="str">
        <f t="shared" si="16"/>
        <v/>
      </c>
      <c r="L77" s="35">
        <f t="shared" si="20"/>
        <v>7.4749999999999996</v>
      </c>
      <c r="M77" s="36" t="str">
        <f t="shared" si="21"/>
        <v/>
      </c>
      <c r="N77" s="37" t="s">
        <v>18</v>
      </c>
      <c r="O77" s="29">
        <v>1</v>
      </c>
      <c r="P77" s="38">
        <v>40</v>
      </c>
      <c r="Q77" s="46"/>
      <c r="R77" s="28" t="s">
        <v>1532</v>
      </c>
      <c r="S77" s="28" t="s">
        <v>21</v>
      </c>
      <c r="T77" s="46"/>
      <c r="U77" s="28" t="s">
        <v>31</v>
      </c>
    </row>
    <row r="78" spans="1:21" s="27" customFormat="1" x14ac:dyDescent="0.25">
      <c r="A78" s="28" t="s">
        <v>21</v>
      </c>
      <c r="B78" s="28" t="s">
        <v>1505</v>
      </c>
      <c r="C78" s="28" t="s">
        <v>21</v>
      </c>
      <c r="D78" s="31">
        <v>1</v>
      </c>
      <c r="E78" s="71">
        <v>76</v>
      </c>
      <c r="F78" s="45">
        <v>297</v>
      </c>
      <c r="G78" s="32"/>
      <c r="H78" s="32">
        <v>1.841</v>
      </c>
      <c r="I78" s="32">
        <v>1.8340000000000001</v>
      </c>
      <c r="J78" s="33">
        <f t="shared" si="19"/>
        <v>6.9999999999998952E-3</v>
      </c>
      <c r="K78" s="34" t="str">
        <f t="shared" si="16"/>
        <v/>
      </c>
      <c r="L78" s="35">
        <f t="shared" si="20"/>
        <v>7.4249999999999998</v>
      </c>
      <c r="M78" s="36" t="str">
        <f t="shared" si="21"/>
        <v/>
      </c>
      <c r="N78" s="37" t="s">
        <v>18</v>
      </c>
      <c r="O78" s="29">
        <v>1</v>
      </c>
      <c r="P78" s="38">
        <v>40</v>
      </c>
      <c r="Q78" s="46"/>
      <c r="R78" s="28" t="s">
        <v>1535</v>
      </c>
      <c r="S78" s="71" t="s">
        <v>58</v>
      </c>
      <c r="T78" s="46"/>
      <c r="U78" s="28" t="s">
        <v>31</v>
      </c>
    </row>
    <row r="79" spans="1:21" s="27" customFormat="1" x14ac:dyDescent="0.25">
      <c r="A79" s="28" t="s">
        <v>21</v>
      </c>
      <c r="B79" s="28" t="s">
        <v>1506</v>
      </c>
      <c r="C79" s="28" t="s">
        <v>21</v>
      </c>
      <c r="D79" s="31">
        <v>1</v>
      </c>
      <c r="E79" s="71">
        <v>66</v>
      </c>
      <c r="F79" s="45">
        <v>298</v>
      </c>
      <c r="G79" s="32"/>
      <c r="H79" s="32">
        <v>1.839</v>
      </c>
      <c r="I79" s="32">
        <v>1.831</v>
      </c>
      <c r="J79" s="33">
        <f t="shared" si="19"/>
        <v>8.0000000000000071E-3</v>
      </c>
      <c r="K79" s="34" t="str">
        <f t="shared" si="16"/>
        <v/>
      </c>
      <c r="L79" s="35">
        <f t="shared" si="20"/>
        <v>7.45</v>
      </c>
      <c r="M79" s="36" t="str">
        <f t="shared" si="21"/>
        <v/>
      </c>
      <c r="N79" s="37" t="s">
        <v>18</v>
      </c>
      <c r="O79" s="29">
        <v>1</v>
      </c>
      <c r="P79" s="38">
        <v>40</v>
      </c>
      <c r="Q79" s="46"/>
      <c r="R79" s="28" t="s">
        <v>1536</v>
      </c>
      <c r="S79" s="71" t="s">
        <v>59</v>
      </c>
      <c r="T79" s="46"/>
      <c r="U79" s="28" t="s">
        <v>31</v>
      </c>
    </row>
    <row r="80" spans="1:21" s="27" customFormat="1" x14ac:dyDescent="0.25">
      <c r="A80" s="28" t="s">
        <v>21</v>
      </c>
      <c r="B80" s="28" t="s">
        <v>1507</v>
      </c>
      <c r="C80" s="28" t="s">
        <v>21</v>
      </c>
      <c r="D80" s="31">
        <v>1</v>
      </c>
      <c r="E80" s="71">
        <v>61</v>
      </c>
      <c r="F80" s="45">
        <v>299</v>
      </c>
      <c r="G80" s="32"/>
      <c r="H80" s="32">
        <v>1.8420000000000001</v>
      </c>
      <c r="I80" s="32">
        <v>1.8340000000000001</v>
      </c>
      <c r="J80" s="33">
        <f t="shared" si="19"/>
        <v>8.0000000000000071E-3</v>
      </c>
      <c r="K80" s="34" t="str">
        <f t="shared" si="16"/>
        <v/>
      </c>
      <c r="L80" s="35">
        <f t="shared" si="20"/>
        <v>7.4749999999999996</v>
      </c>
      <c r="M80" s="36" t="str">
        <f t="shared" si="21"/>
        <v/>
      </c>
      <c r="N80" s="37" t="s">
        <v>18</v>
      </c>
      <c r="O80" s="29">
        <v>1</v>
      </c>
      <c r="P80" s="38">
        <v>40</v>
      </c>
      <c r="Q80" s="46"/>
      <c r="R80" s="28" t="s">
        <v>1538</v>
      </c>
      <c r="S80" s="28" t="s">
        <v>21</v>
      </c>
      <c r="T80" s="46"/>
      <c r="U80" s="28" t="s">
        <v>31</v>
      </c>
    </row>
    <row r="81" spans="1:21" s="27" customFormat="1" x14ac:dyDescent="0.25">
      <c r="A81" s="28" t="s">
        <v>21</v>
      </c>
      <c r="B81" s="28" t="s">
        <v>1508</v>
      </c>
      <c r="C81" s="28" t="s">
        <v>21</v>
      </c>
      <c r="D81" s="31">
        <v>1</v>
      </c>
      <c r="E81" s="71">
        <v>76</v>
      </c>
      <c r="F81" s="45">
        <v>298</v>
      </c>
      <c r="G81" s="32"/>
      <c r="H81" s="32">
        <v>1.835</v>
      </c>
      <c r="I81" s="32">
        <v>1.8260000000000001</v>
      </c>
      <c r="J81" s="33">
        <f t="shared" si="19"/>
        <v>8.999999999999897E-3</v>
      </c>
      <c r="K81" s="34" t="str">
        <f t="shared" si="16"/>
        <v/>
      </c>
      <c r="L81" s="35">
        <f t="shared" si="20"/>
        <v>7.45</v>
      </c>
      <c r="M81" s="36" t="str">
        <f t="shared" si="21"/>
        <v/>
      </c>
      <c r="N81" s="37" t="s">
        <v>18</v>
      </c>
      <c r="O81" s="29">
        <v>1</v>
      </c>
      <c r="P81" s="38">
        <v>40</v>
      </c>
      <c r="Q81" s="46"/>
      <c r="R81" s="28" t="s">
        <v>1539</v>
      </c>
      <c r="S81" s="28" t="s">
        <v>21</v>
      </c>
      <c r="T81" s="46"/>
      <c r="U81" s="28" t="s">
        <v>31</v>
      </c>
    </row>
    <row r="82" spans="1:21" s="27" customFormat="1" x14ac:dyDescent="0.25">
      <c r="A82" s="28" t="s">
        <v>21</v>
      </c>
      <c r="B82" s="28" t="s">
        <v>1509</v>
      </c>
      <c r="C82" s="28" t="s">
        <v>21</v>
      </c>
      <c r="D82" s="31">
        <v>1</v>
      </c>
      <c r="E82" s="71">
        <v>75</v>
      </c>
      <c r="F82" s="45">
        <v>299</v>
      </c>
      <c r="G82" s="32"/>
      <c r="H82" s="32">
        <v>1.8240000000000001</v>
      </c>
      <c r="I82" s="32">
        <v>1.8149999999999999</v>
      </c>
      <c r="J82" s="33">
        <f t="shared" si="19"/>
        <v>9.000000000000119E-3</v>
      </c>
      <c r="K82" s="34" t="str">
        <f t="shared" si="16"/>
        <v/>
      </c>
      <c r="L82" s="35">
        <f t="shared" si="20"/>
        <v>7.4749999999999996</v>
      </c>
      <c r="M82" s="36" t="str">
        <f t="shared" si="21"/>
        <v/>
      </c>
      <c r="N82" s="37" t="s">
        <v>18</v>
      </c>
      <c r="O82" s="29">
        <v>1</v>
      </c>
      <c r="P82" s="38">
        <v>40</v>
      </c>
      <c r="Q82" s="46"/>
      <c r="R82" s="28" t="s">
        <v>1540</v>
      </c>
      <c r="S82" s="28" t="s">
        <v>21</v>
      </c>
      <c r="T82" s="46"/>
      <c r="U82" s="28" t="s">
        <v>31</v>
      </c>
    </row>
    <row r="83" spans="1:21" s="27" customFormat="1" x14ac:dyDescent="0.25">
      <c r="A83" s="28" t="s">
        <v>21</v>
      </c>
      <c r="B83" s="28" t="s">
        <v>1510</v>
      </c>
      <c r="C83" s="28" t="s">
        <v>21</v>
      </c>
      <c r="D83" s="31">
        <v>1</v>
      </c>
      <c r="E83" s="71">
        <v>67</v>
      </c>
      <c r="F83" s="45">
        <v>299</v>
      </c>
      <c r="G83" s="32"/>
      <c r="H83" s="32">
        <v>1.8540000000000001</v>
      </c>
      <c r="I83" s="32">
        <v>1.8460000000000001</v>
      </c>
      <c r="J83" s="33">
        <f t="shared" si="19"/>
        <v>8.0000000000000071E-3</v>
      </c>
      <c r="K83" s="34" t="str">
        <f t="shared" si="16"/>
        <v/>
      </c>
      <c r="L83" s="35">
        <f t="shared" si="20"/>
        <v>7.4749999999999996</v>
      </c>
      <c r="M83" s="36" t="str">
        <f t="shared" si="21"/>
        <v/>
      </c>
      <c r="N83" s="37" t="s">
        <v>18</v>
      </c>
      <c r="O83" s="29">
        <v>1</v>
      </c>
      <c r="P83" s="38">
        <v>40</v>
      </c>
      <c r="Q83" s="46"/>
      <c r="R83" s="28" t="s">
        <v>1537</v>
      </c>
      <c r="S83" s="71" t="s">
        <v>103</v>
      </c>
      <c r="T83" s="46"/>
      <c r="U83" s="28" t="s">
        <v>31</v>
      </c>
    </row>
    <row r="84" spans="1:21" s="27" customFormat="1" x14ac:dyDescent="0.25">
      <c r="A84" s="28" t="s">
        <v>21</v>
      </c>
      <c r="B84" s="28" t="s">
        <v>1511</v>
      </c>
      <c r="C84" s="28" t="s">
        <v>21</v>
      </c>
      <c r="D84" s="31">
        <v>1</v>
      </c>
      <c r="E84" s="71">
        <v>67</v>
      </c>
      <c r="F84" s="45">
        <v>297</v>
      </c>
      <c r="G84" s="32"/>
      <c r="H84" s="32">
        <v>1.9390000000000001</v>
      </c>
      <c r="I84" s="32">
        <v>1.9330000000000001</v>
      </c>
      <c r="J84" s="33">
        <f t="shared" si="19"/>
        <v>6.0000000000000053E-3</v>
      </c>
      <c r="K84" s="34" t="str">
        <f t="shared" si="16"/>
        <v/>
      </c>
      <c r="L84" s="35">
        <f t="shared" si="20"/>
        <v>7.4249999999999998</v>
      </c>
      <c r="M84" s="36" t="str">
        <f t="shared" si="21"/>
        <v/>
      </c>
      <c r="N84" s="37" t="s">
        <v>18</v>
      </c>
      <c r="O84" s="29">
        <v>1</v>
      </c>
      <c r="P84" s="38">
        <v>40</v>
      </c>
      <c r="Q84" s="46"/>
      <c r="R84" s="28" t="s">
        <v>1541</v>
      </c>
      <c r="S84" s="71" t="s">
        <v>59</v>
      </c>
      <c r="T84" s="46"/>
      <c r="U84" s="28" t="s">
        <v>31</v>
      </c>
    </row>
    <row r="85" spans="1:21" s="27" customFormat="1" x14ac:dyDescent="0.25">
      <c r="A85" s="28" t="s">
        <v>21</v>
      </c>
      <c r="B85" s="28" t="s">
        <v>1512</v>
      </c>
      <c r="C85" s="28" t="s">
        <v>21</v>
      </c>
      <c r="D85" s="31">
        <v>1</v>
      </c>
      <c r="E85" s="71">
        <v>67</v>
      </c>
      <c r="F85" s="45">
        <v>298</v>
      </c>
      <c r="G85" s="32"/>
      <c r="H85" s="32">
        <v>1.855</v>
      </c>
      <c r="I85" s="32">
        <v>1.8480000000000001</v>
      </c>
      <c r="J85" s="33">
        <f t="shared" si="19"/>
        <v>6.9999999999998952E-3</v>
      </c>
      <c r="K85" s="34" t="str">
        <f t="shared" si="16"/>
        <v/>
      </c>
      <c r="L85" s="35">
        <f t="shared" si="20"/>
        <v>7.45</v>
      </c>
      <c r="M85" s="36" t="str">
        <f t="shared" si="21"/>
        <v/>
      </c>
      <c r="N85" s="37" t="s">
        <v>18</v>
      </c>
      <c r="O85" s="29">
        <v>1</v>
      </c>
      <c r="P85" s="38">
        <v>40</v>
      </c>
      <c r="Q85" s="46"/>
      <c r="R85" s="28" t="s">
        <v>1543</v>
      </c>
      <c r="S85" s="28" t="s">
        <v>21</v>
      </c>
      <c r="T85" s="46"/>
      <c r="U85" s="28" t="s">
        <v>31</v>
      </c>
    </row>
    <row r="86" spans="1:21" s="27" customFormat="1" x14ac:dyDescent="0.25">
      <c r="A86" s="28" t="s">
        <v>21</v>
      </c>
      <c r="B86" s="28" t="s">
        <v>1513</v>
      </c>
      <c r="C86" s="28" t="s">
        <v>21</v>
      </c>
      <c r="D86" s="31">
        <v>1</v>
      </c>
      <c r="E86" s="71">
        <v>61</v>
      </c>
      <c r="F86" s="45">
        <v>298</v>
      </c>
      <c r="G86" s="32"/>
      <c r="H86" s="32">
        <v>1.85</v>
      </c>
      <c r="I86" s="32">
        <v>1.841</v>
      </c>
      <c r="J86" s="33">
        <f t="shared" si="19"/>
        <v>9.000000000000119E-3</v>
      </c>
      <c r="K86" s="34" t="str">
        <f t="shared" si="16"/>
        <v/>
      </c>
      <c r="L86" s="35">
        <f t="shared" si="20"/>
        <v>7.45</v>
      </c>
      <c r="M86" s="36" t="str">
        <f t="shared" si="21"/>
        <v/>
      </c>
      <c r="N86" s="37" t="s">
        <v>18</v>
      </c>
      <c r="O86" s="29">
        <v>1</v>
      </c>
      <c r="P86" s="38">
        <v>40</v>
      </c>
      <c r="Q86" s="46"/>
      <c r="R86" s="28" t="s">
        <v>1542</v>
      </c>
      <c r="S86" s="28" t="s">
        <v>21</v>
      </c>
      <c r="T86" s="46"/>
      <c r="U86" s="28" t="s">
        <v>31</v>
      </c>
    </row>
    <row r="87" spans="1:21" s="27" customFormat="1" x14ac:dyDescent="0.25">
      <c r="A87" s="28" t="s">
        <v>21</v>
      </c>
      <c r="B87" s="28" t="s">
        <v>1514</v>
      </c>
      <c r="C87" s="28" t="s">
        <v>21</v>
      </c>
      <c r="D87" s="31">
        <v>1</v>
      </c>
      <c r="E87" s="71">
        <v>69</v>
      </c>
      <c r="F87" s="45">
        <v>298</v>
      </c>
      <c r="G87" s="32"/>
      <c r="H87" s="32">
        <v>1.847</v>
      </c>
      <c r="I87" s="32">
        <v>1.839</v>
      </c>
      <c r="J87" s="33">
        <f t="shared" si="19"/>
        <v>8.0000000000000071E-3</v>
      </c>
      <c r="K87" s="34" t="str">
        <f t="shared" si="16"/>
        <v/>
      </c>
      <c r="L87" s="35">
        <f t="shared" si="20"/>
        <v>7.45</v>
      </c>
      <c r="M87" s="36" t="str">
        <f t="shared" si="21"/>
        <v/>
      </c>
      <c r="N87" s="37" t="s">
        <v>18</v>
      </c>
      <c r="O87" s="29">
        <v>1</v>
      </c>
      <c r="P87" s="38">
        <v>40</v>
      </c>
      <c r="Q87" s="46"/>
      <c r="R87" s="28" t="s">
        <v>1541</v>
      </c>
      <c r="S87" s="28" t="s">
        <v>21</v>
      </c>
      <c r="T87" s="46"/>
      <c r="U87" s="28" t="s">
        <v>31</v>
      </c>
    </row>
    <row r="88" spans="1:21" s="27" customFormat="1" x14ac:dyDescent="0.25">
      <c r="A88" s="28" t="s">
        <v>21</v>
      </c>
      <c r="B88" s="28" t="s">
        <v>1515</v>
      </c>
      <c r="C88" s="28" t="s">
        <v>21</v>
      </c>
      <c r="D88" s="31">
        <v>1</v>
      </c>
      <c r="E88" s="71">
        <v>66</v>
      </c>
      <c r="F88" s="45">
        <v>298</v>
      </c>
      <c r="G88" s="32"/>
      <c r="H88" s="32">
        <v>1.851</v>
      </c>
      <c r="I88" s="32">
        <v>1.843</v>
      </c>
      <c r="J88" s="33">
        <f t="shared" si="19"/>
        <v>8.0000000000000071E-3</v>
      </c>
      <c r="K88" s="34" t="str">
        <f t="shared" si="16"/>
        <v/>
      </c>
      <c r="L88" s="35">
        <f t="shared" si="20"/>
        <v>7.45</v>
      </c>
      <c r="M88" s="36" t="str">
        <f t="shared" si="21"/>
        <v/>
      </c>
      <c r="N88" s="37" t="s">
        <v>18</v>
      </c>
      <c r="O88" s="29">
        <v>1</v>
      </c>
      <c r="P88" s="38">
        <v>40</v>
      </c>
      <c r="Q88" s="46"/>
      <c r="R88" s="28" t="s">
        <v>1544</v>
      </c>
      <c r="S88" s="28" t="s">
        <v>21</v>
      </c>
      <c r="T88" s="46"/>
      <c r="U88" s="28" t="s">
        <v>31</v>
      </c>
    </row>
    <row r="89" spans="1:21" s="27" customFormat="1" x14ac:dyDescent="0.25">
      <c r="A89" s="28" t="s">
        <v>21</v>
      </c>
      <c r="B89" s="28" t="s">
        <v>1516</v>
      </c>
      <c r="C89" s="28">
        <v>776984</v>
      </c>
      <c r="D89" s="31">
        <v>1</v>
      </c>
      <c r="E89" s="71">
        <v>67</v>
      </c>
      <c r="F89" s="45">
        <v>297</v>
      </c>
      <c r="G89" s="32"/>
      <c r="H89" s="32">
        <v>1.85</v>
      </c>
      <c r="I89" s="32">
        <v>1.8420000000000001</v>
      </c>
      <c r="J89" s="33">
        <f t="shared" si="19"/>
        <v>8.0000000000000071E-3</v>
      </c>
      <c r="K89" s="34" t="str">
        <f t="shared" si="16"/>
        <v/>
      </c>
      <c r="L89" s="35">
        <f t="shared" si="20"/>
        <v>7.4249999999999998</v>
      </c>
      <c r="M89" s="36" t="str">
        <f t="shared" si="21"/>
        <v/>
      </c>
      <c r="N89" s="37" t="s">
        <v>18</v>
      </c>
      <c r="O89" s="29">
        <v>1</v>
      </c>
      <c r="P89" s="38">
        <v>40</v>
      </c>
      <c r="Q89" s="46"/>
      <c r="R89" s="28" t="s">
        <v>1545</v>
      </c>
      <c r="S89" s="28" t="s">
        <v>21</v>
      </c>
      <c r="T89" s="46"/>
      <c r="U89" s="28" t="s">
        <v>31</v>
      </c>
    </row>
    <row r="90" spans="1:21" s="27" customFormat="1" x14ac:dyDescent="0.25">
      <c r="A90" s="28" t="s">
        <v>21</v>
      </c>
      <c r="B90" s="28" t="s">
        <v>1517</v>
      </c>
      <c r="C90" s="28" t="s">
        <v>21</v>
      </c>
      <c r="D90" s="31">
        <v>1</v>
      </c>
      <c r="E90" s="71">
        <v>57</v>
      </c>
      <c r="F90" s="45">
        <v>299</v>
      </c>
      <c r="G90" s="32"/>
      <c r="H90" s="32">
        <v>1.8420000000000001</v>
      </c>
      <c r="I90" s="32">
        <v>1.833</v>
      </c>
      <c r="J90" s="33">
        <f t="shared" si="19"/>
        <v>9.000000000000119E-3</v>
      </c>
      <c r="K90" s="34" t="str">
        <f t="shared" si="16"/>
        <v/>
      </c>
      <c r="L90" s="35">
        <f t="shared" si="20"/>
        <v>7.4749999999999996</v>
      </c>
      <c r="M90" s="36" t="str">
        <f t="shared" si="21"/>
        <v/>
      </c>
      <c r="N90" s="37" t="s">
        <v>18</v>
      </c>
      <c r="O90" s="29">
        <v>1</v>
      </c>
      <c r="P90" s="38">
        <v>40</v>
      </c>
      <c r="Q90" s="46"/>
      <c r="R90" s="28" t="s">
        <v>1547</v>
      </c>
      <c r="S90" s="28" t="s">
        <v>21</v>
      </c>
      <c r="T90" s="46"/>
      <c r="U90" s="28" t="s">
        <v>31</v>
      </c>
    </row>
    <row r="91" spans="1:21" s="27" customFormat="1" x14ac:dyDescent="0.25">
      <c r="A91" s="28" t="s">
        <v>21</v>
      </c>
      <c r="B91" s="28" t="s">
        <v>1518</v>
      </c>
      <c r="C91" s="28" t="s">
        <v>21</v>
      </c>
      <c r="D91" s="31">
        <v>1</v>
      </c>
      <c r="E91" s="71">
        <v>63</v>
      </c>
      <c r="F91" s="45">
        <v>298</v>
      </c>
      <c r="G91" s="32"/>
      <c r="H91" s="32">
        <v>1.839</v>
      </c>
      <c r="I91" s="32">
        <v>1.83</v>
      </c>
      <c r="J91" s="33">
        <f t="shared" si="19"/>
        <v>8.999999999999897E-3</v>
      </c>
      <c r="K91" s="34" t="str">
        <f t="shared" si="16"/>
        <v/>
      </c>
      <c r="L91" s="35">
        <f t="shared" si="20"/>
        <v>7.45</v>
      </c>
      <c r="M91" s="36" t="str">
        <f t="shared" si="21"/>
        <v/>
      </c>
      <c r="N91" s="37" t="s">
        <v>18</v>
      </c>
      <c r="O91" s="29">
        <v>1</v>
      </c>
      <c r="P91" s="38">
        <v>40</v>
      </c>
      <c r="Q91" s="46"/>
      <c r="R91" s="28" t="s">
        <v>1546</v>
      </c>
      <c r="S91" s="28" t="s">
        <v>21</v>
      </c>
      <c r="T91" s="46"/>
      <c r="U91" s="28" t="s">
        <v>31</v>
      </c>
    </row>
    <row r="92" spans="1:21" s="27" customFormat="1" x14ac:dyDescent="0.25">
      <c r="A92" s="28" t="s">
        <v>21</v>
      </c>
      <c r="B92" s="28" t="s">
        <v>1519</v>
      </c>
      <c r="C92" s="28" t="s">
        <v>21</v>
      </c>
      <c r="D92" s="31">
        <v>1</v>
      </c>
      <c r="E92" s="71">
        <v>66</v>
      </c>
      <c r="F92" s="45">
        <v>298</v>
      </c>
      <c r="G92" s="32"/>
      <c r="H92" s="32">
        <v>1.843</v>
      </c>
      <c r="I92" s="32">
        <v>1.835</v>
      </c>
      <c r="J92" s="33">
        <f t="shared" si="19"/>
        <v>8.0000000000000071E-3</v>
      </c>
      <c r="K92" s="34" t="str">
        <f t="shared" si="16"/>
        <v/>
      </c>
      <c r="L92" s="35">
        <f t="shared" si="20"/>
        <v>7.45</v>
      </c>
      <c r="M92" s="36" t="str">
        <f t="shared" si="21"/>
        <v/>
      </c>
      <c r="N92" s="37" t="s">
        <v>18</v>
      </c>
      <c r="O92" s="29">
        <v>1</v>
      </c>
      <c r="P92" s="38">
        <v>40</v>
      </c>
      <c r="Q92" s="46"/>
      <c r="R92" s="28" t="s">
        <v>1548</v>
      </c>
      <c r="S92" s="28" t="s">
        <v>21</v>
      </c>
      <c r="T92" s="46"/>
      <c r="U92" s="28" t="s">
        <v>31</v>
      </c>
    </row>
    <row r="93" spans="1:21" s="27" customFormat="1" x14ac:dyDescent="0.25">
      <c r="A93" s="28" t="s">
        <v>21</v>
      </c>
      <c r="B93" s="28" t="s">
        <v>1520</v>
      </c>
      <c r="C93" s="28" t="s">
        <v>21</v>
      </c>
      <c r="D93" s="31">
        <v>1</v>
      </c>
      <c r="E93" s="71">
        <v>65</v>
      </c>
      <c r="F93" s="45">
        <v>298</v>
      </c>
      <c r="G93" s="32"/>
      <c r="H93" s="32">
        <v>1.841</v>
      </c>
      <c r="I93" s="32">
        <v>1.833</v>
      </c>
      <c r="J93" s="33">
        <f t="shared" si="19"/>
        <v>8.0000000000000071E-3</v>
      </c>
      <c r="K93" s="34" t="str">
        <f t="shared" si="16"/>
        <v/>
      </c>
      <c r="L93" s="35">
        <f t="shared" si="20"/>
        <v>7.45</v>
      </c>
      <c r="M93" s="36" t="str">
        <f t="shared" si="21"/>
        <v/>
      </c>
      <c r="N93" s="37" t="s">
        <v>18</v>
      </c>
      <c r="O93" s="29">
        <v>1</v>
      </c>
      <c r="P93" s="38">
        <v>40</v>
      </c>
      <c r="Q93" s="46"/>
      <c r="R93" s="28" t="s">
        <v>1551</v>
      </c>
      <c r="S93" s="71" t="s">
        <v>103</v>
      </c>
      <c r="T93" s="46"/>
      <c r="U93" s="28" t="s">
        <v>31</v>
      </c>
    </row>
    <row r="94" spans="1:21" s="27" customFormat="1" x14ac:dyDescent="0.25">
      <c r="A94" s="28" t="s">
        <v>21</v>
      </c>
      <c r="B94" s="28" t="s">
        <v>1521</v>
      </c>
      <c r="C94" s="28" t="s">
        <v>21</v>
      </c>
      <c r="D94" s="31">
        <v>1</v>
      </c>
      <c r="E94" s="71">
        <v>65</v>
      </c>
      <c r="F94" s="45">
        <v>298</v>
      </c>
      <c r="G94" s="32"/>
      <c r="H94" s="32">
        <v>1.843</v>
      </c>
      <c r="I94" s="32">
        <v>1.835</v>
      </c>
      <c r="J94" s="33">
        <f t="shared" si="19"/>
        <v>8.0000000000000071E-3</v>
      </c>
      <c r="K94" s="34" t="str">
        <f t="shared" si="16"/>
        <v/>
      </c>
      <c r="L94" s="35">
        <f t="shared" si="20"/>
        <v>7.45</v>
      </c>
      <c r="M94" s="36" t="str">
        <f t="shared" si="21"/>
        <v/>
      </c>
      <c r="N94" s="37" t="s">
        <v>18</v>
      </c>
      <c r="O94" s="29">
        <v>1</v>
      </c>
      <c r="P94" s="38">
        <v>40</v>
      </c>
      <c r="Q94" s="46"/>
      <c r="R94" s="28" t="s">
        <v>1553</v>
      </c>
      <c r="S94" s="71" t="s">
        <v>59</v>
      </c>
      <c r="T94" s="46"/>
      <c r="U94" s="28" t="s">
        <v>31</v>
      </c>
    </row>
    <row r="95" spans="1:21" s="27" customFormat="1" x14ac:dyDescent="0.25">
      <c r="A95" s="28" t="s">
        <v>21</v>
      </c>
      <c r="B95" s="28" t="s">
        <v>1522</v>
      </c>
      <c r="C95" s="28" t="s">
        <v>21</v>
      </c>
      <c r="D95" s="31">
        <v>1</v>
      </c>
      <c r="E95" s="71">
        <v>58</v>
      </c>
      <c r="F95" s="45">
        <v>299</v>
      </c>
      <c r="G95" s="32"/>
      <c r="H95" s="32">
        <v>1.8380000000000001</v>
      </c>
      <c r="I95" s="32">
        <v>1.829</v>
      </c>
      <c r="J95" s="33">
        <f t="shared" si="19"/>
        <v>9.000000000000119E-3</v>
      </c>
      <c r="K95" s="34" t="str">
        <f t="shared" si="16"/>
        <v/>
      </c>
      <c r="L95" s="35">
        <f t="shared" si="20"/>
        <v>7.4749999999999996</v>
      </c>
      <c r="M95" s="36" t="str">
        <f t="shared" si="21"/>
        <v/>
      </c>
      <c r="N95" s="37" t="s">
        <v>18</v>
      </c>
      <c r="O95" s="29">
        <v>1</v>
      </c>
      <c r="P95" s="38">
        <v>40</v>
      </c>
      <c r="Q95" s="46"/>
      <c r="R95" s="28" t="s">
        <v>1554</v>
      </c>
      <c r="S95" s="28" t="s">
        <v>21</v>
      </c>
      <c r="T95" s="46"/>
      <c r="U95" s="28" t="s">
        <v>31</v>
      </c>
    </row>
    <row r="96" spans="1:21" s="27" customFormat="1" x14ac:dyDescent="0.25">
      <c r="A96" s="28" t="s">
        <v>21</v>
      </c>
      <c r="B96" s="28" t="s">
        <v>1523</v>
      </c>
      <c r="C96" s="28" t="s">
        <v>21</v>
      </c>
      <c r="D96" s="31">
        <v>1</v>
      </c>
      <c r="E96" s="71">
        <v>67</v>
      </c>
      <c r="F96" s="45">
        <v>298</v>
      </c>
      <c r="G96" s="32"/>
      <c r="H96" s="32">
        <v>1.8360000000000001</v>
      </c>
      <c r="I96" s="32">
        <v>1.8280000000000001</v>
      </c>
      <c r="J96" s="33">
        <f t="shared" si="19"/>
        <v>8.0000000000000071E-3</v>
      </c>
      <c r="K96" s="34" t="str">
        <f t="shared" si="16"/>
        <v/>
      </c>
      <c r="L96" s="35">
        <f t="shared" si="20"/>
        <v>7.45</v>
      </c>
      <c r="M96" s="36" t="str">
        <f t="shared" si="21"/>
        <v/>
      </c>
      <c r="N96" s="37" t="s">
        <v>18</v>
      </c>
      <c r="O96" s="29">
        <v>1</v>
      </c>
      <c r="P96" s="38">
        <v>40</v>
      </c>
      <c r="Q96" s="46"/>
      <c r="R96" s="28" t="s">
        <v>1555</v>
      </c>
      <c r="S96" s="28" t="s">
        <v>21</v>
      </c>
      <c r="T96" s="46"/>
      <c r="U96" s="28" t="s">
        <v>31</v>
      </c>
    </row>
    <row r="97" spans="1:21" s="27" customFormat="1" x14ac:dyDescent="0.25">
      <c r="A97" s="28" t="s">
        <v>21</v>
      </c>
      <c r="B97" s="28" t="s">
        <v>1524</v>
      </c>
      <c r="C97" s="28" t="s">
        <v>21</v>
      </c>
      <c r="D97" s="31">
        <v>1</v>
      </c>
      <c r="E97" s="71">
        <v>72</v>
      </c>
      <c r="F97" s="45">
        <v>297</v>
      </c>
      <c r="G97" s="32"/>
      <c r="H97" s="32">
        <v>1.84</v>
      </c>
      <c r="I97" s="32">
        <v>1.8320000000000001</v>
      </c>
      <c r="J97" s="33">
        <f t="shared" si="19"/>
        <v>8.0000000000000071E-3</v>
      </c>
      <c r="K97" s="34" t="str">
        <f t="shared" si="16"/>
        <v/>
      </c>
      <c r="L97" s="35">
        <f t="shared" si="20"/>
        <v>7.4249999999999998</v>
      </c>
      <c r="M97" s="36" t="str">
        <f t="shared" si="21"/>
        <v/>
      </c>
      <c r="N97" s="37" t="s">
        <v>18</v>
      </c>
      <c r="O97" s="29">
        <v>1</v>
      </c>
      <c r="P97" s="38">
        <v>40</v>
      </c>
      <c r="Q97" s="46"/>
      <c r="R97" s="28" t="s">
        <v>1556</v>
      </c>
      <c r="S97" s="28" t="s">
        <v>21</v>
      </c>
      <c r="T97" s="46"/>
      <c r="U97" s="28" t="s">
        <v>31</v>
      </c>
    </row>
    <row r="98" spans="1:21" s="27" customFormat="1" x14ac:dyDescent="0.25">
      <c r="A98" s="28" t="s">
        <v>21</v>
      </c>
      <c r="B98" s="28" t="s">
        <v>1525</v>
      </c>
      <c r="C98" s="28" t="s">
        <v>21</v>
      </c>
      <c r="D98" s="31">
        <v>1</v>
      </c>
      <c r="E98" s="71">
        <v>66</v>
      </c>
      <c r="F98" s="45">
        <v>298</v>
      </c>
      <c r="G98" s="32"/>
      <c r="H98" s="32">
        <v>1.831</v>
      </c>
      <c r="I98" s="32">
        <v>1.823</v>
      </c>
      <c r="J98" s="33">
        <f t="shared" si="19"/>
        <v>8.0000000000000071E-3</v>
      </c>
      <c r="K98" s="34" t="str">
        <f t="shared" si="16"/>
        <v/>
      </c>
      <c r="L98" s="35">
        <f t="shared" si="20"/>
        <v>7.45</v>
      </c>
      <c r="M98" s="36" t="str">
        <f t="shared" si="21"/>
        <v/>
      </c>
      <c r="N98" s="37" t="s">
        <v>18</v>
      </c>
      <c r="O98" s="29">
        <v>1</v>
      </c>
      <c r="P98" s="38">
        <v>40</v>
      </c>
      <c r="Q98" s="46"/>
      <c r="R98" s="28" t="s">
        <v>1552</v>
      </c>
      <c r="S98" s="28" t="s">
        <v>21</v>
      </c>
      <c r="T98" s="46"/>
      <c r="U98" s="28" t="s">
        <v>31</v>
      </c>
    </row>
    <row r="99" spans="1:21" s="27" customFormat="1" x14ac:dyDescent="0.25">
      <c r="A99" s="28" t="s">
        <v>21</v>
      </c>
      <c r="B99" s="28" t="s">
        <v>1526</v>
      </c>
      <c r="C99" s="28" t="s">
        <v>21</v>
      </c>
      <c r="D99" s="31">
        <v>1</v>
      </c>
      <c r="E99" s="71">
        <v>61</v>
      </c>
      <c r="F99" s="45">
        <v>298</v>
      </c>
      <c r="G99" s="32"/>
      <c r="H99" s="32">
        <v>1.831</v>
      </c>
      <c r="I99" s="32">
        <v>1.8220000000000001</v>
      </c>
      <c r="J99" s="33">
        <f t="shared" si="19"/>
        <v>8.999999999999897E-3</v>
      </c>
      <c r="K99" s="34" t="str">
        <f t="shared" si="16"/>
        <v/>
      </c>
      <c r="L99" s="35">
        <f t="shared" si="20"/>
        <v>7.45</v>
      </c>
      <c r="M99" s="36" t="str">
        <f t="shared" si="21"/>
        <v/>
      </c>
      <c r="N99" s="37" t="s">
        <v>18</v>
      </c>
      <c r="O99" s="29">
        <v>1</v>
      </c>
      <c r="P99" s="38">
        <v>40</v>
      </c>
      <c r="Q99" s="46"/>
      <c r="R99" s="28" t="s">
        <v>1557</v>
      </c>
      <c r="S99" s="28" t="s">
        <v>21</v>
      </c>
      <c r="T99" s="46"/>
      <c r="U99" s="28" t="s">
        <v>31</v>
      </c>
    </row>
    <row r="100" spans="1:21" s="27" customFormat="1" x14ac:dyDescent="0.25">
      <c r="A100" s="28" t="s">
        <v>21</v>
      </c>
      <c r="B100" s="28" t="s">
        <v>1527</v>
      </c>
      <c r="C100" s="28" t="s">
        <v>21</v>
      </c>
      <c r="D100" s="31">
        <v>1</v>
      </c>
      <c r="E100" s="71">
        <v>66</v>
      </c>
      <c r="F100" s="45">
        <v>298</v>
      </c>
      <c r="G100" s="32"/>
      <c r="H100" s="32">
        <v>1.83</v>
      </c>
      <c r="I100" s="32">
        <v>1.821</v>
      </c>
      <c r="J100" s="33">
        <f t="shared" si="19"/>
        <v>9.000000000000119E-3</v>
      </c>
      <c r="K100" s="34" t="str">
        <f t="shared" si="16"/>
        <v/>
      </c>
      <c r="L100" s="35">
        <f t="shared" si="20"/>
        <v>7.45</v>
      </c>
      <c r="M100" s="36" t="str">
        <f t="shared" si="21"/>
        <v/>
      </c>
      <c r="N100" s="37" t="s">
        <v>18</v>
      </c>
      <c r="O100" s="29">
        <v>1</v>
      </c>
      <c r="P100" s="38">
        <v>40</v>
      </c>
      <c r="Q100" s="46"/>
      <c r="R100" s="28" t="s">
        <v>1558</v>
      </c>
      <c r="S100" s="28" t="s">
        <v>21</v>
      </c>
      <c r="T100" s="46"/>
      <c r="U100" s="28" t="s">
        <v>31</v>
      </c>
    </row>
    <row r="101" spans="1:21" s="27" customFormat="1" x14ac:dyDescent="0.25">
      <c r="A101" s="28" t="s">
        <v>21</v>
      </c>
      <c r="B101" s="28" t="s">
        <v>1528</v>
      </c>
      <c r="C101" s="28" t="s">
        <v>21</v>
      </c>
      <c r="D101" s="31">
        <v>1</v>
      </c>
      <c r="E101" s="71">
        <v>66</v>
      </c>
      <c r="F101" s="45">
        <v>298</v>
      </c>
      <c r="G101" s="32"/>
      <c r="H101" s="32">
        <v>1.823</v>
      </c>
      <c r="I101" s="32">
        <v>1.8149999999999999</v>
      </c>
      <c r="J101" s="33">
        <f t="shared" si="19"/>
        <v>8.0000000000000071E-3</v>
      </c>
      <c r="K101" s="34" t="str">
        <f t="shared" si="16"/>
        <v/>
      </c>
      <c r="L101" s="35">
        <f t="shared" si="20"/>
        <v>7.45</v>
      </c>
      <c r="M101" s="36" t="str">
        <f t="shared" si="21"/>
        <v/>
      </c>
      <c r="N101" s="37" t="s">
        <v>18</v>
      </c>
      <c r="O101" s="29">
        <v>1</v>
      </c>
      <c r="P101" s="38">
        <v>40</v>
      </c>
      <c r="Q101" s="46"/>
      <c r="R101" s="28" t="s">
        <v>1559</v>
      </c>
      <c r="S101" s="28" t="s">
        <v>21</v>
      </c>
      <c r="T101" s="46"/>
      <c r="U101" s="28" t="s">
        <v>31</v>
      </c>
    </row>
    <row r="102" spans="1:21" s="27" customFormat="1" x14ac:dyDescent="0.25">
      <c r="A102" s="28" t="s">
        <v>21</v>
      </c>
      <c r="B102" s="28" t="s">
        <v>1529</v>
      </c>
      <c r="C102" s="28" t="s">
        <v>21</v>
      </c>
      <c r="D102" s="31">
        <v>1</v>
      </c>
      <c r="E102" s="71">
        <v>64</v>
      </c>
      <c r="F102" s="45">
        <v>298</v>
      </c>
      <c r="G102" s="32"/>
      <c r="H102" s="32">
        <v>1.827</v>
      </c>
      <c r="I102" s="32">
        <v>1.8180000000000001</v>
      </c>
      <c r="J102" s="33">
        <f t="shared" si="19"/>
        <v>8.999999999999897E-3</v>
      </c>
      <c r="K102" s="34" t="str">
        <f t="shared" si="16"/>
        <v/>
      </c>
      <c r="L102" s="35">
        <f t="shared" si="20"/>
        <v>7.45</v>
      </c>
      <c r="M102" s="36" t="str">
        <f t="shared" si="21"/>
        <v/>
      </c>
      <c r="N102" s="37" t="s">
        <v>18</v>
      </c>
      <c r="O102" s="29">
        <v>1</v>
      </c>
      <c r="P102" s="38">
        <v>40</v>
      </c>
      <c r="Q102" s="46"/>
      <c r="R102" s="28" t="s">
        <v>1560</v>
      </c>
      <c r="S102" s="28" t="s">
        <v>21</v>
      </c>
      <c r="T102" s="46"/>
      <c r="U102" s="28" t="s">
        <v>31</v>
      </c>
    </row>
    <row r="103" spans="1:21" s="27" customFormat="1" x14ac:dyDescent="0.25">
      <c r="A103" s="28" t="s">
        <v>1561</v>
      </c>
      <c r="B103" s="28" t="s">
        <v>1562</v>
      </c>
      <c r="C103" s="28">
        <v>776984</v>
      </c>
      <c r="D103" s="31">
        <v>1</v>
      </c>
      <c r="E103" s="71">
        <v>64</v>
      </c>
      <c r="F103" s="45">
        <v>1204</v>
      </c>
      <c r="G103" s="32">
        <v>1.8260000000000001</v>
      </c>
      <c r="H103" s="32">
        <v>7.35</v>
      </c>
      <c r="I103" s="32">
        <v>7.31</v>
      </c>
      <c r="J103" s="33">
        <f>IF(O103&lt;&gt;"",(H103-I103)/O103,"")</f>
        <v>1.0000000000000009E-2</v>
      </c>
      <c r="K103" s="34" t="str">
        <f t="shared" si="16"/>
        <v/>
      </c>
      <c r="L103" s="35">
        <f>F103/(O103*P103)</f>
        <v>7.5250000000000004</v>
      </c>
      <c r="M103" s="36" t="str">
        <f>IF(L103=0,"",IF(OR(L103&lt;7,L103&gt;7.8),"X",""))</f>
        <v/>
      </c>
      <c r="N103" s="37" t="s">
        <v>24</v>
      </c>
      <c r="O103" s="29">
        <v>4</v>
      </c>
      <c r="P103" s="38">
        <v>40</v>
      </c>
      <c r="Q103" s="28"/>
      <c r="R103" s="28" t="s">
        <v>1563</v>
      </c>
      <c r="S103" s="71" t="s">
        <v>58</v>
      </c>
      <c r="T103" s="28"/>
      <c r="U103" s="28" t="s">
        <v>31</v>
      </c>
    </row>
    <row r="104" spans="1:21" s="27" customFormat="1" x14ac:dyDescent="0.25">
      <c r="A104" s="28" t="s">
        <v>21</v>
      </c>
      <c r="B104" s="28" t="s">
        <v>21</v>
      </c>
      <c r="C104" s="28">
        <v>776985</v>
      </c>
      <c r="D104" s="31">
        <v>1</v>
      </c>
      <c r="E104" s="71"/>
      <c r="F104" s="31"/>
      <c r="G104" s="32">
        <v>1.847</v>
      </c>
      <c r="H104" s="32"/>
      <c r="I104" s="32"/>
      <c r="J104" s="33" t="str">
        <f t="shared" ref="J104:J106" si="22">IF(O104&lt;&gt;"",(H104-I104)/O104,"")</f>
        <v/>
      </c>
      <c r="K104" s="34"/>
      <c r="L104" s="35"/>
      <c r="M104" s="36" t="str">
        <f t="shared" ref="M104:M106" si="23">IF(L104=0,"",IF(OR(L104&lt;7.4,L104&gt;8),"X",""))</f>
        <v/>
      </c>
      <c r="N104" s="37"/>
      <c r="O104" s="29"/>
      <c r="P104" s="38"/>
      <c r="Q104" s="28"/>
      <c r="R104" s="28" t="s">
        <v>1564</v>
      </c>
      <c r="S104" s="71" t="s">
        <v>59</v>
      </c>
      <c r="T104" s="28"/>
      <c r="U104" s="28" t="s">
        <v>31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31">
        <v>1</v>
      </c>
      <c r="E105" s="71"/>
      <c r="F105" s="31"/>
      <c r="G105" s="32">
        <v>1.8480000000000001</v>
      </c>
      <c r="H105" s="32"/>
      <c r="I105" s="32"/>
      <c r="J105" s="33" t="str">
        <f t="shared" si="22"/>
        <v/>
      </c>
      <c r="K105" s="34"/>
      <c r="L105" s="35"/>
      <c r="M105" s="36" t="str">
        <f t="shared" si="23"/>
        <v/>
      </c>
      <c r="N105" s="37"/>
      <c r="O105" s="29"/>
      <c r="P105" s="38"/>
      <c r="Q105" s="28"/>
      <c r="R105" s="28" t="s">
        <v>1565</v>
      </c>
      <c r="S105" s="28" t="s">
        <v>21</v>
      </c>
      <c r="T105" s="28"/>
      <c r="U105" s="28" t="s">
        <v>31</v>
      </c>
    </row>
    <row r="106" spans="1:21" s="27" customFormat="1" x14ac:dyDescent="0.25">
      <c r="A106" s="28" t="s">
        <v>21</v>
      </c>
      <c r="B106" s="28" t="s">
        <v>21</v>
      </c>
      <c r="C106" s="28" t="s">
        <v>21</v>
      </c>
      <c r="D106" s="31">
        <v>1</v>
      </c>
      <c r="E106" s="71"/>
      <c r="F106" s="31"/>
      <c r="G106" s="32">
        <v>1.8260000000000001</v>
      </c>
      <c r="H106" s="32"/>
      <c r="I106" s="32"/>
      <c r="J106" s="33" t="str">
        <f t="shared" si="22"/>
        <v/>
      </c>
      <c r="K106" s="34"/>
      <c r="L106" s="35"/>
      <c r="M106" s="36" t="str">
        <f t="shared" si="23"/>
        <v/>
      </c>
      <c r="N106" s="37"/>
      <c r="O106" s="29"/>
      <c r="P106" s="38"/>
      <c r="Q106" s="28"/>
      <c r="R106" s="28" t="s">
        <v>1567</v>
      </c>
      <c r="S106" s="28" t="s">
        <v>21</v>
      </c>
      <c r="T106" s="28"/>
      <c r="U106" s="28" t="s">
        <v>31</v>
      </c>
    </row>
    <row r="107" spans="1:21" s="27" customFormat="1" x14ac:dyDescent="0.25">
      <c r="A107" s="28" t="s">
        <v>1568</v>
      </c>
      <c r="B107" s="44" t="s">
        <v>1569</v>
      </c>
      <c r="C107" s="28">
        <v>776985</v>
      </c>
      <c r="D107" s="31">
        <v>1</v>
      </c>
      <c r="E107" s="71">
        <v>60</v>
      </c>
      <c r="F107" s="45">
        <v>298</v>
      </c>
      <c r="G107" s="32"/>
      <c r="H107" s="32">
        <v>1.8420000000000001</v>
      </c>
      <c r="I107" s="32">
        <v>1.833</v>
      </c>
      <c r="J107" s="33">
        <f>IF(O107&lt;&gt;"",(H107-I107)/O107,"")</f>
        <v>9.000000000000119E-3</v>
      </c>
      <c r="K107" s="34" t="str">
        <f t="shared" ref="K107:K108" si="24">IF(J107=0,"",IF(OR(J107&lt;0,J107&gt;0.03),"X",""))</f>
        <v/>
      </c>
      <c r="L107" s="35">
        <f>F107/(O107*P107)</f>
        <v>7.45</v>
      </c>
      <c r="M107" s="36" t="str">
        <f>IF(L107=0,"",IF(OR(L107&lt;7,L107&gt;7.8),"X",""))</f>
        <v/>
      </c>
      <c r="N107" s="37" t="s">
        <v>18</v>
      </c>
      <c r="O107" s="29">
        <v>1</v>
      </c>
      <c r="P107" s="38">
        <v>40</v>
      </c>
      <c r="Q107" s="46"/>
      <c r="R107" s="28" t="s">
        <v>1571</v>
      </c>
      <c r="S107" s="28" t="s">
        <v>21</v>
      </c>
      <c r="T107" s="46"/>
      <c r="U107" s="28" t="s">
        <v>31</v>
      </c>
    </row>
    <row r="108" spans="1:21" s="27" customFormat="1" x14ac:dyDescent="0.25">
      <c r="A108" s="28" t="s">
        <v>1572</v>
      </c>
      <c r="B108" s="28" t="s">
        <v>1573</v>
      </c>
      <c r="C108" s="28">
        <v>776985</v>
      </c>
      <c r="D108" s="31">
        <v>1</v>
      </c>
      <c r="E108" s="71">
        <v>63</v>
      </c>
      <c r="F108" s="45">
        <v>1200</v>
      </c>
      <c r="G108" s="32">
        <v>1.8260000000000001</v>
      </c>
      <c r="H108" s="32">
        <v>7.35</v>
      </c>
      <c r="I108" s="32">
        <v>7.31</v>
      </c>
      <c r="J108" s="33">
        <f>IF(O108&lt;&gt;"",(H108-I108)/O108,"")</f>
        <v>1.0000000000000009E-2</v>
      </c>
      <c r="K108" s="34" t="str">
        <f t="shared" si="24"/>
        <v/>
      </c>
      <c r="L108" s="35">
        <f>F108/(O108*P108)</f>
        <v>7.5</v>
      </c>
      <c r="M108" s="36" t="str">
        <f>IF(L108=0,"",IF(OR(L108&lt;7,L108&gt;7.8),"X",""))</f>
        <v/>
      </c>
      <c r="N108" s="37" t="s">
        <v>24</v>
      </c>
      <c r="O108" s="29">
        <v>4</v>
      </c>
      <c r="P108" s="38">
        <v>40</v>
      </c>
      <c r="Q108" s="28"/>
      <c r="R108" s="28" t="s">
        <v>1566</v>
      </c>
      <c r="S108" s="47"/>
      <c r="T108" s="28"/>
      <c r="U108" s="28" t="s">
        <v>31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31">
        <v>1</v>
      </c>
      <c r="E109" s="71"/>
      <c r="F109" s="31"/>
      <c r="G109" s="32">
        <v>1.847</v>
      </c>
      <c r="H109" s="32"/>
      <c r="I109" s="32"/>
      <c r="J109" s="33" t="str">
        <f t="shared" ref="J109:J111" si="25">IF(O109&lt;&gt;"",(H109-I109)/O109,"")</f>
        <v/>
      </c>
      <c r="K109" s="34"/>
      <c r="L109" s="35"/>
      <c r="M109" s="36" t="str">
        <f t="shared" ref="M109:M111" si="26">IF(L109=0,"",IF(OR(L109&lt;7.4,L109&gt;8),"X",""))</f>
        <v/>
      </c>
      <c r="N109" s="37"/>
      <c r="O109" s="29"/>
      <c r="P109" s="38"/>
      <c r="Q109" s="28"/>
      <c r="R109" s="28" t="s">
        <v>1574</v>
      </c>
      <c r="S109" s="47"/>
      <c r="T109" s="28"/>
      <c r="U109" s="28" t="s">
        <v>31</v>
      </c>
    </row>
    <row r="110" spans="1:21" s="27" customFormat="1" x14ac:dyDescent="0.25">
      <c r="A110" s="28" t="s">
        <v>21</v>
      </c>
      <c r="B110" s="28" t="s">
        <v>21</v>
      </c>
      <c r="C110" s="28" t="s">
        <v>21</v>
      </c>
      <c r="D110" s="31">
        <v>1</v>
      </c>
      <c r="E110" s="71"/>
      <c r="F110" s="31"/>
      <c r="G110" s="32">
        <v>1.8480000000000001</v>
      </c>
      <c r="H110" s="32"/>
      <c r="I110" s="32"/>
      <c r="J110" s="33" t="str">
        <f t="shared" si="25"/>
        <v/>
      </c>
      <c r="K110" s="34"/>
      <c r="L110" s="35"/>
      <c r="M110" s="36" t="str">
        <f t="shared" si="26"/>
        <v/>
      </c>
      <c r="N110" s="37"/>
      <c r="O110" s="29"/>
      <c r="P110" s="38"/>
      <c r="Q110" s="28"/>
      <c r="R110" s="28" t="s">
        <v>1575</v>
      </c>
      <c r="S110" s="47"/>
      <c r="T110" s="28"/>
      <c r="U110" s="28" t="s">
        <v>31</v>
      </c>
    </row>
    <row r="111" spans="1:21" s="27" customFormat="1" x14ac:dyDescent="0.25">
      <c r="A111" s="28" t="s">
        <v>21</v>
      </c>
      <c r="B111" s="28" t="s">
        <v>21</v>
      </c>
      <c r="C111" s="28" t="s">
        <v>21</v>
      </c>
      <c r="D111" s="31">
        <v>1</v>
      </c>
      <c r="E111" s="71"/>
      <c r="F111" s="31"/>
      <c r="G111" s="32">
        <v>1.8260000000000001</v>
      </c>
      <c r="H111" s="32"/>
      <c r="I111" s="32"/>
      <c r="J111" s="33" t="str">
        <f t="shared" si="25"/>
        <v/>
      </c>
      <c r="K111" s="34"/>
      <c r="L111" s="35"/>
      <c r="M111" s="36" t="str">
        <f t="shared" si="26"/>
        <v/>
      </c>
      <c r="N111" s="37"/>
      <c r="O111" s="29"/>
      <c r="P111" s="38"/>
      <c r="Q111" s="28"/>
      <c r="R111" s="28" t="s">
        <v>1570</v>
      </c>
      <c r="S111" s="47"/>
      <c r="T111" s="28"/>
      <c r="U111" s="28" t="s">
        <v>31</v>
      </c>
    </row>
    <row r="112" spans="1:21" s="27" customFormat="1" x14ac:dyDescent="0.25">
      <c r="A112" s="28" t="s">
        <v>1576</v>
      </c>
      <c r="B112" s="28" t="s">
        <v>1577</v>
      </c>
      <c r="C112" s="28">
        <v>776985</v>
      </c>
      <c r="D112" s="31">
        <v>1</v>
      </c>
      <c r="E112" s="71">
        <v>67</v>
      </c>
      <c r="F112" s="45">
        <v>901</v>
      </c>
      <c r="G112" s="32">
        <v>1.847</v>
      </c>
      <c r="H112" s="32">
        <v>5.5119999999999996</v>
      </c>
      <c r="I112" s="32">
        <v>5.4880000000000004</v>
      </c>
      <c r="J112" s="33">
        <f>IF(O112&lt;&gt;"",(H112-I112)/O112,"")</f>
        <v>7.9999999999997105E-3</v>
      </c>
      <c r="K112" s="34" t="str">
        <f t="shared" ref="K112:K115" si="27">IF(J112=0,"",IF(OR(J112&lt;0,J112&gt;0.03),"X",""))</f>
        <v/>
      </c>
      <c r="L112" s="35">
        <f>F112/(O112*P112)</f>
        <v>7.5083333333333337</v>
      </c>
      <c r="M112" s="36" t="str">
        <f>IF(L112=0,"",IF(OR(L112&lt;7,L112&gt;7.8),"X",""))</f>
        <v/>
      </c>
      <c r="N112" s="37" t="s">
        <v>23</v>
      </c>
      <c r="O112" s="29">
        <v>3</v>
      </c>
      <c r="P112" s="38">
        <v>40</v>
      </c>
      <c r="Q112" s="28"/>
      <c r="R112" s="28" t="s">
        <v>1579</v>
      </c>
      <c r="S112" s="71" t="s">
        <v>58</v>
      </c>
      <c r="T112" s="46"/>
      <c r="U112" s="28" t="s">
        <v>31</v>
      </c>
    </row>
    <row r="113" spans="1:21" s="27" customFormat="1" x14ac:dyDescent="0.25">
      <c r="A113" s="28" t="s">
        <v>21</v>
      </c>
      <c r="B113" s="28" t="s">
        <v>21</v>
      </c>
      <c r="C113" s="28" t="s">
        <v>21</v>
      </c>
      <c r="D113" s="31">
        <v>1</v>
      </c>
      <c r="E113" s="71"/>
      <c r="F113" s="31"/>
      <c r="G113" s="32">
        <v>1.825</v>
      </c>
      <c r="H113" s="32"/>
      <c r="I113" s="32"/>
      <c r="J113" s="33" t="str">
        <f t="shared" ref="J113:J117" si="28">IF(O113&lt;&gt;"",(H113-I113)/O113,"")</f>
        <v/>
      </c>
      <c r="K113" s="34"/>
      <c r="L113" s="35"/>
      <c r="M113" s="36" t="str">
        <f t="shared" ref="M113:M117" si="29">IF(L113=0,"",IF(OR(L113&lt;7.4,L113&gt;8),"X",""))</f>
        <v/>
      </c>
      <c r="N113" s="37"/>
      <c r="O113" s="29"/>
      <c r="P113" s="38"/>
      <c r="Q113" s="28"/>
      <c r="R113" s="28" t="s">
        <v>1580</v>
      </c>
      <c r="S113" s="71" t="s">
        <v>59</v>
      </c>
      <c r="T113" s="46"/>
      <c r="U113" s="28" t="s">
        <v>31</v>
      </c>
    </row>
    <row r="114" spans="1:21" s="27" customFormat="1" ht="14.25" customHeight="1" x14ac:dyDescent="0.25">
      <c r="A114" s="28" t="s">
        <v>21</v>
      </c>
      <c r="B114" s="28" t="s">
        <v>21</v>
      </c>
      <c r="C114" s="28" t="s">
        <v>21</v>
      </c>
      <c r="D114" s="31">
        <v>1</v>
      </c>
      <c r="E114" s="71"/>
      <c r="F114" s="31"/>
      <c r="G114" s="32">
        <v>1.839</v>
      </c>
      <c r="H114" s="32"/>
      <c r="I114" s="32"/>
      <c r="J114" s="33" t="str">
        <f t="shared" si="28"/>
        <v/>
      </c>
      <c r="K114" s="34"/>
      <c r="L114" s="35"/>
      <c r="M114" s="36" t="str">
        <f t="shared" si="29"/>
        <v/>
      </c>
      <c r="N114" s="37"/>
      <c r="O114" s="29"/>
      <c r="P114" s="38"/>
      <c r="Q114" s="28"/>
      <c r="R114" s="28" t="s">
        <v>1581</v>
      </c>
      <c r="S114" s="28" t="s">
        <v>21</v>
      </c>
      <c r="T114" s="46"/>
      <c r="U114" s="28" t="s">
        <v>31</v>
      </c>
    </row>
    <row r="115" spans="1:21" s="27" customFormat="1" x14ac:dyDescent="0.25">
      <c r="A115" s="28" t="s">
        <v>21</v>
      </c>
      <c r="B115" s="28" t="s">
        <v>1578</v>
      </c>
      <c r="C115" s="28" t="s">
        <v>21</v>
      </c>
      <c r="D115" s="31">
        <v>1</v>
      </c>
      <c r="E115" s="71">
        <v>72</v>
      </c>
      <c r="F115" s="45">
        <v>902</v>
      </c>
      <c r="G115" s="32">
        <v>1.839</v>
      </c>
      <c r="H115" s="32">
        <v>5.5170000000000003</v>
      </c>
      <c r="I115" s="32">
        <v>5.4930000000000003</v>
      </c>
      <c r="J115" s="33">
        <f>IF(O115&lt;&gt;"",(H115-I115)/O115,"")</f>
        <v>8.0000000000000071E-3</v>
      </c>
      <c r="K115" s="34" t="str">
        <f t="shared" si="27"/>
        <v/>
      </c>
      <c r="L115" s="35">
        <f>F115/(O115*P115)</f>
        <v>7.5166666666666666</v>
      </c>
      <c r="M115" s="36" t="str">
        <f>IF(L115=0,"",IF(OR(L115&lt;7,L115&gt;7.8),"X",""))</f>
        <v/>
      </c>
      <c r="N115" s="37" t="s">
        <v>23</v>
      </c>
      <c r="O115" s="29">
        <v>3</v>
      </c>
      <c r="P115" s="38">
        <v>40</v>
      </c>
      <c r="Q115" s="28"/>
      <c r="R115" s="28" t="s">
        <v>1582</v>
      </c>
      <c r="S115" s="28" t="s">
        <v>21</v>
      </c>
      <c r="T115" s="46"/>
      <c r="U115" s="28" t="s">
        <v>31</v>
      </c>
    </row>
    <row r="116" spans="1:21" s="27" customFormat="1" x14ac:dyDescent="0.25">
      <c r="A116" s="28" t="s">
        <v>21</v>
      </c>
      <c r="B116" s="28" t="s">
        <v>21</v>
      </c>
      <c r="C116" s="28" t="s">
        <v>21</v>
      </c>
      <c r="D116" s="31">
        <v>1</v>
      </c>
      <c r="E116" s="71"/>
      <c r="F116" s="31"/>
      <c r="G116" s="32">
        <v>1.837</v>
      </c>
      <c r="H116" s="32"/>
      <c r="I116" s="32"/>
      <c r="J116" s="33" t="str">
        <f t="shared" si="28"/>
        <v/>
      </c>
      <c r="K116" s="34"/>
      <c r="L116" s="35"/>
      <c r="M116" s="36" t="str">
        <f t="shared" si="29"/>
        <v/>
      </c>
      <c r="N116" s="37"/>
      <c r="O116" s="29"/>
      <c r="P116" s="38"/>
      <c r="Q116" s="28"/>
      <c r="R116" s="28" t="s">
        <v>1583</v>
      </c>
      <c r="S116" s="28" t="s">
        <v>21</v>
      </c>
      <c r="T116" s="46"/>
      <c r="U116" s="28" t="s">
        <v>31</v>
      </c>
    </row>
    <row r="117" spans="1:21" s="27" customFormat="1" ht="14.25" customHeight="1" x14ac:dyDescent="0.25">
      <c r="A117" s="28" t="s">
        <v>21</v>
      </c>
      <c r="B117" s="28" t="s">
        <v>21</v>
      </c>
      <c r="C117" s="28" t="s">
        <v>21</v>
      </c>
      <c r="D117" s="31">
        <v>1</v>
      </c>
      <c r="E117" s="71"/>
      <c r="F117" s="31"/>
      <c r="G117" s="32">
        <v>1.8380000000000001</v>
      </c>
      <c r="H117" s="32"/>
      <c r="I117" s="32"/>
      <c r="J117" s="33" t="str">
        <f t="shared" si="28"/>
        <v/>
      </c>
      <c r="K117" s="34"/>
      <c r="L117" s="35"/>
      <c r="M117" s="36" t="str">
        <f t="shared" si="29"/>
        <v/>
      </c>
      <c r="N117" s="37"/>
      <c r="O117" s="29"/>
      <c r="P117" s="38"/>
      <c r="Q117" s="28"/>
      <c r="R117" s="28" t="s">
        <v>1584</v>
      </c>
      <c r="S117" s="28" t="s">
        <v>21</v>
      </c>
      <c r="T117" s="46"/>
      <c r="U117" s="28" t="s">
        <v>31</v>
      </c>
    </row>
    <row r="118" spans="1:21" s="27" customFormat="1" x14ac:dyDescent="0.25">
      <c r="A118" s="28" t="s">
        <v>1588</v>
      </c>
      <c r="B118" s="28" t="s">
        <v>1587</v>
      </c>
      <c r="C118" s="28">
        <v>776985</v>
      </c>
      <c r="D118" s="31">
        <v>1</v>
      </c>
      <c r="E118" s="71">
        <v>63</v>
      </c>
      <c r="F118" s="45">
        <v>603</v>
      </c>
      <c r="G118" s="32">
        <v>1.8340000000000001</v>
      </c>
      <c r="H118" s="32">
        <v>3.6760000000000002</v>
      </c>
      <c r="I118" s="32">
        <v>3.6579999999999999</v>
      </c>
      <c r="J118" s="33">
        <f>IF(O118&lt;&gt;"",(H118-I118)/O118,"")</f>
        <v>9.000000000000119E-3</v>
      </c>
      <c r="K118" s="34" t="str">
        <f t="shared" ref="K118:K158" si="30">IF(J118=0,"",IF(OR(J118&lt;0,J118&gt;0.03),"X",""))</f>
        <v/>
      </c>
      <c r="L118" s="35">
        <f>F118/(O118*P118)</f>
        <v>7.5374999999999996</v>
      </c>
      <c r="M118" s="36" t="str">
        <f>IF(L118=0,"",IF(OR(L118&lt;7,L118&gt;7.8),"X",""))</f>
        <v/>
      </c>
      <c r="N118" s="37" t="s">
        <v>20</v>
      </c>
      <c r="O118" s="29">
        <v>2</v>
      </c>
      <c r="P118" s="38">
        <v>40</v>
      </c>
      <c r="Q118" s="28"/>
      <c r="R118" s="28" t="s">
        <v>1585</v>
      </c>
      <c r="S118" s="28" t="s">
        <v>21</v>
      </c>
      <c r="T118" s="28"/>
      <c r="U118" s="28" t="s">
        <v>31</v>
      </c>
    </row>
    <row r="119" spans="1:21" s="27" customFormat="1" x14ac:dyDescent="0.25">
      <c r="A119" s="28" t="s">
        <v>21</v>
      </c>
      <c r="B119" s="28" t="s">
        <v>21</v>
      </c>
      <c r="C119" s="28">
        <v>776985</v>
      </c>
      <c r="D119" s="31">
        <v>1</v>
      </c>
      <c r="E119" s="71"/>
      <c r="F119" s="31"/>
      <c r="G119" s="32">
        <v>1.843</v>
      </c>
      <c r="H119" s="32"/>
      <c r="I119" s="32"/>
      <c r="J119" s="33"/>
      <c r="K119" s="34" t="str">
        <f t="shared" si="30"/>
        <v/>
      </c>
      <c r="L119" s="35"/>
      <c r="M119" s="36" t="str">
        <f t="shared" ref="M119" si="31">IF(L119=0,"",IF(OR(L119&lt;7.4,L119&gt;8),"X",""))</f>
        <v/>
      </c>
      <c r="N119" s="37"/>
      <c r="O119" s="29"/>
      <c r="P119" s="38"/>
      <c r="Q119" s="28"/>
      <c r="R119" s="28" t="s">
        <v>1586</v>
      </c>
      <c r="S119" s="28" t="s">
        <v>21</v>
      </c>
      <c r="T119" s="28"/>
      <c r="U119" s="28" t="s">
        <v>31</v>
      </c>
    </row>
    <row r="120" spans="1:21" s="27" customFormat="1" x14ac:dyDescent="0.25">
      <c r="A120" s="28" t="s">
        <v>1592</v>
      </c>
      <c r="B120" s="28" t="s">
        <v>1593</v>
      </c>
      <c r="C120" s="28">
        <v>698232</v>
      </c>
      <c r="D120" s="31">
        <v>1</v>
      </c>
      <c r="E120" s="71">
        <v>44</v>
      </c>
      <c r="F120" s="31">
        <v>186</v>
      </c>
      <c r="G120" s="32"/>
      <c r="H120" s="32">
        <v>1.87</v>
      </c>
      <c r="I120" s="32">
        <v>1.8640000000000001</v>
      </c>
      <c r="J120" s="33">
        <f t="shared" ref="J120:J144" si="32">IF(O120&lt;&gt;"",(H120-I120)/O120,"")</f>
        <v>6.0000000000000053E-3</v>
      </c>
      <c r="K120" s="34" t="str">
        <f t="shared" si="30"/>
        <v/>
      </c>
      <c r="L120" s="35">
        <f t="shared" ref="L120:L144" si="33">F120/(O120*P120)</f>
        <v>7.44</v>
      </c>
      <c r="M120" s="36" t="str">
        <f t="shared" ref="M120:M144" si="34">IF(L120=0,"",IF(OR(L120&lt;7,L120&gt;7.8),"X",""))</f>
        <v/>
      </c>
      <c r="N120" s="37" t="s">
        <v>16</v>
      </c>
      <c r="O120" s="29">
        <v>1</v>
      </c>
      <c r="P120" s="38">
        <v>25</v>
      </c>
      <c r="Q120" s="28"/>
      <c r="R120" s="28" t="s">
        <v>1618</v>
      </c>
      <c r="S120" s="71" t="s">
        <v>58</v>
      </c>
      <c r="T120" s="28"/>
      <c r="U120" s="28" t="s">
        <v>31</v>
      </c>
    </row>
    <row r="121" spans="1:21" s="27" customFormat="1" x14ac:dyDescent="0.25">
      <c r="A121" s="28" t="s">
        <v>21</v>
      </c>
      <c r="B121" s="28" t="s">
        <v>1594</v>
      </c>
      <c r="C121" s="28" t="s">
        <v>21</v>
      </c>
      <c r="D121" s="31">
        <v>1</v>
      </c>
      <c r="E121" s="71">
        <v>52</v>
      </c>
      <c r="F121" s="31">
        <v>185</v>
      </c>
      <c r="G121" s="32"/>
      <c r="H121" s="32">
        <v>1.857</v>
      </c>
      <c r="I121" s="32">
        <v>1.851</v>
      </c>
      <c r="J121" s="33">
        <f t="shared" si="32"/>
        <v>6.0000000000000053E-3</v>
      </c>
      <c r="K121" s="34" t="str">
        <f t="shared" si="30"/>
        <v/>
      </c>
      <c r="L121" s="35">
        <f t="shared" si="33"/>
        <v>7.4</v>
      </c>
      <c r="M121" s="36" t="str">
        <f t="shared" si="34"/>
        <v/>
      </c>
      <c r="N121" s="37" t="s">
        <v>16</v>
      </c>
      <c r="O121" s="29">
        <v>1</v>
      </c>
      <c r="P121" s="38">
        <v>25</v>
      </c>
      <c r="Q121" s="28"/>
      <c r="R121" s="28" t="s">
        <v>1619</v>
      </c>
      <c r="S121" s="71" t="s">
        <v>59</v>
      </c>
      <c r="T121" s="28"/>
      <c r="U121" s="28" t="s">
        <v>31</v>
      </c>
    </row>
    <row r="122" spans="1:21" s="27" customFormat="1" x14ac:dyDescent="0.25">
      <c r="A122" s="28" t="s">
        <v>21</v>
      </c>
      <c r="B122" s="28" t="s">
        <v>1595</v>
      </c>
      <c r="C122" s="28" t="s">
        <v>21</v>
      </c>
      <c r="D122" s="31">
        <v>1</v>
      </c>
      <c r="E122" s="71">
        <v>46</v>
      </c>
      <c r="F122" s="31">
        <v>186</v>
      </c>
      <c r="G122" s="32"/>
      <c r="H122" s="32">
        <v>1.863</v>
      </c>
      <c r="I122" s="32">
        <v>1.857</v>
      </c>
      <c r="J122" s="33">
        <f t="shared" si="32"/>
        <v>6.0000000000000053E-3</v>
      </c>
      <c r="K122" s="34" t="str">
        <f t="shared" si="30"/>
        <v/>
      </c>
      <c r="L122" s="35">
        <f t="shared" si="33"/>
        <v>7.44</v>
      </c>
      <c r="M122" s="36" t="str">
        <f t="shared" si="34"/>
        <v/>
      </c>
      <c r="N122" s="37" t="s">
        <v>16</v>
      </c>
      <c r="O122" s="29">
        <v>1</v>
      </c>
      <c r="P122" s="38">
        <v>25</v>
      </c>
      <c r="Q122" s="28"/>
      <c r="R122" s="28" t="s">
        <v>1621</v>
      </c>
      <c r="S122" s="28" t="s">
        <v>21</v>
      </c>
      <c r="T122" s="28"/>
      <c r="U122" s="28" t="s">
        <v>31</v>
      </c>
    </row>
    <row r="123" spans="1:21" s="27" customFormat="1" x14ac:dyDescent="0.25">
      <c r="A123" s="28" t="s">
        <v>21</v>
      </c>
      <c r="B123" s="28" t="s">
        <v>1596</v>
      </c>
      <c r="C123" s="28" t="s">
        <v>21</v>
      </c>
      <c r="D123" s="31">
        <v>1</v>
      </c>
      <c r="E123" s="71">
        <v>47</v>
      </c>
      <c r="F123" s="31">
        <v>186</v>
      </c>
      <c r="G123" s="32"/>
      <c r="H123" s="32">
        <v>1.869</v>
      </c>
      <c r="I123" s="32">
        <v>1.8620000000000001</v>
      </c>
      <c r="J123" s="33">
        <f t="shared" si="32"/>
        <v>6.9999999999998952E-3</v>
      </c>
      <c r="K123" s="34" t="str">
        <f t="shared" si="30"/>
        <v/>
      </c>
      <c r="L123" s="35">
        <f t="shared" si="33"/>
        <v>7.44</v>
      </c>
      <c r="M123" s="36" t="str">
        <f t="shared" si="34"/>
        <v/>
      </c>
      <c r="N123" s="37" t="s">
        <v>16</v>
      </c>
      <c r="O123" s="29">
        <v>1</v>
      </c>
      <c r="P123" s="38">
        <v>25</v>
      </c>
      <c r="Q123" s="28"/>
      <c r="R123" s="28" t="s">
        <v>1623</v>
      </c>
      <c r="S123" s="28" t="s">
        <v>21</v>
      </c>
      <c r="T123" s="28"/>
      <c r="U123" s="28" t="s">
        <v>31</v>
      </c>
    </row>
    <row r="124" spans="1:21" s="27" customFormat="1" x14ac:dyDescent="0.25">
      <c r="A124" s="28" t="s">
        <v>21</v>
      </c>
      <c r="B124" s="28" t="s">
        <v>1597</v>
      </c>
      <c r="C124" s="28" t="s">
        <v>21</v>
      </c>
      <c r="D124" s="31">
        <v>1</v>
      </c>
      <c r="E124" s="71">
        <v>65</v>
      </c>
      <c r="F124" s="31">
        <v>185</v>
      </c>
      <c r="G124" s="32"/>
      <c r="H124" s="32">
        <v>1.8640000000000001</v>
      </c>
      <c r="I124" s="32">
        <v>1.8580000000000001</v>
      </c>
      <c r="J124" s="33">
        <f t="shared" si="32"/>
        <v>6.0000000000000053E-3</v>
      </c>
      <c r="K124" s="34" t="str">
        <f t="shared" si="30"/>
        <v/>
      </c>
      <c r="L124" s="35">
        <f t="shared" si="33"/>
        <v>7.4</v>
      </c>
      <c r="M124" s="36" t="str">
        <f t="shared" si="34"/>
        <v/>
      </c>
      <c r="N124" s="37" t="s">
        <v>16</v>
      </c>
      <c r="O124" s="29">
        <v>1</v>
      </c>
      <c r="P124" s="38">
        <v>25</v>
      </c>
      <c r="Q124" s="28"/>
      <c r="R124" s="28" t="s">
        <v>1624</v>
      </c>
      <c r="S124" s="28" t="s">
        <v>21</v>
      </c>
      <c r="T124" s="28"/>
      <c r="U124" s="28" t="s">
        <v>31</v>
      </c>
    </row>
    <row r="125" spans="1:21" s="27" customFormat="1" x14ac:dyDescent="0.25">
      <c r="A125" s="28" t="s">
        <v>21</v>
      </c>
      <c r="B125" s="28" t="s">
        <v>1598</v>
      </c>
      <c r="C125" s="28" t="s">
        <v>21</v>
      </c>
      <c r="D125" s="31">
        <v>1</v>
      </c>
      <c r="E125" s="71">
        <v>66</v>
      </c>
      <c r="F125" s="31">
        <v>184</v>
      </c>
      <c r="G125" s="32"/>
      <c r="H125" s="32">
        <v>1.8740000000000001</v>
      </c>
      <c r="I125" s="32">
        <v>1.869</v>
      </c>
      <c r="J125" s="33">
        <f t="shared" si="32"/>
        <v>5.0000000000001155E-3</v>
      </c>
      <c r="K125" s="34" t="str">
        <f t="shared" si="30"/>
        <v/>
      </c>
      <c r="L125" s="35">
        <f t="shared" si="33"/>
        <v>7.36</v>
      </c>
      <c r="M125" s="36" t="str">
        <f t="shared" si="34"/>
        <v/>
      </c>
      <c r="N125" s="37" t="s">
        <v>16</v>
      </c>
      <c r="O125" s="29">
        <v>1</v>
      </c>
      <c r="P125" s="38">
        <v>25</v>
      </c>
      <c r="Q125" s="28"/>
      <c r="R125" s="28" t="s">
        <v>1625</v>
      </c>
      <c r="S125" s="71" t="s">
        <v>103</v>
      </c>
      <c r="T125" s="28"/>
      <c r="U125" s="28" t="s">
        <v>31</v>
      </c>
    </row>
    <row r="126" spans="1:21" s="27" customFormat="1" x14ac:dyDescent="0.25">
      <c r="A126" s="28" t="s">
        <v>21</v>
      </c>
      <c r="B126" s="28" t="s">
        <v>1599</v>
      </c>
      <c r="C126" s="28" t="s">
        <v>21</v>
      </c>
      <c r="D126" s="31">
        <v>1</v>
      </c>
      <c r="E126" s="71">
        <v>63</v>
      </c>
      <c r="F126" s="31">
        <v>185</v>
      </c>
      <c r="G126" s="32"/>
      <c r="H126" s="32">
        <v>1.8839999999999999</v>
      </c>
      <c r="I126" s="32">
        <v>1.8779999999999999</v>
      </c>
      <c r="J126" s="33">
        <f t="shared" si="32"/>
        <v>6.0000000000000053E-3</v>
      </c>
      <c r="K126" s="34" t="str">
        <f t="shared" si="30"/>
        <v/>
      </c>
      <c r="L126" s="35">
        <f t="shared" si="33"/>
        <v>7.4</v>
      </c>
      <c r="M126" s="36" t="str">
        <f t="shared" si="34"/>
        <v/>
      </c>
      <c r="N126" s="37" t="s">
        <v>16</v>
      </c>
      <c r="O126" s="29">
        <v>1</v>
      </c>
      <c r="P126" s="38">
        <v>25</v>
      </c>
      <c r="Q126" s="28"/>
      <c r="R126" s="28" t="s">
        <v>1627</v>
      </c>
      <c r="S126" s="71" t="s">
        <v>59</v>
      </c>
      <c r="T126" s="28"/>
      <c r="U126" s="28" t="s">
        <v>31</v>
      </c>
    </row>
    <row r="127" spans="1:21" s="27" customFormat="1" x14ac:dyDescent="0.25">
      <c r="A127" s="28" t="s">
        <v>21</v>
      </c>
      <c r="B127" s="28" t="s">
        <v>1600</v>
      </c>
      <c r="C127" s="28" t="s">
        <v>21</v>
      </c>
      <c r="D127" s="31">
        <v>1</v>
      </c>
      <c r="E127" s="71">
        <v>60</v>
      </c>
      <c r="F127" s="31">
        <v>185</v>
      </c>
      <c r="G127" s="32"/>
      <c r="H127" s="32">
        <v>1.8819999999999999</v>
      </c>
      <c r="I127" s="32">
        <v>1.8759999999999999</v>
      </c>
      <c r="J127" s="33">
        <f t="shared" si="32"/>
        <v>6.0000000000000053E-3</v>
      </c>
      <c r="K127" s="34" t="str">
        <f t="shared" si="30"/>
        <v/>
      </c>
      <c r="L127" s="35">
        <f t="shared" si="33"/>
        <v>7.4</v>
      </c>
      <c r="M127" s="36" t="str">
        <f t="shared" si="34"/>
        <v/>
      </c>
      <c r="N127" s="37" t="s">
        <v>16</v>
      </c>
      <c r="O127" s="29">
        <v>1</v>
      </c>
      <c r="P127" s="38">
        <v>25</v>
      </c>
      <c r="Q127" s="28"/>
      <c r="R127" s="28" t="s">
        <v>1620</v>
      </c>
      <c r="S127" s="28" t="s">
        <v>21</v>
      </c>
      <c r="T127" s="28"/>
      <c r="U127" s="28" t="s">
        <v>31</v>
      </c>
    </row>
    <row r="128" spans="1:21" s="27" customFormat="1" x14ac:dyDescent="0.25">
      <c r="A128" s="28" t="s">
        <v>21</v>
      </c>
      <c r="B128" s="28" t="s">
        <v>1601</v>
      </c>
      <c r="C128" s="28" t="s">
        <v>21</v>
      </c>
      <c r="D128" s="31">
        <v>1</v>
      </c>
      <c r="E128" s="71">
        <v>68</v>
      </c>
      <c r="F128" s="31">
        <v>186</v>
      </c>
      <c r="G128" s="32"/>
      <c r="H128" s="32">
        <v>1.893</v>
      </c>
      <c r="I128" s="32">
        <v>1.887</v>
      </c>
      <c r="J128" s="33">
        <f t="shared" si="32"/>
        <v>6.0000000000000053E-3</v>
      </c>
      <c r="K128" s="34" t="str">
        <f t="shared" si="30"/>
        <v/>
      </c>
      <c r="L128" s="35">
        <f t="shared" si="33"/>
        <v>7.44</v>
      </c>
      <c r="M128" s="36" t="str">
        <f t="shared" si="34"/>
        <v/>
      </c>
      <c r="N128" s="37" t="s">
        <v>16</v>
      </c>
      <c r="O128" s="29">
        <v>1</v>
      </c>
      <c r="P128" s="38">
        <v>25</v>
      </c>
      <c r="Q128" s="28"/>
      <c r="R128" s="28" t="s">
        <v>1626</v>
      </c>
      <c r="S128" s="28" t="s">
        <v>21</v>
      </c>
      <c r="T128" s="28"/>
      <c r="U128" s="28" t="s">
        <v>31</v>
      </c>
    </row>
    <row r="129" spans="1:21" s="27" customFormat="1" x14ac:dyDescent="0.25">
      <c r="A129" s="28" t="s">
        <v>21</v>
      </c>
      <c r="B129" s="28" t="s">
        <v>1602</v>
      </c>
      <c r="C129" s="28" t="s">
        <v>21</v>
      </c>
      <c r="D129" s="31">
        <v>1</v>
      </c>
      <c r="E129" s="71">
        <v>73</v>
      </c>
      <c r="F129" s="31">
        <v>184</v>
      </c>
      <c r="G129" s="32"/>
      <c r="H129" s="32">
        <v>1.8759999999999999</v>
      </c>
      <c r="I129" s="32">
        <v>1.87</v>
      </c>
      <c r="J129" s="33">
        <f t="shared" si="32"/>
        <v>5.9999999999997833E-3</v>
      </c>
      <c r="K129" s="34" t="str">
        <f t="shared" si="30"/>
        <v/>
      </c>
      <c r="L129" s="35">
        <f t="shared" si="33"/>
        <v>7.36</v>
      </c>
      <c r="M129" s="36" t="str">
        <f t="shared" si="34"/>
        <v/>
      </c>
      <c r="N129" s="37" t="s">
        <v>16</v>
      </c>
      <c r="O129" s="29">
        <v>1</v>
      </c>
      <c r="P129" s="38">
        <v>25</v>
      </c>
      <c r="Q129" s="28"/>
      <c r="R129" s="28" t="s">
        <v>1628</v>
      </c>
      <c r="S129" s="28" t="s">
        <v>21</v>
      </c>
      <c r="T129" s="28"/>
      <c r="U129" s="28" t="s">
        <v>31</v>
      </c>
    </row>
    <row r="130" spans="1:21" s="27" customFormat="1" x14ac:dyDescent="0.25">
      <c r="A130" s="28" t="s">
        <v>21</v>
      </c>
      <c r="B130" s="28" t="s">
        <v>1603</v>
      </c>
      <c r="C130" s="28" t="s">
        <v>21</v>
      </c>
      <c r="D130" s="31">
        <v>1</v>
      </c>
      <c r="E130" s="71">
        <v>66</v>
      </c>
      <c r="F130" s="31">
        <v>186</v>
      </c>
      <c r="G130" s="32"/>
      <c r="H130" s="32">
        <v>1.88</v>
      </c>
      <c r="I130" s="32">
        <v>1.8740000000000001</v>
      </c>
      <c r="J130" s="33">
        <f t="shared" si="32"/>
        <v>5.9999999999997833E-3</v>
      </c>
      <c r="K130" s="34" t="str">
        <f t="shared" si="30"/>
        <v/>
      </c>
      <c r="L130" s="35">
        <f t="shared" si="33"/>
        <v>7.44</v>
      </c>
      <c r="M130" s="36" t="str">
        <f t="shared" si="34"/>
        <v/>
      </c>
      <c r="N130" s="37" t="s">
        <v>16</v>
      </c>
      <c r="O130" s="29">
        <v>1</v>
      </c>
      <c r="P130" s="38">
        <v>25</v>
      </c>
      <c r="Q130" s="28"/>
      <c r="R130" s="28" t="s">
        <v>1629</v>
      </c>
      <c r="S130" s="28" t="s">
        <v>21</v>
      </c>
      <c r="T130" s="28"/>
      <c r="U130" s="28" t="s">
        <v>31</v>
      </c>
    </row>
    <row r="131" spans="1:21" s="27" customFormat="1" x14ac:dyDescent="0.25">
      <c r="A131" s="28" t="s">
        <v>21</v>
      </c>
      <c r="B131" s="28" t="s">
        <v>1604</v>
      </c>
      <c r="C131" s="28" t="s">
        <v>21</v>
      </c>
      <c r="D131" s="31">
        <v>1</v>
      </c>
      <c r="E131" s="71">
        <v>65</v>
      </c>
      <c r="F131" s="31">
        <v>185</v>
      </c>
      <c r="G131" s="32"/>
      <c r="H131" s="32">
        <v>1.879</v>
      </c>
      <c r="I131" s="32">
        <v>1.873</v>
      </c>
      <c r="J131" s="33">
        <f t="shared" si="32"/>
        <v>6.0000000000000053E-3</v>
      </c>
      <c r="K131" s="34" t="str">
        <f t="shared" si="30"/>
        <v/>
      </c>
      <c r="L131" s="35">
        <f t="shared" si="33"/>
        <v>7.4</v>
      </c>
      <c r="M131" s="36" t="str">
        <f t="shared" si="34"/>
        <v/>
      </c>
      <c r="N131" s="37" t="s">
        <v>16</v>
      </c>
      <c r="O131" s="29">
        <v>1</v>
      </c>
      <c r="P131" s="38">
        <v>25</v>
      </c>
      <c r="Q131" s="28"/>
      <c r="R131" s="28" t="s">
        <v>1630</v>
      </c>
      <c r="S131" s="28" t="s">
        <v>21</v>
      </c>
      <c r="T131" s="28"/>
      <c r="U131" s="28" t="s">
        <v>31</v>
      </c>
    </row>
    <row r="132" spans="1:21" s="27" customFormat="1" x14ac:dyDescent="0.25">
      <c r="A132" s="28" t="s">
        <v>21</v>
      </c>
      <c r="B132" s="28" t="s">
        <v>1605</v>
      </c>
      <c r="C132" s="28" t="s">
        <v>21</v>
      </c>
      <c r="D132" s="31">
        <v>1</v>
      </c>
      <c r="E132" s="71">
        <v>67</v>
      </c>
      <c r="F132" s="31">
        <v>185</v>
      </c>
      <c r="G132" s="32"/>
      <c r="H132" s="32">
        <v>1.881</v>
      </c>
      <c r="I132" s="32">
        <v>1.875</v>
      </c>
      <c r="J132" s="33">
        <f t="shared" si="32"/>
        <v>6.0000000000000053E-3</v>
      </c>
      <c r="K132" s="34" t="str">
        <f t="shared" si="30"/>
        <v/>
      </c>
      <c r="L132" s="35">
        <f t="shared" si="33"/>
        <v>7.4</v>
      </c>
      <c r="M132" s="36" t="str">
        <f t="shared" si="34"/>
        <v/>
      </c>
      <c r="N132" s="37" t="s">
        <v>16</v>
      </c>
      <c r="O132" s="29">
        <v>1</v>
      </c>
      <c r="P132" s="38">
        <v>25</v>
      </c>
      <c r="Q132" s="28"/>
      <c r="R132" s="28" t="s">
        <v>1622</v>
      </c>
      <c r="S132" s="28" t="s">
        <v>21</v>
      </c>
      <c r="T132" s="28"/>
      <c r="U132" s="28" t="s">
        <v>31</v>
      </c>
    </row>
    <row r="133" spans="1:21" s="27" customFormat="1" x14ac:dyDescent="0.25">
      <c r="A133" s="28" t="s">
        <v>21</v>
      </c>
      <c r="B133" s="28" t="s">
        <v>1606</v>
      </c>
      <c r="C133" s="28" t="s">
        <v>21</v>
      </c>
      <c r="D133" s="31">
        <v>1</v>
      </c>
      <c r="E133" s="71">
        <v>65</v>
      </c>
      <c r="F133" s="31">
        <v>185</v>
      </c>
      <c r="G133" s="32"/>
      <c r="H133" s="32">
        <v>1.87</v>
      </c>
      <c r="I133" s="32">
        <v>1.8640000000000001</v>
      </c>
      <c r="J133" s="33">
        <f t="shared" si="32"/>
        <v>6.0000000000000053E-3</v>
      </c>
      <c r="K133" s="34" t="str">
        <f t="shared" si="30"/>
        <v/>
      </c>
      <c r="L133" s="35">
        <f t="shared" si="33"/>
        <v>7.4</v>
      </c>
      <c r="M133" s="36" t="str">
        <f t="shared" si="34"/>
        <v/>
      </c>
      <c r="N133" s="37" t="s">
        <v>16</v>
      </c>
      <c r="O133" s="29">
        <v>1</v>
      </c>
      <c r="P133" s="38">
        <v>25</v>
      </c>
      <c r="Q133" s="28"/>
      <c r="R133" s="28" t="s">
        <v>1631</v>
      </c>
      <c r="S133" s="28" t="s">
        <v>21</v>
      </c>
      <c r="T133" s="28"/>
      <c r="U133" s="28" t="s">
        <v>31</v>
      </c>
    </row>
    <row r="134" spans="1:21" s="27" customFormat="1" x14ac:dyDescent="0.25">
      <c r="A134" s="28" t="s">
        <v>21</v>
      </c>
      <c r="B134" s="28" t="s">
        <v>1607</v>
      </c>
      <c r="C134" s="28" t="s">
        <v>21</v>
      </c>
      <c r="D134" s="31">
        <v>1</v>
      </c>
      <c r="E134" s="71">
        <v>68</v>
      </c>
      <c r="F134" s="31">
        <v>186</v>
      </c>
      <c r="G134" s="32"/>
      <c r="H134" s="32">
        <v>1.8640000000000001</v>
      </c>
      <c r="I134" s="32">
        <v>1.857</v>
      </c>
      <c r="J134" s="33">
        <f t="shared" si="32"/>
        <v>7.0000000000001172E-3</v>
      </c>
      <c r="K134" s="34" t="str">
        <f t="shared" si="30"/>
        <v/>
      </c>
      <c r="L134" s="35">
        <f t="shared" si="33"/>
        <v>7.44</v>
      </c>
      <c r="M134" s="36" t="str">
        <f t="shared" si="34"/>
        <v/>
      </c>
      <c r="N134" s="37" t="s">
        <v>16</v>
      </c>
      <c r="O134" s="29">
        <v>1</v>
      </c>
      <c r="P134" s="38">
        <v>25</v>
      </c>
      <c r="Q134" s="28"/>
      <c r="R134" s="28" t="s">
        <v>1631</v>
      </c>
      <c r="S134" s="28" t="s">
        <v>21</v>
      </c>
      <c r="T134" s="28"/>
      <c r="U134" s="28" t="s">
        <v>31</v>
      </c>
    </row>
    <row r="135" spans="1:21" s="27" customFormat="1" x14ac:dyDescent="0.25">
      <c r="A135" s="28" t="s">
        <v>21</v>
      </c>
      <c r="B135" s="28" t="s">
        <v>1608</v>
      </c>
      <c r="C135" s="28">
        <v>698227</v>
      </c>
      <c r="D135" s="31">
        <v>1</v>
      </c>
      <c r="E135" s="71">
        <v>49</v>
      </c>
      <c r="F135" s="31">
        <v>185</v>
      </c>
      <c r="G135" s="32"/>
      <c r="H135" s="32">
        <v>1.855</v>
      </c>
      <c r="I135" s="32">
        <v>1.847</v>
      </c>
      <c r="J135" s="33">
        <f t="shared" si="32"/>
        <v>8.0000000000000071E-3</v>
      </c>
      <c r="K135" s="34" t="str">
        <f t="shared" si="30"/>
        <v/>
      </c>
      <c r="L135" s="35">
        <f t="shared" si="33"/>
        <v>7.4</v>
      </c>
      <c r="M135" s="36" t="str">
        <f t="shared" si="34"/>
        <v/>
      </c>
      <c r="N135" s="37" t="s">
        <v>16</v>
      </c>
      <c r="O135" s="29">
        <v>1</v>
      </c>
      <c r="P135" s="38">
        <v>25</v>
      </c>
      <c r="Q135" s="28"/>
      <c r="R135" s="28" t="s">
        <v>1632</v>
      </c>
      <c r="S135" s="71" t="s">
        <v>103</v>
      </c>
      <c r="T135" s="28"/>
      <c r="U135" s="28" t="s">
        <v>31</v>
      </c>
    </row>
    <row r="136" spans="1:21" s="27" customFormat="1" x14ac:dyDescent="0.25">
      <c r="A136" s="28" t="s">
        <v>21</v>
      </c>
      <c r="B136" s="28" t="s">
        <v>1609</v>
      </c>
      <c r="C136" s="28" t="s">
        <v>21</v>
      </c>
      <c r="D136" s="31">
        <v>1</v>
      </c>
      <c r="E136" s="71">
        <v>60</v>
      </c>
      <c r="F136" s="31">
        <v>185</v>
      </c>
      <c r="G136" s="32"/>
      <c r="H136" s="32">
        <v>1.863</v>
      </c>
      <c r="I136" s="32">
        <v>1.8560000000000001</v>
      </c>
      <c r="J136" s="33">
        <f t="shared" si="32"/>
        <v>6.9999999999998952E-3</v>
      </c>
      <c r="K136" s="34" t="str">
        <f t="shared" si="30"/>
        <v/>
      </c>
      <c r="L136" s="35">
        <f t="shared" si="33"/>
        <v>7.4</v>
      </c>
      <c r="M136" s="36" t="str">
        <f t="shared" si="34"/>
        <v/>
      </c>
      <c r="N136" s="37" t="s">
        <v>16</v>
      </c>
      <c r="O136" s="29">
        <v>1</v>
      </c>
      <c r="P136" s="38">
        <v>25</v>
      </c>
      <c r="Q136" s="28"/>
      <c r="R136" s="28" t="s">
        <v>1634</v>
      </c>
      <c r="S136" s="71" t="s">
        <v>59</v>
      </c>
      <c r="T136" s="28"/>
      <c r="U136" s="28" t="s">
        <v>31</v>
      </c>
    </row>
    <row r="137" spans="1:21" s="27" customFormat="1" x14ac:dyDescent="0.25">
      <c r="A137" s="28" t="s">
        <v>21</v>
      </c>
      <c r="B137" s="28" t="s">
        <v>1610</v>
      </c>
      <c r="C137" s="28" t="s">
        <v>21</v>
      </c>
      <c r="D137" s="31">
        <v>1</v>
      </c>
      <c r="E137" s="71">
        <v>49</v>
      </c>
      <c r="F137" s="31">
        <v>186</v>
      </c>
      <c r="G137" s="32"/>
      <c r="H137" s="32">
        <v>1.8520000000000001</v>
      </c>
      <c r="I137" s="32">
        <v>1.8440000000000001</v>
      </c>
      <c r="J137" s="33">
        <f t="shared" si="32"/>
        <v>8.0000000000000071E-3</v>
      </c>
      <c r="K137" s="34" t="str">
        <f t="shared" si="30"/>
        <v/>
      </c>
      <c r="L137" s="35">
        <f t="shared" si="33"/>
        <v>7.44</v>
      </c>
      <c r="M137" s="36" t="str">
        <f t="shared" si="34"/>
        <v/>
      </c>
      <c r="N137" s="37" t="s">
        <v>16</v>
      </c>
      <c r="O137" s="29">
        <v>1</v>
      </c>
      <c r="P137" s="38">
        <v>25</v>
      </c>
      <c r="Q137" s="28"/>
      <c r="R137" s="28" t="s">
        <v>1636</v>
      </c>
      <c r="S137" s="28" t="s">
        <v>21</v>
      </c>
      <c r="T137" s="28"/>
      <c r="U137" s="28" t="s">
        <v>31</v>
      </c>
    </row>
    <row r="138" spans="1:21" s="27" customFormat="1" x14ac:dyDescent="0.25">
      <c r="A138" s="28" t="s">
        <v>21</v>
      </c>
      <c r="B138" s="28" t="s">
        <v>1611</v>
      </c>
      <c r="C138" s="28" t="s">
        <v>21</v>
      </c>
      <c r="D138" s="31">
        <v>1</v>
      </c>
      <c r="E138" s="71">
        <v>45</v>
      </c>
      <c r="F138" s="31">
        <v>185</v>
      </c>
      <c r="G138" s="32"/>
      <c r="H138" s="32">
        <v>1.8520000000000001</v>
      </c>
      <c r="I138" s="32">
        <v>1.843</v>
      </c>
      <c r="J138" s="33">
        <f t="shared" si="32"/>
        <v>9.000000000000119E-3</v>
      </c>
      <c r="K138" s="34" t="str">
        <f t="shared" si="30"/>
        <v/>
      </c>
      <c r="L138" s="35">
        <f t="shared" si="33"/>
        <v>7.4</v>
      </c>
      <c r="M138" s="36" t="str">
        <f t="shared" si="34"/>
        <v/>
      </c>
      <c r="N138" s="37" t="s">
        <v>16</v>
      </c>
      <c r="O138" s="29">
        <v>1</v>
      </c>
      <c r="P138" s="38">
        <v>25</v>
      </c>
      <c r="Q138" s="28"/>
      <c r="R138" s="28" t="s">
        <v>1635</v>
      </c>
      <c r="S138" s="28" t="s">
        <v>21</v>
      </c>
      <c r="T138" s="28"/>
      <c r="U138" s="28" t="s">
        <v>31</v>
      </c>
    </row>
    <row r="139" spans="1:21" s="27" customFormat="1" x14ac:dyDescent="0.25">
      <c r="A139" s="28" t="s">
        <v>21</v>
      </c>
      <c r="B139" s="28" t="s">
        <v>1612</v>
      </c>
      <c r="C139" s="28" t="s">
        <v>21</v>
      </c>
      <c r="D139" s="31">
        <v>1</v>
      </c>
      <c r="E139" s="71">
        <v>51</v>
      </c>
      <c r="F139" s="31">
        <v>186</v>
      </c>
      <c r="G139" s="32"/>
      <c r="H139" s="32">
        <v>1.849</v>
      </c>
      <c r="I139" s="32">
        <v>1.841</v>
      </c>
      <c r="J139" s="33">
        <f t="shared" si="32"/>
        <v>8.0000000000000071E-3</v>
      </c>
      <c r="K139" s="34" t="str">
        <f t="shared" si="30"/>
        <v/>
      </c>
      <c r="L139" s="35">
        <f t="shared" si="33"/>
        <v>7.44</v>
      </c>
      <c r="M139" s="36" t="str">
        <f t="shared" si="34"/>
        <v/>
      </c>
      <c r="N139" s="37" t="s">
        <v>16</v>
      </c>
      <c r="O139" s="29">
        <v>1</v>
      </c>
      <c r="P139" s="38">
        <v>25</v>
      </c>
      <c r="Q139" s="28"/>
      <c r="R139" s="28" t="s">
        <v>1633</v>
      </c>
      <c r="S139" s="28" t="s">
        <v>21</v>
      </c>
      <c r="T139" s="28"/>
      <c r="U139" s="28" t="s">
        <v>31</v>
      </c>
    </row>
    <row r="140" spans="1:21" s="27" customFormat="1" x14ac:dyDescent="0.25">
      <c r="A140" s="28" t="s">
        <v>21</v>
      </c>
      <c r="B140" s="28" t="s">
        <v>1613</v>
      </c>
      <c r="C140" s="28" t="s">
        <v>21</v>
      </c>
      <c r="D140" s="31">
        <v>1</v>
      </c>
      <c r="E140" s="71">
        <v>54</v>
      </c>
      <c r="F140" s="31">
        <v>185</v>
      </c>
      <c r="G140" s="32"/>
      <c r="H140" s="32">
        <v>1.853</v>
      </c>
      <c r="I140" s="32">
        <v>1.845</v>
      </c>
      <c r="J140" s="33">
        <f t="shared" si="32"/>
        <v>8.0000000000000071E-3</v>
      </c>
      <c r="K140" s="34" t="str">
        <f t="shared" si="30"/>
        <v/>
      </c>
      <c r="L140" s="35">
        <f t="shared" si="33"/>
        <v>7.4</v>
      </c>
      <c r="M140" s="36" t="str">
        <f t="shared" si="34"/>
        <v/>
      </c>
      <c r="N140" s="37" t="s">
        <v>16</v>
      </c>
      <c r="O140" s="29">
        <v>1</v>
      </c>
      <c r="P140" s="38">
        <v>25</v>
      </c>
      <c r="Q140" s="28"/>
      <c r="R140" s="28" t="s">
        <v>1638</v>
      </c>
      <c r="S140" s="28" t="s">
        <v>21</v>
      </c>
      <c r="T140" s="28"/>
      <c r="U140" s="28" t="s">
        <v>31</v>
      </c>
    </row>
    <row r="141" spans="1:21" s="27" customFormat="1" x14ac:dyDescent="0.25">
      <c r="A141" s="28" t="s">
        <v>21</v>
      </c>
      <c r="B141" s="28" t="s">
        <v>1614</v>
      </c>
      <c r="C141" s="28" t="s">
        <v>21</v>
      </c>
      <c r="D141" s="31">
        <v>1</v>
      </c>
      <c r="E141" s="71">
        <v>54</v>
      </c>
      <c r="F141" s="31">
        <v>185</v>
      </c>
      <c r="G141" s="32"/>
      <c r="H141" s="32">
        <v>1.849</v>
      </c>
      <c r="I141" s="32">
        <v>1.841</v>
      </c>
      <c r="J141" s="33">
        <f t="shared" si="32"/>
        <v>8.0000000000000071E-3</v>
      </c>
      <c r="K141" s="34" t="str">
        <f t="shared" si="30"/>
        <v/>
      </c>
      <c r="L141" s="35">
        <f t="shared" si="33"/>
        <v>7.4</v>
      </c>
      <c r="M141" s="36" t="str">
        <f t="shared" si="34"/>
        <v/>
      </c>
      <c r="N141" s="37" t="s">
        <v>16</v>
      </c>
      <c r="O141" s="29">
        <v>1</v>
      </c>
      <c r="P141" s="38">
        <v>25</v>
      </c>
      <c r="Q141" s="28"/>
      <c r="R141" s="28" t="s">
        <v>1639</v>
      </c>
      <c r="S141" s="28" t="s">
        <v>21</v>
      </c>
      <c r="T141" s="28"/>
      <c r="U141" s="28" t="s">
        <v>31</v>
      </c>
    </row>
    <row r="142" spans="1:21" s="27" customFormat="1" x14ac:dyDescent="0.25">
      <c r="A142" s="28" t="s">
        <v>21</v>
      </c>
      <c r="B142" s="28" t="s">
        <v>1615</v>
      </c>
      <c r="C142" s="28" t="s">
        <v>21</v>
      </c>
      <c r="D142" s="31">
        <v>1</v>
      </c>
      <c r="E142" s="71">
        <v>54</v>
      </c>
      <c r="F142" s="31">
        <v>184</v>
      </c>
      <c r="G142" s="32"/>
      <c r="H142" s="32">
        <v>1.8460000000000001</v>
      </c>
      <c r="I142" s="32">
        <v>1.8380000000000001</v>
      </c>
      <c r="J142" s="33">
        <f t="shared" si="32"/>
        <v>8.0000000000000071E-3</v>
      </c>
      <c r="K142" s="34" t="str">
        <f t="shared" si="30"/>
        <v/>
      </c>
      <c r="L142" s="35">
        <f t="shared" si="33"/>
        <v>7.36</v>
      </c>
      <c r="M142" s="36" t="str">
        <f t="shared" si="34"/>
        <v/>
      </c>
      <c r="N142" s="37" t="s">
        <v>16</v>
      </c>
      <c r="O142" s="29">
        <v>1</v>
      </c>
      <c r="P142" s="38">
        <v>25</v>
      </c>
      <c r="Q142" s="28"/>
      <c r="R142" s="28" t="s">
        <v>1640</v>
      </c>
      <c r="S142" s="28" t="s">
        <v>21</v>
      </c>
      <c r="T142" s="28"/>
      <c r="U142" s="28" t="s">
        <v>31</v>
      </c>
    </row>
    <row r="143" spans="1:21" s="27" customFormat="1" x14ac:dyDescent="0.25">
      <c r="A143" s="28" t="s">
        <v>21</v>
      </c>
      <c r="B143" s="28" t="s">
        <v>1616</v>
      </c>
      <c r="C143" s="28" t="s">
        <v>21</v>
      </c>
      <c r="D143" s="31">
        <v>1</v>
      </c>
      <c r="E143" s="71">
        <v>55</v>
      </c>
      <c r="F143" s="31">
        <v>185</v>
      </c>
      <c r="G143" s="32"/>
      <c r="H143" s="32">
        <v>1.837</v>
      </c>
      <c r="I143" s="32">
        <v>1.8280000000000001</v>
      </c>
      <c r="J143" s="33">
        <f t="shared" si="32"/>
        <v>8.999999999999897E-3</v>
      </c>
      <c r="K143" s="34" t="str">
        <f t="shared" si="30"/>
        <v/>
      </c>
      <c r="L143" s="35">
        <f t="shared" si="33"/>
        <v>7.4</v>
      </c>
      <c r="M143" s="36" t="str">
        <f t="shared" si="34"/>
        <v/>
      </c>
      <c r="N143" s="37" t="s">
        <v>16</v>
      </c>
      <c r="O143" s="29">
        <v>1</v>
      </c>
      <c r="P143" s="38">
        <v>25</v>
      </c>
      <c r="Q143" s="28"/>
      <c r="R143" s="28" t="s">
        <v>1637</v>
      </c>
      <c r="S143" s="28" t="s">
        <v>21</v>
      </c>
      <c r="T143" s="28"/>
      <c r="U143" s="28" t="s">
        <v>31</v>
      </c>
    </row>
    <row r="144" spans="1:21" s="27" customFormat="1" x14ac:dyDescent="0.25">
      <c r="A144" s="28" t="s">
        <v>21</v>
      </c>
      <c r="B144" s="28" t="s">
        <v>1617</v>
      </c>
      <c r="C144" s="28" t="s">
        <v>21</v>
      </c>
      <c r="D144" s="31">
        <v>1</v>
      </c>
      <c r="E144" s="71">
        <v>59</v>
      </c>
      <c r="F144" s="31">
        <v>185</v>
      </c>
      <c r="G144" s="32"/>
      <c r="H144" s="32">
        <v>1.837</v>
      </c>
      <c r="I144" s="32">
        <v>1.829</v>
      </c>
      <c r="J144" s="33">
        <f t="shared" si="32"/>
        <v>8.0000000000000071E-3</v>
      </c>
      <c r="K144" s="34" t="str">
        <f t="shared" si="30"/>
        <v/>
      </c>
      <c r="L144" s="35">
        <f t="shared" si="33"/>
        <v>7.4</v>
      </c>
      <c r="M144" s="36" t="str">
        <f t="shared" si="34"/>
        <v/>
      </c>
      <c r="N144" s="37" t="s">
        <v>16</v>
      </c>
      <c r="O144" s="29">
        <v>1</v>
      </c>
      <c r="P144" s="38">
        <v>25</v>
      </c>
      <c r="Q144" s="28"/>
      <c r="R144" s="28" t="s">
        <v>1641</v>
      </c>
      <c r="S144" s="28" t="s">
        <v>21</v>
      </c>
      <c r="T144" s="28"/>
      <c r="U144" s="28" t="s">
        <v>31</v>
      </c>
    </row>
    <row r="145" spans="1:21" s="27" customFormat="1" x14ac:dyDescent="0.25">
      <c r="A145" s="28" t="s">
        <v>1642</v>
      </c>
      <c r="B145" s="28" t="s">
        <v>1643</v>
      </c>
      <c r="C145" s="28">
        <v>776984</v>
      </c>
      <c r="D145" s="31">
        <v>1</v>
      </c>
      <c r="E145" s="71">
        <v>24</v>
      </c>
      <c r="F145" s="45">
        <v>301</v>
      </c>
      <c r="G145" s="32"/>
      <c r="H145" s="32">
        <v>1.8779999999999999</v>
      </c>
      <c r="I145" s="32">
        <v>1.869</v>
      </c>
      <c r="J145" s="33">
        <f t="shared" ref="J145:J150" si="35">IF(O145&lt;&gt;"",(H145-I145)/O145,"")</f>
        <v>8.999999999999897E-3</v>
      </c>
      <c r="K145" s="34" t="str">
        <f t="shared" si="30"/>
        <v/>
      </c>
      <c r="L145" s="35">
        <f t="shared" ref="L145:L150" si="36">F145/(O145*P145)</f>
        <v>7.5250000000000004</v>
      </c>
      <c r="M145" s="36" t="str">
        <f t="shared" ref="M145:M150" si="37">IF(L145=0,"",IF(OR(L145&lt;7,L145&gt;7.8),"X",""))</f>
        <v/>
      </c>
      <c r="N145" s="37" t="s">
        <v>27</v>
      </c>
      <c r="O145" s="29">
        <v>1</v>
      </c>
      <c r="P145" s="38">
        <v>40</v>
      </c>
      <c r="Q145" s="28"/>
      <c r="R145" s="28" t="s">
        <v>1648</v>
      </c>
      <c r="S145" s="71" t="s">
        <v>58</v>
      </c>
      <c r="T145" s="28"/>
      <c r="U145" s="28" t="s">
        <v>31</v>
      </c>
    </row>
    <row r="146" spans="1:21" s="27" customFormat="1" x14ac:dyDescent="0.25">
      <c r="A146" s="28" t="s">
        <v>21</v>
      </c>
      <c r="B146" s="28" t="s">
        <v>1644</v>
      </c>
      <c r="C146" s="28" t="s">
        <v>21</v>
      </c>
      <c r="D146" s="31">
        <v>1</v>
      </c>
      <c r="E146" s="71">
        <v>20</v>
      </c>
      <c r="F146" s="45">
        <v>301</v>
      </c>
      <c r="G146" s="32"/>
      <c r="H146" s="32">
        <v>1.8680000000000001</v>
      </c>
      <c r="I146" s="32">
        <v>1.8580000000000001</v>
      </c>
      <c r="J146" s="33">
        <f t="shared" si="35"/>
        <v>1.0000000000000009E-2</v>
      </c>
      <c r="K146" s="34" t="str">
        <f t="shared" si="30"/>
        <v/>
      </c>
      <c r="L146" s="35">
        <f t="shared" si="36"/>
        <v>7.5250000000000004</v>
      </c>
      <c r="M146" s="36" t="str">
        <f t="shared" si="37"/>
        <v/>
      </c>
      <c r="N146" s="37" t="s">
        <v>27</v>
      </c>
      <c r="O146" s="29">
        <v>1</v>
      </c>
      <c r="P146" s="38">
        <v>40</v>
      </c>
      <c r="Q146" s="28"/>
      <c r="R146" s="28" t="s">
        <v>1649</v>
      </c>
      <c r="S146" s="71" t="s">
        <v>59</v>
      </c>
      <c r="T146" s="28"/>
      <c r="U146" s="28" t="s">
        <v>31</v>
      </c>
    </row>
    <row r="147" spans="1:21" s="27" customFormat="1" x14ac:dyDescent="0.25">
      <c r="A147" s="28" t="s">
        <v>21</v>
      </c>
      <c r="B147" s="28" t="s">
        <v>1645</v>
      </c>
      <c r="C147" s="28" t="s">
        <v>21</v>
      </c>
      <c r="D147" s="31">
        <v>1</v>
      </c>
      <c r="E147" s="71">
        <v>17</v>
      </c>
      <c r="F147" s="45">
        <v>301</v>
      </c>
      <c r="G147" s="32"/>
      <c r="H147" s="32">
        <v>1.871</v>
      </c>
      <c r="I147" s="32">
        <v>1.86</v>
      </c>
      <c r="J147" s="33">
        <f t="shared" si="35"/>
        <v>1.0999999999999899E-2</v>
      </c>
      <c r="K147" s="34" t="str">
        <f t="shared" si="30"/>
        <v/>
      </c>
      <c r="L147" s="35">
        <f t="shared" si="36"/>
        <v>7.5250000000000004</v>
      </c>
      <c r="M147" s="36" t="str">
        <f t="shared" si="37"/>
        <v/>
      </c>
      <c r="N147" s="37" t="s">
        <v>27</v>
      </c>
      <c r="O147" s="29">
        <v>1</v>
      </c>
      <c r="P147" s="38">
        <v>40</v>
      </c>
      <c r="Q147" s="28"/>
      <c r="R147" s="28" t="s">
        <v>1650</v>
      </c>
      <c r="S147" s="28" t="s">
        <v>21</v>
      </c>
      <c r="T147" s="28"/>
      <c r="U147" s="28" t="s">
        <v>31</v>
      </c>
    </row>
    <row r="148" spans="1:21" s="27" customFormat="1" x14ac:dyDescent="0.25">
      <c r="A148" s="28" t="s">
        <v>21</v>
      </c>
      <c r="B148" s="28" t="s">
        <v>1646</v>
      </c>
      <c r="C148" s="28" t="s">
        <v>21</v>
      </c>
      <c r="D148" s="31">
        <v>1</v>
      </c>
      <c r="E148" s="71">
        <v>39</v>
      </c>
      <c r="F148" s="45">
        <v>300</v>
      </c>
      <c r="G148" s="32"/>
      <c r="H148" s="32">
        <v>1.873</v>
      </c>
      <c r="I148" s="32">
        <v>1.8640000000000001</v>
      </c>
      <c r="J148" s="33">
        <f t="shared" si="35"/>
        <v>8.999999999999897E-3</v>
      </c>
      <c r="K148" s="34" t="str">
        <f t="shared" si="30"/>
        <v/>
      </c>
      <c r="L148" s="35">
        <f t="shared" si="36"/>
        <v>7.5</v>
      </c>
      <c r="M148" s="36" t="str">
        <f t="shared" si="37"/>
        <v/>
      </c>
      <c r="N148" s="37" t="s">
        <v>27</v>
      </c>
      <c r="O148" s="29">
        <v>1</v>
      </c>
      <c r="P148" s="38">
        <v>40</v>
      </c>
      <c r="Q148" s="28"/>
      <c r="R148" s="28" t="s">
        <v>1651</v>
      </c>
      <c r="S148" s="28" t="s">
        <v>21</v>
      </c>
      <c r="T148" s="28"/>
      <c r="U148" s="28" t="s">
        <v>31</v>
      </c>
    </row>
    <row r="149" spans="1:21" s="27" customFormat="1" x14ac:dyDescent="0.25">
      <c r="A149" s="28" t="s">
        <v>21</v>
      </c>
      <c r="B149" s="28" t="s">
        <v>1647</v>
      </c>
      <c r="C149" s="28" t="s">
        <v>21</v>
      </c>
      <c r="D149" s="31">
        <v>1</v>
      </c>
      <c r="E149" s="71">
        <v>44</v>
      </c>
      <c r="F149" s="45">
        <v>297</v>
      </c>
      <c r="G149" s="32"/>
      <c r="H149" s="32">
        <v>1.861</v>
      </c>
      <c r="I149" s="32">
        <v>1.8520000000000001</v>
      </c>
      <c r="J149" s="33">
        <f t="shared" si="35"/>
        <v>8.999999999999897E-3</v>
      </c>
      <c r="K149" s="34" t="str">
        <f t="shared" si="30"/>
        <v/>
      </c>
      <c r="L149" s="35">
        <f t="shared" si="36"/>
        <v>7.4249999999999998</v>
      </c>
      <c r="M149" s="36" t="str">
        <f t="shared" si="37"/>
        <v/>
      </c>
      <c r="N149" s="37" t="s">
        <v>27</v>
      </c>
      <c r="O149" s="29">
        <v>1</v>
      </c>
      <c r="P149" s="38">
        <v>40</v>
      </c>
      <c r="Q149" s="28"/>
      <c r="R149" s="28" t="s">
        <v>1652</v>
      </c>
      <c r="S149" s="28" t="s">
        <v>21</v>
      </c>
      <c r="T149" s="28"/>
      <c r="U149" s="28" t="s">
        <v>31</v>
      </c>
    </row>
    <row r="150" spans="1:21" s="27" customFormat="1" x14ac:dyDescent="0.25">
      <c r="A150" s="28" t="s">
        <v>1653</v>
      </c>
      <c r="B150" s="28" t="s">
        <v>1654</v>
      </c>
      <c r="C150" s="28">
        <v>776984</v>
      </c>
      <c r="D150" s="31">
        <v>1</v>
      </c>
      <c r="E150" s="71">
        <v>51</v>
      </c>
      <c r="F150" s="45">
        <v>1205</v>
      </c>
      <c r="G150" s="32">
        <v>1.8360000000000001</v>
      </c>
      <c r="H150" s="32">
        <v>7.34</v>
      </c>
      <c r="I150" s="32">
        <v>7.31</v>
      </c>
      <c r="J150" s="33">
        <f t="shared" si="35"/>
        <v>7.5000000000000622E-3</v>
      </c>
      <c r="K150" s="34" t="str">
        <f t="shared" si="30"/>
        <v/>
      </c>
      <c r="L150" s="35">
        <f t="shared" si="36"/>
        <v>7.53125</v>
      </c>
      <c r="M150" s="36" t="str">
        <f t="shared" si="37"/>
        <v/>
      </c>
      <c r="N150" s="37" t="s">
        <v>24</v>
      </c>
      <c r="O150" s="29">
        <v>4</v>
      </c>
      <c r="P150" s="38">
        <v>40</v>
      </c>
      <c r="Q150" s="28"/>
      <c r="R150" s="28" t="s">
        <v>1658</v>
      </c>
      <c r="S150" s="71" t="s">
        <v>58</v>
      </c>
      <c r="T150" s="28"/>
      <c r="U150" s="28" t="s">
        <v>31</v>
      </c>
    </row>
    <row r="151" spans="1:21" s="27" customFormat="1" x14ac:dyDescent="0.25">
      <c r="A151" s="28" t="s">
        <v>21</v>
      </c>
      <c r="B151" s="28" t="s">
        <v>21</v>
      </c>
      <c r="C151" s="28" t="s">
        <v>21</v>
      </c>
      <c r="D151" s="31">
        <v>1</v>
      </c>
      <c r="E151" s="71"/>
      <c r="F151" s="31"/>
      <c r="G151" s="32">
        <v>1.835</v>
      </c>
      <c r="H151" s="32"/>
      <c r="I151" s="32"/>
      <c r="J151" s="33" t="str">
        <f t="shared" ref="J151:J161" si="38">IF(O151&lt;&gt;"",(H151-I151)/O151,"")</f>
        <v/>
      </c>
      <c r="K151" s="34"/>
      <c r="L151" s="35"/>
      <c r="M151" s="36" t="str">
        <f t="shared" ref="M151:M161" si="39">IF(L151=0,"",IF(OR(L151&lt;7.4,L151&gt;8),"X",""))</f>
        <v/>
      </c>
      <c r="N151" s="37"/>
      <c r="O151" s="29"/>
      <c r="P151" s="38"/>
      <c r="Q151" s="28"/>
      <c r="R151" s="28" t="s">
        <v>1659</v>
      </c>
      <c r="S151" s="71" t="s">
        <v>59</v>
      </c>
      <c r="T151" s="28"/>
      <c r="U151" s="28" t="s">
        <v>31</v>
      </c>
    </row>
    <row r="152" spans="1:21" s="27" customFormat="1" x14ac:dyDescent="0.25">
      <c r="A152" s="28" t="s">
        <v>21</v>
      </c>
      <c r="B152" s="28" t="s">
        <v>21</v>
      </c>
      <c r="C152" s="28" t="s">
        <v>21</v>
      </c>
      <c r="D152" s="31">
        <v>1</v>
      </c>
      <c r="E152" s="71"/>
      <c r="F152" s="31"/>
      <c r="G152" s="32">
        <v>1.837</v>
      </c>
      <c r="H152" s="32"/>
      <c r="I152" s="32"/>
      <c r="J152" s="33" t="str">
        <f t="shared" si="38"/>
        <v/>
      </c>
      <c r="K152" s="34"/>
      <c r="L152" s="35"/>
      <c r="M152" s="36" t="str">
        <f t="shared" si="39"/>
        <v/>
      </c>
      <c r="N152" s="37"/>
      <c r="O152" s="29"/>
      <c r="P152" s="38"/>
      <c r="Q152" s="28"/>
      <c r="R152" s="28" t="s">
        <v>1661</v>
      </c>
      <c r="S152" s="28" t="s">
        <v>21</v>
      </c>
      <c r="T152" s="28"/>
      <c r="U152" s="28" t="s">
        <v>31</v>
      </c>
    </row>
    <row r="153" spans="1:21" s="27" customFormat="1" x14ac:dyDescent="0.25">
      <c r="A153" s="28" t="s">
        <v>21</v>
      </c>
      <c r="B153" s="28" t="s">
        <v>21</v>
      </c>
      <c r="C153" s="28" t="s">
        <v>21</v>
      </c>
      <c r="D153" s="31">
        <v>1</v>
      </c>
      <c r="E153" s="71"/>
      <c r="F153" s="31"/>
      <c r="G153" s="32">
        <v>1.835</v>
      </c>
      <c r="H153" s="32"/>
      <c r="I153" s="32"/>
      <c r="J153" s="33" t="str">
        <f t="shared" si="38"/>
        <v/>
      </c>
      <c r="K153" s="34"/>
      <c r="L153" s="35"/>
      <c r="M153" s="36" t="str">
        <f t="shared" si="39"/>
        <v/>
      </c>
      <c r="N153" s="37"/>
      <c r="O153" s="29"/>
      <c r="P153" s="38"/>
      <c r="Q153" s="28"/>
      <c r="R153" s="28" t="s">
        <v>1660</v>
      </c>
      <c r="S153" s="28" t="s">
        <v>21</v>
      </c>
      <c r="T153" s="28"/>
      <c r="U153" s="28" t="s">
        <v>31</v>
      </c>
    </row>
    <row r="154" spans="1:21" s="27" customFormat="1" x14ac:dyDescent="0.25">
      <c r="A154" s="28" t="s">
        <v>21</v>
      </c>
      <c r="B154" s="28" t="s">
        <v>1655</v>
      </c>
      <c r="C154" s="28" t="s">
        <v>21</v>
      </c>
      <c r="D154" s="31">
        <v>1</v>
      </c>
      <c r="E154" s="71">
        <v>58</v>
      </c>
      <c r="F154" s="45">
        <v>1202</v>
      </c>
      <c r="G154" s="32">
        <v>1.837</v>
      </c>
      <c r="H154" s="32">
        <v>7.36</v>
      </c>
      <c r="I154" s="32">
        <v>7.33</v>
      </c>
      <c r="J154" s="33">
        <f>IF(O154&lt;&gt;"",(H154-I154)/O154,"")</f>
        <v>7.5000000000000622E-3</v>
      </c>
      <c r="K154" s="34" t="str">
        <f t="shared" si="30"/>
        <v/>
      </c>
      <c r="L154" s="35">
        <f>F154/(O154*P154)</f>
        <v>7.5125000000000002</v>
      </c>
      <c r="M154" s="36" t="str">
        <f>IF(L154=0,"",IF(OR(L154&lt;7,L154&gt;7.8),"X",""))</f>
        <v/>
      </c>
      <c r="N154" s="37" t="s">
        <v>24</v>
      </c>
      <c r="O154" s="29">
        <v>4</v>
      </c>
      <c r="P154" s="38">
        <v>40</v>
      </c>
      <c r="Q154" s="28"/>
      <c r="R154" s="28" t="s">
        <v>1657</v>
      </c>
      <c r="S154" s="28" t="s">
        <v>21</v>
      </c>
      <c r="T154" s="28"/>
      <c r="U154" s="28" t="s">
        <v>31</v>
      </c>
    </row>
    <row r="155" spans="1:21" s="27" customFormat="1" x14ac:dyDescent="0.25">
      <c r="A155" s="28" t="s">
        <v>21</v>
      </c>
      <c r="B155" s="28" t="s">
        <v>21</v>
      </c>
      <c r="C155" s="28">
        <v>776984</v>
      </c>
      <c r="D155" s="31">
        <v>1</v>
      </c>
      <c r="E155" s="71"/>
      <c r="F155" s="31"/>
      <c r="G155" s="32">
        <v>1.841</v>
      </c>
      <c r="H155" s="32"/>
      <c r="I155" s="32"/>
      <c r="J155" s="33" t="str">
        <f t="shared" si="38"/>
        <v/>
      </c>
      <c r="K155" s="34"/>
      <c r="L155" s="35"/>
      <c r="M155" s="36" t="str">
        <f t="shared" si="39"/>
        <v/>
      </c>
      <c r="N155" s="37"/>
      <c r="O155" s="29"/>
      <c r="P155" s="38"/>
      <c r="Q155" s="28"/>
      <c r="R155" s="28" t="s">
        <v>1662</v>
      </c>
      <c r="S155" s="28" t="s">
        <v>21</v>
      </c>
      <c r="T155" s="28"/>
      <c r="U155" s="28" t="s">
        <v>31</v>
      </c>
    </row>
    <row r="156" spans="1:21" s="27" customFormat="1" x14ac:dyDescent="0.25">
      <c r="A156" s="28" t="s">
        <v>21</v>
      </c>
      <c r="B156" s="28" t="s">
        <v>21</v>
      </c>
      <c r="C156" s="28" t="s">
        <v>21</v>
      </c>
      <c r="D156" s="31">
        <v>1</v>
      </c>
      <c r="E156" s="71"/>
      <c r="F156" s="31"/>
      <c r="G156" s="32">
        <v>1.8380000000000001</v>
      </c>
      <c r="H156" s="32"/>
      <c r="I156" s="32"/>
      <c r="J156" s="33" t="str">
        <f t="shared" si="38"/>
        <v/>
      </c>
      <c r="K156" s="34"/>
      <c r="L156" s="35"/>
      <c r="M156" s="36" t="str">
        <f t="shared" si="39"/>
        <v/>
      </c>
      <c r="N156" s="37"/>
      <c r="O156" s="29"/>
      <c r="P156" s="38"/>
      <c r="Q156" s="28"/>
      <c r="R156" s="28" t="s">
        <v>1663</v>
      </c>
      <c r="S156" s="28" t="s">
        <v>21</v>
      </c>
      <c r="T156" s="28"/>
      <c r="U156" s="28" t="s">
        <v>31</v>
      </c>
    </row>
    <row r="157" spans="1:21" s="27" customFormat="1" x14ac:dyDescent="0.25">
      <c r="A157" s="28" t="s">
        <v>21</v>
      </c>
      <c r="B157" s="28" t="s">
        <v>21</v>
      </c>
      <c r="C157" s="28" t="s">
        <v>21</v>
      </c>
      <c r="D157" s="31">
        <v>1</v>
      </c>
      <c r="E157" s="71"/>
      <c r="F157" s="31"/>
      <c r="G157" s="32">
        <v>1.841</v>
      </c>
      <c r="H157" s="32"/>
      <c r="I157" s="32"/>
      <c r="J157" s="33" t="str">
        <f t="shared" si="38"/>
        <v/>
      </c>
      <c r="K157" s="34"/>
      <c r="L157" s="35"/>
      <c r="M157" s="36" t="str">
        <f t="shared" si="39"/>
        <v/>
      </c>
      <c r="N157" s="37"/>
      <c r="O157" s="29"/>
      <c r="P157" s="38"/>
      <c r="Q157" s="28"/>
      <c r="R157" s="28" t="s">
        <v>1664</v>
      </c>
      <c r="S157" s="28" t="s">
        <v>21</v>
      </c>
      <c r="T157" s="28"/>
      <c r="U157" s="28" t="s">
        <v>31</v>
      </c>
    </row>
    <row r="158" spans="1:21" s="27" customFormat="1" x14ac:dyDescent="0.25">
      <c r="A158" s="28" t="s">
        <v>21</v>
      </c>
      <c r="B158" s="28" t="s">
        <v>1656</v>
      </c>
      <c r="C158" s="28" t="s">
        <v>21</v>
      </c>
      <c r="D158" s="31">
        <v>1</v>
      </c>
      <c r="E158" s="71">
        <v>64</v>
      </c>
      <c r="F158" s="45">
        <v>1202</v>
      </c>
      <c r="G158" s="32">
        <v>1.8440000000000001</v>
      </c>
      <c r="H158" s="32">
        <v>7.37</v>
      </c>
      <c r="I158" s="32">
        <v>7.34</v>
      </c>
      <c r="J158" s="33">
        <f>IF(O158&lt;&gt;"",(H158-I158)/O158,"")</f>
        <v>7.5000000000000622E-3</v>
      </c>
      <c r="K158" s="34" t="str">
        <f t="shared" si="30"/>
        <v/>
      </c>
      <c r="L158" s="35">
        <f>F158/(O158*P158)</f>
        <v>7.5125000000000002</v>
      </c>
      <c r="M158" s="36" t="str">
        <f>IF(L158=0,"",IF(OR(L158&lt;7,L158&gt;7.8),"X",""))</f>
        <v/>
      </c>
      <c r="N158" s="37" t="s">
        <v>24</v>
      </c>
      <c r="O158" s="29">
        <v>4</v>
      </c>
      <c r="P158" s="38">
        <v>40</v>
      </c>
      <c r="Q158" s="28"/>
      <c r="R158" s="28" t="s">
        <v>1665</v>
      </c>
      <c r="S158" s="28" t="s">
        <v>21</v>
      </c>
      <c r="T158" s="28"/>
      <c r="U158" s="28" t="s">
        <v>31</v>
      </c>
    </row>
    <row r="159" spans="1:21" s="27" customFormat="1" x14ac:dyDescent="0.25">
      <c r="A159" s="28" t="s">
        <v>21</v>
      </c>
      <c r="B159" s="28" t="s">
        <v>21</v>
      </c>
      <c r="C159" s="28" t="s">
        <v>21</v>
      </c>
      <c r="D159" s="31">
        <v>1</v>
      </c>
      <c r="E159" s="71"/>
      <c r="F159" s="31"/>
      <c r="G159" s="32">
        <v>1.8360000000000001</v>
      </c>
      <c r="H159" s="32"/>
      <c r="I159" s="32"/>
      <c r="J159" s="33" t="str">
        <f t="shared" si="38"/>
        <v/>
      </c>
      <c r="K159" s="34"/>
      <c r="L159" s="35"/>
      <c r="M159" s="36" t="str">
        <f t="shared" si="39"/>
        <v/>
      </c>
      <c r="N159" s="37"/>
      <c r="O159" s="29"/>
      <c r="P159" s="38"/>
      <c r="Q159" s="28"/>
      <c r="R159" s="28" t="s">
        <v>1666</v>
      </c>
      <c r="S159" s="28" t="s">
        <v>21</v>
      </c>
      <c r="T159" s="28"/>
      <c r="U159" s="28" t="s">
        <v>31</v>
      </c>
    </row>
    <row r="160" spans="1:21" s="27" customFormat="1" x14ac:dyDescent="0.25">
      <c r="A160" s="28" t="s">
        <v>21</v>
      </c>
      <c r="B160" s="28" t="s">
        <v>21</v>
      </c>
      <c r="C160" s="28" t="s">
        <v>21</v>
      </c>
      <c r="D160" s="31">
        <v>1</v>
      </c>
      <c r="E160" s="71"/>
      <c r="F160" s="31"/>
      <c r="G160" s="32">
        <v>1.847</v>
      </c>
      <c r="H160" s="32"/>
      <c r="I160" s="32"/>
      <c r="J160" s="33" t="str">
        <f t="shared" si="38"/>
        <v/>
      </c>
      <c r="K160" s="34"/>
      <c r="L160" s="35"/>
      <c r="M160" s="36" t="str">
        <f t="shared" si="39"/>
        <v/>
      </c>
      <c r="N160" s="37"/>
      <c r="O160" s="29"/>
      <c r="P160" s="38"/>
      <c r="Q160" s="28"/>
      <c r="R160" s="28" t="s">
        <v>1667</v>
      </c>
      <c r="S160" s="28" t="s">
        <v>21</v>
      </c>
      <c r="T160" s="28"/>
      <c r="U160" s="28" t="s">
        <v>31</v>
      </c>
    </row>
    <row r="161" spans="1:21" s="27" customFormat="1" x14ac:dyDescent="0.25">
      <c r="A161" s="28" t="s">
        <v>21</v>
      </c>
      <c r="B161" s="28" t="s">
        <v>21</v>
      </c>
      <c r="C161" s="28" t="s">
        <v>21</v>
      </c>
      <c r="D161" s="31">
        <v>1</v>
      </c>
      <c r="E161" s="71"/>
      <c r="F161" s="31"/>
      <c r="G161" s="32">
        <v>1.843</v>
      </c>
      <c r="H161" s="32"/>
      <c r="I161" s="32"/>
      <c r="J161" s="33" t="str">
        <f t="shared" si="38"/>
        <v/>
      </c>
      <c r="K161" s="34"/>
      <c r="L161" s="35"/>
      <c r="M161" s="36" t="str">
        <f t="shared" si="39"/>
        <v/>
      </c>
      <c r="N161" s="37"/>
      <c r="O161" s="29"/>
      <c r="P161" s="38"/>
      <c r="Q161" s="28"/>
      <c r="R161" s="28" t="s">
        <v>1668</v>
      </c>
      <c r="S161" s="28" t="s">
        <v>21</v>
      </c>
      <c r="T161" s="28"/>
      <c r="U161" s="28" t="s">
        <v>31</v>
      </c>
    </row>
    <row r="162" spans="1:21" s="27" customFormat="1" x14ac:dyDescent="0.25">
      <c r="A162" s="28" t="s">
        <v>1671</v>
      </c>
      <c r="B162" s="44" t="s">
        <v>1670</v>
      </c>
      <c r="C162" s="28">
        <v>776984</v>
      </c>
      <c r="D162" s="31">
        <v>1</v>
      </c>
      <c r="E162" s="71">
        <v>66</v>
      </c>
      <c r="F162" s="45">
        <v>297</v>
      </c>
      <c r="G162" s="32"/>
      <c r="H162" s="32">
        <v>1.8440000000000001</v>
      </c>
      <c r="I162" s="32">
        <v>1.8360000000000001</v>
      </c>
      <c r="J162" s="33">
        <f>IF(O162&lt;&gt;"",(H162-I162)/O162,"")</f>
        <v>8.0000000000000071E-3</v>
      </c>
      <c r="K162" s="34" t="str">
        <f t="shared" ref="K162" si="40">IF(J162=0,"",IF(OR(J162&lt;0,J162&gt;0.03),"X",""))</f>
        <v/>
      </c>
      <c r="L162" s="35">
        <f>F162/(O162*P162)</f>
        <v>7.4249999999999998</v>
      </c>
      <c r="M162" s="36" t="str">
        <f>IF(L162=0,"",IF(OR(L162&lt;7,L162&gt;7.8),"X",""))</f>
        <v/>
      </c>
      <c r="N162" s="37" t="s">
        <v>18</v>
      </c>
      <c r="O162" s="29">
        <v>1</v>
      </c>
      <c r="P162" s="38">
        <v>40</v>
      </c>
      <c r="Q162" s="46"/>
      <c r="R162" s="28" t="s">
        <v>1669</v>
      </c>
      <c r="S162" s="28" t="s">
        <v>21</v>
      </c>
      <c r="T162" s="46"/>
      <c r="U162" s="28" t="s">
        <v>31</v>
      </c>
    </row>
    <row r="262" spans="1:21" ht="15.75" thickBot="1" x14ac:dyDescent="0.3"/>
    <row r="263" spans="1:21" ht="16.5" thickBot="1" x14ac:dyDescent="0.3">
      <c r="A263" s="66" t="s">
        <v>28</v>
      </c>
      <c r="B263" s="67" t="s">
        <v>29</v>
      </c>
      <c r="C263" s="68" t="s">
        <v>30</v>
      </c>
    </row>
    <row r="264" spans="1:21" s="27" customFormat="1" x14ac:dyDescent="0.25">
      <c r="A264" s="28" t="s">
        <v>30</v>
      </c>
      <c r="B264" s="28" t="s">
        <v>1549</v>
      </c>
      <c r="C264" s="28"/>
      <c r="D264" s="31" t="s">
        <v>1550</v>
      </c>
      <c r="E264" s="73">
        <v>2</v>
      </c>
      <c r="F264" s="45">
        <v>1167</v>
      </c>
      <c r="G264" s="32">
        <v>2.4500000000000002</v>
      </c>
      <c r="H264" s="32">
        <v>9.8699999999999992</v>
      </c>
      <c r="I264" s="32">
        <v>9.76</v>
      </c>
      <c r="J264" s="33">
        <f>IF(O264&lt;&gt;"",(H264-I264)/O264,"")</f>
        <v>2.7499999999999858E-2</v>
      </c>
      <c r="K264" s="34" t="str">
        <f t="shared" ref="K264" si="41">IF(J264=0,"",IF(OR(J264&lt;0,J264&gt;0.03),"X",""))</f>
        <v/>
      </c>
      <c r="L264" s="35">
        <f>F264/(O264*P264)</f>
        <v>7.2937500000000002</v>
      </c>
      <c r="M264" s="36" t="str">
        <f>IF(L264=0,"",IF(OR(L264&lt;7,L264&gt;7.8),"X",""))</f>
        <v/>
      </c>
      <c r="N264" s="37" t="s">
        <v>24</v>
      </c>
      <c r="O264" s="29">
        <v>4</v>
      </c>
      <c r="P264" s="38">
        <v>40</v>
      </c>
      <c r="Q264" s="28"/>
      <c r="R264" s="28"/>
      <c r="S264" s="47"/>
      <c r="T264" s="28"/>
      <c r="U264" s="28" t="s">
        <v>31</v>
      </c>
    </row>
    <row r="265" spans="1:21" s="27" customFormat="1" x14ac:dyDescent="0.25">
      <c r="A265" s="28" t="s">
        <v>21</v>
      </c>
      <c r="B265" s="28" t="s">
        <v>21</v>
      </c>
      <c r="C265" s="28"/>
      <c r="D265" s="28" t="s">
        <v>21</v>
      </c>
      <c r="E265" s="73"/>
      <c r="F265" s="31"/>
      <c r="G265" s="32">
        <v>2.444</v>
      </c>
      <c r="H265" s="32"/>
      <c r="I265" s="32"/>
      <c r="J265" s="33" t="str">
        <f t="shared" ref="J265:J267" si="42">IF(O265&lt;&gt;"",(H265-I265)/O265,"")</f>
        <v/>
      </c>
      <c r="K265" s="34"/>
      <c r="L265" s="35"/>
      <c r="M265" s="36" t="str">
        <f t="shared" ref="M265:M267" si="43">IF(L265=0,"",IF(OR(L265&lt;7.4,L265&gt;8),"X",""))</f>
        <v/>
      </c>
      <c r="N265" s="37"/>
      <c r="O265" s="29"/>
      <c r="P265" s="38"/>
      <c r="Q265" s="28"/>
      <c r="R265" s="28"/>
      <c r="S265" s="47"/>
      <c r="T265" s="28"/>
      <c r="U265" s="28" t="s">
        <v>31</v>
      </c>
    </row>
    <row r="266" spans="1:21" s="27" customFormat="1" x14ac:dyDescent="0.25">
      <c r="A266" s="28" t="s">
        <v>21</v>
      </c>
      <c r="B266" s="28" t="s">
        <v>21</v>
      </c>
      <c r="C266" s="28"/>
      <c r="D266" s="28" t="s">
        <v>21</v>
      </c>
      <c r="E266" s="73"/>
      <c r="F266" s="31"/>
      <c r="G266" s="32">
        <v>2.4380000000000002</v>
      </c>
      <c r="H266" s="32"/>
      <c r="I266" s="32"/>
      <c r="J266" s="33" t="str">
        <f t="shared" si="42"/>
        <v/>
      </c>
      <c r="K266" s="34"/>
      <c r="L266" s="35"/>
      <c r="M266" s="36" t="str">
        <f t="shared" si="43"/>
        <v/>
      </c>
      <c r="N266" s="37"/>
      <c r="O266" s="29"/>
      <c r="P266" s="38"/>
      <c r="Q266" s="28"/>
      <c r="R266" s="28"/>
      <c r="S266" s="47"/>
      <c r="T266" s="28"/>
      <c r="U266" s="28" t="s">
        <v>31</v>
      </c>
    </row>
    <row r="267" spans="1:21" s="27" customFormat="1" x14ac:dyDescent="0.25">
      <c r="A267" s="28" t="s">
        <v>21</v>
      </c>
      <c r="B267" s="28" t="s">
        <v>21</v>
      </c>
      <c r="C267" s="28"/>
      <c r="D267" s="28" t="s">
        <v>21</v>
      </c>
      <c r="E267" s="73"/>
      <c r="F267" s="31"/>
      <c r="G267" s="32">
        <v>2.573</v>
      </c>
      <c r="H267" s="32"/>
      <c r="I267" s="32"/>
      <c r="J267" s="33" t="str">
        <f t="shared" si="42"/>
        <v/>
      </c>
      <c r="K267" s="34"/>
      <c r="L267" s="35"/>
      <c r="M267" s="36" t="str">
        <f t="shared" si="43"/>
        <v/>
      </c>
      <c r="N267" s="37"/>
      <c r="O267" s="29"/>
      <c r="P267" s="38"/>
      <c r="Q267" s="28"/>
      <c r="R267" s="28"/>
      <c r="S267" s="47"/>
      <c r="T267" s="28"/>
      <c r="U267" s="28" t="s">
        <v>31</v>
      </c>
    </row>
    <row r="268" spans="1:21" s="27" customFormat="1" x14ac:dyDescent="0.25">
      <c r="A268" s="28" t="s">
        <v>30</v>
      </c>
      <c r="B268" s="28" t="s">
        <v>1589</v>
      </c>
      <c r="C268" s="28"/>
      <c r="D268" s="29">
        <v>1</v>
      </c>
      <c r="E268" s="73">
        <v>225</v>
      </c>
      <c r="F268" s="31"/>
      <c r="G268" s="32"/>
      <c r="H268" s="32"/>
      <c r="I268" s="32"/>
      <c r="J268" s="33">
        <f>IF(O268&lt;&gt;"",(H268-I268)/O268,"")</f>
        <v>0</v>
      </c>
      <c r="K268" s="34" t="str">
        <f t="shared" ref="K268:K270" si="44">IF(J268=0,"",IF(OR(J268&lt;0,J268&gt;0.03),"X",""))</f>
        <v/>
      </c>
      <c r="L268" s="35">
        <f>F268/(O268*P268)</f>
        <v>0</v>
      </c>
      <c r="M268" s="36" t="str">
        <f>IF(L268=0,"",IF(OR(L268&lt;7,L268&gt;7.8),"X",""))</f>
        <v/>
      </c>
      <c r="N268" s="37" t="s">
        <v>16</v>
      </c>
      <c r="O268" s="29">
        <v>1</v>
      </c>
      <c r="P268" s="38">
        <v>25</v>
      </c>
      <c r="Q268" s="28"/>
      <c r="R268" s="28" t="s">
        <v>1590</v>
      </c>
      <c r="S268" s="39"/>
      <c r="T268" s="28"/>
      <c r="U268" s="28" t="s">
        <v>31</v>
      </c>
    </row>
    <row r="269" spans="1:21" s="27" customFormat="1" x14ac:dyDescent="0.25">
      <c r="A269" s="28" t="s">
        <v>30</v>
      </c>
      <c r="B269" s="28" t="s">
        <v>1591</v>
      </c>
      <c r="C269" s="28"/>
      <c r="D269" s="31" t="s">
        <v>1550</v>
      </c>
      <c r="E269" s="73">
        <v>9</v>
      </c>
      <c r="F269" s="31">
        <v>180</v>
      </c>
      <c r="G269" s="32"/>
      <c r="H269" s="32">
        <v>2.2000000000000002</v>
      </c>
      <c r="I269" s="32">
        <v>2.1760000000000002</v>
      </c>
      <c r="J269" s="33">
        <f>IF(O269&lt;&gt;"",(H269-I269)/O269,"")</f>
        <v>2.4000000000000021E-2</v>
      </c>
      <c r="K269" s="34" t="str">
        <f t="shared" si="44"/>
        <v/>
      </c>
      <c r="L269" s="35">
        <f>F269/(O269*P269)</f>
        <v>7.2</v>
      </c>
      <c r="M269" s="36" t="str">
        <f>IF(L269=0,"",IF(OR(L269&lt;7,L269&gt;7.8),"X",""))</f>
        <v/>
      </c>
      <c r="N269" s="37" t="s">
        <v>16</v>
      </c>
      <c r="O269" s="29">
        <v>1</v>
      </c>
      <c r="P269" s="38">
        <v>25</v>
      </c>
      <c r="Q269" s="28"/>
      <c r="R269" s="28"/>
      <c r="S269" s="39"/>
      <c r="T269" s="28"/>
      <c r="U269" s="28" t="s">
        <v>31</v>
      </c>
    </row>
    <row r="270" spans="1:21" s="27" customFormat="1" x14ac:dyDescent="0.25">
      <c r="A270" s="28" t="s">
        <v>1853</v>
      </c>
      <c r="B270" s="28" t="s">
        <v>172</v>
      </c>
      <c r="C270" s="28"/>
      <c r="D270" s="31">
        <v>1</v>
      </c>
      <c r="E270" s="73">
        <v>22</v>
      </c>
      <c r="F270" s="45">
        <v>892</v>
      </c>
      <c r="G270" s="32">
        <v>1.89</v>
      </c>
      <c r="H270" s="32">
        <v>5.7370000000000001</v>
      </c>
      <c r="I270" s="32">
        <v>5.72</v>
      </c>
      <c r="J270" s="33">
        <f>IF(O270&lt;&gt;"",(H270-I270)/O270,"")</f>
        <v>5.6666666666667824E-3</v>
      </c>
      <c r="K270" s="34" t="str">
        <f t="shared" si="44"/>
        <v/>
      </c>
      <c r="L270" s="35">
        <f>F270/(O270*P270)</f>
        <v>7.4333333333333336</v>
      </c>
      <c r="M270" s="36" t="str">
        <f>IF(L270=0,"",IF(OR(L270&lt;7,L270&gt;7.8),"X",""))</f>
        <v/>
      </c>
      <c r="N270" s="37" t="s">
        <v>23</v>
      </c>
      <c r="O270" s="29">
        <v>3</v>
      </c>
      <c r="P270" s="38">
        <v>40</v>
      </c>
      <c r="Q270" s="28"/>
      <c r="R270" s="28"/>
      <c r="S270" s="47"/>
      <c r="T270" s="46"/>
      <c r="U270" s="28"/>
    </row>
    <row r="271" spans="1:21" s="27" customFormat="1" x14ac:dyDescent="0.25">
      <c r="A271" s="28" t="s">
        <v>21</v>
      </c>
      <c r="B271" s="28" t="s">
        <v>21</v>
      </c>
      <c r="C271" s="28"/>
      <c r="D271" s="31"/>
      <c r="E271" s="73"/>
      <c r="F271" s="31"/>
      <c r="G271" s="32">
        <v>1.891</v>
      </c>
      <c r="H271" s="32"/>
      <c r="I271" s="32"/>
      <c r="J271" s="33" t="str">
        <f t="shared" ref="J271:J272" si="45">IF(O271&lt;&gt;"",(H271-I271)/O271,"")</f>
        <v/>
      </c>
      <c r="K271" s="34"/>
      <c r="L271" s="35"/>
      <c r="M271" s="36" t="str">
        <f t="shared" ref="M271:M272" si="46">IF(L271=0,"",IF(OR(L271&lt;7.4,L271&gt;8),"X",""))</f>
        <v/>
      </c>
      <c r="N271" s="37"/>
      <c r="O271" s="29"/>
      <c r="P271" s="38"/>
      <c r="Q271" s="28"/>
      <c r="R271" s="28"/>
      <c r="S271" s="47"/>
      <c r="T271" s="46"/>
      <c r="U271" s="28"/>
    </row>
    <row r="272" spans="1:21" s="27" customFormat="1" ht="14.25" customHeight="1" x14ac:dyDescent="0.25">
      <c r="A272" s="28" t="s">
        <v>21</v>
      </c>
      <c r="B272" s="28" t="s">
        <v>21</v>
      </c>
      <c r="C272" s="28"/>
      <c r="D272" s="31"/>
      <c r="E272" s="73"/>
      <c r="F272" s="31"/>
      <c r="G272" s="32">
        <v>1.962</v>
      </c>
      <c r="H272" s="32"/>
      <c r="I272" s="32"/>
      <c r="J272" s="33" t="str">
        <f t="shared" si="45"/>
        <v/>
      </c>
      <c r="K272" s="34"/>
      <c r="L272" s="35"/>
      <c r="M272" s="36" t="str">
        <f t="shared" si="46"/>
        <v/>
      </c>
      <c r="N272" s="37"/>
      <c r="O272" s="29"/>
      <c r="P272" s="38"/>
      <c r="Q272" s="28"/>
      <c r="R272" s="28"/>
      <c r="S272" s="47"/>
      <c r="T272" s="46"/>
      <c r="U272" s="28"/>
    </row>
  </sheetData>
  <customSheetViews>
    <customSheetView guid="{C2C34B0E-C0A2-4B0B-812E-0757ABB9DC2E}">
      <pane ySplit="1" topLeftCell="A140" activePane="bottomLeft" state="frozen"/>
      <selection pane="bottomLeft" activeCell="S145" sqref="S145:S149"/>
      <pageMargins left="0.7" right="0.7" top="0.78740157499999996" bottom="0.78740157499999996" header="0.3" footer="0.3"/>
    </customSheetView>
    <customSheetView guid="{3652BF58-5AAC-43BD-BC8A-2FFF29529405}">
      <pane ySplit="1" topLeftCell="A140" activePane="bottomLeft" state="frozen"/>
      <selection pane="bottomLeft" activeCell="S145" sqref="S145:S149"/>
      <pageMargins left="0.7" right="0.7" top="0.78740157499999996" bottom="0.78740157499999996" header="0.3" footer="0.3"/>
    </customSheetView>
    <customSheetView guid="{E2377352-22A7-452B-BFAD-18D3D497CC88}">
      <pane ySplit="1" topLeftCell="A140" activePane="bottomLeft" state="frozen"/>
      <selection pane="bottomLeft" activeCell="S145" sqref="S145:S149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31"/>
  <sheetViews>
    <sheetView workbookViewId="0">
      <pane ySplit="1" topLeftCell="A128" activePane="bottomLeft" state="frozen"/>
      <selection pane="bottomLeft" activeCell="S82" sqref="S82:S86"/>
    </sheetView>
  </sheetViews>
  <sheetFormatPr baseColWidth="10" defaultRowHeight="15" x14ac:dyDescent="0.25"/>
  <cols>
    <col min="1" max="1" width="13.7109375" customWidth="1"/>
    <col min="2" max="2" width="15" customWidth="1"/>
    <col min="3" max="3" width="11.42578125" customWidth="1"/>
    <col min="4" max="5" width="8.140625" customWidth="1"/>
    <col min="6" max="6" width="10.42578125" customWidth="1"/>
    <col min="9" max="9" width="11.85546875" customWidth="1"/>
    <col min="10" max="10" width="9" customWidth="1"/>
    <col min="11" max="11" width="2.28515625" customWidth="1"/>
    <col min="12" max="12" width="8.28515625" customWidth="1"/>
    <col min="13" max="13" width="1.85546875" customWidth="1"/>
    <col min="14" max="14" width="10.7109375" customWidth="1"/>
    <col min="15" max="15" width="6.5703125" customWidth="1"/>
    <col min="16" max="16" width="9.5703125" customWidth="1"/>
    <col min="17" max="17" width="2" customWidth="1"/>
    <col min="18" max="18" width="35.7109375" customWidth="1"/>
    <col min="19" max="19" width="40.7109375" customWidth="1"/>
    <col min="20" max="20" width="2.140625" customWidth="1"/>
    <col min="21" max="21" width="8.57031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1672</v>
      </c>
      <c r="B2" s="28" t="s">
        <v>1712</v>
      </c>
      <c r="C2" s="28">
        <v>776984</v>
      </c>
      <c r="D2" s="31">
        <v>1</v>
      </c>
      <c r="E2" s="71">
        <v>67</v>
      </c>
      <c r="F2" s="45">
        <v>603</v>
      </c>
      <c r="G2" s="32">
        <v>1.849</v>
      </c>
      <c r="H2" s="32">
        <v>3.7</v>
      </c>
      <c r="I2" s="32">
        <v>3.6850000000000001</v>
      </c>
      <c r="J2" s="33">
        <f>IF(O2&lt;&gt;"",(H2-I2)/O2,"")</f>
        <v>7.5000000000000622E-3</v>
      </c>
      <c r="K2" s="34" t="str">
        <f t="shared" ref="K2:K65" si="0">IF(J2=0,"",IF(OR(J2&lt;0,J2&gt;0.03),"X",""))</f>
        <v/>
      </c>
      <c r="L2" s="35">
        <f>F2/(O2*P2)</f>
        <v>7.5374999999999996</v>
      </c>
      <c r="M2" s="36" t="str">
        <f>IF(L2=0,"",IF(OR(L2&lt;7,L2&gt;7.8),"X",""))</f>
        <v/>
      </c>
      <c r="N2" s="37" t="s">
        <v>20</v>
      </c>
      <c r="O2" s="29">
        <v>2</v>
      </c>
      <c r="P2" s="38">
        <v>40</v>
      </c>
      <c r="Q2" s="28"/>
      <c r="R2" s="28" t="s">
        <v>1673</v>
      </c>
      <c r="S2" s="71" t="s">
        <v>58</v>
      </c>
      <c r="T2" s="28"/>
      <c r="U2" s="28" t="s">
        <v>31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31">
        <v>1</v>
      </c>
      <c r="E3" s="71"/>
      <c r="F3" s="31"/>
      <c r="G3" s="32">
        <v>1.8520000000000001</v>
      </c>
      <c r="H3" s="32"/>
      <c r="I3" s="32"/>
      <c r="J3" s="33"/>
      <c r="K3" s="34" t="str">
        <f t="shared" si="0"/>
        <v/>
      </c>
      <c r="L3" s="35"/>
      <c r="M3" s="36" t="str">
        <f t="shared" ref="M3:M41" si="1">IF(L3=0,"",IF(OR(L3&lt;7.4,L3&gt;8),"X",""))</f>
        <v/>
      </c>
      <c r="N3" s="37"/>
      <c r="O3" s="29"/>
      <c r="P3" s="38"/>
      <c r="Q3" s="28"/>
      <c r="R3" s="28" t="s">
        <v>1674</v>
      </c>
      <c r="S3" s="71" t="s">
        <v>59</v>
      </c>
      <c r="T3" s="28"/>
      <c r="U3" s="28" t="s">
        <v>31</v>
      </c>
    </row>
    <row r="4" spans="1:54" s="27" customFormat="1" x14ac:dyDescent="0.25">
      <c r="A4" s="28" t="s">
        <v>21</v>
      </c>
      <c r="B4" s="28" t="s">
        <v>1713</v>
      </c>
      <c r="C4" s="28" t="s">
        <v>21</v>
      </c>
      <c r="D4" s="31">
        <v>1</v>
      </c>
      <c r="E4" s="71">
        <v>70</v>
      </c>
      <c r="F4" s="45">
        <v>602</v>
      </c>
      <c r="G4" s="32">
        <v>1.8520000000000001</v>
      </c>
      <c r="H4" s="32">
        <v>3.6970000000000001</v>
      </c>
      <c r="I4" s="32">
        <v>3.681</v>
      </c>
      <c r="J4" s="33">
        <f>IF(O4&lt;&gt;"",(H4-I4)/O4,"")</f>
        <v>8.0000000000000071E-3</v>
      </c>
      <c r="K4" s="34" t="str">
        <f t="shared" si="0"/>
        <v/>
      </c>
      <c r="L4" s="35">
        <f>F4/(O4*P4)</f>
        <v>7.5250000000000004</v>
      </c>
      <c r="M4" s="36" t="str">
        <f>IF(L4=0,"",IF(OR(L4&lt;7,L4&gt;7.8),"X",""))</f>
        <v/>
      </c>
      <c r="N4" s="37" t="s">
        <v>20</v>
      </c>
      <c r="O4" s="29">
        <v>2</v>
      </c>
      <c r="P4" s="38">
        <v>40</v>
      </c>
      <c r="Q4" s="28"/>
      <c r="R4" s="28" t="s">
        <v>1675</v>
      </c>
      <c r="S4" s="28" t="s">
        <v>21</v>
      </c>
      <c r="T4" s="28"/>
      <c r="U4" s="28" t="s">
        <v>31</v>
      </c>
    </row>
    <row r="5" spans="1:54" s="27" customFormat="1" x14ac:dyDescent="0.25">
      <c r="A5" s="28" t="s">
        <v>21</v>
      </c>
      <c r="B5" s="28" t="s">
        <v>21</v>
      </c>
      <c r="C5" s="28" t="s">
        <v>21</v>
      </c>
      <c r="D5" s="31">
        <v>1</v>
      </c>
      <c r="E5" s="71"/>
      <c r="F5" s="31"/>
      <c r="G5" s="32">
        <v>1.845</v>
      </c>
      <c r="H5" s="32"/>
      <c r="I5" s="32"/>
      <c r="J5" s="33"/>
      <c r="K5" s="34" t="str">
        <f t="shared" si="0"/>
        <v/>
      </c>
      <c r="L5" s="35"/>
      <c r="M5" s="36" t="str">
        <f t="shared" si="1"/>
        <v/>
      </c>
      <c r="N5" s="37"/>
      <c r="O5" s="29"/>
      <c r="P5" s="38"/>
      <c r="Q5" s="28"/>
      <c r="R5" s="28" t="s">
        <v>1676</v>
      </c>
      <c r="S5" s="28" t="s">
        <v>21</v>
      </c>
      <c r="T5" s="28"/>
      <c r="U5" s="28" t="s">
        <v>31</v>
      </c>
    </row>
    <row r="6" spans="1:54" s="27" customFormat="1" x14ac:dyDescent="0.25">
      <c r="A6" s="28" t="s">
        <v>21</v>
      </c>
      <c r="B6" s="28" t="s">
        <v>1714</v>
      </c>
      <c r="C6" s="28" t="s">
        <v>21</v>
      </c>
      <c r="D6" s="31">
        <v>1</v>
      </c>
      <c r="E6" s="71">
        <v>69</v>
      </c>
      <c r="F6" s="45">
        <v>602</v>
      </c>
      <c r="G6" s="32">
        <v>1.855</v>
      </c>
      <c r="H6" s="32">
        <v>3.694</v>
      </c>
      <c r="I6" s="32">
        <v>3.6779999999999999</v>
      </c>
      <c r="J6" s="33">
        <f>IF(O6&lt;&gt;"",(H6-I6)/O6,"")</f>
        <v>8.0000000000000071E-3</v>
      </c>
      <c r="K6" s="34" t="str">
        <f t="shared" si="0"/>
        <v/>
      </c>
      <c r="L6" s="35">
        <f>F6/(O6*P6)</f>
        <v>7.5250000000000004</v>
      </c>
      <c r="M6" s="36" t="str">
        <f>IF(L6=0,"",IF(OR(L6&lt;7,L6&gt;7.8),"X",""))</f>
        <v/>
      </c>
      <c r="N6" s="37" t="s">
        <v>20</v>
      </c>
      <c r="O6" s="29">
        <v>2</v>
      </c>
      <c r="P6" s="38">
        <v>40</v>
      </c>
      <c r="Q6" s="28"/>
      <c r="R6" s="28" t="s">
        <v>1677</v>
      </c>
      <c r="S6" s="28" t="s">
        <v>21</v>
      </c>
      <c r="T6" s="28"/>
      <c r="U6" s="28" t="s">
        <v>31</v>
      </c>
    </row>
    <row r="7" spans="1:54" s="27" customFormat="1" x14ac:dyDescent="0.25">
      <c r="A7" s="28" t="s">
        <v>21</v>
      </c>
      <c r="B7" s="28" t="s">
        <v>21</v>
      </c>
      <c r="C7" s="28" t="s">
        <v>21</v>
      </c>
      <c r="D7" s="31">
        <v>1</v>
      </c>
      <c r="E7" s="71"/>
      <c r="F7" s="31"/>
      <c r="G7" s="32">
        <v>1.839</v>
      </c>
      <c r="H7" s="32"/>
      <c r="I7" s="32"/>
      <c r="J7" s="33"/>
      <c r="K7" s="34" t="str">
        <f t="shared" si="0"/>
        <v/>
      </c>
      <c r="L7" s="35"/>
      <c r="M7" s="36" t="str">
        <f t="shared" si="1"/>
        <v/>
      </c>
      <c r="N7" s="37"/>
      <c r="O7" s="29"/>
      <c r="P7" s="38"/>
      <c r="Q7" s="28"/>
      <c r="R7" s="28" t="s">
        <v>1678</v>
      </c>
      <c r="S7" s="28" t="s">
        <v>21</v>
      </c>
      <c r="T7" s="28"/>
      <c r="U7" s="28" t="s">
        <v>31</v>
      </c>
    </row>
    <row r="8" spans="1:54" s="27" customFormat="1" x14ac:dyDescent="0.25">
      <c r="A8" s="28" t="s">
        <v>21</v>
      </c>
      <c r="B8" s="28" t="s">
        <v>1715</v>
      </c>
      <c r="C8" s="28" t="s">
        <v>21</v>
      </c>
      <c r="D8" s="31">
        <v>1</v>
      </c>
      <c r="E8" s="71">
        <v>68</v>
      </c>
      <c r="F8" s="45">
        <v>603</v>
      </c>
      <c r="G8" s="32">
        <v>1.8380000000000001</v>
      </c>
      <c r="H8" s="32">
        <v>3.6779999999999999</v>
      </c>
      <c r="I8" s="32">
        <v>3.6619999999999999</v>
      </c>
      <c r="J8" s="33">
        <f>IF(O8&lt;&gt;"",(H8-I8)/O8,"")</f>
        <v>8.0000000000000071E-3</v>
      </c>
      <c r="K8" s="34" t="str">
        <f t="shared" si="0"/>
        <v/>
      </c>
      <c r="L8" s="35">
        <f>F8/(O8*P8)</f>
        <v>7.5374999999999996</v>
      </c>
      <c r="M8" s="36" t="str">
        <f>IF(L8=0,"",IF(OR(L8&lt;7,L8&gt;7.8),"X",""))</f>
        <v/>
      </c>
      <c r="N8" s="37" t="s">
        <v>20</v>
      </c>
      <c r="O8" s="29">
        <v>2</v>
      </c>
      <c r="P8" s="38">
        <v>40</v>
      </c>
      <c r="Q8" s="28"/>
      <c r="R8" s="28" t="s">
        <v>1679</v>
      </c>
      <c r="S8" s="28" t="s">
        <v>21</v>
      </c>
      <c r="T8" s="28"/>
      <c r="U8" s="28" t="s">
        <v>31</v>
      </c>
    </row>
    <row r="9" spans="1:54" s="27" customFormat="1" x14ac:dyDescent="0.25">
      <c r="A9" s="28" t="s">
        <v>21</v>
      </c>
      <c r="B9" s="28" t="s">
        <v>21</v>
      </c>
      <c r="C9" s="28" t="s">
        <v>21</v>
      </c>
      <c r="D9" s="31">
        <v>1</v>
      </c>
      <c r="E9" s="71"/>
      <c r="F9" s="31"/>
      <c r="G9" s="32">
        <v>1.841</v>
      </c>
      <c r="H9" s="32"/>
      <c r="I9" s="32"/>
      <c r="J9" s="33"/>
      <c r="K9" s="34" t="str">
        <f t="shared" si="0"/>
        <v/>
      </c>
      <c r="L9" s="35"/>
      <c r="M9" s="36" t="str">
        <f t="shared" si="1"/>
        <v/>
      </c>
      <c r="N9" s="37"/>
      <c r="O9" s="29"/>
      <c r="P9" s="38"/>
      <c r="Q9" s="28"/>
      <c r="R9" s="28" t="s">
        <v>1680</v>
      </c>
      <c r="S9" s="28" t="s">
        <v>21</v>
      </c>
      <c r="T9" s="28"/>
      <c r="U9" s="28" t="s">
        <v>31</v>
      </c>
    </row>
    <row r="10" spans="1:54" s="27" customFormat="1" x14ac:dyDescent="0.25">
      <c r="A10" s="28" t="s">
        <v>21</v>
      </c>
      <c r="B10" s="28" t="s">
        <v>1716</v>
      </c>
      <c r="C10" s="28" t="s">
        <v>21</v>
      </c>
      <c r="D10" s="31">
        <v>1</v>
      </c>
      <c r="E10" s="71">
        <v>68</v>
      </c>
      <c r="F10" s="45">
        <v>603</v>
      </c>
      <c r="G10" s="32">
        <v>1.833</v>
      </c>
      <c r="H10" s="32">
        <v>3.6659999999999999</v>
      </c>
      <c r="I10" s="32">
        <v>3.6509999999999998</v>
      </c>
      <c r="J10" s="33">
        <f>IF(O10&lt;&gt;"",(H10-I10)/O10,"")</f>
        <v>7.5000000000000622E-3</v>
      </c>
      <c r="K10" s="34" t="str">
        <f t="shared" si="0"/>
        <v/>
      </c>
      <c r="L10" s="35">
        <f>F10/(O10*P10)</f>
        <v>7.5374999999999996</v>
      </c>
      <c r="M10" s="36" t="str">
        <f>IF(L10=0,"",IF(OR(L10&lt;7,L10&gt;7.8),"X",""))</f>
        <v/>
      </c>
      <c r="N10" s="37" t="s">
        <v>20</v>
      </c>
      <c r="O10" s="29">
        <v>2</v>
      </c>
      <c r="P10" s="38">
        <v>40</v>
      </c>
      <c r="Q10" s="28"/>
      <c r="R10" s="28" t="s">
        <v>1681</v>
      </c>
      <c r="S10" s="28" t="s">
        <v>21</v>
      </c>
      <c r="T10" s="28"/>
      <c r="U10" s="28" t="s">
        <v>31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31">
        <v>1</v>
      </c>
      <c r="E11" s="71"/>
      <c r="F11" s="31"/>
      <c r="G11" s="32">
        <v>1.8340000000000001</v>
      </c>
      <c r="H11" s="32"/>
      <c r="I11" s="32"/>
      <c r="J11" s="33"/>
      <c r="K11" s="34" t="str">
        <f t="shared" si="0"/>
        <v/>
      </c>
      <c r="L11" s="35"/>
      <c r="M11" s="36" t="str">
        <f t="shared" si="1"/>
        <v/>
      </c>
      <c r="N11" s="37"/>
      <c r="O11" s="29"/>
      <c r="P11" s="38"/>
      <c r="Q11" s="28"/>
      <c r="R11" s="28" t="s">
        <v>1683</v>
      </c>
      <c r="S11" s="28" t="s">
        <v>21</v>
      </c>
      <c r="T11" s="28"/>
      <c r="U11" s="28" t="s">
        <v>31</v>
      </c>
    </row>
    <row r="12" spans="1:54" s="27" customFormat="1" x14ac:dyDescent="0.25">
      <c r="A12" s="28" t="s">
        <v>21</v>
      </c>
      <c r="B12" s="28" t="s">
        <v>1717</v>
      </c>
      <c r="C12" s="28" t="s">
        <v>21</v>
      </c>
      <c r="D12" s="31">
        <v>1</v>
      </c>
      <c r="E12" s="73">
        <v>24</v>
      </c>
      <c r="F12" s="45">
        <v>605</v>
      </c>
      <c r="G12" s="32">
        <v>1.8340000000000001</v>
      </c>
      <c r="H12" s="32">
        <v>3.67</v>
      </c>
      <c r="I12" s="32">
        <v>3.6549999999999998</v>
      </c>
      <c r="J12" s="33">
        <f>IF(O12&lt;&gt;"",(H12-I12)/O12,"")</f>
        <v>7.5000000000000622E-3</v>
      </c>
      <c r="K12" s="34" t="str">
        <f t="shared" si="0"/>
        <v/>
      </c>
      <c r="L12" s="35">
        <f>F12/(O12*P12)</f>
        <v>7.5625</v>
      </c>
      <c r="M12" s="36" t="str">
        <f>IF(L12=0,"",IF(OR(L12&lt;7,L12&gt;7.8),"X",""))</f>
        <v/>
      </c>
      <c r="N12" s="37" t="s">
        <v>20</v>
      </c>
      <c r="O12" s="29">
        <v>2</v>
      </c>
      <c r="P12" s="38">
        <v>40</v>
      </c>
      <c r="Q12" s="28"/>
      <c r="R12" s="28" t="s">
        <v>1684</v>
      </c>
      <c r="S12" s="47"/>
      <c r="T12" s="28"/>
      <c r="U12" s="28" t="s">
        <v>31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31">
        <v>1</v>
      </c>
      <c r="E13" s="73"/>
      <c r="F13" s="31"/>
      <c r="G13" s="32">
        <v>1.837</v>
      </c>
      <c r="H13" s="32"/>
      <c r="I13" s="32"/>
      <c r="J13" s="33"/>
      <c r="K13" s="34" t="str">
        <f t="shared" si="0"/>
        <v/>
      </c>
      <c r="L13" s="35"/>
      <c r="M13" s="36" t="str">
        <f t="shared" si="1"/>
        <v/>
      </c>
      <c r="N13" s="37"/>
      <c r="O13" s="29"/>
      <c r="P13" s="38"/>
      <c r="Q13" s="28"/>
      <c r="R13" s="28" t="s">
        <v>1682</v>
      </c>
      <c r="S13" s="47"/>
      <c r="T13" s="28"/>
      <c r="U13" s="28" t="s">
        <v>31</v>
      </c>
    </row>
    <row r="14" spans="1:54" s="27" customFormat="1" x14ac:dyDescent="0.25">
      <c r="A14" s="28" t="s">
        <v>21</v>
      </c>
      <c r="B14" s="28" t="s">
        <v>1718</v>
      </c>
      <c r="C14" s="28">
        <v>776984</v>
      </c>
      <c r="D14" s="31">
        <v>1</v>
      </c>
      <c r="E14" s="73">
        <v>15</v>
      </c>
      <c r="F14" s="45">
        <v>604</v>
      </c>
      <c r="G14" s="32">
        <v>1.8340000000000001</v>
      </c>
      <c r="H14" s="32">
        <v>3.673</v>
      </c>
      <c r="I14" s="32">
        <v>3.6549999999999998</v>
      </c>
      <c r="J14" s="33">
        <f>IF(O14&lt;&gt;"",(H14-I14)/O14,"")</f>
        <v>9.000000000000119E-3</v>
      </c>
      <c r="K14" s="34" t="str">
        <f t="shared" si="0"/>
        <v/>
      </c>
      <c r="L14" s="35">
        <f>F14/(O14*P14)</f>
        <v>7.55</v>
      </c>
      <c r="M14" s="36" t="str">
        <f>IF(L14=0,"",IF(OR(L14&lt;7,L14&gt;7.8),"X",""))</f>
        <v/>
      </c>
      <c r="N14" s="37" t="s">
        <v>20</v>
      </c>
      <c r="O14" s="29">
        <v>2</v>
      </c>
      <c r="P14" s="38">
        <v>40</v>
      </c>
      <c r="Q14" s="28"/>
      <c r="R14" s="28" t="s">
        <v>1685</v>
      </c>
      <c r="S14" s="47"/>
      <c r="T14" s="28"/>
      <c r="U14" s="28" t="s">
        <v>31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1</v>
      </c>
      <c r="E15" s="73"/>
      <c r="F15" s="31"/>
      <c r="G15" s="32">
        <v>1.839</v>
      </c>
      <c r="H15" s="32"/>
      <c r="I15" s="32"/>
      <c r="J15" s="33"/>
      <c r="K15" s="34" t="str">
        <f t="shared" si="0"/>
        <v/>
      </c>
      <c r="L15" s="35"/>
      <c r="M15" s="36" t="str">
        <f t="shared" si="1"/>
        <v/>
      </c>
      <c r="N15" s="37"/>
      <c r="O15" s="29"/>
      <c r="P15" s="38"/>
      <c r="Q15" s="28"/>
      <c r="R15" s="28" t="s">
        <v>1687</v>
      </c>
      <c r="S15" s="47"/>
      <c r="T15" s="28"/>
      <c r="U15" s="28" t="s">
        <v>31</v>
      </c>
    </row>
    <row r="16" spans="1:54" s="27" customFormat="1" x14ac:dyDescent="0.25">
      <c r="A16" s="28" t="s">
        <v>21</v>
      </c>
      <c r="B16" s="28" t="s">
        <v>1719</v>
      </c>
      <c r="C16" s="28" t="s">
        <v>21</v>
      </c>
      <c r="D16" s="31">
        <v>1</v>
      </c>
      <c r="E16" s="73">
        <v>31</v>
      </c>
      <c r="F16" s="45">
        <v>601</v>
      </c>
      <c r="G16" s="32">
        <v>1.84</v>
      </c>
      <c r="H16" s="32">
        <v>3.6749999999999998</v>
      </c>
      <c r="I16" s="32">
        <v>3.661</v>
      </c>
      <c r="J16" s="33">
        <f>IF(O16&lt;&gt;"",(H16-I16)/O16,"")</f>
        <v>6.9999999999998952E-3</v>
      </c>
      <c r="K16" s="34" t="str">
        <f t="shared" si="0"/>
        <v/>
      </c>
      <c r="L16" s="35">
        <f>F16/(O16*P16)</f>
        <v>7.5125000000000002</v>
      </c>
      <c r="M16" s="36" t="str">
        <f>IF(L16=0,"",IF(OR(L16&lt;7,L16&gt;7.8),"X",""))</f>
        <v/>
      </c>
      <c r="N16" s="37" t="s">
        <v>20</v>
      </c>
      <c r="O16" s="29">
        <v>2</v>
      </c>
      <c r="P16" s="38">
        <v>40</v>
      </c>
      <c r="Q16" s="28"/>
      <c r="R16" s="28" t="s">
        <v>1688</v>
      </c>
      <c r="S16" s="47"/>
      <c r="T16" s="28"/>
      <c r="U16" s="28" t="s">
        <v>31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31">
        <v>1</v>
      </c>
      <c r="E17" s="73"/>
      <c r="F17" s="31"/>
      <c r="G17" s="32">
        <v>1.835</v>
      </c>
      <c r="H17" s="32"/>
      <c r="I17" s="32"/>
      <c r="J17" s="33"/>
      <c r="K17" s="34" t="str">
        <f t="shared" si="0"/>
        <v/>
      </c>
      <c r="L17" s="35"/>
      <c r="M17" s="36" t="str">
        <f t="shared" si="1"/>
        <v/>
      </c>
      <c r="N17" s="37"/>
      <c r="O17" s="29"/>
      <c r="P17" s="38"/>
      <c r="Q17" s="28"/>
      <c r="R17" s="28" t="s">
        <v>1686</v>
      </c>
      <c r="S17" s="47"/>
      <c r="T17" s="28"/>
      <c r="U17" s="28" t="s">
        <v>31</v>
      </c>
    </row>
    <row r="18" spans="1:21" s="27" customFormat="1" x14ac:dyDescent="0.25">
      <c r="A18" s="28" t="s">
        <v>21</v>
      </c>
      <c r="B18" s="28" t="s">
        <v>1720</v>
      </c>
      <c r="C18" s="28" t="s">
        <v>21</v>
      </c>
      <c r="D18" s="31">
        <v>1</v>
      </c>
      <c r="E18" s="73">
        <v>15</v>
      </c>
      <c r="F18" s="45">
        <v>606</v>
      </c>
      <c r="G18" s="32">
        <v>1.8440000000000001</v>
      </c>
      <c r="H18" s="32">
        <v>3.68</v>
      </c>
      <c r="I18" s="32">
        <v>3.6640000000000001</v>
      </c>
      <c r="J18" s="33">
        <f>IF(O18&lt;&gt;"",(H18-I18)/O18,"")</f>
        <v>8.0000000000000071E-3</v>
      </c>
      <c r="K18" s="34" t="str">
        <f t="shared" si="0"/>
        <v/>
      </c>
      <c r="L18" s="35">
        <f>F18/(O18*P18)</f>
        <v>7.5750000000000002</v>
      </c>
      <c r="M18" s="36" t="str">
        <f>IF(L18=0,"",IF(OR(L18&lt;7,L18&gt;7.8),"X",""))</f>
        <v/>
      </c>
      <c r="N18" s="37" t="s">
        <v>20</v>
      </c>
      <c r="O18" s="29">
        <v>2</v>
      </c>
      <c r="P18" s="38">
        <v>40</v>
      </c>
      <c r="Q18" s="28"/>
      <c r="R18" s="28" t="s">
        <v>1689</v>
      </c>
      <c r="S18" s="47"/>
      <c r="T18" s="28"/>
      <c r="U18" s="28" t="s">
        <v>31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31">
        <v>1</v>
      </c>
      <c r="E19" s="73"/>
      <c r="F19" s="31"/>
      <c r="G19" s="32">
        <v>1.837</v>
      </c>
      <c r="H19" s="32"/>
      <c r="I19" s="32"/>
      <c r="J19" s="33"/>
      <c r="K19" s="34" t="str">
        <f t="shared" si="0"/>
        <v/>
      </c>
      <c r="L19" s="35"/>
      <c r="M19" s="36" t="str">
        <f t="shared" si="1"/>
        <v/>
      </c>
      <c r="N19" s="37"/>
      <c r="O19" s="29"/>
      <c r="P19" s="38"/>
      <c r="Q19" s="28"/>
      <c r="R19" s="28" t="s">
        <v>1691</v>
      </c>
      <c r="S19" s="47"/>
      <c r="T19" s="28"/>
      <c r="U19" s="28" t="s">
        <v>31</v>
      </c>
    </row>
    <row r="20" spans="1:21" s="27" customFormat="1" x14ac:dyDescent="0.25">
      <c r="A20" s="28" t="s">
        <v>21</v>
      </c>
      <c r="B20" s="28" t="s">
        <v>1721</v>
      </c>
      <c r="C20" s="28" t="s">
        <v>21</v>
      </c>
      <c r="D20" s="31">
        <v>1</v>
      </c>
      <c r="E20" s="73">
        <v>27</v>
      </c>
      <c r="F20" s="45">
        <v>602</v>
      </c>
      <c r="G20" s="32">
        <v>1.823</v>
      </c>
      <c r="H20" s="32">
        <v>3.65</v>
      </c>
      <c r="I20" s="32">
        <v>3.6349999999999998</v>
      </c>
      <c r="J20" s="33">
        <f>IF(O20&lt;&gt;"",(H20-I20)/O20,"")</f>
        <v>7.5000000000000622E-3</v>
      </c>
      <c r="K20" s="34" t="str">
        <f t="shared" si="0"/>
        <v/>
      </c>
      <c r="L20" s="35">
        <f>F20/(O20*P20)</f>
        <v>7.5250000000000004</v>
      </c>
      <c r="M20" s="36" t="str">
        <f>IF(L20=0,"",IF(OR(L20&lt;7,L20&gt;7.8),"X",""))</f>
        <v/>
      </c>
      <c r="N20" s="37" t="s">
        <v>20</v>
      </c>
      <c r="O20" s="29">
        <v>2</v>
      </c>
      <c r="P20" s="38">
        <v>40</v>
      </c>
      <c r="Q20" s="28"/>
      <c r="R20" s="28" t="s">
        <v>1690</v>
      </c>
      <c r="S20" s="47"/>
      <c r="T20" s="28"/>
      <c r="U20" s="28" t="s">
        <v>31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31">
        <v>1</v>
      </c>
      <c r="E21" s="73"/>
      <c r="F21" s="31"/>
      <c r="G21" s="32">
        <v>1.8280000000000001</v>
      </c>
      <c r="H21" s="32"/>
      <c r="I21" s="32"/>
      <c r="J21" s="33"/>
      <c r="K21" s="34" t="str">
        <f t="shared" si="0"/>
        <v/>
      </c>
      <c r="L21" s="35"/>
      <c r="M21" s="36" t="str">
        <f t="shared" si="1"/>
        <v/>
      </c>
      <c r="N21" s="37"/>
      <c r="O21" s="29"/>
      <c r="P21" s="38"/>
      <c r="Q21" s="28"/>
      <c r="R21" s="28" t="s">
        <v>1692</v>
      </c>
      <c r="S21" s="47"/>
      <c r="T21" s="28"/>
      <c r="U21" s="28" t="s">
        <v>31</v>
      </c>
    </row>
    <row r="22" spans="1:21" s="27" customFormat="1" x14ac:dyDescent="0.25">
      <c r="A22" s="28" t="s">
        <v>21</v>
      </c>
      <c r="B22" s="28" t="s">
        <v>1722</v>
      </c>
      <c r="C22" s="28" t="s">
        <v>21</v>
      </c>
      <c r="D22" s="31">
        <v>1</v>
      </c>
      <c r="E22" s="71">
        <v>45</v>
      </c>
      <c r="F22" s="45">
        <v>600</v>
      </c>
      <c r="G22" s="32">
        <v>1.863</v>
      </c>
      <c r="H22" s="32">
        <v>3.7160000000000002</v>
      </c>
      <c r="I22" s="32">
        <v>3.7029999999999998</v>
      </c>
      <c r="J22" s="33">
        <f>IF(O22&lt;&gt;"",(H22-I22)/O22,"")</f>
        <v>6.5000000000001723E-3</v>
      </c>
      <c r="K22" s="34" t="str">
        <f t="shared" si="0"/>
        <v/>
      </c>
      <c r="L22" s="35">
        <f>F22/(O22*P22)</f>
        <v>7.5</v>
      </c>
      <c r="M22" s="36" t="str">
        <f>IF(L22=0,"",IF(OR(L22&lt;7,L22&gt;7.8),"X",""))</f>
        <v/>
      </c>
      <c r="N22" s="37" t="s">
        <v>20</v>
      </c>
      <c r="O22" s="29">
        <v>2</v>
      </c>
      <c r="P22" s="38">
        <v>40</v>
      </c>
      <c r="Q22" s="28"/>
      <c r="R22" s="28" t="s">
        <v>1694</v>
      </c>
      <c r="S22" s="71" t="s">
        <v>58</v>
      </c>
      <c r="T22" s="28"/>
      <c r="U22" s="28" t="s">
        <v>31</v>
      </c>
    </row>
    <row r="23" spans="1:21" s="27" customFormat="1" x14ac:dyDescent="0.25">
      <c r="A23" s="28" t="s">
        <v>21</v>
      </c>
      <c r="B23" s="28" t="s">
        <v>21</v>
      </c>
      <c r="C23" s="28" t="s">
        <v>21</v>
      </c>
      <c r="D23" s="31">
        <v>1</v>
      </c>
      <c r="E23" s="71"/>
      <c r="F23" s="31"/>
      <c r="G23" s="32">
        <v>1.8540000000000001</v>
      </c>
      <c r="H23" s="32"/>
      <c r="I23" s="32"/>
      <c r="J23" s="33"/>
      <c r="K23" s="34" t="str">
        <f t="shared" si="0"/>
        <v/>
      </c>
      <c r="L23" s="35"/>
      <c r="M23" s="36" t="str">
        <f t="shared" si="1"/>
        <v/>
      </c>
      <c r="N23" s="37"/>
      <c r="O23" s="29"/>
      <c r="P23" s="38"/>
      <c r="Q23" s="28"/>
      <c r="R23" s="28" t="s">
        <v>1693</v>
      </c>
      <c r="S23" s="71" t="s">
        <v>59</v>
      </c>
      <c r="T23" s="28"/>
      <c r="U23" s="28" t="s">
        <v>31</v>
      </c>
    </row>
    <row r="24" spans="1:21" s="27" customFormat="1" x14ac:dyDescent="0.25">
      <c r="A24" s="28" t="s">
        <v>21</v>
      </c>
      <c r="B24" s="28" t="s">
        <v>1723</v>
      </c>
      <c r="C24" s="28" t="s">
        <v>21</v>
      </c>
      <c r="D24" s="31">
        <v>1</v>
      </c>
      <c r="E24" s="71">
        <v>50</v>
      </c>
      <c r="F24" s="45">
        <v>601</v>
      </c>
      <c r="G24" s="32">
        <v>1.855</v>
      </c>
      <c r="H24" s="32">
        <v>3.7040000000000002</v>
      </c>
      <c r="I24" s="32">
        <v>3.6909999999999998</v>
      </c>
      <c r="J24" s="33">
        <f>IF(O24&lt;&gt;"",(H24-I24)/O24,"")</f>
        <v>6.5000000000001723E-3</v>
      </c>
      <c r="K24" s="34" t="str">
        <f t="shared" si="0"/>
        <v/>
      </c>
      <c r="L24" s="35">
        <f>F24/(O24*P24)</f>
        <v>7.5125000000000002</v>
      </c>
      <c r="M24" s="36" t="str">
        <f>IF(L24=0,"",IF(OR(L24&lt;7,L24&gt;7.8),"X",""))</f>
        <v/>
      </c>
      <c r="N24" s="37" t="s">
        <v>20</v>
      </c>
      <c r="O24" s="29">
        <v>2</v>
      </c>
      <c r="P24" s="38">
        <v>40</v>
      </c>
      <c r="Q24" s="28"/>
      <c r="R24" s="28" t="s">
        <v>1695</v>
      </c>
      <c r="S24" s="28" t="s">
        <v>21</v>
      </c>
      <c r="T24" s="28"/>
      <c r="U24" s="28" t="s">
        <v>31</v>
      </c>
    </row>
    <row r="25" spans="1:21" s="27" customFormat="1" x14ac:dyDescent="0.25">
      <c r="A25" s="28" t="s">
        <v>21</v>
      </c>
      <c r="B25" s="28" t="s">
        <v>21</v>
      </c>
      <c r="C25" s="28" t="s">
        <v>21</v>
      </c>
      <c r="D25" s="31">
        <v>1</v>
      </c>
      <c r="E25" s="71"/>
      <c r="F25" s="31"/>
      <c r="G25" s="32">
        <v>1.85</v>
      </c>
      <c r="H25" s="32"/>
      <c r="I25" s="32"/>
      <c r="J25" s="33"/>
      <c r="K25" s="34" t="str">
        <f t="shared" si="0"/>
        <v/>
      </c>
      <c r="L25" s="35"/>
      <c r="M25" s="36" t="str">
        <f t="shared" si="1"/>
        <v/>
      </c>
      <c r="N25" s="37"/>
      <c r="O25" s="29"/>
      <c r="P25" s="38"/>
      <c r="Q25" s="28"/>
      <c r="R25" s="28" t="s">
        <v>1696</v>
      </c>
      <c r="S25" s="28" t="s">
        <v>21</v>
      </c>
      <c r="T25" s="28"/>
      <c r="U25" s="28" t="s">
        <v>31</v>
      </c>
    </row>
    <row r="26" spans="1:21" s="27" customFormat="1" x14ac:dyDescent="0.25">
      <c r="A26" s="28" t="s">
        <v>21</v>
      </c>
      <c r="B26" s="28" t="s">
        <v>1724</v>
      </c>
      <c r="C26" s="28" t="s">
        <v>21</v>
      </c>
      <c r="D26" s="31">
        <v>1</v>
      </c>
      <c r="E26" s="71">
        <v>35</v>
      </c>
      <c r="F26" s="45">
        <v>604</v>
      </c>
      <c r="G26" s="32">
        <v>1.847</v>
      </c>
      <c r="H26" s="32">
        <v>3.6989999999999998</v>
      </c>
      <c r="I26" s="32">
        <v>3.6840000000000002</v>
      </c>
      <c r="J26" s="33">
        <f>IF(O26&lt;&gt;"",(H26-I26)/O26,"")</f>
        <v>7.4999999999998401E-3</v>
      </c>
      <c r="K26" s="34" t="str">
        <f t="shared" si="0"/>
        <v/>
      </c>
      <c r="L26" s="35">
        <f>F26/(O26*P26)</f>
        <v>7.55</v>
      </c>
      <c r="M26" s="36" t="str">
        <f>IF(L26=0,"",IF(OR(L26&lt;7,L26&gt;7.8),"X",""))</f>
        <v/>
      </c>
      <c r="N26" s="37" t="s">
        <v>20</v>
      </c>
      <c r="O26" s="29">
        <v>2</v>
      </c>
      <c r="P26" s="38">
        <v>40</v>
      </c>
      <c r="Q26" s="28"/>
      <c r="R26" s="28" t="s">
        <v>1697</v>
      </c>
      <c r="S26" s="28" t="s">
        <v>21</v>
      </c>
      <c r="T26" s="28"/>
      <c r="U26" s="28" t="s">
        <v>31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1</v>
      </c>
      <c r="E27" s="71"/>
      <c r="F27" s="31"/>
      <c r="G27" s="32">
        <v>1.8520000000000001</v>
      </c>
      <c r="H27" s="32"/>
      <c r="I27" s="32"/>
      <c r="J27" s="33"/>
      <c r="K27" s="34" t="str">
        <f t="shared" si="0"/>
        <v/>
      </c>
      <c r="L27" s="35"/>
      <c r="M27" s="36" t="str">
        <f t="shared" si="1"/>
        <v/>
      </c>
      <c r="N27" s="37"/>
      <c r="O27" s="29"/>
      <c r="P27" s="38"/>
      <c r="Q27" s="28"/>
      <c r="R27" s="28" t="s">
        <v>1698</v>
      </c>
      <c r="S27" s="28" t="s">
        <v>21</v>
      </c>
      <c r="T27" s="28"/>
      <c r="U27" s="28" t="s">
        <v>31</v>
      </c>
    </row>
    <row r="28" spans="1:21" s="27" customFormat="1" x14ac:dyDescent="0.25">
      <c r="A28" s="28" t="s">
        <v>21</v>
      </c>
      <c r="B28" s="28" t="s">
        <v>1725</v>
      </c>
      <c r="C28" s="28">
        <v>776985</v>
      </c>
      <c r="D28" s="31">
        <v>1</v>
      </c>
      <c r="E28" s="71">
        <v>37</v>
      </c>
      <c r="F28" s="45">
        <v>604</v>
      </c>
      <c r="G28" s="32">
        <v>1.847</v>
      </c>
      <c r="H28" s="32">
        <v>3.6760000000000002</v>
      </c>
      <c r="I28" s="32">
        <v>3.657</v>
      </c>
      <c r="J28" s="33">
        <f>IF(O28&lt;&gt;"",(H28-I28)/O28,"")</f>
        <v>9.5000000000000639E-3</v>
      </c>
      <c r="K28" s="34" t="str">
        <f t="shared" si="0"/>
        <v/>
      </c>
      <c r="L28" s="35">
        <f>F28/(O28*P28)</f>
        <v>7.55</v>
      </c>
      <c r="M28" s="36" t="str">
        <f>IF(L28=0,"",IF(OR(L28&lt;7,L28&gt;7.8),"X",""))</f>
        <v/>
      </c>
      <c r="N28" s="37" t="s">
        <v>20</v>
      </c>
      <c r="O28" s="29">
        <v>2</v>
      </c>
      <c r="P28" s="38">
        <v>40</v>
      </c>
      <c r="Q28" s="28"/>
      <c r="R28" s="28" t="s">
        <v>1699</v>
      </c>
      <c r="S28" s="28" t="s">
        <v>21</v>
      </c>
      <c r="T28" s="28"/>
      <c r="U28" s="28" t="s">
        <v>31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1</v>
      </c>
      <c r="E29" s="71"/>
      <c r="F29" s="31"/>
      <c r="G29" s="32">
        <v>1.829</v>
      </c>
      <c r="H29" s="32"/>
      <c r="I29" s="32"/>
      <c r="J29" s="33"/>
      <c r="K29" s="34" t="str">
        <f t="shared" si="0"/>
        <v/>
      </c>
      <c r="L29" s="35"/>
      <c r="M29" s="36" t="str">
        <f t="shared" si="1"/>
        <v/>
      </c>
      <c r="N29" s="37"/>
      <c r="O29" s="29"/>
      <c r="P29" s="38"/>
      <c r="Q29" s="28"/>
      <c r="R29" s="28" t="s">
        <v>1700</v>
      </c>
      <c r="S29" s="28" t="s">
        <v>21</v>
      </c>
      <c r="T29" s="28"/>
      <c r="U29" s="28" t="s">
        <v>31</v>
      </c>
    </row>
    <row r="30" spans="1:21" s="27" customFormat="1" x14ac:dyDescent="0.25">
      <c r="A30" s="28" t="s">
        <v>21</v>
      </c>
      <c r="B30" s="28" t="s">
        <v>1726</v>
      </c>
      <c r="C30" s="28" t="s">
        <v>21</v>
      </c>
      <c r="D30" s="31">
        <v>1</v>
      </c>
      <c r="E30" s="71">
        <v>47</v>
      </c>
      <c r="F30" s="45">
        <v>603</v>
      </c>
      <c r="G30" s="32">
        <v>1.8360000000000001</v>
      </c>
      <c r="H30" s="32">
        <v>3.6659999999999999</v>
      </c>
      <c r="I30" s="32">
        <v>3.65</v>
      </c>
      <c r="J30" s="33">
        <f>IF(O30&lt;&gt;"",(H30-I30)/O30,"")</f>
        <v>8.0000000000000071E-3</v>
      </c>
      <c r="K30" s="34" t="str">
        <f t="shared" si="0"/>
        <v/>
      </c>
      <c r="L30" s="35">
        <f>F30/(O30*P30)</f>
        <v>7.5374999999999996</v>
      </c>
      <c r="M30" s="36" t="str">
        <f>IF(L30=0,"",IF(OR(L30&lt;7,L30&gt;7.8),"X",""))</f>
        <v/>
      </c>
      <c r="N30" s="37" t="s">
        <v>20</v>
      </c>
      <c r="O30" s="29">
        <v>2</v>
      </c>
      <c r="P30" s="38">
        <v>40</v>
      </c>
      <c r="Q30" s="28"/>
      <c r="R30" s="28" t="s">
        <v>1579</v>
      </c>
      <c r="S30" s="28" t="s">
        <v>21</v>
      </c>
      <c r="T30" s="28"/>
      <c r="U30" s="28" t="s">
        <v>31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71"/>
      <c r="F31" s="31"/>
      <c r="G31" s="32">
        <v>1.83</v>
      </c>
      <c r="H31" s="32"/>
      <c r="I31" s="32"/>
      <c r="J31" s="33"/>
      <c r="K31" s="34" t="str">
        <f t="shared" si="0"/>
        <v/>
      </c>
      <c r="L31" s="35"/>
      <c r="M31" s="36" t="str">
        <f t="shared" si="1"/>
        <v/>
      </c>
      <c r="N31" s="37"/>
      <c r="O31" s="29"/>
      <c r="P31" s="38"/>
      <c r="Q31" s="28"/>
      <c r="R31" s="28" t="s">
        <v>1701</v>
      </c>
      <c r="S31" s="28" t="s">
        <v>21</v>
      </c>
      <c r="T31" s="28"/>
      <c r="U31" s="28" t="s">
        <v>31</v>
      </c>
    </row>
    <row r="32" spans="1:21" s="27" customFormat="1" x14ac:dyDescent="0.25">
      <c r="A32" s="28" t="s">
        <v>21</v>
      </c>
      <c r="B32" s="28" t="s">
        <v>1727</v>
      </c>
      <c r="C32" s="28" t="s">
        <v>21</v>
      </c>
      <c r="D32" s="31">
        <v>1</v>
      </c>
      <c r="E32" s="71">
        <v>38</v>
      </c>
      <c r="F32" s="45">
        <v>606</v>
      </c>
      <c r="G32" s="32">
        <v>1.8360000000000001</v>
      </c>
      <c r="H32" s="32">
        <v>3.6739999999999999</v>
      </c>
      <c r="I32" s="32">
        <v>3.6560000000000001</v>
      </c>
      <c r="J32" s="33">
        <f>IF(O32&lt;&gt;"",(H32-I32)/O32,"")</f>
        <v>8.999999999999897E-3</v>
      </c>
      <c r="K32" s="34" t="str">
        <f t="shared" si="0"/>
        <v/>
      </c>
      <c r="L32" s="35">
        <f>F32/(O32*P32)</f>
        <v>7.5750000000000002</v>
      </c>
      <c r="M32" s="36" t="str">
        <f>IF(L32=0,"",IF(OR(L32&lt;7,L32&gt;7.8),"X",""))</f>
        <v/>
      </c>
      <c r="N32" s="37" t="s">
        <v>20</v>
      </c>
      <c r="O32" s="29">
        <v>2</v>
      </c>
      <c r="P32" s="38">
        <v>40</v>
      </c>
      <c r="Q32" s="28"/>
      <c r="R32" s="28" t="s">
        <v>1702</v>
      </c>
      <c r="S32" s="71" t="s">
        <v>58</v>
      </c>
      <c r="T32" s="28"/>
      <c r="U32" s="28" t="s">
        <v>31</v>
      </c>
    </row>
    <row r="33" spans="1:21" s="27" customFormat="1" x14ac:dyDescent="0.25">
      <c r="A33" s="28" t="s">
        <v>21</v>
      </c>
      <c r="B33" s="28" t="s">
        <v>21</v>
      </c>
      <c r="C33" s="28">
        <v>776985</v>
      </c>
      <c r="D33" s="31">
        <v>1</v>
      </c>
      <c r="E33" s="71"/>
      <c r="F33" s="31"/>
      <c r="G33" s="32">
        <v>1.839</v>
      </c>
      <c r="H33" s="32"/>
      <c r="I33" s="32"/>
      <c r="J33" s="33"/>
      <c r="K33" s="34" t="str">
        <f t="shared" si="0"/>
        <v/>
      </c>
      <c r="L33" s="35"/>
      <c r="M33" s="36" t="str">
        <f t="shared" si="1"/>
        <v/>
      </c>
      <c r="N33" s="37"/>
      <c r="O33" s="29"/>
      <c r="P33" s="38"/>
      <c r="Q33" s="28"/>
      <c r="R33" s="28" t="s">
        <v>1703</v>
      </c>
      <c r="S33" s="71" t="s">
        <v>59</v>
      </c>
      <c r="T33" s="28"/>
      <c r="U33" s="28" t="s">
        <v>31</v>
      </c>
    </row>
    <row r="34" spans="1:21" s="27" customFormat="1" x14ac:dyDescent="0.25">
      <c r="A34" s="28" t="s">
        <v>21</v>
      </c>
      <c r="B34" s="28" t="s">
        <v>1728</v>
      </c>
      <c r="C34" s="28" t="s">
        <v>21</v>
      </c>
      <c r="D34" s="31">
        <v>1</v>
      </c>
      <c r="E34" s="71">
        <v>54</v>
      </c>
      <c r="F34" s="45">
        <v>603</v>
      </c>
      <c r="G34" s="32">
        <v>1.8460000000000001</v>
      </c>
      <c r="H34" s="32">
        <v>3.6819999999999999</v>
      </c>
      <c r="I34" s="32">
        <v>3.6680000000000001</v>
      </c>
      <c r="J34" s="33">
        <f>IF(O34&lt;&gt;"",(H34-I34)/O34,"")</f>
        <v>6.9999999999998952E-3</v>
      </c>
      <c r="K34" s="34" t="str">
        <f t="shared" si="0"/>
        <v/>
      </c>
      <c r="L34" s="35">
        <f>F34/(O34*P34)</f>
        <v>7.5374999999999996</v>
      </c>
      <c r="M34" s="36" t="str">
        <f>IF(L34=0,"",IF(OR(L34&lt;7,L34&gt;7.8),"X",""))</f>
        <v/>
      </c>
      <c r="N34" s="37" t="s">
        <v>20</v>
      </c>
      <c r="O34" s="29">
        <v>2</v>
      </c>
      <c r="P34" s="38">
        <v>40</v>
      </c>
      <c r="Q34" s="28"/>
      <c r="R34" s="28" t="s">
        <v>1705</v>
      </c>
      <c r="S34" s="28" t="s">
        <v>21</v>
      </c>
      <c r="T34" s="28"/>
      <c r="U34" s="28" t="s">
        <v>31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71"/>
      <c r="F35" s="31"/>
      <c r="G35" s="32">
        <v>1.837</v>
      </c>
      <c r="H35" s="32"/>
      <c r="I35" s="32"/>
      <c r="J35" s="33"/>
      <c r="K35" s="34" t="str">
        <f t="shared" si="0"/>
        <v/>
      </c>
      <c r="L35" s="35"/>
      <c r="M35" s="36" t="str">
        <f t="shared" si="1"/>
        <v/>
      </c>
      <c r="N35" s="37"/>
      <c r="O35" s="29"/>
      <c r="P35" s="38"/>
      <c r="Q35" s="28"/>
      <c r="R35" s="28" t="s">
        <v>1706</v>
      </c>
      <c r="S35" s="28" t="s">
        <v>21</v>
      </c>
      <c r="T35" s="28"/>
      <c r="U35" s="28" t="s">
        <v>31</v>
      </c>
    </row>
    <row r="36" spans="1:21" s="27" customFormat="1" x14ac:dyDescent="0.25">
      <c r="A36" s="28" t="s">
        <v>21</v>
      </c>
      <c r="B36" s="28" t="s">
        <v>1729</v>
      </c>
      <c r="C36" s="28" t="s">
        <v>21</v>
      </c>
      <c r="D36" s="31">
        <v>1</v>
      </c>
      <c r="E36" s="71">
        <v>58</v>
      </c>
      <c r="F36" s="45">
        <v>603</v>
      </c>
      <c r="G36" s="32">
        <v>1.8440000000000001</v>
      </c>
      <c r="H36" s="32">
        <v>3.6880000000000002</v>
      </c>
      <c r="I36" s="32">
        <v>3.6720000000000002</v>
      </c>
      <c r="J36" s="33">
        <f>IF(O36&lt;&gt;"",(H36-I36)/O36,"")</f>
        <v>8.0000000000000071E-3</v>
      </c>
      <c r="K36" s="34" t="str">
        <f t="shared" si="0"/>
        <v/>
      </c>
      <c r="L36" s="35">
        <f>F36/(O36*P36)</f>
        <v>7.5374999999999996</v>
      </c>
      <c r="M36" s="36" t="str">
        <f>IF(L36=0,"",IF(OR(L36&lt;7,L36&gt;7.8),"X",""))</f>
        <v/>
      </c>
      <c r="N36" s="37" t="s">
        <v>20</v>
      </c>
      <c r="O36" s="29">
        <v>2</v>
      </c>
      <c r="P36" s="38">
        <v>40</v>
      </c>
      <c r="Q36" s="28"/>
      <c r="R36" s="28" t="s">
        <v>1704</v>
      </c>
      <c r="S36" s="28" t="s">
        <v>21</v>
      </c>
      <c r="T36" s="28"/>
      <c r="U36" s="28" t="s">
        <v>31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71"/>
      <c r="F37" s="31"/>
      <c r="G37" s="32">
        <v>1.8440000000000001</v>
      </c>
      <c r="H37" s="32"/>
      <c r="I37" s="32"/>
      <c r="J37" s="33"/>
      <c r="K37" s="34" t="str">
        <f t="shared" si="0"/>
        <v/>
      </c>
      <c r="L37" s="35"/>
      <c r="M37" s="36" t="str">
        <f t="shared" si="1"/>
        <v/>
      </c>
      <c r="N37" s="37"/>
      <c r="O37" s="29"/>
      <c r="P37" s="38"/>
      <c r="Q37" s="28"/>
      <c r="R37" s="28" t="s">
        <v>1708</v>
      </c>
      <c r="S37" s="28" t="s">
        <v>21</v>
      </c>
      <c r="T37" s="28"/>
      <c r="U37" s="28" t="s">
        <v>31</v>
      </c>
    </row>
    <row r="38" spans="1:21" s="27" customFormat="1" x14ac:dyDescent="0.25">
      <c r="A38" s="28" t="s">
        <v>21</v>
      </c>
      <c r="B38" s="28" t="s">
        <v>1730</v>
      </c>
      <c r="C38" s="28" t="s">
        <v>21</v>
      </c>
      <c r="D38" s="31">
        <v>1</v>
      </c>
      <c r="E38" s="71">
        <v>71</v>
      </c>
      <c r="F38" s="45">
        <v>604</v>
      </c>
      <c r="G38" s="32">
        <v>1.8320000000000001</v>
      </c>
      <c r="H38" s="32">
        <v>3.665</v>
      </c>
      <c r="I38" s="32">
        <v>3.6509999999999998</v>
      </c>
      <c r="J38" s="33">
        <f>IF(O38&lt;&gt;"",(H38-I38)/O38,"")</f>
        <v>7.0000000000001172E-3</v>
      </c>
      <c r="K38" s="34" t="str">
        <f t="shared" si="0"/>
        <v/>
      </c>
      <c r="L38" s="35">
        <f>F38/(O38*P38)</f>
        <v>7.55</v>
      </c>
      <c r="M38" s="36" t="str">
        <f>IF(L38=0,"",IF(OR(L38&lt;7,L38&gt;7.8),"X",""))</f>
        <v/>
      </c>
      <c r="N38" s="37" t="s">
        <v>20</v>
      </c>
      <c r="O38" s="29">
        <v>2</v>
      </c>
      <c r="P38" s="38">
        <v>40</v>
      </c>
      <c r="Q38" s="28"/>
      <c r="R38" s="28" t="s">
        <v>1709</v>
      </c>
      <c r="S38" s="28" t="s">
        <v>21</v>
      </c>
      <c r="T38" s="28"/>
      <c r="U38" s="28" t="s">
        <v>31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31">
        <v>1</v>
      </c>
      <c r="E39" s="71"/>
      <c r="F39" s="31"/>
      <c r="G39" s="32">
        <v>1.8340000000000001</v>
      </c>
      <c r="H39" s="32"/>
      <c r="I39" s="32"/>
      <c r="J39" s="33"/>
      <c r="K39" s="34" t="str">
        <f t="shared" si="0"/>
        <v/>
      </c>
      <c r="L39" s="35"/>
      <c r="M39" s="36" t="str">
        <f t="shared" si="1"/>
        <v/>
      </c>
      <c r="N39" s="37"/>
      <c r="O39" s="29"/>
      <c r="P39" s="38"/>
      <c r="Q39" s="28"/>
      <c r="R39" s="28" t="s">
        <v>1710</v>
      </c>
      <c r="S39" s="28" t="s">
        <v>21</v>
      </c>
      <c r="T39" s="28"/>
      <c r="U39" s="28" t="s">
        <v>31</v>
      </c>
    </row>
    <row r="40" spans="1:21" s="27" customFormat="1" x14ac:dyDescent="0.25">
      <c r="A40" s="28" t="s">
        <v>21</v>
      </c>
      <c r="B40" s="28" t="s">
        <v>1731</v>
      </c>
      <c r="C40" s="28" t="s">
        <v>21</v>
      </c>
      <c r="D40" s="31">
        <v>1</v>
      </c>
      <c r="E40" s="71">
        <v>66</v>
      </c>
      <c r="F40" s="45">
        <v>605</v>
      </c>
      <c r="G40" s="32">
        <v>1.835</v>
      </c>
      <c r="H40" s="32">
        <v>3.665</v>
      </c>
      <c r="I40" s="32">
        <v>3.6480000000000001</v>
      </c>
      <c r="J40" s="33">
        <f>IF(O40&lt;&gt;"",(H40-I40)/O40,"")</f>
        <v>8.499999999999952E-3</v>
      </c>
      <c r="K40" s="34" t="str">
        <f t="shared" si="0"/>
        <v/>
      </c>
      <c r="L40" s="35">
        <f>F40/(O40*P40)</f>
        <v>7.5625</v>
      </c>
      <c r="M40" s="36" t="str">
        <f>IF(L40=0,"",IF(OR(L40&lt;7,L40&gt;7.8),"X",""))</f>
        <v/>
      </c>
      <c r="N40" s="37" t="s">
        <v>20</v>
      </c>
      <c r="O40" s="29">
        <v>2</v>
      </c>
      <c r="P40" s="38">
        <v>40</v>
      </c>
      <c r="Q40" s="28"/>
      <c r="R40" s="28" t="s">
        <v>1711</v>
      </c>
      <c r="S40" s="28" t="s">
        <v>21</v>
      </c>
      <c r="T40" s="28"/>
      <c r="U40" s="28" t="s">
        <v>31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>
        <v>1</v>
      </c>
      <c r="E41" s="71"/>
      <c r="F41" s="31"/>
      <c r="G41" s="32">
        <v>1.83</v>
      </c>
      <c r="H41" s="32"/>
      <c r="I41" s="32"/>
      <c r="J41" s="33"/>
      <c r="K41" s="34" t="str">
        <f t="shared" si="0"/>
        <v/>
      </c>
      <c r="L41" s="35"/>
      <c r="M41" s="36" t="str">
        <f t="shared" si="1"/>
        <v/>
      </c>
      <c r="N41" s="37"/>
      <c r="O41" s="29"/>
      <c r="P41" s="38"/>
      <c r="Q41" s="28"/>
      <c r="R41" s="28" t="s">
        <v>1707</v>
      </c>
      <c r="S41" s="28" t="s">
        <v>21</v>
      </c>
      <c r="T41" s="28"/>
      <c r="U41" s="28" t="s">
        <v>31</v>
      </c>
    </row>
    <row r="42" spans="1:21" s="27" customFormat="1" x14ac:dyDescent="0.25">
      <c r="A42" s="28" t="s">
        <v>1732</v>
      </c>
      <c r="B42" s="74" t="s">
        <v>1733</v>
      </c>
      <c r="C42" s="28">
        <v>776985</v>
      </c>
      <c r="D42" s="31">
        <v>1</v>
      </c>
      <c r="E42" s="71">
        <v>56</v>
      </c>
      <c r="F42" s="45">
        <v>300</v>
      </c>
      <c r="G42" s="32"/>
      <c r="H42" s="32">
        <v>1.8759999999999999</v>
      </c>
      <c r="I42" s="32">
        <v>1.869</v>
      </c>
      <c r="J42" s="33">
        <f t="shared" ref="J42:J71" si="2">IF(O42&lt;&gt;"",(H42-I42)/O42,"")</f>
        <v>6.9999999999998952E-3</v>
      </c>
      <c r="K42" s="34" t="str">
        <f t="shared" si="0"/>
        <v/>
      </c>
      <c r="L42" s="35">
        <f t="shared" ref="L42:L71" si="3">F42/(O42*P42)</f>
        <v>7.5</v>
      </c>
      <c r="M42" s="36" t="str">
        <f t="shared" ref="M42:M71" si="4">IF(L42=0,"",IF(OR(L42&lt;7,L42&gt;7.8),"X",""))</f>
        <v/>
      </c>
      <c r="N42" s="37" t="s">
        <v>18</v>
      </c>
      <c r="O42" s="29">
        <v>1</v>
      </c>
      <c r="P42" s="38">
        <v>40</v>
      </c>
      <c r="Q42" s="46"/>
      <c r="R42" s="28" t="s">
        <v>1763</v>
      </c>
      <c r="S42" s="71" t="s">
        <v>103</v>
      </c>
      <c r="T42" s="46"/>
      <c r="U42" s="28" t="s">
        <v>31</v>
      </c>
    </row>
    <row r="43" spans="1:21" s="27" customFormat="1" x14ac:dyDescent="0.25">
      <c r="A43" s="28" t="s">
        <v>21</v>
      </c>
      <c r="B43" s="74" t="s">
        <v>1734</v>
      </c>
      <c r="C43" s="28" t="s">
        <v>21</v>
      </c>
      <c r="D43" s="31">
        <v>1</v>
      </c>
      <c r="E43" s="71">
        <v>40</v>
      </c>
      <c r="F43" s="45">
        <v>300</v>
      </c>
      <c r="G43" s="32"/>
      <c r="H43" s="32">
        <v>1.869</v>
      </c>
      <c r="I43" s="32">
        <v>1.861</v>
      </c>
      <c r="J43" s="33">
        <f t="shared" si="2"/>
        <v>8.0000000000000071E-3</v>
      </c>
      <c r="K43" s="34" t="str">
        <f t="shared" si="0"/>
        <v/>
      </c>
      <c r="L43" s="35">
        <f t="shared" si="3"/>
        <v>7.5</v>
      </c>
      <c r="M43" s="36" t="str">
        <f t="shared" si="4"/>
        <v/>
      </c>
      <c r="N43" s="37" t="s">
        <v>18</v>
      </c>
      <c r="O43" s="29">
        <v>1</v>
      </c>
      <c r="P43" s="38">
        <v>40</v>
      </c>
      <c r="Q43" s="46"/>
      <c r="R43" s="28" t="s">
        <v>1764</v>
      </c>
      <c r="S43" s="71" t="s">
        <v>59</v>
      </c>
      <c r="T43" s="46"/>
      <c r="U43" s="28" t="s">
        <v>31</v>
      </c>
    </row>
    <row r="44" spans="1:21" s="27" customFormat="1" x14ac:dyDescent="0.25">
      <c r="A44" s="28" t="s">
        <v>21</v>
      </c>
      <c r="B44" s="74" t="s">
        <v>1735</v>
      </c>
      <c r="C44" s="28" t="s">
        <v>21</v>
      </c>
      <c r="D44" s="31">
        <v>1</v>
      </c>
      <c r="E44" s="71">
        <v>59</v>
      </c>
      <c r="F44" s="45">
        <v>300</v>
      </c>
      <c r="G44" s="32"/>
      <c r="H44" s="32">
        <v>1.8759999999999999</v>
      </c>
      <c r="I44" s="32">
        <v>1.87</v>
      </c>
      <c r="J44" s="33">
        <f t="shared" si="2"/>
        <v>5.9999999999997833E-3</v>
      </c>
      <c r="K44" s="34" t="str">
        <f t="shared" si="0"/>
        <v/>
      </c>
      <c r="L44" s="35">
        <f t="shared" si="3"/>
        <v>7.5</v>
      </c>
      <c r="M44" s="36" t="str">
        <f t="shared" si="4"/>
        <v/>
      </c>
      <c r="N44" s="37" t="s">
        <v>18</v>
      </c>
      <c r="O44" s="29">
        <v>1</v>
      </c>
      <c r="P44" s="38">
        <v>40</v>
      </c>
      <c r="Q44" s="46"/>
      <c r="R44" s="28" t="s">
        <v>1765</v>
      </c>
      <c r="S44" s="28" t="s">
        <v>21</v>
      </c>
      <c r="T44" s="46"/>
      <c r="U44" s="28" t="s">
        <v>31</v>
      </c>
    </row>
    <row r="45" spans="1:21" s="27" customFormat="1" x14ac:dyDescent="0.25">
      <c r="A45" s="28" t="s">
        <v>21</v>
      </c>
      <c r="B45" s="74" t="s">
        <v>1736</v>
      </c>
      <c r="C45" s="28" t="s">
        <v>21</v>
      </c>
      <c r="D45" s="31">
        <v>1</v>
      </c>
      <c r="E45" s="71">
        <v>58</v>
      </c>
      <c r="F45" s="45">
        <v>300</v>
      </c>
      <c r="G45" s="32"/>
      <c r="H45" s="32">
        <v>1.8560000000000001</v>
      </c>
      <c r="I45" s="32">
        <v>1.849</v>
      </c>
      <c r="J45" s="33">
        <f t="shared" si="2"/>
        <v>7.0000000000001172E-3</v>
      </c>
      <c r="K45" s="34" t="str">
        <f t="shared" si="0"/>
        <v/>
      </c>
      <c r="L45" s="35">
        <f t="shared" si="3"/>
        <v>7.5</v>
      </c>
      <c r="M45" s="36" t="str">
        <f t="shared" si="4"/>
        <v/>
      </c>
      <c r="N45" s="37" t="s">
        <v>18</v>
      </c>
      <c r="O45" s="29">
        <v>1</v>
      </c>
      <c r="P45" s="38">
        <v>40</v>
      </c>
      <c r="Q45" s="46"/>
      <c r="R45" s="28" t="s">
        <v>1766</v>
      </c>
      <c r="S45" s="28" t="s">
        <v>21</v>
      </c>
      <c r="T45" s="46"/>
      <c r="U45" s="28" t="s">
        <v>31</v>
      </c>
    </row>
    <row r="46" spans="1:21" s="27" customFormat="1" x14ac:dyDescent="0.25">
      <c r="A46" s="28" t="s">
        <v>21</v>
      </c>
      <c r="B46" s="74" t="s">
        <v>1737</v>
      </c>
      <c r="C46" s="28" t="s">
        <v>21</v>
      </c>
      <c r="D46" s="31">
        <v>1</v>
      </c>
      <c r="E46" s="71">
        <v>63</v>
      </c>
      <c r="F46" s="45">
        <v>299</v>
      </c>
      <c r="G46" s="32"/>
      <c r="H46" s="32">
        <v>1.865</v>
      </c>
      <c r="I46" s="32">
        <v>1.8580000000000001</v>
      </c>
      <c r="J46" s="33">
        <f t="shared" si="2"/>
        <v>6.9999999999998952E-3</v>
      </c>
      <c r="K46" s="34" t="str">
        <f t="shared" si="0"/>
        <v/>
      </c>
      <c r="L46" s="35">
        <f t="shared" si="3"/>
        <v>7.4749999999999996</v>
      </c>
      <c r="M46" s="36" t="str">
        <f t="shared" si="4"/>
        <v/>
      </c>
      <c r="N46" s="37" t="s">
        <v>18</v>
      </c>
      <c r="O46" s="29">
        <v>1</v>
      </c>
      <c r="P46" s="38">
        <v>40</v>
      </c>
      <c r="Q46" s="46"/>
      <c r="R46" s="28" t="s">
        <v>1767</v>
      </c>
      <c r="S46" s="28" t="s">
        <v>21</v>
      </c>
      <c r="T46" s="46"/>
      <c r="U46" s="28" t="s">
        <v>31</v>
      </c>
    </row>
    <row r="47" spans="1:21" s="27" customFormat="1" x14ac:dyDescent="0.25">
      <c r="A47" s="28" t="s">
        <v>21</v>
      </c>
      <c r="B47" s="74" t="s">
        <v>1738</v>
      </c>
      <c r="C47" s="28" t="s">
        <v>21</v>
      </c>
      <c r="D47" s="31">
        <v>1</v>
      </c>
      <c r="E47" s="71">
        <v>61</v>
      </c>
      <c r="F47" s="45">
        <v>300</v>
      </c>
      <c r="G47" s="32"/>
      <c r="H47" s="32">
        <v>1.8560000000000001</v>
      </c>
      <c r="I47" s="32">
        <v>1.8480000000000001</v>
      </c>
      <c r="J47" s="33">
        <f t="shared" si="2"/>
        <v>8.0000000000000071E-3</v>
      </c>
      <c r="K47" s="34" t="str">
        <f t="shared" si="0"/>
        <v/>
      </c>
      <c r="L47" s="35">
        <f t="shared" si="3"/>
        <v>7.5</v>
      </c>
      <c r="M47" s="36" t="str">
        <f t="shared" si="4"/>
        <v/>
      </c>
      <c r="N47" s="37" t="s">
        <v>18</v>
      </c>
      <c r="O47" s="29">
        <v>1</v>
      </c>
      <c r="P47" s="38">
        <v>40</v>
      </c>
      <c r="Q47" s="46"/>
      <c r="R47" s="28" t="s">
        <v>1769</v>
      </c>
      <c r="S47" s="28" t="s">
        <v>21</v>
      </c>
      <c r="T47" s="46"/>
      <c r="U47" s="28" t="s">
        <v>31</v>
      </c>
    </row>
    <row r="48" spans="1:21" s="27" customFormat="1" x14ac:dyDescent="0.25">
      <c r="A48" s="28" t="s">
        <v>21</v>
      </c>
      <c r="B48" s="74" t="s">
        <v>1739</v>
      </c>
      <c r="C48" s="28" t="s">
        <v>21</v>
      </c>
      <c r="D48" s="31">
        <v>1</v>
      </c>
      <c r="E48" s="71">
        <v>59</v>
      </c>
      <c r="F48" s="45">
        <v>301</v>
      </c>
      <c r="G48" s="32"/>
      <c r="H48" s="32">
        <v>1.8560000000000001</v>
      </c>
      <c r="I48" s="32">
        <v>1.85</v>
      </c>
      <c r="J48" s="33">
        <f t="shared" si="2"/>
        <v>6.0000000000000053E-3</v>
      </c>
      <c r="K48" s="34" t="str">
        <f t="shared" si="0"/>
        <v/>
      </c>
      <c r="L48" s="35">
        <f t="shared" si="3"/>
        <v>7.5250000000000004</v>
      </c>
      <c r="M48" s="36" t="str">
        <f t="shared" si="4"/>
        <v/>
      </c>
      <c r="N48" s="37" t="s">
        <v>18</v>
      </c>
      <c r="O48" s="29">
        <v>1</v>
      </c>
      <c r="P48" s="38">
        <v>40</v>
      </c>
      <c r="Q48" s="46"/>
      <c r="R48" s="28" t="s">
        <v>1768</v>
      </c>
      <c r="S48" s="28" t="s">
        <v>21</v>
      </c>
      <c r="T48" s="46"/>
      <c r="U48" s="28" t="s">
        <v>31</v>
      </c>
    </row>
    <row r="49" spans="1:21" s="27" customFormat="1" x14ac:dyDescent="0.25">
      <c r="A49" s="28" t="s">
        <v>21</v>
      </c>
      <c r="B49" s="74" t="s">
        <v>1740</v>
      </c>
      <c r="C49" s="28" t="s">
        <v>21</v>
      </c>
      <c r="D49" s="31">
        <v>1</v>
      </c>
      <c r="E49" s="71">
        <v>42</v>
      </c>
      <c r="F49" s="45">
        <v>300</v>
      </c>
      <c r="G49" s="32"/>
      <c r="H49" s="32">
        <v>1.85</v>
      </c>
      <c r="I49" s="32">
        <v>1.8420000000000001</v>
      </c>
      <c r="J49" s="33">
        <f t="shared" si="2"/>
        <v>8.0000000000000071E-3</v>
      </c>
      <c r="K49" s="34" t="str">
        <f t="shared" si="0"/>
        <v/>
      </c>
      <c r="L49" s="35">
        <f t="shared" si="3"/>
        <v>7.5</v>
      </c>
      <c r="M49" s="36" t="str">
        <f t="shared" si="4"/>
        <v/>
      </c>
      <c r="N49" s="37" t="s">
        <v>18</v>
      </c>
      <c r="O49" s="29">
        <v>1</v>
      </c>
      <c r="P49" s="38">
        <v>40</v>
      </c>
      <c r="Q49" s="46"/>
      <c r="R49" s="28" t="s">
        <v>1770</v>
      </c>
      <c r="S49" s="28" t="s">
        <v>21</v>
      </c>
      <c r="T49" s="46"/>
      <c r="U49" s="28" t="s">
        <v>31</v>
      </c>
    </row>
    <row r="50" spans="1:21" s="27" customFormat="1" x14ac:dyDescent="0.25">
      <c r="A50" s="28" t="s">
        <v>21</v>
      </c>
      <c r="B50" s="74" t="s">
        <v>1741</v>
      </c>
      <c r="C50" s="28" t="s">
        <v>21</v>
      </c>
      <c r="D50" s="31">
        <v>1</v>
      </c>
      <c r="E50" s="71">
        <v>39</v>
      </c>
      <c r="F50" s="45">
        <v>300</v>
      </c>
      <c r="G50" s="32"/>
      <c r="H50" s="32">
        <v>1.855</v>
      </c>
      <c r="I50" s="32">
        <v>1.8480000000000001</v>
      </c>
      <c r="J50" s="33">
        <f t="shared" si="2"/>
        <v>6.9999999999998952E-3</v>
      </c>
      <c r="K50" s="34" t="str">
        <f t="shared" si="0"/>
        <v/>
      </c>
      <c r="L50" s="35">
        <f t="shared" si="3"/>
        <v>7.5</v>
      </c>
      <c r="M50" s="36" t="str">
        <f t="shared" si="4"/>
        <v/>
      </c>
      <c r="N50" s="37" t="s">
        <v>18</v>
      </c>
      <c r="O50" s="29">
        <v>1</v>
      </c>
      <c r="P50" s="38">
        <v>40</v>
      </c>
      <c r="Q50" s="46"/>
      <c r="R50" s="28" t="s">
        <v>1771</v>
      </c>
      <c r="S50" s="28" t="s">
        <v>21</v>
      </c>
      <c r="T50" s="46"/>
      <c r="U50" s="28" t="s">
        <v>31</v>
      </c>
    </row>
    <row r="51" spans="1:21" s="27" customFormat="1" x14ac:dyDescent="0.25">
      <c r="A51" s="28" t="s">
        <v>21</v>
      </c>
      <c r="B51" s="74" t="s">
        <v>1742</v>
      </c>
      <c r="C51" s="28" t="s">
        <v>21</v>
      </c>
      <c r="D51" s="31">
        <v>1</v>
      </c>
      <c r="E51" s="71">
        <v>63</v>
      </c>
      <c r="F51" s="45">
        <v>300</v>
      </c>
      <c r="G51" s="32"/>
      <c r="H51" s="32">
        <v>1.853</v>
      </c>
      <c r="I51" s="32">
        <v>1.8460000000000001</v>
      </c>
      <c r="J51" s="33">
        <f t="shared" si="2"/>
        <v>6.9999999999998952E-3</v>
      </c>
      <c r="K51" s="34" t="str">
        <f t="shared" si="0"/>
        <v/>
      </c>
      <c r="L51" s="35">
        <f t="shared" si="3"/>
        <v>7.5</v>
      </c>
      <c r="M51" s="36" t="str">
        <f t="shared" si="4"/>
        <v/>
      </c>
      <c r="N51" s="37" t="s">
        <v>18</v>
      </c>
      <c r="O51" s="29">
        <v>1</v>
      </c>
      <c r="P51" s="38">
        <v>40</v>
      </c>
      <c r="Q51" s="46"/>
      <c r="R51" s="28" t="s">
        <v>1772</v>
      </c>
      <c r="S51" s="28" t="s">
        <v>21</v>
      </c>
      <c r="T51" s="46"/>
      <c r="U51" s="28" t="s">
        <v>31</v>
      </c>
    </row>
    <row r="52" spans="1:21" s="27" customFormat="1" x14ac:dyDescent="0.25">
      <c r="A52" s="28" t="s">
        <v>21</v>
      </c>
      <c r="B52" s="74" t="s">
        <v>1743</v>
      </c>
      <c r="C52" s="28" t="s">
        <v>21</v>
      </c>
      <c r="D52" s="31">
        <v>1</v>
      </c>
      <c r="E52" s="71">
        <v>65</v>
      </c>
      <c r="F52" s="45">
        <v>301</v>
      </c>
      <c r="G52" s="32"/>
      <c r="H52" s="32">
        <v>1.8460000000000001</v>
      </c>
      <c r="I52" s="32">
        <v>1.8380000000000001</v>
      </c>
      <c r="J52" s="33">
        <f t="shared" si="2"/>
        <v>8.0000000000000071E-3</v>
      </c>
      <c r="K52" s="34" t="str">
        <f t="shared" si="0"/>
        <v/>
      </c>
      <c r="L52" s="35">
        <f t="shared" si="3"/>
        <v>7.5250000000000004</v>
      </c>
      <c r="M52" s="36" t="str">
        <f t="shared" si="4"/>
        <v/>
      </c>
      <c r="N52" s="37" t="s">
        <v>18</v>
      </c>
      <c r="O52" s="29">
        <v>1</v>
      </c>
      <c r="P52" s="38">
        <v>40</v>
      </c>
      <c r="Q52" s="46"/>
      <c r="R52" s="28" t="s">
        <v>1773</v>
      </c>
      <c r="S52" s="71" t="s">
        <v>58</v>
      </c>
      <c r="T52" s="46"/>
      <c r="U52" s="28" t="s">
        <v>31</v>
      </c>
    </row>
    <row r="53" spans="1:21" s="27" customFormat="1" x14ac:dyDescent="0.25">
      <c r="A53" s="28" t="s">
        <v>21</v>
      </c>
      <c r="B53" s="74" t="s">
        <v>1744</v>
      </c>
      <c r="C53" s="28">
        <v>776985</v>
      </c>
      <c r="D53" s="31">
        <v>1</v>
      </c>
      <c r="E53" s="71">
        <v>61</v>
      </c>
      <c r="F53" s="45">
        <v>301</v>
      </c>
      <c r="G53" s="32"/>
      <c r="H53" s="32">
        <v>1.84</v>
      </c>
      <c r="I53" s="32">
        <v>1.8320000000000001</v>
      </c>
      <c r="J53" s="33">
        <f t="shared" si="2"/>
        <v>8.0000000000000071E-3</v>
      </c>
      <c r="K53" s="34" t="str">
        <f t="shared" si="0"/>
        <v/>
      </c>
      <c r="L53" s="35">
        <f t="shared" si="3"/>
        <v>7.5250000000000004</v>
      </c>
      <c r="M53" s="36" t="str">
        <f t="shared" si="4"/>
        <v/>
      </c>
      <c r="N53" s="37" t="s">
        <v>18</v>
      </c>
      <c r="O53" s="29">
        <v>1</v>
      </c>
      <c r="P53" s="38">
        <v>40</v>
      </c>
      <c r="Q53" s="46"/>
      <c r="R53" s="28" t="s">
        <v>1774</v>
      </c>
      <c r="S53" s="71" t="s">
        <v>59</v>
      </c>
      <c r="T53" s="46"/>
      <c r="U53" s="28" t="s">
        <v>31</v>
      </c>
    </row>
    <row r="54" spans="1:21" s="27" customFormat="1" x14ac:dyDescent="0.25">
      <c r="A54" s="28" t="s">
        <v>21</v>
      </c>
      <c r="B54" s="74" t="s">
        <v>1745</v>
      </c>
      <c r="C54" s="28" t="s">
        <v>21</v>
      </c>
      <c r="D54" s="31">
        <v>1</v>
      </c>
      <c r="E54" s="71">
        <v>69</v>
      </c>
      <c r="F54" s="45">
        <v>303</v>
      </c>
      <c r="G54" s="32"/>
      <c r="H54" s="32">
        <v>1.85</v>
      </c>
      <c r="I54" s="32">
        <v>1.843</v>
      </c>
      <c r="J54" s="33">
        <f t="shared" si="2"/>
        <v>7.0000000000001172E-3</v>
      </c>
      <c r="K54" s="34" t="str">
        <f t="shared" si="0"/>
        <v/>
      </c>
      <c r="L54" s="35">
        <f t="shared" si="3"/>
        <v>7.5750000000000002</v>
      </c>
      <c r="M54" s="36" t="str">
        <f t="shared" si="4"/>
        <v/>
      </c>
      <c r="N54" s="37" t="s">
        <v>18</v>
      </c>
      <c r="O54" s="29">
        <v>1</v>
      </c>
      <c r="P54" s="38">
        <v>40</v>
      </c>
      <c r="Q54" s="46"/>
      <c r="R54" s="28" t="s">
        <v>1776</v>
      </c>
      <c r="S54" s="28" t="s">
        <v>21</v>
      </c>
      <c r="T54" s="46"/>
      <c r="U54" s="28" t="s">
        <v>31</v>
      </c>
    </row>
    <row r="55" spans="1:21" s="27" customFormat="1" x14ac:dyDescent="0.25">
      <c r="A55" s="28" t="s">
        <v>21</v>
      </c>
      <c r="B55" s="74" t="s">
        <v>1746</v>
      </c>
      <c r="C55" s="28" t="s">
        <v>21</v>
      </c>
      <c r="D55" s="31">
        <v>1</v>
      </c>
      <c r="E55" s="71">
        <v>66</v>
      </c>
      <c r="F55" s="45">
        <v>301</v>
      </c>
      <c r="G55" s="32"/>
      <c r="H55" s="32">
        <v>1.829</v>
      </c>
      <c r="I55" s="32">
        <v>1.82</v>
      </c>
      <c r="J55" s="33">
        <f t="shared" si="2"/>
        <v>8.999999999999897E-3</v>
      </c>
      <c r="K55" s="34" t="str">
        <f t="shared" si="0"/>
        <v/>
      </c>
      <c r="L55" s="35">
        <f t="shared" si="3"/>
        <v>7.5250000000000004</v>
      </c>
      <c r="M55" s="36" t="str">
        <f t="shared" si="4"/>
        <v/>
      </c>
      <c r="N55" s="37" t="s">
        <v>18</v>
      </c>
      <c r="O55" s="29">
        <v>1</v>
      </c>
      <c r="P55" s="38">
        <v>40</v>
      </c>
      <c r="Q55" s="46"/>
      <c r="R55" s="28" t="s">
        <v>1777</v>
      </c>
      <c r="S55" s="28" t="s">
        <v>21</v>
      </c>
      <c r="T55" s="46"/>
      <c r="U55" s="28" t="s">
        <v>31</v>
      </c>
    </row>
    <row r="56" spans="1:21" s="27" customFormat="1" x14ac:dyDescent="0.25">
      <c r="A56" s="28" t="s">
        <v>21</v>
      </c>
      <c r="B56" s="74" t="s">
        <v>1747</v>
      </c>
      <c r="C56" s="28" t="s">
        <v>21</v>
      </c>
      <c r="D56" s="31">
        <v>1</v>
      </c>
      <c r="E56" s="71">
        <v>68</v>
      </c>
      <c r="F56" s="45">
        <v>299</v>
      </c>
      <c r="G56" s="32"/>
      <c r="H56" s="32">
        <v>1.831</v>
      </c>
      <c r="I56" s="32">
        <v>1.8240000000000001</v>
      </c>
      <c r="J56" s="33">
        <f t="shared" si="2"/>
        <v>6.9999999999998952E-3</v>
      </c>
      <c r="K56" s="34" t="str">
        <f t="shared" si="0"/>
        <v/>
      </c>
      <c r="L56" s="35">
        <f t="shared" si="3"/>
        <v>7.4749999999999996</v>
      </c>
      <c r="M56" s="36" t="str">
        <f t="shared" si="4"/>
        <v/>
      </c>
      <c r="N56" s="37" t="s">
        <v>18</v>
      </c>
      <c r="O56" s="29">
        <v>1</v>
      </c>
      <c r="P56" s="38">
        <v>40</v>
      </c>
      <c r="Q56" s="46"/>
      <c r="R56" s="28" t="s">
        <v>1775</v>
      </c>
      <c r="S56" s="28" t="s">
        <v>21</v>
      </c>
      <c r="T56" s="46"/>
      <c r="U56" s="28" t="s">
        <v>31</v>
      </c>
    </row>
    <row r="57" spans="1:21" s="27" customFormat="1" x14ac:dyDescent="0.25">
      <c r="A57" s="28" t="s">
        <v>21</v>
      </c>
      <c r="B57" s="74" t="s">
        <v>1748</v>
      </c>
      <c r="C57" s="28" t="s">
        <v>21</v>
      </c>
      <c r="D57" s="31">
        <v>1</v>
      </c>
      <c r="E57" s="73">
        <v>13</v>
      </c>
      <c r="F57" s="45">
        <v>302</v>
      </c>
      <c r="G57" s="32"/>
      <c r="H57" s="32">
        <v>1.8420000000000001</v>
      </c>
      <c r="I57" s="32">
        <v>1.8320000000000001</v>
      </c>
      <c r="J57" s="33">
        <f t="shared" si="2"/>
        <v>1.0000000000000009E-2</v>
      </c>
      <c r="K57" s="34" t="str">
        <f t="shared" si="0"/>
        <v/>
      </c>
      <c r="L57" s="35">
        <f t="shared" si="3"/>
        <v>7.55</v>
      </c>
      <c r="M57" s="36" t="str">
        <f t="shared" si="4"/>
        <v/>
      </c>
      <c r="N57" s="37" t="s">
        <v>18</v>
      </c>
      <c r="O57" s="29">
        <v>1</v>
      </c>
      <c r="P57" s="38">
        <v>40</v>
      </c>
      <c r="Q57" s="46"/>
      <c r="R57" s="28" t="s">
        <v>1778</v>
      </c>
      <c r="S57" s="47"/>
      <c r="T57" s="46"/>
      <c r="U57" s="28" t="s">
        <v>31</v>
      </c>
    </row>
    <row r="58" spans="1:21" s="27" customFormat="1" x14ac:dyDescent="0.25">
      <c r="A58" s="28" t="s">
        <v>21</v>
      </c>
      <c r="B58" s="74" t="s">
        <v>1749</v>
      </c>
      <c r="C58" s="28" t="s">
        <v>21</v>
      </c>
      <c r="D58" s="31">
        <v>1</v>
      </c>
      <c r="E58" s="73">
        <v>22</v>
      </c>
      <c r="F58" s="45">
        <v>300</v>
      </c>
      <c r="G58" s="32"/>
      <c r="H58" s="32">
        <v>1.851</v>
      </c>
      <c r="I58" s="32">
        <v>1.8420000000000001</v>
      </c>
      <c r="J58" s="33">
        <f t="shared" si="2"/>
        <v>8.999999999999897E-3</v>
      </c>
      <c r="K58" s="34" t="str">
        <f t="shared" si="0"/>
        <v/>
      </c>
      <c r="L58" s="35">
        <f t="shared" si="3"/>
        <v>7.5</v>
      </c>
      <c r="M58" s="36" t="str">
        <f t="shared" si="4"/>
        <v/>
      </c>
      <c r="N58" s="37" t="s">
        <v>18</v>
      </c>
      <c r="O58" s="29">
        <v>1</v>
      </c>
      <c r="P58" s="38">
        <v>40</v>
      </c>
      <c r="Q58" s="46"/>
      <c r="R58" s="28" t="s">
        <v>1779</v>
      </c>
      <c r="S58" s="47"/>
      <c r="T58" s="46"/>
      <c r="U58" s="28" t="s">
        <v>31</v>
      </c>
    </row>
    <row r="59" spans="1:21" s="27" customFormat="1" x14ac:dyDescent="0.25">
      <c r="A59" s="28" t="s">
        <v>21</v>
      </c>
      <c r="B59" s="74" t="s">
        <v>1750</v>
      </c>
      <c r="C59" s="28" t="s">
        <v>21</v>
      </c>
      <c r="D59" s="31">
        <v>1</v>
      </c>
      <c r="E59" s="73">
        <v>20</v>
      </c>
      <c r="F59" s="45">
        <v>301</v>
      </c>
      <c r="G59" s="32"/>
      <c r="H59" s="32">
        <v>1.8520000000000001</v>
      </c>
      <c r="I59" s="32">
        <v>1.843</v>
      </c>
      <c r="J59" s="33">
        <f t="shared" si="2"/>
        <v>9.000000000000119E-3</v>
      </c>
      <c r="K59" s="34" t="str">
        <f t="shared" si="0"/>
        <v/>
      </c>
      <c r="L59" s="35">
        <f t="shared" si="3"/>
        <v>7.5250000000000004</v>
      </c>
      <c r="M59" s="36" t="str">
        <f t="shared" si="4"/>
        <v/>
      </c>
      <c r="N59" s="37" t="s">
        <v>18</v>
      </c>
      <c r="O59" s="29">
        <v>1</v>
      </c>
      <c r="P59" s="38">
        <v>40</v>
      </c>
      <c r="Q59" s="46"/>
      <c r="R59" s="28" t="s">
        <v>1780</v>
      </c>
      <c r="S59" s="47"/>
      <c r="T59" s="46"/>
      <c r="U59" s="28" t="s">
        <v>31</v>
      </c>
    </row>
    <row r="60" spans="1:21" s="27" customFormat="1" x14ac:dyDescent="0.25">
      <c r="A60" s="28" t="s">
        <v>21</v>
      </c>
      <c r="B60" s="74" t="s">
        <v>1751</v>
      </c>
      <c r="C60" s="28" t="s">
        <v>21</v>
      </c>
      <c r="D60" s="31">
        <v>1</v>
      </c>
      <c r="E60" s="73">
        <v>23</v>
      </c>
      <c r="F60" s="45">
        <v>301</v>
      </c>
      <c r="G60" s="32"/>
      <c r="H60" s="32">
        <v>1.8520000000000001</v>
      </c>
      <c r="I60" s="32">
        <v>1.8440000000000001</v>
      </c>
      <c r="J60" s="33">
        <f t="shared" si="2"/>
        <v>8.0000000000000071E-3</v>
      </c>
      <c r="K60" s="34" t="str">
        <f t="shared" si="0"/>
        <v/>
      </c>
      <c r="L60" s="35">
        <f t="shared" si="3"/>
        <v>7.5250000000000004</v>
      </c>
      <c r="M60" s="36" t="str">
        <f t="shared" si="4"/>
        <v/>
      </c>
      <c r="N60" s="37" t="s">
        <v>18</v>
      </c>
      <c r="O60" s="29">
        <v>1</v>
      </c>
      <c r="P60" s="38">
        <v>40</v>
      </c>
      <c r="Q60" s="46"/>
      <c r="R60" s="28" t="s">
        <v>1781</v>
      </c>
      <c r="S60" s="47"/>
      <c r="T60" s="46"/>
      <c r="U60" s="28" t="s">
        <v>31</v>
      </c>
    </row>
    <row r="61" spans="1:21" s="27" customFormat="1" x14ac:dyDescent="0.25">
      <c r="A61" s="28" t="s">
        <v>21</v>
      </c>
      <c r="B61" s="74" t="s">
        <v>1752</v>
      </c>
      <c r="C61" s="28" t="s">
        <v>21</v>
      </c>
      <c r="D61" s="31">
        <v>1</v>
      </c>
      <c r="E61" s="73">
        <v>32</v>
      </c>
      <c r="F61" s="45">
        <v>300</v>
      </c>
      <c r="G61" s="32"/>
      <c r="H61" s="32">
        <v>1.849</v>
      </c>
      <c r="I61" s="32">
        <v>1.841</v>
      </c>
      <c r="J61" s="33">
        <f t="shared" si="2"/>
        <v>8.0000000000000071E-3</v>
      </c>
      <c r="K61" s="34" t="str">
        <f t="shared" si="0"/>
        <v/>
      </c>
      <c r="L61" s="35">
        <f t="shared" si="3"/>
        <v>7.5</v>
      </c>
      <c r="M61" s="36" t="str">
        <f t="shared" si="4"/>
        <v/>
      </c>
      <c r="N61" s="37" t="s">
        <v>18</v>
      </c>
      <c r="O61" s="29">
        <v>1</v>
      </c>
      <c r="P61" s="38">
        <v>40</v>
      </c>
      <c r="Q61" s="46"/>
      <c r="R61" s="28" t="s">
        <v>1782</v>
      </c>
      <c r="S61" s="47"/>
      <c r="T61" s="46"/>
      <c r="U61" s="28" t="s">
        <v>31</v>
      </c>
    </row>
    <row r="62" spans="1:21" s="27" customFormat="1" x14ac:dyDescent="0.25">
      <c r="A62" s="28" t="s">
        <v>21</v>
      </c>
      <c r="B62" s="74" t="s">
        <v>1753</v>
      </c>
      <c r="C62" s="28" t="s">
        <v>21</v>
      </c>
      <c r="D62" s="31">
        <v>1</v>
      </c>
      <c r="E62" s="71">
        <v>44</v>
      </c>
      <c r="F62" s="45">
        <v>300</v>
      </c>
      <c r="G62" s="32"/>
      <c r="H62" s="32">
        <v>1.867</v>
      </c>
      <c r="I62" s="32">
        <v>1.861</v>
      </c>
      <c r="J62" s="33">
        <f t="shared" si="2"/>
        <v>6.0000000000000053E-3</v>
      </c>
      <c r="K62" s="34" t="str">
        <f t="shared" si="0"/>
        <v/>
      </c>
      <c r="L62" s="35">
        <f t="shared" si="3"/>
        <v>7.5</v>
      </c>
      <c r="M62" s="36" t="str">
        <f t="shared" si="4"/>
        <v/>
      </c>
      <c r="N62" s="37" t="s">
        <v>18</v>
      </c>
      <c r="O62" s="29">
        <v>1</v>
      </c>
      <c r="P62" s="38">
        <v>40</v>
      </c>
      <c r="Q62" s="46"/>
      <c r="R62" s="28" t="s">
        <v>1783</v>
      </c>
      <c r="S62" s="71" t="s">
        <v>103</v>
      </c>
      <c r="T62" s="46"/>
      <c r="U62" s="28" t="s">
        <v>31</v>
      </c>
    </row>
    <row r="63" spans="1:21" s="27" customFormat="1" x14ac:dyDescent="0.25">
      <c r="A63" s="28" t="s">
        <v>21</v>
      </c>
      <c r="B63" s="74" t="s">
        <v>1754</v>
      </c>
      <c r="C63" s="28" t="s">
        <v>21</v>
      </c>
      <c r="D63" s="31">
        <v>1</v>
      </c>
      <c r="E63" s="71">
        <v>65</v>
      </c>
      <c r="F63" s="45">
        <v>300</v>
      </c>
      <c r="G63" s="32"/>
      <c r="H63" s="32">
        <v>1.8720000000000001</v>
      </c>
      <c r="I63" s="32">
        <v>1.8660000000000001</v>
      </c>
      <c r="J63" s="33">
        <f t="shared" si="2"/>
        <v>6.0000000000000053E-3</v>
      </c>
      <c r="K63" s="34" t="str">
        <f t="shared" si="0"/>
        <v/>
      </c>
      <c r="L63" s="35">
        <f t="shared" si="3"/>
        <v>7.5</v>
      </c>
      <c r="M63" s="36" t="str">
        <f t="shared" si="4"/>
        <v/>
      </c>
      <c r="N63" s="37" t="s">
        <v>18</v>
      </c>
      <c r="O63" s="29">
        <v>1</v>
      </c>
      <c r="P63" s="38">
        <v>40</v>
      </c>
      <c r="Q63" s="46"/>
      <c r="R63" s="28" t="s">
        <v>1784</v>
      </c>
      <c r="S63" s="71" t="s">
        <v>59</v>
      </c>
      <c r="T63" s="46"/>
      <c r="U63" s="28" t="s">
        <v>31</v>
      </c>
    </row>
    <row r="64" spans="1:21" s="27" customFormat="1" x14ac:dyDescent="0.25">
      <c r="A64" s="28" t="s">
        <v>21</v>
      </c>
      <c r="B64" s="74" t="s">
        <v>1755</v>
      </c>
      <c r="C64" s="28" t="s">
        <v>21</v>
      </c>
      <c r="D64" s="31">
        <v>1</v>
      </c>
      <c r="E64" s="71">
        <v>45</v>
      </c>
      <c r="F64" s="45">
        <v>301</v>
      </c>
      <c r="G64" s="32"/>
      <c r="H64" s="32">
        <v>1.8779999999999999</v>
      </c>
      <c r="I64" s="32">
        <v>1.869</v>
      </c>
      <c r="J64" s="33">
        <f t="shared" si="2"/>
        <v>8.999999999999897E-3</v>
      </c>
      <c r="K64" s="34" t="str">
        <f t="shared" si="0"/>
        <v/>
      </c>
      <c r="L64" s="35">
        <f t="shared" si="3"/>
        <v>7.5250000000000004</v>
      </c>
      <c r="M64" s="36" t="str">
        <f t="shared" si="4"/>
        <v/>
      </c>
      <c r="N64" s="37" t="s">
        <v>18</v>
      </c>
      <c r="O64" s="29">
        <v>1</v>
      </c>
      <c r="P64" s="38">
        <v>40</v>
      </c>
      <c r="Q64" s="46"/>
      <c r="R64" s="28" t="s">
        <v>1823</v>
      </c>
      <c r="S64" s="28" t="s">
        <v>21</v>
      </c>
      <c r="T64" s="46"/>
      <c r="U64" s="28" t="s">
        <v>31</v>
      </c>
    </row>
    <row r="65" spans="1:21" s="27" customFormat="1" x14ac:dyDescent="0.25">
      <c r="A65" s="28" t="s">
        <v>21</v>
      </c>
      <c r="B65" s="74" t="s">
        <v>1756</v>
      </c>
      <c r="C65" s="28" t="s">
        <v>21</v>
      </c>
      <c r="D65" s="31">
        <v>1</v>
      </c>
      <c r="E65" s="71">
        <v>8</v>
      </c>
      <c r="F65" s="45">
        <v>303</v>
      </c>
      <c r="G65" s="32"/>
      <c r="H65" s="32">
        <v>1.8740000000000001</v>
      </c>
      <c r="I65" s="32">
        <v>1.861</v>
      </c>
      <c r="J65" s="33">
        <f t="shared" si="2"/>
        <v>1.3000000000000123E-2</v>
      </c>
      <c r="K65" s="34" t="str">
        <f t="shared" si="0"/>
        <v/>
      </c>
      <c r="L65" s="35">
        <f t="shared" si="3"/>
        <v>7.5750000000000002</v>
      </c>
      <c r="M65" s="36" t="str">
        <f t="shared" si="4"/>
        <v/>
      </c>
      <c r="N65" s="37" t="s">
        <v>18</v>
      </c>
      <c r="O65" s="29">
        <v>1</v>
      </c>
      <c r="P65" s="38">
        <v>40</v>
      </c>
      <c r="Q65" s="46"/>
      <c r="R65" s="28" t="s">
        <v>1785</v>
      </c>
      <c r="S65" s="28" t="s">
        <v>21</v>
      </c>
      <c r="T65" s="46"/>
      <c r="U65" s="28" t="s">
        <v>31</v>
      </c>
    </row>
    <row r="66" spans="1:21" s="27" customFormat="1" x14ac:dyDescent="0.25">
      <c r="A66" s="28" t="s">
        <v>21</v>
      </c>
      <c r="B66" s="74" t="s">
        <v>1757</v>
      </c>
      <c r="C66" s="28" t="s">
        <v>21</v>
      </c>
      <c r="D66" s="31">
        <v>1</v>
      </c>
      <c r="E66" s="71">
        <v>66</v>
      </c>
      <c r="F66" s="45">
        <v>301</v>
      </c>
      <c r="G66" s="32"/>
      <c r="H66" s="32">
        <v>1.861</v>
      </c>
      <c r="I66" s="32">
        <v>1.853</v>
      </c>
      <c r="J66" s="33">
        <f t="shared" si="2"/>
        <v>8.0000000000000071E-3</v>
      </c>
      <c r="K66" s="34" t="str">
        <f t="shared" ref="K66:K110" si="5">IF(J66=0,"",IF(OR(J66&lt;0,J66&gt;0.03),"X",""))</f>
        <v/>
      </c>
      <c r="L66" s="35">
        <f t="shared" si="3"/>
        <v>7.5250000000000004</v>
      </c>
      <c r="M66" s="36" t="str">
        <f t="shared" si="4"/>
        <v/>
      </c>
      <c r="N66" s="37" t="s">
        <v>18</v>
      </c>
      <c r="O66" s="29">
        <v>1</v>
      </c>
      <c r="P66" s="38">
        <v>40</v>
      </c>
      <c r="Q66" s="46"/>
      <c r="R66" s="28" t="s">
        <v>1786</v>
      </c>
      <c r="S66" s="28" t="s">
        <v>21</v>
      </c>
      <c r="T66" s="46"/>
      <c r="U66" s="28" t="s">
        <v>31</v>
      </c>
    </row>
    <row r="67" spans="1:21" s="27" customFormat="1" x14ac:dyDescent="0.25">
      <c r="A67" s="28" t="s">
        <v>21</v>
      </c>
      <c r="B67" s="74" t="s">
        <v>1758</v>
      </c>
      <c r="C67" s="28" t="s">
        <v>21</v>
      </c>
      <c r="D67" s="31">
        <v>1</v>
      </c>
      <c r="E67" s="71">
        <v>61</v>
      </c>
      <c r="F67" s="45">
        <v>302</v>
      </c>
      <c r="G67" s="32"/>
      <c r="H67" s="32">
        <v>1.861</v>
      </c>
      <c r="I67" s="32">
        <v>1.8520000000000001</v>
      </c>
      <c r="J67" s="33">
        <f t="shared" si="2"/>
        <v>8.999999999999897E-3</v>
      </c>
      <c r="K67" s="34" t="str">
        <f t="shared" si="5"/>
        <v/>
      </c>
      <c r="L67" s="35">
        <f t="shared" si="3"/>
        <v>7.55</v>
      </c>
      <c r="M67" s="36" t="str">
        <f t="shared" si="4"/>
        <v/>
      </c>
      <c r="N67" s="37" t="s">
        <v>18</v>
      </c>
      <c r="O67" s="29">
        <v>1</v>
      </c>
      <c r="P67" s="38">
        <v>40</v>
      </c>
      <c r="Q67" s="46"/>
      <c r="R67" s="28" t="s">
        <v>1787</v>
      </c>
      <c r="S67" s="28" t="s">
        <v>21</v>
      </c>
      <c r="T67" s="46"/>
      <c r="U67" s="28" t="s">
        <v>31</v>
      </c>
    </row>
    <row r="68" spans="1:21" s="27" customFormat="1" x14ac:dyDescent="0.25">
      <c r="A68" s="28" t="s">
        <v>21</v>
      </c>
      <c r="B68" s="74" t="s">
        <v>1759</v>
      </c>
      <c r="C68" s="28" t="s">
        <v>21</v>
      </c>
      <c r="D68" s="31">
        <v>1</v>
      </c>
      <c r="E68" s="71">
        <v>47</v>
      </c>
      <c r="F68" s="45">
        <v>301</v>
      </c>
      <c r="G68" s="32"/>
      <c r="H68" s="32">
        <v>1.851</v>
      </c>
      <c r="I68" s="32">
        <v>1.8420000000000001</v>
      </c>
      <c r="J68" s="33">
        <f t="shared" si="2"/>
        <v>8.999999999999897E-3</v>
      </c>
      <c r="K68" s="34" t="str">
        <f t="shared" si="5"/>
        <v/>
      </c>
      <c r="L68" s="35">
        <f t="shared" si="3"/>
        <v>7.5250000000000004</v>
      </c>
      <c r="M68" s="36" t="str">
        <f t="shared" si="4"/>
        <v/>
      </c>
      <c r="N68" s="37" t="s">
        <v>18</v>
      </c>
      <c r="O68" s="29">
        <v>1</v>
      </c>
      <c r="P68" s="38">
        <v>40</v>
      </c>
      <c r="Q68" s="46"/>
      <c r="R68" s="28" t="s">
        <v>1789</v>
      </c>
      <c r="S68" s="28" t="s">
        <v>21</v>
      </c>
      <c r="T68" s="46"/>
      <c r="U68" s="28" t="s">
        <v>31</v>
      </c>
    </row>
    <row r="69" spans="1:21" s="27" customFormat="1" x14ac:dyDescent="0.25">
      <c r="A69" s="28" t="s">
        <v>21</v>
      </c>
      <c r="B69" s="74" t="s">
        <v>1760</v>
      </c>
      <c r="C69" s="28" t="s">
        <v>21</v>
      </c>
      <c r="D69" s="31">
        <v>1</v>
      </c>
      <c r="E69" s="71">
        <v>71</v>
      </c>
      <c r="F69" s="45">
        <v>301</v>
      </c>
      <c r="G69" s="32"/>
      <c r="H69" s="32">
        <v>1.8520000000000001</v>
      </c>
      <c r="I69" s="32">
        <v>1.845</v>
      </c>
      <c r="J69" s="33">
        <f t="shared" si="2"/>
        <v>7.0000000000001172E-3</v>
      </c>
      <c r="K69" s="34" t="str">
        <f t="shared" si="5"/>
        <v/>
      </c>
      <c r="L69" s="35">
        <f t="shared" si="3"/>
        <v>7.5250000000000004</v>
      </c>
      <c r="M69" s="36" t="str">
        <f t="shared" si="4"/>
        <v/>
      </c>
      <c r="N69" s="37" t="s">
        <v>18</v>
      </c>
      <c r="O69" s="29">
        <v>1</v>
      </c>
      <c r="P69" s="38">
        <v>40</v>
      </c>
      <c r="Q69" s="46"/>
      <c r="R69" s="28" t="s">
        <v>1790</v>
      </c>
      <c r="S69" s="28" t="s">
        <v>21</v>
      </c>
      <c r="T69" s="46"/>
      <c r="U69" s="28" t="s">
        <v>31</v>
      </c>
    </row>
    <row r="70" spans="1:21" s="27" customFormat="1" x14ac:dyDescent="0.25">
      <c r="A70" s="28" t="s">
        <v>21</v>
      </c>
      <c r="B70" s="74" t="s">
        <v>1761</v>
      </c>
      <c r="C70" s="28" t="s">
        <v>21</v>
      </c>
      <c r="D70" s="31">
        <v>1</v>
      </c>
      <c r="E70" s="71">
        <v>62</v>
      </c>
      <c r="F70" s="45">
        <v>301</v>
      </c>
      <c r="G70" s="32"/>
      <c r="H70" s="32">
        <v>1.851</v>
      </c>
      <c r="I70" s="32">
        <v>1.843</v>
      </c>
      <c r="J70" s="33">
        <f t="shared" si="2"/>
        <v>8.0000000000000071E-3</v>
      </c>
      <c r="K70" s="34" t="str">
        <f t="shared" si="5"/>
        <v/>
      </c>
      <c r="L70" s="35">
        <f t="shared" si="3"/>
        <v>7.5250000000000004</v>
      </c>
      <c r="M70" s="36" t="str">
        <f t="shared" si="4"/>
        <v/>
      </c>
      <c r="N70" s="37" t="s">
        <v>18</v>
      </c>
      <c r="O70" s="29">
        <v>1</v>
      </c>
      <c r="P70" s="38">
        <v>40</v>
      </c>
      <c r="Q70" s="46"/>
      <c r="R70" s="28" t="s">
        <v>1788</v>
      </c>
      <c r="S70" s="28" t="s">
        <v>21</v>
      </c>
      <c r="T70" s="46"/>
      <c r="U70" s="28" t="s">
        <v>31</v>
      </c>
    </row>
    <row r="71" spans="1:21" s="27" customFormat="1" x14ac:dyDescent="0.25">
      <c r="A71" s="28" t="s">
        <v>21</v>
      </c>
      <c r="B71" s="74" t="s">
        <v>1762</v>
      </c>
      <c r="C71" s="28" t="s">
        <v>21</v>
      </c>
      <c r="D71" s="31">
        <v>1</v>
      </c>
      <c r="E71" s="71">
        <v>67</v>
      </c>
      <c r="F71" s="45">
        <v>297</v>
      </c>
      <c r="G71" s="32"/>
      <c r="H71" s="32">
        <v>1.8560000000000001</v>
      </c>
      <c r="I71" s="32">
        <v>1.8480000000000001</v>
      </c>
      <c r="J71" s="33">
        <f t="shared" si="2"/>
        <v>8.0000000000000071E-3</v>
      </c>
      <c r="K71" s="34" t="str">
        <f t="shared" si="5"/>
        <v/>
      </c>
      <c r="L71" s="35">
        <f t="shared" si="3"/>
        <v>7.4249999999999998</v>
      </c>
      <c r="M71" s="36" t="str">
        <f t="shared" si="4"/>
        <v/>
      </c>
      <c r="N71" s="37" t="s">
        <v>18</v>
      </c>
      <c r="O71" s="29">
        <v>1</v>
      </c>
      <c r="P71" s="38">
        <v>40</v>
      </c>
      <c r="Q71" s="46"/>
      <c r="R71" s="28" t="s">
        <v>1791</v>
      </c>
      <c r="S71" s="28" t="s">
        <v>21</v>
      </c>
      <c r="T71" s="46"/>
      <c r="U71" s="28" t="s">
        <v>31</v>
      </c>
    </row>
    <row r="72" spans="1:21" s="27" customFormat="1" x14ac:dyDescent="0.25">
      <c r="A72" s="28" t="s">
        <v>1792</v>
      </c>
      <c r="B72" s="74" t="s">
        <v>1793</v>
      </c>
      <c r="C72" s="28">
        <v>698227</v>
      </c>
      <c r="D72" s="31">
        <v>1</v>
      </c>
      <c r="E72" s="71">
        <v>31</v>
      </c>
      <c r="F72" s="31">
        <v>189</v>
      </c>
      <c r="G72" s="32"/>
      <c r="H72" s="32">
        <v>1.8720000000000001</v>
      </c>
      <c r="I72" s="32">
        <v>1.863</v>
      </c>
      <c r="J72" s="33">
        <f t="shared" ref="J72:J101" si="6">IF(O72&lt;&gt;"",(H72-I72)/O72,"")</f>
        <v>9.000000000000119E-3</v>
      </c>
      <c r="K72" s="34" t="str">
        <f t="shared" si="5"/>
        <v/>
      </c>
      <c r="L72" s="35">
        <f t="shared" ref="L72:L101" si="7">F72/(O72*P72)</f>
        <v>7.56</v>
      </c>
      <c r="M72" s="36" t="str">
        <f t="shared" ref="M72:M101" si="8">IF(L72=0,"",IF(OR(L72&lt;7,L72&gt;7.8),"X",""))</f>
        <v/>
      </c>
      <c r="N72" s="37" t="s">
        <v>16</v>
      </c>
      <c r="O72" s="29">
        <v>1</v>
      </c>
      <c r="P72" s="38">
        <v>25</v>
      </c>
      <c r="Q72" s="28"/>
      <c r="R72" s="28" t="s">
        <v>1824</v>
      </c>
      <c r="S72" s="71" t="s">
        <v>103</v>
      </c>
      <c r="T72" s="28"/>
      <c r="U72" s="28" t="s">
        <v>31</v>
      </c>
    </row>
    <row r="73" spans="1:21" s="27" customFormat="1" x14ac:dyDescent="0.25">
      <c r="A73" s="28" t="s">
        <v>21</v>
      </c>
      <c r="B73" s="74" t="s">
        <v>1794</v>
      </c>
      <c r="C73" s="28" t="s">
        <v>21</v>
      </c>
      <c r="D73" s="31">
        <v>1</v>
      </c>
      <c r="E73" s="71">
        <v>29</v>
      </c>
      <c r="F73" s="31">
        <v>188</v>
      </c>
      <c r="G73" s="32"/>
      <c r="H73" s="32">
        <v>1.865</v>
      </c>
      <c r="I73" s="32">
        <v>1.857</v>
      </c>
      <c r="J73" s="33">
        <f>IF(O73&lt;&gt;"",(H73-I73)/O73,"")</f>
        <v>8.0000000000000071E-3</v>
      </c>
      <c r="K73" s="34" t="str">
        <f t="shared" si="5"/>
        <v/>
      </c>
      <c r="L73" s="35">
        <f>F73/(O73*P73)</f>
        <v>7.52</v>
      </c>
      <c r="M73" s="36" t="str">
        <f t="shared" si="8"/>
        <v/>
      </c>
      <c r="N73" s="37" t="s">
        <v>16</v>
      </c>
      <c r="O73" s="29">
        <v>1</v>
      </c>
      <c r="P73" s="38">
        <v>25</v>
      </c>
      <c r="Q73" s="28"/>
      <c r="R73" s="28" t="s">
        <v>1825</v>
      </c>
      <c r="S73" s="71" t="s">
        <v>59</v>
      </c>
      <c r="T73" s="28"/>
      <c r="U73" s="28" t="s">
        <v>31</v>
      </c>
    </row>
    <row r="74" spans="1:21" s="27" customFormat="1" x14ac:dyDescent="0.25">
      <c r="A74" s="28" t="s">
        <v>21</v>
      </c>
      <c r="B74" s="74" t="s">
        <v>1795</v>
      </c>
      <c r="C74" s="28" t="s">
        <v>21</v>
      </c>
      <c r="D74" s="31">
        <v>1</v>
      </c>
      <c r="E74" s="71">
        <v>24</v>
      </c>
      <c r="F74" s="31">
        <v>189</v>
      </c>
      <c r="G74" s="32"/>
      <c r="H74" s="32">
        <v>1.879</v>
      </c>
      <c r="I74" s="32">
        <v>1.8720000000000001</v>
      </c>
      <c r="J74" s="33">
        <f t="shared" si="6"/>
        <v>6.9999999999998952E-3</v>
      </c>
      <c r="K74" s="34" t="str">
        <f t="shared" si="5"/>
        <v/>
      </c>
      <c r="L74" s="35">
        <f t="shared" si="7"/>
        <v>7.56</v>
      </c>
      <c r="M74" s="36" t="str">
        <f t="shared" si="8"/>
        <v/>
      </c>
      <c r="N74" s="37" t="s">
        <v>16</v>
      </c>
      <c r="O74" s="29">
        <v>1</v>
      </c>
      <c r="P74" s="38">
        <v>25</v>
      </c>
      <c r="Q74" s="28"/>
      <c r="R74" s="28" t="s">
        <v>1826</v>
      </c>
      <c r="S74" s="28" t="s">
        <v>21</v>
      </c>
      <c r="T74" s="28"/>
      <c r="U74" s="28" t="s">
        <v>31</v>
      </c>
    </row>
    <row r="75" spans="1:21" s="27" customFormat="1" x14ac:dyDescent="0.25">
      <c r="A75" s="28" t="s">
        <v>21</v>
      </c>
      <c r="B75" s="74" t="s">
        <v>1796</v>
      </c>
      <c r="C75" s="28" t="s">
        <v>21</v>
      </c>
      <c r="D75" s="31">
        <v>1</v>
      </c>
      <c r="E75" s="71">
        <v>35</v>
      </c>
      <c r="F75" s="31">
        <v>188</v>
      </c>
      <c r="G75" s="32"/>
      <c r="H75" s="32">
        <v>1.869</v>
      </c>
      <c r="I75" s="32">
        <v>1.861</v>
      </c>
      <c r="J75" s="33">
        <f>IF(O75&lt;&gt;"",(H75-I75)/O75,"")</f>
        <v>8.0000000000000071E-3</v>
      </c>
      <c r="K75" s="34" t="str">
        <f t="shared" si="5"/>
        <v/>
      </c>
      <c r="L75" s="35">
        <f>F75/(O75*P75)</f>
        <v>7.52</v>
      </c>
      <c r="M75" s="36" t="str">
        <f t="shared" si="8"/>
        <v/>
      </c>
      <c r="N75" s="37" t="s">
        <v>16</v>
      </c>
      <c r="O75" s="29">
        <v>1</v>
      </c>
      <c r="P75" s="38">
        <v>25</v>
      </c>
      <c r="Q75" s="28"/>
      <c r="R75" s="28" t="s">
        <v>1828</v>
      </c>
      <c r="S75" s="28" t="s">
        <v>21</v>
      </c>
      <c r="T75" s="28"/>
      <c r="U75" s="28" t="s">
        <v>31</v>
      </c>
    </row>
    <row r="76" spans="1:21" s="27" customFormat="1" x14ac:dyDescent="0.25">
      <c r="A76" s="28" t="s">
        <v>21</v>
      </c>
      <c r="B76" s="74" t="s">
        <v>1798</v>
      </c>
      <c r="C76" s="28" t="s">
        <v>21</v>
      </c>
      <c r="D76" s="31">
        <v>1</v>
      </c>
      <c r="E76" s="71">
        <v>38</v>
      </c>
      <c r="F76" s="31">
        <v>188</v>
      </c>
      <c r="G76" s="32"/>
      <c r="H76" s="32">
        <v>1.8660000000000001</v>
      </c>
      <c r="I76" s="32">
        <v>1.8580000000000001</v>
      </c>
      <c r="J76" s="33">
        <f t="shared" si="6"/>
        <v>8.0000000000000071E-3</v>
      </c>
      <c r="K76" s="34" t="str">
        <f t="shared" si="5"/>
        <v/>
      </c>
      <c r="L76" s="35">
        <f t="shared" si="7"/>
        <v>7.52</v>
      </c>
      <c r="M76" s="36" t="str">
        <f t="shared" si="8"/>
        <v/>
      </c>
      <c r="N76" s="37" t="s">
        <v>16</v>
      </c>
      <c r="O76" s="29">
        <v>1</v>
      </c>
      <c r="P76" s="38">
        <v>25</v>
      </c>
      <c r="Q76" s="28"/>
      <c r="R76" s="28" t="s">
        <v>1829</v>
      </c>
      <c r="S76" s="28" t="s">
        <v>21</v>
      </c>
      <c r="T76" s="28"/>
      <c r="U76" s="28" t="s">
        <v>31</v>
      </c>
    </row>
    <row r="77" spans="1:21" s="27" customFormat="1" x14ac:dyDescent="0.25">
      <c r="A77" s="28" t="s">
        <v>21</v>
      </c>
      <c r="B77" s="74" t="s">
        <v>1799</v>
      </c>
      <c r="C77" s="28" t="s">
        <v>21</v>
      </c>
      <c r="D77" s="31">
        <v>1</v>
      </c>
      <c r="E77" s="71">
        <v>39</v>
      </c>
      <c r="F77" s="31">
        <v>188</v>
      </c>
      <c r="G77" s="32"/>
      <c r="H77" s="32">
        <v>1.86</v>
      </c>
      <c r="I77" s="32">
        <v>1.8520000000000001</v>
      </c>
      <c r="J77" s="33">
        <f t="shared" si="6"/>
        <v>8.0000000000000071E-3</v>
      </c>
      <c r="K77" s="34" t="str">
        <f t="shared" si="5"/>
        <v/>
      </c>
      <c r="L77" s="35">
        <f t="shared" si="7"/>
        <v>7.52</v>
      </c>
      <c r="M77" s="36" t="str">
        <f t="shared" si="8"/>
        <v/>
      </c>
      <c r="N77" s="37" t="s">
        <v>16</v>
      </c>
      <c r="O77" s="29">
        <v>1</v>
      </c>
      <c r="P77" s="38">
        <v>25</v>
      </c>
      <c r="Q77" s="28"/>
      <c r="R77" s="28" t="s">
        <v>1830</v>
      </c>
      <c r="S77" s="28" t="s">
        <v>21</v>
      </c>
      <c r="T77" s="28"/>
      <c r="U77" s="28" t="s">
        <v>31</v>
      </c>
    </row>
    <row r="78" spans="1:21" s="27" customFormat="1" x14ac:dyDescent="0.25">
      <c r="A78" s="28" t="s">
        <v>21</v>
      </c>
      <c r="B78" s="74" t="s">
        <v>1797</v>
      </c>
      <c r="C78" s="28" t="s">
        <v>21</v>
      </c>
      <c r="D78" s="31">
        <v>1</v>
      </c>
      <c r="E78" s="71">
        <v>36</v>
      </c>
      <c r="F78" s="31">
        <v>188</v>
      </c>
      <c r="G78" s="32"/>
      <c r="H78" s="32">
        <v>1.8560000000000001</v>
      </c>
      <c r="I78" s="32">
        <v>1.847</v>
      </c>
      <c r="J78" s="33">
        <f t="shared" si="6"/>
        <v>9.000000000000119E-3</v>
      </c>
      <c r="K78" s="34" t="str">
        <f t="shared" si="5"/>
        <v/>
      </c>
      <c r="L78" s="35">
        <f t="shared" si="7"/>
        <v>7.52</v>
      </c>
      <c r="M78" s="36" t="str">
        <f t="shared" si="8"/>
        <v/>
      </c>
      <c r="N78" s="37" t="s">
        <v>16</v>
      </c>
      <c r="O78" s="29">
        <v>1</v>
      </c>
      <c r="P78" s="38">
        <v>25</v>
      </c>
      <c r="Q78" s="28"/>
      <c r="R78" s="28" t="s">
        <v>1832</v>
      </c>
      <c r="S78" s="28" t="s">
        <v>21</v>
      </c>
      <c r="T78" s="28"/>
      <c r="U78" s="28" t="s">
        <v>31</v>
      </c>
    </row>
    <row r="79" spans="1:21" s="27" customFormat="1" x14ac:dyDescent="0.25">
      <c r="A79" s="28" t="s">
        <v>21</v>
      </c>
      <c r="B79" s="74" t="s">
        <v>1800</v>
      </c>
      <c r="C79" s="28" t="s">
        <v>21</v>
      </c>
      <c r="D79" s="31">
        <v>1</v>
      </c>
      <c r="E79" s="71">
        <v>36</v>
      </c>
      <c r="F79" s="31">
        <v>188</v>
      </c>
      <c r="G79" s="32"/>
      <c r="H79" s="32">
        <v>1.8380000000000001</v>
      </c>
      <c r="I79" s="32">
        <v>1.829</v>
      </c>
      <c r="J79" s="33">
        <f t="shared" si="6"/>
        <v>9.000000000000119E-3</v>
      </c>
      <c r="K79" s="34" t="str">
        <f t="shared" si="5"/>
        <v/>
      </c>
      <c r="L79" s="35">
        <f t="shared" si="7"/>
        <v>7.52</v>
      </c>
      <c r="M79" s="36" t="str">
        <f t="shared" si="8"/>
        <v/>
      </c>
      <c r="N79" s="37" t="s">
        <v>16</v>
      </c>
      <c r="O79" s="29">
        <v>1</v>
      </c>
      <c r="P79" s="38">
        <v>25</v>
      </c>
      <c r="Q79" s="28"/>
      <c r="R79" s="28" t="s">
        <v>1827</v>
      </c>
      <c r="S79" s="28" t="s">
        <v>21</v>
      </c>
      <c r="T79" s="28"/>
      <c r="U79" s="28" t="s">
        <v>31</v>
      </c>
    </row>
    <row r="80" spans="1:21" s="27" customFormat="1" x14ac:dyDescent="0.25">
      <c r="A80" s="28" t="s">
        <v>21</v>
      </c>
      <c r="B80" s="74" t="s">
        <v>1801</v>
      </c>
      <c r="C80" s="28" t="s">
        <v>21</v>
      </c>
      <c r="D80" s="31">
        <v>1</v>
      </c>
      <c r="E80" s="71">
        <v>61</v>
      </c>
      <c r="F80" s="31">
        <v>188</v>
      </c>
      <c r="G80" s="32"/>
      <c r="H80" s="32">
        <v>1.8520000000000001</v>
      </c>
      <c r="I80" s="32">
        <v>1.845</v>
      </c>
      <c r="J80" s="33">
        <f t="shared" si="6"/>
        <v>7.0000000000001172E-3</v>
      </c>
      <c r="K80" s="34" t="str">
        <f t="shared" si="5"/>
        <v/>
      </c>
      <c r="L80" s="35">
        <f t="shared" si="7"/>
        <v>7.52</v>
      </c>
      <c r="M80" s="36" t="str">
        <f t="shared" si="8"/>
        <v/>
      </c>
      <c r="N80" s="37" t="s">
        <v>16</v>
      </c>
      <c r="O80" s="29">
        <v>1</v>
      </c>
      <c r="P80" s="38">
        <v>25</v>
      </c>
      <c r="Q80" s="28"/>
      <c r="R80" s="28" t="s">
        <v>1833</v>
      </c>
      <c r="S80" s="28" t="s">
        <v>21</v>
      </c>
      <c r="T80" s="28"/>
      <c r="U80" s="28" t="s">
        <v>31</v>
      </c>
    </row>
    <row r="81" spans="1:21" s="27" customFormat="1" x14ac:dyDescent="0.25">
      <c r="A81" s="28" t="s">
        <v>21</v>
      </c>
      <c r="B81" s="74" t="s">
        <v>1802</v>
      </c>
      <c r="C81" s="28" t="s">
        <v>21</v>
      </c>
      <c r="D81" s="31">
        <v>1</v>
      </c>
      <c r="E81" s="71">
        <v>49</v>
      </c>
      <c r="F81" s="31">
        <v>186</v>
      </c>
      <c r="G81" s="32"/>
      <c r="H81" s="32">
        <v>1.833</v>
      </c>
      <c r="I81" s="32">
        <v>1.8240000000000001</v>
      </c>
      <c r="J81" s="33">
        <f t="shared" si="6"/>
        <v>8.999999999999897E-3</v>
      </c>
      <c r="K81" s="34" t="str">
        <f t="shared" si="5"/>
        <v/>
      </c>
      <c r="L81" s="35">
        <f t="shared" si="7"/>
        <v>7.44</v>
      </c>
      <c r="M81" s="36" t="str">
        <f t="shared" si="8"/>
        <v/>
      </c>
      <c r="N81" s="37" t="s">
        <v>16</v>
      </c>
      <c r="O81" s="29">
        <v>1</v>
      </c>
      <c r="P81" s="38">
        <v>25</v>
      </c>
      <c r="Q81" s="28"/>
      <c r="R81" s="28" t="s">
        <v>1831</v>
      </c>
      <c r="S81" s="28" t="s">
        <v>21</v>
      </c>
      <c r="T81" s="28"/>
      <c r="U81" s="28" t="s">
        <v>31</v>
      </c>
    </row>
    <row r="82" spans="1:21" s="27" customFormat="1" x14ac:dyDescent="0.25">
      <c r="A82" s="28" t="s">
        <v>21</v>
      </c>
      <c r="B82" s="74" t="s">
        <v>1803</v>
      </c>
      <c r="C82" s="28">
        <v>698232</v>
      </c>
      <c r="D82" s="31">
        <v>1</v>
      </c>
      <c r="E82" s="71">
        <v>32</v>
      </c>
      <c r="F82" s="31">
        <v>185</v>
      </c>
      <c r="G82" s="32"/>
      <c r="H82" s="32">
        <v>1.881</v>
      </c>
      <c r="I82" s="32">
        <v>1.875</v>
      </c>
      <c r="J82" s="33">
        <f t="shared" si="6"/>
        <v>6.0000000000000053E-3</v>
      </c>
      <c r="K82" s="34" t="str">
        <f t="shared" si="5"/>
        <v/>
      </c>
      <c r="L82" s="35">
        <f t="shared" si="7"/>
        <v>7.4</v>
      </c>
      <c r="M82" s="36" t="str">
        <f t="shared" si="8"/>
        <v/>
      </c>
      <c r="N82" s="37" t="s">
        <v>16</v>
      </c>
      <c r="O82" s="29">
        <v>1</v>
      </c>
      <c r="P82" s="38">
        <v>25</v>
      </c>
      <c r="Q82" s="28"/>
      <c r="R82" s="28" t="s">
        <v>1834</v>
      </c>
      <c r="S82" s="71" t="s">
        <v>103</v>
      </c>
      <c r="T82" s="28"/>
      <c r="U82" s="28" t="s">
        <v>31</v>
      </c>
    </row>
    <row r="83" spans="1:21" s="27" customFormat="1" x14ac:dyDescent="0.25">
      <c r="A83" s="28" t="s">
        <v>21</v>
      </c>
      <c r="B83" s="74" t="s">
        <v>1804</v>
      </c>
      <c r="C83" s="28" t="s">
        <v>21</v>
      </c>
      <c r="D83" s="31">
        <v>1</v>
      </c>
      <c r="E83" s="71">
        <v>31</v>
      </c>
      <c r="F83" s="31">
        <v>184</v>
      </c>
      <c r="G83" s="32"/>
      <c r="H83" s="32">
        <v>1.89</v>
      </c>
      <c r="I83" s="32">
        <v>1.8839999999999999</v>
      </c>
      <c r="J83" s="33">
        <f t="shared" si="6"/>
        <v>6.0000000000000053E-3</v>
      </c>
      <c r="K83" s="34" t="str">
        <f t="shared" si="5"/>
        <v/>
      </c>
      <c r="L83" s="35">
        <f t="shared" si="7"/>
        <v>7.36</v>
      </c>
      <c r="M83" s="36" t="str">
        <f t="shared" si="8"/>
        <v/>
      </c>
      <c r="N83" s="37" t="s">
        <v>16</v>
      </c>
      <c r="O83" s="29">
        <v>1</v>
      </c>
      <c r="P83" s="38">
        <v>25</v>
      </c>
      <c r="Q83" s="28"/>
      <c r="R83" s="28" t="s">
        <v>1835</v>
      </c>
      <c r="S83" s="71" t="s">
        <v>59</v>
      </c>
      <c r="T83" s="28"/>
      <c r="U83" s="28" t="s">
        <v>31</v>
      </c>
    </row>
    <row r="84" spans="1:21" s="27" customFormat="1" x14ac:dyDescent="0.25">
      <c r="A84" s="28" t="s">
        <v>21</v>
      </c>
      <c r="B84" s="74" t="s">
        <v>1805</v>
      </c>
      <c r="C84" s="28" t="s">
        <v>21</v>
      </c>
      <c r="D84" s="31">
        <v>1</v>
      </c>
      <c r="E84" s="71">
        <v>34</v>
      </c>
      <c r="F84" s="31">
        <v>185</v>
      </c>
      <c r="G84" s="32"/>
      <c r="H84" s="32">
        <v>1.8819999999999999</v>
      </c>
      <c r="I84" s="32">
        <v>1.8759999999999999</v>
      </c>
      <c r="J84" s="33">
        <f t="shared" si="6"/>
        <v>6.0000000000000053E-3</v>
      </c>
      <c r="K84" s="34" t="str">
        <f t="shared" si="5"/>
        <v/>
      </c>
      <c r="L84" s="35">
        <f t="shared" si="7"/>
        <v>7.4</v>
      </c>
      <c r="M84" s="36" t="str">
        <f t="shared" si="8"/>
        <v/>
      </c>
      <c r="N84" s="37" t="s">
        <v>16</v>
      </c>
      <c r="O84" s="29">
        <v>1</v>
      </c>
      <c r="P84" s="38">
        <v>25</v>
      </c>
      <c r="Q84" s="28"/>
      <c r="R84" s="28" t="s">
        <v>1836</v>
      </c>
      <c r="S84" s="28" t="s">
        <v>21</v>
      </c>
      <c r="T84" s="28"/>
      <c r="U84" s="28" t="s">
        <v>31</v>
      </c>
    </row>
    <row r="85" spans="1:21" s="27" customFormat="1" x14ac:dyDescent="0.25">
      <c r="A85" s="28" t="s">
        <v>21</v>
      </c>
      <c r="B85" s="74" t="s">
        <v>1806</v>
      </c>
      <c r="C85" s="28" t="s">
        <v>21</v>
      </c>
      <c r="D85" s="31">
        <v>1</v>
      </c>
      <c r="E85" s="71">
        <v>29</v>
      </c>
      <c r="F85" s="31">
        <v>185</v>
      </c>
      <c r="G85" s="32"/>
      <c r="H85" s="32">
        <v>1.881</v>
      </c>
      <c r="I85" s="32">
        <v>1.873</v>
      </c>
      <c r="J85" s="33">
        <f t="shared" si="6"/>
        <v>8.0000000000000071E-3</v>
      </c>
      <c r="K85" s="34" t="str">
        <f t="shared" si="5"/>
        <v/>
      </c>
      <c r="L85" s="35">
        <f t="shared" si="7"/>
        <v>7.4</v>
      </c>
      <c r="M85" s="36" t="str">
        <f t="shared" si="8"/>
        <v/>
      </c>
      <c r="N85" s="37" t="s">
        <v>16</v>
      </c>
      <c r="O85" s="29">
        <v>1</v>
      </c>
      <c r="P85" s="38">
        <v>25</v>
      </c>
      <c r="Q85" s="28"/>
      <c r="R85" s="28" t="s">
        <v>1838</v>
      </c>
      <c r="S85" s="28" t="s">
        <v>21</v>
      </c>
      <c r="T85" s="28"/>
      <c r="U85" s="28" t="s">
        <v>31</v>
      </c>
    </row>
    <row r="86" spans="1:21" s="27" customFormat="1" x14ac:dyDescent="0.25">
      <c r="A86" s="28" t="s">
        <v>21</v>
      </c>
      <c r="B86" s="74" t="s">
        <v>1807</v>
      </c>
      <c r="C86" s="28" t="s">
        <v>21</v>
      </c>
      <c r="D86" s="31">
        <v>1</v>
      </c>
      <c r="E86" s="71">
        <v>37</v>
      </c>
      <c r="F86" s="31">
        <v>185</v>
      </c>
      <c r="G86" s="32"/>
      <c r="H86" s="32">
        <v>1.891</v>
      </c>
      <c r="I86" s="32">
        <v>1.8859999999999999</v>
      </c>
      <c r="J86" s="33">
        <f t="shared" si="6"/>
        <v>5.0000000000001155E-3</v>
      </c>
      <c r="K86" s="34" t="str">
        <f t="shared" si="5"/>
        <v/>
      </c>
      <c r="L86" s="35">
        <f t="shared" si="7"/>
        <v>7.4</v>
      </c>
      <c r="M86" s="36" t="str">
        <f t="shared" si="8"/>
        <v/>
      </c>
      <c r="N86" s="37" t="s">
        <v>16</v>
      </c>
      <c r="O86" s="29">
        <v>1</v>
      </c>
      <c r="P86" s="38">
        <v>25</v>
      </c>
      <c r="Q86" s="28"/>
      <c r="R86" s="28" t="s">
        <v>1839</v>
      </c>
      <c r="S86" s="28" t="s">
        <v>21</v>
      </c>
      <c r="T86" s="28"/>
      <c r="U86" s="28" t="s">
        <v>31</v>
      </c>
    </row>
    <row r="87" spans="1:21" s="27" customFormat="1" x14ac:dyDescent="0.25">
      <c r="A87" s="28" t="s">
        <v>21</v>
      </c>
      <c r="B87" s="74" t="s">
        <v>1808</v>
      </c>
      <c r="C87" s="28" t="s">
        <v>21</v>
      </c>
      <c r="D87" s="31">
        <v>1</v>
      </c>
      <c r="E87" s="71">
        <v>48</v>
      </c>
      <c r="F87" s="31">
        <v>184</v>
      </c>
      <c r="G87" s="32"/>
      <c r="H87" s="32">
        <v>1.8959999999999999</v>
      </c>
      <c r="I87" s="32">
        <v>1.89</v>
      </c>
      <c r="J87" s="33">
        <f t="shared" si="6"/>
        <v>6.0000000000000053E-3</v>
      </c>
      <c r="K87" s="34" t="str">
        <f t="shared" si="5"/>
        <v/>
      </c>
      <c r="L87" s="35">
        <f t="shared" si="7"/>
        <v>7.36</v>
      </c>
      <c r="M87" s="36" t="str">
        <f t="shared" si="8"/>
        <v/>
      </c>
      <c r="N87" s="37" t="s">
        <v>16</v>
      </c>
      <c r="O87" s="29">
        <v>1</v>
      </c>
      <c r="P87" s="38">
        <v>25</v>
      </c>
      <c r="Q87" s="28"/>
      <c r="R87" s="28" t="s">
        <v>1840</v>
      </c>
      <c r="S87" s="28" t="s">
        <v>21</v>
      </c>
      <c r="T87" s="28"/>
      <c r="U87" s="28" t="s">
        <v>31</v>
      </c>
    </row>
    <row r="88" spans="1:21" s="27" customFormat="1" x14ac:dyDescent="0.25">
      <c r="A88" s="28" t="s">
        <v>21</v>
      </c>
      <c r="B88" s="74" t="s">
        <v>1809</v>
      </c>
      <c r="C88" s="28" t="s">
        <v>21</v>
      </c>
      <c r="D88" s="31">
        <v>1</v>
      </c>
      <c r="E88" s="71">
        <v>59</v>
      </c>
      <c r="F88" s="31">
        <v>185</v>
      </c>
      <c r="G88" s="32"/>
      <c r="H88" s="32">
        <v>1.883</v>
      </c>
      <c r="I88" s="32">
        <v>1.877</v>
      </c>
      <c r="J88" s="33">
        <f t="shared" si="6"/>
        <v>6.0000000000000053E-3</v>
      </c>
      <c r="K88" s="34" t="str">
        <f t="shared" si="5"/>
        <v/>
      </c>
      <c r="L88" s="35">
        <f t="shared" si="7"/>
        <v>7.4</v>
      </c>
      <c r="M88" s="36" t="str">
        <f t="shared" si="8"/>
        <v/>
      </c>
      <c r="N88" s="37" t="s">
        <v>16</v>
      </c>
      <c r="O88" s="29">
        <v>1</v>
      </c>
      <c r="P88" s="38">
        <v>25</v>
      </c>
      <c r="Q88" s="28"/>
      <c r="R88" s="28" t="s">
        <v>1841</v>
      </c>
      <c r="S88" s="28" t="s">
        <v>21</v>
      </c>
      <c r="T88" s="28"/>
      <c r="U88" s="28" t="s">
        <v>31</v>
      </c>
    </row>
    <row r="89" spans="1:21" s="27" customFormat="1" x14ac:dyDescent="0.25">
      <c r="A89" s="28" t="s">
        <v>21</v>
      </c>
      <c r="B89" s="74" t="s">
        <v>1810</v>
      </c>
      <c r="C89" s="28" t="s">
        <v>21</v>
      </c>
      <c r="D89" s="31">
        <v>1</v>
      </c>
      <c r="E89" s="71">
        <v>37</v>
      </c>
      <c r="F89" s="31">
        <v>184</v>
      </c>
      <c r="G89" s="32"/>
      <c r="H89" s="32">
        <v>1.875</v>
      </c>
      <c r="I89" s="32">
        <v>1.869</v>
      </c>
      <c r="J89" s="33">
        <f t="shared" si="6"/>
        <v>6.0000000000000053E-3</v>
      </c>
      <c r="K89" s="34" t="str">
        <f t="shared" si="5"/>
        <v/>
      </c>
      <c r="L89" s="35">
        <f t="shared" si="7"/>
        <v>7.36</v>
      </c>
      <c r="M89" s="36" t="str">
        <f t="shared" si="8"/>
        <v/>
      </c>
      <c r="N89" s="37" t="s">
        <v>16</v>
      </c>
      <c r="O89" s="29">
        <v>1</v>
      </c>
      <c r="P89" s="38">
        <v>25</v>
      </c>
      <c r="Q89" s="28"/>
      <c r="R89" s="28" t="s">
        <v>1842</v>
      </c>
      <c r="S89" s="28" t="s">
        <v>21</v>
      </c>
      <c r="T89" s="28"/>
      <c r="U89" s="28" t="s">
        <v>31</v>
      </c>
    </row>
    <row r="90" spans="1:21" s="27" customFormat="1" x14ac:dyDescent="0.25">
      <c r="A90" s="28" t="s">
        <v>21</v>
      </c>
      <c r="B90" s="74" t="s">
        <v>1811</v>
      </c>
      <c r="C90" s="28" t="s">
        <v>21</v>
      </c>
      <c r="D90" s="31">
        <v>1</v>
      </c>
      <c r="E90" s="71">
        <v>61</v>
      </c>
      <c r="F90" s="31">
        <v>185</v>
      </c>
      <c r="G90" s="32"/>
      <c r="H90" s="32">
        <v>1.873</v>
      </c>
      <c r="I90" s="32">
        <v>1.867</v>
      </c>
      <c r="J90" s="33">
        <f t="shared" si="6"/>
        <v>6.0000000000000053E-3</v>
      </c>
      <c r="K90" s="34" t="str">
        <f t="shared" si="5"/>
        <v/>
      </c>
      <c r="L90" s="35">
        <f t="shared" si="7"/>
        <v>7.4</v>
      </c>
      <c r="M90" s="36" t="str">
        <f t="shared" si="8"/>
        <v/>
      </c>
      <c r="N90" s="37" t="s">
        <v>16</v>
      </c>
      <c r="O90" s="29">
        <v>1</v>
      </c>
      <c r="P90" s="38">
        <v>25</v>
      </c>
      <c r="Q90" s="28"/>
      <c r="R90" s="28" t="s">
        <v>1837</v>
      </c>
      <c r="S90" s="28" t="s">
        <v>21</v>
      </c>
      <c r="T90" s="28"/>
      <c r="U90" s="28" t="s">
        <v>31</v>
      </c>
    </row>
    <row r="91" spans="1:21" s="27" customFormat="1" x14ac:dyDescent="0.25">
      <c r="A91" s="28" t="s">
        <v>21</v>
      </c>
      <c r="B91" s="74" t="s">
        <v>1812</v>
      </c>
      <c r="C91" s="28" t="s">
        <v>21</v>
      </c>
      <c r="D91" s="31">
        <v>1</v>
      </c>
      <c r="E91" s="71">
        <v>57</v>
      </c>
      <c r="F91" s="31">
        <v>187</v>
      </c>
      <c r="G91" s="32"/>
      <c r="H91" s="32">
        <v>1.879</v>
      </c>
      <c r="I91" s="32">
        <v>1.8720000000000001</v>
      </c>
      <c r="J91" s="33">
        <f t="shared" si="6"/>
        <v>6.9999999999998952E-3</v>
      </c>
      <c r="K91" s="34" t="str">
        <f t="shared" si="5"/>
        <v/>
      </c>
      <c r="L91" s="35">
        <f t="shared" si="7"/>
        <v>7.48</v>
      </c>
      <c r="M91" s="36" t="str">
        <f t="shared" si="8"/>
        <v/>
      </c>
      <c r="N91" s="37" t="s">
        <v>16</v>
      </c>
      <c r="O91" s="29">
        <v>1</v>
      </c>
      <c r="P91" s="38">
        <v>25</v>
      </c>
      <c r="Q91" s="28"/>
      <c r="R91" s="28" t="s">
        <v>1843</v>
      </c>
      <c r="S91" s="28" t="s">
        <v>21</v>
      </c>
      <c r="T91" s="28"/>
      <c r="U91" s="28" t="s">
        <v>31</v>
      </c>
    </row>
    <row r="92" spans="1:21" s="27" customFormat="1" x14ac:dyDescent="0.25">
      <c r="A92" s="28" t="s">
        <v>21</v>
      </c>
      <c r="B92" s="74" t="s">
        <v>1813</v>
      </c>
      <c r="C92" s="28" t="s">
        <v>21</v>
      </c>
      <c r="D92" s="31">
        <v>1</v>
      </c>
      <c r="E92" s="71">
        <v>48</v>
      </c>
      <c r="F92" s="31">
        <v>184</v>
      </c>
      <c r="G92" s="32"/>
      <c r="H92" s="32">
        <v>1.881</v>
      </c>
      <c r="I92" s="32">
        <v>1.8740000000000001</v>
      </c>
      <c r="J92" s="33">
        <f t="shared" si="6"/>
        <v>6.9999999999998952E-3</v>
      </c>
      <c r="K92" s="34" t="str">
        <f t="shared" si="5"/>
        <v/>
      </c>
      <c r="L92" s="35">
        <f t="shared" si="7"/>
        <v>7.36</v>
      </c>
      <c r="M92" s="36" t="str">
        <f t="shared" si="8"/>
        <v/>
      </c>
      <c r="N92" s="37" t="s">
        <v>16</v>
      </c>
      <c r="O92" s="29">
        <v>1</v>
      </c>
      <c r="P92" s="38">
        <v>25</v>
      </c>
      <c r="Q92" s="28"/>
      <c r="R92" s="28" t="s">
        <v>1845</v>
      </c>
      <c r="S92" s="71" t="s">
        <v>103</v>
      </c>
      <c r="T92" s="28"/>
      <c r="U92" s="28" t="s">
        <v>31</v>
      </c>
    </row>
    <row r="93" spans="1:21" s="27" customFormat="1" x14ac:dyDescent="0.25">
      <c r="A93" s="28" t="s">
        <v>21</v>
      </c>
      <c r="B93" s="74" t="s">
        <v>1814</v>
      </c>
      <c r="C93" s="28" t="s">
        <v>21</v>
      </c>
      <c r="D93" s="31">
        <v>1</v>
      </c>
      <c r="E93" s="71">
        <v>63</v>
      </c>
      <c r="F93" s="31">
        <v>184</v>
      </c>
      <c r="G93" s="32"/>
      <c r="H93" s="32">
        <v>1.877</v>
      </c>
      <c r="I93" s="32">
        <v>1.871</v>
      </c>
      <c r="J93" s="33">
        <f t="shared" si="6"/>
        <v>6.0000000000000053E-3</v>
      </c>
      <c r="K93" s="34" t="str">
        <f t="shared" si="5"/>
        <v/>
      </c>
      <c r="L93" s="35">
        <f t="shared" si="7"/>
        <v>7.36</v>
      </c>
      <c r="M93" s="36" t="str">
        <f t="shared" si="8"/>
        <v/>
      </c>
      <c r="N93" s="37" t="s">
        <v>16</v>
      </c>
      <c r="O93" s="29">
        <v>1</v>
      </c>
      <c r="P93" s="38">
        <v>25</v>
      </c>
      <c r="Q93" s="28"/>
      <c r="R93" s="28" t="s">
        <v>1847</v>
      </c>
      <c r="S93" s="71" t="s">
        <v>59</v>
      </c>
      <c r="T93" s="28"/>
      <c r="U93" s="28" t="s">
        <v>31</v>
      </c>
    </row>
    <row r="94" spans="1:21" s="27" customFormat="1" x14ac:dyDescent="0.25">
      <c r="A94" s="28" t="s">
        <v>21</v>
      </c>
      <c r="B94" s="74" t="s">
        <v>1815</v>
      </c>
      <c r="C94" s="28" t="s">
        <v>21</v>
      </c>
      <c r="D94" s="31">
        <v>1</v>
      </c>
      <c r="E94" s="71">
        <v>60</v>
      </c>
      <c r="F94" s="31">
        <v>184</v>
      </c>
      <c r="G94" s="32"/>
      <c r="H94" s="32">
        <v>1.8680000000000001</v>
      </c>
      <c r="I94" s="32">
        <v>1.8620000000000001</v>
      </c>
      <c r="J94" s="33">
        <f t="shared" si="6"/>
        <v>6.0000000000000053E-3</v>
      </c>
      <c r="K94" s="34" t="str">
        <f t="shared" si="5"/>
        <v/>
      </c>
      <c r="L94" s="35">
        <f t="shared" si="7"/>
        <v>7.36</v>
      </c>
      <c r="M94" s="36" t="str">
        <f t="shared" si="8"/>
        <v/>
      </c>
      <c r="N94" s="37" t="s">
        <v>16</v>
      </c>
      <c r="O94" s="29">
        <v>1</v>
      </c>
      <c r="P94" s="38">
        <v>25</v>
      </c>
      <c r="Q94" s="28"/>
      <c r="R94" s="28" t="s">
        <v>1848</v>
      </c>
      <c r="S94" s="28" t="s">
        <v>21</v>
      </c>
      <c r="T94" s="28"/>
      <c r="U94" s="28" t="s">
        <v>31</v>
      </c>
    </row>
    <row r="95" spans="1:21" s="27" customFormat="1" x14ac:dyDescent="0.25">
      <c r="A95" s="28" t="s">
        <v>21</v>
      </c>
      <c r="B95" s="74" t="s">
        <v>1816</v>
      </c>
      <c r="C95" s="28" t="s">
        <v>21</v>
      </c>
      <c r="D95" s="31">
        <v>1</v>
      </c>
      <c r="E95" s="71">
        <v>64</v>
      </c>
      <c r="F95" s="31">
        <v>183</v>
      </c>
      <c r="G95" s="32"/>
      <c r="H95" s="32">
        <v>1.873</v>
      </c>
      <c r="I95" s="32">
        <v>1.867</v>
      </c>
      <c r="J95" s="33">
        <f t="shared" si="6"/>
        <v>6.0000000000000053E-3</v>
      </c>
      <c r="K95" s="34" t="str">
        <f t="shared" si="5"/>
        <v/>
      </c>
      <c r="L95" s="35">
        <f t="shared" si="7"/>
        <v>7.32</v>
      </c>
      <c r="M95" s="36" t="str">
        <f t="shared" si="8"/>
        <v/>
      </c>
      <c r="N95" s="37" t="s">
        <v>16</v>
      </c>
      <c r="O95" s="29">
        <v>1</v>
      </c>
      <c r="P95" s="38">
        <v>25</v>
      </c>
      <c r="Q95" s="28"/>
      <c r="R95" s="28" t="s">
        <v>1849</v>
      </c>
      <c r="S95" s="28" t="s">
        <v>21</v>
      </c>
      <c r="T95" s="28"/>
      <c r="U95" s="28" t="s">
        <v>31</v>
      </c>
    </row>
    <row r="96" spans="1:21" s="27" customFormat="1" x14ac:dyDescent="0.25">
      <c r="A96" s="28" t="s">
        <v>21</v>
      </c>
      <c r="B96" s="74" t="s">
        <v>1817</v>
      </c>
      <c r="C96" s="28" t="s">
        <v>21</v>
      </c>
      <c r="D96" s="31">
        <v>1</v>
      </c>
      <c r="E96" s="71">
        <v>54</v>
      </c>
      <c r="F96" s="31">
        <v>184</v>
      </c>
      <c r="G96" s="32"/>
      <c r="H96" s="32">
        <v>1.877</v>
      </c>
      <c r="I96" s="32">
        <v>1.871</v>
      </c>
      <c r="J96" s="33">
        <f t="shared" si="6"/>
        <v>6.0000000000000053E-3</v>
      </c>
      <c r="K96" s="34" t="str">
        <f t="shared" si="5"/>
        <v/>
      </c>
      <c r="L96" s="35">
        <f t="shared" si="7"/>
        <v>7.36</v>
      </c>
      <c r="M96" s="36" t="str">
        <f t="shared" si="8"/>
        <v/>
      </c>
      <c r="N96" s="37" t="s">
        <v>16</v>
      </c>
      <c r="O96" s="29">
        <v>1</v>
      </c>
      <c r="P96" s="38">
        <v>25</v>
      </c>
      <c r="Q96" s="28"/>
      <c r="R96" s="28" t="s">
        <v>1850</v>
      </c>
      <c r="S96" s="28" t="s">
        <v>21</v>
      </c>
      <c r="T96" s="28"/>
      <c r="U96" s="28" t="s">
        <v>31</v>
      </c>
    </row>
    <row r="97" spans="1:21" s="27" customFormat="1" x14ac:dyDescent="0.25">
      <c r="A97" s="28" t="s">
        <v>21</v>
      </c>
      <c r="B97" s="74" t="s">
        <v>1818</v>
      </c>
      <c r="C97" s="28" t="s">
        <v>21</v>
      </c>
      <c r="D97" s="31">
        <v>1</v>
      </c>
      <c r="E97" s="71">
        <v>70</v>
      </c>
      <c r="F97" s="31">
        <v>184</v>
      </c>
      <c r="G97" s="32"/>
      <c r="H97" s="32">
        <v>1.871</v>
      </c>
      <c r="I97" s="32">
        <v>1.865</v>
      </c>
      <c r="J97" s="33">
        <f t="shared" si="6"/>
        <v>6.0000000000000053E-3</v>
      </c>
      <c r="K97" s="34" t="str">
        <f t="shared" si="5"/>
        <v/>
      </c>
      <c r="L97" s="35">
        <f t="shared" si="7"/>
        <v>7.36</v>
      </c>
      <c r="M97" s="36" t="str">
        <f t="shared" si="8"/>
        <v/>
      </c>
      <c r="N97" s="37" t="s">
        <v>16</v>
      </c>
      <c r="O97" s="29">
        <v>1</v>
      </c>
      <c r="P97" s="38">
        <v>25</v>
      </c>
      <c r="Q97" s="28"/>
      <c r="R97" s="28" t="s">
        <v>1844</v>
      </c>
      <c r="S97" s="28" t="s">
        <v>21</v>
      </c>
      <c r="T97" s="28"/>
      <c r="U97" s="28" t="s">
        <v>31</v>
      </c>
    </row>
    <row r="98" spans="1:21" s="27" customFormat="1" x14ac:dyDescent="0.25">
      <c r="A98" s="28" t="s">
        <v>21</v>
      </c>
      <c r="B98" s="74" t="s">
        <v>1819</v>
      </c>
      <c r="C98" s="28" t="s">
        <v>21</v>
      </c>
      <c r="D98" s="31">
        <v>1</v>
      </c>
      <c r="E98" s="71">
        <v>72</v>
      </c>
      <c r="F98" s="31">
        <v>183</v>
      </c>
      <c r="G98" s="32"/>
      <c r="H98" s="32">
        <v>1.869</v>
      </c>
      <c r="I98" s="32">
        <v>1.863</v>
      </c>
      <c r="J98" s="33">
        <f t="shared" si="6"/>
        <v>6.0000000000000053E-3</v>
      </c>
      <c r="K98" s="34" t="str">
        <f t="shared" si="5"/>
        <v/>
      </c>
      <c r="L98" s="35">
        <f t="shared" si="7"/>
        <v>7.32</v>
      </c>
      <c r="M98" s="36" t="str">
        <f t="shared" si="8"/>
        <v/>
      </c>
      <c r="N98" s="37" t="s">
        <v>16</v>
      </c>
      <c r="O98" s="29">
        <v>1</v>
      </c>
      <c r="P98" s="38">
        <v>25</v>
      </c>
      <c r="Q98" s="28"/>
      <c r="R98" s="28" t="s">
        <v>1851</v>
      </c>
      <c r="S98" s="28" t="s">
        <v>21</v>
      </c>
      <c r="T98" s="28"/>
      <c r="U98" s="28" t="s">
        <v>31</v>
      </c>
    </row>
    <row r="99" spans="1:21" s="27" customFormat="1" x14ac:dyDescent="0.25">
      <c r="A99" s="28" t="s">
        <v>21</v>
      </c>
      <c r="B99" s="74" t="s">
        <v>1820</v>
      </c>
      <c r="C99" s="28" t="s">
        <v>21</v>
      </c>
      <c r="D99" s="31">
        <v>1</v>
      </c>
      <c r="E99" s="71">
        <v>64</v>
      </c>
      <c r="F99" s="31">
        <v>185</v>
      </c>
      <c r="G99" s="32"/>
      <c r="H99" s="32">
        <v>1.861</v>
      </c>
      <c r="I99" s="32">
        <v>1.8540000000000001</v>
      </c>
      <c r="J99" s="33">
        <f t="shared" si="6"/>
        <v>6.9999999999998952E-3</v>
      </c>
      <c r="K99" s="34" t="str">
        <f t="shared" si="5"/>
        <v/>
      </c>
      <c r="L99" s="35">
        <f t="shared" si="7"/>
        <v>7.4</v>
      </c>
      <c r="M99" s="36" t="str">
        <f t="shared" si="8"/>
        <v/>
      </c>
      <c r="N99" s="37" t="s">
        <v>16</v>
      </c>
      <c r="O99" s="29">
        <v>1</v>
      </c>
      <c r="P99" s="38">
        <v>25</v>
      </c>
      <c r="Q99" s="28"/>
      <c r="R99" s="28" t="s">
        <v>1851</v>
      </c>
      <c r="S99" s="28" t="s">
        <v>21</v>
      </c>
      <c r="T99" s="28"/>
      <c r="U99" s="28" t="s">
        <v>31</v>
      </c>
    </row>
    <row r="100" spans="1:21" s="27" customFormat="1" x14ac:dyDescent="0.25">
      <c r="A100" s="28" t="s">
        <v>21</v>
      </c>
      <c r="B100" s="74" t="s">
        <v>1821</v>
      </c>
      <c r="C100" s="28" t="s">
        <v>21</v>
      </c>
      <c r="D100" s="31">
        <v>1</v>
      </c>
      <c r="E100" s="71">
        <v>71</v>
      </c>
      <c r="F100" s="31">
        <v>184</v>
      </c>
      <c r="G100" s="32"/>
      <c r="H100" s="32">
        <v>1.873</v>
      </c>
      <c r="I100" s="32">
        <v>1.867</v>
      </c>
      <c r="J100" s="33">
        <f t="shared" si="6"/>
        <v>6.0000000000000053E-3</v>
      </c>
      <c r="K100" s="34" t="str">
        <f t="shared" si="5"/>
        <v/>
      </c>
      <c r="L100" s="35">
        <f t="shared" si="7"/>
        <v>7.36</v>
      </c>
      <c r="M100" s="36" t="str">
        <f t="shared" si="8"/>
        <v/>
      </c>
      <c r="N100" s="37" t="s">
        <v>16</v>
      </c>
      <c r="O100" s="29">
        <v>1</v>
      </c>
      <c r="P100" s="38">
        <v>25</v>
      </c>
      <c r="Q100" s="28"/>
      <c r="R100" s="28" t="s">
        <v>1846</v>
      </c>
      <c r="S100" s="28" t="s">
        <v>21</v>
      </c>
      <c r="T100" s="28"/>
      <c r="U100" s="28" t="s">
        <v>31</v>
      </c>
    </row>
    <row r="101" spans="1:21" s="27" customFormat="1" x14ac:dyDescent="0.25">
      <c r="A101" s="28" t="s">
        <v>21</v>
      </c>
      <c r="B101" s="74" t="s">
        <v>1822</v>
      </c>
      <c r="C101" s="28" t="s">
        <v>21</v>
      </c>
      <c r="D101" s="31">
        <v>1</v>
      </c>
      <c r="E101" s="71">
        <v>84</v>
      </c>
      <c r="F101" s="31">
        <v>183</v>
      </c>
      <c r="G101" s="32"/>
      <c r="H101" s="32">
        <v>1.849</v>
      </c>
      <c r="I101" s="32">
        <v>1.8440000000000001</v>
      </c>
      <c r="J101" s="33">
        <f t="shared" si="6"/>
        <v>4.9999999999998934E-3</v>
      </c>
      <c r="K101" s="34" t="str">
        <f t="shared" si="5"/>
        <v/>
      </c>
      <c r="L101" s="35">
        <f t="shared" si="7"/>
        <v>7.32</v>
      </c>
      <c r="M101" s="36" t="str">
        <f t="shared" si="8"/>
        <v/>
      </c>
      <c r="N101" s="37" t="s">
        <v>16</v>
      </c>
      <c r="O101" s="29">
        <v>1</v>
      </c>
      <c r="P101" s="38">
        <v>25</v>
      </c>
      <c r="Q101" s="28"/>
      <c r="R101" s="28" t="s">
        <v>1852</v>
      </c>
      <c r="S101" s="28" t="s">
        <v>21</v>
      </c>
      <c r="T101" s="28"/>
      <c r="U101" s="28" t="s">
        <v>31</v>
      </c>
    </row>
    <row r="102" spans="1:21" s="27" customFormat="1" x14ac:dyDescent="0.25">
      <c r="A102" s="28" t="s">
        <v>1854</v>
      </c>
      <c r="B102" s="74" t="s">
        <v>1855</v>
      </c>
      <c r="C102" s="28">
        <v>776985</v>
      </c>
      <c r="D102" s="31">
        <v>1</v>
      </c>
      <c r="E102" s="73">
        <v>19</v>
      </c>
      <c r="F102" s="45">
        <v>301</v>
      </c>
      <c r="G102" s="32"/>
      <c r="H102" s="32">
        <v>1.8420000000000001</v>
      </c>
      <c r="I102" s="32">
        <v>1.8340000000000001</v>
      </c>
      <c r="J102" s="33">
        <f t="shared" ref="J102:J110" si="9">IF(O102&lt;&gt;"",(H102-I102)/O102,"")</f>
        <v>8.0000000000000071E-3</v>
      </c>
      <c r="K102" s="34" t="str">
        <f t="shared" si="5"/>
        <v/>
      </c>
      <c r="L102" s="35">
        <f t="shared" ref="L102:L110" si="10">F102/(O102*P102)</f>
        <v>7.5250000000000004</v>
      </c>
      <c r="M102" s="36" t="str">
        <f t="shared" ref="M102:M110" si="11">IF(L102=0,"",IF(OR(L102&lt;7,L102&gt;7.8),"X",""))</f>
        <v/>
      </c>
      <c r="N102" s="37" t="s">
        <v>18</v>
      </c>
      <c r="O102" s="29">
        <v>1</v>
      </c>
      <c r="P102" s="38">
        <v>40</v>
      </c>
      <c r="Q102" s="46"/>
      <c r="R102" s="28" t="s">
        <v>1865</v>
      </c>
      <c r="S102" s="47"/>
      <c r="T102" s="46"/>
      <c r="U102" s="28" t="s">
        <v>31</v>
      </c>
    </row>
    <row r="103" spans="1:21" s="27" customFormat="1" x14ac:dyDescent="0.25">
      <c r="A103" s="28" t="s">
        <v>21</v>
      </c>
      <c r="B103" s="74" t="s">
        <v>1856</v>
      </c>
      <c r="C103" s="28" t="s">
        <v>21</v>
      </c>
      <c r="D103" s="31">
        <v>1</v>
      </c>
      <c r="E103" s="73">
        <v>26</v>
      </c>
      <c r="F103" s="45">
        <v>300</v>
      </c>
      <c r="G103" s="32"/>
      <c r="H103" s="32">
        <v>1.847</v>
      </c>
      <c r="I103" s="32">
        <v>1.84</v>
      </c>
      <c r="J103" s="33">
        <f t="shared" si="9"/>
        <v>6.9999999999998952E-3</v>
      </c>
      <c r="K103" s="34" t="str">
        <f t="shared" si="5"/>
        <v/>
      </c>
      <c r="L103" s="35">
        <f t="shared" si="10"/>
        <v>7.5</v>
      </c>
      <c r="M103" s="36" t="str">
        <f t="shared" si="11"/>
        <v/>
      </c>
      <c r="N103" s="37" t="s">
        <v>18</v>
      </c>
      <c r="O103" s="29">
        <v>1</v>
      </c>
      <c r="P103" s="38">
        <v>40</v>
      </c>
      <c r="Q103" s="46"/>
      <c r="R103" s="28" t="s">
        <v>1866</v>
      </c>
      <c r="S103" s="47"/>
      <c r="T103" s="46"/>
      <c r="U103" s="28" t="s">
        <v>31</v>
      </c>
    </row>
    <row r="104" spans="1:21" s="27" customFormat="1" x14ac:dyDescent="0.25">
      <c r="A104" s="28" t="s">
        <v>21</v>
      </c>
      <c r="B104" s="74" t="s">
        <v>1857</v>
      </c>
      <c r="C104" s="28" t="s">
        <v>21</v>
      </c>
      <c r="D104" s="31">
        <v>1</v>
      </c>
      <c r="E104" s="73">
        <v>25</v>
      </c>
      <c r="F104" s="45">
        <v>301</v>
      </c>
      <c r="G104" s="32"/>
      <c r="H104" s="32">
        <v>1.829</v>
      </c>
      <c r="I104" s="32">
        <v>1.821</v>
      </c>
      <c r="J104" s="33">
        <f t="shared" si="9"/>
        <v>8.0000000000000071E-3</v>
      </c>
      <c r="K104" s="34" t="str">
        <f t="shared" si="5"/>
        <v/>
      </c>
      <c r="L104" s="35">
        <f t="shared" si="10"/>
        <v>7.5250000000000004</v>
      </c>
      <c r="M104" s="36" t="str">
        <f t="shared" si="11"/>
        <v/>
      </c>
      <c r="N104" s="37" t="s">
        <v>18</v>
      </c>
      <c r="O104" s="29">
        <v>1</v>
      </c>
      <c r="P104" s="38">
        <v>40</v>
      </c>
      <c r="Q104" s="46"/>
      <c r="R104" s="28" t="s">
        <v>1867</v>
      </c>
      <c r="S104" s="47"/>
      <c r="T104" s="46"/>
      <c r="U104" s="28" t="s">
        <v>31</v>
      </c>
    </row>
    <row r="105" spans="1:21" s="27" customFormat="1" x14ac:dyDescent="0.25">
      <c r="A105" s="28" t="s">
        <v>21</v>
      </c>
      <c r="B105" s="74" t="s">
        <v>1858</v>
      </c>
      <c r="C105" s="28" t="s">
        <v>21</v>
      </c>
      <c r="D105" s="31">
        <v>1</v>
      </c>
      <c r="E105" s="73">
        <v>26</v>
      </c>
      <c r="F105" s="45">
        <v>299</v>
      </c>
      <c r="G105" s="32"/>
      <c r="H105" s="32">
        <v>1.843</v>
      </c>
      <c r="I105" s="32">
        <v>1.835</v>
      </c>
      <c r="J105" s="33">
        <f t="shared" si="9"/>
        <v>8.0000000000000071E-3</v>
      </c>
      <c r="K105" s="34" t="str">
        <f t="shared" si="5"/>
        <v/>
      </c>
      <c r="L105" s="35">
        <f t="shared" si="10"/>
        <v>7.4749999999999996</v>
      </c>
      <c r="M105" s="36" t="str">
        <f t="shared" si="11"/>
        <v/>
      </c>
      <c r="N105" s="37" t="s">
        <v>18</v>
      </c>
      <c r="O105" s="29">
        <v>1</v>
      </c>
      <c r="P105" s="38">
        <v>40</v>
      </c>
      <c r="Q105" s="46"/>
      <c r="R105" s="28" t="s">
        <v>1868</v>
      </c>
      <c r="S105" s="47"/>
      <c r="T105" s="46"/>
      <c r="U105" s="28" t="s">
        <v>31</v>
      </c>
    </row>
    <row r="106" spans="1:21" s="27" customFormat="1" x14ac:dyDescent="0.25">
      <c r="A106" s="28" t="s">
        <v>21</v>
      </c>
      <c r="B106" s="74" t="s">
        <v>1859</v>
      </c>
      <c r="C106" s="28" t="s">
        <v>21</v>
      </c>
      <c r="D106" s="31">
        <v>1</v>
      </c>
      <c r="E106" s="73">
        <v>19</v>
      </c>
      <c r="F106" s="45">
        <v>300</v>
      </c>
      <c r="G106" s="32"/>
      <c r="H106" s="32">
        <v>1.837</v>
      </c>
      <c r="I106" s="32">
        <v>1.827</v>
      </c>
      <c r="J106" s="33">
        <f t="shared" si="9"/>
        <v>1.0000000000000009E-2</v>
      </c>
      <c r="K106" s="34" t="str">
        <f t="shared" si="5"/>
        <v/>
      </c>
      <c r="L106" s="35">
        <f t="shared" si="10"/>
        <v>7.5</v>
      </c>
      <c r="M106" s="36" t="str">
        <f t="shared" si="11"/>
        <v/>
      </c>
      <c r="N106" s="37" t="s">
        <v>18</v>
      </c>
      <c r="O106" s="29">
        <v>1</v>
      </c>
      <c r="P106" s="38">
        <v>40</v>
      </c>
      <c r="Q106" s="46"/>
      <c r="R106" s="28" t="s">
        <v>1869</v>
      </c>
      <c r="S106" s="47"/>
      <c r="T106" s="46"/>
      <c r="U106" s="28" t="s">
        <v>31</v>
      </c>
    </row>
    <row r="107" spans="1:21" s="27" customFormat="1" x14ac:dyDescent="0.25">
      <c r="A107" s="28" t="s">
        <v>21</v>
      </c>
      <c r="B107" s="74" t="s">
        <v>1860</v>
      </c>
      <c r="C107" s="28" t="s">
        <v>21</v>
      </c>
      <c r="D107" s="31">
        <v>1</v>
      </c>
      <c r="E107" s="73">
        <v>5</v>
      </c>
      <c r="F107" s="45">
        <v>303</v>
      </c>
      <c r="G107" s="32"/>
      <c r="H107" s="32">
        <v>1.853</v>
      </c>
      <c r="I107" s="32">
        <v>1.8460000000000001</v>
      </c>
      <c r="J107" s="33">
        <f t="shared" si="9"/>
        <v>6.9999999999998952E-3</v>
      </c>
      <c r="K107" s="34" t="str">
        <f t="shared" si="5"/>
        <v/>
      </c>
      <c r="L107" s="35">
        <f t="shared" si="10"/>
        <v>7.5750000000000002</v>
      </c>
      <c r="M107" s="36" t="str">
        <f t="shared" si="11"/>
        <v/>
      </c>
      <c r="N107" s="37" t="s">
        <v>18</v>
      </c>
      <c r="O107" s="29">
        <v>1</v>
      </c>
      <c r="P107" s="38">
        <v>40</v>
      </c>
      <c r="Q107" s="46"/>
      <c r="R107" s="28" t="s">
        <v>1871</v>
      </c>
      <c r="S107" s="47"/>
      <c r="T107" s="46"/>
      <c r="U107" s="28" t="s">
        <v>135</v>
      </c>
    </row>
    <row r="108" spans="1:21" s="27" customFormat="1" x14ac:dyDescent="0.25">
      <c r="A108" s="28" t="s">
        <v>21</v>
      </c>
      <c r="B108" s="74" t="s">
        <v>1861</v>
      </c>
      <c r="C108" s="28" t="s">
        <v>21</v>
      </c>
      <c r="D108" s="31">
        <v>1</v>
      </c>
      <c r="E108" s="73">
        <v>7</v>
      </c>
      <c r="F108" s="45">
        <v>301</v>
      </c>
      <c r="G108" s="32"/>
      <c r="H108" s="32">
        <v>1.859</v>
      </c>
      <c r="I108" s="32">
        <v>1.8540000000000001</v>
      </c>
      <c r="J108" s="33">
        <f t="shared" si="9"/>
        <v>4.9999999999998934E-3</v>
      </c>
      <c r="K108" s="34" t="str">
        <f t="shared" si="5"/>
        <v/>
      </c>
      <c r="L108" s="35">
        <f t="shared" si="10"/>
        <v>7.5250000000000004</v>
      </c>
      <c r="M108" s="36" t="str">
        <f t="shared" si="11"/>
        <v/>
      </c>
      <c r="N108" s="37" t="s">
        <v>18</v>
      </c>
      <c r="O108" s="29">
        <v>1</v>
      </c>
      <c r="P108" s="38">
        <v>40</v>
      </c>
      <c r="Q108" s="46"/>
      <c r="R108" s="28" t="s">
        <v>1872</v>
      </c>
      <c r="S108" s="47"/>
      <c r="T108" s="46"/>
      <c r="U108" s="28" t="s">
        <v>135</v>
      </c>
    </row>
    <row r="109" spans="1:21" s="27" customFormat="1" x14ac:dyDescent="0.25">
      <c r="A109" s="28" t="s">
        <v>21</v>
      </c>
      <c r="B109" s="74" t="s">
        <v>1862</v>
      </c>
      <c r="C109" s="28" t="s">
        <v>21</v>
      </c>
      <c r="D109" s="31">
        <v>1</v>
      </c>
      <c r="E109" s="73">
        <v>10</v>
      </c>
      <c r="F109" s="45">
        <v>302</v>
      </c>
      <c r="G109" s="32"/>
      <c r="H109" s="32">
        <v>1.8620000000000001</v>
      </c>
      <c r="I109" s="32">
        <v>1.857</v>
      </c>
      <c r="J109" s="33">
        <f t="shared" si="9"/>
        <v>5.0000000000001155E-3</v>
      </c>
      <c r="K109" s="34" t="str">
        <f t="shared" si="5"/>
        <v/>
      </c>
      <c r="L109" s="35">
        <f t="shared" si="10"/>
        <v>7.55</v>
      </c>
      <c r="M109" s="36" t="str">
        <f t="shared" si="11"/>
        <v/>
      </c>
      <c r="N109" s="37" t="s">
        <v>18</v>
      </c>
      <c r="O109" s="29">
        <v>1</v>
      </c>
      <c r="P109" s="38">
        <v>40</v>
      </c>
      <c r="Q109" s="46"/>
      <c r="R109" s="28" t="s">
        <v>1873</v>
      </c>
      <c r="S109" s="47"/>
      <c r="T109" s="46"/>
      <c r="U109" s="28" t="s">
        <v>135</v>
      </c>
    </row>
    <row r="110" spans="1:21" s="27" customFormat="1" x14ac:dyDescent="0.25">
      <c r="A110" s="28" t="s">
        <v>21</v>
      </c>
      <c r="B110" s="74" t="s">
        <v>1863</v>
      </c>
      <c r="C110" s="28" t="s">
        <v>21</v>
      </c>
      <c r="D110" s="31">
        <v>1</v>
      </c>
      <c r="E110" s="73">
        <v>6</v>
      </c>
      <c r="F110" s="45">
        <v>302</v>
      </c>
      <c r="G110" s="32"/>
      <c r="H110" s="32">
        <v>1.851</v>
      </c>
      <c r="I110" s="32">
        <v>1.8440000000000001</v>
      </c>
      <c r="J110" s="33">
        <f t="shared" si="9"/>
        <v>6.9999999999998952E-3</v>
      </c>
      <c r="K110" s="34" t="str">
        <f t="shared" si="5"/>
        <v/>
      </c>
      <c r="L110" s="35">
        <f t="shared" si="10"/>
        <v>7.55</v>
      </c>
      <c r="M110" s="36" t="str">
        <f t="shared" si="11"/>
        <v/>
      </c>
      <c r="N110" s="37" t="s">
        <v>18</v>
      </c>
      <c r="O110" s="29">
        <v>1</v>
      </c>
      <c r="P110" s="38">
        <v>40</v>
      </c>
      <c r="Q110" s="46"/>
      <c r="R110" s="28" t="s">
        <v>1870</v>
      </c>
      <c r="S110" s="47"/>
      <c r="T110" s="46"/>
      <c r="U110" s="28" t="s">
        <v>135</v>
      </c>
    </row>
    <row r="111" spans="1:21" s="27" customFormat="1" x14ac:dyDescent="0.25">
      <c r="A111" s="28" t="s">
        <v>21</v>
      </c>
      <c r="B111" s="74" t="s">
        <v>1864</v>
      </c>
      <c r="C111" s="28" t="s">
        <v>21</v>
      </c>
      <c r="D111" s="31">
        <v>1</v>
      </c>
      <c r="E111" s="73">
        <v>8</v>
      </c>
      <c r="F111" s="45">
        <v>303</v>
      </c>
      <c r="G111" s="32"/>
      <c r="H111" s="32">
        <v>1.85</v>
      </c>
      <c r="I111" s="32">
        <v>1.8440000000000001</v>
      </c>
      <c r="J111" s="33">
        <f>IF(O111&lt;&gt;"",(H111-I111)/O111,"")</f>
        <v>6.0000000000000053E-3</v>
      </c>
      <c r="K111" s="34" t="str">
        <f>IF(J111=0,"",IF(OR(J111&lt;0,J111&gt;0.03),"X",""))</f>
        <v/>
      </c>
      <c r="L111" s="35">
        <f>F111/(O111*P111)</f>
        <v>7.5750000000000002</v>
      </c>
      <c r="M111" s="36" t="str">
        <f>IF(L111=0,"",IF(OR(L111&lt;7,L111&gt;7.8),"X",""))</f>
        <v/>
      </c>
      <c r="N111" s="37" t="s">
        <v>18</v>
      </c>
      <c r="O111" s="29">
        <v>1</v>
      </c>
      <c r="P111" s="38">
        <v>40</v>
      </c>
      <c r="Q111" s="46"/>
      <c r="R111" s="28" t="s">
        <v>1894</v>
      </c>
      <c r="S111" s="47"/>
      <c r="T111" s="46"/>
      <c r="U111" s="28" t="s">
        <v>135</v>
      </c>
    </row>
    <row r="112" spans="1:21" s="27" customFormat="1" x14ac:dyDescent="0.25">
      <c r="A112" s="28" t="s">
        <v>21</v>
      </c>
      <c r="B112" s="74" t="s">
        <v>1874</v>
      </c>
      <c r="C112" s="28" t="s">
        <v>21</v>
      </c>
      <c r="D112" s="31">
        <v>1</v>
      </c>
      <c r="E112" s="73">
        <v>11</v>
      </c>
      <c r="F112" s="45">
        <v>301</v>
      </c>
      <c r="G112" s="32"/>
      <c r="H112" s="32">
        <v>1.857</v>
      </c>
      <c r="I112" s="32">
        <v>1.851</v>
      </c>
      <c r="J112" s="33">
        <f t="shared" ref="J112:J120" si="12">IF(O112&lt;&gt;"",(H112-I112)/O112,"")</f>
        <v>6.0000000000000053E-3</v>
      </c>
      <c r="K112" s="34" t="str">
        <f t="shared" ref="K112:K131" si="13">IF(J112=0,"",IF(OR(J112&lt;0,J112&gt;0.03),"X",""))</f>
        <v/>
      </c>
      <c r="L112" s="35">
        <f t="shared" ref="L112:L120" si="14">F112/(O112*P112)</f>
        <v>7.5250000000000004</v>
      </c>
      <c r="M112" s="36" t="str">
        <f t="shared" ref="M112:M121" si="15">IF(L112=0,"",IF(OR(L112&lt;7,L112&gt;7.8),"X",""))</f>
        <v/>
      </c>
      <c r="N112" s="37" t="s">
        <v>18</v>
      </c>
      <c r="O112" s="29">
        <v>1</v>
      </c>
      <c r="P112" s="38">
        <v>40</v>
      </c>
      <c r="Q112" s="46"/>
      <c r="R112" s="28" t="s">
        <v>1884</v>
      </c>
      <c r="S112" s="47"/>
      <c r="T112" s="46"/>
      <c r="U112" s="28" t="s">
        <v>135</v>
      </c>
    </row>
    <row r="113" spans="1:21" s="27" customFormat="1" x14ac:dyDescent="0.25">
      <c r="A113" s="28" t="s">
        <v>21</v>
      </c>
      <c r="B113" s="74" t="s">
        <v>1875</v>
      </c>
      <c r="C113" s="28" t="s">
        <v>21</v>
      </c>
      <c r="D113" s="31">
        <v>1</v>
      </c>
      <c r="E113" s="73">
        <v>10</v>
      </c>
      <c r="F113" s="45">
        <v>301</v>
      </c>
      <c r="G113" s="32"/>
      <c r="H113" s="32">
        <v>1.8520000000000001</v>
      </c>
      <c r="I113" s="32">
        <v>1.8460000000000001</v>
      </c>
      <c r="J113" s="33">
        <f t="shared" si="12"/>
        <v>6.0000000000000053E-3</v>
      </c>
      <c r="K113" s="34" t="str">
        <f t="shared" si="13"/>
        <v/>
      </c>
      <c r="L113" s="35">
        <f t="shared" si="14"/>
        <v>7.5250000000000004</v>
      </c>
      <c r="M113" s="36" t="str">
        <f t="shared" si="15"/>
        <v/>
      </c>
      <c r="N113" s="37" t="s">
        <v>18</v>
      </c>
      <c r="O113" s="29">
        <v>1</v>
      </c>
      <c r="P113" s="38">
        <v>40</v>
      </c>
      <c r="Q113" s="46"/>
      <c r="R113" s="28" t="s">
        <v>1885</v>
      </c>
      <c r="S113" s="47"/>
      <c r="T113" s="46"/>
      <c r="U113" s="28" t="s">
        <v>135</v>
      </c>
    </row>
    <row r="114" spans="1:21" s="27" customFormat="1" x14ac:dyDescent="0.25">
      <c r="A114" s="28" t="s">
        <v>21</v>
      </c>
      <c r="B114" s="74" t="s">
        <v>1876</v>
      </c>
      <c r="C114" s="28" t="s">
        <v>21</v>
      </c>
      <c r="D114" s="31">
        <v>1</v>
      </c>
      <c r="E114" s="73">
        <v>9</v>
      </c>
      <c r="F114" s="45">
        <v>300</v>
      </c>
      <c r="G114" s="32"/>
      <c r="H114" s="32">
        <v>1.865</v>
      </c>
      <c r="I114" s="32">
        <v>1.859</v>
      </c>
      <c r="J114" s="33">
        <f t="shared" si="12"/>
        <v>6.0000000000000053E-3</v>
      </c>
      <c r="K114" s="34" t="str">
        <f t="shared" si="13"/>
        <v/>
      </c>
      <c r="L114" s="35">
        <f t="shared" si="14"/>
        <v>7.5</v>
      </c>
      <c r="M114" s="36" t="str">
        <f t="shared" si="15"/>
        <v/>
      </c>
      <c r="N114" s="37" t="s">
        <v>18</v>
      </c>
      <c r="O114" s="29">
        <v>1</v>
      </c>
      <c r="P114" s="38">
        <v>40</v>
      </c>
      <c r="Q114" s="46"/>
      <c r="R114" s="28" t="s">
        <v>1886</v>
      </c>
      <c r="S114" s="47"/>
      <c r="T114" s="46"/>
      <c r="U114" s="28" t="s">
        <v>135</v>
      </c>
    </row>
    <row r="115" spans="1:21" s="27" customFormat="1" x14ac:dyDescent="0.25">
      <c r="A115" s="28" t="s">
        <v>21</v>
      </c>
      <c r="B115" s="74" t="s">
        <v>1877</v>
      </c>
      <c r="C115" s="28" t="s">
        <v>21</v>
      </c>
      <c r="D115" s="31">
        <v>1</v>
      </c>
      <c r="E115" s="73">
        <v>14</v>
      </c>
      <c r="F115" s="45">
        <v>299</v>
      </c>
      <c r="G115" s="32"/>
      <c r="H115" s="32">
        <v>1.855</v>
      </c>
      <c r="I115" s="32">
        <v>1.85</v>
      </c>
      <c r="J115" s="33">
        <f t="shared" si="12"/>
        <v>4.9999999999998934E-3</v>
      </c>
      <c r="K115" s="34" t="str">
        <f t="shared" si="13"/>
        <v/>
      </c>
      <c r="L115" s="35">
        <f t="shared" si="14"/>
        <v>7.4749999999999996</v>
      </c>
      <c r="M115" s="36" t="str">
        <f t="shared" si="15"/>
        <v/>
      </c>
      <c r="N115" s="37" t="s">
        <v>18</v>
      </c>
      <c r="O115" s="29">
        <v>1</v>
      </c>
      <c r="P115" s="38">
        <v>40</v>
      </c>
      <c r="Q115" s="46"/>
      <c r="R115" s="28" t="s">
        <v>1887</v>
      </c>
      <c r="S115" s="47"/>
      <c r="T115" s="46"/>
      <c r="U115" s="28" t="s">
        <v>135</v>
      </c>
    </row>
    <row r="116" spans="1:21" s="27" customFormat="1" x14ac:dyDescent="0.25">
      <c r="A116" s="28" t="s">
        <v>21</v>
      </c>
      <c r="B116" s="74" t="s">
        <v>1878</v>
      </c>
      <c r="C116" s="28" t="s">
        <v>21</v>
      </c>
      <c r="D116" s="31">
        <v>1</v>
      </c>
      <c r="E116" s="73">
        <v>12</v>
      </c>
      <c r="F116" s="45">
        <v>298</v>
      </c>
      <c r="G116" s="32"/>
      <c r="H116" s="32">
        <v>1.8460000000000001</v>
      </c>
      <c r="I116" s="32">
        <v>1.841</v>
      </c>
      <c r="J116" s="33">
        <f t="shared" si="12"/>
        <v>5.0000000000001155E-3</v>
      </c>
      <c r="K116" s="34" t="str">
        <f t="shared" si="13"/>
        <v/>
      </c>
      <c r="L116" s="35">
        <f t="shared" si="14"/>
        <v>7.45</v>
      </c>
      <c r="M116" s="36" t="str">
        <f t="shared" si="15"/>
        <v/>
      </c>
      <c r="N116" s="37" t="s">
        <v>18</v>
      </c>
      <c r="O116" s="29">
        <v>1</v>
      </c>
      <c r="P116" s="38">
        <v>40</v>
      </c>
      <c r="Q116" s="46"/>
      <c r="R116" s="28" t="s">
        <v>1888</v>
      </c>
      <c r="S116" s="47"/>
      <c r="T116" s="46"/>
      <c r="U116" s="28" t="s">
        <v>135</v>
      </c>
    </row>
    <row r="117" spans="1:21" s="27" customFormat="1" x14ac:dyDescent="0.25">
      <c r="A117" s="28" t="s">
        <v>21</v>
      </c>
      <c r="B117" s="74" t="s">
        <v>1879</v>
      </c>
      <c r="C117" s="28" t="s">
        <v>21</v>
      </c>
      <c r="D117" s="31">
        <v>1</v>
      </c>
      <c r="E117" s="73">
        <v>24</v>
      </c>
      <c r="F117" s="45">
        <v>299</v>
      </c>
      <c r="G117" s="32"/>
      <c r="H117" s="32">
        <v>1.8440000000000001</v>
      </c>
      <c r="I117" s="32">
        <v>1.8360000000000001</v>
      </c>
      <c r="J117" s="33">
        <f t="shared" si="12"/>
        <v>8.0000000000000071E-3</v>
      </c>
      <c r="K117" s="34" t="str">
        <f t="shared" si="13"/>
        <v/>
      </c>
      <c r="L117" s="35">
        <f t="shared" si="14"/>
        <v>7.4749999999999996</v>
      </c>
      <c r="M117" s="36" t="str">
        <f t="shared" si="15"/>
        <v/>
      </c>
      <c r="N117" s="37" t="s">
        <v>18</v>
      </c>
      <c r="O117" s="29">
        <v>1</v>
      </c>
      <c r="P117" s="38">
        <v>40</v>
      </c>
      <c r="Q117" s="46"/>
      <c r="R117" s="28" t="s">
        <v>1889</v>
      </c>
      <c r="S117" s="47"/>
      <c r="T117" s="46"/>
      <c r="U117" s="28" t="s">
        <v>135</v>
      </c>
    </row>
    <row r="118" spans="1:21" s="27" customFormat="1" x14ac:dyDescent="0.25">
      <c r="A118" s="28" t="s">
        <v>21</v>
      </c>
      <c r="B118" s="74" t="s">
        <v>1880</v>
      </c>
      <c r="C118" s="28" t="s">
        <v>21</v>
      </c>
      <c r="D118" s="31">
        <v>1</v>
      </c>
      <c r="E118" s="73">
        <v>27</v>
      </c>
      <c r="F118" s="45">
        <v>300</v>
      </c>
      <c r="G118" s="32"/>
      <c r="H118" s="32">
        <v>1.831</v>
      </c>
      <c r="I118" s="32">
        <v>1.823</v>
      </c>
      <c r="J118" s="33">
        <f t="shared" si="12"/>
        <v>8.0000000000000071E-3</v>
      </c>
      <c r="K118" s="34" t="str">
        <f t="shared" si="13"/>
        <v/>
      </c>
      <c r="L118" s="35">
        <f t="shared" si="14"/>
        <v>7.5</v>
      </c>
      <c r="M118" s="36" t="str">
        <f t="shared" si="15"/>
        <v/>
      </c>
      <c r="N118" s="37" t="s">
        <v>18</v>
      </c>
      <c r="O118" s="29">
        <v>1</v>
      </c>
      <c r="P118" s="38">
        <v>40</v>
      </c>
      <c r="Q118" s="46"/>
      <c r="R118" s="28" t="s">
        <v>1890</v>
      </c>
      <c r="S118" s="47"/>
      <c r="T118" s="46"/>
      <c r="U118" s="28" t="s">
        <v>135</v>
      </c>
    </row>
    <row r="119" spans="1:21" s="27" customFormat="1" x14ac:dyDescent="0.25">
      <c r="A119" s="28" t="s">
        <v>21</v>
      </c>
      <c r="B119" s="74" t="s">
        <v>1881</v>
      </c>
      <c r="C119" s="28" t="s">
        <v>21</v>
      </c>
      <c r="D119" s="31">
        <v>1</v>
      </c>
      <c r="E119" s="73">
        <v>34</v>
      </c>
      <c r="F119" s="45">
        <v>300</v>
      </c>
      <c r="G119" s="32"/>
      <c r="H119" s="32">
        <v>1.831</v>
      </c>
      <c r="I119" s="32">
        <v>1.823</v>
      </c>
      <c r="J119" s="33">
        <f t="shared" si="12"/>
        <v>8.0000000000000071E-3</v>
      </c>
      <c r="K119" s="34" t="str">
        <f t="shared" si="13"/>
        <v/>
      </c>
      <c r="L119" s="35">
        <f t="shared" si="14"/>
        <v>7.5</v>
      </c>
      <c r="M119" s="36" t="str">
        <f t="shared" si="15"/>
        <v/>
      </c>
      <c r="N119" s="37" t="s">
        <v>18</v>
      </c>
      <c r="O119" s="29">
        <v>1</v>
      </c>
      <c r="P119" s="38">
        <v>40</v>
      </c>
      <c r="Q119" s="46"/>
      <c r="R119" s="28" t="s">
        <v>1891</v>
      </c>
      <c r="S119" s="47"/>
      <c r="T119" s="46"/>
      <c r="U119" s="28" t="s">
        <v>135</v>
      </c>
    </row>
    <row r="120" spans="1:21" s="27" customFormat="1" x14ac:dyDescent="0.25">
      <c r="A120" s="28" t="s">
        <v>21</v>
      </c>
      <c r="B120" s="74" t="s">
        <v>1882</v>
      </c>
      <c r="C120" s="28" t="s">
        <v>21</v>
      </c>
      <c r="D120" s="31">
        <v>1</v>
      </c>
      <c r="E120" s="73">
        <v>19</v>
      </c>
      <c r="F120" s="45">
        <v>301</v>
      </c>
      <c r="G120" s="32"/>
      <c r="H120" s="32">
        <v>1.827</v>
      </c>
      <c r="I120" s="32">
        <v>1.8180000000000001</v>
      </c>
      <c r="J120" s="33">
        <f t="shared" si="12"/>
        <v>8.999999999999897E-3</v>
      </c>
      <c r="K120" s="34" t="str">
        <f t="shared" si="13"/>
        <v/>
      </c>
      <c r="L120" s="35">
        <f t="shared" si="14"/>
        <v>7.5250000000000004</v>
      </c>
      <c r="M120" s="36" t="str">
        <f t="shared" si="15"/>
        <v/>
      </c>
      <c r="N120" s="37" t="s">
        <v>18</v>
      </c>
      <c r="O120" s="29">
        <v>1</v>
      </c>
      <c r="P120" s="38">
        <v>40</v>
      </c>
      <c r="Q120" s="46"/>
      <c r="R120" s="28" t="s">
        <v>1892</v>
      </c>
      <c r="S120" s="47"/>
      <c r="T120" s="46"/>
      <c r="U120" s="28" t="s">
        <v>135</v>
      </c>
    </row>
    <row r="121" spans="1:21" s="27" customFormat="1" x14ac:dyDescent="0.25">
      <c r="A121" s="28" t="s">
        <v>21</v>
      </c>
      <c r="B121" s="74" t="s">
        <v>1883</v>
      </c>
      <c r="C121" s="28" t="s">
        <v>21</v>
      </c>
      <c r="D121" s="31">
        <v>1</v>
      </c>
      <c r="E121" s="73">
        <v>30</v>
      </c>
      <c r="F121" s="45">
        <v>300</v>
      </c>
      <c r="G121" s="32"/>
      <c r="H121" s="32">
        <v>1.82</v>
      </c>
      <c r="I121" s="32">
        <v>1.8109999999999999</v>
      </c>
      <c r="J121" s="33">
        <f t="shared" ref="J121" si="16">IF(O121&lt;&gt;"",(H121-I121)/O121,"")</f>
        <v>9.000000000000119E-3</v>
      </c>
      <c r="K121" s="34" t="str">
        <f t="shared" si="13"/>
        <v/>
      </c>
      <c r="L121" s="35">
        <f t="shared" ref="L121" si="17">F121/(O121*P121)</f>
        <v>7.5</v>
      </c>
      <c r="M121" s="36" t="str">
        <f t="shared" si="15"/>
        <v/>
      </c>
      <c r="N121" s="37" t="s">
        <v>18</v>
      </c>
      <c r="O121" s="29">
        <v>1</v>
      </c>
      <c r="P121" s="38">
        <v>40</v>
      </c>
      <c r="Q121" s="46"/>
      <c r="R121" s="28" t="s">
        <v>1893</v>
      </c>
      <c r="S121" s="47"/>
      <c r="T121" s="46"/>
      <c r="U121" s="28" t="s">
        <v>135</v>
      </c>
    </row>
    <row r="122" spans="1:21" s="27" customFormat="1" x14ac:dyDescent="0.25">
      <c r="A122" s="28" t="s">
        <v>21</v>
      </c>
      <c r="B122" s="74" t="s">
        <v>1895</v>
      </c>
      <c r="C122" s="28" t="s">
        <v>21</v>
      </c>
      <c r="D122" s="31">
        <v>1</v>
      </c>
      <c r="E122" s="73">
        <v>19</v>
      </c>
      <c r="F122" s="45">
        <v>302</v>
      </c>
      <c r="G122" s="32"/>
      <c r="H122" s="32">
        <v>1.86</v>
      </c>
      <c r="I122" s="32">
        <v>1.853</v>
      </c>
      <c r="J122" s="33">
        <f t="shared" ref="J122:J131" si="18">IF(O122&lt;&gt;"",(H122-I122)/O122,"")</f>
        <v>7.0000000000001172E-3</v>
      </c>
      <c r="K122" s="34" t="str">
        <f t="shared" si="13"/>
        <v/>
      </c>
      <c r="L122" s="35">
        <f t="shared" ref="L122:L131" si="19">F122/(O122*P122)</f>
        <v>7.55</v>
      </c>
      <c r="M122" s="36" t="str">
        <f t="shared" ref="M122:M131" si="20">IF(L122=0,"",IF(OR(L122&lt;7,L122&gt;7.8),"X",""))</f>
        <v/>
      </c>
      <c r="N122" s="37" t="s">
        <v>18</v>
      </c>
      <c r="O122" s="29">
        <v>1</v>
      </c>
      <c r="P122" s="38">
        <v>40</v>
      </c>
      <c r="Q122" s="46"/>
      <c r="R122" s="28" t="s">
        <v>1905</v>
      </c>
      <c r="S122" s="47"/>
      <c r="T122" s="46"/>
      <c r="U122" s="28" t="s">
        <v>135</v>
      </c>
    </row>
    <row r="123" spans="1:21" s="27" customFormat="1" x14ac:dyDescent="0.25">
      <c r="A123" s="28" t="s">
        <v>21</v>
      </c>
      <c r="B123" s="74" t="s">
        <v>1896</v>
      </c>
      <c r="C123" s="28" t="s">
        <v>21</v>
      </c>
      <c r="D123" s="31">
        <v>1</v>
      </c>
      <c r="E123" s="73">
        <v>20</v>
      </c>
      <c r="F123" s="45">
        <v>302</v>
      </c>
      <c r="G123" s="32"/>
      <c r="H123" s="32">
        <v>1.849</v>
      </c>
      <c r="I123" s="32">
        <v>1.841</v>
      </c>
      <c r="J123" s="33">
        <f t="shared" si="18"/>
        <v>8.0000000000000071E-3</v>
      </c>
      <c r="K123" s="34" t="str">
        <f t="shared" si="13"/>
        <v/>
      </c>
      <c r="L123" s="35">
        <f t="shared" si="19"/>
        <v>7.55</v>
      </c>
      <c r="M123" s="36" t="str">
        <f t="shared" si="20"/>
        <v/>
      </c>
      <c r="N123" s="37" t="s">
        <v>18</v>
      </c>
      <c r="O123" s="29">
        <v>1</v>
      </c>
      <c r="P123" s="38">
        <v>40</v>
      </c>
      <c r="Q123" s="46"/>
      <c r="R123" s="28" t="s">
        <v>1906</v>
      </c>
      <c r="S123" s="47"/>
      <c r="T123" s="46"/>
      <c r="U123" s="28" t="s">
        <v>135</v>
      </c>
    </row>
    <row r="124" spans="1:21" s="27" customFormat="1" x14ac:dyDescent="0.25">
      <c r="A124" s="28" t="s">
        <v>21</v>
      </c>
      <c r="B124" s="74" t="s">
        <v>1897</v>
      </c>
      <c r="C124" s="28" t="s">
        <v>21</v>
      </c>
      <c r="D124" s="31">
        <v>1</v>
      </c>
      <c r="E124" s="73">
        <v>20</v>
      </c>
      <c r="F124" s="45">
        <v>303</v>
      </c>
      <c r="G124" s="32"/>
      <c r="H124" s="32">
        <v>1.849</v>
      </c>
      <c r="I124" s="32">
        <v>1.84</v>
      </c>
      <c r="J124" s="33">
        <f t="shared" si="18"/>
        <v>8.999999999999897E-3</v>
      </c>
      <c r="K124" s="34" t="str">
        <f t="shared" si="13"/>
        <v/>
      </c>
      <c r="L124" s="35">
        <f t="shared" si="19"/>
        <v>7.5750000000000002</v>
      </c>
      <c r="M124" s="36" t="str">
        <f t="shared" si="20"/>
        <v/>
      </c>
      <c r="N124" s="37" t="s">
        <v>18</v>
      </c>
      <c r="O124" s="29">
        <v>1</v>
      </c>
      <c r="P124" s="38">
        <v>40</v>
      </c>
      <c r="Q124" s="46"/>
      <c r="R124" s="28" t="s">
        <v>1907</v>
      </c>
      <c r="S124" s="47"/>
      <c r="T124" s="46"/>
      <c r="U124" s="28" t="s">
        <v>135</v>
      </c>
    </row>
    <row r="125" spans="1:21" s="27" customFormat="1" x14ac:dyDescent="0.25">
      <c r="A125" s="28" t="s">
        <v>21</v>
      </c>
      <c r="B125" s="74" t="s">
        <v>1898</v>
      </c>
      <c r="C125" s="28" t="s">
        <v>21</v>
      </c>
      <c r="D125" s="31">
        <v>1</v>
      </c>
      <c r="E125" s="73">
        <v>22</v>
      </c>
      <c r="F125" s="45">
        <v>302</v>
      </c>
      <c r="G125" s="32"/>
      <c r="H125" s="32">
        <v>1.839</v>
      </c>
      <c r="I125" s="32">
        <v>1.83</v>
      </c>
      <c r="J125" s="33">
        <f t="shared" si="18"/>
        <v>8.999999999999897E-3</v>
      </c>
      <c r="K125" s="34" t="str">
        <f t="shared" si="13"/>
        <v/>
      </c>
      <c r="L125" s="35">
        <f t="shared" si="19"/>
        <v>7.55</v>
      </c>
      <c r="M125" s="36" t="str">
        <f t="shared" si="20"/>
        <v/>
      </c>
      <c r="N125" s="37" t="s">
        <v>18</v>
      </c>
      <c r="O125" s="29">
        <v>1</v>
      </c>
      <c r="P125" s="38">
        <v>40</v>
      </c>
      <c r="Q125" s="46"/>
      <c r="R125" s="28" t="s">
        <v>1908</v>
      </c>
      <c r="S125" s="47"/>
      <c r="T125" s="46"/>
      <c r="U125" s="28" t="s">
        <v>135</v>
      </c>
    </row>
    <row r="126" spans="1:21" s="27" customFormat="1" x14ac:dyDescent="0.25">
      <c r="A126" s="28" t="s">
        <v>21</v>
      </c>
      <c r="B126" s="74" t="s">
        <v>1899</v>
      </c>
      <c r="C126" s="28" t="s">
        <v>21</v>
      </c>
      <c r="D126" s="31">
        <v>1</v>
      </c>
      <c r="E126" s="73">
        <v>22</v>
      </c>
      <c r="F126" s="45">
        <v>300</v>
      </c>
      <c r="G126" s="32"/>
      <c r="H126" s="32">
        <v>1.8360000000000001</v>
      </c>
      <c r="I126" s="32">
        <v>1.827</v>
      </c>
      <c r="J126" s="33">
        <f t="shared" si="18"/>
        <v>9.000000000000119E-3</v>
      </c>
      <c r="K126" s="34" t="str">
        <f t="shared" si="13"/>
        <v/>
      </c>
      <c r="L126" s="35">
        <f t="shared" si="19"/>
        <v>7.5</v>
      </c>
      <c r="M126" s="36" t="str">
        <f t="shared" si="20"/>
        <v/>
      </c>
      <c r="N126" s="37" t="s">
        <v>18</v>
      </c>
      <c r="O126" s="29">
        <v>1</v>
      </c>
      <c r="P126" s="38">
        <v>40</v>
      </c>
      <c r="Q126" s="46"/>
      <c r="R126" s="28" t="s">
        <v>1909</v>
      </c>
      <c r="S126" s="47"/>
      <c r="T126" s="46"/>
      <c r="U126" s="28" t="s">
        <v>135</v>
      </c>
    </row>
    <row r="127" spans="1:21" s="27" customFormat="1" x14ac:dyDescent="0.25">
      <c r="A127" s="28" t="s">
        <v>21</v>
      </c>
      <c r="B127" s="74" t="s">
        <v>1900</v>
      </c>
      <c r="C127" s="28" t="s">
        <v>21</v>
      </c>
      <c r="D127" s="31">
        <v>1</v>
      </c>
      <c r="E127" s="73">
        <v>26</v>
      </c>
      <c r="F127" s="45">
        <v>300</v>
      </c>
      <c r="G127" s="32"/>
      <c r="H127" s="32">
        <v>1.847</v>
      </c>
      <c r="I127" s="32">
        <v>1.84</v>
      </c>
      <c r="J127" s="33">
        <f t="shared" si="18"/>
        <v>6.9999999999998952E-3</v>
      </c>
      <c r="K127" s="34" t="str">
        <f t="shared" si="13"/>
        <v/>
      </c>
      <c r="L127" s="35">
        <f t="shared" si="19"/>
        <v>7.5</v>
      </c>
      <c r="M127" s="36" t="str">
        <f t="shared" si="20"/>
        <v/>
      </c>
      <c r="N127" s="37" t="s">
        <v>18</v>
      </c>
      <c r="O127" s="29">
        <v>1</v>
      </c>
      <c r="P127" s="38">
        <v>40</v>
      </c>
      <c r="Q127" s="46"/>
      <c r="R127" s="28" t="s">
        <v>1910</v>
      </c>
      <c r="S127" s="47"/>
      <c r="T127" s="46"/>
      <c r="U127" s="28" t="s">
        <v>135</v>
      </c>
    </row>
    <row r="128" spans="1:21" s="27" customFormat="1" x14ac:dyDescent="0.25">
      <c r="A128" s="28" t="s">
        <v>21</v>
      </c>
      <c r="B128" s="74" t="s">
        <v>1901</v>
      </c>
      <c r="C128" s="28" t="s">
        <v>21</v>
      </c>
      <c r="D128" s="31">
        <v>1</v>
      </c>
      <c r="E128" s="73">
        <v>29</v>
      </c>
      <c r="F128" s="45">
        <v>299</v>
      </c>
      <c r="G128" s="32"/>
      <c r="H128" s="32">
        <v>1.85</v>
      </c>
      <c r="I128" s="32">
        <v>1.843</v>
      </c>
      <c r="J128" s="33">
        <f t="shared" si="18"/>
        <v>7.0000000000001172E-3</v>
      </c>
      <c r="K128" s="34" t="str">
        <f t="shared" si="13"/>
        <v/>
      </c>
      <c r="L128" s="35">
        <f t="shared" si="19"/>
        <v>7.4749999999999996</v>
      </c>
      <c r="M128" s="36" t="str">
        <f t="shared" si="20"/>
        <v/>
      </c>
      <c r="N128" s="37" t="s">
        <v>18</v>
      </c>
      <c r="O128" s="29">
        <v>1</v>
      </c>
      <c r="P128" s="38">
        <v>40</v>
      </c>
      <c r="Q128" s="46"/>
      <c r="R128" s="28" t="s">
        <v>1911</v>
      </c>
      <c r="S128" s="47"/>
      <c r="T128" s="46"/>
      <c r="U128" s="28" t="s">
        <v>135</v>
      </c>
    </row>
    <row r="129" spans="1:21" s="27" customFormat="1" x14ac:dyDescent="0.25">
      <c r="A129" s="28" t="s">
        <v>21</v>
      </c>
      <c r="B129" s="74" t="s">
        <v>1902</v>
      </c>
      <c r="C129" s="28" t="s">
        <v>21</v>
      </c>
      <c r="D129" s="31">
        <v>1</v>
      </c>
      <c r="E129" s="73">
        <v>16</v>
      </c>
      <c r="F129" s="45">
        <v>300</v>
      </c>
      <c r="G129" s="32"/>
      <c r="H129" s="32">
        <v>1.85</v>
      </c>
      <c r="I129" s="32">
        <v>1.841</v>
      </c>
      <c r="J129" s="33">
        <f t="shared" si="18"/>
        <v>9.000000000000119E-3</v>
      </c>
      <c r="K129" s="34" t="str">
        <f t="shared" si="13"/>
        <v/>
      </c>
      <c r="L129" s="35">
        <f t="shared" si="19"/>
        <v>7.5</v>
      </c>
      <c r="M129" s="36" t="str">
        <f t="shared" si="20"/>
        <v/>
      </c>
      <c r="N129" s="37" t="s">
        <v>18</v>
      </c>
      <c r="O129" s="29">
        <v>1</v>
      </c>
      <c r="P129" s="38">
        <v>40</v>
      </c>
      <c r="Q129" s="46"/>
      <c r="R129" s="28" t="s">
        <v>1912</v>
      </c>
      <c r="S129" s="47"/>
      <c r="T129" s="46"/>
      <c r="U129" s="28" t="s">
        <v>135</v>
      </c>
    </row>
    <row r="130" spans="1:21" s="27" customFormat="1" x14ac:dyDescent="0.25">
      <c r="A130" s="28" t="s">
        <v>21</v>
      </c>
      <c r="B130" s="74" t="s">
        <v>1903</v>
      </c>
      <c r="C130" s="28" t="s">
        <v>21</v>
      </c>
      <c r="D130" s="31">
        <v>1</v>
      </c>
      <c r="E130" s="73">
        <v>34</v>
      </c>
      <c r="F130" s="45">
        <v>300</v>
      </c>
      <c r="G130" s="32"/>
      <c r="H130" s="32">
        <v>1.8440000000000001</v>
      </c>
      <c r="I130" s="32">
        <v>1.837</v>
      </c>
      <c r="J130" s="33">
        <f t="shared" si="18"/>
        <v>7.0000000000001172E-3</v>
      </c>
      <c r="K130" s="34" t="str">
        <f t="shared" si="13"/>
        <v/>
      </c>
      <c r="L130" s="35">
        <f t="shared" si="19"/>
        <v>7.5</v>
      </c>
      <c r="M130" s="36" t="str">
        <f t="shared" si="20"/>
        <v/>
      </c>
      <c r="N130" s="37" t="s">
        <v>18</v>
      </c>
      <c r="O130" s="29">
        <v>1</v>
      </c>
      <c r="P130" s="38">
        <v>40</v>
      </c>
      <c r="Q130" s="46"/>
      <c r="R130" s="28" t="s">
        <v>1913</v>
      </c>
      <c r="S130" s="47"/>
      <c r="T130" s="46"/>
      <c r="U130" s="28" t="s">
        <v>135</v>
      </c>
    </row>
    <row r="131" spans="1:21" s="27" customFormat="1" x14ac:dyDescent="0.25">
      <c r="A131" s="28" t="s">
        <v>21</v>
      </c>
      <c r="B131" s="74" t="s">
        <v>1904</v>
      </c>
      <c r="C131" s="28" t="s">
        <v>21</v>
      </c>
      <c r="D131" s="31">
        <v>1</v>
      </c>
      <c r="E131" s="73">
        <v>20</v>
      </c>
      <c r="F131" s="45">
        <v>301</v>
      </c>
      <c r="G131" s="32"/>
      <c r="H131" s="32">
        <v>1.8480000000000001</v>
      </c>
      <c r="I131" s="32">
        <v>1.84</v>
      </c>
      <c r="J131" s="33">
        <f t="shared" si="18"/>
        <v>8.0000000000000071E-3</v>
      </c>
      <c r="K131" s="34" t="str">
        <f t="shared" si="13"/>
        <v/>
      </c>
      <c r="L131" s="35">
        <f t="shared" si="19"/>
        <v>7.5250000000000004</v>
      </c>
      <c r="M131" s="36" t="str">
        <f t="shared" si="20"/>
        <v/>
      </c>
      <c r="N131" s="37" t="s">
        <v>18</v>
      </c>
      <c r="O131" s="29">
        <v>1</v>
      </c>
      <c r="P131" s="38">
        <v>40</v>
      </c>
      <c r="Q131" s="46"/>
      <c r="R131" s="28" t="s">
        <v>1914</v>
      </c>
      <c r="S131" s="47"/>
      <c r="T131" s="46"/>
      <c r="U131" s="28" t="s">
        <v>135</v>
      </c>
    </row>
  </sheetData>
  <customSheetViews>
    <customSheetView guid="{C2C34B0E-C0A2-4B0B-812E-0757ABB9DC2E}">
      <pane ySplit="1" topLeftCell="A128" activePane="bottomLeft" state="frozen"/>
      <selection pane="bottomLeft" activeCell="S82" sqref="S82:S86"/>
      <pageMargins left="0.7" right="0.7" top="0.78740157499999996" bottom="0.78740157499999996" header="0.3" footer="0.3"/>
    </customSheetView>
    <customSheetView guid="{3652BF58-5AAC-43BD-BC8A-2FFF29529405}">
      <pane ySplit="1" topLeftCell="A80" activePane="bottomLeft" state="frozen"/>
      <selection pane="bottomLeft" activeCell="S82" sqref="S82:S86"/>
      <pageMargins left="0.7" right="0.7" top="0.78740157499999996" bottom="0.78740157499999996" header="0.3" footer="0.3"/>
    </customSheetView>
    <customSheetView guid="{E2377352-22A7-452B-BFAD-18D3D497CC88}">
      <pane ySplit="1" topLeftCell="A80" activePane="bottomLeft" state="frozen"/>
      <selection pane="bottomLeft" activeCell="S82" sqref="S82:S86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427"/>
  <sheetViews>
    <sheetView workbookViewId="0">
      <pane ySplit="1" topLeftCell="A103" activePane="bottomLeft" state="frozen"/>
      <selection pane="bottomLeft" activeCell="H104" sqref="H104"/>
    </sheetView>
  </sheetViews>
  <sheetFormatPr baseColWidth="10" defaultRowHeight="15" x14ac:dyDescent="0.25"/>
  <cols>
    <col min="1" max="1" width="13.85546875" customWidth="1"/>
    <col min="2" max="2" width="15.42578125" customWidth="1"/>
    <col min="3" max="3" width="10.85546875" customWidth="1"/>
    <col min="4" max="4" width="7.7109375" customWidth="1"/>
    <col min="5" max="5" width="8.28515625" customWidth="1"/>
    <col min="6" max="6" width="9.7109375" customWidth="1"/>
    <col min="10" max="10" width="9.28515625" customWidth="1"/>
    <col min="11" max="11" width="2.140625" customWidth="1"/>
    <col min="12" max="12" width="8.85546875" customWidth="1"/>
    <col min="13" max="13" width="2.7109375" customWidth="1"/>
    <col min="15" max="15" width="7.140625" customWidth="1"/>
    <col min="16" max="16" width="9.5703125" customWidth="1"/>
    <col min="17" max="17" width="2.42578125" customWidth="1"/>
    <col min="18" max="18" width="32.28515625" customWidth="1"/>
    <col min="19" max="19" width="39" customWidth="1"/>
    <col min="20" max="20" width="1.42578125" customWidth="1"/>
    <col min="21" max="21" width="9.140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1915</v>
      </c>
      <c r="B2" s="28" t="s">
        <v>1916</v>
      </c>
      <c r="C2" s="28">
        <v>698355</v>
      </c>
      <c r="D2" s="31">
        <v>1</v>
      </c>
      <c r="E2" s="73">
        <v>17</v>
      </c>
      <c r="F2" s="45">
        <v>605</v>
      </c>
      <c r="G2" s="32">
        <v>1.869</v>
      </c>
      <c r="H2" s="32">
        <v>3.7309999999999999</v>
      </c>
      <c r="I2" s="32">
        <v>3.7160000000000002</v>
      </c>
      <c r="J2" s="33">
        <f>IF(O2&lt;&gt;"",(H2-I2)/O2,"")</f>
        <v>7.4999999999998401E-3</v>
      </c>
      <c r="K2" s="34" t="str">
        <f t="shared" ref="K2:K65" si="0">IF(J2=0,"",IF(OR(J2&lt;0,J2&gt;0.03),"X",""))</f>
        <v/>
      </c>
      <c r="L2" s="35">
        <f>F2/(O2*P2)</f>
        <v>7.5625</v>
      </c>
      <c r="M2" s="36" t="str">
        <f>IF(L2=0,"",IF(OR(L2&lt;7,L2&gt;7.8),"X",""))</f>
        <v/>
      </c>
      <c r="N2" s="37" t="s">
        <v>20</v>
      </c>
      <c r="O2" s="29">
        <v>2</v>
      </c>
      <c r="P2" s="38">
        <v>40</v>
      </c>
      <c r="Q2" s="28"/>
      <c r="R2" s="28" t="s">
        <v>1936</v>
      </c>
      <c r="S2" s="47"/>
      <c r="T2" s="28"/>
      <c r="U2" s="28" t="s">
        <v>135</v>
      </c>
    </row>
    <row r="3" spans="1:54" s="27" customFormat="1" x14ac:dyDescent="0.25">
      <c r="A3" s="28" t="s">
        <v>21</v>
      </c>
      <c r="B3" s="28" t="s">
        <v>21</v>
      </c>
      <c r="C3" s="28" t="s">
        <v>21</v>
      </c>
      <c r="D3" s="31">
        <v>1</v>
      </c>
      <c r="E3" s="73"/>
      <c r="F3" s="31"/>
      <c r="G3" s="32">
        <v>1.863</v>
      </c>
      <c r="H3" s="32"/>
      <c r="I3" s="32"/>
      <c r="J3" s="33"/>
      <c r="K3" s="34" t="str">
        <f t="shared" si="0"/>
        <v/>
      </c>
      <c r="L3" s="35"/>
      <c r="M3" s="36" t="str">
        <f t="shared" ref="M3:M41" si="1">IF(L3=0,"",IF(OR(L3&lt;7.4,L3&gt;8),"X",""))</f>
        <v/>
      </c>
      <c r="N3" s="37"/>
      <c r="O3" s="29"/>
      <c r="P3" s="38"/>
      <c r="Q3" s="28"/>
      <c r="R3" s="28" t="s">
        <v>1937</v>
      </c>
      <c r="S3" s="47"/>
      <c r="T3" s="28"/>
      <c r="U3" s="28" t="s">
        <v>135</v>
      </c>
    </row>
    <row r="4" spans="1:54" s="27" customFormat="1" x14ac:dyDescent="0.25">
      <c r="A4" s="28" t="s">
        <v>21</v>
      </c>
      <c r="B4" s="28" t="s">
        <v>1917</v>
      </c>
      <c r="C4" s="28" t="s">
        <v>21</v>
      </c>
      <c r="D4" s="31">
        <v>1</v>
      </c>
      <c r="E4" s="73">
        <v>18</v>
      </c>
      <c r="F4" s="45">
        <v>604</v>
      </c>
      <c r="G4" s="32">
        <v>1.859</v>
      </c>
      <c r="H4" s="32">
        <v>3.7160000000000002</v>
      </c>
      <c r="I4" s="32">
        <v>3.702</v>
      </c>
      <c r="J4" s="33">
        <f>IF(O4&lt;&gt;"",(H4-I4)/O4,"")</f>
        <v>7.0000000000001172E-3</v>
      </c>
      <c r="K4" s="34" t="str">
        <f t="shared" si="0"/>
        <v/>
      </c>
      <c r="L4" s="35">
        <f>F4/(O4*P4)</f>
        <v>7.55</v>
      </c>
      <c r="M4" s="36" t="str">
        <f>IF(L4=0,"",IF(OR(L4&lt;7,L4&gt;7.8),"X",""))</f>
        <v/>
      </c>
      <c r="N4" s="37" t="s">
        <v>20</v>
      </c>
      <c r="O4" s="29">
        <v>2</v>
      </c>
      <c r="P4" s="38">
        <v>40</v>
      </c>
      <c r="Q4" s="28"/>
      <c r="R4" s="28" t="s">
        <v>1938</v>
      </c>
      <c r="S4" s="47"/>
      <c r="T4" s="28"/>
      <c r="U4" s="28" t="s">
        <v>135</v>
      </c>
    </row>
    <row r="5" spans="1:54" s="27" customFormat="1" x14ac:dyDescent="0.25">
      <c r="A5" s="28" t="s">
        <v>21</v>
      </c>
      <c r="B5" s="28" t="s">
        <v>21</v>
      </c>
      <c r="C5" s="28" t="s">
        <v>21</v>
      </c>
      <c r="D5" s="31">
        <v>1</v>
      </c>
      <c r="E5" s="73"/>
      <c r="F5" s="31"/>
      <c r="G5" s="32">
        <v>1.8580000000000001</v>
      </c>
      <c r="H5" s="32"/>
      <c r="I5" s="32"/>
      <c r="J5" s="33"/>
      <c r="K5" s="34" t="str">
        <f t="shared" si="0"/>
        <v/>
      </c>
      <c r="L5" s="35"/>
      <c r="M5" s="36" t="str">
        <f t="shared" si="1"/>
        <v/>
      </c>
      <c r="N5" s="37"/>
      <c r="O5" s="29"/>
      <c r="P5" s="38"/>
      <c r="Q5" s="28"/>
      <c r="R5" s="28" t="s">
        <v>1939</v>
      </c>
      <c r="S5" s="47"/>
      <c r="T5" s="28"/>
      <c r="U5" s="28" t="s">
        <v>135</v>
      </c>
    </row>
    <row r="6" spans="1:54" s="27" customFormat="1" x14ac:dyDescent="0.25">
      <c r="A6" s="28" t="s">
        <v>21</v>
      </c>
      <c r="B6" s="28" t="s">
        <v>1918</v>
      </c>
      <c r="C6" s="28" t="s">
        <v>21</v>
      </c>
      <c r="D6" s="31">
        <v>1</v>
      </c>
      <c r="E6" s="73">
        <v>19</v>
      </c>
      <c r="F6" s="45">
        <v>604</v>
      </c>
      <c r="G6" s="32">
        <v>1.8680000000000001</v>
      </c>
      <c r="H6" s="32">
        <v>3.73</v>
      </c>
      <c r="I6" s="32">
        <v>3.7170000000000001</v>
      </c>
      <c r="J6" s="33">
        <f>IF(O6&lt;&gt;"",(H6-I6)/O6,"")</f>
        <v>6.4999999999999503E-3</v>
      </c>
      <c r="K6" s="34" t="str">
        <f t="shared" si="0"/>
        <v/>
      </c>
      <c r="L6" s="35">
        <f>F6/(O6*P6)</f>
        <v>7.55</v>
      </c>
      <c r="M6" s="36" t="str">
        <f>IF(L6=0,"",IF(OR(L6&lt;7,L6&gt;7.8),"X",""))</f>
        <v/>
      </c>
      <c r="N6" s="37" t="s">
        <v>20</v>
      </c>
      <c r="O6" s="29">
        <v>2</v>
      </c>
      <c r="P6" s="38">
        <v>40</v>
      </c>
      <c r="Q6" s="28"/>
      <c r="R6" s="28" t="s">
        <v>1940</v>
      </c>
      <c r="S6" s="47"/>
      <c r="T6" s="28"/>
      <c r="U6" s="28" t="s">
        <v>135</v>
      </c>
    </row>
    <row r="7" spans="1:54" s="27" customFormat="1" x14ac:dyDescent="0.25">
      <c r="A7" s="28" t="s">
        <v>21</v>
      </c>
      <c r="B7" s="28" t="s">
        <v>21</v>
      </c>
      <c r="C7" s="28" t="s">
        <v>21</v>
      </c>
      <c r="D7" s="31">
        <v>1</v>
      </c>
      <c r="E7" s="73"/>
      <c r="F7" s="31"/>
      <c r="G7" s="32">
        <v>1.8640000000000001</v>
      </c>
      <c r="H7" s="32"/>
      <c r="I7" s="32"/>
      <c r="J7" s="33"/>
      <c r="K7" s="34" t="str">
        <f t="shared" si="0"/>
        <v/>
      </c>
      <c r="L7" s="35"/>
      <c r="M7" s="36" t="str">
        <f t="shared" si="1"/>
        <v/>
      </c>
      <c r="N7" s="37"/>
      <c r="O7" s="29"/>
      <c r="P7" s="38"/>
      <c r="Q7" s="28"/>
      <c r="R7" s="28" t="s">
        <v>1941</v>
      </c>
      <c r="S7" s="47"/>
      <c r="T7" s="28"/>
      <c r="U7" s="28" t="s">
        <v>135</v>
      </c>
    </row>
    <row r="8" spans="1:54" s="27" customFormat="1" x14ac:dyDescent="0.25">
      <c r="A8" s="28" t="s">
        <v>21</v>
      </c>
      <c r="B8" s="28" t="s">
        <v>1919</v>
      </c>
      <c r="C8" s="28" t="s">
        <v>21</v>
      </c>
      <c r="D8" s="31">
        <v>1</v>
      </c>
      <c r="E8" s="73">
        <v>13</v>
      </c>
      <c r="F8" s="45">
        <v>606</v>
      </c>
      <c r="G8" s="32">
        <v>1.8460000000000001</v>
      </c>
      <c r="H8" s="32">
        <v>3.6960000000000002</v>
      </c>
      <c r="I8" s="32">
        <v>3.6789999999999998</v>
      </c>
      <c r="J8" s="33">
        <f>IF(O8&lt;&gt;"",(H8-I8)/O8,"")</f>
        <v>8.5000000000001741E-3</v>
      </c>
      <c r="K8" s="34" t="str">
        <f t="shared" si="0"/>
        <v/>
      </c>
      <c r="L8" s="35">
        <f>F8/(O8*P8)</f>
        <v>7.5750000000000002</v>
      </c>
      <c r="M8" s="36" t="str">
        <f>IF(L8=0,"",IF(OR(L8&lt;7,L8&gt;7.8),"X",""))</f>
        <v/>
      </c>
      <c r="N8" s="37" t="s">
        <v>20</v>
      </c>
      <c r="O8" s="29">
        <v>2</v>
      </c>
      <c r="P8" s="38">
        <v>40</v>
      </c>
      <c r="Q8" s="28"/>
      <c r="R8" s="28" t="s">
        <v>1942</v>
      </c>
      <c r="S8" s="47"/>
      <c r="T8" s="28"/>
      <c r="U8" s="28" t="s">
        <v>135</v>
      </c>
    </row>
    <row r="9" spans="1:54" s="27" customFormat="1" x14ac:dyDescent="0.25">
      <c r="A9" s="28" t="s">
        <v>21</v>
      </c>
      <c r="B9" s="28" t="s">
        <v>21</v>
      </c>
      <c r="C9" s="28" t="s">
        <v>21</v>
      </c>
      <c r="D9" s="31">
        <v>1</v>
      </c>
      <c r="E9" s="73"/>
      <c r="F9" s="31"/>
      <c r="G9" s="32">
        <v>1.85</v>
      </c>
      <c r="H9" s="32"/>
      <c r="I9" s="32"/>
      <c r="J9" s="33"/>
      <c r="K9" s="34" t="str">
        <f t="shared" si="0"/>
        <v/>
      </c>
      <c r="L9" s="35"/>
      <c r="M9" s="36" t="str">
        <f t="shared" si="1"/>
        <v/>
      </c>
      <c r="N9" s="37"/>
      <c r="O9" s="29"/>
      <c r="P9" s="38"/>
      <c r="Q9" s="28"/>
      <c r="R9" s="28" t="s">
        <v>1943</v>
      </c>
      <c r="S9" s="47"/>
      <c r="T9" s="28"/>
      <c r="U9" s="28" t="s">
        <v>135</v>
      </c>
    </row>
    <row r="10" spans="1:54" s="27" customFormat="1" x14ac:dyDescent="0.25">
      <c r="A10" s="28" t="s">
        <v>21</v>
      </c>
      <c r="B10" s="28" t="s">
        <v>1920</v>
      </c>
      <c r="C10" s="28">
        <v>698355</v>
      </c>
      <c r="D10" s="31">
        <v>1</v>
      </c>
      <c r="E10" s="73">
        <v>14</v>
      </c>
      <c r="F10" s="45">
        <v>606</v>
      </c>
      <c r="G10" s="32">
        <v>1.837</v>
      </c>
      <c r="H10" s="32">
        <v>3.6640000000000001</v>
      </c>
      <c r="I10" s="32">
        <v>3.645</v>
      </c>
      <c r="J10" s="33">
        <f>IF(O10&lt;&gt;"",(H10-I10)/O10,"")</f>
        <v>9.5000000000000639E-3</v>
      </c>
      <c r="K10" s="34" t="str">
        <f t="shared" si="0"/>
        <v/>
      </c>
      <c r="L10" s="35">
        <f>F10/(O10*P10)</f>
        <v>7.5750000000000002</v>
      </c>
      <c r="M10" s="36" t="str">
        <f>IF(L10=0,"",IF(OR(L10&lt;7,L10&gt;7.8),"X",""))</f>
        <v/>
      </c>
      <c r="N10" s="37" t="s">
        <v>20</v>
      </c>
      <c r="O10" s="29">
        <v>2</v>
      </c>
      <c r="P10" s="38">
        <v>40</v>
      </c>
      <c r="Q10" s="28"/>
      <c r="R10" s="28" t="s">
        <v>1944</v>
      </c>
      <c r="S10" s="47"/>
      <c r="T10" s="28"/>
      <c r="U10" s="28" t="s">
        <v>135</v>
      </c>
    </row>
    <row r="11" spans="1:54" s="27" customFormat="1" x14ac:dyDescent="0.25">
      <c r="A11" s="28" t="s">
        <v>21</v>
      </c>
      <c r="B11" s="28" t="s">
        <v>21</v>
      </c>
      <c r="C11" s="28" t="s">
        <v>21</v>
      </c>
      <c r="D11" s="31">
        <v>1</v>
      </c>
      <c r="E11" s="73"/>
      <c r="F11" s="31"/>
      <c r="G11" s="32">
        <v>1.827</v>
      </c>
      <c r="H11" s="32"/>
      <c r="I11" s="32"/>
      <c r="J11" s="33"/>
      <c r="K11" s="34" t="str">
        <f t="shared" si="0"/>
        <v/>
      </c>
      <c r="L11" s="35"/>
      <c r="M11" s="36" t="str">
        <f t="shared" si="1"/>
        <v/>
      </c>
      <c r="N11" s="37"/>
      <c r="O11" s="29"/>
      <c r="P11" s="38"/>
      <c r="Q11" s="28"/>
      <c r="R11" s="28" t="s">
        <v>1945</v>
      </c>
      <c r="S11" s="47"/>
      <c r="T11" s="28"/>
      <c r="U11" s="28" t="s">
        <v>135</v>
      </c>
    </row>
    <row r="12" spans="1:54" s="27" customFormat="1" x14ac:dyDescent="0.25">
      <c r="A12" s="28" t="s">
        <v>21</v>
      </c>
      <c r="B12" s="28" t="s">
        <v>1921</v>
      </c>
      <c r="C12" s="28" t="s">
        <v>21</v>
      </c>
      <c r="D12" s="31">
        <v>1</v>
      </c>
      <c r="E12" s="73">
        <v>13</v>
      </c>
      <c r="F12" s="45">
        <v>607</v>
      </c>
      <c r="G12" s="32">
        <v>1.8260000000000001</v>
      </c>
      <c r="H12" s="32">
        <v>3.6440000000000001</v>
      </c>
      <c r="I12" s="32">
        <v>3.6240000000000001</v>
      </c>
      <c r="J12" s="33">
        <f>IF(O12&lt;&gt;"",(H12-I12)/O12,"")</f>
        <v>1.0000000000000009E-2</v>
      </c>
      <c r="K12" s="34" t="str">
        <f t="shared" si="0"/>
        <v/>
      </c>
      <c r="L12" s="35">
        <f>F12/(O12*P12)</f>
        <v>7.5875000000000004</v>
      </c>
      <c r="M12" s="36" t="str">
        <f>IF(L12=0,"",IF(OR(L12&lt;7,L12&gt;7.8),"X",""))</f>
        <v/>
      </c>
      <c r="N12" s="37" t="s">
        <v>20</v>
      </c>
      <c r="O12" s="29">
        <v>2</v>
      </c>
      <c r="P12" s="38">
        <v>40</v>
      </c>
      <c r="Q12" s="28"/>
      <c r="R12" s="28" t="s">
        <v>1946</v>
      </c>
      <c r="S12" s="47"/>
      <c r="T12" s="28"/>
      <c r="U12" s="28" t="s">
        <v>135</v>
      </c>
    </row>
    <row r="13" spans="1:54" s="27" customFormat="1" x14ac:dyDescent="0.25">
      <c r="A13" s="28" t="s">
        <v>21</v>
      </c>
      <c r="B13" s="28" t="s">
        <v>21</v>
      </c>
      <c r="C13" s="28" t="s">
        <v>21</v>
      </c>
      <c r="D13" s="31">
        <v>1</v>
      </c>
      <c r="E13" s="73"/>
      <c r="F13" s="31"/>
      <c r="G13" s="32">
        <v>1.8180000000000001</v>
      </c>
      <c r="H13" s="32"/>
      <c r="I13" s="32"/>
      <c r="J13" s="33"/>
      <c r="K13" s="34" t="str">
        <f t="shared" si="0"/>
        <v/>
      </c>
      <c r="L13" s="35"/>
      <c r="M13" s="36" t="str">
        <f t="shared" si="1"/>
        <v/>
      </c>
      <c r="N13" s="37"/>
      <c r="O13" s="29"/>
      <c r="P13" s="38"/>
      <c r="Q13" s="28"/>
      <c r="R13" s="28" t="s">
        <v>1947</v>
      </c>
      <c r="S13" s="47"/>
      <c r="T13" s="28"/>
      <c r="U13" s="28" t="s">
        <v>135</v>
      </c>
    </row>
    <row r="14" spans="1:54" s="27" customFormat="1" x14ac:dyDescent="0.25">
      <c r="A14" s="28" t="s">
        <v>21</v>
      </c>
      <c r="B14" s="28" t="s">
        <v>1922</v>
      </c>
      <c r="C14" s="28" t="s">
        <v>21</v>
      </c>
      <c r="D14" s="31">
        <v>1</v>
      </c>
      <c r="E14" s="73">
        <v>14</v>
      </c>
      <c r="F14" s="45">
        <v>605</v>
      </c>
      <c r="G14" s="32">
        <v>1.84</v>
      </c>
      <c r="H14" s="32">
        <v>3.677</v>
      </c>
      <c r="I14" s="32">
        <v>3.66</v>
      </c>
      <c r="J14" s="33">
        <f>IF(O14&lt;&gt;"",(H14-I14)/O14,"")</f>
        <v>8.499999999999952E-3</v>
      </c>
      <c r="K14" s="34" t="str">
        <f t="shared" si="0"/>
        <v/>
      </c>
      <c r="L14" s="35">
        <f>F14/(O14*P14)</f>
        <v>7.5625</v>
      </c>
      <c r="M14" s="36" t="str">
        <f>IF(L14=0,"",IF(OR(L14&lt;7,L14&gt;7.8),"X",""))</f>
        <v/>
      </c>
      <c r="N14" s="37" t="s">
        <v>20</v>
      </c>
      <c r="O14" s="29">
        <v>2</v>
      </c>
      <c r="P14" s="38">
        <v>40</v>
      </c>
      <c r="Q14" s="28"/>
      <c r="R14" s="28" t="s">
        <v>1948</v>
      </c>
      <c r="S14" s="47"/>
      <c r="T14" s="28"/>
      <c r="U14" s="28" t="s">
        <v>135</v>
      </c>
    </row>
    <row r="15" spans="1:54" s="27" customFormat="1" x14ac:dyDescent="0.25">
      <c r="A15" s="28" t="s">
        <v>21</v>
      </c>
      <c r="B15" s="28" t="s">
        <v>21</v>
      </c>
      <c r="C15" s="28" t="s">
        <v>21</v>
      </c>
      <c r="D15" s="31">
        <v>1</v>
      </c>
      <c r="E15" s="73"/>
      <c r="F15" s="31"/>
      <c r="G15" s="32">
        <v>1.8360000000000001</v>
      </c>
      <c r="H15" s="32"/>
      <c r="I15" s="32"/>
      <c r="J15" s="33"/>
      <c r="K15" s="34" t="str">
        <f t="shared" si="0"/>
        <v/>
      </c>
      <c r="L15" s="35"/>
      <c r="M15" s="36" t="str">
        <f t="shared" si="1"/>
        <v/>
      </c>
      <c r="N15" s="37"/>
      <c r="O15" s="29"/>
      <c r="P15" s="38"/>
      <c r="Q15" s="28"/>
      <c r="R15" s="28" t="s">
        <v>1949</v>
      </c>
      <c r="S15" s="47"/>
      <c r="T15" s="28"/>
      <c r="U15" s="28" t="s">
        <v>135</v>
      </c>
    </row>
    <row r="16" spans="1:54" s="27" customFormat="1" x14ac:dyDescent="0.25">
      <c r="A16" s="28" t="s">
        <v>21</v>
      </c>
      <c r="B16" s="28" t="s">
        <v>1923</v>
      </c>
      <c r="C16" s="28" t="s">
        <v>21</v>
      </c>
      <c r="D16" s="31">
        <v>1</v>
      </c>
      <c r="E16" s="73">
        <v>13</v>
      </c>
      <c r="F16" s="45">
        <v>606</v>
      </c>
      <c r="G16" s="32">
        <v>1.8340000000000001</v>
      </c>
      <c r="H16" s="32">
        <v>3.677</v>
      </c>
      <c r="I16" s="32">
        <v>3.6589999999999998</v>
      </c>
      <c r="J16" s="33">
        <f>IF(O16&lt;&gt;"",(H16-I16)/O16,"")</f>
        <v>9.000000000000119E-3</v>
      </c>
      <c r="K16" s="34" t="str">
        <f t="shared" si="0"/>
        <v/>
      </c>
      <c r="L16" s="35">
        <f>F16/(O16*P16)</f>
        <v>7.5750000000000002</v>
      </c>
      <c r="M16" s="36" t="str">
        <f>IF(L16=0,"",IF(OR(L16&lt;7,L16&gt;7.8),"X",""))</f>
        <v/>
      </c>
      <c r="N16" s="37" t="s">
        <v>20</v>
      </c>
      <c r="O16" s="29">
        <v>2</v>
      </c>
      <c r="P16" s="38">
        <v>40</v>
      </c>
      <c r="Q16" s="28"/>
      <c r="R16" s="28" t="s">
        <v>1950</v>
      </c>
      <c r="S16" s="47"/>
      <c r="T16" s="28"/>
      <c r="U16" s="28" t="s">
        <v>135</v>
      </c>
    </row>
    <row r="17" spans="1:21" s="27" customFormat="1" x14ac:dyDescent="0.25">
      <c r="A17" s="28" t="s">
        <v>21</v>
      </c>
      <c r="B17" s="28" t="s">
        <v>21</v>
      </c>
      <c r="C17" s="28" t="s">
        <v>21</v>
      </c>
      <c r="D17" s="31">
        <v>1</v>
      </c>
      <c r="E17" s="73"/>
      <c r="F17" s="31"/>
      <c r="G17" s="32">
        <v>1.8440000000000001</v>
      </c>
      <c r="H17" s="32"/>
      <c r="I17" s="32"/>
      <c r="J17" s="33"/>
      <c r="K17" s="34" t="str">
        <f t="shared" si="0"/>
        <v/>
      </c>
      <c r="L17" s="35"/>
      <c r="M17" s="36" t="str">
        <f t="shared" si="1"/>
        <v/>
      </c>
      <c r="N17" s="37"/>
      <c r="O17" s="29"/>
      <c r="P17" s="38"/>
      <c r="Q17" s="28"/>
      <c r="R17" s="28" t="s">
        <v>1951</v>
      </c>
      <c r="S17" s="47"/>
      <c r="T17" s="28"/>
      <c r="U17" s="28" t="s">
        <v>135</v>
      </c>
    </row>
    <row r="18" spans="1:21" s="27" customFormat="1" x14ac:dyDescent="0.25">
      <c r="A18" s="28" t="s">
        <v>21</v>
      </c>
      <c r="B18" s="28" t="s">
        <v>1924</v>
      </c>
      <c r="C18" s="28" t="s">
        <v>21</v>
      </c>
      <c r="D18" s="31">
        <v>1</v>
      </c>
      <c r="E18" s="73">
        <v>21</v>
      </c>
      <c r="F18" s="45">
        <v>606</v>
      </c>
      <c r="G18" s="32">
        <v>1.8380000000000001</v>
      </c>
      <c r="H18" s="32">
        <v>3.6779999999999999</v>
      </c>
      <c r="I18" s="32">
        <v>3.6619999999999999</v>
      </c>
      <c r="J18" s="33">
        <f>IF(O18&lt;&gt;"",(H18-I18)/O18,"")</f>
        <v>8.0000000000000071E-3</v>
      </c>
      <c r="K18" s="34" t="str">
        <f t="shared" si="0"/>
        <v/>
      </c>
      <c r="L18" s="35">
        <f>F18/(O18*P18)</f>
        <v>7.5750000000000002</v>
      </c>
      <c r="M18" s="36" t="str">
        <f>IF(L18=0,"",IF(OR(L18&lt;7,L18&gt;7.8),"X",""))</f>
        <v/>
      </c>
      <c r="N18" s="37" t="s">
        <v>20</v>
      </c>
      <c r="O18" s="29">
        <v>2</v>
      </c>
      <c r="P18" s="38">
        <v>40</v>
      </c>
      <c r="Q18" s="28"/>
      <c r="R18" s="28" t="s">
        <v>1952</v>
      </c>
      <c r="S18" s="47"/>
      <c r="T18" s="28"/>
      <c r="U18" s="28" t="s">
        <v>135</v>
      </c>
    </row>
    <row r="19" spans="1:21" s="27" customFormat="1" x14ac:dyDescent="0.25">
      <c r="A19" s="28" t="s">
        <v>21</v>
      </c>
      <c r="B19" s="28" t="s">
        <v>21</v>
      </c>
      <c r="C19" s="28" t="s">
        <v>21</v>
      </c>
      <c r="D19" s="31">
        <v>1</v>
      </c>
      <c r="E19" s="73"/>
      <c r="F19" s="31"/>
      <c r="G19" s="32">
        <v>1.84</v>
      </c>
      <c r="H19" s="32"/>
      <c r="I19" s="32"/>
      <c r="J19" s="33"/>
      <c r="K19" s="34" t="str">
        <f t="shared" si="0"/>
        <v/>
      </c>
      <c r="L19" s="35"/>
      <c r="M19" s="36" t="str">
        <f t="shared" si="1"/>
        <v/>
      </c>
      <c r="N19" s="37"/>
      <c r="O19" s="29"/>
      <c r="P19" s="38"/>
      <c r="Q19" s="28"/>
      <c r="R19" s="28" t="s">
        <v>1953</v>
      </c>
      <c r="S19" s="47"/>
      <c r="T19" s="28"/>
      <c r="U19" s="28" t="s">
        <v>135</v>
      </c>
    </row>
    <row r="20" spans="1:21" s="27" customFormat="1" x14ac:dyDescent="0.25">
      <c r="A20" s="28" t="s">
        <v>21</v>
      </c>
      <c r="B20" s="28" t="s">
        <v>1925</v>
      </c>
      <c r="C20" s="28" t="s">
        <v>21</v>
      </c>
      <c r="D20" s="31">
        <v>1</v>
      </c>
      <c r="E20" s="73">
        <v>18</v>
      </c>
      <c r="F20" s="45">
        <v>606</v>
      </c>
      <c r="G20" s="32">
        <v>1.833</v>
      </c>
      <c r="H20" s="32">
        <v>3.6629999999999998</v>
      </c>
      <c r="I20" s="32">
        <v>3.6469999999999998</v>
      </c>
      <c r="J20" s="33">
        <f>IF(O20&lt;&gt;"",(H20-I20)/O20,"")</f>
        <v>8.0000000000000071E-3</v>
      </c>
      <c r="K20" s="34" t="str">
        <f t="shared" si="0"/>
        <v/>
      </c>
      <c r="L20" s="35">
        <f>F20/(O20*P20)</f>
        <v>7.5750000000000002</v>
      </c>
      <c r="M20" s="36" t="str">
        <f>IF(L20=0,"",IF(OR(L20&lt;7,L20&gt;7.8),"X",""))</f>
        <v/>
      </c>
      <c r="N20" s="37" t="s">
        <v>20</v>
      </c>
      <c r="O20" s="29">
        <v>2</v>
      </c>
      <c r="P20" s="38">
        <v>40</v>
      </c>
      <c r="Q20" s="28"/>
      <c r="R20" s="28" t="s">
        <v>1954</v>
      </c>
      <c r="S20" s="47"/>
      <c r="T20" s="28"/>
      <c r="U20" s="28" t="s">
        <v>135</v>
      </c>
    </row>
    <row r="21" spans="1:21" s="27" customFormat="1" x14ac:dyDescent="0.25">
      <c r="A21" s="28" t="s">
        <v>21</v>
      </c>
      <c r="B21" s="28" t="s">
        <v>21</v>
      </c>
      <c r="C21" s="28" t="s">
        <v>21</v>
      </c>
      <c r="D21" s="31">
        <v>1</v>
      </c>
      <c r="E21" s="73"/>
      <c r="F21" s="31"/>
      <c r="G21" s="32">
        <v>1.829</v>
      </c>
      <c r="H21" s="32"/>
      <c r="I21" s="32"/>
      <c r="J21" s="33"/>
      <c r="K21" s="34" t="str">
        <f t="shared" si="0"/>
        <v/>
      </c>
      <c r="L21" s="35"/>
      <c r="M21" s="36" t="str">
        <f t="shared" si="1"/>
        <v/>
      </c>
      <c r="N21" s="37"/>
      <c r="O21" s="29"/>
      <c r="P21" s="38"/>
      <c r="Q21" s="28"/>
      <c r="R21" s="28" t="s">
        <v>1955</v>
      </c>
      <c r="S21" s="47"/>
      <c r="T21" s="28"/>
      <c r="U21" s="28" t="s">
        <v>135</v>
      </c>
    </row>
    <row r="22" spans="1:21" s="27" customFormat="1" x14ac:dyDescent="0.25">
      <c r="A22" s="28" t="s">
        <v>21</v>
      </c>
      <c r="B22" s="28" t="s">
        <v>1926</v>
      </c>
      <c r="C22" s="28" t="s">
        <v>21</v>
      </c>
      <c r="D22" s="31">
        <v>1</v>
      </c>
      <c r="E22" s="73">
        <v>24</v>
      </c>
      <c r="F22" s="45">
        <v>611</v>
      </c>
      <c r="G22" s="32">
        <v>1.849</v>
      </c>
      <c r="H22" s="32">
        <v>3.6909999999999998</v>
      </c>
      <c r="I22" s="32">
        <v>3.673</v>
      </c>
      <c r="J22" s="33">
        <f>IF(O22&lt;&gt;"",(H22-I22)/O22,"")</f>
        <v>8.999999999999897E-3</v>
      </c>
      <c r="K22" s="34" t="str">
        <f t="shared" si="0"/>
        <v/>
      </c>
      <c r="L22" s="35">
        <f>F22/(O22*P22)</f>
        <v>7.6375000000000002</v>
      </c>
      <c r="M22" s="36" t="str">
        <f>IF(L22=0,"",IF(OR(L22&lt;7,L22&gt;7.8),"X",""))</f>
        <v/>
      </c>
      <c r="N22" s="37" t="s">
        <v>20</v>
      </c>
      <c r="O22" s="29">
        <v>2</v>
      </c>
      <c r="P22" s="38">
        <v>40</v>
      </c>
      <c r="Q22" s="28"/>
      <c r="R22" s="28" t="s">
        <v>1956</v>
      </c>
      <c r="S22" s="47"/>
      <c r="T22" s="28"/>
      <c r="U22" s="28" t="s">
        <v>31</v>
      </c>
    </row>
    <row r="23" spans="1:21" s="27" customFormat="1" x14ac:dyDescent="0.25">
      <c r="A23" s="28" t="s">
        <v>21</v>
      </c>
      <c r="B23" s="28" t="s">
        <v>21</v>
      </c>
      <c r="C23" s="28" t="s">
        <v>21</v>
      </c>
      <c r="D23" s="31">
        <v>1</v>
      </c>
      <c r="E23" s="73"/>
      <c r="F23" s="31"/>
      <c r="G23" s="32">
        <v>1.8420000000000001</v>
      </c>
      <c r="H23" s="32"/>
      <c r="I23" s="32"/>
      <c r="J23" s="33"/>
      <c r="K23" s="34" t="str">
        <f t="shared" si="0"/>
        <v/>
      </c>
      <c r="L23" s="35"/>
      <c r="M23" s="36" t="str">
        <f t="shared" si="1"/>
        <v/>
      </c>
      <c r="N23" s="37"/>
      <c r="O23" s="29"/>
      <c r="P23" s="38"/>
      <c r="Q23" s="28"/>
      <c r="R23" s="28" t="s">
        <v>1957</v>
      </c>
      <c r="S23" s="47"/>
      <c r="T23" s="28"/>
      <c r="U23" s="28" t="s">
        <v>31</v>
      </c>
    </row>
    <row r="24" spans="1:21" s="27" customFormat="1" x14ac:dyDescent="0.25">
      <c r="A24" s="28" t="s">
        <v>21</v>
      </c>
      <c r="B24" s="28" t="s">
        <v>1927</v>
      </c>
      <c r="C24" s="28" t="s">
        <v>21</v>
      </c>
      <c r="D24" s="31">
        <v>1</v>
      </c>
      <c r="E24" s="73">
        <v>28</v>
      </c>
      <c r="F24" s="45">
        <v>607</v>
      </c>
      <c r="G24" s="32">
        <v>1.841</v>
      </c>
      <c r="H24" s="32">
        <v>3.694</v>
      </c>
      <c r="I24" s="32">
        <v>3.677</v>
      </c>
      <c r="J24" s="33">
        <f>IF(O24&lt;&gt;"",(H24-I24)/O24,"")</f>
        <v>8.499999999999952E-3</v>
      </c>
      <c r="K24" s="34" t="str">
        <f t="shared" si="0"/>
        <v/>
      </c>
      <c r="L24" s="35">
        <f>F24/(O24*P24)</f>
        <v>7.5875000000000004</v>
      </c>
      <c r="M24" s="36" t="str">
        <f>IF(L24=0,"",IF(OR(L24&lt;7,L24&gt;7.8),"X",""))</f>
        <v/>
      </c>
      <c r="N24" s="37" t="s">
        <v>20</v>
      </c>
      <c r="O24" s="29">
        <v>2</v>
      </c>
      <c r="P24" s="38">
        <v>40</v>
      </c>
      <c r="Q24" s="28"/>
      <c r="R24" s="28" t="s">
        <v>1959</v>
      </c>
      <c r="S24" s="47"/>
      <c r="T24" s="28"/>
      <c r="U24" s="28" t="s">
        <v>31</v>
      </c>
    </row>
    <row r="25" spans="1:21" s="27" customFormat="1" x14ac:dyDescent="0.25">
      <c r="A25" s="28" t="s">
        <v>21</v>
      </c>
      <c r="B25" s="28" t="s">
        <v>21</v>
      </c>
      <c r="C25" s="28" t="s">
        <v>21</v>
      </c>
      <c r="D25" s="31">
        <v>1</v>
      </c>
      <c r="E25" s="73"/>
      <c r="F25" s="31"/>
      <c r="G25" s="32">
        <v>1.8540000000000001</v>
      </c>
      <c r="H25" s="32"/>
      <c r="I25" s="32"/>
      <c r="J25" s="33"/>
      <c r="K25" s="34" t="str">
        <f t="shared" si="0"/>
        <v/>
      </c>
      <c r="L25" s="35"/>
      <c r="M25" s="36" t="str">
        <f t="shared" si="1"/>
        <v/>
      </c>
      <c r="N25" s="37"/>
      <c r="O25" s="29"/>
      <c r="P25" s="38"/>
      <c r="Q25" s="28"/>
      <c r="R25" s="28" t="s">
        <v>1960</v>
      </c>
      <c r="S25" s="47"/>
      <c r="T25" s="28"/>
      <c r="U25" s="28" t="s">
        <v>31</v>
      </c>
    </row>
    <row r="26" spans="1:21" s="27" customFormat="1" x14ac:dyDescent="0.25">
      <c r="A26" s="28" t="s">
        <v>21</v>
      </c>
      <c r="B26" s="28" t="s">
        <v>1928</v>
      </c>
      <c r="C26" s="28" t="s">
        <v>21</v>
      </c>
      <c r="D26" s="31">
        <v>1</v>
      </c>
      <c r="E26" s="73">
        <v>24</v>
      </c>
      <c r="F26" s="45">
        <v>607</v>
      </c>
      <c r="G26" s="32">
        <v>1.849</v>
      </c>
      <c r="H26" s="32">
        <v>3.6949999999999998</v>
      </c>
      <c r="I26" s="32">
        <v>3.6779999999999999</v>
      </c>
      <c r="J26" s="33">
        <f>IF(O26&lt;&gt;"",(H26-I26)/O26,"")</f>
        <v>8.499999999999952E-3</v>
      </c>
      <c r="K26" s="34" t="str">
        <f t="shared" si="0"/>
        <v/>
      </c>
      <c r="L26" s="35">
        <f>F26/(O26*P26)</f>
        <v>7.5875000000000004</v>
      </c>
      <c r="M26" s="36" t="str">
        <f>IF(L26=0,"",IF(OR(L26&lt;7,L26&gt;7.8),"X",""))</f>
        <v/>
      </c>
      <c r="N26" s="37" t="s">
        <v>20</v>
      </c>
      <c r="O26" s="29">
        <v>2</v>
      </c>
      <c r="P26" s="38">
        <v>40</v>
      </c>
      <c r="Q26" s="28"/>
      <c r="R26" s="28" t="s">
        <v>1962</v>
      </c>
      <c r="S26" s="47"/>
      <c r="T26" s="28"/>
      <c r="U26" s="28" t="s">
        <v>31</v>
      </c>
    </row>
    <row r="27" spans="1:21" s="27" customFormat="1" x14ac:dyDescent="0.25">
      <c r="A27" s="28" t="s">
        <v>21</v>
      </c>
      <c r="B27" s="28" t="s">
        <v>21</v>
      </c>
      <c r="C27" s="28" t="s">
        <v>21</v>
      </c>
      <c r="D27" s="31">
        <v>1</v>
      </c>
      <c r="E27" s="73"/>
      <c r="F27" s="31"/>
      <c r="G27" s="32">
        <v>1.8460000000000001</v>
      </c>
      <c r="H27" s="32"/>
      <c r="I27" s="32"/>
      <c r="J27" s="33"/>
      <c r="K27" s="34" t="str">
        <f t="shared" si="0"/>
        <v/>
      </c>
      <c r="L27" s="35"/>
      <c r="M27" s="36" t="str">
        <f t="shared" si="1"/>
        <v/>
      </c>
      <c r="N27" s="37"/>
      <c r="O27" s="29"/>
      <c r="P27" s="38"/>
      <c r="Q27" s="28"/>
      <c r="R27" s="28" t="s">
        <v>1958</v>
      </c>
      <c r="S27" s="47"/>
      <c r="T27" s="28"/>
      <c r="U27" s="28" t="s">
        <v>31</v>
      </c>
    </row>
    <row r="28" spans="1:21" s="27" customFormat="1" x14ac:dyDescent="0.25">
      <c r="A28" s="28" t="s">
        <v>21</v>
      </c>
      <c r="B28" s="28" t="s">
        <v>1929</v>
      </c>
      <c r="C28" s="28" t="s">
        <v>21</v>
      </c>
      <c r="D28" s="31">
        <v>1</v>
      </c>
      <c r="E28" s="73">
        <v>35</v>
      </c>
      <c r="F28" s="45">
        <v>606</v>
      </c>
      <c r="G28" s="32">
        <v>1.841</v>
      </c>
      <c r="H28" s="32">
        <v>3.6840000000000002</v>
      </c>
      <c r="I28" s="32">
        <v>3.669</v>
      </c>
      <c r="J28" s="33">
        <f>IF(O28&lt;&gt;"",(H28-I28)/O28,"")</f>
        <v>7.5000000000000622E-3</v>
      </c>
      <c r="K28" s="34" t="str">
        <f t="shared" si="0"/>
        <v/>
      </c>
      <c r="L28" s="35">
        <f>F28/(O28*P28)</f>
        <v>7.5750000000000002</v>
      </c>
      <c r="M28" s="36" t="str">
        <f>IF(L28=0,"",IF(OR(L28&lt;7,L28&gt;7.8),"X",""))</f>
        <v/>
      </c>
      <c r="N28" s="37" t="s">
        <v>20</v>
      </c>
      <c r="O28" s="29">
        <v>2</v>
      </c>
      <c r="P28" s="38">
        <v>40</v>
      </c>
      <c r="Q28" s="28"/>
      <c r="R28" s="28" t="s">
        <v>1961</v>
      </c>
      <c r="S28" s="47"/>
      <c r="T28" s="28"/>
      <c r="U28" s="28" t="s">
        <v>31</v>
      </c>
    </row>
    <row r="29" spans="1:21" s="27" customFormat="1" x14ac:dyDescent="0.25">
      <c r="A29" s="28" t="s">
        <v>21</v>
      </c>
      <c r="B29" s="28" t="s">
        <v>21</v>
      </c>
      <c r="C29" s="28" t="s">
        <v>21</v>
      </c>
      <c r="D29" s="31">
        <v>1</v>
      </c>
      <c r="E29" s="73"/>
      <c r="F29" s="31"/>
      <c r="G29" s="32">
        <v>1.843</v>
      </c>
      <c r="H29" s="32"/>
      <c r="I29" s="32"/>
      <c r="J29" s="33"/>
      <c r="K29" s="34" t="str">
        <f t="shared" si="0"/>
        <v/>
      </c>
      <c r="L29" s="35"/>
      <c r="M29" s="36" t="str">
        <f t="shared" si="1"/>
        <v/>
      </c>
      <c r="N29" s="37"/>
      <c r="O29" s="29"/>
      <c r="P29" s="38"/>
      <c r="Q29" s="28"/>
      <c r="R29" s="28" t="s">
        <v>1963</v>
      </c>
      <c r="S29" s="47"/>
      <c r="T29" s="28"/>
      <c r="U29" s="28" t="s">
        <v>31</v>
      </c>
    </row>
    <row r="30" spans="1:21" s="27" customFormat="1" x14ac:dyDescent="0.25">
      <c r="A30" s="28" t="s">
        <v>21</v>
      </c>
      <c r="B30" s="28" t="s">
        <v>1930</v>
      </c>
      <c r="C30" s="28" t="s">
        <v>21</v>
      </c>
      <c r="D30" s="31">
        <v>1</v>
      </c>
      <c r="E30" s="73">
        <v>41</v>
      </c>
      <c r="F30" s="45">
        <v>604</v>
      </c>
      <c r="G30" s="32">
        <v>1.8480000000000001</v>
      </c>
      <c r="H30" s="32">
        <v>3.6819999999999999</v>
      </c>
      <c r="I30" s="32">
        <v>3.6669999999999998</v>
      </c>
      <c r="J30" s="33">
        <f>IF(O30&lt;&gt;"",(H30-I30)/O30,"")</f>
        <v>7.5000000000000622E-3</v>
      </c>
      <c r="K30" s="34" t="str">
        <f t="shared" si="0"/>
        <v/>
      </c>
      <c r="L30" s="35">
        <f>F30/(O30*P30)</f>
        <v>7.55</v>
      </c>
      <c r="M30" s="36" t="str">
        <f>IF(L30=0,"",IF(OR(L30&lt;7,L30&gt;7.8),"X",""))</f>
        <v/>
      </c>
      <c r="N30" s="37" t="s">
        <v>20</v>
      </c>
      <c r="O30" s="29">
        <v>2</v>
      </c>
      <c r="P30" s="38">
        <v>40</v>
      </c>
      <c r="Q30" s="28"/>
      <c r="R30" s="28" t="s">
        <v>1965</v>
      </c>
      <c r="S30" s="47"/>
      <c r="T30" s="28"/>
      <c r="U30" s="28" t="s">
        <v>31</v>
      </c>
    </row>
    <row r="31" spans="1:21" s="27" customFormat="1" x14ac:dyDescent="0.25">
      <c r="A31" s="28" t="s">
        <v>21</v>
      </c>
      <c r="B31" s="28" t="s">
        <v>21</v>
      </c>
      <c r="C31" s="28" t="s">
        <v>21</v>
      </c>
      <c r="D31" s="31">
        <v>1</v>
      </c>
      <c r="E31" s="73"/>
      <c r="F31" s="31"/>
      <c r="G31" s="32">
        <v>1.8340000000000001</v>
      </c>
      <c r="H31" s="32"/>
      <c r="I31" s="32"/>
      <c r="J31" s="33"/>
      <c r="K31" s="34" t="str">
        <f t="shared" si="0"/>
        <v/>
      </c>
      <c r="L31" s="35"/>
      <c r="M31" s="36" t="str">
        <f t="shared" si="1"/>
        <v/>
      </c>
      <c r="N31" s="37"/>
      <c r="O31" s="29"/>
      <c r="P31" s="38"/>
      <c r="Q31" s="28"/>
      <c r="R31" s="28" t="s">
        <v>1964</v>
      </c>
      <c r="S31" s="47"/>
      <c r="T31" s="28"/>
      <c r="U31" s="28" t="s">
        <v>31</v>
      </c>
    </row>
    <row r="32" spans="1:21" s="27" customFormat="1" x14ac:dyDescent="0.25">
      <c r="A32" s="28" t="s">
        <v>21</v>
      </c>
      <c r="B32" s="28" t="s">
        <v>1931</v>
      </c>
      <c r="C32" s="28">
        <v>698355</v>
      </c>
      <c r="D32" s="31">
        <v>1</v>
      </c>
      <c r="E32" s="73">
        <v>31</v>
      </c>
      <c r="F32" s="45">
        <v>605</v>
      </c>
      <c r="G32" s="32">
        <v>1.841</v>
      </c>
      <c r="H32" s="32">
        <v>3.68</v>
      </c>
      <c r="I32" s="32">
        <v>3.6659999999999999</v>
      </c>
      <c r="J32" s="33">
        <f>IF(O32&lt;&gt;"",(H32-I32)/O32,"")</f>
        <v>7.0000000000001172E-3</v>
      </c>
      <c r="K32" s="34" t="str">
        <f t="shared" si="0"/>
        <v/>
      </c>
      <c r="L32" s="35">
        <f>F32/(O32*P32)</f>
        <v>7.5625</v>
      </c>
      <c r="M32" s="36" t="str">
        <f>IF(L32=0,"",IF(OR(L32&lt;7,L32&gt;7.8),"X",""))</f>
        <v/>
      </c>
      <c r="N32" s="37" t="s">
        <v>20</v>
      </c>
      <c r="O32" s="29">
        <v>2</v>
      </c>
      <c r="P32" s="38">
        <v>40</v>
      </c>
      <c r="Q32" s="28"/>
      <c r="R32" s="28" t="s">
        <v>1966</v>
      </c>
      <c r="S32" s="47"/>
      <c r="T32" s="28"/>
      <c r="U32" s="28" t="s">
        <v>31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1</v>
      </c>
      <c r="E33" s="73"/>
      <c r="F33" s="31"/>
      <c r="G33" s="32">
        <v>1.839</v>
      </c>
      <c r="H33" s="32"/>
      <c r="I33" s="32"/>
      <c r="J33" s="33"/>
      <c r="K33" s="34" t="str">
        <f t="shared" si="0"/>
        <v/>
      </c>
      <c r="L33" s="35"/>
      <c r="M33" s="36" t="str">
        <f t="shared" si="1"/>
        <v/>
      </c>
      <c r="N33" s="37"/>
      <c r="O33" s="29"/>
      <c r="P33" s="38"/>
      <c r="Q33" s="28"/>
      <c r="R33" s="28" t="s">
        <v>1967</v>
      </c>
      <c r="S33" s="47"/>
      <c r="T33" s="28"/>
      <c r="U33" s="28" t="s">
        <v>31</v>
      </c>
    </row>
    <row r="34" spans="1:21" s="27" customFormat="1" x14ac:dyDescent="0.25">
      <c r="A34" s="28" t="s">
        <v>21</v>
      </c>
      <c r="B34" s="28" t="s">
        <v>1932</v>
      </c>
      <c r="C34" s="28" t="s">
        <v>21</v>
      </c>
      <c r="D34" s="31">
        <v>1</v>
      </c>
      <c r="E34" s="73">
        <v>41</v>
      </c>
      <c r="F34" s="45">
        <v>605</v>
      </c>
      <c r="G34" s="32">
        <v>1.83</v>
      </c>
      <c r="H34" s="32">
        <v>3.673</v>
      </c>
      <c r="I34" s="32">
        <v>3.6589999999999998</v>
      </c>
      <c r="J34" s="33">
        <f>IF(O34&lt;&gt;"",(H34-I34)/O34,"")</f>
        <v>7.0000000000001172E-3</v>
      </c>
      <c r="K34" s="34" t="str">
        <f t="shared" si="0"/>
        <v/>
      </c>
      <c r="L34" s="35">
        <f>F34/(O34*P34)</f>
        <v>7.5625</v>
      </c>
      <c r="M34" s="36" t="str">
        <f>IF(L34=0,"",IF(OR(L34&lt;7,L34&gt;7.8),"X",""))</f>
        <v/>
      </c>
      <c r="N34" s="37" t="s">
        <v>20</v>
      </c>
      <c r="O34" s="29">
        <v>2</v>
      </c>
      <c r="P34" s="38">
        <v>40</v>
      </c>
      <c r="Q34" s="28"/>
      <c r="R34" s="28" t="s">
        <v>1968</v>
      </c>
      <c r="S34" s="47"/>
      <c r="T34" s="28"/>
      <c r="U34" s="28" t="s">
        <v>31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73"/>
      <c r="F35" s="31"/>
      <c r="G35" s="32">
        <v>1.843</v>
      </c>
      <c r="H35" s="32"/>
      <c r="I35" s="32"/>
      <c r="J35" s="33"/>
      <c r="K35" s="34" t="str">
        <f t="shared" si="0"/>
        <v/>
      </c>
      <c r="L35" s="35"/>
      <c r="M35" s="36" t="str">
        <f t="shared" si="1"/>
        <v/>
      </c>
      <c r="N35" s="37"/>
      <c r="O35" s="29"/>
      <c r="P35" s="38"/>
      <c r="Q35" s="28"/>
      <c r="R35" s="28" t="s">
        <v>1969</v>
      </c>
      <c r="S35" s="47"/>
      <c r="T35" s="28"/>
      <c r="U35" s="28" t="s">
        <v>31</v>
      </c>
    </row>
    <row r="36" spans="1:21" s="27" customFormat="1" x14ac:dyDescent="0.25">
      <c r="A36" s="28" t="s">
        <v>21</v>
      </c>
      <c r="B36" s="28" t="s">
        <v>1933</v>
      </c>
      <c r="C36" s="28" t="s">
        <v>21</v>
      </c>
      <c r="D36" s="31">
        <v>1</v>
      </c>
      <c r="E36" s="73">
        <v>25</v>
      </c>
      <c r="F36" s="45">
        <v>602</v>
      </c>
      <c r="G36" s="32">
        <v>1.82</v>
      </c>
      <c r="H36" s="32">
        <v>3.625</v>
      </c>
      <c r="I36" s="32">
        <v>3.6059999999999999</v>
      </c>
      <c r="J36" s="33">
        <f>IF(O36&lt;&gt;"",(H36-I36)/O36,"")</f>
        <v>9.5000000000000639E-3</v>
      </c>
      <c r="K36" s="34" t="str">
        <f t="shared" si="0"/>
        <v/>
      </c>
      <c r="L36" s="35">
        <f>F36/(O36*P36)</f>
        <v>7.5250000000000004</v>
      </c>
      <c r="M36" s="36" t="str">
        <f>IF(L36=0,"",IF(OR(L36&lt;7,L36&gt;7.8),"X",""))</f>
        <v/>
      </c>
      <c r="N36" s="37" t="s">
        <v>20</v>
      </c>
      <c r="O36" s="29">
        <v>2</v>
      </c>
      <c r="P36" s="38">
        <v>40</v>
      </c>
      <c r="Q36" s="28"/>
      <c r="R36" s="28" t="s">
        <v>1970</v>
      </c>
      <c r="S36" s="47"/>
      <c r="T36" s="28"/>
      <c r="U36" s="28" t="s">
        <v>31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73"/>
      <c r="F37" s="31"/>
      <c r="G37" s="32">
        <v>1.8049999999999999</v>
      </c>
      <c r="H37" s="32"/>
      <c r="I37" s="32"/>
      <c r="J37" s="33"/>
      <c r="K37" s="34" t="str">
        <f t="shared" si="0"/>
        <v/>
      </c>
      <c r="L37" s="35"/>
      <c r="M37" s="36" t="str">
        <f t="shared" si="1"/>
        <v/>
      </c>
      <c r="N37" s="37"/>
      <c r="O37" s="29"/>
      <c r="P37" s="38"/>
      <c r="Q37" s="28"/>
      <c r="R37" s="28" t="s">
        <v>1971</v>
      </c>
      <c r="S37" s="47"/>
      <c r="T37" s="28"/>
      <c r="U37" s="28" t="s">
        <v>31</v>
      </c>
    </row>
    <row r="38" spans="1:21" s="27" customFormat="1" x14ac:dyDescent="0.25">
      <c r="A38" s="28" t="s">
        <v>21</v>
      </c>
      <c r="B38" s="28" t="s">
        <v>1934</v>
      </c>
      <c r="C38" s="28" t="s">
        <v>21</v>
      </c>
      <c r="D38" s="31">
        <v>1</v>
      </c>
      <c r="E38" s="73">
        <v>23</v>
      </c>
      <c r="F38" s="45">
        <v>602</v>
      </c>
      <c r="G38" s="32">
        <v>1.83</v>
      </c>
      <c r="H38" s="32">
        <v>3.6560000000000001</v>
      </c>
      <c r="I38" s="32">
        <v>3.64</v>
      </c>
      <c r="J38" s="33">
        <f>IF(O38&lt;&gt;"",(H38-I38)/O38,"")</f>
        <v>8.0000000000000071E-3</v>
      </c>
      <c r="K38" s="34" t="str">
        <f t="shared" si="0"/>
        <v/>
      </c>
      <c r="L38" s="35">
        <f>F38/(O38*P38)</f>
        <v>7.5250000000000004</v>
      </c>
      <c r="M38" s="36" t="str">
        <f>IF(L38=0,"",IF(OR(L38&lt;7,L38&gt;7.8),"X",""))</f>
        <v/>
      </c>
      <c r="N38" s="37" t="s">
        <v>20</v>
      </c>
      <c r="O38" s="29">
        <v>2</v>
      </c>
      <c r="P38" s="38">
        <v>40</v>
      </c>
      <c r="Q38" s="28"/>
      <c r="R38" s="28" t="s">
        <v>1972</v>
      </c>
      <c r="S38" s="47"/>
      <c r="T38" s="28"/>
      <c r="U38" s="28" t="s">
        <v>31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31">
        <v>1</v>
      </c>
      <c r="E39" s="73"/>
      <c r="F39" s="31"/>
      <c r="G39" s="32">
        <v>1.827</v>
      </c>
      <c r="H39" s="32"/>
      <c r="I39" s="32"/>
      <c r="J39" s="33"/>
      <c r="K39" s="34" t="str">
        <f t="shared" si="0"/>
        <v/>
      </c>
      <c r="L39" s="35"/>
      <c r="M39" s="36" t="str">
        <f t="shared" si="1"/>
        <v/>
      </c>
      <c r="N39" s="37"/>
      <c r="O39" s="29"/>
      <c r="P39" s="38"/>
      <c r="Q39" s="28"/>
      <c r="R39" s="28" t="s">
        <v>1973</v>
      </c>
      <c r="S39" s="47"/>
      <c r="T39" s="28"/>
      <c r="U39" s="28" t="s">
        <v>31</v>
      </c>
    </row>
    <row r="40" spans="1:21" s="27" customFormat="1" x14ac:dyDescent="0.25">
      <c r="A40" s="28" t="s">
        <v>21</v>
      </c>
      <c r="B40" s="28" t="s">
        <v>1935</v>
      </c>
      <c r="C40" s="28" t="s">
        <v>21</v>
      </c>
      <c r="D40" s="31">
        <v>1</v>
      </c>
      <c r="E40" s="73">
        <v>25</v>
      </c>
      <c r="F40" s="45">
        <v>604</v>
      </c>
      <c r="G40" s="32">
        <v>1.8320000000000001</v>
      </c>
      <c r="H40" s="32">
        <v>3.6629999999999998</v>
      </c>
      <c r="I40" s="32">
        <v>3.6480000000000001</v>
      </c>
      <c r="J40" s="33">
        <f>IF(O40&lt;&gt;"",(H40-I40)/O40,"")</f>
        <v>7.4999999999998401E-3</v>
      </c>
      <c r="K40" s="34" t="str">
        <f t="shared" si="0"/>
        <v/>
      </c>
      <c r="L40" s="35">
        <f>F40/(O40*P40)</f>
        <v>7.55</v>
      </c>
      <c r="M40" s="36" t="str">
        <f>IF(L40=0,"",IF(OR(L40&lt;7,L40&gt;7.8),"X",""))</f>
        <v/>
      </c>
      <c r="N40" s="37" t="s">
        <v>20</v>
      </c>
      <c r="O40" s="29">
        <v>2</v>
      </c>
      <c r="P40" s="38">
        <v>40</v>
      </c>
      <c r="Q40" s="28"/>
      <c r="R40" s="28" t="s">
        <v>1974</v>
      </c>
      <c r="S40" s="47"/>
      <c r="T40" s="28"/>
      <c r="U40" s="28" t="s">
        <v>31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31">
        <v>1</v>
      </c>
      <c r="E41" s="73"/>
      <c r="F41" s="31"/>
      <c r="G41" s="32">
        <v>1.831</v>
      </c>
      <c r="H41" s="32"/>
      <c r="I41" s="32"/>
      <c r="J41" s="33"/>
      <c r="K41" s="34" t="str">
        <f t="shared" si="0"/>
        <v/>
      </c>
      <c r="L41" s="35"/>
      <c r="M41" s="36" t="str">
        <f t="shared" si="1"/>
        <v/>
      </c>
      <c r="N41" s="37"/>
      <c r="O41" s="29"/>
      <c r="P41" s="38"/>
      <c r="Q41" s="28"/>
      <c r="R41" s="28" t="s">
        <v>1976</v>
      </c>
      <c r="S41" s="47"/>
      <c r="T41" s="28"/>
      <c r="U41" s="28" t="s">
        <v>31</v>
      </c>
    </row>
    <row r="42" spans="1:21" s="27" customFormat="1" x14ac:dyDescent="0.25">
      <c r="A42" s="28" t="s">
        <v>1977</v>
      </c>
      <c r="B42" s="28" t="s">
        <v>1978</v>
      </c>
      <c r="C42" s="28">
        <v>698355</v>
      </c>
      <c r="D42" s="31">
        <v>1</v>
      </c>
      <c r="E42" s="73">
        <v>29</v>
      </c>
      <c r="F42" s="45">
        <v>299</v>
      </c>
      <c r="G42" s="32"/>
      <c r="H42" s="32">
        <v>1.839</v>
      </c>
      <c r="I42" s="32">
        <v>1.833</v>
      </c>
      <c r="J42" s="33">
        <f t="shared" ref="J42:J71" si="2">IF(O42&lt;&gt;"",(H42-I42)/O42,"")</f>
        <v>6.0000000000000053E-3</v>
      </c>
      <c r="K42" s="34" t="str">
        <f t="shared" si="0"/>
        <v/>
      </c>
      <c r="L42" s="35">
        <f t="shared" ref="L42:L71" si="3">F42/(O42*P42)</f>
        <v>7.4749999999999996</v>
      </c>
      <c r="M42" s="36" t="str">
        <f t="shared" ref="M42:M71" si="4">IF(L42=0,"",IF(OR(L42&lt;7,L42&gt;7.8),"X",""))</f>
        <v/>
      </c>
      <c r="N42" s="37" t="s">
        <v>18</v>
      </c>
      <c r="O42" s="29">
        <v>1</v>
      </c>
      <c r="P42" s="38">
        <v>40</v>
      </c>
      <c r="Q42" s="46"/>
      <c r="R42" s="28" t="s">
        <v>1975</v>
      </c>
      <c r="S42" s="47"/>
      <c r="T42" s="46"/>
      <c r="U42" s="28" t="s">
        <v>31</v>
      </c>
    </row>
    <row r="43" spans="1:21" s="27" customFormat="1" x14ac:dyDescent="0.25">
      <c r="A43" s="28" t="s">
        <v>21</v>
      </c>
      <c r="B43" s="28" t="s">
        <v>1979</v>
      </c>
      <c r="C43" s="28" t="s">
        <v>21</v>
      </c>
      <c r="D43" s="31">
        <v>1</v>
      </c>
      <c r="E43" s="73">
        <v>26</v>
      </c>
      <c r="F43" s="45">
        <v>300</v>
      </c>
      <c r="G43" s="32"/>
      <c r="H43" s="32">
        <v>1.84</v>
      </c>
      <c r="I43" s="32">
        <v>1.833</v>
      </c>
      <c r="J43" s="33">
        <f t="shared" si="2"/>
        <v>7.0000000000001172E-3</v>
      </c>
      <c r="K43" s="34" t="str">
        <f t="shared" si="0"/>
        <v/>
      </c>
      <c r="L43" s="35">
        <f t="shared" si="3"/>
        <v>7.5</v>
      </c>
      <c r="M43" s="36" t="str">
        <f t="shared" si="4"/>
        <v/>
      </c>
      <c r="N43" s="37" t="s">
        <v>18</v>
      </c>
      <c r="O43" s="29">
        <v>1</v>
      </c>
      <c r="P43" s="38">
        <v>40</v>
      </c>
      <c r="Q43" s="46"/>
      <c r="R43" s="28" t="s">
        <v>2008</v>
      </c>
      <c r="S43" s="47"/>
      <c r="T43" s="46"/>
      <c r="U43" s="28" t="s">
        <v>31</v>
      </c>
    </row>
    <row r="44" spans="1:21" s="27" customFormat="1" x14ac:dyDescent="0.25">
      <c r="A44" s="28" t="s">
        <v>21</v>
      </c>
      <c r="B44" s="28" t="s">
        <v>1980</v>
      </c>
      <c r="C44" s="28" t="s">
        <v>21</v>
      </c>
      <c r="D44" s="31">
        <v>1</v>
      </c>
      <c r="E44" s="73">
        <v>19</v>
      </c>
      <c r="F44" s="45">
        <v>300</v>
      </c>
      <c r="G44" s="32"/>
      <c r="H44" s="32">
        <v>1.843</v>
      </c>
      <c r="I44" s="32">
        <v>1.835</v>
      </c>
      <c r="J44" s="33">
        <f t="shared" si="2"/>
        <v>8.0000000000000071E-3</v>
      </c>
      <c r="K44" s="34" t="str">
        <f t="shared" si="0"/>
        <v/>
      </c>
      <c r="L44" s="35">
        <f t="shared" si="3"/>
        <v>7.5</v>
      </c>
      <c r="M44" s="36" t="str">
        <f t="shared" si="4"/>
        <v/>
      </c>
      <c r="N44" s="37" t="s">
        <v>18</v>
      </c>
      <c r="O44" s="29">
        <v>1</v>
      </c>
      <c r="P44" s="38">
        <v>40</v>
      </c>
      <c r="Q44" s="46"/>
      <c r="R44" s="28" t="s">
        <v>2009</v>
      </c>
      <c r="S44" s="47"/>
      <c r="T44" s="46"/>
      <c r="U44" s="28" t="s">
        <v>31</v>
      </c>
    </row>
    <row r="45" spans="1:21" s="27" customFormat="1" x14ac:dyDescent="0.25">
      <c r="A45" s="28" t="s">
        <v>21</v>
      </c>
      <c r="B45" s="28" t="s">
        <v>1981</v>
      </c>
      <c r="C45" s="28" t="s">
        <v>21</v>
      </c>
      <c r="D45" s="31">
        <v>1</v>
      </c>
      <c r="E45" s="71">
        <v>86</v>
      </c>
      <c r="F45" s="45">
        <v>297</v>
      </c>
      <c r="G45" s="32"/>
      <c r="H45" s="75">
        <v>1.8380000000000001</v>
      </c>
      <c r="I45" s="75">
        <v>1.8320000000000001</v>
      </c>
      <c r="J45" s="33">
        <f t="shared" si="2"/>
        <v>6.0000000000000053E-3</v>
      </c>
      <c r="K45" s="34" t="str">
        <f t="shared" si="0"/>
        <v/>
      </c>
      <c r="L45" s="35">
        <f t="shared" si="3"/>
        <v>7.4249999999999998</v>
      </c>
      <c r="M45" s="36" t="str">
        <f t="shared" si="4"/>
        <v/>
      </c>
      <c r="N45" s="37" t="s">
        <v>18</v>
      </c>
      <c r="O45" s="29">
        <v>1</v>
      </c>
      <c r="P45" s="38">
        <v>40</v>
      </c>
      <c r="Q45" s="46"/>
      <c r="R45" s="28" t="s">
        <v>2010</v>
      </c>
      <c r="S45" s="47"/>
      <c r="T45" s="46"/>
      <c r="U45" s="28" t="s">
        <v>31</v>
      </c>
    </row>
    <row r="46" spans="1:21" s="27" customFormat="1" x14ac:dyDescent="0.25">
      <c r="A46" s="28" t="s">
        <v>21</v>
      </c>
      <c r="B46" s="28" t="s">
        <v>1982</v>
      </c>
      <c r="C46" s="28" t="s">
        <v>21</v>
      </c>
      <c r="D46" s="31">
        <v>1</v>
      </c>
      <c r="E46" s="73">
        <v>21</v>
      </c>
      <c r="F46" s="45">
        <v>299</v>
      </c>
      <c r="G46" s="32"/>
      <c r="H46" s="32">
        <v>1.843</v>
      </c>
      <c r="I46" s="32">
        <v>1.835</v>
      </c>
      <c r="J46" s="33">
        <f t="shared" si="2"/>
        <v>8.0000000000000071E-3</v>
      </c>
      <c r="K46" s="34" t="str">
        <f t="shared" si="0"/>
        <v/>
      </c>
      <c r="L46" s="35">
        <f t="shared" si="3"/>
        <v>7.4749999999999996</v>
      </c>
      <c r="M46" s="36" t="str">
        <f t="shared" si="4"/>
        <v/>
      </c>
      <c r="N46" s="37" t="s">
        <v>18</v>
      </c>
      <c r="O46" s="29">
        <v>1</v>
      </c>
      <c r="P46" s="38">
        <v>40</v>
      </c>
      <c r="Q46" s="46"/>
      <c r="R46" s="28" t="s">
        <v>2011</v>
      </c>
      <c r="S46" s="47"/>
      <c r="T46" s="46"/>
      <c r="U46" s="28" t="s">
        <v>31</v>
      </c>
    </row>
    <row r="47" spans="1:21" s="27" customFormat="1" x14ac:dyDescent="0.25">
      <c r="A47" s="28" t="s">
        <v>21</v>
      </c>
      <c r="B47" s="28" t="s">
        <v>1983</v>
      </c>
      <c r="C47" s="28">
        <v>698355</v>
      </c>
      <c r="D47" s="31">
        <v>1</v>
      </c>
      <c r="E47" s="73">
        <v>23</v>
      </c>
      <c r="F47" s="45">
        <v>300</v>
      </c>
      <c r="G47" s="32"/>
      <c r="H47" s="32">
        <v>1.839</v>
      </c>
      <c r="I47" s="32">
        <v>1.831</v>
      </c>
      <c r="J47" s="33">
        <f t="shared" si="2"/>
        <v>8.0000000000000071E-3</v>
      </c>
      <c r="K47" s="34" t="str">
        <f t="shared" si="0"/>
        <v/>
      </c>
      <c r="L47" s="35">
        <f t="shared" si="3"/>
        <v>7.5</v>
      </c>
      <c r="M47" s="36" t="str">
        <f t="shared" si="4"/>
        <v/>
      </c>
      <c r="N47" s="37" t="s">
        <v>18</v>
      </c>
      <c r="O47" s="29">
        <v>1</v>
      </c>
      <c r="P47" s="38">
        <v>40</v>
      </c>
      <c r="Q47" s="46"/>
      <c r="R47" s="28" t="s">
        <v>2012</v>
      </c>
      <c r="S47" s="47"/>
      <c r="T47" s="46"/>
      <c r="U47" s="28" t="s">
        <v>31</v>
      </c>
    </row>
    <row r="48" spans="1:21" s="27" customFormat="1" x14ac:dyDescent="0.25">
      <c r="A48" s="28" t="s">
        <v>21</v>
      </c>
      <c r="B48" s="28" t="s">
        <v>1984</v>
      </c>
      <c r="C48" s="28" t="s">
        <v>21</v>
      </c>
      <c r="D48" s="31">
        <v>1</v>
      </c>
      <c r="E48" s="73">
        <v>16</v>
      </c>
      <c r="F48" s="45">
        <v>301</v>
      </c>
      <c r="G48" s="32"/>
      <c r="H48" s="32">
        <v>1.8280000000000001</v>
      </c>
      <c r="I48" s="32">
        <v>1.8169999999999999</v>
      </c>
      <c r="J48" s="33">
        <f t="shared" si="2"/>
        <v>1.1000000000000121E-2</v>
      </c>
      <c r="K48" s="34" t="str">
        <f t="shared" si="0"/>
        <v/>
      </c>
      <c r="L48" s="35">
        <f t="shared" si="3"/>
        <v>7.5250000000000004</v>
      </c>
      <c r="M48" s="36" t="str">
        <f t="shared" si="4"/>
        <v/>
      </c>
      <c r="N48" s="37" t="s">
        <v>18</v>
      </c>
      <c r="O48" s="29">
        <v>1</v>
      </c>
      <c r="P48" s="38">
        <v>40</v>
      </c>
      <c r="Q48" s="46"/>
      <c r="R48" s="28" t="s">
        <v>2014</v>
      </c>
      <c r="S48" s="47"/>
      <c r="T48" s="46"/>
      <c r="U48" s="28" t="s">
        <v>31</v>
      </c>
    </row>
    <row r="49" spans="1:21" s="27" customFormat="1" x14ac:dyDescent="0.25">
      <c r="A49" s="28" t="s">
        <v>21</v>
      </c>
      <c r="B49" s="28" t="s">
        <v>1985</v>
      </c>
      <c r="C49" s="28" t="s">
        <v>21</v>
      </c>
      <c r="D49" s="31">
        <v>1</v>
      </c>
      <c r="E49" s="73">
        <v>17</v>
      </c>
      <c r="F49" s="45">
        <v>301</v>
      </c>
      <c r="G49" s="32"/>
      <c r="H49" s="32">
        <v>1.831</v>
      </c>
      <c r="I49" s="32">
        <v>1.821</v>
      </c>
      <c r="J49" s="33">
        <f t="shared" si="2"/>
        <v>1.0000000000000009E-2</v>
      </c>
      <c r="K49" s="34" t="str">
        <f t="shared" si="0"/>
        <v/>
      </c>
      <c r="L49" s="35">
        <f t="shared" si="3"/>
        <v>7.5250000000000004</v>
      </c>
      <c r="M49" s="36" t="str">
        <f t="shared" si="4"/>
        <v/>
      </c>
      <c r="N49" s="37" t="s">
        <v>18</v>
      </c>
      <c r="O49" s="29">
        <v>1</v>
      </c>
      <c r="P49" s="38">
        <v>40</v>
      </c>
      <c r="Q49" s="46"/>
      <c r="R49" s="28" t="s">
        <v>2015</v>
      </c>
      <c r="S49" s="47"/>
      <c r="T49" s="46"/>
      <c r="U49" s="28" t="s">
        <v>31</v>
      </c>
    </row>
    <row r="50" spans="1:21" s="27" customFormat="1" x14ac:dyDescent="0.25">
      <c r="A50" s="28" t="s">
        <v>21</v>
      </c>
      <c r="B50" s="28" t="s">
        <v>1986</v>
      </c>
      <c r="C50" s="28" t="s">
        <v>21</v>
      </c>
      <c r="D50" s="31">
        <v>1</v>
      </c>
      <c r="E50" s="73">
        <v>16</v>
      </c>
      <c r="F50" s="45">
        <v>302</v>
      </c>
      <c r="G50" s="32"/>
      <c r="H50" s="32">
        <v>1.83</v>
      </c>
      <c r="I50" s="32">
        <v>1.819</v>
      </c>
      <c r="J50" s="33">
        <f t="shared" si="2"/>
        <v>1.1000000000000121E-2</v>
      </c>
      <c r="K50" s="34" t="str">
        <f t="shared" si="0"/>
        <v/>
      </c>
      <c r="L50" s="35">
        <f t="shared" si="3"/>
        <v>7.55</v>
      </c>
      <c r="M50" s="36" t="str">
        <f t="shared" si="4"/>
        <v/>
      </c>
      <c r="N50" s="37" t="s">
        <v>18</v>
      </c>
      <c r="O50" s="29">
        <v>1</v>
      </c>
      <c r="P50" s="38">
        <v>40</v>
      </c>
      <c r="Q50" s="46"/>
      <c r="R50" s="28" t="s">
        <v>2013</v>
      </c>
      <c r="S50" s="47"/>
      <c r="T50" s="46"/>
      <c r="U50" s="28" t="s">
        <v>31</v>
      </c>
    </row>
    <row r="51" spans="1:21" s="27" customFormat="1" x14ac:dyDescent="0.25">
      <c r="A51" s="28" t="s">
        <v>21</v>
      </c>
      <c r="B51" s="28" t="s">
        <v>1987</v>
      </c>
      <c r="C51" s="28" t="s">
        <v>21</v>
      </c>
      <c r="D51" s="31">
        <v>1</v>
      </c>
      <c r="E51" s="73">
        <v>16</v>
      </c>
      <c r="F51" s="45">
        <v>300</v>
      </c>
      <c r="G51" s="32"/>
      <c r="H51" s="32">
        <v>1.8340000000000001</v>
      </c>
      <c r="I51" s="32">
        <v>1.823</v>
      </c>
      <c r="J51" s="33">
        <f t="shared" si="2"/>
        <v>1.1000000000000121E-2</v>
      </c>
      <c r="K51" s="34" t="str">
        <f t="shared" si="0"/>
        <v/>
      </c>
      <c r="L51" s="35">
        <f t="shared" si="3"/>
        <v>7.5</v>
      </c>
      <c r="M51" s="36" t="str">
        <f t="shared" si="4"/>
        <v/>
      </c>
      <c r="N51" s="37" t="s">
        <v>18</v>
      </c>
      <c r="O51" s="29">
        <v>1</v>
      </c>
      <c r="P51" s="38">
        <v>40</v>
      </c>
      <c r="Q51" s="46"/>
      <c r="R51" s="28" t="s">
        <v>2016</v>
      </c>
      <c r="S51" s="47"/>
      <c r="T51" s="46"/>
      <c r="U51" s="28" t="s">
        <v>31</v>
      </c>
    </row>
    <row r="52" spans="1:21" s="27" customFormat="1" x14ac:dyDescent="0.25">
      <c r="A52" s="28" t="s">
        <v>21</v>
      </c>
      <c r="B52" s="28" t="s">
        <v>1988</v>
      </c>
      <c r="C52" s="28" t="s">
        <v>21</v>
      </c>
      <c r="D52" s="31">
        <v>1</v>
      </c>
      <c r="E52" s="73">
        <v>14</v>
      </c>
      <c r="F52" s="45">
        <v>302</v>
      </c>
      <c r="G52" s="32"/>
      <c r="H52" s="32">
        <v>1.845</v>
      </c>
      <c r="I52" s="32">
        <v>1.835</v>
      </c>
      <c r="J52" s="33">
        <f t="shared" si="2"/>
        <v>1.0000000000000009E-2</v>
      </c>
      <c r="K52" s="34" t="str">
        <f t="shared" si="0"/>
        <v/>
      </c>
      <c r="L52" s="35">
        <f t="shared" si="3"/>
        <v>7.55</v>
      </c>
      <c r="M52" s="36" t="str">
        <f t="shared" si="4"/>
        <v/>
      </c>
      <c r="N52" s="37" t="s">
        <v>18</v>
      </c>
      <c r="O52" s="29">
        <v>1</v>
      </c>
      <c r="P52" s="38">
        <v>40</v>
      </c>
      <c r="Q52" s="46"/>
      <c r="R52" s="28" t="s">
        <v>2017</v>
      </c>
      <c r="S52" s="47"/>
      <c r="T52" s="46"/>
      <c r="U52" s="28" t="s">
        <v>31</v>
      </c>
    </row>
    <row r="53" spans="1:21" s="27" customFormat="1" x14ac:dyDescent="0.25">
      <c r="A53" s="28" t="s">
        <v>21</v>
      </c>
      <c r="B53" s="28" t="s">
        <v>1989</v>
      </c>
      <c r="C53" s="28" t="s">
        <v>21</v>
      </c>
      <c r="D53" s="31">
        <v>1</v>
      </c>
      <c r="E53" s="73">
        <v>15</v>
      </c>
      <c r="F53" s="45">
        <v>301</v>
      </c>
      <c r="G53" s="32"/>
      <c r="H53" s="32">
        <v>1.831</v>
      </c>
      <c r="I53" s="32">
        <v>1.82</v>
      </c>
      <c r="J53" s="33">
        <f t="shared" si="2"/>
        <v>1.0999999999999899E-2</v>
      </c>
      <c r="K53" s="34" t="str">
        <f t="shared" si="0"/>
        <v/>
      </c>
      <c r="L53" s="35">
        <f t="shared" si="3"/>
        <v>7.5250000000000004</v>
      </c>
      <c r="M53" s="36" t="str">
        <f t="shared" si="4"/>
        <v/>
      </c>
      <c r="N53" s="37" t="s">
        <v>18</v>
      </c>
      <c r="O53" s="29">
        <v>1</v>
      </c>
      <c r="P53" s="38">
        <v>40</v>
      </c>
      <c r="Q53" s="46"/>
      <c r="R53" s="28" t="s">
        <v>2018</v>
      </c>
      <c r="S53" s="47"/>
      <c r="T53" s="46"/>
      <c r="U53" s="28" t="s">
        <v>31</v>
      </c>
    </row>
    <row r="54" spans="1:21" s="27" customFormat="1" x14ac:dyDescent="0.25">
      <c r="A54" s="28" t="s">
        <v>21</v>
      </c>
      <c r="B54" s="28" t="s">
        <v>1990</v>
      </c>
      <c r="C54" s="28" t="s">
        <v>21</v>
      </c>
      <c r="D54" s="31">
        <v>1</v>
      </c>
      <c r="E54" s="73">
        <v>15</v>
      </c>
      <c r="F54" s="45">
        <v>300</v>
      </c>
      <c r="G54" s="32"/>
      <c r="H54" s="32">
        <v>1.85</v>
      </c>
      <c r="I54" s="32">
        <v>1.843</v>
      </c>
      <c r="J54" s="33">
        <f t="shared" si="2"/>
        <v>7.0000000000001172E-3</v>
      </c>
      <c r="K54" s="34" t="str">
        <f t="shared" si="0"/>
        <v/>
      </c>
      <c r="L54" s="35">
        <f t="shared" si="3"/>
        <v>7.5</v>
      </c>
      <c r="M54" s="36" t="str">
        <f t="shared" si="4"/>
        <v/>
      </c>
      <c r="N54" s="37" t="s">
        <v>18</v>
      </c>
      <c r="O54" s="29">
        <v>1</v>
      </c>
      <c r="P54" s="38">
        <v>40</v>
      </c>
      <c r="Q54" s="46"/>
      <c r="R54" s="28" t="s">
        <v>2019</v>
      </c>
      <c r="S54" s="47"/>
      <c r="T54" s="46"/>
      <c r="U54" s="28" t="s">
        <v>31</v>
      </c>
    </row>
    <row r="55" spans="1:21" s="27" customFormat="1" x14ac:dyDescent="0.25">
      <c r="A55" s="28" t="s">
        <v>21</v>
      </c>
      <c r="B55" s="28" t="s">
        <v>1991</v>
      </c>
      <c r="C55" s="28" t="s">
        <v>21</v>
      </c>
      <c r="D55" s="31">
        <v>1</v>
      </c>
      <c r="E55" s="73">
        <v>13</v>
      </c>
      <c r="F55" s="45">
        <v>302</v>
      </c>
      <c r="G55" s="32"/>
      <c r="H55" s="32">
        <v>1.841</v>
      </c>
      <c r="I55" s="32">
        <v>1.831</v>
      </c>
      <c r="J55" s="33">
        <f t="shared" si="2"/>
        <v>1.0000000000000009E-2</v>
      </c>
      <c r="K55" s="34" t="str">
        <f t="shared" si="0"/>
        <v/>
      </c>
      <c r="L55" s="35">
        <f t="shared" si="3"/>
        <v>7.55</v>
      </c>
      <c r="M55" s="36" t="str">
        <f t="shared" si="4"/>
        <v/>
      </c>
      <c r="N55" s="37" t="s">
        <v>18</v>
      </c>
      <c r="O55" s="29">
        <v>1</v>
      </c>
      <c r="P55" s="38">
        <v>40</v>
      </c>
      <c r="Q55" s="46"/>
      <c r="R55" s="28" t="s">
        <v>2020</v>
      </c>
      <c r="S55" s="47"/>
      <c r="T55" s="46"/>
      <c r="U55" s="28" t="s">
        <v>31</v>
      </c>
    </row>
    <row r="56" spans="1:21" s="27" customFormat="1" x14ac:dyDescent="0.25">
      <c r="A56" s="28" t="s">
        <v>21</v>
      </c>
      <c r="B56" s="28" t="s">
        <v>1992</v>
      </c>
      <c r="C56" s="28" t="s">
        <v>21</v>
      </c>
      <c r="D56" s="31">
        <v>1</v>
      </c>
      <c r="E56" s="73">
        <v>11</v>
      </c>
      <c r="F56" s="45">
        <v>301</v>
      </c>
      <c r="G56" s="32"/>
      <c r="H56" s="32">
        <v>1.8360000000000001</v>
      </c>
      <c r="I56" s="32">
        <v>1.8260000000000001</v>
      </c>
      <c r="J56" s="33">
        <f t="shared" si="2"/>
        <v>1.0000000000000009E-2</v>
      </c>
      <c r="K56" s="34" t="str">
        <f t="shared" si="0"/>
        <v/>
      </c>
      <c r="L56" s="35">
        <f t="shared" si="3"/>
        <v>7.5250000000000004</v>
      </c>
      <c r="M56" s="36" t="str">
        <f t="shared" si="4"/>
        <v/>
      </c>
      <c r="N56" s="37" t="s">
        <v>18</v>
      </c>
      <c r="O56" s="29">
        <v>1</v>
      </c>
      <c r="P56" s="38">
        <v>40</v>
      </c>
      <c r="Q56" s="46"/>
      <c r="R56" s="28" t="s">
        <v>2024</v>
      </c>
      <c r="S56" s="47"/>
      <c r="T56" s="46"/>
      <c r="U56" s="28" t="s">
        <v>31</v>
      </c>
    </row>
    <row r="57" spans="1:21" s="27" customFormat="1" x14ac:dyDescent="0.25">
      <c r="A57" s="28" t="s">
        <v>21</v>
      </c>
      <c r="B57" s="28" t="s">
        <v>1993</v>
      </c>
      <c r="C57" s="28" t="s">
        <v>21</v>
      </c>
      <c r="D57" s="31">
        <v>1</v>
      </c>
      <c r="E57" s="71">
        <v>54</v>
      </c>
      <c r="F57" s="45">
        <v>299</v>
      </c>
      <c r="G57" s="32"/>
      <c r="H57" s="32">
        <v>1.8460000000000001</v>
      </c>
      <c r="I57" s="32">
        <v>1.837</v>
      </c>
      <c r="J57" s="33">
        <f t="shared" si="2"/>
        <v>9.000000000000119E-3</v>
      </c>
      <c r="K57" s="34" t="str">
        <f t="shared" si="0"/>
        <v/>
      </c>
      <c r="L57" s="35">
        <f t="shared" si="3"/>
        <v>7.4749999999999996</v>
      </c>
      <c r="M57" s="36" t="str">
        <f t="shared" si="4"/>
        <v/>
      </c>
      <c r="N57" s="37" t="s">
        <v>18</v>
      </c>
      <c r="O57" s="29">
        <v>1</v>
      </c>
      <c r="P57" s="38">
        <v>40</v>
      </c>
      <c r="Q57" s="46"/>
      <c r="R57" s="28" t="s">
        <v>2025</v>
      </c>
      <c r="S57" s="71" t="s">
        <v>103</v>
      </c>
      <c r="T57" s="46"/>
      <c r="U57" s="28" t="s">
        <v>31</v>
      </c>
    </row>
    <row r="58" spans="1:21" s="27" customFormat="1" x14ac:dyDescent="0.25">
      <c r="A58" s="28" t="s">
        <v>21</v>
      </c>
      <c r="B58" s="28" t="s">
        <v>1994</v>
      </c>
      <c r="C58" s="28" t="s">
        <v>21</v>
      </c>
      <c r="D58" s="31">
        <v>1</v>
      </c>
      <c r="E58" s="71">
        <v>49</v>
      </c>
      <c r="F58" s="45">
        <v>299</v>
      </c>
      <c r="G58" s="32"/>
      <c r="H58" s="32">
        <v>1.8520000000000001</v>
      </c>
      <c r="I58" s="32">
        <v>1.8420000000000001</v>
      </c>
      <c r="J58" s="33">
        <f t="shared" si="2"/>
        <v>1.0000000000000009E-2</v>
      </c>
      <c r="K58" s="34" t="str">
        <f t="shared" si="0"/>
        <v/>
      </c>
      <c r="L58" s="35">
        <f t="shared" si="3"/>
        <v>7.4749999999999996</v>
      </c>
      <c r="M58" s="36" t="str">
        <f t="shared" si="4"/>
        <v/>
      </c>
      <c r="N58" s="37" t="s">
        <v>18</v>
      </c>
      <c r="O58" s="29">
        <v>1</v>
      </c>
      <c r="P58" s="38">
        <v>40</v>
      </c>
      <c r="Q58" s="46"/>
      <c r="R58" s="28" t="s">
        <v>2023</v>
      </c>
      <c r="S58" s="71" t="s">
        <v>59</v>
      </c>
      <c r="T58" s="46"/>
      <c r="U58" s="28" t="s">
        <v>31</v>
      </c>
    </row>
    <row r="59" spans="1:21" s="27" customFormat="1" x14ac:dyDescent="0.25">
      <c r="A59" s="28" t="s">
        <v>21</v>
      </c>
      <c r="B59" s="28" t="s">
        <v>1995</v>
      </c>
      <c r="C59" s="28" t="s">
        <v>21</v>
      </c>
      <c r="D59" s="31">
        <v>1</v>
      </c>
      <c r="E59" s="71">
        <v>55</v>
      </c>
      <c r="F59" s="45">
        <v>299</v>
      </c>
      <c r="G59" s="32"/>
      <c r="H59" s="32">
        <v>1.845</v>
      </c>
      <c r="I59" s="32">
        <v>1.8360000000000001</v>
      </c>
      <c r="J59" s="33">
        <f t="shared" si="2"/>
        <v>8.999999999999897E-3</v>
      </c>
      <c r="K59" s="34" t="str">
        <f t="shared" si="0"/>
        <v/>
      </c>
      <c r="L59" s="35">
        <f t="shared" si="3"/>
        <v>7.4749999999999996</v>
      </c>
      <c r="M59" s="36" t="str">
        <f t="shared" si="4"/>
        <v/>
      </c>
      <c r="N59" s="37" t="s">
        <v>18</v>
      </c>
      <c r="O59" s="29">
        <v>1</v>
      </c>
      <c r="P59" s="38">
        <v>40</v>
      </c>
      <c r="Q59" s="46"/>
      <c r="R59" s="28" t="s">
        <v>2022</v>
      </c>
      <c r="S59" s="28" t="s">
        <v>21</v>
      </c>
      <c r="T59" s="46"/>
      <c r="U59" s="28" t="s">
        <v>31</v>
      </c>
    </row>
    <row r="60" spans="1:21" s="27" customFormat="1" x14ac:dyDescent="0.25">
      <c r="A60" s="28" t="s">
        <v>21</v>
      </c>
      <c r="B60" s="28" t="s">
        <v>1996</v>
      </c>
      <c r="C60" s="28" t="s">
        <v>21</v>
      </c>
      <c r="D60" s="31">
        <v>1</v>
      </c>
      <c r="E60" s="71">
        <v>49</v>
      </c>
      <c r="F60" s="45">
        <v>300</v>
      </c>
      <c r="G60" s="32"/>
      <c r="H60" s="32">
        <v>1.839</v>
      </c>
      <c r="I60" s="32">
        <v>1.829</v>
      </c>
      <c r="J60" s="33">
        <f t="shared" si="2"/>
        <v>1.0000000000000009E-2</v>
      </c>
      <c r="K60" s="34" t="str">
        <f t="shared" si="0"/>
        <v/>
      </c>
      <c r="L60" s="35">
        <f t="shared" si="3"/>
        <v>7.5</v>
      </c>
      <c r="M60" s="36" t="str">
        <f t="shared" si="4"/>
        <v/>
      </c>
      <c r="N60" s="37" t="s">
        <v>18</v>
      </c>
      <c r="O60" s="29">
        <v>1</v>
      </c>
      <c r="P60" s="38">
        <v>40</v>
      </c>
      <c r="Q60" s="46"/>
      <c r="R60" s="28" t="s">
        <v>2021</v>
      </c>
      <c r="S60" s="28" t="s">
        <v>21</v>
      </c>
      <c r="T60" s="46"/>
      <c r="U60" s="28" t="s">
        <v>31</v>
      </c>
    </row>
    <row r="61" spans="1:21" s="27" customFormat="1" x14ac:dyDescent="0.25">
      <c r="A61" s="28" t="s">
        <v>21</v>
      </c>
      <c r="B61" s="28" t="s">
        <v>1997</v>
      </c>
      <c r="C61" s="28" t="s">
        <v>21</v>
      </c>
      <c r="D61" s="31">
        <v>1</v>
      </c>
      <c r="E61" s="71">
        <v>58</v>
      </c>
      <c r="F61" s="45">
        <v>303</v>
      </c>
      <c r="G61" s="32"/>
      <c r="H61" s="32">
        <v>1.833</v>
      </c>
      <c r="I61" s="32">
        <v>1.8240000000000001</v>
      </c>
      <c r="J61" s="33">
        <f t="shared" si="2"/>
        <v>8.999999999999897E-3</v>
      </c>
      <c r="K61" s="34" t="str">
        <f t="shared" si="0"/>
        <v/>
      </c>
      <c r="L61" s="35">
        <f t="shared" si="3"/>
        <v>7.5750000000000002</v>
      </c>
      <c r="M61" s="36" t="str">
        <f t="shared" si="4"/>
        <v/>
      </c>
      <c r="N61" s="37" t="s">
        <v>18</v>
      </c>
      <c r="O61" s="29">
        <v>1</v>
      </c>
      <c r="P61" s="38">
        <v>40</v>
      </c>
      <c r="Q61" s="46"/>
      <c r="R61" s="28" t="s">
        <v>2020</v>
      </c>
      <c r="S61" s="28" t="s">
        <v>21</v>
      </c>
      <c r="T61" s="46"/>
      <c r="U61" s="28" t="s">
        <v>31</v>
      </c>
    </row>
    <row r="62" spans="1:21" s="27" customFormat="1" x14ac:dyDescent="0.25">
      <c r="A62" s="28" t="s">
        <v>21</v>
      </c>
      <c r="B62" s="28" t="s">
        <v>1998</v>
      </c>
      <c r="C62" s="28">
        <v>698355</v>
      </c>
      <c r="D62" s="31">
        <v>1</v>
      </c>
      <c r="E62" s="73">
        <v>6</v>
      </c>
      <c r="F62" s="45">
        <v>300</v>
      </c>
      <c r="G62" s="32"/>
      <c r="H62" s="32">
        <v>1.86</v>
      </c>
      <c r="I62" s="32">
        <v>1.8520000000000001</v>
      </c>
      <c r="J62" s="33">
        <f t="shared" si="2"/>
        <v>8.0000000000000071E-3</v>
      </c>
      <c r="K62" s="34" t="str">
        <f t="shared" si="0"/>
        <v/>
      </c>
      <c r="L62" s="35">
        <f t="shared" si="3"/>
        <v>7.5</v>
      </c>
      <c r="M62" s="36" t="str">
        <f t="shared" si="4"/>
        <v/>
      </c>
      <c r="N62" s="37" t="s">
        <v>18</v>
      </c>
      <c r="O62" s="29">
        <v>1</v>
      </c>
      <c r="P62" s="38">
        <v>40</v>
      </c>
      <c r="Q62" s="46"/>
      <c r="R62" s="28" t="s">
        <v>2026</v>
      </c>
      <c r="S62" s="47"/>
      <c r="T62" s="46"/>
      <c r="U62" s="28" t="s">
        <v>31</v>
      </c>
    </row>
    <row r="63" spans="1:21" s="27" customFormat="1" x14ac:dyDescent="0.25">
      <c r="A63" s="28" t="s">
        <v>21</v>
      </c>
      <c r="B63" s="28" t="s">
        <v>1999</v>
      </c>
      <c r="C63" s="28" t="s">
        <v>21</v>
      </c>
      <c r="D63" s="31">
        <v>1</v>
      </c>
      <c r="E63" s="73">
        <v>4</v>
      </c>
      <c r="F63" s="45">
        <v>302</v>
      </c>
      <c r="G63" s="32"/>
      <c r="H63" s="32">
        <v>1.859</v>
      </c>
      <c r="I63" s="32">
        <v>1.8520000000000001</v>
      </c>
      <c r="J63" s="33">
        <f t="shared" si="2"/>
        <v>6.9999999999998952E-3</v>
      </c>
      <c r="K63" s="34" t="str">
        <f t="shared" si="0"/>
        <v/>
      </c>
      <c r="L63" s="35">
        <f t="shared" si="3"/>
        <v>7.55</v>
      </c>
      <c r="M63" s="36" t="str">
        <f t="shared" si="4"/>
        <v/>
      </c>
      <c r="N63" s="37" t="s">
        <v>18</v>
      </c>
      <c r="O63" s="29">
        <v>1</v>
      </c>
      <c r="P63" s="38">
        <v>40</v>
      </c>
      <c r="Q63" s="46"/>
      <c r="R63" s="28" t="s">
        <v>2028</v>
      </c>
      <c r="S63" s="47"/>
      <c r="T63" s="46"/>
      <c r="U63" s="28" t="s">
        <v>31</v>
      </c>
    </row>
    <row r="64" spans="1:21" s="27" customFormat="1" x14ac:dyDescent="0.25">
      <c r="A64" s="28" t="s">
        <v>21</v>
      </c>
      <c r="B64" s="28" t="s">
        <v>2000</v>
      </c>
      <c r="C64" s="28" t="s">
        <v>21</v>
      </c>
      <c r="D64" s="31">
        <v>1</v>
      </c>
      <c r="E64" s="73">
        <v>3</v>
      </c>
      <c r="F64" s="45">
        <v>304</v>
      </c>
      <c r="G64" s="32"/>
      <c r="H64" s="32">
        <v>1.8640000000000001</v>
      </c>
      <c r="I64" s="32">
        <v>1.855</v>
      </c>
      <c r="J64" s="33">
        <f t="shared" si="2"/>
        <v>9.000000000000119E-3</v>
      </c>
      <c r="K64" s="34" t="str">
        <f t="shared" si="0"/>
        <v/>
      </c>
      <c r="L64" s="35">
        <f t="shared" si="3"/>
        <v>7.6</v>
      </c>
      <c r="M64" s="36" t="str">
        <f t="shared" si="4"/>
        <v/>
      </c>
      <c r="N64" s="37" t="s">
        <v>18</v>
      </c>
      <c r="O64" s="29">
        <v>1</v>
      </c>
      <c r="P64" s="38">
        <v>40</v>
      </c>
      <c r="Q64" s="46"/>
      <c r="R64" s="28" t="s">
        <v>2030</v>
      </c>
      <c r="S64" s="47"/>
      <c r="T64" s="46"/>
      <c r="U64" s="28" t="s">
        <v>31</v>
      </c>
    </row>
    <row r="65" spans="1:21" s="27" customFormat="1" x14ac:dyDescent="0.25">
      <c r="A65" s="28" t="s">
        <v>21</v>
      </c>
      <c r="B65" s="28" t="s">
        <v>2001</v>
      </c>
      <c r="C65" s="28" t="s">
        <v>21</v>
      </c>
      <c r="D65" s="31">
        <v>1</v>
      </c>
      <c r="E65" s="73">
        <v>8</v>
      </c>
      <c r="F65" s="45">
        <v>300</v>
      </c>
      <c r="G65" s="32"/>
      <c r="H65" s="32">
        <v>1.8560000000000001</v>
      </c>
      <c r="I65" s="32">
        <v>1.847</v>
      </c>
      <c r="J65" s="33">
        <f t="shared" si="2"/>
        <v>9.000000000000119E-3</v>
      </c>
      <c r="K65" s="34" t="str">
        <f t="shared" si="0"/>
        <v/>
      </c>
      <c r="L65" s="35">
        <f t="shared" si="3"/>
        <v>7.5</v>
      </c>
      <c r="M65" s="36" t="str">
        <f t="shared" si="4"/>
        <v/>
      </c>
      <c r="N65" s="37" t="s">
        <v>18</v>
      </c>
      <c r="O65" s="29">
        <v>1</v>
      </c>
      <c r="P65" s="38">
        <v>40</v>
      </c>
      <c r="Q65" s="46"/>
      <c r="R65" s="28" t="s">
        <v>2031</v>
      </c>
      <c r="S65" s="47"/>
      <c r="T65" s="46"/>
      <c r="U65" s="28" t="s">
        <v>31</v>
      </c>
    </row>
    <row r="66" spans="1:21" s="27" customFormat="1" x14ac:dyDescent="0.25">
      <c r="A66" s="28" t="s">
        <v>21</v>
      </c>
      <c r="B66" s="28" t="s">
        <v>2002</v>
      </c>
      <c r="C66" s="28" t="s">
        <v>21</v>
      </c>
      <c r="D66" s="31">
        <v>1</v>
      </c>
      <c r="E66" s="73">
        <v>8</v>
      </c>
      <c r="F66" s="45">
        <v>300</v>
      </c>
      <c r="G66" s="32"/>
      <c r="H66" s="32">
        <v>1.8540000000000001</v>
      </c>
      <c r="I66" s="32">
        <v>1.8440000000000001</v>
      </c>
      <c r="J66" s="33">
        <f t="shared" si="2"/>
        <v>1.0000000000000009E-2</v>
      </c>
      <c r="K66" s="34" t="str">
        <f t="shared" ref="K66:K88" si="5">IF(J66=0,"",IF(OR(J66&lt;0,J66&gt;0.03),"X",""))</f>
        <v/>
      </c>
      <c r="L66" s="35">
        <f t="shared" si="3"/>
        <v>7.5</v>
      </c>
      <c r="M66" s="36" t="str">
        <f t="shared" si="4"/>
        <v/>
      </c>
      <c r="N66" s="37" t="s">
        <v>18</v>
      </c>
      <c r="O66" s="29">
        <v>1</v>
      </c>
      <c r="P66" s="38">
        <v>40</v>
      </c>
      <c r="Q66" s="46"/>
      <c r="R66" s="28" t="s">
        <v>2032</v>
      </c>
      <c r="S66" s="47"/>
      <c r="T66" s="46"/>
      <c r="U66" s="28" t="s">
        <v>31</v>
      </c>
    </row>
    <row r="67" spans="1:21" s="27" customFormat="1" x14ac:dyDescent="0.25">
      <c r="A67" s="28" t="s">
        <v>21</v>
      </c>
      <c r="B67" s="28" t="s">
        <v>2003</v>
      </c>
      <c r="C67" s="28" t="s">
        <v>21</v>
      </c>
      <c r="D67" s="31">
        <v>1</v>
      </c>
      <c r="E67" s="73">
        <v>19</v>
      </c>
      <c r="F67" s="45">
        <v>298</v>
      </c>
      <c r="G67" s="32"/>
      <c r="H67" s="32">
        <v>1.869</v>
      </c>
      <c r="I67" s="32">
        <v>1.863</v>
      </c>
      <c r="J67" s="33">
        <f t="shared" si="2"/>
        <v>6.0000000000000053E-3</v>
      </c>
      <c r="K67" s="34" t="str">
        <f t="shared" si="5"/>
        <v/>
      </c>
      <c r="L67" s="35">
        <f t="shared" si="3"/>
        <v>7.45</v>
      </c>
      <c r="M67" s="36" t="str">
        <f t="shared" si="4"/>
        <v/>
      </c>
      <c r="N67" s="37" t="s">
        <v>18</v>
      </c>
      <c r="O67" s="29">
        <v>1</v>
      </c>
      <c r="P67" s="38">
        <v>40</v>
      </c>
      <c r="Q67" s="46"/>
      <c r="R67" s="28" t="s">
        <v>2033</v>
      </c>
      <c r="S67" s="47"/>
      <c r="T67" s="46"/>
      <c r="U67" s="28" t="s">
        <v>31</v>
      </c>
    </row>
    <row r="68" spans="1:21" s="27" customFormat="1" x14ac:dyDescent="0.25">
      <c r="A68" s="28" t="s">
        <v>21</v>
      </c>
      <c r="B68" s="28" t="s">
        <v>2004</v>
      </c>
      <c r="C68" s="28" t="s">
        <v>21</v>
      </c>
      <c r="D68" s="31">
        <v>1</v>
      </c>
      <c r="E68" s="73">
        <v>8</v>
      </c>
      <c r="F68" s="45">
        <v>300</v>
      </c>
      <c r="G68" s="32"/>
      <c r="H68" s="32">
        <v>1.865</v>
      </c>
      <c r="I68" s="32">
        <v>1.855</v>
      </c>
      <c r="J68" s="33">
        <f t="shared" si="2"/>
        <v>1.0000000000000009E-2</v>
      </c>
      <c r="K68" s="34" t="str">
        <f t="shared" si="5"/>
        <v/>
      </c>
      <c r="L68" s="35">
        <f t="shared" si="3"/>
        <v>7.5</v>
      </c>
      <c r="M68" s="36" t="str">
        <f t="shared" si="4"/>
        <v/>
      </c>
      <c r="N68" s="37" t="s">
        <v>18</v>
      </c>
      <c r="O68" s="29">
        <v>1</v>
      </c>
      <c r="P68" s="38">
        <v>40</v>
      </c>
      <c r="Q68" s="46"/>
      <c r="R68" s="28" t="s">
        <v>2027</v>
      </c>
      <c r="S68" s="47"/>
      <c r="T68" s="46"/>
      <c r="U68" s="28" t="s">
        <v>31</v>
      </c>
    </row>
    <row r="69" spans="1:21" s="27" customFormat="1" x14ac:dyDescent="0.25">
      <c r="A69" s="28" t="s">
        <v>21</v>
      </c>
      <c r="B69" s="28" t="s">
        <v>2005</v>
      </c>
      <c r="C69" s="28" t="s">
        <v>21</v>
      </c>
      <c r="D69" s="31">
        <v>1</v>
      </c>
      <c r="E69" s="73">
        <v>10</v>
      </c>
      <c r="F69" s="45">
        <v>300</v>
      </c>
      <c r="G69" s="32"/>
      <c r="H69" s="32">
        <v>1.8620000000000001</v>
      </c>
      <c r="I69" s="32">
        <v>1.8520000000000001</v>
      </c>
      <c r="J69" s="33">
        <f t="shared" si="2"/>
        <v>1.0000000000000009E-2</v>
      </c>
      <c r="K69" s="34" t="str">
        <f t="shared" si="5"/>
        <v/>
      </c>
      <c r="L69" s="35">
        <f t="shared" si="3"/>
        <v>7.5</v>
      </c>
      <c r="M69" s="36" t="str">
        <f t="shared" si="4"/>
        <v/>
      </c>
      <c r="N69" s="37" t="s">
        <v>18</v>
      </c>
      <c r="O69" s="29">
        <v>1</v>
      </c>
      <c r="P69" s="38">
        <v>40</v>
      </c>
      <c r="Q69" s="46"/>
      <c r="R69" s="28" t="s">
        <v>2029</v>
      </c>
      <c r="S69" s="47"/>
      <c r="T69" s="46"/>
      <c r="U69" s="28" t="s">
        <v>31</v>
      </c>
    </row>
    <row r="70" spans="1:21" s="27" customFormat="1" x14ac:dyDescent="0.25">
      <c r="A70" s="28" t="s">
        <v>21</v>
      </c>
      <c r="B70" s="28" t="s">
        <v>2006</v>
      </c>
      <c r="C70" s="28" t="s">
        <v>21</v>
      </c>
      <c r="D70" s="31">
        <v>1</v>
      </c>
      <c r="E70" s="73">
        <v>9</v>
      </c>
      <c r="F70" s="45">
        <v>301</v>
      </c>
      <c r="G70" s="32"/>
      <c r="H70" s="32">
        <v>1.857</v>
      </c>
      <c r="I70" s="32">
        <v>1.8480000000000001</v>
      </c>
      <c r="J70" s="33">
        <f t="shared" si="2"/>
        <v>8.999999999999897E-3</v>
      </c>
      <c r="K70" s="34" t="str">
        <f t="shared" si="5"/>
        <v/>
      </c>
      <c r="L70" s="35">
        <f t="shared" si="3"/>
        <v>7.5250000000000004</v>
      </c>
      <c r="M70" s="36" t="str">
        <f t="shared" si="4"/>
        <v/>
      </c>
      <c r="N70" s="37" t="s">
        <v>18</v>
      </c>
      <c r="O70" s="29">
        <v>1</v>
      </c>
      <c r="P70" s="38">
        <v>40</v>
      </c>
      <c r="Q70" s="46"/>
      <c r="R70" s="28" t="s">
        <v>2034</v>
      </c>
      <c r="S70" s="47"/>
      <c r="T70" s="46"/>
      <c r="U70" s="28" t="s">
        <v>31</v>
      </c>
    </row>
    <row r="71" spans="1:21" s="27" customFormat="1" x14ac:dyDescent="0.25">
      <c r="A71" s="28" t="s">
        <v>21</v>
      </c>
      <c r="B71" s="28" t="s">
        <v>2007</v>
      </c>
      <c r="C71" s="28" t="s">
        <v>21</v>
      </c>
      <c r="D71" s="31">
        <v>1</v>
      </c>
      <c r="E71" s="73">
        <v>10</v>
      </c>
      <c r="F71" s="45">
        <v>300</v>
      </c>
      <c r="G71" s="32"/>
      <c r="H71" s="32">
        <v>1.87</v>
      </c>
      <c r="I71" s="32">
        <v>1.8620000000000001</v>
      </c>
      <c r="J71" s="33">
        <f t="shared" si="2"/>
        <v>8.0000000000000071E-3</v>
      </c>
      <c r="K71" s="34" t="str">
        <f t="shared" si="5"/>
        <v/>
      </c>
      <c r="L71" s="35">
        <f t="shared" si="3"/>
        <v>7.5</v>
      </c>
      <c r="M71" s="36" t="str">
        <f t="shared" si="4"/>
        <v/>
      </c>
      <c r="N71" s="37" t="s">
        <v>18</v>
      </c>
      <c r="O71" s="29">
        <v>1</v>
      </c>
      <c r="P71" s="38">
        <v>40</v>
      </c>
      <c r="Q71" s="46"/>
      <c r="R71" s="28" t="s">
        <v>2035</v>
      </c>
      <c r="S71" s="47"/>
      <c r="T71" s="46"/>
      <c r="U71" s="28" t="s">
        <v>31</v>
      </c>
    </row>
    <row r="72" spans="1:21" s="27" customFormat="1" x14ac:dyDescent="0.25">
      <c r="A72" s="28" t="s">
        <v>2036</v>
      </c>
      <c r="B72" s="28" t="s">
        <v>2037</v>
      </c>
      <c r="C72" s="28">
        <v>698355</v>
      </c>
      <c r="D72" s="31">
        <v>1</v>
      </c>
      <c r="E72" s="71">
        <v>62</v>
      </c>
      <c r="F72" s="45">
        <v>1207</v>
      </c>
      <c r="G72" s="32">
        <v>1.861</v>
      </c>
      <c r="H72" s="32">
        <v>7.43</v>
      </c>
      <c r="I72" s="32">
        <v>7.4</v>
      </c>
      <c r="J72" s="33">
        <f>IF(O72&lt;&gt;"",(H72-I72)/O72,"")</f>
        <v>7.4999999999998401E-3</v>
      </c>
      <c r="K72" s="34" t="str">
        <f t="shared" si="5"/>
        <v/>
      </c>
      <c r="L72" s="35">
        <f>F72/(O72*P72)</f>
        <v>7.5437500000000002</v>
      </c>
      <c r="M72" s="36" t="str">
        <f>IF(L72=0,"",IF(OR(L72&lt;7,L72&gt;7.8),"X",""))</f>
        <v/>
      </c>
      <c r="N72" s="37" t="s">
        <v>24</v>
      </c>
      <c r="O72" s="29">
        <v>4</v>
      </c>
      <c r="P72" s="38">
        <v>40</v>
      </c>
      <c r="Q72" s="28"/>
      <c r="R72" s="28" t="s">
        <v>2042</v>
      </c>
      <c r="S72" s="71" t="s">
        <v>58</v>
      </c>
      <c r="T72" s="28"/>
      <c r="U72" s="28" t="s">
        <v>31</v>
      </c>
    </row>
    <row r="73" spans="1:21" s="27" customFormat="1" x14ac:dyDescent="0.25">
      <c r="A73" s="28" t="s">
        <v>21</v>
      </c>
      <c r="B73" s="28" t="s">
        <v>21</v>
      </c>
      <c r="C73" s="28" t="s">
        <v>21</v>
      </c>
      <c r="D73" s="31">
        <v>1</v>
      </c>
      <c r="E73" s="71"/>
      <c r="F73" s="31"/>
      <c r="G73" s="32">
        <v>1.8520000000000001</v>
      </c>
      <c r="H73" s="32"/>
      <c r="I73" s="32"/>
      <c r="J73" s="33" t="str">
        <f t="shared" ref="J73:J91" si="6">IF(O73&lt;&gt;"",(H73-I73)/O73,"")</f>
        <v/>
      </c>
      <c r="K73" s="34"/>
      <c r="L73" s="35"/>
      <c r="M73" s="36" t="str">
        <f t="shared" ref="M73:M91" si="7">IF(L73=0,"",IF(OR(L73&lt;7.4,L73&gt;8),"X",""))</f>
        <v/>
      </c>
      <c r="N73" s="37"/>
      <c r="O73" s="29"/>
      <c r="P73" s="38"/>
      <c r="Q73" s="28"/>
      <c r="R73" s="28" t="s">
        <v>2043</v>
      </c>
      <c r="S73" s="71" t="s">
        <v>59</v>
      </c>
      <c r="T73" s="28"/>
      <c r="U73" s="28" t="s">
        <v>31</v>
      </c>
    </row>
    <row r="74" spans="1:21" s="27" customFormat="1" x14ac:dyDescent="0.25">
      <c r="A74" s="28" t="s">
        <v>21</v>
      </c>
      <c r="B74" s="28" t="s">
        <v>21</v>
      </c>
      <c r="C74" s="28" t="s">
        <v>21</v>
      </c>
      <c r="D74" s="31">
        <v>1</v>
      </c>
      <c r="E74" s="71"/>
      <c r="F74" s="31"/>
      <c r="G74" s="32">
        <v>1.855</v>
      </c>
      <c r="H74" s="32"/>
      <c r="I74" s="32"/>
      <c r="J74" s="33" t="str">
        <f t="shared" si="6"/>
        <v/>
      </c>
      <c r="K74" s="34"/>
      <c r="L74" s="35"/>
      <c r="M74" s="36" t="str">
        <f t="shared" si="7"/>
        <v/>
      </c>
      <c r="N74" s="37"/>
      <c r="O74" s="29"/>
      <c r="P74" s="38"/>
      <c r="Q74" s="28"/>
      <c r="R74" s="28" t="s">
        <v>2044</v>
      </c>
      <c r="S74" s="28" t="s">
        <v>21</v>
      </c>
      <c r="T74" s="28"/>
      <c r="U74" s="28" t="s">
        <v>31</v>
      </c>
    </row>
    <row r="75" spans="1:21" s="27" customFormat="1" x14ac:dyDescent="0.25">
      <c r="A75" s="28" t="s">
        <v>21</v>
      </c>
      <c r="B75" s="28" t="s">
        <v>21</v>
      </c>
      <c r="C75" s="28" t="s">
        <v>21</v>
      </c>
      <c r="D75" s="31">
        <v>1</v>
      </c>
      <c r="E75" s="71"/>
      <c r="F75" s="31"/>
      <c r="G75" s="32">
        <v>1.8640000000000001</v>
      </c>
      <c r="H75" s="32"/>
      <c r="I75" s="32"/>
      <c r="J75" s="33" t="str">
        <f t="shared" si="6"/>
        <v/>
      </c>
      <c r="K75" s="34"/>
      <c r="L75" s="35"/>
      <c r="M75" s="36" t="str">
        <f t="shared" si="7"/>
        <v/>
      </c>
      <c r="N75" s="37"/>
      <c r="O75" s="29"/>
      <c r="P75" s="38"/>
      <c r="Q75" s="28"/>
      <c r="R75" s="28" t="s">
        <v>2045</v>
      </c>
      <c r="S75" s="28" t="s">
        <v>21</v>
      </c>
      <c r="T75" s="28"/>
      <c r="U75" s="28" t="s">
        <v>31</v>
      </c>
    </row>
    <row r="76" spans="1:21" s="27" customFormat="1" x14ac:dyDescent="0.25">
      <c r="A76" s="28" t="s">
        <v>21</v>
      </c>
      <c r="B76" s="28" t="s">
        <v>2038</v>
      </c>
      <c r="C76" s="28" t="s">
        <v>21</v>
      </c>
      <c r="D76" s="31">
        <v>1</v>
      </c>
      <c r="E76" s="71">
        <v>59</v>
      </c>
      <c r="F76" s="45">
        <v>1209</v>
      </c>
      <c r="G76" s="32">
        <v>1.85</v>
      </c>
      <c r="H76" s="32">
        <v>7.38</v>
      </c>
      <c r="I76" s="32">
        <v>7.34</v>
      </c>
      <c r="J76" s="33">
        <f>IF(O76&lt;&gt;"",(H76-I76)/O76,"")</f>
        <v>1.0000000000000009E-2</v>
      </c>
      <c r="K76" s="34" t="str">
        <f t="shared" si="5"/>
        <v/>
      </c>
      <c r="L76" s="35">
        <f>F76/(O76*P76)</f>
        <v>7.5562500000000004</v>
      </c>
      <c r="M76" s="36" t="str">
        <f>IF(L76=0,"",IF(OR(L76&lt;7,L76&gt;7.8),"X",""))</f>
        <v/>
      </c>
      <c r="N76" s="37" t="s">
        <v>24</v>
      </c>
      <c r="O76" s="29">
        <v>4</v>
      </c>
      <c r="P76" s="38">
        <v>40</v>
      </c>
      <c r="Q76" s="28"/>
      <c r="R76" s="28" t="s">
        <v>2046</v>
      </c>
      <c r="S76" s="28" t="s">
        <v>21</v>
      </c>
      <c r="T76" s="28"/>
      <c r="U76" s="28" t="s">
        <v>31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31">
        <v>1</v>
      </c>
      <c r="E77" s="71"/>
      <c r="F77" s="31"/>
      <c r="G77" s="32">
        <v>1.8520000000000001</v>
      </c>
      <c r="H77" s="32"/>
      <c r="I77" s="32"/>
      <c r="J77" s="33" t="str">
        <f t="shared" si="6"/>
        <v/>
      </c>
      <c r="K77" s="34"/>
      <c r="L77" s="35"/>
      <c r="M77" s="36" t="str">
        <f t="shared" si="7"/>
        <v/>
      </c>
      <c r="N77" s="37"/>
      <c r="O77" s="29"/>
      <c r="P77" s="38"/>
      <c r="Q77" s="28"/>
      <c r="R77" s="28" t="s">
        <v>2047</v>
      </c>
      <c r="S77" s="28" t="s">
        <v>21</v>
      </c>
      <c r="T77" s="28"/>
      <c r="U77" s="28" t="s">
        <v>31</v>
      </c>
    </row>
    <row r="78" spans="1:21" s="27" customFormat="1" x14ac:dyDescent="0.25">
      <c r="A78" s="28" t="s">
        <v>21</v>
      </c>
      <c r="B78" s="28" t="s">
        <v>21</v>
      </c>
      <c r="C78" s="28" t="s">
        <v>21</v>
      </c>
      <c r="D78" s="31">
        <v>1</v>
      </c>
      <c r="E78" s="71"/>
      <c r="F78" s="31"/>
      <c r="G78" s="32">
        <v>1.829</v>
      </c>
      <c r="H78" s="32"/>
      <c r="I78" s="32"/>
      <c r="J78" s="33" t="str">
        <f t="shared" si="6"/>
        <v/>
      </c>
      <c r="K78" s="34"/>
      <c r="L78" s="35"/>
      <c r="M78" s="36" t="str">
        <f t="shared" si="7"/>
        <v/>
      </c>
      <c r="N78" s="37"/>
      <c r="O78" s="29"/>
      <c r="P78" s="38"/>
      <c r="Q78" s="28"/>
      <c r="R78" s="28" t="s">
        <v>2048</v>
      </c>
      <c r="S78" s="28" t="s">
        <v>21</v>
      </c>
      <c r="T78" s="28"/>
      <c r="U78" s="28" t="s">
        <v>31</v>
      </c>
    </row>
    <row r="79" spans="1:21" s="27" customFormat="1" x14ac:dyDescent="0.25">
      <c r="A79" s="28" t="s">
        <v>21</v>
      </c>
      <c r="B79" s="28" t="s">
        <v>21</v>
      </c>
      <c r="C79" s="28" t="s">
        <v>21</v>
      </c>
      <c r="D79" s="31">
        <v>1</v>
      </c>
      <c r="E79" s="71"/>
      <c r="F79" s="31"/>
      <c r="G79" s="32">
        <v>1.8480000000000001</v>
      </c>
      <c r="H79" s="32"/>
      <c r="I79" s="32"/>
      <c r="J79" s="33" t="str">
        <f t="shared" si="6"/>
        <v/>
      </c>
      <c r="K79" s="34"/>
      <c r="L79" s="35"/>
      <c r="M79" s="36" t="str">
        <f t="shared" si="7"/>
        <v/>
      </c>
      <c r="N79" s="37"/>
      <c r="O79" s="29"/>
      <c r="P79" s="38"/>
      <c r="Q79" s="28"/>
      <c r="R79" s="28" t="s">
        <v>2049</v>
      </c>
      <c r="S79" s="28" t="s">
        <v>21</v>
      </c>
      <c r="T79" s="28"/>
      <c r="U79" s="28" t="s">
        <v>31</v>
      </c>
    </row>
    <row r="80" spans="1:21" s="27" customFormat="1" x14ac:dyDescent="0.25">
      <c r="A80" s="28" t="s">
        <v>21</v>
      </c>
      <c r="B80" s="28" t="s">
        <v>2039</v>
      </c>
      <c r="C80" s="28" t="s">
        <v>21</v>
      </c>
      <c r="D80" s="31">
        <v>1</v>
      </c>
      <c r="E80" s="71">
        <v>60</v>
      </c>
      <c r="F80" s="45">
        <v>1210</v>
      </c>
      <c r="G80" s="32">
        <v>1.83</v>
      </c>
      <c r="H80" s="32">
        <v>7.35</v>
      </c>
      <c r="I80" s="32">
        <v>7.32</v>
      </c>
      <c r="J80" s="33">
        <f>IF(O80&lt;&gt;"",(H80-I80)/O80,"")</f>
        <v>7.4999999999998401E-3</v>
      </c>
      <c r="K80" s="34" t="str">
        <f t="shared" si="5"/>
        <v/>
      </c>
      <c r="L80" s="35">
        <f>F80/(O80*P80)</f>
        <v>7.5625</v>
      </c>
      <c r="M80" s="36" t="str">
        <f>IF(L80=0,"",IF(OR(L80&lt;7,L80&gt;7.8),"X",""))</f>
        <v/>
      </c>
      <c r="N80" s="37" t="s">
        <v>24</v>
      </c>
      <c r="O80" s="29">
        <v>4</v>
      </c>
      <c r="P80" s="38">
        <v>40</v>
      </c>
      <c r="Q80" s="28"/>
      <c r="R80" s="28" t="s">
        <v>2050</v>
      </c>
      <c r="S80" s="28" t="s">
        <v>21</v>
      </c>
      <c r="T80" s="28"/>
      <c r="U80" s="28" t="s">
        <v>31</v>
      </c>
    </row>
    <row r="81" spans="1:21" s="27" customFormat="1" x14ac:dyDescent="0.25">
      <c r="A81" s="28" t="s">
        <v>21</v>
      </c>
      <c r="B81" s="28" t="s">
        <v>21</v>
      </c>
      <c r="C81" s="28" t="s">
        <v>21</v>
      </c>
      <c r="D81" s="31">
        <v>1</v>
      </c>
      <c r="E81" s="71"/>
      <c r="F81" s="31"/>
      <c r="G81" s="32">
        <v>1.8380000000000001</v>
      </c>
      <c r="H81" s="32"/>
      <c r="I81" s="32"/>
      <c r="J81" s="33" t="str">
        <f t="shared" si="6"/>
        <v/>
      </c>
      <c r="K81" s="34"/>
      <c r="L81" s="35"/>
      <c r="M81" s="36" t="str">
        <f t="shared" si="7"/>
        <v/>
      </c>
      <c r="N81" s="37"/>
      <c r="O81" s="29"/>
      <c r="P81" s="38"/>
      <c r="Q81" s="28"/>
      <c r="R81" s="28" t="s">
        <v>2051</v>
      </c>
      <c r="S81" s="28" t="s">
        <v>21</v>
      </c>
      <c r="T81" s="28"/>
      <c r="U81" s="28" t="s">
        <v>31</v>
      </c>
    </row>
    <row r="82" spans="1:21" s="27" customFormat="1" x14ac:dyDescent="0.25">
      <c r="A82" s="28" t="s">
        <v>21</v>
      </c>
      <c r="B82" s="28" t="s">
        <v>21</v>
      </c>
      <c r="C82" s="28">
        <v>698355</v>
      </c>
      <c r="D82" s="31">
        <v>1</v>
      </c>
      <c r="E82" s="71"/>
      <c r="F82" s="31"/>
      <c r="G82" s="32">
        <v>1.8380000000000001</v>
      </c>
      <c r="H82" s="32"/>
      <c r="I82" s="32"/>
      <c r="J82" s="33" t="str">
        <f t="shared" si="6"/>
        <v/>
      </c>
      <c r="K82" s="34"/>
      <c r="L82" s="35"/>
      <c r="M82" s="36" t="str">
        <f t="shared" si="7"/>
        <v/>
      </c>
      <c r="N82" s="37"/>
      <c r="O82" s="29"/>
      <c r="P82" s="38"/>
      <c r="Q82" s="28"/>
      <c r="R82" s="28" t="s">
        <v>2052</v>
      </c>
      <c r="S82" s="28" t="s">
        <v>21</v>
      </c>
      <c r="T82" s="28"/>
      <c r="U82" s="28" t="s">
        <v>31</v>
      </c>
    </row>
    <row r="83" spans="1:21" s="27" customFormat="1" x14ac:dyDescent="0.25">
      <c r="A83" s="28" t="s">
        <v>21</v>
      </c>
      <c r="B83" s="28" t="s">
        <v>21</v>
      </c>
      <c r="C83" s="28" t="s">
        <v>21</v>
      </c>
      <c r="D83" s="31">
        <v>1</v>
      </c>
      <c r="E83" s="71"/>
      <c r="F83" s="31"/>
      <c r="G83" s="32">
        <v>1.845</v>
      </c>
      <c r="H83" s="32"/>
      <c r="I83" s="32"/>
      <c r="J83" s="33" t="str">
        <f t="shared" si="6"/>
        <v/>
      </c>
      <c r="K83" s="34"/>
      <c r="L83" s="35"/>
      <c r="M83" s="36" t="str">
        <f t="shared" si="7"/>
        <v/>
      </c>
      <c r="N83" s="37"/>
      <c r="O83" s="29"/>
      <c r="P83" s="38"/>
      <c r="Q83" s="28"/>
      <c r="R83" s="28" t="s">
        <v>2053</v>
      </c>
      <c r="S83" s="28" t="s">
        <v>21</v>
      </c>
      <c r="T83" s="28"/>
      <c r="U83" s="28" t="s">
        <v>31</v>
      </c>
    </row>
    <row r="84" spans="1:21" s="27" customFormat="1" x14ac:dyDescent="0.25">
      <c r="A84" s="28" t="s">
        <v>21</v>
      </c>
      <c r="B84" s="28" t="s">
        <v>2040</v>
      </c>
      <c r="C84" s="28" t="s">
        <v>21</v>
      </c>
      <c r="D84" s="31">
        <v>1</v>
      </c>
      <c r="E84" s="71">
        <v>56</v>
      </c>
      <c r="F84" s="45">
        <v>1211</v>
      </c>
      <c r="G84" s="32">
        <v>1.829</v>
      </c>
      <c r="H84" s="32">
        <v>7.32</v>
      </c>
      <c r="I84" s="32">
        <v>7.28</v>
      </c>
      <c r="J84" s="33">
        <f>IF(O84&lt;&gt;"",(H84-I84)/O84,"")</f>
        <v>1.0000000000000009E-2</v>
      </c>
      <c r="K84" s="34" t="str">
        <f t="shared" si="5"/>
        <v/>
      </c>
      <c r="L84" s="35">
        <f>F84/(O84*P84)</f>
        <v>7.5687499999999996</v>
      </c>
      <c r="M84" s="36" t="str">
        <f>IF(L84=0,"",IF(OR(L84&lt;7,L84&gt;7.8),"X",""))</f>
        <v/>
      </c>
      <c r="N84" s="37" t="s">
        <v>24</v>
      </c>
      <c r="O84" s="29">
        <v>4</v>
      </c>
      <c r="P84" s="38">
        <v>40</v>
      </c>
      <c r="Q84" s="28"/>
      <c r="R84" s="28" t="s">
        <v>2055</v>
      </c>
      <c r="S84" s="71" t="s">
        <v>58</v>
      </c>
      <c r="T84" s="28"/>
      <c r="U84" s="28" t="s">
        <v>31</v>
      </c>
    </row>
    <row r="85" spans="1:21" s="27" customFormat="1" x14ac:dyDescent="0.25">
      <c r="A85" s="28" t="s">
        <v>21</v>
      </c>
      <c r="B85" s="28" t="s">
        <v>21</v>
      </c>
      <c r="C85" s="28" t="s">
        <v>21</v>
      </c>
      <c r="D85" s="31">
        <v>1</v>
      </c>
      <c r="E85" s="71"/>
      <c r="F85" s="31"/>
      <c r="G85" s="32">
        <v>1.825</v>
      </c>
      <c r="H85" s="32"/>
      <c r="I85" s="32"/>
      <c r="J85" s="33" t="str">
        <f t="shared" si="6"/>
        <v/>
      </c>
      <c r="K85" s="34"/>
      <c r="L85" s="35"/>
      <c r="M85" s="36" t="str">
        <f t="shared" si="7"/>
        <v/>
      </c>
      <c r="N85" s="37"/>
      <c r="O85" s="29"/>
      <c r="P85" s="38"/>
      <c r="Q85" s="28"/>
      <c r="R85" s="28" t="s">
        <v>2054</v>
      </c>
      <c r="S85" s="71" t="s">
        <v>59</v>
      </c>
      <c r="T85" s="28"/>
      <c r="U85" s="28" t="s">
        <v>31</v>
      </c>
    </row>
    <row r="86" spans="1:21" s="27" customFormat="1" x14ac:dyDescent="0.25">
      <c r="A86" s="28" t="s">
        <v>21</v>
      </c>
      <c r="B86" s="28" t="s">
        <v>21</v>
      </c>
      <c r="C86" s="28" t="s">
        <v>21</v>
      </c>
      <c r="D86" s="31">
        <v>1</v>
      </c>
      <c r="E86" s="71"/>
      <c r="F86" s="31"/>
      <c r="G86" s="32">
        <v>1.837</v>
      </c>
      <c r="H86" s="32"/>
      <c r="I86" s="32"/>
      <c r="J86" s="33" t="str">
        <f t="shared" si="6"/>
        <v/>
      </c>
      <c r="K86" s="34"/>
      <c r="L86" s="35"/>
      <c r="M86" s="36" t="str">
        <f t="shared" si="7"/>
        <v/>
      </c>
      <c r="N86" s="37"/>
      <c r="O86" s="29"/>
      <c r="P86" s="38"/>
      <c r="Q86" s="28"/>
      <c r="R86" s="28" t="s">
        <v>2057</v>
      </c>
      <c r="S86" s="28" t="s">
        <v>21</v>
      </c>
      <c r="T86" s="28"/>
      <c r="U86" s="28" t="s">
        <v>31</v>
      </c>
    </row>
    <row r="87" spans="1:21" s="27" customFormat="1" x14ac:dyDescent="0.25">
      <c r="A87" s="28" t="s">
        <v>21</v>
      </c>
      <c r="B87" s="28" t="s">
        <v>21</v>
      </c>
      <c r="C87" s="28" t="s">
        <v>21</v>
      </c>
      <c r="D87" s="31">
        <v>1</v>
      </c>
      <c r="E87" s="71"/>
      <c r="F87" s="31"/>
      <c r="G87" s="32">
        <v>1.8240000000000001</v>
      </c>
      <c r="H87" s="32"/>
      <c r="I87" s="32"/>
      <c r="J87" s="33" t="str">
        <f t="shared" si="6"/>
        <v/>
      </c>
      <c r="K87" s="34"/>
      <c r="L87" s="35"/>
      <c r="M87" s="36" t="str">
        <f t="shared" si="7"/>
        <v/>
      </c>
      <c r="N87" s="37"/>
      <c r="O87" s="29"/>
      <c r="P87" s="38"/>
      <c r="Q87" s="28"/>
      <c r="R87" s="28" t="s">
        <v>2056</v>
      </c>
      <c r="S87" s="28" t="s">
        <v>21</v>
      </c>
      <c r="T87" s="28"/>
      <c r="U87" s="28" t="s">
        <v>31</v>
      </c>
    </row>
    <row r="88" spans="1:21" s="27" customFormat="1" x14ac:dyDescent="0.25">
      <c r="A88" s="28" t="s">
        <v>21</v>
      </c>
      <c r="B88" s="28" t="s">
        <v>2041</v>
      </c>
      <c r="C88" s="28" t="s">
        <v>21</v>
      </c>
      <c r="D88" s="31">
        <v>1</v>
      </c>
      <c r="E88" s="71">
        <v>63</v>
      </c>
      <c r="F88" s="45">
        <v>1208</v>
      </c>
      <c r="G88" s="32">
        <v>1.8440000000000001</v>
      </c>
      <c r="H88" s="32">
        <v>7.38</v>
      </c>
      <c r="I88" s="32">
        <v>7.35</v>
      </c>
      <c r="J88" s="33">
        <f>IF(O88&lt;&gt;"",(H88-I88)/O88,"")</f>
        <v>7.5000000000000622E-3</v>
      </c>
      <c r="K88" s="34" t="str">
        <f t="shared" si="5"/>
        <v/>
      </c>
      <c r="L88" s="35">
        <f>F88/(O88*P88)</f>
        <v>7.55</v>
      </c>
      <c r="M88" s="36" t="str">
        <f>IF(L88=0,"",IF(OR(L88&lt;7,L88&gt;7.8),"X",""))</f>
        <v/>
      </c>
      <c r="N88" s="37" t="s">
        <v>24</v>
      </c>
      <c r="O88" s="29">
        <v>4</v>
      </c>
      <c r="P88" s="38">
        <v>40</v>
      </c>
      <c r="Q88" s="28"/>
      <c r="R88" s="28" t="s">
        <v>2058</v>
      </c>
      <c r="S88" s="28" t="s">
        <v>21</v>
      </c>
      <c r="T88" s="28"/>
      <c r="U88" s="28" t="s">
        <v>31</v>
      </c>
    </row>
    <row r="89" spans="1:21" s="27" customFormat="1" x14ac:dyDescent="0.25">
      <c r="A89" s="28" t="s">
        <v>21</v>
      </c>
      <c r="B89" s="28" t="s">
        <v>21</v>
      </c>
      <c r="C89" s="28" t="s">
        <v>21</v>
      </c>
      <c r="D89" s="31">
        <v>1</v>
      </c>
      <c r="E89" s="71"/>
      <c r="F89" s="31"/>
      <c r="G89" s="32">
        <v>1.8440000000000001</v>
      </c>
      <c r="H89" s="32"/>
      <c r="I89" s="32"/>
      <c r="J89" s="33" t="str">
        <f t="shared" si="6"/>
        <v/>
      </c>
      <c r="K89" s="34"/>
      <c r="L89" s="35"/>
      <c r="M89" s="36" t="str">
        <f t="shared" si="7"/>
        <v/>
      </c>
      <c r="N89" s="37"/>
      <c r="O89" s="29"/>
      <c r="P89" s="38"/>
      <c r="Q89" s="28"/>
      <c r="R89" s="28" t="s">
        <v>2059</v>
      </c>
      <c r="S89" s="28" t="s">
        <v>21</v>
      </c>
      <c r="T89" s="28"/>
      <c r="U89" s="28" t="s">
        <v>31</v>
      </c>
    </row>
    <row r="90" spans="1:21" s="27" customFormat="1" x14ac:dyDescent="0.25">
      <c r="A90" s="28" t="s">
        <v>21</v>
      </c>
      <c r="B90" s="28" t="s">
        <v>21</v>
      </c>
      <c r="C90" s="28" t="s">
        <v>21</v>
      </c>
      <c r="D90" s="31">
        <v>1</v>
      </c>
      <c r="E90" s="71"/>
      <c r="F90" s="31"/>
      <c r="G90" s="32">
        <v>1.843</v>
      </c>
      <c r="H90" s="32"/>
      <c r="I90" s="32"/>
      <c r="J90" s="33" t="str">
        <f t="shared" si="6"/>
        <v/>
      </c>
      <c r="K90" s="34"/>
      <c r="L90" s="35"/>
      <c r="M90" s="36" t="str">
        <f t="shared" si="7"/>
        <v/>
      </c>
      <c r="N90" s="37"/>
      <c r="O90" s="29"/>
      <c r="P90" s="38"/>
      <c r="Q90" s="28"/>
      <c r="R90" s="28" t="s">
        <v>2060</v>
      </c>
      <c r="S90" s="28" t="s">
        <v>21</v>
      </c>
      <c r="T90" s="28"/>
      <c r="U90" s="28" t="s">
        <v>31</v>
      </c>
    </row>
    <row r="91" spans="1:21" s="27" customFormat="1" x14ac:dyDescent="0.25">
      <c r="A91" s="28" t="s">
        <v>21</v>
      </c>
      <c r="B91" s="28" t="s">
        <v>21</v>
      </c>
      <c r="C91" s="28" t="s">
        <v>21</v>
      </c>
      <c r="D91" s="31">
        <v>1</v>
      </c>
      <c r="E91" s="71"/>
      <c r="F91" s="31"/>
      <c r="G91" s="32">
        <v>1.8480000000000001</v>
      </c>
      <c r="H91" s="32"/>
      <c r="I91" s="32"/>
      <c r="J91" s="33" t="str">
        <f t="shared" si="6"/>
        <v/>
      </c>
      <c r="K91" s="34"/>
      <c r="L91" s="35"/>
      <c r="M91" s="36" t="str">
        <f t="shared" si="7"/>
        <v/>
      </c>
      <c r="N91" s="37"/>
      <c r="O91" s="29"/>
      <c r="P91" s="38"/>
      <c r="Q91" s="28"/>
      <c r="R91" s="28" t="s">
        <v>2061</v>
      </c>
      <c r="S91" s="28" t="s">
        <v>21</v>
      </c>
      <c r="T91" s="28"/>
      <c r="U91" s="28" t="s">
        <v>31</v>
      </c>
    </row>
    <row r="92" spans="1:21" s="27" customFormat="1" x14ac:dyDescent="0.25">
      <c r="A92" s="28" t="s">
        <v>2062</v>
      </c>
      <c r="B92" s="28" t="s">
        <v>2063</v>
      </c>
      <c r="C92" s="28">
        <v>698355</v>
      </c>
      <c r="D92" s="31">
        <v>1</v>
      </c>
      <c r="E92" s="71">
        <v>67</v>
      </c>
      <c r="F92" s="45">
        <v>904</v>
      </c>
      <c r="G92" s="32">
        <v>1.8580000000000001</v>
      </c>
      <c r="H92" s="32">
        <v>5.577</v>
      </c>
      <c r="I92" s="32">
        <v>5.556</v>
      </c>
      <c r="J92" s="33">
        <f>IF(O92&lt;&gt;"",(H92-I92)/O92,"")</f>
        <v>6.9999999999999689E-3</v>
      </c>
      <c r="K92" s="34" t="str">
        <f t="shared" ref="K92:K104" si="8">IF(J92=0,"",IF(OR(J92&lt;0,J92&gt;0.03),"X",""))</f>
        <v/>
      </c>
      <c r="L92" s="35">
        <f>F92/(O92*P92)</f>
        <v>7.5333333333333332</v>
      </c>
      <c r="M92" s="36" t="str">
        <f>IF(L92=0,"",IF(OR(L92&lt;7,L92&gt;7.8),"X",""))</f>
        <v/>
      </c>
      <c r="N92" s="37" t="s">
        <v>23</v>
      </c>
      <c r="O92" s="29">
        <v>3</v>
      </c>
      <c r="P92" s="38">
        <v>40</v>
      </c>
      <c r="Q92" s="28"/>
      <c r="R92" s="28" t="s">
        <v>2068</v>
      </c>
      <c r="S92" s="71" t="s">
        <v>103</v>
      </c>
      <c r="T92" s="46"/>
      <c r="U92" s="28" t="s">
        <v>31</v>
      </c>
    </row>
    <row r="93" spans="1:21" s="27" customFormat="1" x14ac:dyDescent="0.25">
      <c r="A93" s="28" t="s">
        <v>21</v>
      </c>
      <c r="B93" s="28" t="s">
        <v>21</v>
      </c>
      <c r="C93" s="28" t="s">
        <v>21</v>
      </c>
      <c r="D93" s="31">
        <v>1</v>
      </c>
      <c r="E93" s="71"/>
      <c r="F93" s="31"/>
      <c r="G93" s="32">
        <v>1.8560000000000001</v>
      </c>
      <c r="H93" s="32"/>
      <c r="I93" s="32"/>
      <c r="J93" s="33" t="str">
        <f t="shared" ref="J93:J106" si="9">IF(O93&lt;&gt;"",(H93-I93)/O93,"")</f>
        <v/>
      </c>
      <c r="K93" s="34"/>
      <c r="L93" s="35"/>
      <c r="M93" s="36" t="str">
        <f t="shared" ref="M93:M106" si="10">IF(L93=0,"",IF(OR(L93&lt;7.4,L93&gt;8),"X",""))</f>
        <v/>
      </c>
      <c r="N93" s="37"/>
      <c r="O93" s="29"/>
      <c r="P93" s="38"/>
      <c r="Q93" s="28"/>
      <c r="R93" s="28" t="s">
        <v>2069</v>
      </c>
      <c r="S93" s="71" t="s">
        <v>59</v>
      </c>
      <c r="T93" s="46"/>
      <c r="U93" s="28" t="s">
        <v>31</v>
      </c>
    </row>
    <row r="94" spans="1:21" s="27" customFormat="1" ht="14.25" customHeight="1" x14ac:dyDescent="0.25">
      <c r="A94" s="28" t="s">
        <v>21</v>
      </c>
      <c r="B94" s="28" t="s">
        <v>21</v>
      </c>
      <c r="C94" s="28" t="s">
        <v>21</v>
      </c>
      <c r="D94" s="31">
        <v>1</v>
      </c>
      <c r="E94" s="71"/>
      <c r="F94" s="31"/>
      <c r="G94" s="32">
        <v>1.863</v>
      </c>
      <c r="H94" s="32"/>
      <c r="I94" s="32"/>
      <c r="J94" s="33" t="str">
        <f t="shared" si="9"/>
        <v/>
      </c>
      <c r="K94" s="34"/>
      <c r="L94" s="35"/>
      <c r="M94" s="36" t="str">
        <f t="shared" si="10"/>
        <v/>
      </c>
      <c r="N94" s="37"/>
      <c r="O94" s="29"/>
      <c r="P94" s="38"/>
      <c r="Q94" s="28"/>
      <c r="R94" s="28" t="s">
        <v>2070</v>
      </c>
      <c r="S94" s="28" t="s">
        <v>21</v>
      </c>
      <c r="T94" s="46"/>
      <c r="U94" s="28" t="s">
        <v>31</v>
      </c>
    </row>
    <row r="95" spans="1:21" s="27" customFormat="1" x14ac:dyDescent="0.25">
      <c r="A95" s="28" t="s">
        <v>21</v>
      </c>
      <c r="B95" s="28" t="s">
        <v>2064</v>
      </c>
      <c r="C95" s="28" t="s">
        <v>21</v>
      </c>
      <c r="D95" s="31">
        <v>1</v>
      </c>
      <c r="E95" s="71">
        <v>60</v>
      </c>
      <c r="F95" s="45">
        <v>905</v>
      </c>
      <c r="G95" s="32">
        <v>1.855</v>
      </c>
      <c r="H95" s="32">
        <v>5.5659999999999998</v>
      </c>
      <c r="I95" s="32">
        <v>5.5419999999999998</v>
      </c>
      <c r="J95" s="33">
        <f>IF(O95&lt;&gt;"",(H95-I95)/O95,"")</f>
        <v>8.0000000000000071E-3</v>
      </c>
      <c r="K95" s="34" t="str">
        <f t="shared" si="8"/>
        <v/>
      </c>
      <c r="L95" s="35">
        <f>F95/(O95*P95)</f>
        <v>7.541666666666667</v>
      </c>
      <c r="M95" s="36" t="str">
        <f>IF(L95=0,"",IF(OR(L95&lt;7,L95&gt;7.8),"X",""))</f>
        <v/>
      </c>
      <c r="N95" s="37" t="s">
        <v>23</v>
      </c>
      <c r="O95" s="29">
        <v>3</v>
      </c>
      <c r="P95" s="38">
        <v>40</v>
      </c>
      <c r="Q95" s="28"/>
      <c r="R95" s="28" t="s">
        <v>2071</v>
      </c>
      <c r="S95" s="28" t="s">
        <v>21</v>
      </c>
      <c r="T95" s="46"/>
      <c r="U95" s="28" t="s">
        <v>31</v>
      </c>
    </row>
    <row r="96" spans="1:21" s="27" customFormat="1" x14ac:dyDescent="0.25">
      <c r="A96" s="28" t="s">
        <v>21</v>
      </c>
      <c r="B96" s="28" t="s">
        <v>21</v>
      </c>
      <c r="C96" s="28" t="s">
        <v>21</v>
      </c>
      <c r="D96" s="31">
        <v>1</v>
      </c>
      <c r="E96" s="71"/>
      <c r="F96" s="31"/>
      <c r="G96" s="32">
        <v>1.8520000000000001</v>
      </c>
      <c r="H96" s="32"/>
      <c r="I96" s="32"/>
      <c r="J96" s="33" t="str">
        <f t="shared" si="9"/>
        <v/>
      </c>
      <c r="K96" s="34"/>
      <c r="L96" s="35"/>
      <c r="M96" s="36" t="str">
        <f t="shared" si="10"/>
        <v/>
      </c>
      <c r="N96" s="37"/>
      <c r="O96" s="29"/>
      <c r="P96" s="38"/>
      <c r="Q96" s="28"/>
      <c r="R96" s="28" t="s">
        <v>2072</v>
      </c>
      <c r="S96" s="28" t="s">
        <v>21</v>
      </c>
      <c r="T96" s="46"/>
      <c r="U96" s="28" t="s">
        <v>31</v>
      </c>
    </row>
    <row r="97" spans="1:21" s="27" customFormat="1" ht="14.25" customHeight="1" x14ac:dyDescent="0.25">
      <c r="A97" s="28" t="s">
        <v>21</v>
      </c>
      <c r="B97" s="28" t="s">
        <v>21</v>
      </c>
      <c r="C97" s="28" t="s">
        <v>21</v>
      </c>
      <c r="D97" s="31">
        <v>1</v>
      </c>
      <c r="E97" s="71"/>
      <c r="F97" s="31"/>
      <c r="G97" s="32">
        <v>1.86</v>
      </c>
      <c r="H97" s="32"/>
      <c r="I97" s="32"/>
      <c r="J97" s="33" t="str">
        <f t="shared" si="9"/>
        <v/>
      </c>
      <c r="K97" s="34"/>
      <c r="L97" s="35"/>
      <c r="M97" s="36" t="str">
        <f t="shared" si="10"/>
        <v/>
      </c>
      <c r="N97" s="37"/>
      <c r="O97" s="29"/>
      <c r="P97" s="38"/>
      <c r="Q97" s="28"/>
      <c r="R97" s="28" t="s">
        <v>2073</v>
      </c>
      <c r="S97" s="28" t="s">
        <v>21</v>
      </c>
      <c r="T97" s="46"/>
      <c r="U97" s="28" t="s">
        <v>31</v>
      </c>
    </row>
    <row r="98" spans="1:21" s="27" customFormat="1" x14ac:dyDescent="0.25">
      <c r="A98" s="28" t="s">
        <v>21</v>
      </c>
      <c r="B98" s="28" t="s">
        <v>2065</v>
      </c>
      <c r="C98" s="28" t="s">
        <v>21</v>
      </c>
      <c r="D98" s="31">
        <v>1</v>
      </c>
      <c r="E98" s="71">
        <v>64</v>
      </c>
      <c r="F98" s="45">
        <v>905</v>
      </c>
      <c r="G98" s="32">
        <v>1.857</v>
      </c>
      <c r="H98" s="32">
        <v>5.5709999999999997</v>
      </c>
      <c r="I98" s="32">
        <v>5.5469999999999997</v>
      </c>
      <c r="J98" s="33">
        <f>IF(O98&lt;&gt;"",(H98-I98)/O98,"")</f>
        <v>8.0000000000000071E-3</v>
      </c>
      <c r="K98" s="34" t="str">
        <f t="shared" si="8"/>
        <v/>
      </c>
      <c r="L98" s="35">
        <f>F98/(O98*P98)</f>
        <v>7.541666666666667</v>
      </c>
      <c r="M98" s="36" t="str">
        <f>IF(L98=0,"",IF(OR(L98&lt;7,L98&gt;7.8),"X",""))</f>
        <v/>
      </c>
      <c r="N98" s="37" t="s">
        <v>23</v>
      </c>
      <c r="O98" s="29">
        <v>3</v>
      </c>
      <c r="P98" s="38">
        <v>40</v>
      </c>
      <c r="Q98" s="28"/>
      <c r="R98" s="28" t="s">
        <v>2074</v>
      </c>
      <c r="S98" s="28" t="s">
        <v>21</v>
      </c>
      <c r="T98" s="46"/>
      <c r="U98" s="28" t="s">
        <v>31</v>
      </c>
    </row>
    <row r="99" spans="1:21" s="27" customFormat="1" x14ac:dyDescent="0.25">
      <c r="A99" s="28" t="s">
        <v>21</v>
      </c>
      <c r="B99" s="28" t="s">
        <v>21</v>
      </c>
      <c r="C99" s="28" t="s">
        <v>21</v>
      </c>
      <c r="D99" s="31">
        <v>1</v>
      </c>
      <c r="E99" s="71"/>
      <c r="F99" s="31"/>
      <c r="G99" s="32">
        <v>1.85</v>
      </c>
      <c r="H99" s="32"/>
      <c r="I99" s="32"/>
      <c r="J99" s="33" t="str">
        <f t="shared" si="9"/>
        <v/>
      </c>
      <c r="K99" s="34"/>
      <c r="L99" s="35"/>
      <c r="M99" s="36" t="str">
        <f t="shared" si="10"/>
        <v/>
      </c>
      <c r="N99" s="37"/>
      <c r="O99" s="29"/>
      <c r="P99" s="38"/>
      <c r="Q99" s="28"/>
      <c r="R99" s="28" t="s">
        <v>2075</v>
      </c>
      <c r="S99" s="28" t="s">
        <v>21</v>
      </c>
      <c r="T99" s="46"/>
      <c r="U99" s="28" t="s">
        <v>31</v>
      </c>
    </row>
    <row r="100" spans="1:21" s="27" customFormat="1" ht="14.25" customHeight="1" x14ac:dyDescent="0.25">
      <c r="A100" s="28" t="s">
        <v>21</v>
      </c>
      <c r="B100" s="28" t="s">
        <v>21</v>
      </c>
      <c r="C100" s="28" t="s">
        <v>21</v>
      </c>
      <c r="D100" s="31">
        <v>1</v>
      </c>
      <c r="E100" s="71"/>
      <c r="F100" s="31"/>
      <c r="G100" s="32">
        <v>1.863</v>
      </c>
      <c r="H100" s="32"/>
      <c r="I100" s="32"/>
      <c r="J100" s="33" t="str">
        <f t="shared" si="9"/>
        <v/>
      </c>
      <c r="K100" s="34"/>
      <c r="L100" s="35"/>
      <c r="M100" s="36" t="str">
        <f t="shared" si="10"/>
        <v/>
      </c>
      <c r="N100" s="37"/>
      <c r="O100" s="29"/>
      <c r="P100" s="38"/>
      <c r="Q100" s="28"/>
      <c r="R100" s="28" t="s">
        <v>2053</v>
      </c>
      <c r="S100" s="28" t="s">
        <v>21</v>
      </c>
      <c r="T100" s="46"/>
      <c r="U100" s="28" t="s">
        <v>31</v>
      </c>
    </row>
    <row r="101" spans="1:21" s="27" customFormat="1" x14ac:dyDescent="0.25">
      <c r="A101" s="28" t="s">
        <v>21</v>
      </c>
      <c r="B101" s="28" t="s">
        <v>2066</v>
      </c>
      <c r="C101" s="28" t="s">
        <v>21</v>
      </c>
      <c r="D101" s="31">
        <v>1</v>
      </c>
      <c r="E101" s="71">
        <v>58</v>
      </c>
      <c r="F101" s="45">
        <v>904</v>
      </c>
      <c r="G101" s="32">
        <v>1.853</v>
      </c>
      <c r="H101" s="32">
        <v>5.5590000000000002</v>
      </c>
      <c r="I101" s="32">
        <v>5.5339999999999998</v>
      </c>
      <c r="J101" s="33">
        <f>IF(O101&lt;&gt;"",(H101-I101)/O101,"")</f>
        <v>8.3333333333334512E-3</v>
      </c>
      <c r="K101" s="34" t="str">
        <f t="shared" si="8"/>
        <v/>
      </c>
      <c r="L101" s="35">
        <f>F101/(O101*P101)</f>
        <v>7.5333333333333332</v>
      </c>
      <c r="M101" s="36" t="str">
        <f>IF(L101=0,"",IF(OR(L101&lt;7,L101&gt;7.8),"X",""))</f>
        <v/>
      </c>
      <c r="N101" s="37" t="s">
        <v>23</v>
      </c>
      <c r="O101" s="29">
        <v>3</v>
      </c>
      <c r="P101" s="38">
        <v>40</v>
      </c>
      <c r="Q101" s="28"/>
      <c r="R101" s="28" t="s">
        <v>2076</v>
      </c>
      <c r="S101" s="28" t="s">
        <v>21</v>
      </c>
      <c r="T101" s="46"/>
      <c r="U101" s="28" t="s">
        <v>31</v>
      </c>
    </row>
    <row r="102" spans="1:21" s="27" customFormat="1" x14ac:dyDescent="0.25">
      <c r="A102" s="28" t="s">
        <v>21</v>
      </c>
      <c r="B102" s="28" t="s">
        <v>21</v>
      </c>
      <c r="C102" s="28">
        <v>698355</v>
      </c>
      <c r="D102" s="31">
        <v>1</v>
      </c>
      <c r="E102" s="71"/>
      <c r="F102" s="31"/>
      <c r="G102" s="32">
        <v>1.8520000000000001</v>
      </c>
      <c r="H102" s="32"/>
      <c r="I102" s="32"/>
      <c r="J102" s="33" t="str">
        <f t="shared" si="9"/>
        <v/>
      </c>
      <c r="K102" s="34"/>
      <c r="L102" s="35"/>
      <c r="M102" s="36" t="str">
        <f t="shared" si="10"/>
        <v/>
      </c>
      <c r="N102" s="37"/>
      <c r="O102" s="29"/>
      <c r="P102" s="38"/>
      <c r="Q102" s="28"/>
      <c r="R102" s="28" t="s">
        <v>2077</v>
      </c>
      <c r="S102" s="28" t="s">
        <v>21</v>
      </c>
      <c r="T102" s="46"/>
      <c r="U102" s="28" t="s">
        <v>31</v>
      </c>
    </row>
    <row r="103" spans="1:21" s="27" customFormat="1" ht="14.25" customHeight="1" x14ac:dyDescent="0.25">
      <c r="A103" s="28" t="s">
        <v>21</v>
      </c>
      <c r="B103" s="28" t="s">
        <v>21</v>
      </c>
      <c r="C103" s="28" t="s">
        <v>21</v>
      </c>
      <c r="D103" s="31">
        <v>1</v>
      </c>
      <c r="E103" s="71"/>
      <c r="F103" s="31"/>
      <c r="G103" s="32">
        <v>1.8520000000000001</v>
      </c>
      <c r="H103" s="32"/>
      <c r="I103" s="32"/>
      <c r="J103" s="33" t="str">
        <f t="shared" si="9"/>
        <v/>
      </c>
      <c r="K103" s="34"/>
      <c r="L103" s="35"/>
      <c r="M103" s="36" t="str">
        <f t="shared" si="10"/>
        <v/>
      </c>
      <c r="N103" s="37"/>
      <c r="O103" s="29"/>
      <c r="P103" s="38"/>
      <c r="Q103" s="28"/>
      <c r="R103" s="28" t="s">
        <v>2078</v>
      </c>
      <c r="S103" s="28" t="s">
        <v>21</v>
      </c>
      <c r="T103" s="46"/>
      <c r="U103" s="28" t="s">
        <v>31</v>
      </c>
    </row>
    <row r="104" spans="1:21" s="27" customFormat="1" x14ac:dyDescent="0.25">
      <c r="A104" s="28" t="s">
        <v>21</v>
      </c>
      <c r="B104" s="28" t="s">
        <v>2067</v>
      </c>
      <c r="C104" s="28" t="s">
        <v>21</v>
      </c>
      <c r="D104" s="31">
        <v>1</v>
      </c>
      <c r="E104" s="71">
        <v>66</v>
      </c>
      <c r="F104" s="45">
        <v>905</v>
      </c>
      <c r="G104" s="32">
        <v>1.849</v>
      </c>
      <c r="H104" s="32">
        <v>5.5640000000000001</v>
      </c>
      <c r="I104" s="32">
        <v>5.5419999999999998</v>
      </c>
      <c r="J104" s="33">
        <f>IF(O104&lt;&gt;"",(H104-I104)/O104,"")</f>
        <v>7.3333333333334139E-3</v>
      </c>
      <c r="K104" s="34" t="str">
        <f t="shared" si="8"/>
        <v/>
      </c>
      <c r="L104" s="35">
        <f>F104/(O104*P104)</f>
        <v>7.541666666666667</v>
      </c>
      <c r="M104" s="36" t="str">
        <f>IF(L104=0,"",IF(OR(L104&lt;7,L104&gt;7.8),"X",""))</f>
        <v/>
      </c>
      <c r="N104" s="37" t="s">
        <v>23</v>
      </c>
      <c r="O104" s="29">
        <v>3</v>
      </c>
      <c r="P104" s="38">
        <v>40</v>
      </c>
      <c r="Q104" s="28"/>
      <c r="R104" s="28" t="s">
        <v>2079</v>
      </c>
      <c r="S104" s="28" t="s">
        <v>21</v>
      </c>
      <c r="T104" s="46"/>
      <c r="U104" s="28" t="s">
        <v>31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31">
        <v>1</v>
      </c>
      <c r="E105" s="71"/>
      <c r="F105" s="31"/>
      <c r="G105" s="32">
        <v>1.855</v>
      </c>
      <c r="H105" s="32"/>
      <c r="I105" s="32"/>
      <c r="J105" s="33" t="str">
        <f t="shared" si="9"/>
        <v/>
      </c>
      <c r="K105" s="34"/>
      <c r="L105" s="35"/>
      <c r="M105" s="36" t="str">
        <f t="shared" si="10"/>
        <v/>
      </c>
      <c r="N105" s="37"/>
      <c r="O105" s="29"/>
      <c r="P105" s="38"/>
      <c r="Q105" s="28"/>
      <c r="R105" s="28" t="s">
        <v>2080</v>
      </c>
      <c r="S105" s="28" t="s">
        <v>21</v>
      </c>
      <c r="T105" s="46"/>
      <c r="U105" s="28" t="s">
        <v>31</v>
      </c>
    </row>
    <row r="106" spans="1:21" s="27" customFormat="1" ht="14.25" customHeight="1" x14ac:dyDescent="0.25">
      <c r="A106" s="28" t="s">
        <v>21</v>
      </c>
      <c r="B106" s="28" t="s">
        <v>21</v>
      </c>
      <c r="C106" s="28" t="s">
        <v>21</v>
      </c>
      <c r="D106" s="31">
        <v>1</v>
      </c>
      <c r="E106" s="71"/>
      <c r="F106" s="31"/>
      <c r="G106" s="32">
        <v>1.8560000000000001</v>
      </c>
      <c r="H106" s="32"/>
      <c r="I106" s="32"/>
      <c r="J106" s="33" t="str">
        <f t="shared" si="9"/>
        <v/>
      </c>
      <c r="K106" s="34"/>
      <c r="L106" s="35"/>
      <c r="M106" s="36" t="str">
        <f t="shared" si="10"/>
        <v/>
      </c>
      <c r="N106" s="37"/>
      <c r="O106" s="29"/>
      <c r="P106" s="38"/>
      <c r="Q106" s="28"/>
      <c r="R106" s="28" t="s">
        <v>2081</v>
      </c>
      <c r="S106" s="28" t="s">
        <v>21</v>
      </c>
      <c r="T106" s="46"/>
      <c r="U106" s="28" t="s">
        <v>31</v>
      </c>
    </row>
    <row r="107" spans="1:21" s="27" customFormat="1" x14ac:dyDescent="0.25">
      <c r="A107" s="28" t="s">
        <v>2094</v>
      </c>
      <c r="B107" s="28" t="s">
        <v>2095</v>
      </c>
      <c r="C107" s="28">
        <v>698231</v>
      </c>
      <c r="D107" s="31">
        <v>1</v>
      </c>
      <c r="E107" s="71">
        <v>60</v>
      </c>
      <c r="F107" s="31">
        <v>185</v>
      </c>
      <c r="G107" s="32"/>
      <c r="H107" s="32">
        <v>1.853</v>
      </c>
      <c r="I107" s="32">
        <v>1.8460000000000001</v>
      </c>
      <c r="J107" s="33">
        <f t="shared" ref="J107:J126" si="11">IF(O107&lt;&gt;"",(H107-I107)/O107,"")</f>
        <v>6.9999999999998952E-3</v>
      </c>
      <c r="K107" s="34" t="str">
        <f t="shared" ref="K107:K126" si="12">IF(J107=0,"",IF(OR(J107&lt;0,J107&gt;0.03),"X",""))</f>
        <v/>
      </c>
      <c r="L107" s="35">
        <f t="shared" ref="L107:L126" si="13">F107/(O107*P107)</f>
        <v>7.4</v>
      </c>
      <c r="M107" s="36" t="str">
        <f t="shared" ref="M107:M126" si="14">IF(L107=0,"",IF(OR(L107&lt;7,L107&gt;7.8),"X",""))</f>
        <v/>
      </c>
      <c r="N107" s="37" t="s">
        <v>16</v>
      </c>
      <c r="O107" s="29">
        <v>1</v>
      </c>
      <c r="P107" s="38">
        <v>25</v>
      </c>
      <c r="Q107" s="28"/>
      <c r="R107" s="28" t="s">
        <v>2115</v>
      </c>
      <c r="S107" s="71" t="s">
        <v>103</v>
      </c>
      <c r="T107" s="28"/>
      <c r="U107" s="28" t="s">
        <v>31</v>
      </c>
    </row>
    <row r="108" spans="1:21" s="27" customFormat="1" x14ac:dyDescent="0.25">
      <c r="A108" s="28" t="s">
        <v>21</v>
      </c>
      <c r="B108" s="28" t="s">
        <v>2096</v>
      </c>
      <c r="C108" s="28" t="s">
        <v>21</v>
      </c>
      <c r="D108" s="31">
        <v>1</v>
      </c>
      <c r="E108" s="71">
        <v>52</v>
      </c>
      <c r="F108" s="31">
        <v>186</v>
      </c>
      <c r="G108" s="32"/>
      <c r="H108" s="32">
        <v>1.8640000000000001</v>
      </c>
      <c r="I108" s="32">
        <v>1.857</v>
      </c>
      <c r="J108" s="33">
        <f t="shared" si="11"/>
        <v>7.0000000000001172E-3</v>
      </c>
      <c r="K108" s="34" t="str">
        <f t="shared" si="12"/>
        <v/>
      </c>
      <c r="L108" s="35">
        <f t="shared" si="13"/>
        <v>7.44</v>
      </c>
      <c r="M108" s="36" t="str">
        <f t="shared" si="14"/>
        <v/>
      </c>
      <c r="N108" s="37" t="s">
        <v>16</v>
      </c>
      <c r="O108" s="29">
        <v>1</v>
      </c>
      <c r="P108" s="38">
        <v>25</v>
      </c>
      <c r="Q108" s="28"/>
      <c r="R108" s="28" t="s">
        <v>2117</v>
      </c>
      <c r="S108" s="71" t="s">
        <v>59</v>
      </c>
      <c r="T108" s="28"/>
      <c r="U108" s="28" t="s">
        <v>31</v>
      </c>
    </row>
    <row r="109" spans="1:21" s="27" customFormat="1" x14ac:dyDescent="0.25">
      <c r="A109" s="28" t="s">
        <v>21</v>
      </c>
      <c r="B109" s="28" t="s">
        <v>2097</v>
      </c>
      <c r="C109" s="28" t="s">
        <v>21</v>
      </c>
      <c r="D109" s="31">
        <v>1</v>
      </c>
      <c r="E109" s="71">
        <v>50</v>
      </c>
      <c r="F109" s="31">
        <v>186</v>
      </c>
      <c r="G109" s="32"/>
      <c r="H109" s="32">
        <v>1.847</v>
      </c>
      <c r="I109" s="32">
        <v>1.839</v>
      </c>
      <c r="J109" s="33">
        <f t="shared" si="11"/>
        <v>8.0000000000000071E-3</v>
      </c>
      <c r="K109" s="34" t="str">
        <f t="shared" si="12"/>
        <v/>
      </c>
      <c r="L109" s="35">
        <f t="shared" si="13"/>
        <v>7.44</v>
      </c>
      <c r="M109" s="36" t="str">
        <f t="shared" si="14"/>
        <v/>
      </c>
      <c r="N109" s="37" t="s">
        <v>16</v>
      </c>
      <c r="O109" s="29">
        <v>1</v>
      </c>
      <c r="P109" s="38">
        <v>25</v>
      </c>
      <c r="Q109" s="28"/>
      <c r="R109" s="28" t="s">
        <v>2119</v>
      </c>
      <c r="S109" s="28" t="s">
        <v>21</v>
      </c>
      <c r="T109" s="28"/>
      <c r="U109" s="28" t="s">
        <v>31</v>
      </c>
    </row>
    <row r="110" spans="1:21" s="27" customFormat="1" x14ac:dyDescent="0.25">
      <c r="A110" s="28" t="s">
        <v>21</v>
      </c>
      <c r="B110" s="28" t="s">
        <v>2098</v>
      </c>
      <c r="C110" s="28" t="s">
        <v>21</v>
      </c>
      <c r="D110" s="31">
        <v>1</v>
      </c>
      <c r="E110" s="71">
        <v>45</v>
      </c>
      <c r="F110" s="31">
        <v>186</v>
      </c>
      <c r="G110" s="32"/>
      <c r="H110" s="32">
        <v>1.845</v>
      </c>
      <c r="I110" s="32">
        <v>1.8360000000000001</v>
      </c>
      <c r="J110" s="33">
        <f t="shared" si="11"/>
        <v>8.999999999999897E-3</v>
      </c>
      <c r="K110" s="34" t="str">
        <f t="shared" si="12"/>
        <v/>
      </c>
      <c r="L110" s="35">
        <f t="shared" si="13"/>
        <v>7.44</v>
      </c>
      <c r="M110" s="36" t="str">
        <f t="shared" si="14"/>
        <v/>
      </c>
      <c r="N110" s="37" t="s">
        <v>16</v>
      </c>
      <c r="O110" s="29">
        <v>1</v>
      </c>
      <c r="P110" s="38">
        <v>25</v>
      </c>
      <c r="Q110" s="28"/>
      <c r="R110" s="28" t="s">
        <v>2121</v>
      </c>
      <c r="S110" s="28" t="s">
        <v>21</v>
      </c>
      <c r="T110" s="28"/>
      <c r="U110" s="28" t="s">
        <v>31</v>
      </c>
    </row>
    <row r="111" spans="1:21" s="27" customFormat="1" x14ac:dyDescent="0.25">
      <c r="A111" s="28" t="s">
        <v>21</v>
      </c>
      <c r="B111" s="28" t="s">
        <v>2099</v>
      </c>
      <c r="C111" s="28" t="s">
        <v>21</v>
      </c>
      <c r="D111" s="31">
        <v>1</v>
      </c>
      <c r="E111" s="71">
        <v>44</v>
      </c>
      <c r="F111" s="31">
        <v>187</v>
      </c>
      <c r="G111" s="32"/>
      <c r="H111" s="32">
        <v>1.8380000000000001</v>
      </c>
      <c r="I111" s="32">
        <v>1.829</v>
      </c>
      <c r="J111" s="33">
        <f t="shared" si="11"/>
        <v>9.000000000000119E-3</v>
      </c>
      <c r="K111" s="34" t="str">
        <f t="shared" si="12"/>
        <v/>
      </c>
      <c r="L111" s="35">
        <f t="shared" si="13"/>
        <v>7.48</v>
      </c>
      <c r="M111" s="36" t="str">
        <f t="shared" si="14"/>
        <v/>
      </c>
      <c r="N111" s="37" t="s">
        <v>16</v>
      </c>
      <c r="O111" s="29">
        <v>1</v>
      </c>
      <c r="P111" s="38">
        <v>25</v>
      </c>
      <c r="Q111" s="28"/>
      <c r="R111" s="28" t="s">
        <v>2118</v>
      </c>
      <c r="S111" s="28" t="s">
        <v>21</v>
      </c>
      <c r="T111" s="28"/>
      <c r="U111" s="28" t="s">
        <v>31</v>
      </c>
    </row>
    <row r="112" spans="1:21" s="27" customFormat="1" x14ac:dyDescent="0.25">
      <c r="A112" s="28" t="s">
        <v>21</v>
      </c>
      <c r="B112" s="28" t="s">
        <v>2100</v>
      </c>
      <c r="C112" s="28" t="s">
        <v>21</v>
      </c>
      <c r="D112" s="31">
        <v>1</v>
      </c>
      <c r="E112" s="73">
        <v>1</v>
      </c>
      <c r="F112" s="31">
        <v>185</v>
      </c>
      <c r="G112" s="32"/>
      <c r="H112" s="32">
        <v>1.87</v>
      </c>
      <c r="I112" s="32">
        <v>1.8620000000000001</v>
      </c>
      <c r="J112" s="33">
        <f t="shared" si="11"/>
        <v>8.0000000000000071E-3</v>
      </c>
      <c r="K112" s="34" t="str">
        <f t="shared" si="12"/>
        <v/>
      </c>
      <c r="L112" s="35">
        <f t="shared" si="13"/>
        <v>7.4</v>
      </c>
      <c r="M112" s="36" t="str">
        <f t="shared" si="14"/>
        <v/>
      </c>
      <c r="N112" s="37" t="s">
        <v>16</v>
      </c>
      <c r="O112" s="29">
        <v>1</v>
      </c>
      <c r="P112" s="38">
        <v>25</v>
      </c>
      <c r="Q112" s="28"/>
      <c r="R112" s="28" t="s">
        <v>2123</v>
      </c>
      <c r="S112" s="39"/>
      <c r="T112" s="28"/>
      <c r="U112" s="28" t="s">
        <v>31</v>
      </c>
    </row>
    <row r="113" spans="1:21" s="27" customFormat="1" x14ac:dyDescent="0.25">
      <c r="A113" s="28" t="s">
        <v>21</v>
      </c>
      <c r="B113" s="28" t="s">
        <v>2101</v>
      </c>
      <c r="C113" s="28" t="s">
        <v>21</v>
      </c>
      <c r="D113" s="31">
        <v>1</v>
      </c>
      <c r="E113" s="73">
        <v>17</v>
      </c>
      <c r="F113" s="31">
        <v>186</v>
      </c>
      <c r="G113" s="32"/>
      <c r="H113" s="32">
        <v>1.855</v>
      </c>
      <c r="I113" s="32">
        <v>1.847</v>
      </c>
      <c r="J113" s="33">
        <f t="shared" si="11"/>
        <v>8.0000000000000071E-3</v>
      </c>
      <c r="K113" s="34" t="str">
        <f t="shared" si="12"/>
        <v/>
      </c>
      <c r="L113" s="35">
        <f t="shared" si="13"/>
        <v>7.44</v>
      </c>
      <c r="M113" s="36" t="str">
        <f t="shared" si="14"/>
        <v/>
      </c>
      <c r="N113" s="37" t="s">
        <v>16</v>
      </c>
      <c r="O113" s="29">
        <v>1</v>
      </c>
      <c r="P113" s="38">
        <v>25</v>
      </c>
      <c r="Q113" s="28"/>
      <c r="R113" s="28" t="s">
        <v>2122</v>
      </c>
      <c r="S113" s="39"/>
      <c r="T113" s="28"/>
      <c r="U113" s="28" t="s">
        <v>31</v>
      </c>
    </row>
    <row r="114" spans="1:21" s="27" customFormat="1" x14ac:dyDescent="0.25">
      <c r="A114" s="28" t="s">
        <v>21</v>
      </c>
      <c r="B114" s="28" t="s">
        <v>2102</v>
      </c>
      <c r="C114" s="28" t="s">
        <v>21</v>
      </c>
      <c r="D114" s="31">
        <v>1</v>
      </c>
      <c r="E114" s="73">
        <v>27</v>
      </c>
      <c r="F114" s="31">
        <v>185</v>
      </c>
      <c r="G114" s="32"/>
      <c r="H114" s="32">
        <v>1.859</v>
      </c>
      <c r="I114" s="32">
        <v>1.8540000000000001</v>
      </c>
      <c r="J114" s="33">
        <f t="shared" si="11"/>
        <v>4.9999999999998934E-3</v>
      </c>
      <c r="K114" s="34" t="str">
        <f t="shared" si="12"/>
        <v/>
      </c>
      <c r="L114" s="35">
        <f t="shared" si="13"/>
        <v>7.4</v>
      </c>
      <c r="M114" s="36" t="str">
        <f t="shared" si="14"/>
        <v/>
      </c>
      <c r="N114" s="37" t="s">
        <v>16</v>
      </c>
      <c r="O114" s="29">
        <v>1</v>
      </c>
      <c r="P114" s="38">
        <v>25</v>
      </c>
      <c r="Q114" s="28"/>
      <c r="R114" s="28" t="s">
        <v>2120</v>
      </c>
      <c r="S114" s="39"/>
      <c r="T114" s="28"/>
      <c r="U114" s="28" t="s">
        <v>31</v>
      </c>
    </row>
    <row r="115" spans="1:21" s="27" customFormat="1" x14ac:dyDescent="0.25">
      <c r="A115" s="28" t="s">
        <v>21</v>
      </c>
      <c r="B115" s="28" t="s">
        <v>2103</v>
      </c>
      <c r="C115" s="28" t="s">
        <v>21</v>
      </c>
      <c r="D115" s="31">
        <v>1</v>
      </c>
      <c r="E115" s="73">
        <v>15</v>
      </c>
      <c r="F115" s="31">
        <v>185</v>
      </c>
      <c r="G115" s="32"/>
      <c r="H115" s="32">
        <v>1.8420000000000001</v>
      </c>
      <c r="I115" s="32">
        <v>1.833</v>
      </c>
      <c r="J115" s="33">
        <f t="shared" si="11"/>
        <v>9.000000000000119E-3</v>
      </c>
      <c r="K115" s="34" t="str">
        <f t="shared" si="12"/>
        <v/>
      </c>
      <c r="L115" s="35">
        <f t="shared" si="13"/>
        <v>7.4</v>
      </c>
      <c r="M115" s="36" t="str">
        <f t="shared" si="14"/>
        <v/>
      </c>
      <c r="N115" s="37" t="s">
        <v>16</v>
      </c>
      <c r="O115" s="29">
        <v>1</v>
      </c>
      <c r="P115" s="38">
        <v>25</v>
      </c>
      <c r="Q115" s="28"/>
      <c r="R115" s="28" t="s">
        <v>2125</v>
      </c>
      <c r="S115" s="39"/>
      <c r="T115" s="28"/>
      <c r="U115" s="28" t="s">
        <v>31</v>
      </c>
    </row>
    <row r="116" spans="1:21" s="27" customFormat="1" x14ac:dyDescent="0.25">
      <c r="A116" s="28" t="s">
        <v>21</v>
      </c>
      <c r="B116" s="28" t="s">
        <v>2104</v>
      </c>
      <c r="C116" s="28" t="s">
        <v>21</v>
      </c>
      <c r="D116" s="31">
        <v>1</v>
      </c>
      <c r="E116" s="73">
        <v>11</v>
      </c>
      <c r="F116" s="31">
        <v>186</v>
      </c>
      <c r="G116" s="32"/>
      <c r="H116" s="32">
        <v>1.841</v>
      </c>
      <c r="I116" s="32">
        <v>1.831</v>
      </c>
      <c r="J116" s="33">
        <f t="shared" si="11"/>
        <v>1.0000000000000009E-2</v>
      </c>
      <c r="K116" s="34" t="str">
        <f t="shared" si="12"/>
        <v/>
      </c>
      <c r="L116" s="35">
        <f t="shared" si="13"/>
        <v>7.44</v>
      </c>
      <c r="M116" s="36" t="str">
        <f t="shared" si="14"/>
        <v/>
      </c>
      <c r="N116" s="37" t="s">
        <v>16</v>
      </c>
      <c r="O116" s="29">
        <v>1</v>
      </c>
      <c r="P116" s="38">
        <v>25</v>
      </c>
      <c r="Q116" s="28"/>
      <c r="R116" s="28" t="s">
        <v>2127</v>
      </c>
      <c r="S116" s="39"/>
      <c r="T116" s="28"/>
      <c r="U116" s="28" t="s">
        <v>31</v>
      </c>
    </row>
    <row r="117" spans="1:21" s="27" customFormat="1" x14ac:dyDescent="0.25">
      <c r="A117" s="28" t="s">
        <v>21</v>
      </c>
      <c r="B117" s="28" t="s">
        <v>2105</v>
      </c>
      <c r="C117" s="28" t="s">
        <v>21</v>
      </c>
      <c r="D117" s="31">
        <v>1</v>
      </c>
      <c r="E117" s="73">
        <v>10</v>
      </c>
      <c r="F117" s="31">
        <v>187</v>
      </c>
      <c r="G117" s="32"/>
      <c r="H117" s="32">
        <v>1.855</v>
      </c>
      <c r="I117" s="32">
        <v>1.8480000000000001</v>
      </c>
      <c r="J117" s="33">
        <f t="shared" si="11"/>
        <v>6.9999999999998952E-3</v>
      </c>
      <c r="K117" s="34" t="str">
        <f t="shared" si="12"/>
        <v/>
      </c>
      <c r="L117" s="35">
        <f t="shared" si="13"/>
        <v>7.48</v>
      </c>
      <c r="M117" s="36" t="str">
        <f t="shared" si="14"/>
        <v/>
      </c>
      <c r="N117" s="37" t="s">
        <v>16</v>
      </c>
      <c r="O117" s="29">
        <v>1</v>
      </c>
      <c r="P117" s="38">
        <v>25</v>
      </c>
      <c r="Q117" s="28"/>
      <c r="R117" s="28" t="s">
        <v>2128</v>
      </c>
      <c r="S117" s="39"/>
      <c r="T117" s="28"/>
      <c r="U117" s="28" t="s">
        <v>31</v>
      </c>
    </row>
    <row r="118" spans="1:21" s="27" customFormat="1" x14ac:dyDescent="0.25">
      <c r="A118" s="28" t="s">
        <v>21</v>
      </c>
      <c r="B118" s="28" t="s">
        <v>2106</v>
      </c>
      <c r="C118" s="28" t="s">
        <v>21</v>
      </c>
      <c r="D118" s="31">
        <v>1</v>
      </c>
      <c r="E118" s="73">
        <v>5</v>
      </c>
      <c r="F118" s="31">
        <v>187</v>
      </c>
      <c r="G118" s="32"/>
      <c r="H118" s="32">
        <v>1.8580000000000001</v>
      </c>
      <c r="I118" s="32">
        <v>1.85</v>
      </c>
      <c r="J118" s="33">
        <f t="shared" si="11"/>
        <v>8.0000000000000071E-3</v>
      </c>
      <c r="K118" s="34" t="str">
        <f t="shared" si="12"/>
        <v/>
      </c>
      <c r="L118" s="35">
        <f t="shared" si="13"/>
        <v>7.48</v>
      </c>
      <c r="M118" s="36" t="str">
        <f t="shared" si="14"/>
        <v/>
      </c>
      <c r="N118" s="37" t="s">
        <v>16</v>
      </c>
      <c r="O118" s="29">
        <v>1</v>
      </c>
      <c r="P118" s="38">
        <v>25</v>
      </c>
      <c r="Q118" s="28"/>
      <c r="R118" s="28" t="s">
        <v>2124</v>
      </c>
      <c r="S118" s="39"/>
      <c r="T118" s="28"/>
      <c r="U118" s="28" t="s">
        <v>31</v>
      </c>
    </row>
    <row r="119" spans="1:21" s="27" customFormat="1" x14ac:dyDescent="0.25">
      <c r="A119" s="28" t="s">
        <v>21</v>
      </c>
      <c r="B119" s="28" t="s">
        <v>2107</v>
      </c>
      <c r="C119" s="28" t="s">
        <v>21</v>
      </c>
      <c r="D119" s="31">
        <v>1</v>
      </c>
      <c r="E119" s="73">
        <v>2</v>
      </c>
      <c r="F119" s="31">
        <v>186</v>
      </c>
      <c r="G119" s="32"/>
      <c r="H119" s="32">
        <v>1.857</v>
      </c>
      <c r="I119" s="32">
        <v>1.847</v>
      </c>
      <c r="J119" s="33">
        <f t="shared" si="11"/>
        <v>1.0000000000000009E-2</v>
      </c>
      <c r="K119" s="34" t="str">
        <f t="shared" si="12"/>
        <v/>
      </c>
      <c r="L119" s="35">
        <f t="shared" si="13"/>
        <v>7.44</v>
      </c>
      <c r="M119" s="36" t="str">
        <f t="shared" si="14"/>
        <v/>
      </c>
      <c r="N119" s="37" t="s">
        <v>16</v>
      </c>
      <c r="O119" s="29">
        <v>1</v>
      </c>
      <c r="P119" s="38">
        <v>25</v>
      </c>
      <c r="Q119" s="28"/>
      <c r="R119" s="28" t="s">
        <v>2129</v>
      </c>
      <c r="S119" s="39"/>
      <c r="T119" s="28"/>
      <c r="U119" s="28" t="s">
        <v>31</v>
      </c>
    </row>
    <row r="120" spans="1:21" s="27" customFormat="1" x14ac:dyDescent="0.25">
      <c r="A120" s="28" t="s">
        <v>21</v>
      </c>
      <c r="B120" s="28" t="s">
        <v>2108</v>
      </c>
      <c r="C120" s="28" t="s">
        <v>21</v>
      </c>
      <c r="D120" s="31">
        <v>1</v>
      </c>
      <c r="E120" s="73">
        <v>5</v>
      </c>
      <c r="F120" s="31">
        <v>185</v>
      </c>
      <c r="G120" s="32"/>
      <c r="H120" s="32">
        <v>1.8560000000000001</v>
      </c>
      <c r="I120" s="32">
        <v>1.8480000000000001</v>
      </c>
      <c r="J120" s="33">
        <f t="shared" si="11"/>
        <v>8.0000000000000071E-3</v>
      </c>
      <c r="K120" s="34" t="str">
        <f t="shared" si="12"/>
        <v/>
      </c>
      <c r="L120" s="35">
        <f t="shared" si="13"/>
        <v>7.4</v>
      </c>
      <c r="M120" s="36" t="str">
        <f t="shared" si="14"/>
        <v/>
      </c>
      <c r="N120" s="37" t="s">
        <v>16</v>
      </c>
      <c r="O120" s="29">
        <v>1</v>
      </c>
      <c r="P120" s="38">
        <v>25</v>
      </c>
      <c r="Q120" s="28"/>
      <c r="R120" s="28" t="s">
        <v>2116</v>
      </c>
      <c r="S120" s="39"/>
      <c r="T120" s="28"/>
      <c r="U120" s="28" t="s">
        <v>31</v>
      </c>
    </row>
    <row r="121" spans="1:21" s="27" customFormat="1" x14ac:dyDescent="0.25">
      <c r="A121" s="28" t="s">
        <v>21</v>
      </c>
      <c r="B121" s="28" t="s">
        <v>2109</v>
      </c>
      <c r="C121" s="28" t="s">
        <v>21</v>
      </c>
      <c r="D121" s="31">
        <v>1</v>
      </c>
      <c r="E121" s="73">
        <v>1</v>
      </c>
      <c r="F121" s="31">
        <v>187</v>
      </c>
      <c r="G121" s="32"/>
      <c r="H121" s="32">
        <v>1.845</v>
      </c>
      <c r="I121" s="32">
        <v>1.8340000000000001</v>
      </c>
      <c r="J121" s="33">
        <f t="shared" si="11"/>
        <v>1.0999999999999899E-2</v>
      </c>
      <c r="K121" s="34" t="str">
        <f t="shared" si="12"/>
        <v/>
      </c>
      <c r="L121" s="35">
        <f t="shared" si="13"/>
        <v>7.48</v>
      </c>
      <c r="M121" s="36" t="str">
        <f t="shared" si="14"/>
        <v/>
      </c>
      <c r="N121" s="37" t="s">
        <v>16</v>
      </c>
      <c r="O121" s="29">
        <v>1</v>
      </c>
      <c r="P121" s="38">
        <v>25</v>
      </c>
      <c r="Q121" s="28"/>
      <c r="R121" s="28" t="s">
        <v>2126</v>
      </c>
      <c r="S121" s="39"/>
      <c r="T121" s="28"/>
      <c r="U121" s="28" t="s">
        <v>31</v>
      </c>
    </row>
    <row r="122" spans="1:21" s="27" customFormat="1" x14ac:dyDescent="0.25">
      <c r="A122" s="28" t="s">
        <v>21</v>
      </c>
      <c r="B122" s="28" t="s">
        <v>2110</v>
      </c>
      <c r="C122" s="28" t="s">
        <v>21</v>
      </c>
      <c r="D122" s="31">
        <v>1</v>
      </c>
      <c r="E122" s="73">
        <v>1</v>
      </c>
      <c r="F122" s="31">
        <v>188</v>
      </c>
      <c r="G122" s="32"/>
      <c r="H122" s="32">
        <v>1.861</v>
      </c>
      <c r="I122" s="32">
        <v>1.853</v>
      </c>
      <c r="J122" s="33">
        <f t="shared" si="11"/>
        <v>8.0000000000000071E-3</v>
      </c>
      <c r="K122" s="34" t="str">
        <f t="shared" si="12"/>
        <v/>
      </c>
      <c r="L122" s="35">
        <f t="shared" si="13"/>
        <v>7.52</v>
      </c>
      <c r="M122" s="36" t="str">
        <f t="shared" si="14"/>
        <v/>
      </c>
      <c r="N122" s="37" t="s">
        <v>16</v>
      </c>
      <c r="O122" s="29">
        <v>1</v>
      </c>
      <c r="P122" s="38">
        <v>25</v>
      </c>
      <c r="Q122" s="28"/>
      <c r="R122" s="28" t="s">
        <v>2130</v>
      </c>
      <c r="S122" s="39"/>
      <c r="T122" s="28"/>
      <c r="U122" s="28" t="s">
        <v>31</v>
      </c>
    </row>
    <row r="123" spans="1:21" s="27" customFormat="1" x14ac:dyDescent="0.25">
      <c r="A123" s="28" t="s">
        <v>21</v>
      </c>
      <c r="B123" s="28" t="s">
        <v>2111</v>
      </c>
      <c r="C123" s="28" t="s">
        <v>21</v>
      </c>
      <c r="D123" s="31">
        <v>1</v>
      </c>
      <c r="E123" s="73">
        <v>1</v>
      </c>
      <c r="F123" s="31">
        <v>186</v>
      </c>
      <c r="G123" s="32"/>
      <c r="H123" s="32">
        <v>1.867</v>
      </c>
      <c r="I123" s="32">
        <v>1.86</v>
      </c>
      <c r="J123" s="33">
        <f t="shared" si="11"/>
        <v>6.9999999999998952E-3</v>
      </c>
      <c r="K123" s="34" t="str">
        <f t="shared" si="12"/>
        <v/>
      </c>
      <c r="L123" s="35">
        <f t="shared" si="13"/>
        <v>7.44</v>
      </c>
      <c r="M123" s="36" t="str">
        <f t="shared" si="14"/>
        <v/>
      </c>
      <c r="N123" s="37" t="s">
        <v>16</v>
      </c>
      <c r="O123" s="29">
        <v>1</v>
      </c>
      <c r="P123" s="38">
        <v>25</v>
      </c>
      <c r="Q123" s="28"/>
      <c r="R123" s="28" t="s">
        <v>2131</v>
      </c>
      <c r="S123" s="39"/>
      <c r="T123" s="28"/>
      <c r="U123" s="28" t="s">
        <v>31</v>
      </c>
    </row>
    <row r="124" spans="1:21" s="27" customFormat="1" x14ac:dyDescent="0.25">
      <c r="A124" s="28" t="s">
        <v>21</v>
      </c>
      <c r="B124" s="28" t="s">
        <v>2112</v>
      </c>
      <c r="C124" s="28" t="s">
        <v>21</v>
      </c>
      <c r="D124" s="31">
        <v>1</v>
      </c>
      <c r="E124" s="73">
        <v>5</v>
      </c>
      <c r="F124" s="31">
        <v>188</v>
      </c>
      <c r="G124" s="32"/>
      <c r="H124" s="32">
        <v>1.829</v>
      </c>
      <c r="I124" s="32">
        <v>1.819</v>
      </c>
      <c r="J124" s="33">
        <f t="shared" si="11"/>
        <v>1.0000000000000009E-2</v>
      </c>
      <c r="K124" s="34" t="str">
        <f t="shared" si="12"/>
        <v/>
      </c>
      <c r="L124" s="35">
        <f t="shared" si="13"/>
        <v>7.52</v>
      </c>
      <c r="M124" s="36" t="str">
        <f t="shared" si="14"/>
        <v/>
      </c>
      <c r="N124" s="37" t="s">
        <v>16</v>
      </c>
      <c r="O124" s="29">
        <v>1</v>
      </c>
      <c r="P124" s="38">
        <v>25</v>
      </c>
      <c r="Q124" s="28"/>
      <c r="R124" s="28" t="s">
        <v>2133</v>
      </c>
      <c r="S124" s="39"/>
      <c r="T124" s="28"/>
      <c r="U124" s="28" t="s">
        <v>31</v>
      </c>
    </row>
    <row r="125" spans="1:21" s="27" customFormat="1" x14ac:dyDescent="0.25">
      <c r="A125" s="28" t="s">
        <v>21</v>
      </c>
      <c r="B125" s="28" t="s">
        <v>2113</v>
      </c>
      <c r="C125" s="28" t="s">
        <v>21</v>
      </c>
      <c r="D125" s="31">
        <v>1</v>
      </c>
      <c r="E125" s="73">
        <v>6</v>
      </c>
      <c r="F125" s="31">
        <v>188</v>
      </c>
      <c r="G125" s="32"/>
      <c r="H125" s="32">
        <v>1.845</v>
      </c>
      <c r="I125" s="32">
        <v>1.8360000000000001</v>
      </c>
      <c r="J125" s="33">
        <f t="shared" si="11"/>
        <v>8.999999999999897E-3</v>
      </c>
      <c r="K125" s="34" t="str">
        <f t="shared" si="12"/>
        <v/>
      </c>
      <c r="L125" s="35">
        <f t="shared" si="13"/>
        <v>7.52</v>
      </c>
      <c r="M125" s="36" t="str">
        <f t="shared" si="14"/>
        <v/>
      </c>
      <c r="N125" s="37" t="s">
        <v>16</v>
      </c>
      <c r="O125" s="29">
        <v>1</v>
      </c>
      <c r="P125" s="38">
        <v>25</v>
      </c>
      <c r="Q125" s="28"/>
      <c r="R125" s="28" t="s">
        <v>2132</v>
      </c>
      <c r="S125" s="39"/>
      <c r="T125" s="28"/>
      <c r="U125" s="28" t="s">
        <v>31</v>
      </c>
    </row>
    <row r="126" spans="1:21" s="27" customFormat="1" x14ac:dyDescent="0.25">
      <c r="A126" s="28" t="s">
        <v>21</v>
      </c>
      <c r="B126" s="28" t="s">
        <v>2114</v>
      </c>
      <c r="C126" s="28" t="s">
        <v>21</v>
      </c>
      <c r="D126" s="31">
        <v>1</v>
      </c>
      <c r="E126" s="73">
        <v>5</v>
      </c>
      <c r="F126" s="31">
        <v>189</v>
      </c>
      <c r="G126" s="32"/>
      <c r="H126" s="32">
        <v>1.845</v>
      </c>
      <c r="I126" s="32">
        <v>1.835</v>
      </c>
      <c r="J126" s="33">
        <f t="shared" si="11"/>
        <v>1.0000000000000009E-2</v>
      </c>
      <c r="K126" s="34" t="str">
        <f t="shared" si="12"/>
        <v/>
      </c>
      <c r="L126" s="35">
        <f t="shared" si="13"/>
        <v>7.56</v>
      </c>
      <c r="M126" s="36" t="str">
        <f t="shared" si="14"/>
        <v/>
      </c>
      <c r="N126" s="37" t="s">
        <v>16</v>
      </c>
      <c r="O126" s="29">
        <v>1</v>
      </c>
      <c r="P126" s="38">
        <v>25</v>
      </c>
      <c r="Q126" s="28"/>
      <c r="R126" s="28" t="s">
        <v>2134</v>
      </c>
      <c r="S126" s="39"/>
      <c r="T126" s="28"/>
      <c r="U126" s="28" t="s">
        <v>31</v>
      </c>
    </row>
    <row r="306" spans="1:21" ht="15.75" thickBot="1" x14ac:dyDescent="0.3"/>
    <row r="307" spans="1:21" s="27" customFormat="1" ht="15.75" thickBot="1" x14ac:dyDescent="0.3">
      <c r="A307" s="76" t="s">
        <v>30</v>
      </c>
      <c r="D307" s="56"/>
      <c r="E307" s="51"/>
      <c r="F307" s="50"/>
      <c r="G307" s="53"/>
      <c r="H307" s="53"/>
      <c r="I307" s="59"/>
      <c r="J307" s="60"/>
      <c r="K307" s="22"/>
      <c r="L307" s="61"/>
      <c r="M307" s="62"/>
      <c r="N307" s="63"/>
      <c r="O307" s="64"/>
      <c r="P307" s="65"/>
      <c r="Q307" s="58"/>
      <c r="R307" s="58"/>
      <c r="S307" s="58"/>
      <c r="T307" s="58"/>
      <c r="U307" s="58"/>
    </row>
    <row r="308" spans="1:21" s="27" customFormat="1" x14ac:dyDescent="0.25">
      <c r="A308" s="28" t="s">
        <v>2083</v>
      </c>
      <c r="B308" s="28" t="s">
        <v>2082</v>
      </c>
      <c r="C308" s="28"/>
      <c r="D308" s="31" t="s">
        <v>1550</v>
      </c>
      <c r="E308" s="73"/>
      <c r="F308" s="45"/>
      <c r="G308" s="32">
        <v>1.83</v>
      </c>
      <c r="H308" s="32">
        <v>22.16</v>
      </c>
      <c r="I308" s="32">
        <v>21.91</v>
      </c>
      <c r="J308" s="33">
        <f>IF(O308&lt;&gt;"",(H308-I308)/O308,"")</f>
        <v>2.0833333333333332E-2</v>
      </c>
      <c r="K308" s="34" t="str">
        <f t="shared" ref="K308" si="15">IF(J308=0,"",IF(OR(J308&lt;0,J308&gt;0.03),"X",""))</f>
        <v/>
      </c>
      <c r="L308" s="35">
        <f>F308/(O308*P308)</f>
        <v>0</v>
      </c>
      <c r="M308" s="36" t="str">
        <f>IF(L308=0,"",IF(OR(L308&lt;7,L308&gt;7.8),"X",""))</f>
        <v/>
      </c>
      <c r="N308" s="37" t="s">
        <v>26</v>
      </c>
      <c r="O308" s="29">
        <v>12</v>
      </c>
      <c r="P308" s="38">
        <v>40</v>
      </c>
      <c r="Q308" s="28"/>
      <c r="R308" s="28"/>
      <c r="S308" s="47"/>
      <c r="T308" s="28"/>
      <c r="U308" s="28" t="s">
        <v>31</v>
      </c>
    </row>
    <row r="309" spans="1:21" s="27" customFormat="1" x14ac:dyDescent="0.25">
      <c r="A309" s="28" t="s">
        <v>21</v>
      </c>
      <c r="B309" s="28" t="s">
        <v>21</v>
      </c>
      <c r="C309" s="28"/>
      <c r="D309" s="31"/>
      <c r="E309" s="73"/>
      <c r="F309" s="31"/>
      <c r="G309" s="32">
        <v>1.8480000000000001</v>
      </c>
      <c r="H309" s="32"/>
      <c r="I309" s="32"/>
      <c r="J309" s="33" t="str">
        <f t="shared" ref="J309:J319" si="16">IF(O309&lt;&gt;"",(H309-I309)/O309,"")</f>
        <v/>
      </c>
      <c r="K309" s="34"/>
      <c r="L309" s="35"/>
      <c r="M309" s="36" t="str">
        <f t="shared" ref="M309:M319" si="17">IF(L309=0,"",IF(OR(L309&lt;7.4,L309&gt;8),"X",""))</f>
        <v/>
      </c>
      <c r="N309" s="37"/>
      <c r="O309" s="29"/>
      <c r="P309" s="38"/>
      <c r="Q309" s="28"/>
      <c r="R309" s="28"/>
      <c r="S309" s="47"/>
      <c r="T309" s="28"/>
      <c r="U309" s="28" t="s">
        <v>31</v>
      </c>
    </row>
    <row r="310" spans="1:21" s="27" customFormat="1" x14ac:dyDescent="0.25">
      <c r="A310" s="28" t="s">
        <v>21</v>
      </c>
      <c r="B310" s="28" t="s">
        <v>21</v>
      </c>
      <c r="C310" s="28"/>
      <c r="D310" s="31"/>
      <c r="E310" s="73"/>
      <c r="F310" s="31"/>
      <c r="G310" s="32">
        <v>1.8420000000000001</v>
      </c>
      <c r="H310" s="32"/>
      <c r="I310" s="32"/>
      <c r="J310" s="33" t="str">
        <f t="shared" si="16"/>
        <v/>
      </c>
      <c r="K310" s="34"/>
      <c r="L310" s="35"/>
      <c r="M310" s="36" t="str">
        <f t="shared" si="17"/>
        <v/>
      </c>
      <c r="N310" s="37"/>
      <c r="O310" s="29"/>
      <c r="P310" s="38"/>
      <c r="Q310" s="28"/>
      <c r="R310" s="28"/>
      <c r="S310" s="47"/>
      <c r="T310" s="28"/>
      <c r="U310" s="28" t="s">
        <v>31</v>
      </c>
    </row>
    <row r="311" spans="1:21" s="27" customFormat="1" x14ac:dyDescent="0.25">
      <c r="A311" s="28" t="s">
        <v>21</v>
      </c>
      <c r="B311" s="28" t="s">
        <v>21</v>
      </c>
      <c r="C311" s="28"/>
      <c r="D311" s="31"/>
      <c r="E311" s="73"/>
      <c r="F311" s="31"/>
      <c r="G311" s="32">
        <v>1.857</v>
      </c>
      <c r="H311" s="32"/>
      <c r="I311" s="32"/>
      <c r="J311" s="33" t="str">
        <f t="shared" si="16"/>
        <v/>
      </c>
      <c r="K311" s="34"/>
      <c r="L311" s="35"/>
      <c r="M311" s="36" t="str">
        <f t="shared" si="17"/>
        <v/>
      </c>
      <c r="N311" s="37"/>
      <c r="O311" s="29"/>
      <c r="P311" s="38"/>
      <c r="Q311" s="28"/>
      <c r="R311" s="28"/>
      <c r="S311" s="47"/>
      <c r="T311" s="28"/>
      <c r="U311" s="28" t="s">
        <v>31</v>
      </c>
    </row>
    <row r="312" spans="1:21" s="27" customFormat="1" x14ac:dyDescent="0.25">
      <c r="A312" s="28" t="s">
        <v>21</v>
      </c>
      <c r="B312" s="28" t="s">
        <v>21</v>
      </c>
      <c r="C312" s="28"/>
      <c r="D312" s="31"/>
      <c r="E312" s="73"/>
      <c r="F312" s="31"/>
      <c r="G312" s="32">
        <v>1.845</v>
      </c>
      <c r="H312" s="32"/>
      <c r="I312" s="32"/>
      <c r="J312" s="33" t="str">
        <f t="shared" si="16"/>
        <v/>
      </c>
      <c r="K312" s="34"/>
      <c r="L312" s="35"/>
      <c r="M312" s="36" t="str">
        <f t="shared" si="17"/>
        <v/>
      </c>
      <c r="N312" s="37"/>
      <c r="O312" s="29"/>
      <c r="P312" s="38"/>
      <c r="Q312" s="28"/>
      <c r="R312" s="28"/>
      <c r="S312" s="47"/>
      <c r="T312" s="28"/>
      <c r="U312" s="28" t="s">
        <v>31</v>
      </c>
    </row>
    <row r="313" spans="1:21" s="27" customFormat="1" x14ac:dyDescent="0.25">
      <c r="A313" s="28" t="s">
        <v>21</v>
      </c>
      <c r="B313" s="28" t="s">
        <v>21</v>
      </c>
      <c r="C313" s="28"/>
      <c r="D313" s="31"/>
      <c r="E313" s="73"/>
      <c r="F313" s="31"/>
      <c r="G313" s="32">
        <v>1.84</v>
      </c>
      <c r="H313" s="32"/>
      <c r="I313" s="32"/>
      <c r="J313" s="33" t="str">
        <f t="shared" si="16"/>
        <v/>
      </c>
      <c r="K313" s="34"/>
      <c r="L313" s="35"/>
      <c r="M313" s="36" t="str">
        <f t="shared" si="17"/>
        <v/>
      </c>
      <c r="N313" s="37"/>
      <c r="O313" s="29"/>
      <c r="P313" s="38"/>
      <c r="Q313" s="28"/>
      <c r="R313" s="28"/>
      <c r="S313" s="47"/>
      <c r="T313" s="28"/>
      <c r="U313" s="28" t="s">
        <v>31</v>
      </c>
    </row>
    <row r="314" spans="1:21" s="27" customFormat="1" x14ac:dyDescent="0.25">
      <c r="A314" s="28" t="s">
        <v>21</v>
      </c>
      <c r="B314" s="28" t="s">
        <v>21</v>
      </c>
      <c r="C314" s="28"/>
      <c r="D314" s="31"/>
      <c r="E314" s="73"/>
      <c r="F314" s="31"/>
      <c r="G314" s="32">
        <v>1.8120000000000001</v>
      </c>
      <c r="H314" s="32"/>
      <c r="I314" s="32"/>
      <c r="J314" s="33" t="str">
        <f t="shared" si="16"/>
        <v/>
      </c>
      <c r="K314" s="34"/>
      <c r="L314" s="35"/>
      <c r="M314" s="36" t="str">
        <f t="shared" si="17"/>
        <v/>
      </c>
      <c r="N314" s="37"/>
      <c r="O314" s="29"/>
      <c r="P314" s="38"/>
      <c r="Q314" s="28"/>
      <c r="R314" s="28"/>
      <c r="S314" s="47"/>
      <c r="T314" s="28"/>
      <c r="U314" s="28" t="s">
        <v>31</v>
      </c>
    </row>
    <row r="315" spans="1:21" s="27" customFormat="1" x14ac:dyDescent="0.25">
      <c r="A315" s="28" t="s">
        <v>21</v>
      </c>
      <c r="B315" s="28" t="s">
        <v>21</v>
      </c>
      <c r="C315" s="28"/>
      <c r="D315" s="31"/>
      <c r="E315" s="73"/>
      <c r="F315" s="31"/>
      <c r="G315" s="32">
        <v>1.827</v>
      </c>
      <c r="H315" s="32"/>
      <c r="I315" s="32"/>
      <c r="J315" s="33" t="str">
        <f t="shared" si="16"/>
        <v/>
      </c>
      <c r="K315" s="34"/>
      <c r="L315" s="35"/>
      <c r="M315" s="36" t="str">
        <f t="shared" si="17"/>
        <v/>
      </c>
      <c r="N315" s="37"/>
      <c r="O315" s="29"/>
      <c r="P315" s="38"/>
      <c r="Q315" s="28"/>
      <c r="R315" s="28"/>
      <c r="S315" s="47"/>
      <c r="T315" s="28"/>
      <c r="U315" s="28" t="s">
        <v>31</v>
      </c>
    </row>
    <row r="316" spans="1:21" s="27" customFormat="1" x14ac:dyDescent="0.25">
      <c r="A316" s="28" t="s">
        <v>21</v>
      </c>
      <c r="B316" s="28" t="s">
        <v>21</v>
      </c>
      <c r="C316" s="28"/>
      <c r="D316" s="31"/>
      <c r="E316" s="73"/>
      <c r="F316" s="31"/>
      <c r="G316" s="32">
        <v>1.8440000000000001</v>
      </c>
      <c r="H316" s="32"/>
      <c r="I316" s="32"/>
      <c r="J316" s="33" t="str">
        <f t="shared" si="16"/>
        <v/>
      </c>
      <c r="K316" s="34"/>
      <c r="L316" s="35"/>
      <c r="M316" s="36" t="str">
        <f t="shared" si="17"/>
        <v/>
      </c>
      <c r="N316" s="37"/>
      <c r="O316" s="29"/>
      <c r="P316" s="38"/>
      <c r="Q316" s="28"/>
      <c r="R316" s="28"/>
      <c r="S316" s="47"/>
      <c r="T316" s="28"/>
      <c r="U316" s="28" t="s">
        <v>31</v>
      </c>
    </row>
    <row r="317" spans="1:21" s="27" customFormat="1" x14ac:dyDescent="0.25">
      <c r="A317" s="28" t="s">
        <v>21</v>
      </c>
      <c r="B317" s="28" t="s">
        <v>21</v>
      </c>
      <c r="C317" s="28"/>
      <c r="D317" s="31"/>
      <c r="E317" s="73"/>
      <c r="F317" s="31"/>
      <c r="G317" s="32">
        <v>1.8340000000000001</v>
      </c>
      <c r="H317" s="32"/>
      <c r="I317" s="32"/>
      <c r="J317" s="33" t="str">
        <f t="shared" si="16"/>
        <v/>
      </c>
      <c r="K317" s="34"/>
      <c r="L317" s="35"/>
      <c r="M317" s="36" t="str">
        <f t="shared" si="17"/>
        <v/>
      </c>
      <c r="N317" s="37"/>
      <c r="O317" s="29"/>
      <c r="P317" s="38"/>
      <c r="Q317" s="28"/>
      <c r="R317" s="28"/>
      <c r="S317" s="47"/>
      <c r="T317" s="28"/>
      <c r="U317" s="28" t="s">
        <v>31</v>
      </c>
    </row>
    <row r="318" spans="1:21" s="27" customFormat="1" x14ac:dyDescent="0.25">
      <c r="A318" s="28" t="s">
        <v>21</v>
      </c>
      <c r="B318" s="28" t="s">
        <v>21</v>
      </c>
      <c r="C318" s="28"/>
      <c r="D318" s="31"/>
      <c r="E318" s="73"/>
      <c r="F318" s="31"/>
      <c r="G318" s="32">
        <v>1.8240000000000001</v>
      </c>
      <c r="H318" s="32"/>
      <c r="I318" s="32"/>
      <c r="J318" s="33" t="str">
        <f t="shared" si="16"/>
        <v/>
      </c>
      <c r="K318" s="34"/>
      <c r="L318" s="35"/>
      <c r="M318" s="36" t="str">
        <f t="shared" si="17"/>
        <v/>
      </c>
      <c r="N318" s="37"/>
      <c r="O318" s="29"/>
      <c r="P318" s="38"/>
      <c r="Q318" s="28"/>
      <c r="R318" s="28"/>
      <c r="S318" s="47"/>
      <c r="T318" s="28"/>
      <c r="U318" s="28" t="s">
        <v>31</v>
      </c>
    </row>
    <row r="319" spans="1:21" s="27" customFormat="1" x14ac:dyDescent="0.25">
      <c r="A319" s="28" t="s">
        <v>21</v>
      </c>
      <c r="B319" s="28" t="s">
        <v>21</v>
      </c>
      <c r="C319" s="28"/>
      <c r="D319" s="31"/>
      <c r="E319" s="73"/>
      <c r="F319" s="31"/>
      <c r="G319" s="32">
        <v>1.994</v>
      </c>
      <c r="H319" s="32"/>
      <c r="I319" s="32"/>
      <c r="J319" s="33" t="str">
        <f t="shared" si="16"/>
        <v/>
      </c>
      <c r="K319" s="34"/>
      <c r="L319" s="35"/>
      <c r="M319" s="36" t="str">
        <f t="shared" si="17"/>
        <v/>
      </c>
      <c r="N319" s="37"/>
      <c r="O319" s="29"/>
      <c r="P319" s="38"/>
      <c r="Q319" s="28"/>
      <c r="R319" s="28"/>
      <c r="S319" s="47"/>
      <c r="T319" s="28"/>
      <c r="U319" s="28" t="s">
        <v>31</v>
      </c>
    </row>
    <row r="320" spans="1:21" s="27" customFormat="1" x14ac:dyDescent="0.25">
      <c r="A320" s="28" t="s">
        <v>21</v>
      </c>
      <c r="B320" s="28" t="s">
        <v>2084</v>
      </c>
      <c r="C320" s="28"/>
      <c r="D320" s="31" t="s">
        <v>1550</v>
      </c>
      <c r="E320" s="73"/>
      <c r="F320" s="45"/>
      <c r="G320" s="32">
        <v>1.94</v>
      </c>
      <c r="H320" s="32">
        <v>23.12</v>
      </c>
      <c r="I320" s="32">
        <v>22.12</v>
      </c>
      <c r="J320" s="33">
        <f>IF(O320&lt;&gt;"",(H320-I320)/O320,"")</f>
        <v>8.3333333333333329E-2</v>
      </c>
      <c r="K320" s="34" t="str">
        <f t="shared" ref="K320" si="18">IF(J320=0,"",IF(OR(J320&lt;0,J320&gt;0.03),"X",""))</f>
        <v>X</v>
      </c>
      <c r="L320" s="35">
        <f>F320/(O320*P320)</f>
        <v>0</v>
      </c>
      <c r="M320" s="36" t="str">
        <f>IF(L320=0,"",IF(OR(L320&lt;7,L320&gt;7.8),"X",""))</f>
        <v/>
      </c>
      <c r="N320" s="37" t="s">
        <v>26</v>
      </c>
      <c r="O320" s="29">
        <v>12</v>
      </c>
      <c r="P320" s="38">
        <v>40</v>
      </c>
      <c r="Q320" s="28"/>
      <c r="R320" s="28"/>
      <c r="S320" s="47"/>
      <c r="T320" s="28"/>
      <c r="U320" s="28" t="s">
        <v>31</v>
      </c>
    </row>
    <row r="321" spans="1:21" s="27" customFormat="1" x14ac:dyDescent="0.25">
      <c r="A321" s="28" t="s">
        <v>21</v>
      </c>
      <c r="B321" s="28" t="s">
        <v>21</v>
      </c>
      <c r="C321" s="28"/>
      <c r="D321" s="31"/>
      <c r="E321" s="73"/>
      <c r="F321" s="31"/>
      <c r="G321" s="32">
        <v>1.853</v>
      </c>
      <c r="H321" s="32"/>
      <c r="I321" s="32"/>
      <c r="J321" s="33" t="str">
        <f t="shared" ref="J321:J331" si="19">IF(O321&lt;&gt;"",(H321-I321)/O321,"")</f>
        <v/>
      </c>
      <c r="K321" s="34"/>
      <c r="L321" s="35"/>
      <c r="M321" s="36" t="str">
        <f t="shared" ref="M321:M331" si="20">IF(L321=0,"",IF(OR(L321&lt;7.4,L321&gt;8),"X",""))</f>
        <v/>
      </c>
      <c r="N321" s="37"/>
      <c r="O321" s="29"/>
      <c r="P321" s="38"/>
      <c r="Q321" s="28"/>
      <c r="R321" s="28"/>
      <c r="S321" s="47"/>
      <c r="T321" s="28"/>
      <c r="U321" s="28" t="s">
        <v>31</v>
      </c>
    </row>
    <row r="322" spans="1:21" s="27" customFormat="1" x14ac:dyDescent="0.25">
      <c r="A322" s="28" t="s">
        <v>21</v>
      </c>
      <c r="B322" s="28" t="s">
        <v>21</v>
      </c>
      <c r="C322" s="28"/>
      <c r="D322" s="31"/>
      <c r="E322" s="73"/>
      <c r="F322" s="31"/>
      <c r="G322" s="32">
        <v>1.867</v>
      </c>
      <c r="H322" s="32"/>
      <c r="I322" s="32"/>
      <c r="J322" s="33" t="str">
        <f t="shared" si="19"/>
        <v/>
      </c>
      <c r="K322" s="34"/>
      <c r="L322" s="35"/>
      <c r="M322" s="36" t="str">
        <f t="shared" si="20"/>
        <v/>
      </c>
      <c r="N322" s="37"/>
      <c r="O322" s="29"/>
      <c r="P322" s="38"/>
      <c r="Q322" s="28"/>
      <c r="R322" s="28"/>
      <c r="S322" s="47"/>
      <c r="T322" s="28"/>
      <c r="U322" s="28" t="s">
        <v>31</v>
      </c>
    </row>
    <row r="323" spans="1:21" s="27" customFormat="1" x14ac:dyDescent="0.25">
      <c r="A323" s="28" t="s">
        <v>21</v>
      </c>
      <c r="B323" s="28" t="s">
        <v>21</v>
      </c>
      <c r="C323" s="28"/>
      <c r="D323" s="31"/>
      <c r="E323" s="73"/>
      <c r="F323" s="31"/>
      <c r="G323" s="32">
        <v>1.855</v>
      </c>
      <c r="H323" s="32"/>
      <c r="I323" s="32"/>
      <c r="J323" s="33" t="str">
        <f t="shared" si="19"/>
        <v/>
      </c>
      <c r="K323" s="34"/>
      <c r="L323" s="35"/>
      <c r="M323" s="36" t="str">
        <f t="shared" si="20"/>
        <v/>
      </c>
      <c r="N323" s="37"/>
      <c r="O323" s="29"/>
      <c r="P323" s="38"/>
      <c r="Q323" s="28"/>
      <c r="R323" s="28"/>
      <c r="S323" s="47"/>
      <c r="T323" s="28"/>
      <c r="U323" s="28" t="s">
        <v>31</v>
      </c>
    </row>
    <row r="324" spans="1:21" s="27" customFormat="1" x14ac:dyDescent="0.25">
      <c r="A324" s="28" t="s">
        <v>21</v>
      </c>
      <c r="B324" s="28" t="s">
        <v>21</v>
      </c>
      <c r="C324" s="28"/>
      <c r="D324" s="31"/>
      <c r="E324" s="73"/>
      <c r="F324" s="31"/>
      <c r="G324" s="32">
        <v>1.8640000000000001</v>
      </c>
      <c r="H324" s="32"/>
      <c r="I324" s="32"/>
      <c r="J324" s="33" t="str">
        <f t="shared" si="19"/>
        <v/>
      </c>
      <c r="K324" s="34"/>
      <c r="L324" s="35"/>
      <c r="M324" s="36" t="str">
        <f t="shared" si="20"/>
        <v/>
      </c>
      <c r="N324" s="37"/>
      <c r="O324" s="29"/>
      <c r="P324" s="38"/>
      <c r="Q324" s="28"/>
      <c r="R324" s="28"/>
      <c r="S324" s="47"/>
      <c r="T324" s="28"/>
      <c r="U324" s="28" t="s">
        <v>31</v>
      </c>
    </row>
    <row r="325" spans="1:21" s="27" customFormat="1" x14ac:dyDescent="0.25">
      <c r="A325" s="28" t="s">
        <v>21</v>
      </c>
      <c r="B325" s="28" t="s">
        <v>21</v>
      </c>
      <c r="C325" s="28"/>
      <c r="D325" s="31"/>
      <c r="E325" s="73"/>
      <c r="F325" s="31"/>
      <c r="G325" s="32">
        <v>1.8660000000000001</v>
      </c>
      <c r="H325" s="32"/>
      <c r="I325" s="32"/>
      <c r="J325" s="33" t="str">
        <f t="shared" si="19"/>
        <v/>
      </c>
      <c r="K325" s="34"/>
      <c r="L325" s="35"/>
      <c r="M325" s="36" t="str">
        <f t="shared" si="20"/>
        <v/>
      </c>
      <c r="N325" s="37"/>
      <c r="O325" s="29"/>
      <c r="P325" s="38"/>
      <c r="Q325" s="28"/>
      <c r="R325" s="28"/>
      <c r="S325" s="47"/>
      <c r="T325" s="28"/>
      <c r="U325" s="28" t="s">
        <v>31</v>
      </c>
    </row>
    <row r="326" spans="1:21" s="27" customFormat="1" x14ac:dyDescent="0.25">
      <c r="A326" s="28" t="s">
        <v>21</v>
      </c>
      <c r="B326" s="28" t="s">
        <v>21</v>
      </c>
      <c r="C326" s="28"/>
      <c r="D326" s="31"/>
      <c r="E326" s="73"/>
      <c r="F326" s="31"/>
      <c r="G326" s="32">
        <v>1.863</v>
      </c>
      <c r="H326" s="32"/>
      <c r="I326" s="32"/>
      <c r="J326" s="33" t="str">
        <f t="shared" si="19"/>
        <v/>
      </c>
      <c r="K326" s="34"/>
      <c r="L326" s="35"/>
      <c r="M326" s="36" t="str">
        <f t="shared" si="20"/>
        <v/>
      </c>
      <c r="N326" s="37"/>
      <c r="O326" s="29"/>
      <c r="P326" s="38"/>
      <c r="Q326" s="28"/>
      <c r="R326" s="28"/>
      <c r="S326" s="47"/>
      <c r="T326" s="28"/>
      <c r="U326" s="28" t="s">
        <v>31</v>
      </c>
    </row>
    <row r="327" spans="1:21" s="27" customFormat="1" x14ac:dyDescent="0.25">
      <c r="A327" s="28" t="s">
        <v>21</v>
      </c>
      <c r="B327" s="28" t="s">
        <v>21</v>
      </c>
      <c r="C327" s="28"/>
      <c r="D327" s="31"/>
      <c r="E327" s="73"/>
      <c r="F327" s="31"/>
      <c r="G327" s="32">
        <v>1.9259999999999999</v>
      </c>
      <c r="H327" s="32"/>
      <c r="I327" s="32"/>
      <c r="J327" s="33" t="str">
        <f t="shared" si="19"/>
        <v/>
      </c>
      <c r="K327" s="34"/>
      <c r="L327" s="35"/>
      <c r="M327" s="36" t="str">
        <f t="shared" si="20"/>
        <v/>
      </c>
      <c r="N327" s="37"/>
      <c r="O327" s="29"/>
      <c r="P327" s="38"/>
      <c r="Q327" s="28"/>
      <c r="R327" s="28"/>
      <c r="S327" s="47"/>
      <c r="T327" s="28"/>
      <c r="U327" s="28" t="s">
        <v>31</v>
      </c>
    </row>
    <row r="328" spans="1:21" s="27" customFormat="1" x14ac:dyDescent="0.25">
      <c r="A328" s="28" t="s">
        <v>21</v>
      </c>
      <c r="B328" s="28" t="s">
        <v>21</v>
      </c>
      <c r="C328" s="28"/>
      <c r="D328" s="31"/>
      <c r="E328" s="73"/>
      <c r="F328" s="31"/>
      <c r="G328" s="32">
        <v>1.9239999999999999</v>
      </c>
      <c r="H328" s="32"/>
      <c r="I328" s="32"/>
      <c r="J328" s="33" t="str">
        <f t="shared" si="19"/>
        <v/>
      </c>
      <c r="K328" s="34"/>
      <c r="L328" s="35"/>
      <c r="M328" s="36" t="str">
        <f t="shared" si="20"/>
        <v/>
      </c>
      <c r="N328" s="37"/>
      <c r="O328" s="29"/>
      <c r="P328" s="38"/>
      <c r="Q328" s="28"/>
      <c r="R328" s="28"/>
      <c r="S328" s="47"/>
      <c r="T328" s="28"/>
      <c r="U328" s="28" t="s">
        <v>31</v>
      </c>
    </row>
    <row r="329" spans="1:21" s="27" customFormat="1" x14ac:dyDescent="0.25">
      <c r="A329" s="28" t="s">
        <v>21</v>
      </c>
      <c r="B329" s="28" t="s">
        <v>21</v>
      </c>
      <c r="C329" s="28"/>
      <c r="D329" s="31"/>
      <c r="E329" s="73"/>
      <c r="F329" s="31"/>
      <c r="G329" s="32">
        <v>1.9610000000000001</v>
      </c>
      <c r="H329" s="32"/>
      <c r="I329" s="32"/>
      <c r="J329" s="33" t="str">
        <f t="shared" si="19"/>
        <v/>
      </c>
      <c r="K329" s="34"/>
      <c r="L329" s="35"/>
      <c r="M329" s="36" t="str">
        <f t="shared" si="20"/>
        <v/>
      </c>
      <c r="N329" s="37"/>
      <c r="O329" s="29"/>
      <c r="P329" s="38"/>
      <c r="Q329" s="28"/>
      <c r="R329" s="28"/>
      <c r="S329" s="47"/>
      <c r="T329" s="28"/>
      <c r="U329" s="28" t="s">
        <v>31</v>
      </c>
    </row>
    <row r="330" spans="1:21" s="27" customFormat="1" x14ac:dyDescent="0.25">
      <c r="A330" s="28" t="s">
        <v>21</v>
      </c>
      <c r="B330" s="28" t="s">
        <v>21</v>
      </c>
      <c r="C330" s="28"/>
      <c r="D330" s="31"/>
      <c r="E330" s="73"/>
      <c r="F330" s="31"/>
      <c r="G330" s="32">
        <v>1.968</v>
      </c>
      <c r="H330" s="32"/>
      <c r="I330" s="32"/>
      <c r="J330" s="33" t="str">
        <f t="shared" si="19"/>
        <v/>
      </c>
      <c r="K330" s="34"/>
      <c r="L330" s="35"/>
      <c r="M330" s="36" t="str">
        <f t="shared" si="20"/>
        <v/>
      </c>
      <c r="N330" s="37"/>
      <c r="O330" s="29"/>
      <c r="P330" s="38"/>
      <c r="Q330" s="28"/>
      <c r="R330" s="28"/>
      <c r="S330" s="47"/>
      <c r="T330" s="28"/>
      <c r="U330" s="28" t="s">
        <v>31</v>
      </c>
    </row>
    <row r="331" spans="1:21" s="27" customFormat="1" x14ac:dyDescent="0.25">
      <c r="A331" s="28" t="s">
        <v>21</v>
      </c>
      <c r="B331" s="28" t="s">
        <v>21</v>
      </c>
      <c r="C331" s="28"/>
      <c r="D331" s="31"/>
      <c r="E331" s="73"/>
      <c r="F331" s="31"/>
      <c r="G331" s="32">
        <v>2.3050000000000002</v>
      </c>
      <c r="H331" s="32"/>
      <c r="I331" s="32"/>
      <c r="J331" s="33" t="str">
        <f t="shared" si="19"/>
        <v/>
      </c>
      <c r="K331" s="34"/>
      <c r="L331" s="35"/>
      <c r="M331" s="36" t="str">
        <f t="shared" si="20"/>
        <v/>
      </c>
      <c r="N331" s="37"/>
      <c r="O331" s="29"/>
      <c r="P331" s="38"/>
      <c r="Q331" s="28"/>
      <c r="R331" s="28"/>
      <c r="S331" s="47"/>
      <c r="T331" s="28"/>
      <c r="U331" s="28" t="s">
        <v>31</v>
      </c>
    </row>
    <row r="332" spans="1:21" s="27" customFormat="1" x14ac:dyDescent="0.25">
      <c r="A332" s="28" t="s">
        <v>21</v>
      </c>
      <c r="B332" s="28" t="s">
        <v>2085</v>
      </c>
      <c r="C332" s="28"/>
      <c r="D332" s="31" t="s">
        <v>1550</v>
      </c>
      <c r="E332" s="73"/>
      <c r="F332" s="45"/>
      <c r="G332" s="32">
        <v>2.3849999999999998</v>
      </c>
      <c r="H332" s="32">
        <v>23.37</v>
      </c>
      <c r="I332" s="32">
        <v>22.35</v>
      </c>
      <c r="J332" s="33">
        <f>IF(O332&lt;&gt;"",(H332-I332)/O332,"")</f>
        <v>8.4999999999999964E-2</v>
      </c>
      <c r="K332" s="34" t="str">
        <f t="shared" ref="K332" si="21">IF(J332=0,"",IF(OR(J332&lt;0,J332&gt;0.03),"X",""))</f>
        <v>X</v>
      </c>
      <c r="L332" s="35">
        <f>F332/(O332*P332)</f>
        <v>0</v>
      </c>
      <c r="M332" s="36" t="str">
        <f>IF(L332=0,"",IF(OR(L332&lt;7,L332&gt;7.8),"X",""))</f>
        <v/>
      </c>
      <c r="N332" s="37" t="s">
        <v>26</v>
      </c>
      <c r="O332" s="29">
        <v>12</v>
      </c>
      <c r="P332" s="38">
        <v>40</v>
      </c>
      <c r="Q332" s="28"/>
      <c r="R332" s="28"/>
      <c r="S332" s="47"/>
      <c r="T332" s="28"/>
      <c r="U332" s="28" t="s">
        <v>31</v>
      </c>
    </row>
    <row r="333" spans="1:21" s="27" customFormat="1" x14ac:dyDescent="0.25">
      <c r="A333" s="28" t="s">
        <v>21</v>
      </c>
      <c r="B333" s="28" t="s">
        <v>21</v>
      </c>
      <c r="C333" s="28"/>
      <c r="D333" s="31"/>
      <c r="E333" s="73"/>
      <c r="F333" s="31"/>
      <c r="G333" s="32">
        <v>1.976</v>
      </c>
      <c r="H333" s="32"/>
      <c r="I333" s="32"/>
      <c r="J333" s="33" t="str">
        <f t="shared" ref="J333:J343" si="22">IF(O333&lt;&gt;"",(H333-I333)/O333,"")</f>
        <v/>
      </c>
      <c r="K333" s="34"/>
      <c r="L333" s="35"/>
      <c r="M333" s="36" t="str">
        <f t="shared" ref="M333:M343" si="23">IF(L333=0,"",IF(OR(L333&lt;7.4,L333&gt;8),"X",""))</f>
        <v/>
      </c>
      <c r="N333" s="37"/>
      <c r="O333" s="29"/>
      <c r="P333" s="38"/>
      <c r="Q333" s="28"/>
      <c r="R333" s="28"/>
      <c r="S333" s="47"/>
      <c r="T333" s="28"/>
      <c r="U333" s="28" t="s">
        <v>31</v>
      </c>
    </row>
    <row r="334" spans="1:21" s="27" customFormat="1" x14ac:dyDescent="0.25">
      <c r="A334" s="28" t="s">
        <v>21</v>
      </c>
      <c r="B334" s="28" t="s">
        <v>21</v>
      </c>
      <c r="C334" s="28"/>
      <c r="D334" s="31"/>
      <c r="E334" s="73"/>
      <c r="F334" s="31"/>
      <c r="G334" s="32">
        <v>1.8640000000000001</v>
      </c>
      <c r="H334" s="32"/>
      <c r="I334" s="32"/>
      <c r="J334" s="33" t="str">
        <f t="shared" si="22"/>
        <v/>
      </c>
      <c r="K334" s="34"/>
      <c r="L334" s="35"/>
      <c r="M334" s="36" t="str">
        <f t="shared" si="23"/>
        <v/>
      </c>
      <c r="N334" s="37"/>
      <c r="O334" s="29"/>
      <c r="P334" s="38"/>
      <c r="Q334" s="28"/>
      <c r="R334" s="28"/>
      <c r="S334" s="47"/>
      <c r="T334" s="28"/>
      <c r="U334" s="28" t="s">
        <v>31</v>
      </c>
    </row>
    <row r="335" spans="1:21" s="27" customFormat="1" x14ac:dyDescent="0.25">
      <c r="A335" s="28" t="s">
        <v>21</v>
      </c>
      <c r="B335" s="28" t="s">
        <v>21</v>
      </c>
      <c r="C335" s="28"/>
      <c r="D335" s="31"/>
      <c r="E335" s="73"/>
      <c r="F335" s="31"/>
      <c r="G335" s="32">
        <v>1.9219999999999999</v>
      </c>
      <c r="H335" s="32"/>
      <c r="I335" s="32"/>
      <c r="J335" s="33" t="str">
        <f t="shared" si="22"/>
        <v/>
      </c>
      <c r="K335" s="34"/>
      <c r="L335" s="35"/>
      <c r="M335" s="36" t="str">
        <f t="shared" si="23"/>
        <v/>
      </c>
      <c r="N335" s="37"/>
      <c r="O335" s="29"/>
      <c r="P335" s="38"/>
      <c r="Q335" s="28"/>
      <c r="R335" s="28"/>
      <c r="S335" s="47"/>
      <c r="T335" s="28"/>
      <c r="U335" s="28" t="s">
        <v>31</v>
      </c>
    </row>
    <row r="336" spans="1:21" s="27" customFormat="1" x14ac:dyDescent="0.25">
      <c r="A336" s="28" t="s">
        <v>21</v>
      </c>
      <c r="B336" s="28" t="s">
        <v>21</v>
      </c>
      <c r="C336" s="28"/>
      <c r="D336" s="31"/>
      <c r="E336" s="73"/>
      <c r="F336" s="31"/>
      <c r="G336" s="32">
        <v>1.8480000000000001</v>
      </c>
      <c r="H336" s="32"/>
      <c r="I336" s="32"/>
      <c r="J336" s="33" t="str">
        <f t="shared" si="22"/>
        <v/>
      </c>
      <c r="K336" s="34"/>
      <c r="L336" s="35"/>
      <c r="M336" s="36" t="str">
        <f t="shared" si="23"/>
        <v/>
      </c>
      <c r="N336" s="37"/>
      <c r="O336" s="29"/>
      <c r="P336" s="38"/>
      <c r="Q336" s="28"/>
      <c r="R336" s="28"/>
      <c r="S336" s="47"/>
      <c r="T336" s="28"/>
      <c r="U336" s="28" t="s">
        <v>31</v>
      </c>
    </row>
    <row r="337" spans="1:21" s="27" customFormat="1" x14ac:dyDescent="0.25">
      <c r="A337" s="28" t="s">
        <v>21</v>
      </c>
      <c r="B337" s="28" t="s">
        <v>21</v>
      </c>
      <c r="C337" s="28"/>
      <c r="D337" s="31"/>
      <c r="E337" s="73"/>
      <c r="F337" s="31"/>
      <c r="G337" s="32">
        <v>1.871</v>
      </c>
      <c r="H337" s="32"/>
      <c r="I337" s="32"/>
      <c r="J337" s="33" t="str">
        <f t="shared" si="22"/>
        <v/>
      </c>
      <c r="K337" s="34"/>
      <c r="L337" s="35"/>
      <c r="M337" s="36" t="str">
        <f t="shared" si="23"/>
        <v/>
      </c>
      <c r="N337" s="37"/>
      <c r="O337" s="29"/>
      <c r="P337" s="38"/>
      <c r="Q337" s="28"/>
      <c r="R337" s="28"/>
      <c r="S337" s="47"/>
      <c r="T337" s="28"/>
      <c r="U337" s="28" t="s">
        <v>31</v>
      </c>
    </row>
    <row r="338" spans="1:21" s="27" customFormat="1" x14ac:dyDescent="0.25">
      <c r="A338" s="28" t="s">
        <v>21</v>
      </c>
      <c r="B338" s="28" t="s">
        <v>21</v>
      </c>
      <c r="C338" s="28"/>
      <c r="D338" s="31"/>
      <c r="E338" s="73"/>
      <c r="F338" s="31"/>
      <c r="G338" s="32">
        <v>1.859</v>
      </c>
      <c r="H338" s="32"/>
      <c r="I338" s="32"/>
      <c r="J338" s="33" t="str">
        <f t="shared" si="22"/>
        <v/>
      </c>
      <c r="K338" s="34"/>
      <c r="L338" s="35"/>
      <c r="M338" s="36" t="str">
        <f t="shared" si="23"/>
        <v/>
      </c>
      <c r="N338" s="37"/>
      <c r="O338" s="29"/>
      <c r="P338" s="38"/>
      <c r="Q338" s="28"/>
      <c r="R338" s="28"/>
      <c r="S338" s="47"/>
      <c r="T338" s="28"/>
      <c r="U338" s="28" t="s">
        <v>31</v>
      </c>
    </row>
    <row r="339" spans="1:21" s="27" customFormat="1" x14ac:dyDescent="0.25">
      <c r="A339" s="28" t="s">
        <v>21</v>
      </c>
      <c r="B339" s="28" t="s">
        <v>21</v>
      </c>
      <c r="C339" s="28"/>
      <c r="D339" s="31"/>
      <c r="E339" s="73"/>
      <c r="F339" s="31"/>
      <c r="G339" s="32">
        <v>1.875</v>
      </c>
      <c r="H339" s="32"/>
      <c r="I339" s="32"/>
      <c r="J339" s="33" t="str">
        <f t="shared" si="22"/>
        <v/>
      </c>
      <c r="K339" s="34"/>
      <c r="L339" s="35"/>
      <c r="M339" s="36" t="str">
        <f t="shared" si="23"/>
        <v/>
      </c>
      <c r="N339" s="37"/>
      <c r="O339" s="29"/>
      <c r="P339" s="38"/>
      <c r="Q339" s="28"/>
      <c r="R339" s="28"/>
      <c r="S339" s="47"/>
      <c r="T339" s="28"/>
      <c r="U339" s="28" t="s">
        <v>31</v>
      </c>
    </row>
    <row r="340" spans="1:21" s="27" customFormat="1" x14ac:dyDescent="0.25">
      <c r="A340" s="28" t="s">
        <v>21</v>
      </c>
      <c r="B340" s="28" t="s">
        <v>21</v>
      </c>
      <c r="C340" s="28"/>
      <c r="D340" s="31"/>
      <c r="E340" s="73"/>
      <c r="F340" s="31"/>
      <c r="G340" s="32">
        <v>1.964</v>
      </c>
      <c r="H340" s="32"/>
      <c r="I340" s="32"/>
      <c r="J340" s="33" t="str">
        <f t="shared" si="22"/>
        <v/>
      </c>
      <c r="K340" s="34"/>
      <c r="L340" s="35"/>
      <c r="M340" s="36" t="str">
        <f t="shared" si="23"/>
        <v/>
      </c>
      <c r="N340" s="37"/>
      <c r="O340" s="29"/>
      <c r="P340" s="38"/>
      <c r="Q340" s="28"/>
      <c r="R340" s="28"/>
      <c r="S340" s="47"/>
      <c r="T340" s="28"/>
      <c r="U340" s="28" t="s">
        <v>31</v>
      </c>
    </row>
    <row r="341" spans="1:21" s="27" customFormat="1" x14ac:dyDescent="0.25">
      <c r="A341" s="28" t="s">
        <v>21</v>
      </c>
      <c r="B341" s="28" t="s">
        <v>21</v>
      </c>
      <c r="C341" s="28"/>
      <c r="D341" s="31"/>
      <c r="E341" s="73"/>
      <c r="F341" s="31"/>
      <c r="G341" s="32">
        <v>1.9</v>
      </c>
      <c r="H341" s="32"/>
      <c r="I341" s="32"/>
      <c r="J341" s="33" t="str">
        <f t="shared" si="22"/>
        <v/>
      </c>
      <c r="K341" s="34"/>
      <c r="L341" s="35"/>
      <c r="M341" s="36" t="str">
        <f t="shared" si="23"/>
        <v/>
      </c>
      <c r="N341" s="37"/>
      <c r="O341" s="29"/>
      <c r="P341" s="38"/>
      <c r="Q341" s="28"/>
      <c r="R341" s="28"/>
      <c r="S341" s="47"/>
      <c r="T341" s="28"/>
      <c r="U341" s="28" t="s">
        <v>31</v>
      </c>
    </row>
    <row r="342" spans="1:21" s="27" customFormat="1" x14ac:dyDescent="0.25">
      <c r="A342" s="28" t="s">
        <v>21</v>
      </c>
      <c r="B342" s="28" t="s">
        <v>21</v>
      </c>
      <c r="C342" s="28"/>
      <c r="D342" s="31"/>
      <c r="E342" s="73"/>
      <c r="F342" s="31"/>
      <c r="G342" s="32">
        <v>1.8959999999999999</v>
      </c>
      <c r="H342" s="32"/>
      <c r="I342" s="32"/>
      <c r="J342" s="33" t="str">
        <f t="shared" si="22"/>
        <v/>
      </c>
      <c r="K342" s="34"/>
      <c r="L342" s="35"/>
      <c r="M342" s="36" t="str">
        <f t="shared" si="23"/>
        <v/>
      </c>
      <c r="N342" s="37"/>
      <c r="O342" s="29"/>
      <c r="P342" s="38"/>
      <c r="Q342" s="28"/>
      <c r="R342" s="28"/>
      <c r="S342" s="47"/>
      <c r="T342" s="28"/>
      <c r="U342" s="28" t="s">
        <v>31</v>
      </c>
    </row>
    <row r="343" spans="1:21" s="27" customFormat="1" x14ac:dyDescent="0.25">
      <c r="A343" s="28" t="s">
        <v>21</v>
      </c>
      <c r="B343" s="28" t="s">
        <v>21</v>
      </c>
      <c r="C343" s="28"/>
      <c r="D343" s="31"/>
      <c r="E343" s="73"/>
      <c r="F343" s="31"/>
      <c r="G343" s="32">
        <v>2.109</v>
      </c>
      <c r="H343" s="32"/>
      <c r="I343" s="32"/>
      <c r="J343" s="33" t="str">
        <f t="shared" si="22"/>
        <v/>
      </c>
      <c r="K343" s="34"/>
      <c r="L343" s="35"/>
      <c r="M343" s="36" t="str">
        <f t="shared" si="23"/>
        <v/>
      </c>
      <c r="N343" s="37"/>
      <c r="O343" s="29"/>
      <c r="P343" s="38"/>
      <c r="Q343" s="28"/>
      <c r="R343" s="28"/>
      <c r="S343" s="47"/>
      <c r="T343" s="28"/>
      <c r="U343" s="28" t="s">
        <v>31</v>
      </c>
    </row>
    <row r="344" spans="1:21" s="27" customFormat="1" x14ac:dyDescent="0.25">
      <c r="A344" s="28" t="s">
        <v>21</v>
      </c>
      <c r="B344" s="28" t="s">
        <v>2086</v>
      </c>
      <c r="C344" s="28"/>
      <c r="D344" s="31" t="s">
        <v>1550</v>
      </c>
      <c r="E344" s="73"/>
      <c r="F344" s="45"/>
      <c r="G344" s="32">
        <v>2.08</v>
      </c>
      <c r="H344" s="32">
        <v>22.72</v>
      </c>
      <c r="I344" s="32">
        <v>22.19</v>
      </c>
      <c r="J344" s="33">
        <f>IF(O344&lt;&gt;"",(H344-I344)/O344,"")</f>
        <v>4.4166666666666465E-2</v>
      </c>
      <c r="K344" s="34" t="str">
        <f t="shared" ref="K344" si="24">IF(J344=0,"",IF(OR(J344&lt;0,J344&gt;0.03),"X",""))</f>
        <v>X</v>
      </c>
      <c r="L344" s="35">
        <f>F344/(O344*P344)</f>
        <v>0</v>
      </c>
      <c r="M344" s="36" t="str">
        <f>IF(L344=0,"",IF(OR(L344&lt;7,L344&gt;7.8),"X",""))</f>
        <v/>
      </c>
      <c r="N344" s="37" t="s">
        <v>26</v>
      </c>
      <c r="O344" s="29">
        <v>12</v>
      </c>
      <c r="P344" s="38">
        <v>40</v>
      </c>
      <c r="Q344" s="28"/>
      <c r="R344" s="28"/>
      <c r="S344" s="47"/>
      <c r="T344" s="28"/>
      <c r="U344" s="28" t="s">
        <v>31</v>
      </c>
    </row>
    <row r="345" spans="1:21" s="27" customFormat="1" x14ac:dyDescent="0.25">
      <c r="A345" s="28" t="s">
        <v>21</v>
      </c>
      <c r="B345" s="28" t="s">
        <v>21</v>
      </c>
      <c r="C345" s="28"/>
      <c r="D345" s="31"/>
      <c r="E345" s="73"/>
      <c r="F345" s="31"/>
      <c r="G345" s="32">
        <v>1.883</v>
      </c>
      <c r="H345" s="32"/>
      <c r="I345" s="32"/>
      <c r="J345" s="33" t="str">
        <f t="shared" ref="J345:J355" si="25">IF(O345&lt;&gt;"",(H345-I345)/O345,"")</f>
        <v/>
      </c>
      <c r="K345" s="34"/>
      <c r="L345" s="35"/>
      <c r="M345" s="36" t="str">
        <f t="shared" ref="M345:M355" si="26">IF(L345=0,"",IF(OR(L345&lt;7.4,L345&gt;8),"X",""))</f>
        <v/>
      </c>
      <c r="N345" s="37"/>
      <c r="O345" s="29"/>
      <c r="P345" s="38"/>
      <c r="Q345" s="28"/>
      <c r="R345" s="28"/>
      <c r="S345" s="47"/>
      <c r="T345" s="28"/>
      <c r="U345" s="28" t="s">
        <v>31</v>
      </c>
    </row>
    <row r="346" spans="1:21" s="27" customFormat="1" x14ac:dyDescent="0.25">
      <c r="A346" s="28" t="s">
        <v>21</v>
      </c>
      <c r="B346" s="28" t="s">
        <v>21</v>
      </c>
      <c r="C346" s="28"/>
      <c r="D346" s="31"/>
      <c r="E346" s="73"/>
      <c r="F346" s="31"/>
      <c r="G346" s="32">
        <v>1.845</v>
      </c>
      <c r="H346" s="32"/>
      <c r="I346" s="32"/>
      <c r="J346" s="33" t="str">
        <f t="shared" si="25"/>
        <v/>
      </c>
      <c r="K346" s="34"/>
      <c r="L346" s="35"/>
      <c r="M346" s="36" t="str">
        <f t="shared" si="26"/>
        <v/>
      </c>
      <c r="N346" s="37"/>
      <c r="O346" s="29"/>
      <c r="P346" s="38"/>
      <c r="Q346" s="28"/>
      <c r="R346" s="28"/>
      <c r="S346" s="47"/>
      <c r="T346" s="28"/>
      <c r="U346" s="28" t="s">
        <v>31</v>
      </c>
    </row>
    <row r="347" spans="1:21" s="27" customFormat="1" x14ac:dyDescent="0.25">
      <c r="A347" s="28" t="s">
        <v>21</v>
      </c>
      <c r="B347" s="28" t="s">
        <v>21</v>
      </c>
      <c r="C347" s="28"/>
      <c r="D347" s="31"/>
      <c r="E347" s="73"/>
      <c r="F347" s="31"/>
      <c r="G347" s="32">
        <v>1.8680000000000001</v>
      </c>
      <c r="H347" s="32"/>
      <c r="I347" s="32"/>
      <c r="J347" s="33" t="str">
        <f t="shared" si="25"/>
        <v/>
      </c>
      <c r="K347" s="34"/>
      <c r="L347" s="35"/>
      <c r="M347" s="36" t="str">
        <f t="shared" si="26"/>
        <v/>
      </c>
      <c r="N347" s="37"/>
      <c r="O347" s="29"/>
      <c r="P347" s="38"/>
      <c r="Q347" s="28"/>
      <c r="R347" s="28"/>
      <c r="S347" s="47"/>
      <c r="T347" s="28"/>
      <c r="U347" s="28" t="s">
        <v>31</v>
      </c>
    </row>
    <row r="348" spans="1:21" s="27" customFormat="1" x14ac:dyDescent="0.25">
      <c r="A348" s="28" t="s">
        <v>21</v>
      </c>
      <c r="B348" s="28" t="s">
        <v>21</v>
      </c>
      <c r="C348" s="28"/>
      <c r="D348" s="31"/>
      <c r="E348" s="73"/>
      <c r="F348" s="31"/>
      <c r="G348" s="32">
        <v>1.8640000000000001</v>
      </c>
      <c r="H348" s="32"/>
      <c r="I348" s="32"/>
      <c r="J348" s="33" t="str">
        <f t="shared" si="25"/>
        <v/>
      </c>
      <c r="K348" s="34"/>
      <c r="L348" s="35"/>
      <c r="M348" s="36" t="str">
        <f t="shared" si="26"/>
        <v/>
      </c>
      <c r="N348" s="37"/>
      <c r="O348" s="29"/>
      <c r="P348" s="38"/>
      <c r="Q348" s="28"/>
      <c r="R348" s="28"/>
      <c r="S348" s="47"/>
      <c r="T348" s="28"/>
      <c r="U348" s="28" t="s">
        <v>31</v>
      </c>
    </row>
    <row r="349" spans="1:21" s="27" customFormat="1" x14ac:dyDescent="0.25">
      <c r="A349" s="28" t="s">
        <v>21</v>
      </c>
      <c r="B349" s="28" t="s">
        <v>21</v>
      </c>
      <c r="C349" s="28"/>
      <c r="D349" s="31"/>
      <c r="E349" s="73"/>
      <c r="F349" s="31"/>
      <c r="G349" s="32">
        <v>1.877</v>
      </c>
      <c r="H349" s="32"/>
      <c r="I349" s="32"/>
      <c r="J349" s="33" t="str">
        <f t="shared" si="25"/>
        <v/>
      </c>
      <c r="K349" s="34"/>
      <c r="L349" s="35"/>
      <c r="M349" s="36" t="str">
        <f t="shared" si="26"/>
        <v/>
      </c>
      <c r="N349" s="37"/>
      <c r="O349" s="29"/>
      <c r="P349" s="38"/>
      <c r="Q349" s="28"/>
      <c r="R349" s="28"/>
      <c r="S349" s="47"/>
      <c r="T349" s="28"/>
      <c r="U349" s="28" t="s">
        <v>31</v>
      </c>
    </row>
    <row r="350" spans="1:21" s="27" customFormat="1" x14ac:dyDescent="0.25">
      <c r="A350" s="28" t="s">
        <v>21</v>
      </c>
      <c r="B350" s="28" t="s">
        <v>21</v>
      </c>
      <c r="C350" s="28"/>
      <c r="D350" s="31"/>
      <c r="E350" s="73"/>
      <c r="F350" s="31"/>
      <c r="G350" s="32">
        <v>1.869</v>
      </c>
      <c r="H350" s="32"/>
      <c r="I350" s="32"/>
      <c r="J350" s="33" t="str">
        <f t="shared" si="25"/>
        <v/>
      </c>
      <c r="K350" s="34"/>
      <c r="L350" s="35"/>
      <c r="M350" s="36" t="str">
        <f t="shared" si="26"/>
        <v/>
      </c>
      <c r="N350" s="37"/>
      <c r="O350" s="29"/>
      <c r="P350" s="38"/>
      <c r="Q350" s="28"/>
      <c r="R350" s="28"/>
      <c r="S350" s="47"/>
      <c r="T350" s="28"/>
      <c r="U350" s="28" t="s">
        <v>31</v>
      </c>
    </row>
    <row r="351" spans="1:21" s="27" customFormat="1" x14ac:dyDescent="0.25">
      <c r="A351" s="28" t="s">
        <v>21</v>
      </c>
      <c r="B351" s="28" t="s">
        <v>21</v>
      </c>
      <c r="C351" s="28"/>
      <c r="D351" s="31"/>
      <c r="E351" s="73"/>
      <c r="F351" s="31"/>
      <c r="G351" s="32">
        <v>1.897</v>
      </c>
      <c r="H351" s="32"/>
      <c r="I351" s="32"/>
      <c r="J351" s="33" t="str">
        <f t="shared" si="25"/>
        <v/>
      </c>
      <c r="K351" s="34"/>
      <c r="L351" s="35"/>
      <c r="M351" s="36" t="str">
        <f t="shared" si="26"/>
        <v/>
      </c>
      <c r="N351" s="37"/>
      <c r="O351" s="29"/>
      <c r="P351" s="38"/>
      <c r="Q351" s="28"/>
      <c r="R351" s="28"/>
      <c r="S351" s="47"/>
      <c r="T351" s="28"/>
      <c r="U351" s="28" t="s">
        <v>31</v>
      </c>
    </row>
    <row r="352" spans="1:21" s="27" customFormat="1" x14ac:dyDescent="0.25">
      <c r="A352" s="28" t="s">
        <v>21</v>
      </c>
      <c r="B352" s="28" t="s">
        <v>21</v>
      </c>
      <c r="C352" s="28"/>
      <c r="D352" s="31"/>
      <c r="E352" s="73"/>
      <c r="F352" s="31"/>
      <c r="G352" s="32">
        <v>1.93</v>
      </c>
      <c r="H352" s="32"/>
      <c r="I352" s="32"/>
      <c r="J352" s="33" t="str">
        <f t="shared" si="25"/>
        <v/>
      </c>
      <c r="K352" s="34"/>
      <c r="L352" s="35"/>
      <c r="M352" s="36" t="str">
        <f t="shared" si="26"/>
        <v/>
      </c>
      <c r="N352" s="37"/>
      <c r="O352" s="29"/>
      <c r="P352" s="38"/>
      <c r="Q352" s="28"/>
      <c r="R352" s="28"/>
      <c r="S352" s="47"/>
      <c r="T352" s="28"/>
      <c r="U352" s="28" t="s">
        <v>31</v>
      </c>
    </row>
    <row r="353" spans="1:21" s="27" customFormat="1" x14ac:dyDescent="0.25">
      <c r="A353" s="28" t="s">
        <v>21</v>
      </c>
      <c r="B353" s="28" t="s">
        <v>21</v>
      </c>
      <c r="C353" s="28"/>
      <c r="D353" s="31"/>
      <c r="E353" s="73"/>
      <c r="F353" s="31"/>
      <c r="G353" s="32">
        <v>1.897</v>
      </c>
      <c r="H353" s="32"/>
      <c r="I353" s="32"/>
      <c r="J353" s="33" t="str">
        <f t="shared" si="25"/>
        <v/>
      </c>
      <c r="K353" s="34"/>
      <c r="L353" s="35"/>
      <c r="M353" s="36" t="str">
        <f t="shared" si="26"/>
        <v/>
      </c>
      <c r="N353" s="37"/>
      <c r="O353" s="29"/>
      <c r="P353" s="38"/>
      <c r="Q353" s="28"/>
      <c r="R353" s="28"/>
      <c r="S353" s="47"/>
      <c r="T353" s="28"/>
      <c r="U353" s="28" t="s">
        <v>31</v>
      </c>
    </row>
    <row r="354" spans="1:21" s="27" customFormat="1" x14ac:dyDescent="0.25">
      <c r="A354" s="28" t="s">
        <v>21</v>
      </c>
      <c r="B354" s="28" t="s">
        <v>21</v>
      </c>
      <c r="C354" s="28"/>
      <c r="D354" s="31"/>
      <c r="E354" s="73"/>
      <c r="F354" s="31"/>
      <c r="G354" s="32">
        <v>1.885</v>
      </c>
      <c r="H354" s="32"/>
      <c r="I354" s="32"/>
      <c r="J354" s="33" t="str">
        <f t="shared" si="25"/>
        <v/>
      </c>
      <c r="K354" s="34"/>
      <c r="L354" s="35"/>
      <c r="M354" s="36" t="str">
        <f t="shared" si="26"/>
        <v/>
      </c>
      <c r="N354" s="37"/>
      <c r="O354" s="29"/>
      <c r="P354" s="38"/>
      <c r="Q354" s="28"/>
      <c r="R354" s="28"/>
      <c r="S354" s="47"/>
      <c r="T354" s="28"/>
      <c r="U354" s="28" t="s">
        <v>31</v>
      </c>
    </row>
    <row r="355" spans="1:21" s="27" customFormat="1" x14ac:dyDescent="0.25">
      <c r="A355" s="28" t="s">
        <v>21</v>
      </c>
      <c r="B355" s="28" t="s">
        <v>21</v>
      </c>
      <c r="C355" s="28"/>
      <c r="D355" s="31"/>
      <c r="E355" s="73"/>
      <c r="F355" s="31"/>
      <c r="G355" s="32">
        <v>1.9470000000000001</v>
      </c>
      <c r="H355" s="32"/>
      <c r="I355" s="32"/>
      <c r="J355" s="33" t="str">
        <f t="shared" si="25"/>
        <v/>
      </c>
      <c r="K355" s="34"/>
      <c r="L355" s="35"/>
      <c r="M355" s="36" t="str">
        <f t="shared" si="26"/>
        <v/>
      </c>
      <c r="N355" s="37"/>
      <c r="O355" s="29"/>
      <c r="P355" s="38"/>
      <c r="Q355" s="28"/>
      <c r="R355" s="28"/>
      <c r="S355" s="47"/>
      <c r="T355" s="28"/>
      <c r="U355" s="28" t="s">
        <v>31</v>
      </c>
    </row>
    <row r="356" spans="1:21" s="27" customFormat="1" x14ac:dyDescent="0.25">
      <c r="A356" s="28" t="s">
        <v>21</v>
      </c>
      <c r="B356" s="28" t="s">
        <v>2087</v>
      </c>
      <c r="C356" s="28"/>
      <c r="D356" s="31" t="s">
        <v>1550</v>
      </c>
      <c r="E356" s="73"/>
      <c r="F356" s="45"/>
      <c r="G356" s="32">
        <v>2.0699999999999998</v>
      </c>
      <c r="H356" s="32">
        <v>24.58</v>
      </c>
      <c r="I356" s="32">
        <v>22.62</v>
      </c>
      <c r="J356" s="33">
        <f>IF(O356&lt;&gt;"",(H356-I356)/O356,"")</f>
        <v>0.16333333333333311</v>
      </c>
      <c r="K356" s="34" t="str">
        <f t="shared" ref="K356" si="27">IF(J356=0,"",IF(OR(J356&lt;0,J356&gt;0.03),"X",""))</f>
        <v>X</v>
      </c>
      <c r="L356" s="35">
        <f>F356/(O356*P356)</f>
        <v>0</v>
      </c>
      <c r="M356" s="36" t="str">
        <f>IF(L356=0,"",IF(OR(L356&lt;7,L356&gt;7.8),"X",""))</f>
        <v/>
      </c>
      <c r="N356" s="37" t="s">
        <v>26</v>
      </c>
      <c r="O356" s="29">
        <v>12</v>
      </c>
      <c r="P356" s="38">
        <v>40</v>
      </c>
      <c r="Q356" s="28"/>
      <c r="R356" s="28"/>
      <c r="S356" s="47"/>
      <c r="T356" s="28"/>
      <c r="U356" s="28" t="s">
        <v>31</v>
      </c>
    </row>
    <row r="357" spans="1:21" s="27" customFormat="1" x14ac:dyDescent="0.25">
      <c r="A357" s="28" t="s">
        <v>21</v>
      </c>
      <c r="B357" s="28" t="s">
        <v>21</v>
      </c>
      <c r="C357" s="28"/>
      <c r="D357" s="31"/>
      <c r="E357" s="73"/>
      <c r="F357" s="31"/>
      <c r="G357" s="32">
        <v>1.91</v>
      </c>
      <c r="H357" s="32"/>
      <c r="I357" s="32"/>
      <c r="J357" s="33" t="str">
        <f t="shared" ref="J357:J367" si="28">IF(O357&lt;&gt;"",(H357-I357)/O357,"")</f>
        <v/>
      </c>
      <c r="K357" s="34"/>
      <c r="L357" s="35"/>
      <c r="M357" s="36" t="str">
        <f t="shared" ref="M357:M367" si="29">IF(L357=0,"",IF(OR(L357&lt;7.4,L357&gt;8),"X",""))</f>
        <v/>
      </c>
      <c r="N357" s="37"/>
      <c r="O357" s="29"/>
      <c r="P357" s="38"/>
      <c r="Q357" s="28"/>
      <c r="R357" s="28"/>
      <c r="S357" s="47"/>
      <c r="T357" s="28"/>
      <c r="U357" s="28" t="s">
        <v>31</v>
      </c>
    </row>
    <row r="358" spans="1:21" s="27" customFormat="1" x14ac:dyDescent="0.25">
      <c r="A358" s="28" t="s">
        <v>21</v>
      </c>
      <c r="B358" s="28" t="s">
        <v>21</v>
      </c>
      <c r="C358" s="28"/>
      <c r="D358" s="31"/>
      <c r="E358" s="73"/>
      <c r="F358" s="31"/>
      <c r="G358" s="32">
        <v>1.9610000000000001</v>
      </c>
      <c r="H358" s="32"/>
      <c r="I358" s="32"/>
      <c r="J358" s="33" t="str">
        <f t="shared" si="28"/>
        <v/>
      </c>
      <c r="K358" s="34"/>
      <c r="L358" s="35"/>
      <c r="M358" s="36" t="str">
        <f t="shared" si="29"/>
        <v/>
      </c>
      <c r="N358" s="37"/>
      <c r="O358" s="29"/>
      <c r="P358" s="38"/>
      <c r="Q358" s="28"/>
      <c r="R358" s="28"/>
      <c r="S358" s="47"/>
      <c r="T358" s="28"/>
      <c r="U358" s="28" t="s">
        <v>31</v>
      </c>
    </row>
    <row r="359" spans="1:21" s="27" customFormat="1" x14ac:dyDescent="0.25">
      <c r="A359" s="28" t="s">
        <v>21</v>
      </c>
      <c r="B359" s="28" t="s">
        <v>21</v>
      </c>
      <c r="C359" s="28"/>
      <c r="D359" s="31"/>
      <c r="E359" s="73"/>
      <c r="F359" s="31"/>
      <c r="G359" s="32">
        <v>1.879</v>
      </c>
      <c r="H359" s="32"/>
      <c r="I359" s="32"/>
      <c r="J359" s="33" t="str">
        <f t="shared" si="28"/>
        <v/>
      </c>
      <c r="K359" s="34"/>
      <c r="L359" s="35"/>
      <c r="M359" s="36" t="str">
        <f t="shared" si="29"/>
        <v/>
      </c>
      <c r="N359" s="37"/>
      <c r="O359" s="29"/>
      <c r="P359" s="38"/>
      <c r="Q359" s="28"/>
      <c r="R359" s="28"/>
      <c r="S359" s="47"/>
      <c r="T359" s="28"/>
      <c r="U359" s="28" t="s">
        <v>31</v>
      </c>
    </row>
    <row r="360" spans="1:21" s="27" customFormat="1" x14ac:dyDescent="0.25">
      <c r="A360" s="28" t="s">
        <v>21</v>
      </c>
      <c r="B360" s="28" t="s">
        <v>21</v>
      </c>
      <c r="C360" s="28"/>
      <c r="D360" s="31"/>
      <c r="E360" s="73"/>
      <c r="F360" s="31"/>
      <c r="G360" s="32">
        <v>1.889</v>
      </c>
      <c r="H360" s="32"/>
      <c r="I360" s="32"/>
      <c r="J360" s="33" t="str">
        <f t="shared" si="28"/>
        <v/>
      </c>
      <c r="K360" s="34"/>
      <c r="L360" s="35"/>
      <c r="M360" s="36" t="str">
        <f t="shared" si="29"/>
        <v/>
      </c>
      <c r="N360" s="37"/>
      <c r="O360" s="29"/>
      <c r="P360" s="38"/>
      <c r="Q360" s="28"/>
      <c r="R360" s="28"/>
      <c r="S360" s="47"/>
      <c r="T360" s="28"/>
      <c r="U360" s="28" t="s">
        <v>31</v>
      </c>
    </row>
    <row r="361" spans="1:21" s="27" customFormat="1" x14ac:dyDescent="0.25">
      <c r="A361" s="28" t="s">
        <v>21</v>
      </c>
      <c r="B361" s="28" t="s">
        <v>21</v>
      </c>
      <c r="C361" s="28"/>
      <c r="D361" s="31"/>
      <c r="E361" s="73"/>
      <c r="F361" s="31"/>
      <c r="G361" s="32">
        <v>1.897</v>
      </c>
      <c r="H361" s="32"/>
      <c r="I361" s="32"/>
      <c r="J361" s="33" t="str">
        <f t="shared" si="28"/>
        <v/>
      </c>
      <c r="K361" s="34"/>
      <c r="L361" s="35"/>
      <c r="M361" s="36" t="str">
        <f t="shared" si="29"/>
        <v/>
      </c>
      <c r="N361" s="37"/>
      <c r="O361" s="29"/>
      <c r="P361" s="38"/>
      <c r="Q361" s="28"/>
      <c r="R361" s="28"/>
      <c r="S361" s="47"/>
      <c r="T361" s="28"/>
      <c r="U361" s="28" t="s">
        <v>31</v>
      </c>
    </row>
    <row r="362" spans="1:21" s="27" customFormat="1" x14ac:dyDescent="0.25">
      <c r="A362" s="28" t="s">
        <v>21</v>
      </c>
      <c r="B362" s="28" t="s">
        <v>21</v>
      </c>
      <c r="C362" s="28"/>
      <c r="D362" s="31"/>
      <c r="E362" s="73"/>
      <c r="F362" s="31"/>
      <c r="G362" s="32">
        <v>1.9319999999999999</v>
      </c>
      <c r="H362" s="32"/>
      <c r="I362" s="32"/>
      <c r="J362" s="33" t="str">
        <f t="shared" si="28"/>
        <v/>
      </c>
      <c r="K362" s="34"/>
      <c r="L362" s="35"/>
      <c r="M362" s="36" t="str">
        <f t="shared" si="29"/>
        <v/>
      </c>
      <c r="N362" s="37"/>
      <c r="O362" s="29"/>
      <c r="P362" s="38"/>
      <c r="Q362" s="28"/>
      <c r="R362" s="28"/>
      <c r="S362" s="47"/>
      <c r="T362" s="28"/>
      <c r="U362" s="28" t="s">
        <v>31</v>
      </c>
    </row>
    <row r="363" spans="1:21" s="27" customFormat="1" x14ac:dyDescent="0.25">
      <c r="A363" s="28" t="s">
        <v>21</v>
      </c>
      <c r="B363" s="28" t="s">
        <v>21</v>
      </c>
      <c r="C363" s="28"/>
      <c r="D363" s="31"/>
      <c r="E363" s="73"/>
      <c r="F363" s="31"/>
      <c r="G363" s="32">
        <v>2.0880000000000001</v>
      </c>
      <c r="H363" s="32"/>
      <c r="I363" s="32"/>
      <c r="J363" s="33" t="str">
        <f t="shared" si="28"/>
        <v/>
      </c>
      <c r="K363" s="34"/>
      <c r="L363" s="35"/>
      <c r="M363" s="36" t="str">
        <f t="shared" si="29"/>
        <v/>
      </c>
      <c r="N363" s="37"/>
      <c r="O363" s="29"/>
      <c r="P363" s="38"/>
      <c r="Q363" s="28"/>
      <c r="R363" s="28"/>
      <c r="S363" s="47"/>
      <c r="T363" s="28"/>
      <c r="U363" s="28" t="s">
        <v>31</v>
      </c>
    </row>
    <row r="364" spans="1:21" s="27" customFormat="1" x14ac:dyDescent="0.25">
      <c r="A364" s="28" t="s">
        <v>21</v>
      </c>
      <c r="B364" s="28" t="s">
        <v>21</v>
      </c>
      <c r="C364" s="28"/>
      <c r="D364" s="31"/>
      <c r="E364" s="73"/>
      <c r="F364" s="31"/>
      <c r="G364" s="32">
        <v>2.0150000000000001</v>
      </c>
      <c r="H364" s="32"/>
      <c r="I364" s="32"/>
      <c r="J364" s="33" t="str">
        <f t="shared" si="28"/>
        <v/>
      </c>
      <c r="K364" s="34"/>
      <c r="L364" s="35"/>
      <c r="M364" s="36" t="str">
        <f t="shared" si="29"/>
        <v/>
      </c>
      <c r="N364" s="37"/>
      <c r="O364" s="29"/>
      <c r="P364" s="38"/>
      <c r="Q364" s="28"/>
      <c r="R364" s="28"/>
      <c r="S364" s="47"/>
      <c r="T364" s="28"/>
      <c r="U364" s="28" t="s">
        <v>31</v>
      </c>
    </row>
    <row r="365" spans="1:21" s="27" customFormat="1" x14ac:dyDescent="0.25">
      <c r="A365" s="28" t="s">
        <v>21</v>
      </c>
      <c r="B365" s="28" t="s">
        <v>21</v>
      </c>
      <c r="C365" s="28"/>
      <c r="D365" s="31"/>
      <c r="E365" s="73"/>
      <c r="F365" s="31"/>
      <c r="G365" s="32">
        <v>2.0670000000000002</v>
      </c>
      <c r="H365" s="32"/>
      <c r="I365" s="32"/>
      <c r="J365" s="33" t="str">
        <f t="shared" si="28"/>
        <v/>
      </c>
      <c r="K365" s="34"/>
      <c r="L365" s="35"/>
      <c r="M365" s="36" t="str">
        <f t="shared" si="29"/>
        <v/>
      </c>
      <c r="N365" s="37"/>
      <c r="O365" s="29"/>
      <c r="P365" s="38"/>
      <c r="Q365" s="28"/>
      <c r="R365" s="28"/>
      <c r="S365" s="47"/>
      <c r="T365" s="28"/>
      <c r="U365" s="28" t="s">
        <v>31</v>
      </c>
    </row>
    <row r="366" spans="1:21" s="27" customFormat="1" x14ac:dyDescent="0.25">
      <c r="A366" s="28" t="s">
        <v>21</v>
      </c>
      <c r="B366" s="28" t="s">
        <v>21</v>
      </c>
      <c r="C366" s="28"/>
      <c r="D366" s="31"/>
      <c r="E366" s="73"/>
      <c r="F366" s="31"/>
      <c r="G366" s="32">
        <v>2.169</v>
      </c>
      <c r="H366" s="32"/>
      <c r="I366" s="32"/>
      <c r="J366" s="33" t="str">
        <f t="shared" si="28"/>
        <v/>
      </c>
      <c r="K366" s="34"/>
      <c r="L366" s="35"/>
      <c r="M366" s="36" t="str">
        <f t="shared" si="29"/>
        <v/>
      </c>
      <c r="N366" s="37"/>
      <c r="O366" s="29"/>
      <c r="P366" s="38"/>
      <c r="Q366" s="28"/>
      <c r="R366" s="28"/>
      <c r="S366" s="47"/>
      <c r="T366" s="28"/>
      <c r="U366" s="28" t="s">
        <v>31</v>
      </c>
    </row>
    <row r="367" spans="1:21" s="27" customFormat="1" x14ac:dyDescent="0.25">
      <c r="A367" s="28" t="s">
        <v>21</v>
      </c>
      <c r="B367" s="28" t="s">
        <v>21</v>
      </c>
      <c r="C367" s="28"/>
      <c r="D367" s="31"/>
      <c r="E367" s="73"/>
      <c r="F367" s="31"/>
      <c r="G367" s="32">
        <v>2.835</v>
      </c>
      <c r="H367" s="32"/>
      <c r="I367" s="32"/>
      <c r="J367" s="33" t="str">
        <f t="shared" si="28"/>
        <v/>
      </c>
      <c r="K367" s="34"/>
      <c r="L367" s="35"/>
      <c r="M367" s="36" t="str">
        <f t="shared" si="29"/>
        <v/>
      </c>
      <c r="N367" s="37"/>
      <c r="O367" s="29"/>
      <c r="P367" s="38"/>
      <c r="Q367" s="28"/>
      <c r="R367" s="28"/>
      <c r="S367" s="47"/>
      <c r="T367" s="28"/>
      <c r="U367" s="28" t="s">
        <v>31</v>
      </c>
    </row>
    <row r="368" spans="1:21" s="27" customFormat="1" x14ac:dyDescent="0.25">
      <c r="A368" s="28" t="s">
        <v>21</v>
      </c>
      <c r="B368" s="28" t="s">
        <v>2088</v>
      </c>
      <c r="C368" s="28"/>
      <c r="D368" s="31" t="s">
        <v>1550</v>
      </c>
      <c r="E368" s="73"/>
      <c r="F368" s="45"/>
      <c r="G368" s="32">
        <v>2.1040000000000001</v>
      </c>
      <c r="H368" s="32">
        <v>22.87</v>
      </c>
      <c r="I368" s="32">
        <v>21.45</v>
      </c>
      <c r="J368" s="33">
        <f>IF(O368&lt;&gt;"",(H368-I368)/O368,"")</f>
        <v>0.11833333333333347</v>
      </c>
      <c r="K368" s="34" t="str">
        <f t="shared" ref="K368" si="30">IF(J368=0,"",IF(OR(J368&lt;0,J368&gt;0.03),"X",""))</f>
        <v>X</v>
      </c>
      <c r="L368" s="35">
        <f>F368/(O368*P368)</f>
        <v>0</v>
      </c>
      <c r="M368" s="36" t="str">
        <f>IF(L368=0,"",IF(OR(L368&lt;7,L368&gt;7.8),"X",""))</f>
        <v/>
      </c>
      <c r="N368" s="37" t="s">
        <v>26</v>
      </c>
      <c r="O368" s="29">
        <v>12</v>
      </c>
      <c r="P368" s="38">
        <v>40</v>
      </c>
      <c r="Q368" s="28"/>
      <c r="R368" s="28"/>
      <c r="S368" s="47"/>
      <c r="T368" s="28"/>
      <c r="U368" s="28" t="s">
        <v>31</v>
      </c>
    </row>
    <row r="369" spans="1:21" s="27" customFormat="1" x14ac:dyDescent="0.25">
      <c r="A369" s="28" t="s">
        <v>21</v>
      </c>
      <c r="B369" s="28" t="s">
        <v>21</v>
      </c>
      <c r="C369" s="28"/>
      <c r="D369" s="31"/>
      <c r="E369" s="73"/>
      <c r="F369" s="31"/>
      <c r="G369" s="32">
        <v>1.927</v>
      </c>
      <c r="H369" s="32"/>
      <c r="I369" s="32"/>
      <c r="J369" s="33" t="str">
        <f t="shared" ref="J369:J379" si="31">IF(O369&lt;&gt;"",(H369-I369)/O369,"")</f>
        <v/>
      </c>
      <c r="K369" s="34"/>
      <c r="L369" s="35"/>
      <c r="M369" s="36" t="str">
        <f t="shared" ref="M369:M379" si="32">IF(L369=0,"",IF(OR(L369&lt;7.4,L369&gt;8),"X",""))</f>
        <v/>
      </c>
      <c r="N369" s="37"/>
      <c r="O369" s="29"/>
      <c r="P369" s="38"/>
      <c r="Q369" s="28"/>
      <c r="R369" s="28"/>
      <c r="S369" s="47"/>
      <c r="T369" s="28"/>
      <c r="U369" s="28" t="s">
        <v>31</v>
      </c>
    </row>
    <row r="370" spans="1:21" s="27" customFormat="1" x14ac:dyDescent="0.25">
      <c r="A370" s="28" t="s">
        <v>21</v>
      </c>
      <c r="B370" s="28" t="s">
        <v>21</v>
      </c>
      <c r="C370" s="28"/>
      <c r="D370" s="31"/>
      <c r="E370" s="73"/>
      <c r="F370" s="31"/>
      <c r="G370" s="32">
        <v>1.821</v>
      </c>
      <c r="H370" s="32"/>
      <c r="I370" s="32"/>
      <c r="J370" s="33" t="str">
        <f t="shared" si="31"/>
        <v/>
      </c>
      <c r="K370" s="34"/>
      <c r="L370" s="35"/>
      <c r="M370" s="36" t="str">
        <f t="shared" si="32"/>
        <v/>
      </c>
      <c r="N370" s="37"/>
      <c r="O370" s="29"/>
      <c r="P370" s="38"/>
      <c r="Q370" s="28"/>
      <c r="R370" s="28"/>
      <c r="S370" s="47"/>
      <c r="T370" s="28"/>
      <c r="U370" s="28" t="s">
        <v>31</v>
      </c>
    </row>
    <row r="371" spans="1:21" s="27" customFormat="1" x14ac:dyDescent="0.25">
      <c r="A371" s="28" t="s">
        <v>21</v>
      </c>
      <c r="B371" s="28" t="s">
        <v>21</v>
      </c>
      <c r="C371" s="28"/>
      <c r="D371" s="31"/>
      <c r="E371" s="73"/>
      <c r="F371" s="31"/>
      <c r="G371" s="32">
        <v>1.92</v>
      </c>
      <c r="H371" s="32"/>
      <c r="I371" s="32"/>
      <c r="J371" s="33" t="str">
        <f t="shared" si="31"/>
        <v/>
      </c>
      <c r="K371" s="34"/>
      <c r="L371" s="35"/>
      <c r="M371" s="36" t="str">
        <f t="shared" si="32"/>
        <v/>
      </c>
      <c r="N371" s="37"/>
      <c r="O371" s="29"/>
      <c r="P371" s="38"/>
      <c r="Q371" s="28"/>
      <c r="R371" s="28"/>
      <c r="S371" s="47"/>
      <c r="T371" s="28"/>
      <c r="U371" s="28" t="s">
        <v>31</v>
      </c>
    </row>
    <row r="372" spans="1:21" s="27" customFormat="1" x14ac:dyDescent="0.25">
      <c r="A372" s="28" t="s">
        <v>21</v>
      </c>
      <c r="B372" s="28" t="s">
        <v>21</v>
      </c>
      <c r="C372" s="28"/>
      <c r="D372" s="31"/>
      <c r="E372" s="73"/>
      <c r="F372" s="31"/>
      <c r="G372" s="32">
        <v>1.9790000000000001</v>
      </c>
      <c r="H372" s="32"/>
      <c r="I372" s="32"/>
      <c r="J372" s="33" t="str">
        <f t="shared" si="31"/>
        <v/>
      </c>
      <c r="K372" s="34"/>
      <c r="L372" s="35"/>
      <c r="M372" s="36" t="str">
        <f t="shared" si="32"/>
        <v/>
      </c>
      <c r="N372" s="37"/>
      <c r="O372" s="29"/>
      <c r="P372" s="38"/>
      <c r="Q372" s="28"/>
      <c r="R372" s="28"/>
      <c r="S372" s="47"/>
      <c r="T372" s="28"/>
      <c r="U372" s="28" t="s">
        <v>31</v>
      </c>
    </row>
    <row r="373" spans="1:21" s="27" customFormat="1" x14ac:dyDescent="0.25">
      <c r="A373" s="28" t="s">
        <v>21</v>
      </c>
      <c r="B373" s="28" t="s">
        <v>21</v>
      </c>
      <c r="C373" s="28"/>
      <c r="D373" s="31"/>
      <c r="E373" s="73"/>
      <c r="F373" s="31"/>
      <c r="G373" s="32">
        <v>1.9419999999999999</v>
      </c>
      <c r="H373" s="32"/>
      <c r="I373" s="32"/>
      <c r="J373" s="33" t="str">
        <f t="shared" si="31"/>
        <v/>
      </c>
      <c r="K373" s="34"/>
      <c r="L373" s="35"/>
      <c r="M373" s="36" t="str">
        <f t="shared" si="32"/>
        <v/>
      </c>
      <c r="N373" s="37"/>
      <c r="O373" s="29"/>
      <c r="P373" s="38"/>
      <c r="Q373" s="28"/>
      <c r="R373" s="28"/>
      <c r="S373" s="47"/>
      <c r="T373" s="28"/>
      <c r="U373" s="28" t="s">
        <v>31</v>
      </c>
    </row>
    <row r="374" spans="1:21" s="27" customFormat="1" x14ac:dyDescent="0.25">
      <c r="A374" s="28" t="s">
        <v>21</v>
      </c>
      <c r="B374" s="28" t="s">
        <v>21</v>
      </c>
      <c r="C374" s="28"/>
      <c r="D374" s="31"/>
      <c r="E374" s="73"/>
      <c r="F374" s="31"/>
      <c r="G374" s="32">
        <v>2.1619999999999999</v>
      </c>
      <c r="H374" s="32"/>
      <c r="I374" s="32"/>
      <c r="J374" s="33" t="str">
        <f t="shared" si="31"/>
        <v/>
      </c>
      <c r="K374" s="34"/>
      <c r="L374" s="35"/>
      <c r="M374" s="36" t="str">
        <f t="shared" si="32"/>
        <v/>
      </c>
      <c r="N374" s="37"/>
      <c r="O374" s="29"/>
      <c r="P374" s="38"/>
      <c r="Q374" s="28"/>
      <c r="R374" s="28"/>
      <c r="S374" s="47"/>
      <c r="T374" s="28"/>
      <c r="U374" s="28" t="s">
        <v>31</v>
      </c>
    </row>
    <row r="375" spans="1:21" s="27" customFormat="1" x14ac:dyDescent="0.25">
      <c r="A375" s="28" t="s">
        <v>21</v>
      </c>
      <c r="B375" s="28" t="s">
        <v>21</v>
      </c>
      <c r="C375" s="28"/>
      <c r="D375" s="31"/>
      <c r="E375" s="73"/>
      <c r="F375" s="31"/>
      <c r="G375" s="32">
        <v>1.835</v>
      </c>
      <c r="H375" s="32"/>
      <c r="I375" s="32"/>
      <c r="J375" s="33" t="str">
        <f t="shared" si="31"/>
        <v/>
      </c>
      <c r="K375" s="34"/>
      <c r="L375" s="35"/>
      <c r="M375" s="36" t="str">
        <f t="shared" si="32"/>
        <v/>
      </c>
      <c r="N375" s="37"/>
      <c r="O375" s="29"/>
      <c r="P375" s="38"/>
      <c r="Q375" s="28"/>
      <c r="R375" s="28"/>
      <c r="S375" s="47"/>
      <c r="T375" s="28"/>
      <c r="U375" s="28" t="s">
        <v>31</v>
      </c>
    </row>
    <row r="376" spans="1:21" s="27" customFormat="1" x14ac:dyDescent="0.25">
      <c r="A376" s="28" t="s">
        <v>21</v>
      </c>
      <c r="B376" s="28" t="s">
        <v>21</v>
      </c>
      <c r="C376" s="28"/>
      <c r="D376" s="31"/>
      <c r="E376" s="73"/>
      <c r="F376" s="31"/>
      <c r="G376" s="32">
        <v>1.8069999999999999</v>
      </c>
      <c r="H376" s="32"/>
      <c r="I376" s="32"/>
      <c r="J376" s="33" t="str">
        <f t="shared" si="31"/>
        <v/>
      </c>
      <c r="K376" s="34"/>
      <c r="L376" s="35"/>
      <c r="M376" s="36" t="str">
        <f t="shared" si="32"/>
        <v/>
      </c>
      <c r="N376" s="37"/>
      <c r="O376" s="29"/>
      <c r="P376" s="38"/>
      <c r="Q376" s="28"/>
      <c r="R376" s="28"/>
      <c r="S376" s="47"/>
      <c r="T376" s="28"/>
      <c r="U376" s="28" t="s">
        <v>31</v>
      </c>
    </row>
    <row r="377" spans="1:21" s="27" customFormat="1" x14ac:dyDescent="0.25">
      <c r="A377" s="28" t="s">
        <v>21</v>
      </c>
      <c r="B377" s="28" t="s">
        <v>21</v>
      </c>
      <c r="C377" s="28"/>
      <c r="D377" s="31"/>
      <c r="E377" s="73"/>
      <c r="F377" s="31"/>
      <c r="G377" s="32">
        <v>1.8340000000000001</v>
      </c>
      <c r="H377" s="32"/>
      <c r="I377" s="32"/>
      <c r="J377" s="33" t="str">
        <f t="shared" si="31"/>
        <v/>
      </c>
      <c r="K377" s="34"/>
      <c r="L377" s="35"/>
      <c r="M377" s="36" t="str">
        <f t="shared" si="32"/>
        <v/>
      </c>
      <c r="N377" s="37"/>
      <c r="O377" s="29"/>
      <c r="P377" s="38"/>
      <c r="Q377" s="28"/>
      <c r="R377" s="28"/>
      <c r="S377" s="47"/>
      <c r="T377" s="28"/>
      <c r="U377" s="28" t="s">
        <v>31</v>
      </c>
    </row>
    <row r="378" spans="1:21" s="27" customFormat="1" x14ac:dyDescent="0.25">
      <c r="A378" s="28" t="s">
        <v>21</v>
      </c>
      <c r="B378" s="28" t="s">
        <v>21</v>
      </c>
      <c r="C378" s="28"/>
      <c r="D378" s="31"/>
      <c r="E378" s="73"/>
      <c r="F378" s="31"/>
      <c r="G378" s="32">
        <v>1.81</v>
      </c>
      <c r="H378" s="32"/>
      <c r="I378" s="32"/>
      <c r="J378" s="33" t="str">
        <f t="shared" si="31"/>
        <v/>
      </c>
      <c r="K378" s="34"/>
      <c r="L378" s="35"/>
      <c r="M378" s="36" t="str">
        <f t="shared" si="32"/>
        <v/>
      </c>
      <c r="N378" s="37"/>
      <c r="O378" s="29"/>
      <c r="P378" s="38"/>
      <c r="Q378" s="28"/>
      <c r="R378" s="28"/>
      <c r="S378" s="47"/>
      <c r="T378" s="28"/>
      <c r="U378" s="28" t="s">
        <v>31</v>
      </c>
    </row>
    <row r="379" spans="1:21" s="27" customFormat="1" x14ac:dyDescent="0.25">
      <c r="A379" s="28" t="s">
        <v>21</v>
      </c>
      <c r="B379" s="28" t="s">
        <v>21</v>
      </c>
      <c r="C379" s="28"/>
      <c r="D379" s="31"/>
      <c r="E379" s="73"/>
      <c r="F379" s="31"/>
      <c r="G379" s="32">
        <v>1.84</v>
      </c>
      <c r="H379" s="32"/>
      <c r="I379" s="32"/>
      <c r="J379" s="33" t="str">
        <f t="shared" si="31"/>
        <v/>
      </c>
      <c r="K379" s="34"/>
      <c r="L379" s="35"/>
      <c r="M379" s="36" t="str">
        <f t="shared" si="32"/>
        <v/>
      </c>
      <c r="N379" s="37"/>
      <c r="O379" s="29"/>
      <c r="P379" s="38"/>
      <c r="Q379" s="28"/>
      <c r="R379" s="28"/>
      <c r="S379" s="47"/>
      <c r="T379" s="28"/>
      <c r="U379" s="28" t="s">
        <v>31</v>
      </c>
    </row>
    <row r="380" spans="1:21" s="27" customFormat="1" x14ac:dyDescent="0.25">
      <c r="A380" s="28" t="s">
        <v>21</v>
      </c>
      <c r="B380" s="28" t="s">
        <v>2092</v>
      </c>
      <c r="C380" s="28"/>
      <c r="D380" s="31"/>
      <c r="E380" s="73"/>
      <c r="F380" s="45"/>
      <c r="G380" s="32">
        <v>2.2400000000000002</v>
      </c>
      <c r="H380" s="32">
        <v>26.77</v>
      </c>
      <c r="I380" s="32">
        <v>24.2</v>
      </c>
      <c r="J380" s="33">
        <f>IF(O380&lt;&gt;"",(H380-I380)/O380,"")</f>
        <v>0.2141666666666667</v>
      </c>
      <c r="K380" s="34" t="str">
        <f t="shared" ref="K380" si="33">IF(J380=0,"",IF(OR(J380&lt;0,J380&gt;0.03),"X",""))</f>
        <v>X</v>
      </c>
      <c r="L380" s="35">
        <f>F380/(O380*P380)</f>
        <v>0</v>
      </c>
      <c r="M380" s="36" t="str">
        <f>IF(L380=0,"",IF(OR(L380&lt;7,L380&gt;7.8),"X",""))</f>
        <v/>
      </c>
      <c r="N380" s="37" t="s">
        <v>26</v>
      </c>
      <c r="O380" s="29">
        <v>12</v>
      </c>
      <c r="P380" s="38">
        <v>40</v>
      </c>
      <c r="Q380" s="28"/>
      <c r="R380" s="28" t="s">
        <v>2091</v>
      </c>
      <c r="S380" s="47"/>
      <c r="T380" s="28"/>
      <c r="U380" s="28" t="s">
        <v>31</v>
      </c>
    </row>
    <row r="381" spans="1:21" s="27" customFormat="1" x14ac:dyDescent="0.25">
      <c r="A381" s="28" t="s">
        <v>21</v>
      </c>
      <c r="B381" s="28" t="s">
        <v>21</v>
      </c>
      <c r="C381" s="28"/>
      <c r="D381" s="31"/>
      <c r="E381" s="73"/>
      <c r="F381" s="31"/>
      <c r="G381" s="32">
        <v>2.2370000000000001</v>
      </c>
      <c r="H381" s="32"/>
      <c r="I381" s="32"/>
      <c r="J381" s="33" t="str">
        <f t="shared" ref="J381:J391" si="34">IF(O381&lt;&gt;"",(H381-I381)/O381,"")</f>
        <v/>
      </c>
      <c r="K381" s="34"/>
      <c r="L381" s="35"/>
      <c r="M381" s="36" t="str">
        <f t="shared" ref="M381:M391" si="35">IF(L381=0,"",IF(OR(L381&lt;7.4,L381&gt;8),"X",""))</f>
        <v/>
      </c>
      <c r="N381" s="37"/>
      <c r="O381" s="29"/>
      <c r="P381" s="38"/>
      <c r="Q381" s="28"/>
      <c r="R381" s="28" t="s">
        <v>21</v>
      </c>
      <c r="S381" s="47"/>
      <c r="T381" s="28"/>
      <c r="U381" s="28" t="s">
        <v>31</v>
      </c>
    </row>
    <row r="382" spans="1:21" s="27" customFormat="1" x14ac:dyDescent="0.25">
      <c r="A382" s="28" t="s">
        <v>21</v>
      </c>
      <c r="B382" s="28" t="s">
        <v>21</v>
      </c>
      <c r="C382" s="28"/>
      <c r="D382" s="31"/>
      <c r="E382" s="73"/>
      <c r="F382" s="31"/>
      <c r="G382" s="32">
        <v>2.19</v>
      </c>
      <c r="H382" s="32"/>
      <c r="I382" s="32"/>
      <c r="J382" s="33" t="str">
        <f t="shared" si="34"/>
        <v/>
      </c>
      <c r="K382" s="34"/>
      <c r="L382" s="35"/>
      <c r="M382" s="36" t="str">
        <f t="shared" si="35"/>
        <v/>
      </c>
      <c r="N382" s="37"/>
      <c r="O382" s="29"/>
      <c r="P382" s="38"/>
      <c r="Q382" s="28"/>
      <c r="R382" s="28" t="s">
        <v>21</v>
      </c>
      <c r="S382" s="47"/>
      <c r="T382" s="28"/>
      <c r="U382" s="28" t="s">
        <v>31</v>
      </c>
    </row>
    <row r="383" spans="1:21" s="27" customFormat="1" x14ac:dyDescent="0.25">
      <c r="A383" s="28" t="s">
        <v>21</v>
      </c>
      <c r="B383" s="28" t="s">
        <v>21</v>
      </c>
      <c r="C383" s="28"/>
      <c r="D383" s="31"/>
      <c r="E383" s="73"/>
      <c r="F383" s="31"/>
      <c r="G383" s="32">
        <v>2.2970000000000002</v>
      </c>
      <c r="H383" s="32"/>
      <c r="I383" s="32"/>
      <c r="J383" s="33" t="str">
        <f t="shared" si="34"/>
        <v/>
      </c>
      <c r="K383" s="34"/>
      <c r="L383" s="35"/>
      <c r="M383" s="36" t="str">
        <f t="shared" si="35"/>
        <v/>
      </c>
      <c r="N383" s="37"/>
      <c r="O383" s="29"/>
      <c r="P383" s="38"/>
      <c r="Q383" s="28"/>
      <c r="R383" s="28" t="s">
        <v>21</v>
      </c>
      <c r="S383" s="47"/>
      <c r="T383" s="28"/>
      <c r="U383" s="28" t="s">
        <v>31</v>
      </c>
    </row>
    <row r="384" spans="1:21" s="27" customFormat="1" x14ac:dyDescent="0.25">
      <c r="A384" s="28" t="s">
        <v>21</v>
      </c>
      <c r="B384" s="28" t="s">
        <v>21</v>
      </c>
      <c r="C384" s="28"/>
      <c r="D384" s="31"/>
      <c r="E384" s="73"/>
      <c r="F384" s="31"/>
      <c r="G384" s="32">
        <v>2.1880000000000002</v>
      </c>
      <c r="H384" s="32"/>
      <c r="I384" s="32"/>
      <c r="J384" s="33" t="str">
        <f t="shared" si="34"/>
        <v/>
      </c>
      <c r="K384" s="34"/>
      <c r="L384" s="35"/>
      <c r="M384" s="36" t="str">
        <f t="shared" si="35"/>
        <v/>
      </c>
      <c r="N384" s="37"/>
      <c r="O384" s="29"/>
      <c r="P384" s="38"/>
      <c r="Q384" s="28"/>
      <c r="R384" s="28" t="s">
        <v>21</v>
      </c>
      <c r="S384" s="47"/>
      <c r="T384" s="28"/>
      <c r="U384" s="28" t="s">
        <v>31</v>
      </c>
    </row>
    <row r="385" spans="1:21" s="27" customFormat="1" x14ac:dyDescent="0.25">
      <c r="A385" s="28" t="s">
        <v>21</v>
      </c>
      <c r="B385" s="28" t="s">
        <v>21</v>
      </c>
      <c r="C385" s="28"/>
      <c r="D385" s="31"/>
      <c r="E385" s="73"/>
      <c r="F385" s="31"/>
      <c r="G385" s="32">
        <v>2.13</v>
      </c>
      <c r="H385" s="32"/>
      <c r="I385" s="32"/>
      <c r="J385" s="33" t="str">
        <f t="shared" si="34"/>
        <v/>
      </c>
      <c r="K385" s="34"/>
      <c r="L385" s="35"/>
      <c r="M385" s="36" t="str">
        <f t="shared" si="35"/>
        <v/>
      </c>
      <c r="N385" s="37"/>
      <c r="O385" s="29"/>
      <c r="P385" s="38"/>
      <c r="Q385" s="28"/>
      <c r="R385" s="28" t="s">
        <v>21</v>
      </c>
      <c r="S385" s="47"/>
      <c r="T385" s="28"/>
      <c r="U385" s="28" t="s">
        <v>31</v>
      </c>
    </row>
    <row r="386" spans="1:21" s="27" customFormat="1" x14ac:dyDescent="0.25">
      <c r="A386" s="28" t="s">
        <v>21</v>
      </c>
      <c r="B386" s="28" t="s">
        <v>21</v>
      </c>
      <c r="C386" s="28"/>
      <c r="D386" s="31"/>
      <c r="E386" s="73"/>
      <c r="F386" s="31"/>
      <c r="G386" s="32">
        <v>2.298</v>
      </c>
      <c r="H386" s="32"/>
      <c r="I386" s="32"/>
      <c r="J386" s="33" t="str">
        <f t="shared" si="34"/>
        <v/>
      </c>
      <c r="K386" s="34"/>
      <c r="L386" s="35"/>
      <c r="M386" s="36" t="str">
        <f t="shared" si="35"/>
        <v/>
      </c>
      <c r="N386" s="37"/>
      <c r="O386" s="29"/>
      <c r="P386" s="38"/>
      <c r="Q386" s="28"/>
      <c r="R386" s="28" t="s">
        <v>21</v>
      </c>
      <c r="S386" s="47"/>
      <c r="T386" s="28"/>
      <c r="U386" s="28" t="s">
        <v>31</v>
      </c>
    </row>
    <row r="387" spans="1:21" s="27" customFormat="1" x14ac:dyDescent="0.25">
      <c r="A387" s="28" t="s">
        <v>21</v>
      </c>
      <c r="B387" s="28" t="s">
        <v>21</v>
      </c>
      <c r="C387" s="28"/>
      <c r="D387" s="31"/>
      <c r="E387" s="73"/>
      <c r="F387" s="31"/>
      <c r="G387" s="32">
        <v>2.194</v>
      </c>
      <c r="H387" s="32"/>
      <c r="I387" s="32"/>
      <c r="J387" s="33" t="str">
        <f t="shared" si="34"/>
        <v/>
      </c>
      <c r="K387" s="34"/>
      <c r="L387" s="35"/>
      <c r="M387" s="36" t="str">
        <f t="shared" si="35"/>
        <v/>
      </c>
      <c r="N387" s="37"/>
      <c r="O387" s="29"/>
      <c r="P387" s="38"/>
      <c r="Q387" s="28"/>
      <c r="R387" s="28" t="s">
        <v>21</v>
      </c>
      <c r="S387" s="47"/>
      <c r="T387" s="28"/>
      <c r="U387" s="28" t="s">
        <v>31</v>
      </c>
    </row>
    <row r="388" spans="1:21" s="27" customFormat="1" x14ac:dyDescent="0.25">
      <c r="A388" s="28" t="s">
        <v>21</v>
      </c>
      <c r="B388" s="28" t="s">
        <v>21</v>
      </c>
      <c r="C388" s="28"/>
      <c r="D388" s="31"/>
      <c r="E388" s="73"/>
      <c r="F388" s="31"/>
      <c r="G388" s="32">
        <v>2.1629999999999998</v>
      </c>
      <c r="H388" s="32"/>
      <c r="I388" s="32"/>
      <c r="J388" s="33" t="str">
        <f t="shared" si="34"/>
        <v/>
      </c>
      <c r="K388" s="34"/>
      <c r="L388" s="35"/>
      <c r="M388" s="36" t="str">
        <f t="shared" si="35"/>
        <v/>
      </c>
      <c r="N388" s="37"/>
      <c r="O388" s="29"/>
      <c r="P388" s="38"/>
      <c r="Q388" s="28"/>
      <c r="R388" s="28" t="s">
        <v>21</v>
      </c>
      <c r="S388" s="47"/>
      <c r="T388" s="28"/>
      <c r="U388" s="28" t="s">
        <v>31</v>
      </c>
    </row>
    <row r="389" spans="1:21" s="27" customFormat="1" x14ac:dyDescent="0.25">
      <c r="A389" s="28" t="s">
        <v>21</v>
      </c>
      <c r="B389" s="28" t="s">
        <v>21</v>
      </c>
      <c r="C389" s="28"/>
      <c r="D389" s="31"/>
      <c r="E389" s="73"/>
      <c r="F389" s="31"/>
      <c r="G389" s="32">
        <v>2.2549999999999999</v>
      </c>
      <c r="H389" s="32"/>
      <c r="I389" s="32"/>
      <c r="J389" s="33" t="str">
        <f t="shared" si="34"/>
        <v/>
      </c>
      <c r="K389" s="34"/>
      <c r="L389" s="35"/>
      <c r="M389" s="36" t="str">
        <f t="shared" si="35"/>
        <v/>
      </c>
      <c r="N389" s="37"/>
      <c r="O389" s="29"/>
      <c r="P389" s="38"/>
      <c r="Q389" s="28"/>
      <c r="R389" s="28" t="s">
        <v>21</v>
      </c>
      <c r="S389" s="47"/>
      <c r="T389" s="28"/>
      <c r="U389" s="28" t="s">
        <v>31</v>
      </c>
    </row>
    <row r="390" spans="1:21" s="27" customFormat="1" x14ac:dyDescent="0.25">
      <c r="A390" s="28" t="s">
        <v>21</v>
      </c>
      <c r="B390" s="28" t="s">
        <v>21</v>
      </c>
      <c r="C390" s="28"/>
      <c r="D390" s="31"/>
      <c r="E390" s="73"/>
      <c r="F390" s="31"/>
      <c r="G390" s="32">
        <v>2.2839999999999998</v>
      </c>
      <c r="H390" s="32"/>
      <c r="I390" s="32"/>
      <c r="J390" s="33" t="str">
        <f t="shared" si="34"/>
        <v/>
      </c>
      <c r="K390" s="34"/>
      <c r="L390" s="35"/>
      <c r="M390" s="36" t="str">
        <f t="shared" si="35"/>
        <v/>
      </c>
      <c r="N390" s="37"/>
      <c r="O390" s="29"/>
      <c r="P390" s="38"/>
      <c r="Q390" s="28"/>
      <c r="R390" s="28" t="s">
        <v>21</v>
      </c>
      <c r="S390" s="47"/>
      <c r="T390" s="28"/>
      <c r="U390" s="28" t="s">
        <v>31</v>
      </c>
    </row>
    <row r="391" spans="1:21" s="27" customFormat="1" x14ac:dyDescent="0.25">
      <c r="A391" s="28" t="s">
        <v>21</v>
      </c>
      <c r="B391" s="28" t="s">
        <v>21</v>
      </c>
      <c r="C391" s="28"/>
      <c r="D391" s="31"/>
      <c r="E391" s="73"/>
      <c r="F391" s="31"/>
      <c r="G391" s="32">
        <v>2.3159999999999998</v>
      </c>
      <c r="H391" s="32"/>
      <c r="I391" s="32"/>
      <c r="J391" s="33" t="str">
        <f t="shared" si="34"/>
        <v/>
      </c>
      <c r="K391" s="34"/>
      <c r="L391" s="35"/>
      <c r="M391" s="36" t="str">
        <f t="shared" si="35"/>
        <v/>
      </c>
      <c r="N391" s="37"/>
      <c r="O391" s="29"/>
      <c r="P391" s="38"/>
      <c r="Q391" s="28"/>
      <c r="R391" s="28" t="s">
        <v>21</v>
      </c>
      <c r="S391" s="47"/>
      <c r="T391" s="28"/>
      <c r="U391" s="28" t="s">
        <v>31</v>
      </c>
    </row>
    <row r="392" spans="1:21" s="27" customFormat="1" x14ac:dyDescent="0.25">
      <c r="A392" s="28" t="s">
        <v>21</v>
      </c>
      <c r="B392" s="28" t="s">
        <v>2093</v>
      </c>
      <c r="C392" s="28"/>
      <c r="D392" s="31"/>
      <c r="E392" s="73"/>
      <c r="F392" s="45"/>
      <c r="G392" s="32">
        <v>2.2050000000000001</v>
      </c>
      <c r="H392" s="32">
        <v>25.18</v>
      </c>
      <c r="I392" s="32">
        <v>23.36</v>
      </c>
      <c r="J392" s="33">
        <f>IF(O392&lt;&gt;"",(H392-I392)/O392,"")</f>
        <v>0.1516666666666667</v>
      </c>
      <c r="K392" s="34" t="str">
        <f t="shared" ref="K392" si="36">IF(J392=0,"",IF(OR(J392&lt;0,J392&gt;0.03),"X",""))</f>
        <v>X</v>
      </c>
      <c r="L392" s="35">
        <f>F392/(O392*P392)</f>
        <v>0</v>
      </c>
      <c r="M392" s="36" t="str">
        <f>IF(L392=0,"",IF(OR(L392&lt;7,L392&gt;7.8),"X",""))</f>
        <v/>
      </c>
      <c r="N392" s="37" t="s">
        <v>26</v>
      </c>
      <c r="O392" s="29">
        <v>12</v>
      </c>
      <c r="P392" s="38">
        <v>40</v>
      </c>
      <c r="Q392" s="28"/>
      <c r="R392" s="28" t="s">
        <v>21</v>
      </c>
      <c r="S392" s="47"/>
      <c r="T392" s="28"/>
      <c r="U392" s="28" t="s">
        <v>31</v>
      </c>
    </row>
    <row r="393" spans="1:21" s="27" customFormat="1" x14ac:dyDescent="0.25">
      <c r="A393" s="28" t="s">
        <v>21</v>
      </c>
      <c r="B393" s="28" t="s">
        <v>21</v>
      </c>
      <c r="C393" s="28"/>
      <c r="D393" s="31"/>
      <c r="E393" s="73"/>
      <c r="F393" s="31"/>
      <c r="G393" s="32">
        <v>2.1589999999999998</v>
      </c>
      <c r="H393" s="32"/>
      <c r="I393" s="32"/>
      <c r="J393" s="33" t="str">
        <f t="shared" ref="J393:J403" si="37">IF(O393&lt;&gt;"",(H393-I393)/O393,"")</f>
        <v/>
      </c>
      <c r="K393" s="34"/>
      <c r="L393" s="35"/>
      <c r="M393" s="36" t="str">
        <f t="shared" ref="M393:M403" si="38">IF(L393=0,"",IF(OR(L393&lt;7.4,L393&gt;8),"X",""))</f>
        <v/>
      </c>
      <c r="N393" s="37"/>
      <c r="O393" s="29"/>
      <c r="P393" s="38"/>
      <c r="Q393" s="28"/>
      <c r="R393" s="28" t="s">
        <v>21</v>
      </c>
      <c r="S393" s="47"/>
      <c r="T393" s="28"/>
      <c r="U393" s="28" t="s">
        <v>31</v>
      </c>
    </row>
    <row r="394" spans="1:21" s="27" customFormat="1" x14ac:dyDescent="0.25">
      <c r="A394" s="28" t="s">
        <v>21</v>
      </c>
      <c r="B394" s="28" t="s">
        <v>21</v>
      </c>
      <c r="C394" s="28"/>
      <c r="D394" s="31"/>
      <c r="E394" s="73"/>
      <c r="F394" s="31"/>
      <c r="G394" s="32">
        <v>2.1150000000000002</v>
      </c>
      <c r="H394" s="32"/>
      <c r="I394" s="32"/>
      <c r="J394" s="33" t="str">
        <f t="shared" si="37"/>
        <v/>
      </c>
      <c r="K394" s="34"/>
      <c r="L394" s="35"/>
      <c r="M394" s="36" t="str">
        <f t="shared" si="38"/>
        <v/>
      </c>
      <c r="N394" s="37"/>
      <c r="O394" s="29"/>
      <c r="P394" s="38"/>
      <c r="Q394" s="28"/>
      <c r="R394" s="28" t="s">
        <v>21</v>
      </c>
      <c r="S394" s="47"/>
      <c r="T394" s="28"/>
      <c r="U394" s="28" t="s">
        <v>31</v>
      </c>
    </row>
    <row r="395" spans="1:21" s="27" customFormat="1" x14ac:dyDescent="0.25">
      <c r="A395" s="28" t="s">
        <v>21</v>
      </c>
      <c r="B395" s="28" t="s">
        <v>21</v>
      </c>
      <c r="C395" s="28"/>
      <c r="D395" s="31"/>
      <c r="E395" s="73"/>
      <c r="F395" s="31"/>
      <c r="G395" s="32">
        <v>2.0699999999999998</v>
      </c>
      <c r="H395" s="32"/>
      <c r="I395" s="32"/>
      <c r="J395" s="33" t="str">
        <f t="shared" si="37"/>
        <v/>
      </c>
      <c r="K395" s="34"/>
      <c r="L395" s="35"/>
      <c r="M395" s="36" t="str">
        <f t="shared" si="38"/>
        <v/>
      </c>
      <c r="N395" s="37"/>
      <c r="O395" s="29"/>
      <c r="P395" s="38"/>
      <c r="Q395" s="28"/>
      <c r="R395" s="28" t="s">
        <v>21</v>
      </c>
      <c r="S395" s="47"/>
      <c r="T395" s="28"/>
      <c r="U395" s="28" t="s">
        <v>31</v>
      </c>
    </row>
    <row r="396" spans="1:21" s="27" customFormat="1" x14ac:dyDescent="0.25">
      <c r="A396" s="28" t="s">
        <v>21</v>
      </c>
      <c r="B396" s="28" t="s">
        <v>21</v>
      </c>
      <c r="C396" s="28"/>
      <c r="D396" s="31"/>
      <c r="E396" s="73"/>
      <c r="F396" s="31"/>
      <c r="G396" s="32">
        <v>2.0760000000000001</v>
      </c>
      <c r="H396" s="32"/>
      <c r="I396" s="32"/>
      <c r="J396" s="33" t="str">
        <f t="shared" si="37"/>
        <v/>
      </c>
      <c r="K396" s="34"/>
      <c r="L396" s="35"/>
      <c r="M396" s="36" t="str">
        <f t="shared" si="38"/>
        <v/>
      </c>
      <c r="N396" s="37"/>
      <c r="O396" s="29"/>
      <c r="P396" s="38"/>
      <c r="Q396" s="28"/>
      <c r="R396" s="28" t="s">
        <v>21</v>
      </c>
      <c r="S396" s="47"/>
      <c r="T396" s="28"/>
      <c r="U396" s="28" t="s">
        <v>31</v>
      </c>
    </row>
    <row r="397" spans="1:21" s="27" customFormat="1" x14ac:dyDescent="0.25">
      <c r="A397" s="28" t="s">
        <v>21</v>
      </c>
      <c r="B397" s="28" t="s">
        <v>21</v>
      </c>
      <c r="C397" s="28"/>
      <c r="D397" s="31"/>
      <c r="E397" s="73"/>
      <c r="F397" s="31"/>
      <c r="G397" s="32">
        <v>2.165</v>
      </c>
      <c r="H397" s="32"/>
      <c r="I397" s="32"/>
      <c r="J397" s="33" t="str">
        <f t="shared" si="37"/>
        <v/>
      </c>
      <c r="K397" s="34"/>
      <c r="L397" s="35"/>
      <c r="M397" s="36" t="str">
        <f t="shared" si="38"/>
        <v/>
      </c>
      <c r="N397" s="37"/>
      <c r="O397" s="29"/>
      <c r="P397" s="38"/>
      <c r="Q397" s="28"/>
      <c r="R397" s="28" t="s">
        <v>21</v>
      </c>
      <c r="S397" s="47"/>
      <c r="T397" s="28"/>
      <c r="U397" s="28" t="s">
        <v>31</v>
      </c>
    </row>
    <row r="398" spans="1:21" s="27" customFormat="1" x14ac:dyDescent="0.25">
      <c r="A398" s="28" t="s">
        <v>21</v>
      </c>
      <c r="B398" s="28" t="s">
        <v>21</v>
      </c>
      <c r="C398" s="28"/>
      <c r="D398" s="31"/>
      <c r="E398" s="73"/>
      <c r="F398" s="31"/>
      <c r="G398" s="32">
        <v>2.0910000000000002</v>
      </c>
      <c r="H398" s="32"/>
      <c r="I398" s="32"/>
      <c r="J398" s="33" t="str">
        <f t="shared" si="37"/>
        <v/>
      </c>
      <c r="K398" s="34"/>
      <c r="L398" s="35"/>
      <c r="M398" s="36" t="str">
        <f t="shared" si="38"/>
        <v/>
      </c>
      <c r="N398" s="37"/>
      <c r="O398" s="29"/>
      <c r="P398" s="38"/>
      <c r="Q398" s="28"/>
      <c r="R398" s="28" t="s">
        <v>21</v>
      </c>
      <c r="S398" s="47"/>
      <c r="T398" s="28"/>
      <c r="U398" s="28" t="s">
        <v>31</v>
      </c>
    </row>
    <row r="399" spans="1:21" s="27" customFormat="1" x14ac:dyDescent="0.25">
      <c r="A399" s="28" t="s">
        <v>21</v>
      </c>
      <c r="B399" s="28" t="s">
        <v>21</v>
      </c>
      <c r="C399" s="28"/>
      <c r="D399" s="31"/>
      <c r="E399" s="73"/>
      <c r="F399" s="31"/>
      <c r="G399" s="32">
        <v>2.0950000000000002</v>
      </c>
      <c r="H399" s="32"/>
      <c r="I399" s="32"/>
      <c r="J399" s="33" t="str">
        <f t="shared" si="37"/>
        <v/>
      </c>
      <c r="K399" s="34"/>
      <c r="L399" s="35"/>
      <c r="M399" s="36" t="str">
        <f t="shared" si="38"/>
        <v/>
      </c>
      <c r="N399" s="37"/>
      <c r="O399" s="29"/>
      <c r="P399" s="38"/>
      <c r="Q399" s="28"/>
      <c r="R399" s="28" t="s">
        <v>21</v>
      </c>
      <c r="S399" s="47"/>
      <c r="T399" s="28"/>
      <c r="U399" s="28" t="s">
        <v>31</v>
      </c>
    </row>
    <row r="400" spans="1:21" s="27" customFormat="1" x14ac:dyDescent="0.25">
      <c r="A400" s="28" t="s">
        <v>21</v>
      </c>
      <c r="B400" s="28" t="s">
        <v>21</v>
      </c>
      <c r="C400" s="28"/>
      <c r="D400" s="31"/>
      <c r="E400" s="73"/>
      <c r="F400" s="31"/>
      <c r="G400" s="32">
        <v>2.11</v>
      </c>
      <c r="H400" s="32"/>
      <c r="I400" s="32"/>
      <c r="J400" s="33" t="str">
        <f t="shared" si="37"/>
        <v/>
      </c>
      <c r="K400" s="34"/>
      <c r="L400" s="35"/>
      <c r="M400" s="36" t="str">
        <f t="shared" si="38"/>
        <v/>
      </c>
      <c r="N400" s="37"/>
      <c r="O400" s="29"/>
      <c r="P400" s="38"/>
      <c r="Q400" s="28"/>
      <c r="R400" s="28" t="s">
        <v>21</v>
      </c>
      <c r="S400" s="47"/>
      <c r="T400" s="28"/>
      <c r="U400" s="28" t="s">
        <v>31</v>
      </c>
    </row>
    <row r="401" spans="1:21" s="27" customFormat="1" x14ac:dyDescent="0.25">
      <c r="A401" s="28" t="s">
        <v>21</v>
      </c>
      <c r="B401" s="28" t="s">
        <v>21</v>
      </c>
      <c r="C401" s="28"/>
      <c r="D401" s="31"/>
      <c r="E401" s="73"/>
      <c r="F401" s="31"/>
      <c r="G401" s="32">
        <v>2.0579999999999998</v>
      </c>
      <c r="H401" s="32"/>
      <c r="I401" s="32"/>
      <c r="J401" s="33" t="str">
        <f t="shared" si="37"/>
        <v/>
      </c>
      <c r="K401" s="34"/>
      <c r="L401" s="35"/>
      <c r="M401" s="36" t="str">
        <f t="shared" si="38"/>
        <v/>
      </c>
      <c r="N401" s="37"/>
      <c r="O401" s="29"/>
      <c r="P401" s="38"/>
      <c r="Q401" s="28"/>
      <c r="R401" s="28" t="s">
        <v>21</v>
      </c>
      <c r="S401" s="47"/>
      <c r="T401" s="28"/>
      <c r="U401" s="28" t="s">
        <v>31</v>
      </c>
    </row>
    <row r="402" spans="1:21" s="27" customFormat="1" x14ac:dyDescent="0.25">
      <c r="A402" s="28" t="s">
        <v>21</v>
      </c>
      <c r="B402" s="28" t="s">
        <v>21</v>
      </c>
      <c r="C402" s="28"/>
      <c r="D402" s="31"/>
      <c r="E402" s="73"/>
      <c r="F402" s="31"/>
      <c r="G402" s="32">
        <v>2.1269999999999998</v>
      </c>
      <c r="H402" s="32"/>
      <c r="I402" s="32"/>
      <c r="J402" s="33" t="str">
        <f t="shared" si="37"/>
        <v/>
      </c>
      <c r="K402" s="34"/>
      <c r="L402" s="35"/>
      <c r="M402" s="36" t="str">
        <f t="shared" si="38"/>
        <v/>
      </c>
      <c r="N402" s="37"/>
      <c r="O402" s="29"/>
      <c r="P402" s="38"/>
      <c r="Q402" s="28"/>
      <c r="R402" s="28" t="s">
        <v>21</v>
      </c>
      <c r="S402" s="47"/>
      <c r="T402" s="28"/>
      <c r="U402" s="28" t="s">
        <v>31</v>
      </c>
    </row>
    <row r="403" spans="1:21" s="27" customFormat="1" x14ac:dyDescent="0.25">
      <c r="A403" s="28" t="s">
        <v>21</v>
      </c>
      <c r="B403" s="28" t="s">
        <v>21</v>
      </c>
      <c r="C403" s="28"/>
      <c r="D403" s="31"/>
      <c r="E403" s="73"/>
      <c r="F403" s="31"/>
      <c r="G403" s="32">
        <v>2.1749999999999998</v>
      </c>
      <c r="H403" s="32"/>
      <c r="I403" s="32"/>
      <c r="J403" s="33" t="str">
        <f t="shared" si="37"/>
        <v/>
      </c>
      <c r="K403" s="34"/>
      <c r="L403" s="35"/>
      <c r="M403" s="36" t="str">
        <f t="shared" si="38"/>
        <v/>
      </c>
      <c r="N403" s="37"/>
      <c r="O403" s="29"/>
      <c r="P403" s="38"/>
      <c r="Q403" s="28"/>
      <c r="R403" s="28" t="s">
        <v>21</v>
      </c>
      <c r="S403" s="47"/>
      <c r="T403" s="28"/>
      <c r="U403" s="28" t="s">
        <v>31</v>
      </c>
    </row>
    <row r="404" spans="1:21" s="27" customFormat="1" x14ac:dyDescent="0.25">
      <c r="A404" s="28" t="s">
        <v>21</v>
      </c>
      <c r="B404" s="28" t="s">
        <v>2089</v>
      </c>
      <c r="C404" s="28"/>
      <c r="D404" s="31"/>
      <c r="E404" s="73"/>
      <c r="F404" s="45"/>
      <c r="G404" s="32">
        <v>2.2410000000000001</v>
      </c>
      <c r="H404" s="32">
        <v>26</v>
      </c>
      <c r="I404" s="32">
        <v>22.55</v>
      </c>
      <c r="J404" s="33">
        <f>IF(O404&lt;&gt;"",(H404-I404)/O404,"")</f>
        <v>0.28749999999999992</v>
      </c>
      <c r="K404" s="34" t="str">
        <f t="shared" ref="K404" si="39">IF(J404=0,"",IF(OR(J404&lt;0,J404&gt;0.03),"X",""))</f>
        <v>X</v>
      </c>
      <c r="L404" s="35">
        <f>F404/(O404*P404)</f>
        <v>0</v>
      </c>
      <c r="M404" s="36" t="str">
        <f>IF(L404=0,"",IF(OR(L404&lt;7,L404&gt;7.8),"X",""))</f>
        <v/>
      </c>
      <c r="N404" s="37" t="s">
        <v>26</v>
      </c>
      <c r="O404" s="29">
        <v>12</v>
      </c>
      <c r="P404" s="38">
        <v>40</v>
      </c>
      <c r="Q404" s="28"/>
      <c r="R404" s="28" t="s">
        <v>21</v>
      </c>
      <c r="S404" s="47"/>
      <c r="T404" s="28"/>
      <c r="U404" s="28" t="s">
        <v>31</v>
      </c>
    </row>
    <row r="405" spans="1:21" s="27" customFormat="1" x14ac:dyDescent="0.25">
      <c r="A405" s="28" t="s">
        <v>21</v>
      </c>
      <c r="B405" s="28" t="s">
        <v>21</v>
      </c>
      <c r="C405" s="28"/>
      <c r="D405" s="31"/>
      <c r="E405" s="73"/>
      <c r="F405" s="31"/>
      <c r="G405" s="32">
        <v>2.6030000000000002</v>
      </c>
      <c r="H405" s="32"/>
      <c r="I405" s="32"/>
      <c r="J405" s="33" t="str">
        <f t="shared" ref="J405:J415" si="40">IF(O405&lt;&gt;"",(H405-I405)/O405,"")</f>
        <v/>
      </c>
      <c r="K405" s="34"/>
      <c r="L405" s="35"/>
      <c r="M405" s="36" t="str">
        <f t="shared" ref="M405:M415" si="41">IF(L405=0,"",IF(OR(L405&lt;7.4,L405&gt;8),"X",""))</f>
        <v/>
      </c>
      <c r="N405" s="37"/>
      <c r="O405" s="29"/>
      <c r="P405" s="38"/>
      <c r="Q405" s="28"/>
      <c r="R405" s="28" t="s">
        <v>21</v>
      </c>
      <c r="S405" s="47"/>
      <c r="T405" s="28"/>
      <c r="U405" s="28" t="s">
        <v>31</v>
      </c>
    </row>
    <row r="406" spans="1:21" s="27" customFormat="1" x14ac:dyDescent="0.25">
      <c r="A406" s="28" t="s">
        <v>21</v>
      </c>
      <c r="B406" s="28" t="s">
        <v>21</v>
      </c>
      <c r="C406" s="28"/>
      <c r="D406" s="31"/>
      <c r="E406" s="73"/>
      <c r="F406" s="31"/>
      <c r="G406" s="32">
        <v>2.0059999999999998</v>
      </c>
      <c r="H406" s="32"/>
      <c r="I406" s="32"/>
      <c r="J406" s="33" t="str">
        <f t="shared" si="40"/>
        <v/>
      </c>
      <c r="K406" s="34"/>
      <c r="L406" s="35"/>
      <c r="M406" s="36" t="str">
        <f t="shared" si="41"/>
        <v/>
      </c>
      <c r="N406" s="37"/>
      <c r="O406" s="29"/>
      <c r="P406" s="38"/>
      <c r="Q406" s="28"/>
      <c r="R406" s="28" t="s">
        <v>21</v>
      </c>
      <c r="S406" s="47"/>
      <c r="T406" s="28"/>
      <c r="U406" s="28" t="s">
        <v>31</v>
      </c>
    </row>
    <row r="407" spans="1:21" s="27" customFormat="1" x14ac:dyDescent="0.25">
      <c r="A407" s="28" t="s">
        <v>21</v>
      </c>
      <c r="B407" s="28" t="s">
        <v>21</v>
      </c>
      <c r="C407" s="28"/>
      <c r="D407" s="31"/>
      <c r="E407" s="73"/>
      <c r="F407" s="31"/>
      <c r="G407" s="32">
        <v>2.13</v>
      </c>
      <c r="H407" s="32"/>
      <c r="I407" s="32"/>
      <c r="J407" s="33" t="str">
        <f t="shared" si="40"/>
        <v/>
      </c>
      <c r="K407" s="34"/>
      <c r="L407" s="35"/>
      <c r="M407" s="36" t="str">
        <f t="shared" si="41"/>
        <v/>
      </c>
      <c r="N407" s="37"/>
      <c r="O407" s="29"/>
      <c r="P407" s="38"/>
      <c r="Q407" s="28"/>
      <c r="R407" s="28" t="s">
        <v>21</v>
      </c>
      <c r="S407" s="47"/>
      <c r="T407" s="28"/>
      <c r="U407" s="28" t="s">
        <v>31</v>
      </c>
    </row>
    <row r="408" spans="1:21" s="27" customFormat="1" x14ac:dyDescent="0.25">
      <c r="A408" s="28" t="s">
        <v>21</v>
      </c>
      <c r="B408" s="28" t="s">
        <v>21</v>
      </c>
      <c r="C408" s="28"/>
      <c r="D408" s="31"/>
      <c r="E408" s="73"/>
      <c r="F408" s="31"/>
      <c r="G408" s="32">
        <v>2.2400000000000002</v>
      </c>
      <c r="H408" s="32"/>
      <c r="I408" s="32"/>
      <c r="J408" s="33" t="str">
        <f t="shared" si="40"/>
        <v/>
      </c>
      <c r="K408" s="34"/>
      <c r="L408" s="35"/>
      <c r="M408" s="36" t="str">
        <f t="shared" si="41"/>
        <v/>
      </c>
      <c r="N408" s="37"/>
      <c r="O408" s="29"/>
      <c r="P408" s="38"/>
      <c r="Q408" s="28"/>
      <c r="R408" s="28" t="s">
        <v>21</v>
      </c>
      <c r="S408" s="47"/>
      <c r="T408" s="28"/>
      <c r="U408" s="28" t="s">
        <v>31</v>
      </c>
    </row>
    <row r="409" spans="1:21" s="27" customFormat="1" x14ac:dyDescent="0.25">
      <c r="A409" s="28" t="s">
        <v>21</v>
      </c>
      <c r="B409" s="28" t="s">
        <v>21</v>
      </c>
      <c r="C409" s="28"/>
      <c r="D409" s="31"/>
      <c r="E409" s="73"/>
      <c r="F409" s="31"/>
      <c r="G409" s="32">
        <v>2.1280000000000001</v>
      </c>
      <c r="H409" s="32"/>
      <c r="I409" s="32"/>
      <c r="J409" s="33" t="str">
        <f t="shared" si="40"/>
        <v/>
      </c>
      <c r="K409" s="34"/>
      <c r="L409" s="35"/>
      <c r="M409" s="36" t="str">
        <f t="shared" si="41"/>
        <v/>
      </c>
      <c r="N409" s="37"/>
      <c r="O409" s="29"/>
      <c r="P409" s="38"/>
      <c r="Q409" s="28"/>
      <c r="R409" s="28" t="s">
        <v>21</v>
      </c>
      <c r="S409" s="47"/>
      <c r="T409" s="28"/>
      <c r="U409" s="28" t="s">
        <v>31</v>
      </c>
    </row>
    <row r="410" spans="1:21" s="27" customFormat="1" x14ac:dyDescent="0.25">
      <c r="A410" s="28" t="s">
        <v>21</v>
      </c>
      <c r="B410" s="28" t="s">
        <v>21</v>
      </c>
      <c r="C410" s="28"/>
      <c r="D410" s="31"/>
      <c r="E410" s="73"/>
      <c r="F410" s="31"/>
      <c r="G410" s="32">
        <v>2.0150000000000001</v>
      </c>
      <c r="H410" s="32"/>
      <c r="I410" s="32"/>
      <c r="J410" s="33" t="str">
        <f t="shared" si="40"/>
        <v/>
      </c>
      <c r="K410" s="34"/>
      <c r="L410" s="35"/>
      <c r="M410" s="36" t="str">
        <f t="shared" si="41"/>
        <v/>
      </c>
      <c r="N410" s="37"/>
      <c r="O410" s="29"/>
      <c r="P410" s="38"/>
      <c r="Q410" s="28"/>
      <c r="R410" s="28" t="s">
        <v>21</v>
      </c>
      <c r="S410" s="47"/>
      <c r="T410" s="28"/>
      <c r="U410" s="28" t="s">
        <v>31</v>
      </c>
    </row>
    <row r="411" spans="1:21" s="27" customFormat="1" x14ac:dyDescent="0.25">
      <c r="A411" s="28" t="s">
        <v>21</v>
      </c>
      <c r="B411" s="28" t="s">
        <v>21</v>
      </c>
      <c r="C411" s="28"/>
      <c r="D411" s="31"/>
      <c r="E411" s="73"/>
      <c r="F411" s="31"/>
      <c r="G411" s="32">
        <v>2.02</v>
      </c>
      <c r="H411" s="32"/>
      <c r="I411" s="32"/>
      <c r="J411" s="33" t="str">
        <f t="shared" si="40"/>
        <v/>
      </c>
      <c r="K411" s="34"/>
      <c r="L411" s="35"/>
      <c r="M411" s="36" t="str">
        <f t="shared" si="41"/>
        <v/>
      </c>
      <c r="N411" s="37"/>
      <c r="O411" s="29"/>
      <c r="P411" s="38"/>
      <c r="Q411" s="28"/>
      <c r="R411" s="28" t="s">
        <v>21</v>
      </c>
      <c r="S411" s="47"/>
      <c r="T411" s="28"/>
      <c r="U411" s="28" t="s">
        <v>31</v>
      </c>
    </row>
    <row r="412" spans="1:21" s="27" customFormat="1" x14ac:dyDescent="0.25">
      <c r="A412" s="28" t="s">
        <v>21</v>
      </c>
      <c r="B412" s="28" t="s">
        <v>21</v>
      </c>
      <c r="C412" s="28"/>
      <c r="D412" s="31"/>
      <c r="E412" s="73"/>
      <c r="F412" s="31"/>
      <c r="G412" s="32">
        <v>2.0270000000000001</v>
      </c>
      <c r="H412" s="32"/>
      <c r="I412" s="32"/>
      <c r="J412" s="33" t="str">
        <f t="shared" si="40"/>
        <v/>
      </c>
      <c r="K412" s="34"/>
      <c r="L412" s="35"/>
      <c r="M412" s="36" t="str">
        <f t="shared" si="41"/>
        <v/>
      </c>
      <c r="N412" s="37"/>
      <c r="O412" s="29"/>
      <c r="P412" s="38"/>
      <c r="Q412" s="28"/>
      <c r="R412" s="28" t="s">
        <v>21</v>
      </c>
      <c r="S412" s="47"/>
      <c r="T412" s="28"/>
      <c r="U412" s="28" t="s">
        <v>31</v>
      </c>
    </row>
    <row r="413" spans="1:21" s="27" customFormat="1" x14ac:dyDescent="0.25">
      <c r="A413" s="28" t="s">
        <v>21</v>
      </c>
      <c r="B413" s="28" t="s">
        <v>21</v>
      </c>
      <c r="C413" s="28"/>
      <c r="D413" s="31"/>
      <c r="E413" s="73"/>
      <c r="F413" s="31"/>
      <c r="G413" s="32">
        <v>2.27</v>
      </c>
      <c r="H413" s="32"/>
      <c r="I413" s="32"/>
      <c r="J413" s="33" t="str">
        <f t="shared" si="40"/>
        <v/>
      </c>
      <c r="K413" s="34"/>
      <c r="L413" s="35"/>
      <c r="M413" s="36" t="str">
        <f t="shared" si="41"/>
        <v/>
      </c>
      <c r="N413" s="37"/>
      <c r="O413" s="29"/>
      <c r="P413" s="38"/>
      <c r="Q413" s="28"/>
      <c r="R413" s="28" t="s">
        <v>21</v>
      </c>
      <c r="S413" s="47"/>
      <c r="T413" s="28"/>
      <c r="U413" s="28" t="s">
        <v>31</v>
      </c>
    </row>
    <row r="414" spans="1:21" s="27" customFormat="1" x14ac:dyDescent="0.25">
      <c r="A414" s="28" t="s">
        <v>21</v>
      </c>
      <c r="B414" s="28" t="s">
        <v>21</v>
      </c>
      <c r="C414" s="28"/>
      <c r="D414" s="31"/>
      <c r="E414" s="73"/>
      <c r="F414" s="31"/>
      <c r="G414" s="32">
        <v>2.5099999999999998</v>
      </c>
      <c r="H414" s="32"/>
      <c r="I414" s="32"/>
      <c r="J414" s="33" t="str">
        <f t="shared" si="40"/>
        <v/>
      </c>
      <c r="K414" s="34"/>
      <c r="L414" s="35"/>
      <c r="M414" s="36" t="str">
        <f t="shared" si="41"/>
        <v/>
      </c>
      <c r="N414" s="37"/>
      <c r="O414" s="29"/>
      <c r="P414" s="38"/>
      <c r="Q414" s="28"/>
      <c r="R414" s="28" t="s">
        <v>21</v>
      </c>
      <c r="S414" s="47"/>
      <c r="T414" s="28"/>
      <c r="U414" s="28" t="s">
        <v>31</v>
      </c>
    </row>
    <row r="415" spans="1:21" s="27" customFormat="1" x14ac:dyDescent="0.25">
      <c r="A415" s="28" t="s">
        <v>21</v>
      </c>
      <c r="B415" s="28" t="s">
        <v>21</v>
      </c>
      <c r="C415" s="28"/>
      <c r="D415" s="31"/>
      <c r="E415" s="73"/>
      <c r="F415" s="31"/>
      <c r="G415" s="32">
        <v>2.66</v>
      </c>
      <c r="H415" s="32"/>
      <c r="I415" s="32"/>
      <c r="J415" s="33" t="str">
        <f t="shared" si="40"/>
        <v/>
      </c>
      <c r="K415" s="34"/>
      <c r="L415" s="35"/>
      <c r="M415" s="36" t="str">
        <f t="shared" si="41"/>
        <v/>
      </c>
      <c r="N415" s="37"/>
      <c r="O415" s="29"/>
      <c r="P415" s="38"/>
      <c r="Q415" s="28"/>
      <c r="R415" s="28" t="s">
        <v>21</v>
      </c>
      <c r="S415" s="47"/>
      <c r="T415" s="28"/>
      <c r="U415" s="28" t="s">
        <v>31</v>
      </c>
    </row>
    <row r="416" spans="1:21" s="27" customFormat="1" x14ac:dyDescent="0.25">
      <c r="A416" s="28" t="s">
        <v>21</v>
      </c>
      <c r="B416" s="28" t="s">
        <v>2090</v>
      </c>
      <c r="C416" s="28"/>
      <c r="D416" s="31"/>
      <c r="E416" s="73"/>
      <c r="F416" s="45"/>
      <c r="G416" s="32">
        <v>2.4529999999999998</v>
      </c>
      <c r="H416" s="32">
        <v>26.12</v>
      </c>
      <c r="I416" s="32">
        <v>23.18</v>
      </c>
      <c r="J416" s="33">
        <f>IF(O416&lt;&gt;"",(H416-I416)/O416,"")</f>
        <v>0.24500000000000011</v>
      </c>
      <c r="K416" s="34" t="str">
        <f t="shared" ref="K416" si="42">IF(J416=0,"",IF(OR(J416&lt;0,J416&gt;0.03),"X",""))</f>
        <v>X</v>
      </c>
      <c r="L416" s="35">
        <f>F416/(O416*P416)</f>
        <v>0</v>
      </c>
      <c r="M416" s="36" t="str">
        <f>IF(L416=0,"",IF(OR(L416&lt;7,L416&gt;7.8),"X",""))</f>
        <v/>
      </c>
      <c r="N416" s="37" t="s">
        <v>26</v>
      </c>
      <c r="O416" s="29">
        <v>12</v>
      </c>
      <c r="P416" s="38">
        <v>40</v>
      </c>
      <c r="Q416" s="28"/>
      <c r="R416" s="28" t="s">
        <v>21</v>
      </c>
      <c r="S416" s="47"/>
      <c r="T416" s="28"/>
      <c r="U416" s="28" t="s">
        <v>31</v>
      </c>
    </row>
    <row r="417" spans="1:21" s="27" customFormat="1" x14ac:dyDescent="0.25">
      <c r="A417" s="28" t="s">
        <v>21</v>
      </c>
      <c r="B417" s="28" t="s">
        <v>21</v>
      </c>
      <c r="C417" s="28"/>
      <c r="D417" s="31"/>
      <c r="E417" s="73"/>
      <c r="F417" s="31"/>
      <c r="G417" s="32">
        <v>2.2130000000000001</v>
      </c>
      <c r="H417" s="32"/>
      <c r="I417" s="32"/>
      <c r="J417" s="33" t="str">
        <f t="shared" ref="J417:J427" si="43">IF(O417&lt;&gt;"",(H417-I417)/O417,"")</f>
        <v/>
      </c>
      <c r="K417" s="34"/>
      <c r="L417" s="35"/>
      <c r="M417" s="36" t="str">
        <f t="shared" ref="M417:M427" si="44">IF(L417=0,"",IF(OR(L417&lt;7.4,L417&gt;8),"X",""))</f>
        <v/>
      </c>
      <c r="N417" s="37"/>
      <c r="O417" s="29"/>
      <c r="P417" s="38"/>
      <c r="Q417" s="28"/>
      <c r="R417" s="28" t="s">
        <v>21</v>
      </c>
      <c r="S417" s="47"/>
      <c r="T417" s="28"/>
      <c r="U417" s="28" t="s">
        <v>31</v>
      </c>
    </row>
    <row r="418" spans="1:21" s="27" customFormat="1" x14ac:dyDescent="0.25">
      <c r="A418" s="28" t="s">
        <v>21</v>
      </c>
      <c r="B418" s="28" t="s">
        <v>21</v>
      </c>
      <c r="C418" s="28"/>
      <c r="D418" s="31"/>
      <c r="E418" s="73"/>
      <c r="F418" s="31"/>
      <c r="G418" s="32">
        <v>2.21</v>
      </c>
      <c r="H418" s="32"/>
      <c r="I418" s="32"/>
      <c r="J418" s="33" t="str">
        <f t="shared" si="43"/>
        <v/>
      </c>
      <c r="K418" s="34"/>
      <c r="L418" s="35"/>
      <c r="M418" s="36" t="str">
        <f t="shared" si="44"/>
        <v/>
      </c>
      <c r="N418" s="37"/>
      <c r="O418" s="29"/>
      <c r="P418" s="38"/>
      <c r="Q418" s="28"/>
      <c r="R418" s="28" t="s">
        <v>21</v>
      </c>
      <c r="S418" s="47"/>
      <c r="T418" s="28"/>
      <c r="U418" s="28" t="s">
        <v>31</v>
      </c>
    </row>
    <row r="419" spans="1:21" s="27" customFormat="1" x14ac:dyDescent="0.25">
      <c r="A419" s="28" t="s">
        <v>21</v>
      </c>
      <c r="B419" s="28" t="s">
        <v>21</v>
      </c>
      <c r="C419" s="28"/>
      <c r="D419" s="31"/>
      <c r="E419" s="73"/>
      <c r="F419" s="31"/>
      <c r="G419" s="32">
        <v>2.1219999999999999</v>
      </c>
      <c r="H419" s="32"/>
      <c r="I419" s="32"/>
      <c r="J419" s="33" t="str">
        <f t="shared" si="43"/>
        <v/>
      </c>
      <c r="K419" s="34"/>
      <c r="L419" s="35"/>
      <c r="M419" s="36" t="str">
        <f t="shared" si="44"/>
        <v/>
      </c>
      <c r="N419" s="37"/>
      <c r="O419" s="29"/>
      <c r="P419" s="38"/>
      <c r="Q419" s="28"/>
      <c r="R419" s="28" t="s">
        <v>21</v>
      </c>
      <c r="S419" s="47"/>
      <c r="T419" s="28"/>
      <c r="U419" s="28" t="s">
        <v>31</v>
      </c>
    </row>
    <row r="420" spans="1:21" s="27" customFormat="1" x14ac:dyDescent="0.25">
      <c r="A420" s="28" t="s">
        <v>21</v>
      </c>
      <c r="B420" s="28" t="s">
        <v>21</v>
      </c>
      <c r="C420" s="28"/>
      <c r="D420" s="31"/>
      <c r="E420" s="73"/>
      <c r="F420" s="31"/>
      <c r="G420" s="32">
        <v>2.3039999999999998</v>
      </c>
      <c r="H420" s="32"/>
      <c r="I420" s="32"/>
      <c r="J420" s="33" t="str">
        <f t="shared" si="43"/>
        <v/>
      </c>
      <c r="K420" s="34"/>
      <c r="L420" s="35"/>
      <c r="M420" s="36" t="str">
        <f t="shared" si="44"/>
        <v/>
      </c>
      <c r="N420" s="37"/>
      <c r="O420" s="29"/>
      <c r="P420" s="38"/>
      <c r="Q420" s="28"/>
      <c r="R420" s="28" t="s">
        <v>21</v>
      </c>
      <c r="S420" s="47"/>
      <c r="T420" s="28"/>
      <c r="U420" s="28" t="s">
        <v>31</v>
      </c>
    </row>
    <row r="421" spans="1:21" s="27" customFormat="1" x14ac:dyDescent="0.25">
      <c r="A421" s="28" t="s">
        <v>21</v>
      </c>
      <c r="B421" s="28" t="s">
        <v>21</v>
      </c>
      <c r="C421" s="28"/>
      <c r="D421" s="31"/>
      <c r="E421" s="73"/>
      <c r="F421" s="31"/>
      <c r="G421" s="32">
        <v>2.1970000000000001</v>
      </c>
      <c r="H421" s="32"/>
      <c r="I421" s="32"/>
      <c r="J421" s="33" t="str">
        <f t="shared" si="43"/>
        <v/>
      </c>
      <c r="K421" s="34"/>
      <c r="L421" s="35"/>
      <c r="M421" s="36" t="str">
        <f t="shared" si="44"/>
        <v/>
      </c>
      <c r="N421" s="37"/>
      <c r="O421" s="29"/>
      <c r="P421" s="38"/>
      <c r="Q421" s="28"/>
      <c r="R421" s="28" t="s">
        <v>21</v>
      </c>
      <c r="S421" s="47"/>
      <c r="T421" s="28"/>
      <c r="U421" s="28" t="s">
        <v>31</v>
      </c>
    </row>
    <row r="422" spans="1:21" s="27" customFormat="1" x14ac:dyDescent="0.25">
      <c r="A422" s="28" t="s">
        <v>21</v>
      </c>
      <c r="B422" s="28" t="s">
        <v>21</v>
      </c>
      <c r="C422" s="28"/>
      <c r="D422" s="31"/>
      <c r="E422" s="73"/>
      <c r="F422" s="31"/>
      <c r="G422" s="32">
        <v>2.153</v>
      </c>
      <c r="H422" s="32"/>
      <c r="I422" s="32"/>
      <c r="J422" s="33" t="str">
        <f t="shared" si="43"/>
        <v/>
      </c>
      <c r="K422" s="34"/>
      <c r="L422" s="35"/>
      <c r="M422" s="36" t="str">
        <f t="shared" si="44"/>
        <v/>
      </c>
      <c r="N422" s="37"/>
      <c r="O422" s="29"/>
      <c r="P422" s="38"/>
      <c r="Q422" s="28"/>
      <c r="R422" s="28" t="s">
        <v>21</v>
      </c>
      <c r="S422" s="47"/>
      <c r="T422" s="28"/>
      <c r="U422" s="28" t="s">
        <v>31</v>
      </c>
    </row>
    <row r="423" spans="1:21" s="27" customFormat="1" x14ac:dyDescent="0.25">
      <c r="A423" s="28" t="s">
        <v>21</v>
      </c>
      <c r="B423" s="28" t="s">
        <v>21</v>
      </c>
      <c r="C423" s="28"/>
      <c r="D423" s="31"/>
      <c r="E423" s="73"/>
      <c r="F423" s="31"/>
      <c r="G423" s="32">
        <v>2.048</v>
      </c>
      <c r="H423" s="32"/>
      <c r="I423" s="32"/>
      <c r="J423" s="33" t="str">
        <f t="shared" si="43"/>
        <v/>
      </c>
      <c r="K423" s="34"/>
      <c r="L423" s="35"/>
      <c r="M423" s="36" t="str">
        <f t="shared" si="44"/>
        <v/>
      </c>
      <c r="N423" s="37"/>
      <c r="O423" s="29"/>
      <c r="P423" s="38"/>
      <c r="Q423" s="28"/>
      <c r="R423" s="28" t="s">
        <v>21</v>
      </c>
      <c r="S423" s="47"/>
      <c r="T423" s="28"/>
      <c r="U423" s="28" t="s">
        <v>31</v>
      </c>
    </row>
    <row r="424" spans="1:21" s="27" customFormat="1" x14ac:dyDescent="0.25">
      <c r="A424" s="28" t="s">
        <v>21</v>
      </c>
      <c r="B424" s="28" t="s">
        <v>21</v>
      </c>
      <c r="C424" s="28"/>
      <c r="D424" s="31"/>
      <c r="E424" s="73"/>
      <c r="F424" s="31"/>
      <c r="G424" s="32">
        <v>2.097</v>
      </c>
      <c r="H424" s="32"/>
      <c r="I424" s="32"/>
      <c r="J424" s="33" t="str">
        <f t="shared" si="43"/>
        <v/>
      </c>
      <c r="K424" s="34"/>
      <c r="L424" s="35"/>
      <c r="M424" s="36" t="str">
        <f t="shared" si="44"/>
        <v/>
      </c>
      <c r="N424" s="37"/>
      <c r="O424" s="29"/>
      <c r="P424" s="38"/>
      <c r="Q424" s="28"/>
      <c r="R424" s="28" t="s">
        <v>21</v>
      </c>
      <c r="S424" s="47"/>
      <c r="T424" s="28"/>
      <c r="U424" s="28" t="s">
        <v>31</v>
      </c>
    </row>
    <row r="425" spans="1:21" s="27" customFormat="1" x14ac:dyDescent="0.25">
      <c r="A425" s="28" t="s">
        <v>21</v>
      </c>
      <c r="B425" s="28" t="s">
        <v>21</v>
      </c>
      <c r="C425" s="28"/>
      <c r="D425" s="31"/>
      <c r="E425" s="73"/>
      <c r="F425" s="31"/>
      <c r="G425" s="32">
        <v>2.1230000000000002</v>
      </c>
      <c r="H425" s="32"/>
      <c r="I425" s="32"/>
      <c r="J425" s="33" t="str">
        <f t="shared" si="43"/>
        <v/>
      </c>
      <c r="K425" s="34"/>
      <c r="L425" s="35"/>
      <c r="M425" s="36" t="str">
        <f t="shared" si="44"/>
        <v/>
      </c>
      <c r="N425" s="37"/>
      <c r="O425" s="29"/>
      <c r="P425" s="38"/>
      <c r="Q425" s="28"/>
      <c r="R425" s="28" t="s">
        <v>21</v>
      </c>
      <c r="S425" s="47"/>
      <c r="T425" s="28"/>
      <c r="U425" s="28" t="s">
        <v>31</v>
      </c>
    </row>
    <row r="426" spans="1:21" s="27" customFormat="1" x14ac:dyDescent="0.25">
      <c r="A426" s="28" t="s">
        <v>21</v>
      </c>
      <c r="B426" s="28" t="s">
        <v>21</v>
      </c>
      <c r="C426" s="28"/>
      <c r="D426" s="31"/>
      <c r="E426" s="73"/>
      <c r="F426" s="31"/>
      <c r="G426" s="32">
        <v>2.0830000000000002</v>
      </c>
      <c r="H426" s="32"/>
      <c r="I426" s="32"/>
      <c r="J426" s="33" t="str">
        <f t="shared" si="43"/>
        <v/>
      </c>
      <c r="K426" s="34"/>
      <c r="L426" s="35"/>
      <c r="M426" s="36" t="str">
        <f t="shared" si="44"/>
        <v/>
      </c>
      <c r="N426" s="37"/>
      <c r="O426" s="29"/>
      <c r="P426" s="38"/>
      <c r="Q426" s="28"/>
      <c r="R426" s="28" t="s">
        <v>21</v>
      </c>
      <c r="S426" s="47"/>
      <c r="T426" s="28"/>
      <c r="U426" s="28" t="s">
        <v>31</v>
      </c>
    </row>
    <row r="427" spans="1:21" s="27" customFormat="1" x14ac:dyDescent="0.25">
      <c r="A427" s="28" t="s">
        <v>21</v>
      </c>
      <c r="B427" s="28" t="s">
        <v>21</v>
      </c>
      <c r="C427" s="28"/>
      <c r="D427" s="31"/>
      <c r="E427" s="73"/>
      <c r="F427" s="31"/>
      <c r="G427" s="32">
        <v>2.3820000000000001</v>
      </c>
      <c r="H427" s="32"/>
      <c r="I427" s="32"/>
      <c r="J427" s="33" t="str">
        <f t="shared" si="43"/>
        <v/>
      </c>
      <c r="K427" s="34"/>
      <c r="L427" s="35"/>
      <c r="M427" s="36" t="str">
        <f t="shared" si="44"/>
        <v/>
      </c>
      <c r="N427" s="37"/>
      <c r="O427" s="29"/>
      <c r="P427" s="38"/>
      <c r="Q427" s="28"/>
      <c r="R427" s="28" t="s">
        <v>21</v>
      </c>
      <c r="S427" s="47"/>
      <c r="T427" s="28"/>
      <c r="U427" s="28" t="s">
        <v>31</v>
      </c>
    </row>
  </sheetData>
  <customSheetViews>
    <customSheetView guid="{C2C34B0E-C0A2-4B0B-812E-0757ABB9DC2E}">
      <pane ySplit="1" topLeftCell="A103" activePane="bottomLeft" state="frozen"/>
      <selection pane="bottomLeft" activeCell="H104" sqref="H104"/>
      <pageMargins left="0.7" right="0.7" top="0.78740157499999996" bottom="0.78740157499999996" header="0.3" footer="0.3"/>
    </customSheetView>
    <customSheetView guid="{3652BF58-5AAC-43BD-BC8A-2FFF29529405}">
      <pane ySplit="1" topLeftCell="A124" activePane="bottomLeft" state="frozen"/>
      <selection pane="bottomLeft" activeCell="S84" sqref="S84:S88"/>
      <pageMargins left="0.7" right="0.7" top="0.78740157499999996" bottom="0.78740157499999996" header="0.3" footer="0.3"/>
    </customSheetView>
    <customSheetView guid="{E2377352-22A7-452B-BFAD-18D3D497CC88}">
      <pane ySplit="1" topLeftCell="A103" activePane="bottomLeft" state="frozen"/>
      <selection pane="bottomLeft" activeCell="H104" sqref="H104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26"/>
  <sheetViews>
    <sheetView zoomScaleNormal="100" workbookViewId="0">
      <pane ySplit="1" topLeftCell="A163" activePane="bottomLeft" state="frozen"/>
      <selection pane="bottomLeft" activeCell="S112" sqref="S112:S121"/>
    </sheetView>
  </sheetViews>
  <sheetFormatPr baseColWidth="10" defaultRowHeight="15" x14ac:dyDescent="0.25"/>
  <cols>
    <col min="1" max="1" width="14" customWidth="1"/>
    <col min="2" max="2" width="17.5703125" customWidth="1"/>
    <col min="4" max="4" width="9.140625" customWidth="1"/>
    <col min="5" max="5" width="8.5703125" customWidth="1"/>
    <col min="6" max="6" width="10.7109375" customWidth="1"/>
    <col min="8" max="9" width="12.140625" customWidth="1"/>
    <col min="10" max="10" width="9.7109375" customWidth="1"/>
    <col min="11" max="11" width="1.7109375" customWidth="1"/>
    <col min="12" max="12" width="9.85546875" customWidth="1"/>
    <col min="13" max="13" width="2.28515625" customWidth="1"/>
    <col min="14" max="14" width="12.7109375" customWidth="1"/>
    <col min="15" max="15" width="7.5703125" customWidth="1"/>
    <col min="16" max="16" width="9.42578125" customWidth="1"/>
    <col min="17" max="17" width="2.5703125" customWidth="1"/>
    <col min="18" max="18" width="33.140625" customWidth="1"/>
    <col min="19" max="19" width="45.28515625" customWidth="1"/>
    <col min="20" max="20" width="1.42578125" customWidth="1"/>
    <col min="21" max="21" width="8.8554687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2135</v>
      </c>
      <c r="B2" s="44" t="s">
        <v>2136</v>
      </c>
      <c r="C2" s="28">
        <v>698355</v>
      </c>
      <c r="D2" s="31">
        <v>1</v>
      </c>
      <c r="E2" s="71">
        <v>24</v>
      </c>
      <c r="F2" s="45">
        <v>302</v>
      </c>
      <c r="G2" s="32"/>
      <c r="H2" s="32">
        <v>1.86</v>
      </c>
      <c r="I2" s="32">
        <v>1.849</v>
      </c>
      <c r="J2" s="33">
        <f t="shared" ref="J2:J31" si="0">IF(O2&lt;&gt;"",(H2-I2)/O2,"")</f>
        <v>1.1000000000000121E-2</v>
      </c>
      <c r="K2" s="34" t="str">
        <f t="shared" ref="K2:K65" si="1">IF(J2=0,"",IF(OR(J2&lt;0,J2&gt;0.03),"X",""))</f>
        <v/>
      </c>
      <c r="L2" s="35">
        <f t="shared" ref="L2:L31" si="2">F2/(O2*P2)</f>
        <v>7.55</v>
      </c>
      <c r="M2" s="36" t="str">
        <f t="shared" ref="M2:M31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2166</v>
      </c>
      <c r="S2" s="71" t="s">
        <v>103</v>
      </c>
      <c r="T2" s="46"/>
      <c r="U2" s="28" t="s">
        <v>31</v>
      </c>
    </row>
    <row r="3" spans="1:54" s="27" customFormat="1" x14ac:dyDescent="0.25">
      <c r="A3" s="28" t="s">
        <v>21</v>
      </c>
      <c r="B3" s="44" t="s">
        <v>2137</v>
      </c>
      <c r="C3" s="28" t="s">
        <v>21</v>
      </c>
      <c r="D3" s="31">
        <v>1</v>
      </c>
      <c r="E3" s="71">
        <v>39</v>
      </c>
      <c r="F3" s="45">
        <v>301</v>
      </c>
      <c r="G3" s="32"/>
      <c r="H3" s="32">
        <v>1.8540000000000001</v>
      </c>
      <c r="I3" s="32">
        <v>1.8440000000000001</v>
      </c>
      <c r="J3" s="33">
        <f t="shared" si="0"/>
        <v>1.0000000000000009E-2</v>
      </c>
      <c r="K3" s="34" t="str">
        <f t="shared" si="1"/>
        <v/>
      </c>
      <c r="L3" s="35">
        <f t="shared" si="2"/>
        <v>7.5250000000000004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2167</v>
      </c>
      <c r="S3" s="71" t="s">
        <v>59</v>
      </c>
      <c r="T3" s="46"/>
      <c r="U3" s="28" t="s">
        <v>31</v>
      </c>
    </row>
    <row r="4" spans="1:54" s="27" customFormat="1" x14ac:dyDescent="0.25">
      <c r="A4" s="28" t="s">
        <v>21</v>
      </c>
      <c r="B4" s="44" t="s">
        <v>2138</v>
      </c>
      <c r="C4" s="28" t="s">
        <v>21</v>
      </c>
      <c r="D4" s="31">
        <v>1</v>
      </c>
      <c r="E4" s="71">
        <v>29</v>
      </c>
      <c r="F4" s="45">
        <v>303</v>
      </c>
      <c r="G4" s="32"/>
      <c r="H4" s="32">
        <v>1.8580000000000001</v>
      </c>
      <c r="I4" s="32">
        <v>1.847</v>
      </c>
      <c r="J4" s="33">
        <f t="shared" si="0"/>
        <v>1.1000000000000121E-2</v>
      </c>
      <c r="K4" s="34" t="str">
        <f t="shared" si="1"/>
        <v/>
      </c>
      <c r="L4" s="35">
        <f t="shared" si="2"/>
        <v>7.5750000000000002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2168</v>
      </c>
      <c r="S4" s="28" t="s">
        <v>21</v>
      </c>
      <c r="T4" s="46"/>
      <c r="U4" s="28" t="s">
        <v>31</v>
      </c>
    </row>
    <row r="5" spans="1:54" s="27" customFormat="1" x14ac:dyDescent="0.25">
      <c r="A5" s="28" t="s">
        <v>21</v>
      </c>
      <c r="B5" s="44" t="s">
        <v>2139</v>
      </c>
      <c r="C5" s="28" t="s">
        <v>21</v>
      </c>
      <c r="D5" s="31">
        <v>1</v>
      </c>
      <c r="E5" s="71">
        <v>36</v>
      </c>
      <c r="F5" s="45">
        <v>301</v>
      </c>
      <c r="G5" s="32"/>
      <c r="H5" s="32">
        <v>1.849</v>
      </c>
      <c r="I5" s="32">
        <v>1.839</v>
      </c>
      <c r="J5" s="33">
        <f t="shared" si="0"/>
        <v>1.0000000000000009E-2</v>
      </c>
      <c r="K5" s="34" t="str">
        <f t="shared" si="1"/>
        <v/>
      </c>
      <c r="L5" s="35">
        <f t="shared" si="2"/>
        <v>7.5250000000000004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2169</v>
      </c>
      <c r="S5" s="28" t="s">
        <v>21</v>
      </c>
      <c r="T5" s="46"/>
      <c r="U5" s="28" t="s">
        <v>31</v>
      </c>
    </row>
    <row r="6" spans="1:54" s="27" customFormat="1" x14ac:dyDescent="0.25">
      <c r="A6" s="28" t="s">
        <v>21</v>
      </c>
      <c r="B6" s="44" t="s">
        <v>2140</v>
      </c>
      <c r="C6" s="28" t="s">
        <v>21</v>
      </c>
      <c r="D6" s="31">
        <v>1</v>
      </c>
      <c r="E6" s="71">
        <v>31</v>
      </c>
      <c r="F6" s="45">
        <v>301</v>
      </c>
      <c r="G6" s="32"/>
      <c r="H6" s="32">
        <v>1.8460000000000001</v>
      </c>
      <c r="I6" s="32">
        <v>1.837</v>
      </c>
      <c r="J6" s="33">
        <f t="shared" si="0"/>
        <v>9.000000000000119E-3</v>
      </c>
      <c r="K6" s="34" t="str">
        <f t="shared" si="1"/>
        <v/>
      </c>
      <c r="L6" s="35">
        <f t="shared" si="2"/>
        <v>7.5250000000000004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2170</v>
      </c>
      <c r="S6" s="28" t="s">
        <v>21</v>
      </c>
      <c r="T6" s="46"/>
      <c r="U6" s="28" t="s">
        <v>31</v>
      </c>
    </row>
    <row r="7" spans="1:54" s="27" customFormat="1" x14ac:dyDescent="0.25">
      <c r="A7" s="28" t="s">
        <v>21</v>
      </c>
      <c r="B7" s="44" t="s">
        <v>2141</v>
      </c>
      <c r="C7" s="28" t="s">
        <v>21</v>
      </c>
      <c r="D7" s="31">
        <v>1</v>
      </c>
      <c r="E7" s="71">
        <v>50</v>
      </c>
      <c r="F7" s="45">
        <v>299</v>
      </c>
      <c r="G7" s="32"/>
      <c r="H7" s="32">
        <v>1.8420000000000001</v>
      </c>
      <c r="I7" s="32">
        <v>1.8320000000000001</v>
      </c>
      <c r="J7" s="33">
        <f t="shared" si="0"/>
        <v>1.0000000000000009E-2</v>
      </c>
      <c r="K7" s="34" t="str">
        <f t="shared" si="1"/>
        <v/>
      </c>
      <c r="L7" s="35">
        <f t="shared" si="2"/>
        <v>7.4749999999999996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2171</v>
      </c>
      <c r="S7" s="71" t="s">
        <v>58</v>
      </c>
      <c r="T7" s="46"/>
      <c r="U7" s="28" t="s">
        <v>31</v>
      </c>
    </row>
    <row r="8" spans="1:54" s="27" customFormat="1" x14ac:dyDescent="0.25">
      <c r="A8" s="28" t="s">
        <v>21</v>
      </c>
      <c r="B8" s="44" t="s">
        <v>2142</v>
      </c>
      <c r="C8" s="28" t="s">
        <v>21</v>
      </c>
      <c r="D8" s="31">
        <v>1</v>
      </c>
      <c r="E8" s="71">
        <v>54</v>
      </c>
      <c r="F8" s="45">
        <v>303</v>
      </c>
      <c r="G8" s="32"/>
      <c r="H8" s="32">
        <v>1.841</v>
      </c>
      <c r="I8" s="32">
        <v>1.831</v>
      </c>
      <c r="J8" s="33">
        <f t="shared" si="0"/>
        <v>1.0000000000000009E-2</v>
      </c>
      <c r="K8" s="34" t="str">
        <f t="shared" si="1"/>
        <v/>
      </c>
      <c r="L8" s="35">
        <f t="shared" si="2"/>
        <v>7.5750000000000002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2173</v>
      </c>
      <c r="S8" s="71" t="s">
        <v>59</v>
      </c>
      <c r="T8" s="46"/>
      <c r="U8" s="28" t="s">
        <v>31</v>
      </c>
    </row>
    <row r="9" spans="1:54" s="27" customFormat="1" x14ac:dyDescent="0.25">
      <c r="A9" s="28" t="s">
        <v>21</v>
      </c>
      <c r="B9" s="44" t="s">
        <v>2143</v>
      </c>
      <c r="C9" s="28" t="s">
        <v>21</v>
      </c>
      <c r="D9" s="31">
        <v>1</v>
      </c>
      <c r="E9" s="71">
        <v>65</v>
      </c>
      <c r="F9" s="45">
        <v>301</v>
      </c>
      <c r="G9" s="32"/>
      <c r="H9" s="32">
        <v>1.855</v>
      </c>
      <c r="I9" s="32">
        <v>1.8480000000000001</v>
      </c>
      <c r="J9" s="33">
        <f t="shared" si="0"/>
        <v>6.9999999999998952E-3</v>
      </c>
      <c r="K9" s="34" t="str">
        <f t="shared" si="1"/>
        <v/>
      </c>
      <c r="L9" s="35">
        <f t="shared" si="2"/>
        <v>7.5250000000000004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2174</v>
      </c>
      <c r="S9" s="28" t="s">
        <v>21</v>
      </c>
      <c r="T9" s="46"/>
      <c r="U9" s="28" t="s">
        <v>31</v>
      </c>
    </row>
    <row r="10" spans="1:54" s="27" customFormat="1" x14ac:dyDescent="0.25">
      <c r="A10" s="28" t="s">
        <v>21</v>
      </c>
      <c r="B10" s="44" t="s">
        <v>2144</v>
      </c>
      <c r="C10" s="28" t="s">
        <v>21</v>
      </c>
      <c r="D10" s="31">
        <v>1</v>
      </c>
      <c r="E10" s="71">
        <v>51</v>
      </c>
      <c r="F10" s="45">
        <v>300</v>
      </c>
      <c r="G10" s="32"/>
      <c r="H10" s="32">
        <v>1.8620000000000001</v>
      </c>
      <c r="I10" s="32">
        <v>1.853</v>
      </c>
      <c r="J10" s="33">
        <f t="shared" si="0"/>
        <v>9.000000000000119E-3</v>
      </c>
      <c r="K10" s="34" t="str">
        <f t="shared" si="1"/>
        <v/>
      </c>
      <c r="L10" s="35">
        <f t="shared" si="2"/>
        <v>7.5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2172</v>
      </c>
      <c r="S10" s="28" t="s">
        <v>21</v>
      </c>
      <c r="T10" s="46"/>
      <c r="U10" s="28" t="s">
        <v>31</v>
      </c>
    </row>
    <row r="11" spans="1:54" s="27" customFormat="1" x14ac:dyDescent="0.25">
      <c r="A11" s="28" t="s">
        <v>21</v>
      </c>
      <c r="B11" s="44" t="s">
        <v>2145</v>
      </c>
      <c r="C11" s="28" t="s">
        <v>21</v>
      </c>
      <c r="D11" s="31">
        <v>1</v>
      </c>
      <c r="E11" s="71">
        <v>49</v>
      </c>
      <c r="F11" s="45">
        <v>299</v>
      </c>
      <c r="G11" s="32"/>
      <c r="H11" s="32">
        <v>1.8580000000000001</v>
      </c>
      <c r="I11" s="32">
        <v>1.849</v>
      </c>
      <c r="J11" s="33">
        <f t="shared" si="0"/>
        <v>9.000000000000119E-3</v>
      </c>
      <c r="K11" s="34" t="str">
        <f t="shared" si="1"/>
        <v/>
      </c>
      <c r="L11" s="35">
        <f t="shared" si="2"/>
        <v>7.4749999999999996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2176</v>
      </c>
      <c r="S11" s="28" t="s">
        <v>21</v>
      </c>
      <c r="T11" s="46"/>
      <c r="U11" s="28" t="s">
        <v>31</v>
      </c>
    </row>
    <row r="12" spans="1:54" s="27" customFormat="1" x14ac:dyDescent="0.25">
      <c r="A12" s="28" t="s">
        <v>21</v>
      </c>
      <c r="B12" s="44" t="s">
        <v>2146</v>
      </c>
      <c r="C12" s="28" t="s">
        <v>21</v>
      </c>
      <c r="D12" s="31">
        <v>1</v>
      </c>
      <c r="E12" s="71">
        <v>57</v>
      </c>
      <c r="F12" s="45">
        <v>299</v>
      </c>
      <c r="G12" s="32"/>
      <c r="H12" s="32">
        <v>1.8660000000000001</v>
      </c>
      <c r="I12" s="32">
        <v>1.857</v>
      </c>
      <c r="J12" s="33">
        <f t="shared" si="0"/>
        <v>9.000000000000119E-3</v>
      </c>
      <c r="K12" s="34" t="str">
        <f t="shared" si="1"/>
        <v/>
      </c>
      <c r="L12" s="35">
        <f t="shared" si="2"/>
        <v>7.4749999999999996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2178</v>
      </c>
      <c r="S12" s="71" t="s">
        <v>103</v>
      </c>
      <c r="T12" s="46"/>
      <c r="U12" s="28" t="s">
        <v>31</v>
      </c>
    </row>
    <row r="13" spans="1:54" s="27" customFormat="1" x14ac:dyDescent="0.25">
      <c r="A13" s="28" t="s">
        <v>21</v>
      </c>
      <c r="B13" s="44" t="s">
        <v>2147</v>
      </c>
      <c r="C13" s="28" t="s">
        <v>21</v>
      </c>
      <c r="D13" s="31">
        <v>1</v>
      </c>
      <c r="E13" s="71">
        <v>53</v>
      </c>
      <c r="F13" s="45">
        <v>299</v>
      </c>
      <c r="G13" s="32"/>
      <c r="H13" s="32">
        <v>1.867</v>
      </c>
      <c r="I13" s="32">
        <v>1.8580000000000001</v>
      </c>
      <c r="J13" s="33">
        <f t="shared" si="0"/>
        <v>8.999999999999897E-3</v>
      </c>
      <c r="K13" s="34" t="str">
        <f t="shared" si="1"/>
        <v/>
      </c>
      <c r="L13" s="35">
        <f t="shared" si="2"/>
        <v>7.4749999999999996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2175</v>
      </c>
      <c r="S13" s="71" t="s">
        <v>59</v>
      </c>
      <c r="T13" s="46"/>
      <c r="U13" s="28" t="s">
        <v>31</v>
      </c>
    </row>
    <row r="14" spans="1:54" s="27" customFormat="1" x14ac:dyDescent="0.25">
      <c r="A14" s="28" t="s">
        <v>21</v>
      </c>
      <c r="B14" s="44" t="s">
        <v>2148</v>
      </c>
      <c r="C14" s="28" t="s">
        <v>21</v>
      </c>
      <c r="D14" s="31">
        <v>1</v>
      </c>
      <c r="E14" s="71">
        <v>53</v>
      </c>
      <c r="F14" s="45">
        <v>299</v>
      </c>
      <c r="G14" s="32"/>
      <c r="H14" s="32">
        <v>1.87</v>
      </c>
      <c r="I14" s="32">
        <v>1.861</v>
      </c>
      <c r="J14" s="33">
        <f t="shared" si="0"/>
        <v>9.000000000000119E-3</v>
      </c>
      <c r="K14" s="34" t="str">
        <f t="shared" si="1"/>
        <v/>
      </c>
      <c r="L14" s="35">
        <f t="shared" si="2"/>
        <v>7.4749999999999996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2177</v>
      </c>
      <c r="S14" s="28" t="s">
        <v>21</v>
      </c>
      <c r="T14" s="46"/>
      <c r="U14" s="28" t="s">
        <v>31</v>
      </c>
    </row>
    <row r="15" spans="1:54" s="27" customFormat="1" x14ac:dyDescent="0.25">
      <c r="A15" s="28" t="s">
        <v>21</v>
      </c>
      <c r="B15" s="44" t="s">
        <v>2149</v>
      </c>
      <c r="C15" s="28" t="s">
        <v>21</v>
      </c>
      <c r="D15" s="31">
        <v>1</v>
      </c>
      <c r="E15" s="71">
        <v>48</v>
      </c>
      <c r="F15" s="45">
        <v>299</v>
      </c>
      <c r="G15" s="32"/>
      <c r="H15" s="32">
        <v>1.867</v>
      </c>
      <c r="I15" s="32">
        <v>1.857</v>
      </c>
      <c r="J15" s="33">
        <f t="shared" si="0"/>
        <v>1.0000000000000009E-2</v>
      </c>
      <c r="K15" s="34" t="str">
        <f t="shared" si="1"/>
        <v/>
      </c>
      <c r="L15" s="35">
        <f t="shared" si="2"/>
        <v>7.4749999999999996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2179</v>
      </c>
      <c r="S15" s="28" t="s">
        <v>21</v>
      </c>
      <c r="T15" s="46"/>
      <c r="U15" s="28" t="s">
        <v>31</v>
      </c>
    </row>
    <row r="16" spans="1:54" s="27" customFormat="1" x14ac:dyDescent="0.25">
      <c r="A16" s="28" t="s">
        <v>21</v>
      </c>
      <c r="B16" s="44" t="s">
        <v>2150</v>
      </c>
      <c r="C16" s="28" t="s">
        <v>21</v>
      </c>
      <c r="D16" s="31">
        <v>1</v>
      </c>
      <c r="E16" s="71">
        <v>55</v>
      </c>
      <c r="F16" s="45">
        <v>299</v>
      </c>
      <c r="G16" s="32"/>
      <c r="H16" s="32">
        <v>1.865</v>
      </c>
      <c r="I16" s="32">
        <v>1.857</v>
      </c>
      <c r="J16" s="33">
        <f t="shared" si="0"/>
        <v>8.0000000000000071E-3</v>
      </c>
      <c r="K16" s="34" t="str">
        <f t="shared" si="1"/>
        <v/>
      </c>
      <c r="L16" s="35">
        <f t="shared" si="2"/>
        <v>7.4749999999999996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2180</v>
      </c>
      <c r="S16" s="28" t="s">
        <v>21</v>
      </c>
      <c r="T16" s="46"/>
      <c r="U16" s="28" t="s">
        <v>31</v>
      </c>
    </row>
    <row r="17" spans="1:21" s="27" customFormat="1" x14ac:dyDescent="0.25">
      <c r="A17" s="28" t="s">
        <v>21</v>
      </c>
      <c r="B17" s="44" t="s">
        <v>2151</v>
      </c>
      <c r="C17" s="28" t="s">
        <v>21</v>
      </c>
      <c r="D17" s="31">
        <v>1</v>
      </c>
      <c r="E17" s="71">
        <v>40</v>
      </c>
      <c r="F17" s="45">
        <v>300</v>
      </c>
      <c r="G17" s="32"/>
      <c r="H17" s="32">
        <v>1.8740000000000001</v>
      </c>
      <c r="I17" s="32">
        <v>1.8680000000000001</v>
      </c>
      <c r="J17" s="33">
        <f t="shared" si="0"/>
        <v>6.0000000000000053E-3</v>
      </c>
      <c r="K17" s="34" t="str">
        <f t="shared" si="1"/>
        <v/>
      </c>
      <c r="L17" s="35">
        <f t="shared" si="2"/>
        <v>7.5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2181</v>
      </c>
      <c r="S17" s="71" t="s">
        <v>58</v>
      </c>
      <c r="T17" s="46"/>
      <c r="U17" s="28" t="s">
        <v>31</v>
      </c>
    </row>
    <row r="18" spans="1:21" s="27" customFormat="1" x14ac:dyDescent="0.25">
      <c r="A18" s="28" t="s">
        <v>21</v>
      </c>
      <c r="B18" s="44" t="s">
        <v>2152</v>
      </c>
      <c r="C18" s="28" t="s">
        <v>21</v>
      </c>
      <c r="D18" s="31">
        <v>1</v>
      </c>
      <c r="E18" s="71">
        <v>42</v>
      </c>
      <c r="F18" s="45">
        <v>301</v>
      </c>
      <c r="G18" s="32"/>
      <c r="H18" s="32">
        <v>1.8759999999999999</v>
      </c>
      <c r="I18" s="32">
        <v>1.869</v>
      </c>
      <c r="J18" s="33">
        <f t="shared" si="0"/>
        <v>6.9999999999998952E-3</v>
      </c>
      <c r="K18" s="34" t="str">
        <f t="shared" si="1"/>
        <v/>
      </c>
      <c r="L18" s="35">
        <f t="shared" si="2"/>
        <v>7.5250000000000004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2183</v>
      </c>
      <c r="S18" s="71" t="s">
        <v>59</v>
      </c>
      <c r="T18" s="46"/>
      <c r="U18" s="28" t="s">
        <v>31</v>
      </c>
    </row>
    <row r="19" spans="1:21" s="27" customFormat="1" x14ac:dyDescent="0.25">
      <c r="A19" s="28" t="s">
        <v>21</v>
      </c>
      <c r="B19" s="44" t="s">
        <v>2153</v>
      </c>
      <c r="C19" s="28" t="s">
        <v>21</v>
      </c>
      <c r="D19" s="31">
        <v>1</v>
      </c>
      <c r="E19" s="71">
        <v>23</v>
      </c>
      <c r="F19" s="45">
        <v>301</v>
      </c>
      <c r="G19" s="32"/>
      <c r="H19" s="32">
        <v>1.861</v>
      </c>
      <c r="I19" s="32">
        <v>1.851</v>
      </c>
      <c r="J19" s="33">
        <f t="shared" si="0"/>
        <v>1.0000000000000009E-2</v>
      </c>
      <c r="K19" s="34" t="str">
        <f t="shared" si="1"/>
        <v/>
      </c>
      <c r="L19" s="35">
        <f t="shared" si="2"/>
        <v>7.5250000000000004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2184</v>
      </c>
      <c r="S19" s="28" t="s">
        <v>21</v>
      </c>
      <c r="T19" s="46"/>
      <c r="U19" s="28" t="s">
        <v>31</v>
      </c>
    </row>
    <row r="20" spans="1:21" s="27" customFormat="1" x14ac:dyDescent="0.25">
      <c r="A20" s="28" t="s">
        <v>21</v>
      </c>
      <c r="B20" s="44" t="s">
        <v>2154</v>
      </c>
      <c r="C20" s="28" t="s">
        <v>21</v>
      </c>
      <c r="D20" s="31">
        <v>1</v>
      </c>
      <c r="E20" s="71">
        <v>24</v>
      </c>
      <c r="F20" s="45">
        <v>301</v>
      </c>
      <c r="G20" s="32"/>
      <c r="H20" s="32">
        <v>1.8520000000000001</v>
      </c>
      <c r="I20" s="32">
        <v>1.8420000000000001</v>
      </c>
      <c r="J20" s="33">
        <f t="shared" si="0"/>
        <v>1.0000000000000009E-2</v>
      </c>
      <c r="K20" s="34" t="str">
        <f t="shared" si="1"/>
        <v/>
      </c>
      <c r="L20" s="35">
        <f t="shared" si="2"/>
        <v>7.5250000000000004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2182</v>
      </c>
      <c r="S20" s="28" t="s">
        <v>21</v>
      </c>
      <c r="T20" s="46"/>
      <c r="U20" s="28" t="s">
        <v>31</v>
      </c>
    </row>
    <row r="21" spans="1:21" s="27" customFormat="1" x14ac:dyDescent="0.25">
      <c r="A21" s="28" t="s">
        <v>21</v>
      </c>
      <c r="B21" s="44" t="s">
        <v>2155</v>
      </c>
      <c r="C21" s="28" t="s">
        <v>21</v>
      </c>
      <c r="D21" s="31">
        <v>1</v>
      </c>
      <c r="E21" s="71">
        <v>25</v>
      </c>
      <c r="F21" s="45">
        <v>299</v>
      </c>
      <c r="G21" s="32"/>
      <c r="H21" s="32">
        <v>1.855</v>
      </c>
      <c r="I21" s="32">
        <v>1.8460000000000001</v>
      </c>
      <c r="J21" s="33">
        <f t="shared" si="0"/>
        <v>8.999999999999897E-3</v>
      </c>
      <c r="K21" s="34" t="str">
        <f t="shared" si="1"/>
        <v/>
      </c>
      <c r="L21" s="35">
        <f t="shared" si="2"/>
        <v>7.4749999999999996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2185</v>
      </c>
      <c r="S21" s="28" t="s">
        <v>21</v>
      </c>
      <c r="T21" s="46"/>
      <c r="U21" s="28" t="s">
        <v>31</v>
      </c>
    </row>
    <row r="22" spans="1:21" s="27" customFormat="1" x14ac:dyDescent="0.25">
      <c r="A22" s="28" t="s">
        <v>21</v>
      </c>
      <c r="B22" s="44" t="s">
        <v>2156</v>
      </c>
      <c r="C22" s="28">
        <v>698355</v>
      </c>
      <c r="D22" s="31">
        <v>1</v>
      </c>
      <c r="E22" s="71">
        <v>35</v>
      </c>
      <c r="F22" s="45">
        <v>301</v>
      </c>
      <c r="G22" s="32"/>
      <c r="H22" s="32">
        <v>1.8580000000000001</v>
      </c>
      <c r="I22" s="32">
        <v>1.849</v>
      </c>
      <c r="J22" s="33">
        <f t="shared" si="0"/>
        <v>9.000000000000119E-3</v>
      </c>
      <c r="K22" s="34" t="str">
        <f t="shared" si="1"/>
        <v/>
      </c>
      <c r="L22" s="35">
        <f t="shared" si="2"/>
        <v>7.5250000000000004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2186</v>
      </c>
      <c r="S22" s="71" t="s">
        <v>103</v>
      </c>
      <c r="T22" s="46"/>
      <c r="U22" s="28" t="s">
        <v>31</v>
      </c>
    </row>
    <row r="23" spans="1:21" s="27" customFormat="1" x14ac:dyDescent="0.25">
      <c r="A23" s="28" t="s">
        <v>21</v>
      </c>
      <c r="B23" s="44" t="s">
        <v>2157</v>
      </c>
      <c r="C23" s="28" t="s">
        <v>21</v>
      </c>
      <c r="D23" s="31">
        <v>1</v>
      </c>
      <c r="E23" s="71">
        <v>36</v>
      </c>
      <c r="F23" s="45">
        <v>301</v>
      </c>
      <c r="G23" s="32"/>
      <c r="H23" s="32">
        <v>1.8540000000000001</v>
      </c>
      <c r="I23" s="32">
        <v>1.8460000000000001</v>
      </c>
      <c r="J23" s="33">
        <f t="shared" si="0"/>
        <v>8.0000000000000071E-3</v>
      </c>
      <c r="K23" s="34" t="str">
        <f t="shared" si="1"/>
        <v/>
      </c>
      <c r="L23" s="35">
        <f t="shared" si="2"/>
        <v>7.5250000000000004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2188</v>
      </c>
      <c r="S23" s="71" t="s">
        <v>59</v>
      </c>
      <c r="T23" s="46"/>
      <c r="U23" s="28" t="s">
        <v>31</v>
      </c>
    </row>
    <row r="24" spans="1:21" s="27" customFormat="1" x14ac:dyDescent="0.25">
      <c r="A24" s="28" t="s">
        <v>21</v>
      </c>
      <c r="B24" s="44" t="s">
        <v>2158</v>
      </c>
      <c r="C24" s="28" t="s">
        <v>21</v>
      </c>
      <c r="D24" s="31">
        <v>1</v>
      </c>
      <c r="E24" s="71">
        <v>19</v>
      </c>
      <c r="F24" s="45">
        <v>302</v>
      </c>
      <c r="G24" s="32"/>
      <c r="H24" s="32">
        <v>1.843</v>
      </c>
      <c r="I24" s="32">
        <v>1.831</v>
      </c>
      <c r="J24" s="33">
        <f t="shared" si="0"/>
        <v>1.2000000000000011E-2</v>
      </c>
      <c r="K24" s="34" t="str">
        <f t="shared" si="1"/>
        <v/>
      </c>
      <c r="L24" s="35">
        <f t="shared" si="2"/>
        <v>7.55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2189</v>
      </c>
      <c r="S24" s="28" t="s">
        <v>21</v>
      </c>
      <c r="T24" s="46"/>
      <c r="U24" s="28" t="s">
        <v>31</v>
      </c>
    </row>
    <row r="25" spans="1:21" s="27" customFormat="1" x14ac:dyDescent="0.25">
      <c r="A25" s="28" t="s">
        <v>21</v>
      </c>
      <c r="B25" s="44" t="s">
        <v>2159</v>
      </c>
      <c r="C25" s="28" t="s">
        <v>21</v>
      </c>
      <c r="D25" s="31">
        <v>1</v>
      </c>
      <c r="E25" s="71">
        <v>28</v>
      </c>
      <c r="F25" s="45">
        <v>301</v>
      </c>
      <c r="G25" s="32"/>
      <c r="H25" s="32">
        <v>1.847</v>
      </c>
      <c r="I25" s="32">
        <v>1.8360000000000001</v>
      </c>
      <c r="J25" s="33">
        <f t="shared" si="0"/>
        <v>1.0999999999999899E-2</v>
      </c>
      <c r="K25" s="34" t="str">
        <f t="shared" si="1"/>
        <v/>
      </c>
      <c r="L25" s="35">
        <f t="shared" si="2"/>
        <v>7.5250000000000004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2187</v>
      </c>
      <c r="S25" s="28" t="s">
        <v>21</v>
      </c>
      <c r="T25" s="46"/>
      <c r="U25" s="28" t="s">
        <v>31</v>
      </c>
    </row>
    <row r="26" spans="1:21" s="27" customFormat="1" x14ac:dyDescent="0.25">
      <c r="A26" s="28" t="s">
        <v>21</v>
      </c>
      <c r="B26" s="44" t="s">
        <v>2160</v>
      </c>
      <c r="C26" s="28" t="s">
        <v>21</v>
      </c>
      <c r="D26" s="31">
        <v>1</v>
      </c>
      <c r="E26" s="71">
        <v>45</v>
      </c>
      <c r="F26" s="45">
        <v>301</v>
      </c>
      <c r="G26" s="32"/>
      <c r="H26" s="32">
        <v>1.86</v>
      </c>
      <c r="I26" s="32">
        <v>1.851</v>
      </c>
      <c r="J26" s="33">
        <f t="shared" si="0"/>
        <v>9.000000000000119E-3</v>
      </c>
      <c r="K26" s="34" t="str">
        <f t="shared" si="1"/>
        <v/>
      </c>
      <c r="L26" s="35">
        <f t="shared" si="2"/>
        <v>7.5250000000000004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2190</v>
      </c>
      <c r="S26" s="28" t="s">
        <v>21</v>
      </c>
      <c r="T26" s="46"/>
      <c r="U26" s="28" t="s">
        <v>31</v>
      </c>
    </row>
    <row r="27" spans="1:21" s="27" customFormat="1" x14ac:dyDescent="0.25">
      <c r="A27" s="28" t="s">
        <v>21</v>
      </c>
      <c r="B27" s="44" t="s">
        <v>2161</v>
      </c>
      <c r="C27" s="28" t="s">
        <v>21</v>
      </c>
      <c r="D27" s="31">
        <v>1</v>
      </c>
      <c r="E27" s="71">
        <v>19</v>
      </c>
      <c r="F27" s="45">
        <v>297</v>
      </c>
      <c r="G27" s="32"/>
      <c r="H27" s="32">
        <v>1.8160000000000001</v>
      </c>
      <c r="I27" s="32">
        <v>1.8089999999999999</v>
      </c>
      <c r="J27" s="33">
        <f t="shared" si="0"/>
        <v>7.0000000000001172E-3</v>
      </c>
      <c r="K27" s="34" t="str">
        <f t="shared" si="1"/>
        <v/>
      </c>
      <c r="L27" s="35">
        <f t="shared" si="2"/>
        <v>7.4249999999999998</v>
      </c>
      <c r="M27" s="36" t="str">
        <f t="shared" si="3"/>
        <v/>
      </c>
      <c r="N27" s="37" t="s">
        <v>18</v>
      </c>
      <c r="O27" s="29">
        <v>1</v>
      </c>
      <c r="P27" s="38">
        <v>40</v>
      </c>
      <c r="Q27" s="46"/>
      <c r="R27" s="28" t="s">
        <v>2191</v>
      </c>
      <c r="S27" s="71" t="s">
        <v>58</v>
      </c>
      <c r="T27" s="46"/>
      <c r="U27" s="28" t="s">
        <v>31</v>
      </c>
    </row>
    <row r="28" spans="1:21" s="27" customFormat="1" x14ac:dyDescent="0.25">
      <c r="A28" s="28" t="s">
        <v>21</v>
      </c>
      <c r="B28" s="44" t="s">
        <v>2162</v>
      </c>
      <c r="C28" s="28" t="s">
        <v>21</v>
      </c>
      <c r="D28" s="31">
        <v>1</v>
      </c>
      <c r="E28" s="71">
        <v>20</v>
      </c>
      <c r="F28" s="45">
        <v>299</v>
      </c>
      <c r="G28" s="32"/>
      <c r="H28" s="32">
        <v>1.831</v>
      </c>
      <c r="I28" s="32">
        <v>1.8240000000000001</v>
      </c>
      <c r="J28" s="33">
        <f t="shared" si="0"/>
        <v>6.9999999999998952E-3</v>
      </c>
      <c r="K28" s="34" t="str">
        <f t="shared" si="1"/>
        <v/>
      </c>
      <c r="L28" s="35">
        <f t="shared" si="2"/>
        <v>7.4749999999999996</v>
      </c>
      <c r="M28" s="36" t="str">
        <f t="shared" si="3"/>
        <v/>
      </c>
      <c r="N28" s="37" t="s">
        <v>18</v>
      </c>
      <c r="O28" s="29">
        <v>1</v>
      </c>
      <c r="P28" s="38">
        <v>40</v>
      </c>
      <c r="Q28" s="46"/>
      <c r="R28" s="28" t="s">
        <v>2192</v>
      </c>
      <c r="S28" s="71" t="s">
        <v>59</v>
      </c>
      <c r="T28" s="46"/>
      <c r="U28" s="28" t="s">
        <v>31</v>
      </c>
    </row>
    <row r="29" spans="1:21" s="27" customFormat="1" x14ac:dyDescent="0.25">
      <c r="A29" s="28" t="s">
        <v>21</v>
      </c>
      <c r="B29" s="44" t="s">
        <v>2163</v>
      </c>
      <c r="C29" s="28" t="s">
        <v>21</v>
      </c>
      <c r="D29" s="31">
        <v>1</v>
      </c>
      <c r="E29" s="71">
        <v>8</v>
      </c>
      <c r="F29" s="45">
        <v>301</v>
      </c>
      <c r="G29" s="32"/>
      <c r="H29" s="32">
        <v>1.8340000000000001</v>
      </c>
      <c r="I29" s="32">
        <v>1.825</v>
      </c>
      <c r="J29" s="33">
        <f t="shared" si="0"/>
        <v>9.000000000000119E-3</v>
      </c>
      <c r="K29" s="34" t="str">
        <f t="shared" si="1"/>
        <v/>
      </c>
      <c r="L29" s="35">
        <f t="shared" si="2"/>
        <v>7.5250000000000004</v>
      </c>
      <c r="M29" s="36" t="str">
        <f t="shared" si="3"/>
        <v/>
      </c>
      <c r="N29" s="37" t="s">
        <v>18</v>
      </c>
      <c r="O29" s="29">
        <v>1</v>
      </c>
      <c r="P29" s="38">
        <v>40</v>
      </c>
      <c r="Q29" s="46"/>
      <c r="R29" s="28" t="s">
        <v>2237</v>
      </c>
      <c r="S29" s="28" t="s">
        <v>21</v>
      </c>
      <c r="T29" s="46"/>
      <c r="U29" s="28" t="s">
        <v>31</v>
      </c>
    </row>
    <row r="30" spans="1:21" s="27" customFormat="1" x14ac:dyDescent="0.25">
      <c r="A30" s="28" t="s">
        <v>21</v>
      </c>
      <c r="B30" s="44" t="s">
        <v>2164</v>
      </c>
      <c r="C30" s="28" t="s">
        <v>21</v>
      </c>
      <c r="D30" s="31">
        <v>1</v>
      </c>
      <c r="E30" s="71">
        <v>15</v>
      </c>
      <c r="F30" s="45">
        <v>300</v>
      </c>
      <c r="G30" s="32"/>
      <c r="H30" s="32">
        <v>1.8420000000000001</v>
      </c>
      <c r="I30" s="32">
        <v>1.833</v>
      </c>
      <c r="J30" s="33">
        <f t="shared" si="0"/>
        <v>9.000000000000119E-3</v>
      </c>
      <c r="K30" s="34" t="str">
        <f t="shared" si="1"/>
        <v/>
      </c>
      <c r="L30" s="35">
        <f t="shared" si="2"/>
        <v>7.5</v>
      </c>
      <c r="M30" s="36" t="str">
        <f t="shared" si="3"/>
        <v/>
      </c>
      <c r="N30" s="37" t="s">
        <v>18</v>
      </c>
      <c r="O30" s="29">
        <v>1</v>
      </c>
      <c r="P30" s="38">
        <v>40</v>
      </c>
      <c r="Q30" s="46"/>
      <c r="R30" s="28" t="s">
        <v>2193</v>
      </c>
      <c r="S30" s="28" t="s">
        <v>21</v>
      </c>
      <c r="T30" s="46"/>
      <c r="U30" s="28" t="s">
        <v>31</v>
      </c>
    </row>
    <row r="31" spans="1:21" s="27" customFormat="1" x14ac:dyDescent="0.25">
      <c r="A31" s="28" t="s">
        <v>21</v>
      </c>
      <c r="B31" s="44" t="s">
        <v>2165</v>
      </c>
      <c r="C31" s="28" t="s">
        <v>21</v>
      </c>
      <c r="D31" s="31">
        <v>1</v>
      </c>
      <c r="E31" s="71">
        <v>14</v>
      </c>
      <c r="F31" s="45">
        <v>299</v>
      </c>
      <c r="G31" s="32"/>
      <c r="H31" s="32">
        <v>1.839</v>
      </c>
      <c r="I31" s="32">
        <v>1.833</v>
      </c>
      <c r="J31" s="33">
        <f t="shared" si="0"/>
        <v>6.0000000000000053E-3</v>
      </c>
      <c r="K31" s="34" t="str">
        <f t="shared" si="1"/>
        <v/>
      </c>
      <c r="L31" s="35">
        <f t="shared" si="2"/>
        <v>7.4749999999999996</v>
      </c>
      <c r="M31" s="36" t="str">
        <f t="shared" si="3"/>
        <v/>
      </c>
      <c r="N31" s="37" t="s">
        <v>18</v>
      </c>
      <c r="O31" s="29">
        <v>1</v>
      </c>
      <c r="P31" s="38">
        <v>40</v>
      </c>
      <c r="Q31" s="46"/>
      <c r="R31" s="28" t="s">
        <v>2194</v>
      </c>
      <c r="S31" s="28" t="s">
        <v>21</v>
      </c>
      <c r="T31" s="46"/>
      <c r="U31" s="28" t="s">
        <v>31</v>
      </c>
    </row>
    <row r="32" spans="1:21" s="27" customFormat="1" x14ac:dyDescent="0.25">
      <c r="A32" s="28" t="s">
        <v>2195</v>
      </c>
      <c r="B32" s="44" t="s">
        <v>2196</v>
      </c>
      <c r="C32" s="28">
        <v>698355</v>
      </c>
      <c r="D32" s="31">
        <v>1</v>
      </c>
      <c r="E32" s="71">
        <v>69</v>
      </c>
      <c r="F32" s="45">
        <v>301</v>
      </c>
      <c r="G32" s="32"/>
      <c r="H32" s="32">
        <v>1.8280000000000001</v>
      </c>
      <c r="I32" s="32">
        <v>1.821</v>
      </c>
      <c r="J32" s="33">
        <f t="shared" ref="J32:J61" si="4">IF(O32&lt;&gt;"",(H32-I32)/O32,"")</f>
        <v>7.0000000000001172E-3</v>
      </c>
      <c r="K32" s="34" t="str">
        <f t="shared" si="1"/>
        <v/>
      </c>
      <c r="L32" s="35">
        <f t="shared" ref="L32:L61" si="5">F32/(O32*P32)</f>
        <v>7.5250000000000004</v>
      </c>
      <c r="M32" s="36" t="str">
        <f t="shared" ref="M32:M61" si="6">IF(L32=0,"",IF(OR(L32&lt;7,L32&gt;7.8),"X",""))</f>
        <v/>
      </c>
      <c r="N32" s="37" t="s">
        <v>18</v>
      </c>
      <c r="O32" s="29">
        <v>1</v>
      </c>
      <c r="P32" s="38">
        <v>40</v>
      </c>
      <c r="Q32" s="46"/>
      <c r="R32" s="28" t="s">
        <v>2226</v>
      </c>
      <c r="S32" s="71" t="s">
        <v>58</v>
      </c>
      <c r="T32" s="46"/>
      <c r="U32" s="28" t="s">
        <v>31</v>
      </c>
    </row>
    <row r="33" spans="1:21" s="27" customFormat="1" x14ac:dyDescent="0.25">
      <c r="A33" s="28" t="s">
        <v>21</v>
      </c>
      <c r="B33" s="44" t="s">
        <v>2197</v>
      </c>
      <c r="C33" s="28" t="s">
        <v>21</v>
      </c>
      <c r="D33" s="31">
        <v>1</v>
      </c>
      <c r="E33" s="71">
        <v>66</v>
      </c>
      <c r="F33" s="45">
        <v>301</v>
      </c>
      <c r="G33" s="32"/>
      <c r="H33" s="32">
        <v>1.8280000000000001</v>
      </c>
      <c r="I33" s="32">
        <v>1.8220000000000001</v>
      </c>
      <c r="J33" s="33">
        <f t="shared" si="4"/>
        <v>6.0000000000000053E-3</v>
      </c>
      <c r="K33" s="34" t="str">
        <f t="shared" si="1"/>
        <v/>
      </c>
      <c r="L33" s="35">
        <f t="shared" si="5"/>
        <v>7.5250000000000004</v>
      </c>
      <c r="M33" s="36" t="str">
        <f t="shared" si="6"/>
        <v/>
      </c>
      <c r="N33" s="37" t="s">
        <v>18</v>
      </c>
      <c r="O33" s="29">
        <v>1</v>
      </c>
      <c r="P33" s="38">
        <v>40</v>
      </c>
      <c r="Q33" s="46"/>
      <c r="R33" s="28" t="s">
        <v>2227</v>
      </c>
      <c r="S33" s="71" t="s">
        <v>59</v>
      </c>
      <c r="T33" s="46"/>
      <c r="U33" s="28" t="s">
        <v>31</v>
      </c>
    </row>
    <row r="34" spans="1:21" s="27" customFormat="1" x14ac:dyDescent="0.25">
      <c r="A34" s="28" t="s">
        <v>21</v>
      </c>
      <c r="B34" s="44" t="s">
        <v>2198</v>
      </c>
      <c r="C34" s="28" t="s">
        <v>21</v>
      </c>
      <c r="D34" s="31">
        <v>1</v>
      </c>
      <c r="E34" s="71">
        <v>55</v>
      </c>
      <c r="F34" s="45">
        <v>302</v>
      </c>
      <c r="G34" s="32"/>
      <c r="H34" s="32">
        <v>1.845</v>
      </c>
      <c r="I34" s="32">
        <v>1.8360000000000001</v>
      </c>
      <c r="J34" s="33">
        <f t="shared" si="4"/>
        <v>8.999999999999897E-3</v>
      </c>
      <c r="K34" s="34" t="str">
        <f t="shared" si="1"/>
        <v/>
      </c>
      <c r="L34" s="35">
        <f t="shared" si="5"/>
        <v>7.55</v>
      </c>
      <c r="M34" s="36" t="str">
        <f t="shared" si="6"/>
        <v/>
      </c>
      <c r="N34" s="37" t="s">
        <v>18</v>
      </c>
      <c r="O34" s="29">
        <v>1</v>
      </c>
      <c r="P34" s="38">
        <v>40</v>
      </c>
      <c r="Q34" s="46"/>
      <c r="R34" s="28" t="s">
        <v>2229</v>
      </c>
      <c r="S34" s="28" t="s">
        <v>21</v>
      </c>
      <c r="T34" s="46"/>
      <c r="U34" s="28" t="s">
        <v>31</v>
      </c>
    </row>
    <row r="35" spans="1:21" s="27" customFormat="1" x14ac:dyDescent="0.25">
      <c r="A35" s="28" t="s">
        <v>21</v>
      </c>
      <c r="B35" s="44" t="s">
        <v>2199</v>
      </c>
      <c r="C35" s="28" t="s">
        <v>21</v>
      </c>
      <c r="D35" s="31">
        <v>1</v>
      </c>
      <c r="E35" s="71">
        <v>54</v>
      </c>
      <c r="F35" s="45">
        <v>301</v>
      </c>
      <c r="G35" s="32"/>
      <c r="H35" s="32">
        <v>1.843</v>
      </c>
      <c r="I35" s="32">
        <v>1.8340000000000001</v>
      </c>
      <c r="J35" s="33">
        <f t="shared" si="4"/>
        <v>8.999999999999897E-3</v>
      </c>
      <c r="K35" s="34" t="str">
        <f t="shared" si="1"/>
        <v/>
      </c>
      <c r="L35" s="35">
        <f t="shared" si="5"/>
        <v>7.5250000000000004</v>
      </c>
      <c r="M35" s="36" t="str">
        <f t="shared" si="6"/>
        <v/>
      </c>
      <c r="N35" s="37" t="s">
        <v>18</v>
      </c>
      <c r="O35" s="29">
        <v>1</v>
      </c>
      <c r="P35" s="38">
        <v>40</v>
      </c>
      <c r="Q35" s="46"/>
      <c r="R35" s="28" t="s">
        <v>2228</v>
      </c>
      <c r="S35" s="28" t="s">
        <v>21</v>
      </c>
      <c r="T35" s="46"/>
      <c r="U35" s="28" t="s">
        <v>31</v>
      </c>
    </row>
    <row r="36" spans="1:21" s="27" customFormat="1" x14ac:dyDescent="0.25">
      <c r="A36" s="28" t="s">
        <v>21</v>
      </c>
      <c r="B36" s="44" t="s">
        <v>2200</v>
      </c>
      <c r="C36" s="28" t="s">
        <v>21</v>
      </c>
      <c r="D36" s="31">
        <v>1</v>
      </c>
      <c r="E36" s="71">
        <v>49</v>
      </c>
      <c r="F36" s="45">
        <v>303</v>
      </c>
      <c r="G36" s="32"/>
      <c r="H36" s="32">
        <v>1.8440000000000001</v>
      </c>
      <c r="I36" s="32">
        <v>1.8360000000000001</v>
      </c>
      <c r="J36" s="33">
        <f t="shared" si="4"/>
        <v>8.0000000000000071E-3</v>
      </c>
      <c r="K36" s="34" t="str">
        <f t="shared" si="1"/>
        <v/>
      </c>
      <c r="L36" s="35">
        <f t="shared" si="5"/>
        <v>7.5750000000000002</v>
      </c>
      <c r="M36" s="36" t="str">
        <f t="shared" si="6"/>
        <v/>
      </c>
      <c r="N36" s="37" t="s">
        <v>18</v>
      </c>
      <c r="O36" s="29">
        <v>1</v>
      </c>
      <c r="P36" s="38">
        <v>40</v>
      </c>
      <c r="Q36" s="46"/>
      <c r="R36" s="28" t="s">
        <v>2230</v>
      </c>
      <c r="S36" s="28" t="s">
        <v>21</v>
      </c>
      <c r="T36" s="46"/>
      <c r="U36" s="28" t="s">
        <v>31</v>
      </c>
    </row>
    <row r="37" spans="1:21" s="27" customFormat="1" x14ac:dyDescent="0.25">
      <c r="A37" s="28" t="s">
        <v>21</v>
      </c>
      <c r="B37" s="44" t="s">
        <v>2201</v>
      </c>
      <c r="C37" s="28" t="s">
        <v>21</v>
      </c>
      <c r="D37" s="31">
        <v>1</v>
      </c>
      <c r="E37" s="71">
        <v>40</v>
      </c>
      <c r="F37" s="45">
        <v>301</v>
      </c>
      <c r="G37" s="32"/>
      <c r="H37" s="32">
        <v>1.855</v>
      </c>
      <c r="I37" s="32">
        <v>1.847</v>
      </c>
      <c r="J37" s="33">
        <f t="shared" si="4"/>
        <v>8.0000000000000071E-3</v>
      </c>
      <c r="K37" s="34" t="str">
        <f t="shared" si="1"/>
        <v/>
      </c>
      <c r="L37" s="35">
        <f t="shared" si="5"/>
        <v>7.5250000000000004</v>
      </c>
      <c r="M37" s="36" t="str">
        <f t="shared" si="6"/>
        <v/>
      </c>
      <c r="N37" s="37" t="s">
        <v>18</v>
      </c>
      <c r="O37" s="29">
        <v>1</v>
      </c>
      <c r="P37" s="38">
        <v>40</v>
      </c>
      <c r="Q37" s="46"/>
      <c r="R37" s="28" t="s">
        <v>2232</v>
      </c>
      <c r="S37" s="71" t="s">
        <v>103</v>
      </c>
      <c r="T37" s="46"/>
      <c r="U37" s="28" t="s">
        <v>31</v>
      </c>
    </row>
    <row r="38" spans="1:21" s="27" customFormat="1" x14ac:dyDescent="0.25">
      <c r="A38" s="28" t="s">
        <v>21</v>
      </c>
      <c r="B38" s="44" t="s">
        <v>2202</v>
      </c>
      <c r="C38" s="28" t="s">
        <v>21</v>
      </c>
      <c r="D38" s="31">
        <v>1</v>
      </c>
      <c r="E38" s="71">
        <v>45</v>
      </c>
      <c r="F38" s="45">
        <v>301</v>
      </c>
      <c r="G38" s="32"/>
      <c r="H38" s="32">
        <v>1.86</v>
      </c>
      <c r="I38" s="32">
        <v>1.8540000000000001</v>
      </c>
      <c r="J38" s="33">
        <f t="shared" si="4"/>
        <v>6.0000000000000053E-3</v>
      </c>
      <c r="K38" s="34" t="str">
        <f t="shared" si="1"/>
        <v/>
      </c>
      <c r="L38" s="35">
        <f t="shared" si="5"/>
        <v>7.5250000000000004</v>
      </c>
      <c r="M38" s="36" t="str">
        <f t="shared" si="6"/>
        <v/>
      </c>
      <c r="N38" s="37" t="s">
        <v>18</v>
      </c>
      <c r="O38" s="29">
        <v>1</v>
      </c>
      <c r="P38" s="38">
        <v>40</v>
      </c>
      <c r="Q38" s="46"/>
      <c r="R38" s="28" t="s">
        <v>2233</v>
      </c>
      <c r="S38" s="71" t="s">
        <v>59</v>
      </c>
      <c r="T38" s="46"/>
      <c r="U38" s="28" t="s">
        <v>31</v>
      </c>
    </row>
    <row r="39" spans="1:21" s="27" customFormat="1" x14ac:dyDescent="0.25">
      <c r="A39" s="28" t="s">
        <v>21</v>
      </c>
      <c r="B39" s="44" t="s">
        <v>2203</v>
      </c>
      <c r="C39" s="28" t="s">
        <v>21</v>
      </c>
      <c r="D39" s="31">
        <v>1</v>
      </c>
      <c r="E39" s="71">
        <v>24</v>
      </c>
      <c r="F39" s="45">
        <v>302</v>
      </c>
      <c r="G39" s="32"/>
      <c r="H39" s="32">
        <v>1.8540000000000001</v>
      </c>
      <c r="I39" s="32">
        <v>1.843</v>
      </c>
      <c r="J39" s="33">
        <f t="shared" si="4"/>
        <v>1.1000000000000121E-2</v>
      </c>
      <c r="K39" s="34" t="str">
        <f t="shared" si="1"/>
        <v/>
      </c>
      <c r="L39" s="35">
        <f t="shared" si="5"/>
        <v>7.55</v>
      </c>
      <c r="M39" s="36" t="str">
        <f t="shared" si="6"/>
        <v/>
      </c>
      <c r="N39" s="37" t="s">
        <v>18</v>
      </c>
      <c r="O39" s="29">
        <v>1</v>
      </c>
      <c r="P39" s="38">
        <v>40</v>
      </c>
      <c r="Q39" s="46"/>
      <c r="R39" s="28" t="s">
        <v>2234</v>
      </c>
      <c r="S39" s="28" t="s">
        <v>21</v>
      </c>
      <c r="T39" s="46"/>
      <c r="U39" s="28" t="s">
        <v>31</v>
      </c>
    </row>
    <row r="40" spans="1:21" s="27" customFormat="1" x14ac:dyDescent="0.25">
      <c r="A40" s="28" t="s">
        <v>21</v>
      </c>
      <c r="B40" s="44" t="s">
        <v>2204</v>
      </c>
      <c r="C40" s="28" t="s">
        <v>21</v>
      </c>
      <c r="D40" s="31">
        <v>1</v>
      </c>
      <c r="E40" s="71">
        <v>40</v>
      </c>
      <c r="F40" s="45">
        <v>300</v>
      </c>
      <c r="G40" s="32"/>
      <c r="H40" s="32">
        <v>1.863</v>
      </c>
      <c r="I40" s="32">
        <v>1.855</v>
      </c>
      <c r="J40" s="33">
        <f t="shared" si="4"/>
        <v>8.0000000000000071E-3</v>
      </c>
      <c r="K40" s="34" t="str">
        <f t="shared" si="1"/>
        <v/>
      </c>
      <c r="L40" s="35">
        <f t="shared" si="5"/>
        <v>7.5</v>
      </c>
      <c r="M40" s="36" t="str">
        <f t="shared" si="6"/>
        <v/>
      </c>
      <c r="N40" s="37" t="s">
        <v>18</v>
      </c>
      <c r="O40" s="29">
        <v>1</v>
      </c>
      <c r="P40" s="38">
        <v>40</v>
      </c>
      <c r="Q40" s="46"/>
      <c r="R40" s="28" t="s">
        <v>2231</v>
      </c>
      <c r="S40" s="28" t="s">
        <v>21</v>
      </c>
      <c r="T40" s="46"/>
      <c r="U40" s="28" t="s">
        <v>31</v>
      </c>
    </row>
    <row r="41" spans="1:21" s="27" customFormat="1" x14ac:dyDescent="0.25">
      <c r="A41" s="28" t="s">
        <v>21</v>
      </c>
      <c r="B41" s="44" t="s">
        <v>2205</v>
      </c>
      <c r="C41" s="28" t="s">
        <v>21</v>
      </c>
      <c r="D41" s="31">
        <v>1</v>
      </c>
      <c r="E41" s="71">
        <v>42</v>
      </c>
      <c r="F41" s="45">
        <v>300</v>
      </c>
      <c r="G41" s="32"/>
      <c r="H41" s="32">
        <v>1.873</v>
      </c>
      <c r="I41" s="32">
        <v>1.867</v>
      </c>
      <c r="J41" s="33">
        <f t="shared" si="4"/>
        <v>6.0000000000000053E-3</v>
      </c>
      <c r="K41" s="34" t="str">
        <f t="shared" si="1"/>
        <v/>
      </c>
      <c r="L41" s="35">
        <f t="shared" si="5"/>
        <v>7.5</v>
      </c>
      <c r="M41" s="36" t="str">
        <f t="shared" si="6"/>
        <v/>
      </c>
      <c r="N41" s="37" t="s">
        <v>18</v>
      </c>
      <c r="O41" s="29">
        <v>1</v>
      </c>
      <c r="P41" s="38">
        <v>40</v>
      </c>
      <c r="Q41" s="46"/>
      <c r="R41" s="28" t="s">
        <v>2235</v>
      </c>
      <c r="S41" s="28" t="s">
        <v>21</v>
      </c>
      <c r="T41" s="46"/>
      <c r="U41" s="28" t="s">
        <v>31</v>
      </c>
    </row>
    <row r="42" spans="1:21" s="27" customFormat="1" x14ac:dyDescent="0.25">
      <c r="A42" s="28" t="s">
        <v>21</v>
      </c>
      <c r="B42" s="44" t="s">
        <v>2206</v>
      </c>
      <c r="C42" s="28">
        <v>698356</v>
      </c>
      <c r="D42" s="31">
        <v>1</v>
      </c>
      <c r="E42" s="71">
        <v>58</v>
      </c>
      <c r="F42" s="45">
        <v>302</v>
      </c>
      <c r="G42" s="32"/>
      <c r="H42" s="32">
        <v>1.843</v>
      </c>
      <c r="I42" s="32">
        <v>1.8340000000000001</v>
      </c>
      <c r="J42" s="33">
        <f t="shared" si="4"/>
        <v>8.999999999999897E-3</v>
      </c>
      <c r="K42" s="34" t="str">
        <f t="shared" si="1"/>
        <v/>
      </c>
      <c r="L42" s="35">
        <f t="shared" si="5"/>
        <v>7.55</v>
      </c>
      <c r="M42" s="36" t="str">
        <f t="shared" si="6"/>
        <v/>
      </c>
      <c r="N42" s="37" t="s">
        <v>18</v>
      </c>
      <c r="O42" s="29">
        <v>1</v>
      </c>
      <c r="P42" s="38">
        <v>40</v>
      </c>
      <c r="Q42" s="46"/>
      <c r="R42" s="28" t="s">
        <v>2236</v>
      </c>
      <c r="S42" s="71" t="s">
        <v>58</v>
      </c>
      <c r="T42" s="46"/>
      <c r="U42" s="28" t="s">
        <v>31</v>
      </c>
    </row>
    <row r="43" spans="1:21" s="27" customFormat="1" x14ac:dyDescent="0.25">
      <c r="A43" s="28" t="s">
        <v>21</v>
      </c>
      <c r="B43" s="44" t="s">
        <v>2207</v>
      </c>
      <c r="C43" s="28" t="s">
        <v>21</v>
      </c>
      <c r="D43" s="31">
        <v>1</v>
      </c>
      <c r="E43" s="71">
        <v>49</v>
      </c>
      <c r="F43" s="45">
        <v>301</v>
      </c>
      <c r="G43" s="32"/>
      <c r="H43" s="32">
        <v>1.85</v>
      </c>
      <c r="I43" s="32">
        <v>1.839</v>
      </c>
      <c r="J43" s="33">
        <f t="shared" si="4"/>
        <v>1.1000000000000121E-2</v>
      </c>
      <c r="K43" s="34" t="str">
        <f t="shared" si="1"/>
        <v/>
      </c>
      <c r="L43" s="35">
        <f t="shared" si="5"/>
        <v>7.5250000000000004</v>
      </c>
      <c r="M43" s="36" t="str">
        <f t="shared" si="6"/>
        <v/>
      </c>
      <c r="N43" s="37" t="s">
        <v>18</v>
      </c>
      <c r="O43" s="29">
        <v>1</v>
      </c>
      <c r="P43" s="38">
        <v>40</v>
      </c>
      <c r="Q43" s="46"/>
      <c r="R43" s="28" t="s">
        <v>2256</v>
      </c>
      <c r="S43" s="71" t="s">
        <v>59</v>
      </c>
      <c r="T43" s="46"/>
      <c r="U43" s="28" t="s">
        <v>31</v>
      </c>
    </row>
    <row r="44" spans="1:21" s="27" customFormat="1" x14ac:dyDescent="0.25">
      <c r="A44" s="28" t="s">
        <v>21</v>
      </c>
      <c r="B44" s="44" t="s">
        <v>2208</v>
      </c>
      <c r="C44" s="28" t="s">
        <v>21</v>
      </c>
      <c r="D44" s="31">
        <v>1</v>
      </c>
      <c r="E44" s="71">
        <v>64</v>
      </c>
      <c r="F44" s="45">
        <v>300</v>
      </c>
      <c r="G44" s="32"/>
      <c r="H44" s="32">
        <v>1.8580000000000001</v>
      </c>
      <c r="I44" s="32">
        <v>1.851</v>
      </c>
      <c r="J44" s="33">
        <f t="shared" si="4"/>
        <v>7.0000000000001172E-3</v>
      </c>
      <c r="K44" s="34" t="str">
        <f t="shared" si="1"/>
        <v/>
      </c>
      <c r="L44" s="35">
        <f t="shared" si="5"/>
        <v>7.5</v>
      </c>
      <c r="M44" s="36" t="str">
        <f t="shared" si="6"/>
        <v/>
      </c>
      <c r="N44" s="37" t="s">
        <v>18</v>
      </c>
      <c r="O44" s="29">
        <v>1</v>
      </c>
      <c r="P44" s="38">
        <v>40</v>
      </c>
      <c r="Q44" s="46"/>
      <c r="R44" s="28" t="s">
        <v>2238</v>
      </c>
      <c r="S44" s="28" t="s">
        <v>21</v>
      </c>
      <c r="T44" s="46"/>
      <c r="U44" s="28" t="s">
        <v>31</v>
      </c>
    </row>
    <row r="45" spans="1:21" s="27" customFormat="1" x14ac:dyDescent="0.25">
      <c r="A45" s="28" t="s">
        <v>21</v>
      </c>
      <c r="B45" s="44" t="s">
        <v>2209</v>
      </c>
      <c r="C45" s="28" t="s">
        <v>21</v>
      </c>
      <c r="D45" s="31">
        <v>1</v>
      </c>
      <c r="E45" s="71">
        <v>50</v>
      </c>
      <c r="F45" s="45">
        <v>301</v>
      </c>
      <c r="G45" s="32"/>
      <c r="H45" s="32">
        <v>1.8560000000000001</v>
      </c>
      <c r="I45" s="32">
        <v>1.8460000000000001</v>
      </c>
      <c r="J45" s="33">
        <f t="shared" si="4"/>
        <v>1.0000000000000009E-2</v>
      </c>
      <c r="K45" s="34" t="str">
        <f t="shared" si="1"/>
        <v/>
      </c>
      <c r="L45" s="35">
        <f t="shared" si="5"/>
        <v>7.5250000000000004</v>
      </c>
      <c r="M45" s="36" t="str">
        <f t="shared" si="6"/>
        <v/>
      </c>
      <c r="N45" s="37" t="s">
        <v>18</v>
      </c>
      <c r="O45" s="29">
        <v>1</v>
      </c>
      <c r="P45" s="38">
        <v>40</v>
      </c>
      <c r="Q45" s="46"/>
      <c r="R45" s="28" t="s">
        <v>2239</v>
      </c>
      <c r="S45" s="28" t="s">
        <v>21</v>
      </c>
      <c r="T45" s="46"/>
      <c r="U45" s="28" t="s">
        <v>31</v>
      </c>
    </row>
    <row r="46" spans="1:21" s="27" customFormat="1" x14ac:dyDescent="0.25">
      <c r="A46" s="28" t="s">
        <v>21</v>
      </c>
      <c r="B46" s="44" t="s">
        <v>2210</v>
      </c>
      <c r="C46" s="28" t="s">
        <v>21</v>
      </c>
      <c r="D46" s="31">
        <v>1</v>
      </c>
      <c r="E46" s="71">
        <v>54</v>
      </c>
      <c r="F46" s="45">
        <v>302</v>
      </c>
      <c r="G46" s="32"/>
      <c r="H46" s="32">
        <v>1.857</v>
      </c>
      <c r="I46" s="32">
        <v>1.849</v>
      </c>
      <c r="J46" s="33">
        <f t="shared" si="4"/>
        <v>8.0000000000000071E-3</v>
      </c>
      <c r="K46" s="34" t="str">
        <f t="shared" si="1"/>
        <v/>
      </c>
      <c r="L46" s="35">
        <f t="shared" si="5"/>
        <v>7.55</v>
      </c>
      <c r="M46" s="36" t="str">
        <f t="shared" si="6"/>
        <v/>
      </c>
      <c r="N46" s="37" t="s">
        <v>18</v>
      </c>
      <c r="O46" s="29">
        <v>1</v>
      </c>
      <c r="P46" s="38">
        <v>40</v>
      </c>
      <c r="Q46" s="46"/>
      <c r="R46" s="28" t="s">
        <v>2240</v>
      </c>
      <c r="S46" s="28" t="s">
        <v>21</v>
      </c>
      <c r="T46" s="46"/>
      <c r="U46" s="28" t="s">
        <v>31</v>
      </c>
    </row>
    <row r="47" spans="1:21" s="27" customFormat="1" x14ac:dyDescent="0.25">
      <c r="A47" s="28" t="s">
        <v>21</v>
      </c>
      <c r="B47" s="44" t="s">
        <v>2211</v>
      </c>
      <c r="C47" s="28" t="s">
        <v>21</v>
      </c>
      <c r="D47" s="31">
        <v>1</v>
      </c>
      <c r="E47" s="71">
        <v>35</v>
      </c>
      <c r="F47" s="45">
        <v>302</v>
      </c>
      <c r="G47" s="32"/>
      <c r="H47" s="32">
        <v>1.86</v>
      </c>
      <c r="I47" s="32">
        <v>1.8520000000000001</v>
      </c>
      <c r="J47" s="33">
        <f t="shared" si="4"/>
        <v>8.0000000000000071E-3</v>
      </c>
      <c r="K47" s="34" t="str">
        <f t="shared" si="1"/>
        <v/>
      </c>
      <c r="L47" s="35">
        <f t="shared" si="5"/>
        <v>7.55</v>
      </c>
      <c r="M47" s="36" t="str">
        <f t="shared" si="6"/>
        <v/>
      </c>
      <c r="N47" s="37" t="s">
        <v>18</v>
      </c>
      <c r="O47" s="29">
        <v>1</v>
      </c>
      <c r="P47" s="38">
        <v>40</v>
      </c>
      <c r="Q47" s="46"/>
      <c r="R47" s="28" t="s">
        <v>2241</v>
      </c>
      <c r="S47" s="71" t="s">
        <v>103</v>
      </c>
      <c r="T47" s="46"/>
      <c r="U47" s="28" t="s">
        <v>31</v>
      </c>
    </row>
    <row r="48" spans="1:21" s="27" customFormat="1" x14ac:dyDescent="0.25">
      <c r="A48" s="28" t="s">
        <v>21</v>
      </c>
      <c r="B48" s="44" t="s">
        <v>2212</v>
      </c>
      <c r="C48" s="28" t="s">
        <v>21</v>
      </c>
      <c r="D48" s="31">
        <v>1</v>
      </c>
      <c r="E48" s="71">
        <v>60</v>
      </c>
      <c r="F48" s="45">
        <v>301</v>
      </c>
      <c r="G48" s="32"/>
      <c r="H48" s="32">
        <v>1.8560000000000001</v>
      </c>
      <c r="I48" s="32">
        <v>1.8480000000000001</v>
      </c>
      <c r="J48" s="33">
        <f t="shared" si="4"/>
        <v>8.0000000000000071E-3</v>
      </c>
      <c r="K48" s="34" t="str">
        <f t="shared" si="1"/>
        <v/>
      </c>
      <c r="L48" s="35">
        <f t="shared" si="5"/>
        <v>7.5250000000000004</v>
      </c>
      <c r="M48" s="36" t="str">
        <f t="shared" si="6"/>
        <v/>
      </c>
      <c r="N48" s="37" t="s">
        <v>18</v>
      </c>
      <c r="O48" s="29">
        <v>1</v>
      </c>
      <c r="P48" s="38">
        <v>40</v>
      </c>
      <c r="Q48" s="46"/>
      <c r="R48" s="28" t="s">
        <v>2242</v>
      </c>
      <c r="S48" s="71" t="s">
        <v>59</v>
      </c>
      <c r="T48" s="46"/>
      <c r="U48" s="28" t="s">
        <v>31</v>
      </c>
    </row>
    <row r="49" spans="1:21" s="27" customFormat="1" x14ac:dyDescent="0.25">
      <c r="A49" s="28" t="s">
        <v>21</v>
      </c>
      <c r="B49" s="44" t="s">
        <v>2213</v>
      </c>
      <c r="C49" s="28" t="s">
        <v>21</v>
      </c>
      <c r="D49" s="31">
        <v>1</v>
      </c>
      <c r="E49" s="71">
        <v>37</v>
      </c>
      <c r="F49" s="45">
        <v>301</v>
      </c>
      <c r="G49" s="32"/>
      <c r="H49" s="32">
        <v>1.8520000000000001</v>
      </c>
      <c r="I49" s="32">
        <v>1.843</v>
      </c>
      <c r="J49" s="33">
        <f t="shared" si="4"/>
        <v>9.000000000000119E-3</v>
      </c>
      <c r="K49" s="34" t="str">
        <f t="shared" si="1"/>
        <v/>
      </c>
      <c r="L49" s="35">
        <f t="shared" si="5"/>
        <v>7.5250000000000004</v>
      </c>
      <c r="M49" s="36" t="str">
        <f t="shared" si="6"/>
        <v/>
      </c>
      <c r="N49" s="37" t="s">
        <v>18</v>
      </c>
      <c r="O49" s="29">
        <v>1</v>
      </c>
      <c r="P49" s="38">
        <v>40</v>
      </c>
      <c r="Q49" s="46"/>
      <c r="R49" s="28" t="s">
        <v>2244</v>
      </c>
      <c r="S49" s="28" t="s">
        <v>21</v>
      </c>
      <c r="T49" s="46"/>
      <c r="U49" s="28" t="s">
        <v>31</v>
      </c>
    </row>
    <row r="50" spans="1:21" s="27" customFormat="1" x14ac:dyDescent="0.25">
      <c r="A50" s="28" t="s">
        <v>21</v>
      </c>
      <c r="B50" s="44" t="s">
        <v>2214</v>
      </c>
      <c r="C50" s="28" t="s">
        <v>21</v>
      </c>
      <c r="D50" s="31">
        <v>1</v>
      </c>
      <c r="E50" s="71">
        <v>59</v>
      </c>
      <c r="F50" s="45">
        <v>301</v>
      </c>
      <c r="G50" s="32"/>
      <c r="H50" s="32">
        <v>1.855</v>
      </c>
      <c r="I50" s="32">
        <v>1.8480000000000001</v>
      </c>
      <c r="J50" s="33">
        <f t="shared" si="4"/>
        <v>6.9999999999998952E-3</v>
      </c>
      <c r="K50" s="34" t="str">
        <f t="shared" si="1"/>
        <v/>
      </c>
      <c r="L50" s="35">
        <f t="shared" si="5"/>
        <v>7.5250000000000004</v>
      </c>
      <c r="M50" s="36" t="str">
        <f t="shared" si="6"/>
        <v/>
      </c>
      <c r="N50" s="37" t="s">
        <v>18</v>
      </c>
      <c r="O50" s="29">
        <v>1</v>
      </c>
      <c r="P50" s="38">
        <v>40</v>
      </c>
      <c r="Q50" s="46"/>
      <c r="R50" s="28" t="s">
        <v>2243</v>
      </c>
      <c r="S50" s="28" t="s">
        <v>21</v>
      </c>
      <c r="T50" s="46"/>
      <c r="U50" s="28" t="s">
        <v>31</v>
      </c>
    </row>
    <row r="51" spans="1:21" s="27" customFormat="1" x14ac:dyDescent="0.25">
      <c r="A51" s="28" t="s">
        <v>21</v>
      </c>
      <c r="B51" s="44" t="s">
        <v>2215</v>
      </c>
      <c r="C51" s="28" t="s">
        <v>21</v>
      </c>
      <c r="D51" s="31">
        <v>1</v>
      </c>
      <c r="E51" s="71">
        <v>60</v>
      </c>
      <c r="F51" s="45">
        <v>300</v>
      </c>
      <c r="G51" s="32"/>
      <c r="H51" s="32">
        <v>1.8680000000000001</v>
      </c>
      <c r="I51" s="32">
        <v>1.8620000000000001</v>
      </c>
      <c r="J51" s="33">
        <f t="shared" si="4"/>
        <v>6.0000000000000053E-3</v>
      </c>
      <c r="K51" s="34" t="str">
        <f t="shared" si="1"/>
        <v/>
      </c>
      <c r="L51" s="35">
        <f t="shared" si="5"/>
        <v>7.5</v>
      </c>
      <c r="M51" s="36" t="str">
        <f t="shared" si="6"/>
        <v/>
      </c>
      <c r="N51" s="37" t="s">
        <v>18</v>
      </c>
      <c r="O51" s="29">
        <v>1</v>
      </c>
      <c r="P51" s="38">
        <v>40</v>
      </c>
      <c r="Q51" s="46"/>
      <c r="R51" s="28" t="s">
        <v>2245</v>
      </c>
      <c r="S51" s="28" t="s">
        <v>21</v>
      </c>
      <c r="T51" s="46"/>
      <c r="U51" s="28" t="s">
        <v>31</v>
      </c>
    </row>
    <row r="52" spans="1:21" s="27" customFormat="1" x14ac:dyDescent="0.25">
      <c r="A52" s="28" t="s">
        <v>21</v>
      </c>
      <c r="B52" s="44" t="s">
        <v>2216</v>
      </c>
      <c r="C52" s="28" t="s">
        <v>21</v>
      </c>
      <c r="D52" s="31">
        <v>1</v>
      </c>
      <c r="E52" s="71">
        <v>49</v>
      </c>
      <c r="F52" s="45">
        <v>301</v>
      </c>
      <c r="G52" s="32"/>
      <c r="H52" s="32">
        <v>1.83</v>
      </c>
      <c r="I52" s="32">
        <v>1.82</v>
      </c>
      <c r="J52" s="33">
        <f t="shared" si="4"/>
        <v>1.0000000000000009E-2</v>
      </c>
      <c r="K52" s="34" t="str">
        <f t="shared" si="1"/>
        <v/>
      </c>
      <c r="L52" s="35">
        <f t="shared" si="5"/>
        <v>7.5250000000000004</v>
      </c>
      <c r="M52" s="36" t="str">
        <f t="shared" si="6"/>
        <v/>
      </c>
      <c r="N52" s="37" t="s">
        <v>18</v>
      </c>
      <c r="O52" s="29">
        <v>1</v>
      </c>
      <c r="P52" s="38">
        <v>40</v>
      </c>
      <c r="Q52" s="46"/>
      <c r="R52" s="28" t="s">
        <v>2246</v>
      </c>
      <c r="S52" s="71" t="s">
        <v>58</v>
      </c>
      <c r="T52" s="46"/>
      <c r="U52" s="28" t="s">
        <v>31</v>
      </c>
    </row>
    <row r="53" spans="1:21" s="27" customFormat="1" x14ac:dyDescent="0.25">
      <c r="A53" s="28" t="s">
        <v>21</v>
      </c>
      <c r="B53" s="44" t="s">
        <v>2217</v>
      </c>
      <c r="C53" s="28" t="s">
        <v>21</v>
      </c>
      <c r="D53" s="31">
        <v>1</v>
      </c>
      <c r="E53" s="71">
        <v>71</v>
      </c>
      <c r="F53" s="45">
        <v>298</v>
      </c>
      <c r="G53" s="32"/>
      <c r="H53" s="32">
        <v>1.851</v>
      </c>
      <c r="I53" s="32">
        <v>1.8440000000000001</v>
      </c>
      <c r="J53" s="33">
        <f t="shared" si="4"/>
        <v>6.9999999999998952E-3</v>
      </c>
      <c r="K53" s="34" t="str">
        <f t="shared" si="1"/>
        <v/>
      </c>
      <c r="L53" s="35">
        <f t="shared" si="5"/>
        <v>7.45</v>
      </c>
      <c r="M53" s="36" t="str">
        <f t="shared" si="6"/>
        <v/>
      </c>
      <c r="N53" s="37" t="s">
        <v>18</v>
      </c>
      <c r="O53" s="29">
        <v>1</v>
      </c>
      <c r="P53" s="38">
        <v>40</v>
      </c>
      <c r="Q53" s="46"/>
      <c r="R53" s="28" t="s">
        <v>2248</v>
      </c>
      <c r="S53" s="71" t="s">
        <v>59</v>
      </c>
      <c r="T53" s="46"/>
      <c r="U53" s="28" t="s">
        <v>31</v>
      </c>
    </row>
    <row r="54" spans="1:21" s="27" customFormat="1" x14ac:dyDescent="0.25">
      <c r="A54" s="28" t="s">
        <v>21</v>
      </c>
      <c r="B54" s="44" t="s">
        <v>2218</v>
      </c>
      <c r="C54" s="28" t="s">
        <v>21</v>
      </c>
      <c r="D54" s="31">
        <v>1</v>
      </c>
      <c r="E54" s="71">
        <v>48</v>
      </c>
      <c r="F54" s="45">
        <v>300</v>
      </c>
      <c r="G54" s="32"/>
      <c r="H54" s="32">
        <v>1.849</v>
      </c>
      <c r="I54" s="32">
        <v>1.839</v>
      </c>
      <c r="J54" s="33">
        <f t="shared" si="4"/>
        <v>1.0000000000000009E-2</v>
      </c>
      <c r="K54" s="34" t="str">
        <f t="shared" si="1"/>
        <v/>
      </c>
      <c r="L54" s="35">
        <f t="shared" si="5"/>
        <v>7.5</v>
      </c>
      <c r="M54" s="36" t="str">
        <f t="shared" si="6"/>
        <v/>
      </c>
      <c r="N54" s="37" t="s">
        <v>18</v>
      </c>
      <c r="O54" s="29">
        <v>1</v>
      </c>
      <c r="P54" s="38">
        <v>40</v>
      </c>
      <c r="Q54" s="46"/>
      <c r="R54" s="28" t="s">
        <v>2249</v>
      </c>
      <c r="S54" s="28" t="s">
        <v>21</v>
      </c>
      <c r="T54" s="46"/>
      <c r="U54" s="28" t="s">
        <v>31</v>
      </c>
    </row>
    <row r="55" spans="1:21" s="27" customFormat="1" x14ac:dyDescent="0.25">
      <c r="A55" s="28" t="s">
        <v>21</v>
      </c>
      <c r="B55" s="44" t="s">
        <v>2219</v>
      </c>
      <c r="C55" s="28" t="s">
        <v>21</v>
      </c>
      <c r="D55" s="31">
        <v>1</v>
      </c>
      <c r="E55" s="71">
        <v>40</v>
      </c>
      <c r="F55" s="45">
        <v>301</v>
      </c>
      <c r="G55" s="32"/>
      <c r="H55" s="32">
        <v>1.847</v>
      </c>
      <c r="I55" s="32">
        <v>1.8360000000000001</v>
      </c>
      <c r="J55" s="33">
        <f t="shared" si="4"/>
        <v>1.0999999999999899E-2</v>
      </c>
      <c r="K55" s="34" t="str">
        <f t="shared" si="1"/>
        <v/>
      </c>
      <c r="L55" s="35">
        <f t="shared" si="5"/>
        <v>7.5250000000000004</v>
      </c>
      <c r="M55" s="36" t="str">
        <f t="shared" si="6"/>
        <v/>
      </c>
      <c r="N55" s="37" t="s">
        <v>18</v>
      </c>
      <c r="O55" s="29">
        <v>1</v>
      </c>
      <c r="P55" s="38">
        <v>40</v>
      </c>
      <c r="Q55" s="46"/>
      <c r="R55" s="28" t="s">
        <v>2250</v>
      </c>
      <c r="S55" s="28" t="s">
        <v>21</v>
      </c>
      <c r="T55" s="46"/>
      <c r="U55" s="28" t="s">
        <v>31</v>
      </c>
    </row>
    <row r="56" spans="1:21" s="27" customFormat="1" x14ac:dyDescent="0.25">
      <c r="A56" s="28" t="s">
        <v>21</v>
      </c>
      <c r="B56" s="44" t="s">
        <v>2220</v>
      </c>
      <c r="C56" s="28" t="s">
        <v>21</v>
      </c>
      <c r="D56" s="31">
        <v>1</v>
      </c>
      <c r="E56" s="71">
        <v>34</v>
      </c>
      <c r="F56" s="45">
        <v>299</v>
      </c>
      <c r="G56" s="32"/>
      <c r="H56" s="32">
        <v>1.849</v>
      </c>
      <c r="I56" s="32">
        <v>1.84</v>
      </c>
      <c r="J56" s="33">
        <f t="shared" si="4"/>
        <v>8.999999999999897E-3</v>
      </c>
      <c r="K56" s="34" t="str">
        <f t="shared" si="1"/>
        <v/>
      </c>
      <c r="L56" s="35">
        <f t="shared" si="5"/>
        <v>7.4749999999999996</v>
      </c>
      <c r="M56" s="36" t="str">
        <f t="shared" si="6"/>
        <v/>
      </c>
      <c r="N56" s="37" t="s">
        <v>18</v>
      </c>
      <c r="O56" s="29">
        <v>1</v>
      </c>
      <c r="P56" s="38">
        <v>40</v>
      </c>
      <c r="Q56" s="46"/>
      <c r="R56" s="28" t="s">
        <v>2251</v>
      </c>
      <c r="S56" s="28" t="s">
        <v>21</v>
      </c>
      <c r="T56" s="46"/>
      <c r="U56" s="28" t="s">
        <v>31</v>
      </c>
    </row>
    <row r="57" spans="1:21" s="27" customFormat="1" x14ac:dyDescent="0.25">
      <c r="A57" s="28" t="s">
        <v>21</v>
      </c>
      <c r="B57" s="44" t="s">
        <v>2221</v>
      </c>
      <c r="C57" s="28" t="s">
        <v>21</v>
      </c>
      <c r="D57" s="31">
        <v>1</v>
      </c>
      <c r="E57" s="71">
        <v>46</v>
      </c>
      <c r="F57" s="45">
        <v>300</v>
      </c>
      <c r="G57" s="32"/>
      <c r="H57" s="32">
        <v>1.8560000000000001</v>
      </c>
      <c r="I57" s="32">
        <v>1.849</v>
      </c>
      <c r="J57" s="33">
        <f t="shared" si="4"/>
        <v>7.0000000000001172E-3</v>
      </c>
      <c r="K57" s="34" t="str">
        <f t="shared" si="1"/>
        <v/>
      </c>
      <c r="L57" s="35">
        <f t="shared" si="5"/>
        <v>7.5</v>
      </c>
      <c r="M57" s="36" t="str">
        <f t="shared" si="6"/>
        <v/>
      </c>
      <c r="N57" s="37" t="s">
        <v>18</v>
      </c>
      <c r="O57" s="29">
        <v>1</v>
      </c>
      <c r="P57" s="38">
        <v>40</v>
      </c>
      <c r="Q57" s="46"/>
      <c r="R57" s="28" t="s">
        <v>2252</v>
      </c>
      <c r="S57" s="71" t="s">
        <v>103</v>
      </c>
      <c r="T57" s="46"/>
      <c r="U57" s="28" t="s">
        <v>31</v>
      </c>
    </row>
    <row r="58" spans="1:21" s="27" customFormat="1" x14ac:dyDescent="0.25">
      <c r="A58" s="28" t="s">
        <v>21</v>
      </c>
      <c r="B58" s="44" t="s">
        <v>2222</v>
      </c>
      <c r="C58" s="28" t="s">
        <v>21</v>
      </c>
      <c r="D58" s="31">
        <v>1</v>
      </c>
      <c r="E58" s="71">
        <v>37</v>
      </c>
      <c r="F58" s="45">
        <v>299</v>
      </c>
      <c r="G58" s="32"/>
      <c r="H58" s="32">
        <v>1.8540000000000001</v>
      </c>
      <c r="I58" s="32">
        <v>1.847</v>
      </c>
      <c r="J58" s="33">
        <f t="shared" si="4"/>
        <v>7.0000000000001172E-3</v>
      </c>
      <c r="K58" s="34" t="str">
        <f t="shared" si="1"/>
        <v/>
      </c>
      <c r="L58" s="35">
        <f t="shared" si="5"/>
        <v>7.4749999999999996</v>
      </c>
      <c r="M58" s="36" t="str">
        <f t="shared" si="6"/>
        <v/>
      </c>
      <c r="N58" s="37" t="s">
        <v>18</v>
      </c>
      <c r="O58" s="29">
        <v>1</v>
      </c>
      <c r="P58" s="38">
        <v>40</v>
      </c>
      <c r="Q58" s="46"/>
      <c r="R58" s="28" t="s">
        <v>2253</v>
      </c>
      <c r="S58" s="71" t="s">
        <v>59</v>
      </c>
      <c r="T58" s="46"/>
      <c r="U58" s="28" t="s">
        <v>31</v>
      </c>
    </row>
    <row r="59" spans="1:21" s="27" customFormat="1" x14ac:dyDescent="0.25">
      <c r="A59" s="28" t="s">
        <v>21</v>
      </c>
      <c r="B59" s="44" t="s">
        <v>2223</v>
      </c>
      <c r="C59" s="28" t="s">
        <v>21</v>
      </c>
      <c r="D59" s="31">
        <v>1</v>
      </c>
      <c r="E59" s="71">
        <v>35</v>
      </c>
      <c r="F59" s="45">
        <v>299</v>
      </c>
      <c r="G59" s="32"/>
      <c r="H59" s="32">
        <v>1.859</v>
      </c>
      <c r="I59" s="32">
        <v>1.8520000000000001</v>
      </c>
      <c r="J59" s="33">
        <f t="shared" si="4"/>
        <v>6.9999999999998952E-3</v>
      </c>
      <c r="K59" s="34" t="str">
        <f t="shared" si="1"/>
        <v/>
      </c>
      <c r="L59" s="35">
        <f t="shared" si="5"/>
        <v>7.4749999999999996</v>
      </c>
      <c r="M59" s="36" t="str">
        <f t="shared" si="6"/>
        <v/>
      </c>
      <c r="N59" s="37" t="s">
        <v>18</v>
      </c>
      <c r="O59" s="29">
        <v>1</v>
      </c>
      <c r="P59" s="38">
        <v>40</v>
      </c>
      <c r="Q59" s="46"/>
      <c r="R59" s="28" t="s">
        <v>2247</v>
      </c>
      <c r="S59" s="28" t="s">
        <v>21</v>
      </c>
      <c r="T59" s="46"/>
      <c r="U59" s="28" t="s">
        <v>31</v>
      </c>
    </row>
    <row r="60" spans="1:21" s="27" customFormat="1" x14ac:dyDescent="0.25">
      <c r="A60" s="28" t="s">
        <v>21</v>
      </c>
      <c r="B60" s="44" t="s">
        <v>2224</v>
      </c>
      <c r="C60" s="28" t="s">
        <v>21</v>
      </c>
      <c r="D60" s="31">
        <v>1</v>
      </c>
      <c r="E60" s="71">
        <v>45</v>
      </c>
      <c r="F60" s="45">
        <v>297</v>
      </c>
      <c r="G60" s="32"/>
      <c r="H60" s="32">
        <v>1.8640000000000001</v>
      </c>
      <c r="I60" s="32">
        <v>1.8560000000000001</v>
      </c>
      <c r="J60" s="33">
        <f t="shared" si="4"/>
        <v>8.0000000000000071E-3</v>
      </c>
      <c r="K60" s="34" t="str">
        <f t="shared" si="1"/>
        <v/>
      </c>
      <c r="L60" s="35">
        <f t="shared" si="5"/>
        <v>7.4249999999999998</v>
      </c>
      <c r="M60" s="36" t="str">
        <f t="shared" si="6"/>
        <v/>
      </c>
      <c r="N60" s="37" t="s">
        <v>18</v>
      </c>
      <c r="O60" s="29">
        <v>1</v>
      </c>
      <c r="P60" s="38">
        <v>40</v>
      </c>
      <c r="Q60" s="46"/>
      <c r="R60" s="28" t="s">
        <v>2254</v>
      </c>
      <c r="S60" s="28" t="s">
        <v>21</v>
      </c>
      <c r="T60" s="46"/>
      <c r="U60" s="28" t="s">
        <v>31</v>
      </c>
    </row>
    <row r="61" spans="1:21" s="27" customFormat="1" x14ac:dyDescent="0.25">
      <c r="A61" s="28" t="s">
        <v>21</v>
      </c>
      <c r="B61" s="44" t="s">
        <v>2225</v>
      </c>
      <c r="C61" s="28" t="s">
        <v>21</v>
      </c>
      <c r="D61" s="31">
        <v>1</v>
      </c>
      <c r="E61" s="71">
        <v>28</v>
      </c>
      <c r="F61" s="45">
        <v>301</v>
      </c>
      <c r="G61" s="32"/>
      <c r="H61" s="32">
        <v>1.861</v>
      </c>
      <c r="I61" s="32">
        <v>1.851</v>
      </c>
      <c r="J61" s="33">
        <f t="shared" si="4"/>
        <v>1.0000000000000009E-2</v>
      </c>
      <c r="K61" s="34" t="str">
        <f t="shared" si="1"/>
        <v/>
      </c>
      <c r="L61" s="35">
        <f t="shared" si="5"/>
        <v>7.5250000000000004</v>
      </c>
      <c r="M61" s="36" t="str">
        <f t="shared" si="6"/>
        <v/>
      </c>
      <c r="N61" s="37" t="s">
        <v>18</v>
      </c>
      <c r="O61" s="29">
        <v>1</v>
      </c>
      <c r="P61" s="38">
        <v>40</v>
      </c>
      <c r="Q61" s="46"/>
      <c r="R61" s="28" t="s">
        <v>2255</v>
      </c>
      <c r="S61" s="28" t="s">
        <v>21</v>
      </c>
      <c r="T61" s="46"/>
      <c r="U61" s="28" t="s">
        <v>31</v>
      </c>
    </row>
    <row r="62" spans="1:21" s="27" customFormat="1" x14ac:dyDescent="0.25">
      <c r="A62" s="28" t="s">
        <v>2257</v>
      </c>
      <c r="B62" s="44" t="s">
        <v>2258</v>
      </c>
      <c r="C62" s="28">
        <v>698356</v>
      </c>
      <c r="D62" s="31">
        <v>1</v>
      </c>
      <c r="E62" s="71">
        <v>74</v>
      </c>
      <c r="F62" s="45">
        <v>298</v>
      </c>
      <c r="G62" s="32"/>
      <c r="H62" s="32">
        <v>1.849</v>
      </c>
      <c r="I62" s="32">
        <v>1.843</v>
      </c>
      <c r="J62" s="33">
        <f t="shared" ref="J62:J91" si="7">IF(O62&lt;&gt;"",(H62-I62)/O62,"")</f>
        <v>6.0000000000000053E-3</v>
      </c>
      <c r="K62" s="34" t="str">
        <f t="shared" si="1"/>
        <v/>
      </c>
      <c r="L62" s="35">
        <f t="shared" ref="L62:L91" si="8">F62/(O62*P62)</f>
        <v>7.45</v>
      </c>
      <c r="M62" s="36" t="str">
        <f t="shared" ref="M62:M91" si="9">IF(L62=0,"",IF(OR(L62&lt;7,L62&gt;7.8),"X",""))</f>
        <v/>
      </c>
      <c r="N62" s="37" t="s">
        <v>18</v>
      </c>
      <c r="O62" s="29">
        <v>1</v>
      </c>
      <c r="P62" s="38">
        <v>40</v>
      </c>
      <c r="Q62" s="46"/>
      <c r="R62" s="28" t="s">
        <v>2288</v>
      </c>
      <c r="S62" s="71" t="s">
        <v>58</v>
      </c>
      <c r="T62" s="46"/>
      <c r="U62" s="28" t="s">
        <v>31</v>
      </c>
    </row>
    <row r="63" spans="1:21" s="27" customFormat="1" x14ac:dyDescent="0.25">
      <c r="A63" s="28" t="s">
        <v>21</v>
      </c>
      <c r="B63" s="44" t="s">
        <v>2259</v>
      </c>
      <c r="C63" s="28" t="s">
        <v>21</v>
      </c>
      <c r="D63" s="31">
        <v>1</v>
      </c>
      <c r="E63" s="71">
        <v>61</v>
      </c>
      <c r="F63" s="45">
        <v>300</v>
      </c>
      <c r="G63" s="32"/>
      <c r="H63" s="32">
        <v>1.851</v>
      </c>
      <c r="I63" s="32">
        <v>1.843</v>
      </c>
      <c r="J63" s="33">
        <f t="shared" si="7"/>
        <v>8.0000000000000071E-3</v>
      </c>
      <c r="K63" s="34" t="str">
        <f t="shared" si="1"/>
        <v/>
      </c>
      <c r="L63" s="35">
        <f t="shared" si="8"/>
        <v>7.5</v>
      </c>
      <c r="M63" s="36" t="str">
        <f t="shared" si="9"/>
        <v/>
      </c>
      <c r="N63" s="37" t="s">
        <v>18</v>
      </c>
      <c r="O63" s="29">
        <v>1</v>
      </c>
      <c r="P63" s="38">
        <v>40</v>
      </c>
      <c r="Q63" s="46"/>
      <c r="R63" s="28" t="s">
        <v>2290</v>
      </c>
      <c r="S63" s="71" t="s">
        <v>59</v>
      </c>
      <c r="T63" s="46"/>
      <c r="U63" s="28" t="s">
        <v>31</v>
      </c>
    </row>
    <row r="64" spans="1:21" s="27" customFormat="1" x14ac:dyDescent="0.25">
      <c r="A64" s="28" t="s">
        <v>21</v>
      </c>
      <c r="B64" s="44" t="s">
        <v>2260</v>
      </c>
      <c r="C64" s="28" t="s">
        <v>21</v>
      </c>
      <c r="D64" s="31">
        <v>1</v>
      </c>
      <c r="E64" s="71">
        <v>47</v>
      </c>
      <c r="F64" s="45">
        <v>300</v>
      </c>
      <c r="G64" s="32"/>
      <c r="H64" s="32">
        <v>1.8420000000000001</v>
      </c>
      <c r="I64" s="32">
        <v>1.833</v>
      </c>
      <c r="J64" s="33">
        <f t="shared" si="7"/>
        <v>9.000000000000119E-3</v>
      </c>
      <c r="K64" s="34" t="str">
        <f t="shared" si="1"/>
        <v/>
      </c>
      <c r="L64" s="35">
        <f t="shared" si="8"/>
        <v>7.5</v>
      </c>
      <c r="M64" s="36" t="str">
        <f t="shared" si="9"/>
        <v/>
      </c>
      <c r="N64" s="37" t="s">
        <v>18</v>
      </c>
      <c r="O64" s="29">
        <v>1</v>
      </c>
      <c r="P64" s="38">
        <v>40</v>
      </c>
      <c r="Q64" s="46"/>
      <c r="R64" s="28" t="s">
        <v>2291</v>
      </c>
      <c r="S64" s="28" t="s">
        <v>21</v>
      </c>
      <c r="T64" s="46"/>
      <c r="U64" s="28" t="s">
        <v>31</v>
      </c>
    </row>
    <row r="65" spans="1:21" s="27" customFormat="1" x14ac:dyDescent="0.25">
      <c r="A65" s="28" t="s">
        <v>21</v>
      </c>
      <c r="B65" s="44" t="s">
        <v>2261</v>
      </c>
      <c r="C65" s="28" t="s">
        <v>21</v>
      </c>
      <c r="D65" s="31">
        <v>1</v>
      </c>
      <c r="E65" s="71">
        <v>66</v>
      </c>
      <c r="F65" s="45">
        <v>299</v>
      </c>
      <c r="G65" s="32"/>
      <c r="H65" s="32">
        <v>1.839</v>
      </c>
      <c r="I65" s="32">
        <v>1.831</v>
      </c>
      <c r="J65" s="33">
        <f t="shared" si="7"/>
        <v>8.0000000000000071E-3</v>
      </c>
      <c r="K65" s="34" t="str">
        <f t="shared" si="1"/>
        <v/>
      </c>
      <c r="L65" s="35">
        <f t="shared" si="8"/>
        <v>7.4749999999999996</v>
      </c>
      <c r="M65" s="36" t="str">
        <f t="shared" si="9"/>
        <v/>
      </c>
      <c r="N65" s="37" t="s">
        <v>18</v>
      </c>
      <c r="O65" s="29">
        <v>1</v>
      </c>
      <c r="P65" s="38">
        <v>40</v>
      </c>
      <c r="Q65" s="46"/>
      <c r="R65" s="28" t="s">
        <v>2292</v>
      </c>
      <c r="S65" s="28" t="s">
        <v>21</v>
      </c>
      <c r="T65" s="46"/>
      <c r="U65" s="28" t="s">
        <v>31</v>
      </c>
    </row>
    <row r="66" spans="1:21" s="27" customFormat="1" x14ac:dyDescent="0.25">
      <c r="A66" s="28" t="s">
        <v>21</v>
      </c>
      <c r="B66" s="44" t="s">
        <v>2262</v>
      </c>
      <c r="C66" s="28" t="s">
        <v>21</v>
      </c>
      <c r="D66" s="31">
        <v>1</v>
      </c>
      <c r="E66" s="71">
        <v>52</v>
      </c>
      <c r="F66" s="45">
        <v>301</v>
      </c>
      <c r="G66" s="32"/>
      <c r="H66" s="32">
        <v>1.8380000000000001</v>
      </c>
      <c r="I66" s="32">
        <v>1.829</v>
      </c>
      <c r="J66" s="33">
        <f t="shared" si="7"/>
        <v>9.000000000000119E-3</v>
      </c>
      <c r="K66" s="34" t="str">
        <f t="shared" ref="K66:K129" si="10">IF(J66=0,"",IF(OR(J66&lt;0,J66&gt;0.03),"X",""))</f>
        <v/>
      </c>
      <c r="L66" s="35">
        <f t="shared" si="8"/>
        <v>7.5250000000000004</v>
      </c>
      <c r="M66" s="36" t="str">
        <f t="shared" si="9"/>
        <v/>
      </c>
      <c r="N66" s="37" t="s">
        <v>18</v>
      </c>
      <c r="O66" s="29">
        <v>1</v>
      </c>
      <c r="P66" s="38">
        <v>40</v>
      </c>
      <c r="Q66" s="46"/>
      <c r="R66" s="28" t="s">
        <v>2294</v>
      </c>
      <c r="S66" s="28" t="s">
        <v>21</v>
      </c>
      <c r="T66" s="46"/>
      <c r="U66" s="28" t="s">
        <v>31</v>
      </c>
    </row>
    <row r="67" spans="1:21" s="27" customFormat="1" x14ac:dyDescent="0.25">
      <c r="A67" s="28" t="s">
        <v>21</v>
      </c>
      <c r="B67" s="44" t="s">
        <v>2263</v>
      </c>
      <c r="C67" s="28" t="s">
        <v>21</v>
      </c>
      <c r="D67" s="31">
        <v>1</v>
      </c>
      <c r="E67" s="71">
        <v>52</v>
      </c>
      <c r="F67" s="45">
        <v>301</v>
      </c>
      <c r="G67" s="32"/>
      <c r="H67" s="32">
        <v>1.8640000000000001</v>
      </c>
      <c r="I67" s="32">
        <v>1.8560000000000001</v>
      </c>
      <c r="J67" s="33">
        <f t="shared" si="7"/>
        <v>8.0000000000000071E-3</v>
      </c>
      <c r="K67" s="34" t="str">
        <f t="shared" si="10"/>
        <v/>
      </c>
      <c r="L67" s="35">
        <f t="shared" si="8"/>
        <v>7.5250000000000004</v>
      </c>
      <c r="M67" s="36" t="str">
        <f t="shared" si="9"/>
        <v/>
      </c>
      <c r="N67" s="37" t="s">
        <v>18</v>
      </c>
      <c r="O67" s="29">
        <v>1</v>
      </c>
      <c r="P67" s="38">
        <v>40</v>
      </c>
      <c r="Q67" s="46"/>
      <c r="R67" s="28" t="s">
        <v>2301</v>
      </c>
      <c r="S67" s="71" t="s">
        <v>103</v>
      </c>
      <c r="T67" s="46"/>
      <c r="U67" s="28" t="s">
        <v>31</v>
      </c>
    </row>
    <row r="68" spans="1:21" s="27" customFormat="1" x14ac:dyDescent="0.25">
      <c r="A68" s="28" t="s">
        <v>21</v>
      </c>
      <c r="B68" s="44" t="s">
        <v>2264</v>
      </c>
      <c r="C68" s="28" t="s">
        <v>21</v>
      </c>
      <c r="D68" s="31">
        <v>1</v>
      </c>
      <c r="E68" s="71">
        <v>44</v>
      </c>
      <c r="F68" s="45">
        <v>301</v>
      </c>
      <c r="G68" s="32"/>
      <c r="H68" s="32">
        <v>1.859</v>
      </c>
      <c r="I68" s="32">
        <v>1.849</v>
      </c>
      <c r="J68" s="33">
        <f t="shared" si="7"/>
        <v>1.0000000000000009E-2</v>
      </c>
      <c r="K68" s="34" t="str">
        <f t="shared" si="10"/>
        <v/>
      </c>
      <c r="L68" s="35">
        <f t="shared" si="8"/>
        <v>7.5250000000000004</v>
      </c>
      <c r="M68" s="36" t="str">
        <f t="shared" si="9"/>
        <v/>
      </c>
      <c r="N68" s="37" t="s">
        <v>18</v>
      </c>
      <c r="O68" s="29">
        <v>1</v>
      </c>
      <c r="P68" s="38">
        <v>40</v>
      </c>
      <c r="Q68" s="46"/>
      <c r="R68" s="28" t="s">
        <v>2295</v>
      </c>
      <c r="S68" s="71" t="s">
        <v>59</v>
      </c>
      <c r="T68" s="46"/>
      <c r="U68" s="28" t="s">
        <v>31</v>
      </c>
    </row>
    <row r="69" spans="1:21" s="27" customFormat="1" x14ac:dyDescent="0.25">
      <c r="A69" s="28" t="s">
        <v>21</v>
      </c>
      <c r="B69" s="44" t="s">
        <v>2265</v>
      </c>
      <c r="C69" s="28" t="s">
        <v>21</v>
      </c>
      <c r="D69" s="31">
        <v>1</v>
      </c>
      <c r="E69" s="71">
        <v>48</v>
      </c>
      <c r="F69" s="45">
        <v>300</v>
      </c>
      <c r="G69" s="32"/>
      <c r="H69" s="32">
        <v>1.86</v>
      </c>
      <c r="I69" s="32">
        <v>1.8520000000000001</v>
      </c>
      <c r="J69" s="33">
        <f t="shared" si="7"/>
        <v>8.0000000000000071E-3</v>
      </c>
      <c r="K69" s="34" t="str">
        <f t="shared" si="10"/>
        <v/>
      </c>
      <c r="L69" s="35">
        <f t="shared" si="8"/>
        <v>7.5</v>
      </c>
      <c r="M69" s="36" t="str">
        <f t="shared" si="9"/>
        <v/>
      </c>
      <c r="N69" s="37" t="s">
        <v>18</v>
      </c>
      <c r="O69" s="29">
        <v>1</v>
      </c>
      <c r="P69" s="38">
        <v>40</v>
      </c>
      <c r="Q69" s="46"/>
      <c r="R69" s="28" t="s">
        <v>2296</v>
      </c>
      <c r="S69" s="28" t="s">
        <v>21</v>
      </c>
      <c r="T69" s="46"/>
      <c r="U69" s="28" t="s">
        <v>31</v>
      </c>
    </row>
    <row r="70" spans="1:21" s="27" customFormat="1" x14ac:dyDescent="0.25">
      <c r="A70" s="28" t="s">
        <v>21</v>
      </c>
      <c r="B70" s="44" t="s">
        <v>2266</v>
      </c>
      <c r="C70" s="28" t="s">
        <v>21</v>
      </c>
      <c r="D70" s="31">
        <v>1</v>
      </c>
      <c r="E70" s="71">
        <v>49</v>
      </c>
      <c r="F70" s="45">
        <v>301</v>
      </c>
      <c r="G70" s="32"/>
      <c r="H70" s="32">
        <v>1.853</v>
      </c>
      <c r="I70" s="32">
        <v>1.8440000000000001</v>
      </c>
      <c r="J70" s="33">
        <f t="shared" si="7"/>
        <v>8.999999999999897E-3</v>
      </c>
      <c r="K70" s="34" t="str">
        <f t="shared" si="10"/>
        <v/>
      </c>
      <c r="L70" s="35">
        <f t="shared" si="8"/>
        <v>7.5250000000000004</v>
      </c>
      <c r="M70" s="36" t="str">
        <f t="shared" si="9"/>
        <v/>
      </c>
      <c r="N70" s="37" t="s">
        <v>18</v>
      </c>
      <c r="O70" s="29">
        <v>1</v>
      </c>
      <c r="P70" s="38">
        <v>40</v>
      </c>
      <c r="Q70" s="46"/>
      <c r="R70" s="28" t="s">
        <v>2297</v>
      </c>
      <c r="S70" s="28" t="s">
        <v>21</v>
      </c>
      <c r="T70" s="46"/>
      <c r="U70" s="28" t="s">
        <v>31</v>
      </c>
    </row>
    <row r="71" spans="1:21" s="27" customFormat="1" x14ac:dyDescent="0.25">
      <c r="A71" s="28" t="s">
        <v>21</v>
      </c>
      <c r="B71" s="44" t="s">
        <v>2267</v>
      </c>
      <c r="C71" s="28" t="s">
        <v>21</v>
      </c>
      <c r="D71" s="31">
        <v>1</v>
      </c>
      <c r="E71" s="71">
        <v>70</v>
      </c>
      <c r="F71" s="45">
        <v>301</v>
      </c>
      <c r="G71" s="32"/>
      <c r="H71" s="32">
        <v>1.857</v>
      </c>
      <c r="I71" s="32">
        <v>1.851</v>
      </c>
      <c r="J71" s="33">
        <f t="shared" si="7"/>
        <v>6.0000000000000053E-3</v>
      </c>
      <c r="K71" s="34" t="str">
        <f t="shared" si="10"/>
        <v/>
      </c>
      <c r="L71" s="35">
        <f t="shared" si="8"/>
        <v>7.5250000000000004</v>
      </c>
      <c r="M71" s="36" t="str">
        <f t="shared" si="9"/>
        <v/>
      </c>
      <c r="N71" s="37" t="s">
        <v>18</v>
      </c>
      <c r="O71" s="29">
        <v>1</v>
      </c>
      <c r="P71" s="38">
        <v>40</v>
      </c>
      <c r="Q71" s="46"/>
      <c r="R71" s="28" t="s">
        <v>2293</v>
      </c>
      <c r="S71" s="28" t="s">
        <v>21</v>
      </c>
      <c r="T71" s="46"/>
      <c r="U71" s="28" t="s">
        <v>31</v>
      </c>
    </row>
    <row r="72" spans="1:21" s="27" customFormat="1" x14ac:dyDescent="0.25">
      <c r="A72" s="28" t="s">
        <v>21</v>
      </c>
      <c r="B72" s="44" t="s">
        <v>2268</v>
      </c>
      <c r="C72" s="28" t="s">
        <v>21</v>
      </c>
      <c r="D72" s="31">
        <v>1</v>
      </c>
      <c r="E72" s="73">
        <v>22</v>
      </c>
      <c r="F72" s="45">
        <v>300</v>
      </c>
      <c r="G72" s="32"/>
      <c r="H72" s="32">
        <v>1.85</v>
      </c>
      <c r="I72" s="32">
        <v>1.841</v>
      </c>
      <c r="J72" s="33">
        <f t="shared" si="7"/>
        <v>9.000000000000119E-3</v>
      </c>
      <c r="K72" s="34" t="str">
        <f t="shared" si="10"/>
        <v/>
      </c>
      <c r="L72" s="35">
        <f t="shared" si="8"/>
        <v>7.5</v>
      </c>
      <c r="M72" s="36" t="str">
        <f t="shared" si="9"/>
        <v/>
      </c>
      <c r="N72" s="37" t="s">
        <v>18</v>
      </c>
      <c r="O72" s="29">
        <v>1</v>
      </c>
      <c r="P72" s="38">
        <v>40</v>
      </c>
      <c r="Q72" s="46"/>
      <c r="R72" s="28" t="s">
        <v>2298</v>
      </c>
      <c r="S72" s="47"/>
      <c r="T72" s="46"/>
      <c r="U72" s="28" t="s">
        <v>31</v>
      </c>
    </row>
    <row r="73" spans="1:21" s="27" customFormat="1" x14ac:dyDescent="0.25">
      <c r="A73" s="28" t="s">
        <v>21</v>
      </c>
      <c r="B73" s="44" t="s">
        <v>2269</v>
      </c>
      <c r="C73" s="28" t="s">
        <v>21</v>
      </c>
      <c r="D73" s="31">
        <v>1</v>
      </c>
      <c r="E73" s="73">
        <v>12</v>
      </c>
      <c r="F73" s="45">
        <v>301</v>
      </c>
      <c r="G73" s="32"/>
      <c r="H73" s="32">
        <v>1.8420000000000001</v>
      </c>
      <c r="I73" s="32">
        <v>1.8320000000000001</v>
      </c>
      <c r="J73" s="33">
        <f t="shared" si="7"/>
        <v>1.0000000000000009E-2</v>
      </c>
      <c r="K73" s="34" t="str">
        <f t="shared" si="10"/>
        <v/>
      </c>
      <c r="L73" s="35">
        <f t="shared" si="8"/>
        <v>7.5250000000000004</v>
      </c>
      <c r="M73" s="36" t="str">
        <f t="shared" si="9"/>
        <v/>
      </c>
      <c r="N73" s="37" t="s">
        <v>18</v>
      </c>
      <c r="O73" s="29">
        <v>1</v>
      </c>
      <c r="P73" s="38">
        <v>40</v>
      </c>
      <c r="Q73" s="46"/>
      <c r="R73" s="28" t="s">
        <v>2299</v>
      </c>
      <c r="S73" s="47"/>
      <c r="T73" s="46"/>
      <c r="U73" s="28" t="s">
        <v>31</v>
      </c>
    </row>
    <row r="74" spans="1:21" s="27" customFormat="1" x14ac:dyDescent="0.25">
      <c r="A74" s="28" t="s">
        <v>21</v>
      </c>
      <c r="B74" s="44" t="s">
        <v>2270</v>
      </c>
      <c r="C74" s="28" t="s">
        <v>21</v>
      </c>
      <c r="D74" s="31">
        <v>1</v>
      </c>
      <c r="E74" s="73">
        <v>28</v>
      </c>
      <c r="F74" s="45">
        <v>300</v>
      </c>
      <c r="G74" s="32"/>
      <c r="H74" s="32">
        <v>1.849</v>
      </c>
      <c r="I74" s="32">
        <v>1.843</v>
      </c>
      <c r="J74" s="33">
        <f t="shared" si="7"/>
        <v>6.0000000000000053E-3</v>
      </c>
      <c r="K74" s="34" t="str">
        <f t="shared" si="10"/>
        <v/>
      </c>
      <c r="L74" s="35">
        <f t="shared" si="8"/>
        <v>7.5</v>
      </c>
      <c r="M74" s="36" t="str">
        <f t="shared" si="9"/>
        <v/>
      </c>
      <c r="N74" s="37" t="s">
        <v>18</v>
      </c>
      <c r="O74" s="29">
        <v>1</v>
      </c>
      <c r="P74" s="38">
        <v>40</v>
      </c>
      <c r="Q74" s="46"/>
      <c r="R74" s="28" t="s">
        <v>2300</v>
      </c>
      <c r="S74" s="47"/>
      <c r="T74" s="46"/>
      <c r="U74" s="28" t="s">
        <v>31</v>
      </c>
    </row>
    <row r="75" spans="1:21" s="27" customFormat="1" x14ac:dyDescent="0.25">
      <c r="A75" s="28" t="s">
        <v>21</v>
      </c>
      <c r="B75" s="44" t="s">
        <v>2271</v>
      </c>
      <c r="C75" s="28" t="s">
        <v>21</v>
      </c>
      <c r="D75" s="31">
        <v>1</v>
      </c>
      <c r="E75" s="73">
        <v>18</v>
      </c>
      <c r="F75" s="45">
        <v>302</v>
      </c>
      <c r="G75" s="32"/>
      <c r="H75" s="32">
        <v>1.849</v>
      </c>
      <c r="I75" s="32">
        <v>1.841</v>
      </c>
      <c r="J75" s="33">
        <f t="shared" si="7"/>
        <v>8.0000000000000071E-3</v>
      </c>
      <c r="K75" s="34" t="str">
        <f t="shared" si="10"/>
        <v/>
      </c>
      <c r="L75" s="35">
        <f t="shared" si="8"/>
        <v>7.55</v>
      </c>
      <c r="M75" s="36" t="str">
        <f t="shared" si="9"/>
        <v/>
      </c>
      <c r="N75" s="37" t="s">
        <v>18</v>
      </c>
      <c r="O75" s="29">
        <v>1</v>
      </c>
      <c r="P75" s="38">
        <v>40</v>
      </c>
      <c r="Q75" s="46"/>
      <c r="R75" s="28" t="s">
        <v>2289</v>
      </c>
      <c r="S75" s="47"/>
      <c r="T75" s="46"/>
      <c r="U75" s="28" t="s">
        <v>31</v>
      </c>
    </row>
    <row r="76" spans="1:21" s="27" customFormat="1" x14ac:dyDescent="0.25">
      <c r="A76" s="28" t="s">
        <v>21</v>
      </c>
      <c r="B76" s="44" t="s">
        <v>2272</v>
      </c>
      <c r="C76" s="28" t="s">
        <v>21</v>
      </c>
      <c r="D76" s="31">
        <v>1</v>
      </c>
      <c r="E76" s="73">
        <v>16</v>
      </c>
      <c r="F76" s="45">
        <v>301</v>
      </c>
      <c r="G76" s="32"/>
      <c r="H76" s="32">
        <v>1.853</v>
      </c>
      <c r="I76" s="32">
        <v>1.8440000000000001</v>
      </c>
      <c r="J76" s="33">
        <f t="shared" si="7"/>
        <v>8.999999999999897E-3</v>
      </c>
      <c r="K76" s="34" t="str">
        <f t="shared" si="10"/>
        <v/>
      </c>
      <c r="L76" s="35">
        <f t="shared" si="8"/>
        <v>7.5250000000000004</v>
      </c>
      <c r="M76" s="36" t="str">
        <f t="shared" si="9"/>
        <v/>
      </c>
      <c r="N76" s="37" t="s">
        <v>18</v>
      </c>
      <c r="O76" s="29">
        <v>1</v>
      </c>
      <c r="P76" s="38">
        <v>40</v>
      </c>
      <c r="Q76" s="46"/>
      <c r="R76" s="28" t="s">
        <v>2306</v>
      </c>
      <c r="S76" s="47"/>
      <c r="T76" s="46"/>
      <c r="U76" s="28" t="s">
        <v>31</v>
      </c>
    </row>
    <row r="77" spans="1:21" s="27" customFormat="1" x14ac:dyDescent="0.25">
      <c r="A77" s="28" t="s">
        <v>21</v>
      </c>
      <c r="B77" s="44" t="s">
        <v>2273</v>
      </c>
      <c r="C77" s="28" t="s">
        <v>21</v>
      </c>
      <c r="D77" s="31">
        <v>1</v>
      </c>
      <c r="E77" s="71">
        <v>26</v>
      </c>
      <c r="F77" s="45">
        <v>299</v>
      </c>
      <c r="G77" s="32"/>
      <c r="H77" s="32">
        <v>1.857</v>
      </c>
      <c r="I77" s="32">
        <v>1.8480000000000001</v>
      </c>
      <c r="J77" s="33">
        <f t="shared" si="7"/>
        <v>8.999999999999897E-3</v>
      </c>
      <c r="K77" s="34" t="str">
        <f t="shared" si="10"/>
        <v/>
      </c>
      <c r="L77" s="35">
        <f t="shared" si="8"/>
        <v>7.4749999999999996</v>
      </c>
      <c r="M77" s="36" t="str">
        <f t="shared" si="9"/>
        <v/>
      </c>
      <c r="N77" s="37" t="s">
        <v>18</v>
      </c>
      <c r="O77" s="29">
        <v>1</v>
      </c>
      <c r="P77" s="38">
        <v>40</v>
      </c>
      <c r="Q77" s="46"/>
      <c r="R77" s="28" t="s">
        <v>2302</v>
      </c>
      <c r="S77" s="71" t="s">
        <v>103</v>
      </c>
      <c r="T77" s="46"/>
      <c r="U77" s="28" t="s">
        <v>31</v>
      </c>
    </row>
    <row r="78" spans="1:21" s="27" customFormat="1" x14ac:dyDescent="0.25">
      <c r="A78" s="28" t="s">
        <v>21</v>
      </c>
      <c r="B78" s="44" t="s">
        <v>2274</v>
      </c>
      <c r="C78" s="28" t="s">
        <v>21</v>
      </c>
      <c r="D78" s="31">
        <v>1</v>
      </c>
      <c r="E78" s="71">
        <v>27</v>
      </c>
      <c r="F78" s="45">
        <v>300</v>
      </c>
      <c r="G78" s="32"/>
      <c r="H78" s="32">
        <v>1.869</v>
      </c>
      <c r="I78" s="32">
        <v>1.861</v>
      </c>
      <c r="J78" s="33">
        <f t="shared" si="7"/>
        <v>8.0000000000000071E-3</v>
      </c>
      <c r="K78" s="34" t="str">
        <f t="shared" si="10"/>
        <v/>
      </c>
      <c r="L78" s="35">
        <f t="shared" si="8"/>
        <v>7.5</v>
      </c>
      <c r="M78" s="36" t="str">
        <f t="shared" si="9"/>
        <v/>
      </c>
      <c r="N78" s="37" t="s">
        <v>18</v>
      </c>
      <c r="O78" s="29">
        <v>1</v>
      </c>
      <c r="P78" s="38">
        <v>40</v>
      </c>
      <c r="Q78" s="46"/>
      <c r="R78" s="28" t="s">
        <v>2303</v>
      </c>
      <c r="S78" s="71" t="s">
        <v>59</v>
      </c>
      <c r="T78" s="46"/>
      <c r="U78" s="28" t="s">
        <v>31</v>
      </c>
    </row>
    <row r="79" spans="1:21" s="27" customFormat="1" x14ac:dyDescent="0.25">
      <c r="A79" s="28" t="s">
        <v>21</v>
      </c>
      <c r="B79" s="44" t="s">
        <v>2275</v>
      </c>
      <c r="C79" s="28" t="s">
        <v>21</v>
      </c>
      <c r="D79" s="31">
        <v>1</v>
      </c>
      <c r="E79" s="71">
        <v>38</v>
      </c>
      <c r="F79" s="45">
        <v>300</v>
      </c>
      <c r="G79" s="32"/>
      <c r="H79" s="32">
        <v>1.861</v>
      </c>
      <c r="I79" s="32">
        <v>1.853</v>
      </c>
      <c r="J79" s="33">
        <f t="shared" si="7"/>
        <v>8.0000000000000071E-3</v>
      </c>
      <c r="K79" s="34" t="str">
        <f t="shared" si="10"/>
        <v/>
      </c>
      <c r="L79" s="35">
        <f t="shared" si="8"/>
        <v>7.5</v>
      </c>
      <c r="M79" s="36" t="str">
        <f t="shared" si="9"/>
        <v/>
      </c>
      <c r="N79" s="37" t="s">
        <v>18</v>
      </c>
      <c r="O79" s="29">
        <v>1</v>
      </c>
      <c r="P79" s="38">
        <v>40</v>
      </c>
      <c r="Q79" s="46"/>
      <c r="R79" s="28" t="s">
        <v>2304</v>
      </c>
      <c r="S79" s="28" t="s">
        <v>21</v>
      </c>
      <c r="T79" s="46"/>
      <c r="U79" s="28" t="s">
        <v>31</v>
      </c>
    </row>
    <row r="80" spans="1:21" s="27" customFormat="1" x14ac:dyDescent="0.25">
      <c r="A80" s="28" t="s">
        <v>21</v>
      </c>
      <c r="B80" s="44" t="s">
        <v>2276</v>
      </c>
      <c r="C80" s="28" t="s">
        <v>21</v>
      </c>
      <c r="D80" s="31">
        <v>1</v>
      </c>
      <c r="E80" s="71">
        <v>22</v>
      </c>
      <c r="F80" s="45">
        <v>301</v>
      </c>
      <c r="G80" s="32"/>
      <c r="H80" s="32">
        <v>1.8460000000000001</v>
      </c>
      <c r="I80" s="32">
        <v>1.835</v>
      </c>
      <c r="J80" s="33">
        <f t="shared" si="7"/>
        <v>1.1000000000000121E-2</v>
      </c>
      <c r="K80" s="34" t="str">
        <f t="shared" si="10"/>
        <v/>
      </c>
      <c r="L80" s="35">
        <f t="shared" si="8"/>
        <v>7.5250000000000004</v>
      </c>
      <c r="M80" s="36" t="str">
        <f t="shared" si="9"/>
        <v/>
      </c>
      <c r="N80" s="37" t="s">
        <v>18</v>
      </c>
      <c r="O80" s="29">
        <v>1</v>
      </c>
      <c r="P80" s="38">
        <v>40</v>
      </c>
      <c r="Q80" s="46"/>
      <c r="R80" s="28" t="s">
        <v>2305</v>
      </c>
      <c r="S80" s="28" t="s">
        <v>21</v>
      </c>
      <c r="T80" s="46"/>
      <c r="U80" s="28" t="s">
        <v>31</v>
      </c>
    </row>
    <row r="81" spans="1:21" s="27" customFormat="1" x14ac:dyDescent="0.25">
      <c r="A81" s="28" t="s">
        <v>21</v>
      </c>
      <c r="B81" s="44" t="s">
        <v>2277</v>
      </c>
      <c r="C81" s="28">
        <v>698356</v>
      </c>
      <c r="D81" s="31">
        <v>1</v>
      </c>
      <c r="E81" s="71">
        <v>35</v>
      </c>
      <c r="F81" s="45">
        <v>299</v>
      </c>
      <c r="G81" s="32"/>
      <c r="H81" s="32">
        <v>1.8540000000000001</v>
      </c>
      <c r="I81" s="32">
        <v>1.847</v>
      </c>
      <c r="J81" s="33">
        <f t="shared" si="7"/>
        <v>7.0000000000001172E-3</v>
      </c>
      <c r="K81" s="34" t="str">
        <f t="shared" si="10"/>
        <v/>
      </c>
      <c r="L81" s="35">
        <f t="shared" si="8"/>
        <v>7.4749999999999996</v>
      </c>
      <c r="M81" s="36" t="str">
        <f t="shared" si="9"/>
        <v/>
      </c>
      <c r="N81" s="37" t="s">
        <v>18</v>
      </c>
      <c r="O81" s="29">
        <v>1</v>
      </c>
      <c r="P81" s="38">
        <v>40</v>
      </c>
      <c r="Q81" s="46"/>
      <c r="R81" s="28" t="s">
        <v>2307</v>
      </c>
      <c r="S81" s="28" t="s">
        <v>21</v>
      </c>
      <c r="T81" s="46"/>
      <c r="U81" s="28" t="s">
        <v>31</v>
      </c>
    </row>
    <row r="82" spans="1:21" s="27" customFormat="1" x14ac:dyDescent="0.25">
      <c r="A82" s="28" t="s">
        <v>21</v>
      </c>
      <c r="B82" s="44" t="s">
        <v>2278</v>
      </c>
      <c r="C82" s="28" t="s">
        <v>21</v>
      </c>
      <c r="D82" s="31">
        <v>1</v>
      </c>
      <c r="E82" s="71">
        <v>51</v>
      </c>
      <c r="F82" s="45">
        <v>300</v>
      </c>
      <c r="G82" s="32"/>
      <c r="H82" s="32">
        <v>1.851</v>
      </c>
      <c r="I82" s="32">
        <v>1.843</v>
      </c>
      <c r="J82" s="33">
        <f t="shared" si="7"/>
        <v>8.0000000000000071E-3</v>
      </c>
      <c r="K82" s="34" t="str">
        <f t="shared" si="10"/>
        <v/>
      </c>
      <c r="L82" s="35">
        <f t="shared" si="8"/>
        <v>7.5</v>
      </c>
      <c r="M82" s="36" t="str">
        <f t="shared" si="9"/>
        <v/>
      </c>
      <c r="N82" s="37" t="s">
        <v>18</v>
      </c>
      <c r="O82" s="29">
        <v>1</v>
      </c>
      <c r="P82" s="38">
        <v>40</v>
      </c>
      <c r="Q82" s="46"/>
      <c r="R82" s="28" t="s">
        <v>2309</v>
      </c>
      <c r="S82" s="71" t="s">
        <v>58</v>
      </c>
      <c r="T82" s="46"/>
      <c r="U82" s="28" t="s">
        <v>31</v>
      </c>
    </row>
    <row r="83" spans="1:21" s="27" customFormat="1" x14ac:dyDescent="0.25">
      <c r="A83" s="28" t="s">
        <v>21</v>
      </c>
      <c r="B83" s="44" t="s">
        <v>2279</v>
      </c>
      <c r="C83" s="28" t="s">
        <v>21</v>
      </c>
      <c r="D83" s="31">
        <v>1</v>
      </c>
      <c r="E83" s="71">
        <v>54</v>
      </c>
      <c r="F83" s="45">
        <v>300</v>
      </c>
      <c r="G83" s="32"/>
      <c r="H83" s="32">
        <v>1.8520000000000001</v>
      </c>
      <c r="I83" s="32">
        <v>1.8440000000000001</v>
      </c>
      <c r="J83" s="33">
        <f t="shared" si="7"/>
        <v>8.0000000000000071E-3</v>
      </c>
      <c r="K83" s="34" t="str">
        <f t="shared" si="10"/>
        <v/>
      </c>
      <c r="L83" s="35">
        <f t="shared" si="8"/>
        <v>7.5</v>
      </c>
      <c r="M83" s="36" t="str">
        <f t="shared" si="9"/>
        <v/>
      </c>
      <c r="N83" s="37" t="s">
        <v>18</v>
      </c>
      <c r="O83" s="29">
        <v>1</v>
      </c>
      <c r="P83" s="38">
        <v>40</v>
      </c>
      <c r="Q83" s="46"/>
      <c r="R83" s="28" t="s">
        <v>2310</v>
      </c>
      <c r="S83" s="71" t="s">
        <v>59</v>
      </c>
      <c r="T83" s="46"/>
      <c r="U83" s="28" t="s">
        <v>31</v>
      </c>
    </row>
    <row r="84" spans="1:21" s="27" customFormat="1" x14ac:dyDescent="0.25">
      <c r="A84" s="28" t="s">
        <v>21</v>
      </c>
      <c r="B84" s="44" t="s">
        <v>2280</v>
      </c>
      <c r="C84" s="28" t="s">
        <v>21</v>
      </c>
      <c r="D84" s="31">
        <v>1</v>
      </c>
      <c r="E84" s="71">
        <v>51</v>
      </c>
      <c r="F84" s="45">
        <v>300</v>
      </c>
      <c r="G84" s="32"/>
      <c r="H84" s="32">
        <v>1.869</v>
      </c>
      <c r="I84" s="32">
        <v>1.8620000000000001</v>
      </c>
      <c r="J84" s="33">
        <f t="shared" si="7"/>
        <v>6.9999999999998952E-3</v>
      </c>
      <c r="K84" s="34" t="str">
        <f t="shared" si="10"/>
        <v/>
      </c>
      <c r="L84" s="35">
        <f t="shared" si="8"/>
        <v>7.5</v>
      </c>
      <c r="M84" s="36" t="str">
        <f t="shared" si="9"/>
        <v/>
      </c>
      <c r="N84" s="37" t="s">
        <v>18</v>
      </c>
      <c r="O84" s="29">
        <v>1</v>
      </c>
      <c r="P84" s="38">
        <v>40</v>
      </c>
      <c r="Q84" s="46"/>
      <c r="R84" s="28" t="s">
        <v>2311</v>
      </c>
      <c r="S84" s="28" t="s">
        <v>21</v>
      </c>
      <c r="T84" s="46"/>
      <c r="U84" s="28" t="s">
        <v>31</v>
      </c>
    </row>
    <row r="85" spans="1:21" s="27" customFormat="1" x14ac:dyDescent="0.25">
      <c r="A85" s="28" t="s">
        <v>21</v>
      </c>
      <c r="B85" s="44" t="s">
        <v>2281</v>
      </c>
      <c r="C85" s="28" t="s">
        <v>21</v>
      </c>
      <c r="D85" s="31">
        <v>1</v>
      </c>
      <c r="E85" s="71">
        <v>58</v>
      </c>
      <c r="F85" s="45">
        <v>302</v>
      </c>
      <c r="G85" s="32"/>
      <c r="H85" s="32">
        <v>1.8720000000000001</v>
      </c>
      <c r="I85" s="32">
        <v>1.8680000000000001</v>
      </c>
      <c r="J85" s="33">
        <f t="shared" si="7"/>
        <v>4.0000000000000036E-3</v>
      </c>
      <c r="K85" s="34" t="str">
        <f t="shared" si="10"/>
        <v/>
      </c>
      <c r="L85" s="35">
        <f t="shared" si="8"/>
        <v>7.55</v>
      </c>
      <c r="M85" s="36" t="str">
        <f t="shared" si="9"/>
        <v/>
      </c>
      <c r="N85" s="37" t="s">
        <v>18</v>
      </c>
      <c r="O85" s="29">
        <v>1</v>
      </c>
      <c r="P85" s="38">
        <v>40</v>
      </c>
      <c r="Q85" s="46"/>
      <c r="R85" s="28" t="s">
        <v>2312</v>
      </c>
      <c r="S85" s="28" t="s">
        <v>21</v>
      </c>
      <c r="T85" s="46"/>
      <c r="U85" s="28" t="s">
        <v>31</v>
      </c>
    </row>
    <row r="86" spans="1:21" s="27" customFormat="1" x14ac:dyDescent="0.25">
      <c r="A86" s="28" t="s">
        <v>21</v>
      </c>
      <c r="B86" s="44" t="s">
        <v>2282</v>
      </c>
      <c r="C86" s="28" t="s">
        <v>21</v>
      </c>
      <c r="D86" s="31">
        <v>1</v>
      </c>
      <c r="E86" s="71">
        <v>55</v>
      </c>
      <c r="F86" s="45">
        <v>300</v>
      </c>
      <c r="G86" s="32"/>
      <c r="H86" s="32">
        <v>1.88</v>
      </c>
      <c r="I86" s="32">
        <v>1.875</v>
      </c>
      <c r="J86" s="33">
        <f t="shared" si="7"/>
        <v>4.9999999999998934E-3</v>
      </c>
      <c r="K86" s="34" t="str">
        <f t="shared" si="10"/>
        <v/>
      </c>
      <c r="L86" s="35">
        <f t="shared" si="8"/>
        <v>7.5</v>
      </c>
      <c r="M86" s="36" t="str">
        <f t="shared" si="9"/>
        <v/>
      </c>
      <c r="N86" s="37" t="s">
        <v>18</v>
      </c>
      <c r="O86" s="29">
        <v>1</v>
      </c>
      <c r="P86" s="38">
        <v>40</v>
      </c>
      <c r="Q86" s="46"/>
      <c r="R86" s="28" t="s">
        <v>2313</v>
      </c>
      <c r="S86" s="28" t="s">
        <v>21</v>
      </c>
      <c r="T86" s="46"/>
      <c r="U86" s="28" t="s">
        <v>31</v>
      </c>
    </row>
    <row r="87" spans="1:21" s="27" customFormat="1" x14ac:dyDescent="0.25">
      <c r="A87" s="28" t="s">
        <v>21</v>
      </c>
      <c r="B87" s="44" t="s">
        <v>2283</v>
      </c>
      <c r="C87" s="28" t="s">
        <v>21</v>
      </c>
      <c r="D87" s="31">
        <v>1</v>
      </c>
      <c r="E87" s="71">
        <v>64</v>
      </c>
      <c r="F87" s="45">
        <v>300</v>
      </c>
      <c r="G87" s="32"/>
      <c r="H87" s="32">
        <v>1.8839999999999999</v>
      </c>
      <c r="I87" s="32">
        <v>1.879</v>
      </c>
      <c r="J87" s="33">
        <f t="shared" si="7"/>
        <v>4.9999999999998934E-3</v>
      </c>
      <c r="K87" s="34" t="str">
        <f t="shared" si="10"/>
        <v/>
      </c>
      <c r="L87" s="35">
        <f t="shared" si="8"/>
        <v>7.5</v>
      </c>
      <c r="M87" s="36" t="str">
        <f t="shared" si="9"/>
        <v/>
      </c>
      <c r="N87" s="37" t="s">
        <v>18</v>
      </c>
      <c r="O87" s="29">
        <v>1</v>
      </c>
      <c r="P87" s="38">
        <v>40</v>
      </c>
      <c r="Q87" s="46"/>
      <c r="R87" s="28" t="s">
        <v>2308</v>
      </c>
      <c r="S87" s="71" t="s">
        <v>103</v>
      </c>
      <c r="T87" s="46"/>
      <c r="U87" s="28" t="s">
        <v>31</v>
      </c>
    </row>
    <row r="88" spans="1:21" s="27" customFormat="1" x14ac:dyDescent="0.25">
      <c r="A88" s="28" t="s">
        <v>21</v>
      </c>
      <c r="B88" s="44" t="s">
        <v>2284</v>
      </c>
      <c r="C88" s="28" t="s">
        <v>21</v>
      </c>
      <c r="D88" s="31">
        <v>1</v>
      </c>
      <c r="E88" s="71">
        <v>45</v>
      </c>
      <c r="F88" s="45">
        <v>302</v>
      </c>
      <c r="G88" s="32"/>
      <c r="H88" s="32">
        <v>1.873</v>
      </c>
      <c r="I88" s="32">
        <v>1.8640000000000001</v>
      </c>
      <c r="J88" s="33">
        <f t="shared" si="7"/>
        <v>8.999999999999897E-3</v>
      </c>
      <c r="K88" s="34" t="str">
        <f t="shared" si="10"/>
        <v/>
      </c>
      <c r="L88" s="35">
        <f t="shared" si="8"/>
        <v>7.55</v>
      </c>
      <c r="M88" s="36" t="str">
        <f t="shared" si="9"/>
        <v/>
      </c>
      <c r="N88" s="37" t="s">
        <v>18</v>
      </c>
      <c r="O88" s="29">
        <v>1</v>
      </c>
      <c r="P88" s="38">
        <v>40</v>
      </c>
      <c r="Q88" s="46"/>
      <c r="R88" s="28" t="s">
        <v>2315</v>
      </c>
      <c r="S88" s="71" t="s">
        <v>59</v>
      </c>
      <c r="T88" s="46"/>
      <c r="U88" s="28" t="s">
        <v>31</v>
      </c>
    </row>
    <row r="89" spans="1:21" s="27" customFormat="1" x14ac:dyDescent="0.25">
      <c r="A89" s="28" t="s">
        <v>21</v>
      </c>
      <c r="B89" s="44" t="s">
        <v>2285</v>
      </c>
      <c r="C89" s="28" t="s">
        <v>21</v>
      </c>
      <c r="D89" s="31">
        <v>1</v>
      </c>
      <c r="E89" s="71">
        <v>57</v>
      </c>
      <c r="F89" s="45">
        <v>299</v>
      </c>
      <c r="G89" s="32"/>
      <c r="H89" s="32">
        <v>1.879</v>
      </c>
      <c r="I89" s="32">
        <v>1.8720000000000001</v>
      </c>
      <c r="J89" s="33">
        <f t="shared" si="7"/>
        <v>6.9999999999998952E-3</v>
      </c>
      <c r="K89" s="34" t="str">
        <f t="shared" si="10"/>
        <v/>
      </c>
      <c r="L89" s="35">
        <f t="shared" si="8"/>
        <v>7.4749999999999996</v>
      </c>
      <c r="M89" s="36" t="str">
        <f t="shared" si="9"/>
        <v/>
      </c>
      <c r="N89" s="37" t="s">
        <v>18</v>
      </c>
      <c r="O89" s="29">
        <v>1</v>
      </c>
      <c r="P89" s="38">
        <v>40</v>
      </c>
      <c r="Q89" s="46"/>
      <c r="R89" s="28" t="s">
        <v>2317</v>
      </c>
      <c r="S89" s="28" t="s">
        <v>21</v>
      </c>
      <c r="T89" s="46"/>
      <c r="U89" s="28" t="s">
        <v>31</v>
      </c>
    </row>
    <row r="90" spans="1:21" s="27" customFormat="1" x14ac:dyDescent="0.25">
      <c r="A90" s="28" t="s">
        <v>21</v>
      </c>
      <c r="B90" s="44" t="s">
        <v>2286</v>
      </c>
      <c r="C90" s="28" t="s">
        <v>21</v>
      </c>
      <c r="D90" s="31">
        <v>1</v>
      </c>
      <c r="E90" s="71">
        <v>52</v>
      </c>
      <c r="F90" s="45">
        <v>300</v>
      </c>
      <c r="G90" s="32"/>
      <c r="H90" s="32">
        <v>1.881</v>
      </c>
      <c r="I90" s="32">
        <v>1.873</v>
      </c>
      <c r="J90" s="33">
        <f t="shared" si="7"/>
        <v>8.0000000000000071E-3</v>
      </c>
      <c r="K90" s="34" t="str">
        <f t="shared" si="10"/>
        <v/>
      </c>
      <c r="L90" s="35">
        <f t="shared" si="8"/>
        <v>7.5</v>
      </c>
      <c r="M90" s="36" t="str">
        <f t="shared" si="9"/>
        <v/>
      </c>
      <c r="N90" s="37" t="s">
        <v>18</v>
      </c>
      <c r="O90" s="29">
        <v>1</v>
      </c>
      <c r="P90" s="38">
        <v>40</v>
      </c>
      <c r="Q90" s="46"/>
      <c r="R90" s="28" t="s">
        <v>2314</v>
      </c>
      <c r="S90" s="28" t="s">
        <v>21</v>
      </c>
      <c r="T90" s="46"/>
      <c r="U90" s="28" t="s">
        <v>31</v>
      </c>
    </row>
    <row r="91" spans="1:21" s="27" customFormat="1" x14ac:dyDescent="0.25">
      <c r="A91" s="28" t="s">
        <v>21</v>
      </c>
      <c r="B91" s="44" t="s">
        <v>2287</v>
      </c>
      <c r="C91" s="28" t="s">
        <v>21</v>
      </c>
      <c r="D91" s="31">
        <v>1</v>
      </c>
      <c r="E91" s="71">
        <v>51</v>
      </c>
      <c r="F91" s="45">
        <v>300</v>
      </c>
      <c r="G91" s="32"/>
      <c r="H91" s="32">
        <v>1.8779999999999999</v>
      </c>
      <c r="I91" s="32">
        <v>1.871</v>
      </c>
      <c r="J91" s="33">
        <f t="shared" si="7"/>
        <v>6.9999999999998952E-3</v>
      </c>
      <c r="K91" s="34" t="str">
        <f t="shared" si="10"/>
        <v/>
      </c>
      <c r="L91" s="35">
        <f t="shared" si="8"/>
        <v>7.5</v>
      </c>
      <c r="M91" s="36" t="str">
        <f t="shared" si="9"/>
        <v/>
      </c>
      <c r="N91" s="37" t="s">
        <v>18</v>
      </c>
      <c r="O91" s="29">
        <v>1</v>
      </c>
      <c r="P91" s="38">
        <v>40</v>
      </c>
      <c r="Q91" s="46"/>
      <c r="R91" s="28" t="s">
        <v>2316</v>
      </c>
      <c r="S91" s="28" t="s">
        <v>21</v>
      </c>
      <c r="T91" s="46"/>
      <c r="U91" s="28" t="s">
        <v>31</v>
      </c>
    </row>
    <row r="92" spans="1:21" s="27" customFormat="1" x14ac:dyDescent="0.25">
      <c r="A92" s="28" t="s">
        <v>2323</v>
      </c>
      <c r="B92" s="44" t="s">
        <v>2324</v>
      </c>
      <c r="C92" s="28">
        <v>698231</v>
      </c>
      <c r="D92" s="31">
        <v>1</v>
      </c>
      <c r="E92" s="71">
        <v>35</v>
      </c>
      <c r="F92" s="31">
        <v>184</v>
      </c>
      <c r="G92" s="32"/>
      <c r="H92" s="32">
        <v>1.857</v>
      </c>
      <c r="I92" s="32">
        <v>1.85</v>
      </c>
      <c r="J92" s="33">
        <f t="shared" ref="J92:J121" si="11">IF(O92&lt;&gt;"",(H92-I92)/O92,"")</f>
        <v>6.9999999999998952E-3</v>
      </c>
      <c r="K92" s="34" t="str">
        <f t="shared" si="10"/>
        <v/>
      </c>
      <c r="L92" s="35">
        <f t="shared" ref="L92:L121" si="12">F92/(O92*P92)</f>
        <v>7.36</v>
      </c>
      <c r="M92" s="36" t="str">
        <f t="shared" ref="M92:M121" si="13">IF(L92=0,"",IF(OR(L92&lt;7,L92&gt;7.8),"X",""))</f>
        <v/>
      </c>
      <c r="N92" s="37" t="s">
        <v>16</v>
      </c>
      <c r="O92" s="29">
        <v>1</v>
      </c>
      <c r="P92" s="38">
        <v>25</v>
      </c>
      <c r="Q92" s="28"/>
      <c r="R92" s="28" t="s">
        <v>2354</v>
      </c>
      <c r="S92" s="71" t="s">
        <v>58</v>
      </c>
      <c r="T92" s="28"/>
      <c r="U92" s="28" t="s">
        <v>31</v>
      </c>
    </row>
    <row r="93" spans="1:21" s="27" customFormat="1" x14ac:dyDescent="0.25">
      <c r="A93" s="28" t="s">
        <v>21</v>
      </c>
      <c r="B93" s="44" t="s">
        <v>2325</v>
      </c>
      <c r="C93" s="28" t="s">
        <v>21</v>
      </c>
      <c r="D93" s="31">
        <v>1</v>
      </c>
      <c r="E93" s="71">
        <v>41</v>
      </c>
      <c r="F93" s="31">
        <v>186</v>
      </c>
      <c r="G93" s="32"/>
      <c r="H93" s="32">
        <v>1.8720000000000001</v>
      </c>
      <c r="I93" s="32">
        <v>1.863</v>
      </c>
      <c r="J93" s="33">
        <f t="shared" si="11"/>
        <v>9.000000000000119E-3</v>
      </c>
      <c r="K93" s="34" t="str">
        <f t="shared" si="10"/>
        <v/>
      </c>
      <c r="L93" s="35">
        <f t="shared" si="12"/>
        <v>7.44</v>
      </c>
      <c r="M93" s="36" t="str">
        <f t="shared" si="13"/>
        <v/>
      </c>
      <c r="N93" s="37" t="s">
        <v>16</v>
      </c>
      <c r="O93" s="29">
        <v>1</v>
      </c>
      <c r="P93" s="38">
        <v>25</v>
      </c>
      <c r="Q93" s="28"/>
      <c r="R93" s="28" t="s">
        <v>2356</v>
      </c>
      <c r="S93" s="71" t="s">
        <v>59</v>
      </c>
      <c r="T93" s="28"/>
      <c r="U93" s="28" t="s">
        <v>31</v>
      </c>
    </row>
    <row r="94" spans="1:21" s="27" customFormat="1" x14ac:dyDescent="0.25">
      <c r="A94" s="28" t="s">
        <v>21</v>
      </c>
      <c r="B94" s="44" t="s">
        <v>2326</v>
      </c>
      <c r="C94" s="28" t="s">
        <v>21</v>
      </c>
      <c r="D94" s="31">
        <v>1</v>
      </c>
      <c r="E94" s="71">
        <v>36</v>
      </c>
      <c r="F94" s="31">
        <v>186</v>
      </c>
      <c r="G94" s="32"/>
      <c r="H94" s="32">
        <v>1.869</v>
      </c>
      <c r="I94" s="32">
        <v>1.859</v>
      </c>
      <c r="J94" s="33">
        <f t="shared" si="11"/>
        <v>1.0000000000000009E-2</v>
      </c>
      <c r="K94" s="34" t="str">
        <f t="shared" si="10"/>
        <v/>
      </c>
      <c r="L94" s="35">
        <f t="shared" si="12"/>
        <v>7.44</v>
      </c>
      <c r="M94" s="36" t="str">
        <f t="shared" si="13"/>
        <v/>
      </c>
      <c r="N94" s="37" t="s">
        <v>16</v>
      </c>
      <c r="O94" s="29">
        <v>1</v>
      </c>
      <c r="P94" s="38">
        <v>25</v>
      </c>
      <c r="Q94" s="28"/>
      <c r="R94" s="28" t="s">
        <v>2358</v>
      </c>
      <c r="S94" s="28" t="s">
        <v>21</v>
      </c>
      <c r="T94" s="28"/>
      <c r="U94" s="28" t="s">
        <v>31</v>
      </c>
    </row>
    <row r="95" spans="1:21" s="27" customFormat="1" x14ac:dyDescent="0.25">
      <c r="A95" s="28" t="s">
        <v>21</v>
      </c>
      <c r="B95" s="44" t="s">
        <v>2327</v>
      </c>
      <c r="C95" s="28" t="s">
        <v>21</v>
      </c>
      <c r="D95" s="31">
        <v>1</v>
      </c>
      <c r="E95" s="71">
        <v>36</v>
      </c>
      <c r="F95" s="31">
        <v>186</v>
      </c>
      <c r="G95" s="32"/>
      <c r="H95" s="32">
        <v>1.8839999999999999</v>
      </c>
      <c r="I95" s="32">
        <v>1.875</v>
      </c>
      <c r="J95" s="33">
        <f t="shared" si="11"/>
        <v>8.999999999999897E-3</v>
      </c>
      <c r="K95" s="34" t="str">
        <f t="shared" si="10"/>
        <v/>
      </c>
      <c r="L95" s="35">
        <f t="shared" si="12"/>
        <v>7.44</v>
      </c>
      <c r="M95" s="36" t="str">
        <f t="shared" si="13"/>
        <v/>
      </c>
      <c r="N95" s="37" t="s">
        <v>16</v>
      </c>
      <c r="O95" s="29">
        <v>1</v>
      </c>
      <c r="P95" s="38">
        <v>25</v>
      </c>
      <c r="Q95" s="28"/>
      <c r="R95" s="28" t="s">
        <v>2357</v>
      </c>
      <c r="S95" s="28" t="s">
        <v>21</v>
      </c>
      <c r="T95" s="28"/>
      <c r="U95" s="28" t="s">
        <v>31</v>
      </c>
    </row>
    <row r="96" spans="1:21" s="27" customFormat="1" x14ac:dyDescent="0.25">
      <c r="A96" s="28" t="s">
        <v>21</v>
      </c>
      <c r="B96" s="44" t="s">
        <v>2328</v>
      </c>
      <c r="C96" s="28" t="s">
        <v>21</v>
      </c>
      <c r="D96" s="31">
        <v>1</v>
      </c>
      <c r="E96" s="71">
        <v>42</v>
      </c>
      <c r="F96" s="31">
        <v>186</v>
      </c>
      <c r="G96" s="32"/>
      <c r="H96" s="32">
        <v>1.893</v>
      </c>
      <c r="I96" s="32">
        <v>1.887</v>
      </c>
      <c r="J96" s="33">
        <f t="shared" si="11"/>
        <v>6.0000000000000053E-3</v>
      </c>
      <c r="K96" s="34" t="str">
        <f t="shared" si="10"/>
        <v/>
      </c>
      <c r="L96" s="35">
        <f t="shared" si="12"/>
        <v>7.44</v>
      </c>
      <c r="M96" s="36" t="str">
        <f t="shared" si="13"/>
        <v/>
      </c>
      <c r="N96" s="37" t="s">
        <v>16</v>
      </c>
      <c r="O96" s="29">
        <v>1</v>
      </c>
      <c r="P96" s="38">
        <v>25</v>
      </c>
      <c r="Q96" s="28"/>
      <c r="R96" s="28" t="s">
        <v>2360</v>
      </c>
      <c r="S96" s="28" t="s">
        <v>21</v>
      </c>
      <c r="T96" s="28"/>
      <c r="U96" s="28" t="s">
        <v>31</v>
      </c>
    </row>
    <row r="97" spans="1:21" s="27" customFormat="1" x14ac:dyDescent="0.25">
      <c r="A97" s="28" t="s">
        <v>21</v>
      </c>
      <c r="B97" s="44" t="s">
        <v>2329</v>
      </c>
      <c r="C97" s="28" t="s">
        <v>21</v>
      </c>
      <c r="D97" s="31">
        <v>1</v>
      </c>
      <c r="E97" s="71">
        <v>26</v>
      </c>
      <c r="F97" s="31">
        <v>187</v>
      </c>
      <c r="G97" s="32"/>
      <c r="H97" s="32">
        <v>1.909</v>
      </c>
      <c r="I97" s="32">
        <v>1.9</v>
      </c>
      <c r="J97" s="33">
        <f t="shared" si="11"/>
        <v>9.000000000000119E-3</v>
      </c>
      <c r="K97" s="34" t="str">
        <f t="shared" si="10"/>
        <v/>
      </c>
      <c r="L97" s="35">
        <f t="shared" si="12"/>
        <v>7.48</v>
      </c>
      <c r="M97" s="36" t="str">
        <f t="shared" si="13"/>
        <v/>
      </c>
      <c r="N97" s="37" t="s">
        <v>16</v>
      </c>
      <c r="O97" s="29">
        <v>1</v>
      </c>
      <c r="P97" s="38">
        <v>25</v>
      </c>
      <c r="Q97" s="28"/>
      <c r="R97" s="28" t="s">
        <v>2362</v>
      </c>
      <c r="S97" s="71" t="s">
        <v>103</v>
      </c>
      <c r="T97" s="28"/>
      <c r="U97" s="28" t="s">
        <v>31</v>
      </c>
    </row>
    <row r="98" spans="1:21" s="27" customFormat="1" x14ac:dyDescent="0.25">
      <c r="A98" s="28" t="s">
        <v>21</v>
      </c>
      <c r="B98" s="44" t="s">
        <v>2330</v>
      </c>
      <c r="C98" s="28" t="s">
        <v>21</v>
      </c>
      <c r="D98" s="31">
        <v>1</v>
      </c>
      <c r="E98" s="71">
        <v>35</v>
      </c>
      <c r="F98" s="31">
        <v>186</v>
      </c>
      <c r="G98" s="32"/>
      <c r="H98" s="32">
        <v>1.8979999999999999</v>
      </c>
      <c r="I98" s="32">
        <v>1.8919999999999999</v>
      </c>
      <c r="J98" s="33">
        <f t="shared" si="11"/>
        <v>6.0000000000000053E-3</v>
      </c>
      <c r="K98" s="34" t="str">
        <f t="shared" si="10"/>
        <v/>
      </c>
      <c r="L98" s="35">
        <f t="shared" si="12"/>
        <v>7.44</v>
      </c>
      <c r="M98" s="36" t="str">
        <f t="shared" si="13"/>
        <v/>
      </c>
      <c r="N98" s="37" t="s">
        <v>16</v>
      </c>
      <c r="O98" s="29">
        <v>1</v>
      </c>
      <c r="P98" s="38">
        <v>25</v>
      </c>
      <c r="Q98" s="28"/>
      <c r="R98" s="28" t="s">
        <v>2363</v>
      </c>
      <c r="S98" s="71" t="s">
        <v>59</v>
      </c>
      <c r="T98" s="28"/>
      <c r="U98" s="28" t="s">
        <v>31</v>
      </c>
    </row>
    <row r="99" spans="1:21" s="27" customFormat="1" x14ac:dyDescent="0.25">
      <c r="A99" s="28" t="s">
        <v>21</v>
      </c>
      <c r="B99" s="44" t="s">
        <v>2331</v>
      </c>
      <c r="C99" s="28" t="s">
        <v>21</v>
      </c>
      <c r="D99" s="31">
        <v>1</v>
      </c>
      <c r="E99" s="71">
        <v>29</v>
      </c>
      <c r="F99" s="31">
        <v>186</v>
      </c>
      <c r="G99" s="32"/>
      <c r="H99" s="32">
        <v>1.901</v>
      </c>
      <c r="I99" s="32">
        <v>1.8939999999999999</v>
      </c>
      <c r="J99" s="33">
        <f t="shared" si="11"/>
        <v>7.0000000000001172E-3</v>
      </c>
      <c r="K99" s="34" t="str">
        <f t="shared" si="10"/>
        <v/>
      </c>
      <c r="L99" s="35">
        <f t="shared" si="12"/>
        <v>7.44</v>
      </c>
      <c r="M99" s="36" t="str">
        <f t="shared" si="13"/>
        <v/>
      </c>
      <c r="N99" s="37" t="s">
        <v>16</v>
      </c>
      <c r="O99" s="29">
        <v>1</v>
      </c>
      <c r="P99" s="38">
        <v>25</v>
      </c>
      <c r="Q99" s="28"/>
      <c r="R99" s="28" t="s">
        <v>2359</v>
      </c>
      <c r="S99" s="28" t="s">
        <v>21</v>
      </c>
      <c r="T99" s="28"/>
      <c r="U99" s="28" t="s">
        <v>31</v>
      </c>
    </row>
    <row r="100" spans="1:21" s="27" customFormat="1" x14ac:dyDescent="0.25">
      <c r="A100" s="28" t="s">
        <v>21</v>
      </c>
      <c r="B100" s="44" t="s">
        <v>2332</v>
      </c>
      <c r="C100" s="28" t="s">
        <v>21</v>
      </c>
      <c r="D100" s="31">
        <v>1</v>
      </c>
      <c r="E100" s="71">
        <v>28</v>
      </c>
      <c r="F100" s="31">
        <v>187</v>
      </c>
      <c r="G100" s="32"/>
      <c r="H100" s="32">
        <v>1.897</v>
      </c>
      <c r="I100" s="32">
        <v>1.89</v>
      </c>
      <c r="J100" s="33">
        <f t="shared" si="11"/>
        <v>7.0000000000001172E-3</v>
      </c>
      <c r="K100" s="34" t="str">
        <f t="shared" si="10"/>
        <v/>
      </c>
      <c r="L100" s="35">
        <f t="shared" si="12"/>
        <v>7.48</v>
      </c>
      <c r="M100" s="36" t="str">
        <f t="shared" si="13"/>
        <v/>
      </c>
      <c r="N100" s="37" t="s">
        <v>16</v>
      </c>
      <c r="O100" s="29">
        <v>1</v>
      </c>
      <c r="P100" s="38">
        <v>25</v>
      </c>
      <c r="Q100" s="28"/>
      <c r="R100" s="28" t="s">
        <v>2355</v>
      </c>
      <c r="S100" s="28" t="s">
        <v>21</v>
      </c>
      <c r="T100" s="28"/>
      <c r="U100" s="28" t="s">
        <v>31</v>
      </c>
    </row>
    <row r="101" spans="1:21" s="27" customFormat="1" x14ac:dyDescent="0.25">
      <c r="A101" s="28" t="s">
        <v>21</v>
      </c>
      <c r="B101" s="44" t="s">
        <v>2333</v>
      </c>
      <c r="C101" s="28" t="s">
        <v>21</v>
      </c>
      <c r="D101" s="31">
        <v>1</v>
      </c>
      <c r="E101" s="71">
        <v>25</v>
      </c>
      <c r="F101" s="31">
        <v>187</v>
      </c>
      <c r="G101" s="32"/>
      <c r="H101" s="32">
        <v>1.8979999999999999</v>
      </c>
      <c r="I101" s="32">
        <v>1.89</v>
      </c>
      <c r="J101" s="33">
        <f t="shared" si="11"/>
        <v>8.0000000000000071E-3</v>
      </c>
      <c r="K101" s="34" t="str">
        <f t="shared" si="10"/>
        <v/>
      </c>
      <c r="L101" s="35">
        <f t="shared" si="12"/>
        <v>7.48</v>
      </c>
      <c r="M101" s="36" t="str">
        <f t="shared" si="13"/>
        <v/>
      </c>
      <c r="N101" s="37" t="s">
        <v>16</v>
      </c>
      <c r="O101" s="29">
        <v>1</v>
      </c>
      <c r="P101" s="38">
        <v>25</v>
      </c>
      <c r="Q101" s="28"/>
      <c r="R101" s="28" t="s">
        <v>2361</v>
      </c>
      <c r="S101" s="28" t="s">
        <v>21</v>
      </c>
      <c r="T101" s="28"/>
      <c r="U101" s="28" t="s">
        <v>31</v>
      </c>
    </row>
    <row r="102" spans="1:21" s="27" customFormat="1" x14ac:dyDescent="0.25">
      <c r="A102" s="28" t="s">
        <v>21</v>
      </c>
      <c r="B102" s="44" t="s">
        <v>2334</v>
      </c>
      <c r="C102" s="28" t="s">
        <v>21</v>
      </c>
      <c r="D102" s="31">
        <v>1</v>
      </c>
      <c r="E102" s="71">
        <v>58</v>
      </c>
      <c r="F102" s="31">
        <v>186</v>
      </c>
      <c r="G102" s="32"/>
      <c r="H102" s="32">
        <v>1.8660000000000001</v>
      </c>
      <c r="I102" s="32">
        <v>1.86</v>
      </c>
      <c r="J102" s="33">
        <f t="shared" si="11"/>
        <v>6.0000000000000053E-3</v>
      </c>
      <c r="K102" s="34" t="str">
        <f t="shared" si="10"/>
        <v/>
      </c>
      <c r="L102" s="35">
        <f t="shared" si="12"/>
        <v>7.44</v>
      </c>
      <c r="M102" s="36" t="str">
        <f t="shared" si="13"/>
        <v/>
      </c>
      <c r="N102" s="37" t="s">
        <v>16</v>
      </c>
      <c r="O102" s="29">
        <v>1</v>
      </c>
      <c r="P102" s="38">
        <v>25</v>
      </c>
      <c r="Q102" s="28"/>
      <c r="R102" s="28" t="s">
        <v>2365</v>
      </c>
      <c r="S102" s="71" t="s">
        <v>58</v>
      </c>
      <c r="T102" s="28"/>
      <c r="U102" s="28" t="s">
        <v>31</v>
      </c>
    </row>
    <row r="103" spans="1:21" s="27" customFormat="1" x14ac:dyDescent="0.25">
      <c r="A103" s="28" t="s">
        <v>21</v>
      </c>
      <c r="B103" s="44" t="s">
        <v>2335</v>
      </c>
      <c r="C103" s="28" t="s">
        <v>21</v>
      </c>
      <c r="D103" s="31">
        <v>1</v>
      </c>
      <c r="E103" s="71">
        <v>51</v>
      </c>
      <c r="F103" s="31">
        <v>186</v>
      </c>
      <c r="G103" s="32"/>
      <c r="H103" s="32">
        <v>1.8680000000000001</v>
      </c>
      <c r="I103" s="32">
        <v>1.861</v>
      </c>
      <c r="J103" s="33">
        <f t="shared" si="11"/>
        <v>7.0000000000001172E-3</v>
      </c>
      <c r="K103" s="34" t="str">
        <f t="shared" si="10"/>
        <v/>
      </c>
      <c r="L103" s="35">
        <f t="shared" si="12"/>
        <v>7.44</v>
      </c>
      <c r="M103" s="36" t="str">
        <f t="shared" si="13"/>
        <v/>
      </c>
      <c r="N103" s="37" t="s">
        <v>16</v>
      </c>
      <c r="O103" s="29">
        <v>1</v>
      </c>
      <c r="P103" s="38">
        <v>25</v>
      </c>
      <c r="Q103" s="28"/>
      <c r="R103" s="28" t="s">
        <v>2367</v>
      </c>
      <c r="S103" s="71" t="s">
        <v>59</v>
      </c>
      <c r="T103" s="28"/>
      <c r="U103" s="28" t="s">
        <v>31</v>
      </c>
    </row>
    <row r="104" spans="1:21" s="27" customFormat="1" x14ac:dyDescent="0.25">
      <c r="A104" s="28" t="s">
        <v>21</v>
      </c>
      <c r="B104" s="44" t="s">
        <v>2336</v>
      </c>
      <c r="C104" s="28" t="s">
        <v>21</v>
      </c>
      <c r="D104" s="31">
        <v>1</v>
      </c>
      <c r="E104" s="71">
        <v>65</v>
      </c>
      <c r="F104" s="31">
        <v>186</v>
      </c>
      <c r="G104" s="32"/>
      <c r="H104" s="32">
        <v>1.851</v>
      </c>
      <c r="I104" s="32">
        <v>1.8440000000000001</v>
      </c>
      <c r="J104" s="33">
        <f t="shared" si="11"/>
        <v>6.9999999999998952E-3</v>
      </c>
      <c r="K104" s="34" t="str">
        <f t="shared" si="10"/>
        <v/>
      </c>
      <c r="L104" s="35">
        <f t="shared" si="12"/>
        <v>7.44</v>
      </c>
      <c r="M104" s="36" t="str">
        <f t="shared" si="13"/>
        <v/>
      </c>
      <c r="N104" s="37" t="s">
        <v>16</v>
      </c>
      <c r="O104" s="29">
        <v>1</v>
      </c>
      <c r="P104" s="38">
        <v>25</v>
      </c>
      <c r="Q104" s="28"/>
      <c r="R104" s="28" t="s">
        <v>2364</v>
      </c>
      <c r="S104" s="28" t="s">
        <v>21</v>
      </c>
      <c r="T104" s="28"/>
      <c r="U104" s="28" t="s">
        <v>31</v>
      </c>
    </row>
    <row r="105" spans="1:21" s="27" customFormat="1" x14ac:dyDescent="0.25">
      <c r="A105" s="28" t="s">
        <v>21</v>
      </c>
      <c r="B105" s="44" t="s">
        <v>2337</v>
      </c>
      <c r="C105" s="28" t="s">
        <v>21</v>
      </c>
      <c r="D105" s="31">
        <v>1</v>
      </c>
      <c r="E105" s="71">
        <v>64</v>
      </c>
      <c r="F105" s="31">
        <v>187</v>
      </c>
      <c r="G105" s="32"/>
      <c r="H105" s="32">
        <v>1.851</v>
      </c>
      <c r="I105" s="32">
        <v>1.8460000000000001</v>
      </c>
      <c r="J105" s="33">
        <f t="shared" si="11"/>
        <v>4.9999999999998934E-3</v>
      </c>
      <c r="K105" s="34" t="str">
        <f t="shared" si="10"/>
        <v/>
      </c>
      <c r="L105" s="35">
        <f t="shared" si="12"/>
        <v>7.48</v>
      </c>
      <c r="M105" s="36" t="str">
        <f t="shared" si="13"/>
        <v/>
      </c>
      <c r="N105" s="37" t="s">
        <v>16</v>
      </c>
      <c r="O105" s="29">
        <v>1</v>
      </c>
      <c r="P105" s="38">
        <v>25</v>
      </c>
      <c r="Q105" s="28"/>
      <c r="R105" s="28" t="s">
        <v>2369</v>
      </c>
      <c r="S105" s="28" t="s">
        <v>21</v>
      </c>
      <c r="T105" s="28"/>
      <c r="U105" s="28" t="s">
        <v>31</v>
      </c>
    </row>
    <row r="106" spans="1:21" s="27" customFormat="1" x14ac:dyDescent="0.25">
      <c r="A106" s="28" t="s">
        <v>21</v>
      </c>
      <c r="B106" s="44" t="s">
        <v>2338</v>
      </c>
      <c r="C106" s="28" t="s">
        <v>21</v>
      </c>
      <c r="D106" s="31">
        <v>1</v>
      </c>
      <c r="E106" s="71">
        <v>44</v>
      </c>
      <c r="F106" s="31">
        <v>186</v>
      </c>
      <c r="G106" s="32"/>
      <c r="H106" s="32">
        <v>1.847</v>
      </c>
      <c r="I106" s="32">
        <v>1.839</v>
      </c>
      <c r="J106" s="33">
        <f t="shared" si="11"/>
        <v>8.0000000000000071E-3</v>
      </c>
      <c r="K106" s="34" t="str">
        <f t="shared" si="10"/>
        <v/>
      </c>
      <c r="L106" s="35">
        <f t="shared" si="12"/>
        <v>7.44</v>
      </c>
      <c r="M106" s="36" t="str">
        <f t="shared" si="13"/>
        <v/>
      </c>
      <c r="N106" s="37" t="s">
        <v>16</v>
      </c>
      <c r="O106" s="29">
        <v>1</v>
      </c>
      <c r="P106" s="38">
        <v>25</v>
      </c>
      <c r="Q106" s="28"/>
      <c r="R106" s="28" t="s">
        <v>2368</v>
      </c>
      <c r="S106" s="28" t="s">
        <v>21</v>
      </c>
      <c r="T106" s="28"/>
      <c r="U106" s="28" t="s">
        <v>31</v>
      </c>
    </row>
    <row r="107" spans="1:21" s="27" customFormat="1" x14ac:dyDescent="0.25">
      <c r="A107" s="28" t="s">
        <v>21</v>
      </c>
      <c r="B107" s="44" t="s">
        <v>2339</v>
      </c>
      <c r="C107" s="28" t="s">
        <v>21</v>
      </c>
      <c r="D107" s="31">
        <v>1</v>
      </c>
      <c r="E107" s="71">
        <v>36</v>
      </c>
      <c r="F107" s="31">
        <v>188</v>
      </c>
      <c r="G107" s="32"/>
      <c r="H107" s="32">
        <v>1.871</v>
      </c>
      <c r="I107" s="32">
        <v>1.863</v>
      </c>
      <c r="J107" s="33">
        <f t="shared" si="11"/>
        <v>8.0000000000000071E-3</v>
      </c>
      <c r="K107" s="34" t="str">
        <f t="shared" si="10"/>
        <v/>
      </c>
      <c r="L107" s="35">
        <f t="shared" si="12"/>
        <v>7.52</v>
      </c>
      <c r="M107" s="36" t="str">
        <f t="shared" si="13"/>
        <v/>
      </c>
      <c r="N107" s="37" t="s">
        <v>16</v>
      </c>
      <c r="O107" s="29">
        <v>1</v>
      </c>
      <c r="P107" s="38">
        <v>25</v>
      </c>
      <c r="Q107" s="28"/>
      <c r="R107" s="28" t="s">
        <v>2370</v>
      </c>
      <c r="S107" s="71" t="s">
        <v>103</v>
      </c>
      <c r="T107" s="28"/>
      <c r="U107" s="28" t="s">
        <v>31</v>
      </c>
    </row>
    <row r="108" spans="1:21" s="27" customFormat="1" x14ac:dyDescent="0.25">
      <c r="A108" s="28" t="s">
        <v>21</v>
      </c>
      <c r="B108" s="44" t="s">
        <v>2340</v>
      </c>
      <c r="C108" s="28" t="s">
        <v>21</v>
      </c>
      <c r="D108" s="31">
        <v>1</v>
      </c>
      <c r="E108" s="71">
        <v>57</v>
      </c>
      <c r="F108" s="31">
        <v>187</v>
      </c>
      <c r="G108" s="32"/>
      <c r="H108" s="32">
        <v>1.875</v>
      </c>
      <c r="I108" s="32">
        <v>1.869</v>
      </c>
      <c r="J108" s="33">
        <f t="shared" si="11"/>
        <v>6.0000000000000053E-3</v>
      </c>
      <c r="K108" s="34" t="str">
        <f t="shared" si="10"/>
        <v/>
      </c>
      <c r="L108" s="35">
        <f t="shared" si="12"/>
        <v>7.48</v>
      </c>
      <c r="M108" s="36" t="str">
        <f t="shared" si="13"/>
        <v/>
      </c>
      <c r="N108" s="37" t="s">
        <v>16</v>
      </c>
      <c r="O108" s="29">
        <v>1</v>
      </c>
      <c r="P108" s="38">
        <v>25</v>
      </c>
      <c r="Q108" s="28"/>
      <c r="R108" s="28" t="s">
        <v>2366</v>
      </c>
      <c r="S108" s="71" t="s">
        <v>59</v>
      </c>
      <c r="T108" s="28"/>
      <c r="U108" s="28" t="s">
        <v>31</v>
      </c>
    </row>
    <row r="109" spans="1:21" s="27" customFormat="1" x14ac:dyDescent="0.25">
      <c r="A109" s="28" t="s">
        <v>21</v>
      </c>
      <c r="B109" s="44" t="s">
        <v>2341</v>
      </c>
      <c r="C109" s="28" t="s">
        <v>21</v>
      </c>
      <c r="D109" s="31">
        <v>1</v>
      </c>
      <c r="E109" s="71">
        <v>56</v>
      </c>
      <c r="F109" s="31">
        <v>186</v>
      </c>
      <c r="G109" s="32"/>
      <c r="H109" s="32">
        <v>1.8720000000000001</v>
      </c>
      <c r="I109" s="32">
        <v>1.8660000000000001</v>
      </c>
      <c r="J109" s="33">
        <f t="shared" si="11"/>
        <v>6.0000000000000053E-3</v>
      </c>
      <c r="K109" s="34" t="str">
        <f t="shared" si="10"/>
        <v/>
      </c>
      <c r="L109" s="35">
        <f t="shared" si="12"/>
        <v>7.44</v>
      </c>
      <c r="M109" s="36" t="str">
        <f t="shared" si="13"/>
        <v/>
      </c>
      <c r="N109" s="37" t="s">
        <v>16</v>
      </c>
      <c r="O109" s="29">
        <v>1</v>
      </c>
      <c r="P109" s="38">
        <v>25</v>
      </c>
      <c r="Q109" s="28"/>
      <c r="R109" s="28" t="s">
        <v>2371</v>
      </c>
      <c r="S109" s="28" t="s">
        <v>21</v>
      </c>
      <c r="T109" s="28"/>
      <c r="U109" s="28" t="s">
        <v>31</v>
      </c>
    </row>
    <row r="110" spans="1:21" s="27" customFormat="1" x14ac:dyDescent="0.25">
      <c r="A110" s="28" t="s">
        <v>21</v>
      </c>
      <c r="B110" s="44" t="s">
        <v>2342</v>
      </c>
      <c r="C110" s="28" t="s">
        <v>21</v>
      </c>
      <c r="D110" s="31">
        <v>1</v>
      </c>
      <c r="E110" s="71">
        <v>58</v>
      </c>
      <c r="F110" s="31">
        <v>186</v>
      </c>
      <c r="G110" s="32"/>
      <c r="H110" s="32">
        <v>1.875</v>
      </c>
      <c r="I110" s="32">
        <v>1.869</v>
      </c>
      <c r="J110" s="33">
        <f t="shared" si="11"/>
        <v>6.0000000000000053E-3</v>
      </c>
      <c r="K110" s="34" t="str">
        <f t="shared" si="10"/>
        <v/>
      </c>
      <c r="L110" s="35">
        <f t="shared" si="12"/>
        <v>7.44</v>
      </c>
      <c r="M110" s="36" t="str">
        <f t="shared" si="13"/>
        <v/>
      </c>
      <c r="N110" s="37" t="s">
        <v>16</v>
      </c>
      <c r="O110" s="29">
        <v>1</v>
      </c>
      <c r="P110" s="38">
        <v>25</v>
      </c>
      <c r="Q110" s="28"/>
      <c r="R110" s="28" t="s">
        <v>2373</v>
      </c>
      <c r="S110" s="28" t="s">
        <v>21</v>
      </c>
      <c r="T110" s="28"/>
      <c r="U110" s="28" t="s">
        <v>31</v>
      </c>
    </row>
    <row r="111" spans="1:21" s="27" customFormat="1" x14ac:dyDescent="0.25">
      <c r="A111" s="28" t="s">
        <v>21</v>
      </c>
      <c r="B111" s="44" t="s">
        <v>2343</v>
      </c>
      <c r="C111" s="28" t="s">
        <v>21</v>
      </c>
      <c r="D111" s="31">
        <v>1</v>
      </c>
      <c r="E111" s="71">
        <v>48</v>
      </c>
      <c r="F111" s="31">
        <v>188</v>
      </c>
      <c r="G111" s="32"/>
      <c r="H111" s="32">
        <v>1.865</v>
      </c>
      <c r="I111" s="32">
        <v>1.857</v>
      </c>
      <c r="J111" s="33">
        <f t="shared" si="11"/>
        <v>8.0000000000000071E-3</v>
      </c>
      <c r="K111" s="34" t="str">
        <f t="shared" si="10"/>
        <v/>
      </c>
      <c r="L111" s="35">
        <f t="shared" si="12"/>
        <v>7.52</v>
      </c>
      <c r="M111" s="36" t="str">
        <f t="shared" si="13"/>
        <v/>
      </c>
      <c r="N111" s="37" t="s">
        <v>16</v>
      </c>
      <c r="O111" s="29">
        <v>1</v>
      </c>
      <c r="P111" s="38">
        <v>25</v>
      </c>
      <c r="Q111" s="28"/>
      <c r="R111" s="28" t="s">
        <v>2372</v>
      </c>
      <c r="S111" s="28" t="s">
        <v>21</v>
      </c>
      <c r="T111" s="28"/>
      <c r="U111" s="28" t="s">
        <v>31</v>
      </c>
    </row>
    <row r="112" spans="1:21" s="27" customFormat="1" x14ac:dyDescent="0.25">
      <c r="A112" s="28" t="s">
        <v>21</v>
      </c>
      <c r="B112" s="44" t="s">
        <v>2344</v>
      </c>
      <c r="C112" s="28">
        <v>698227</v>
      </c>
      <c r="D112" s="31">
        <v>1</v>
      </c>
      <c r="E112" s="71">
        <v>51</v>
      </c>
      <c r="F112" s="31">
        <v>186</v>
      </c>
      <c r="G112" s="32"/>
      <c r="H112" s="32">
        <v>1.8280000000000001</v>
      </c>
      <c r="I112" s="32">
        <v>1.819</v>
      </c>
      <c r="J112" s="33">
        <f t="shared" si="11"/>
        <v>9.000000000000119E-3</v>
      </c>
      <c r="K112" s="34" t="str">
        <f t="shared" si="10"/>
        <v/>
      </c>
      <c r="L112" s="35">
        <f t="shared" si="12"/>
        <v>7.44</v>
      </c>
      <c r="M112" s="36" t="str">
        <f t="shared" si="13"/>
        <v/>
      </c>
      <c r="N112" s="37" t="s">
        <v>16</v>
      </c>
      <c r="O112" s="29">
        <v>1</v>
      </c>
      <c r="P112" s="38">
        <v>25</v>
      </c>
      <c r="Q112" s="28"/>
      <c r="R112" s="28" t="s">
        <v>2374</v>
      </c>
      <c r="S112" s="71" t="s">
        <v>58</v>
      </c>
      <c r="T112" s="28"/>
      <c r="U112" s="28" t="s">
        <v>31</v>
      </c>
    </row>
    <row r="113" spans="1:21" s="27" customFormat="1" x14ac:dyDescent="0.25">
      <c r="A113" s="28" t="s">
        <v>21</v>
      </c>
      <c r="B113" s="44" t="s">
        <v>2345</v>
      </c>
      <c r="C113" s="28" t="s">
        <v>21</v>
      </c>
      <c r="D113" s="31">
        <v>1</v>
      </c>
      <c r="E113" s="71">
        <v>63</v>
      </c>
      <c r="F113" s="31">
        <v>186</v>
      </c>
      <c r="G113" s="32"/>
      <c r="H113" s="32">
        <v>1.84</v>
      </c>
      <c r="I113" s="32">
        <v>1.8340000000000001</v>
      </c>
      <c r="J113" s="33">
        <f t="shared" si="11"/>
        <v>6.0000000000000053E-3</v>
      </c>
      <c r="K113" s="34" t="str">
        <f t="shared" si="10"/>
        <v/>
      </c>
      <c r="L113" s="35">
        <f t="shared" si="12"/>
        <v>7.44</v>
      </c>
      <c r="M113" s="36" t="str">
        <f t="shared" si="13"/>
        <v/>
      </c>
      <c r="N113" s="37" t="s">
        <v>16</v>
      </c>
      <c r="O113" s="29">
        <v>1</v>
      </c>
      <c r="P113" s="38">
        <v>25</v>
      </c>
      <c r="Q113" s="28"/>
      <c r="R113" s="28" t="s">
        <v>2375</v>
      </c>
      <c r="S113" s="71" t="s">
        <v>59</v>
      </c>
      <c r="T113" s="28"/>
      <c r="U113" s="28" t="s">
        <v>31</v>
      </c>
    </row>
    <row r="114" spans="1:21" s="27" customFormat="1" x14ac:dyDescent="0.25">
      <c r="A114" s="28" t="s">
        <v>21</v>
      </c>
      <c r="B114" s="44" t="s">
        <v>2346</v>
      </c>
      <c r="C114" s="28" t="s">
        <v>21</v>
      </c>
      <c r="D114" s="31">
        <v>1</v>
      </c>
      <c r="E114" s="71">
        <v>61</v>
      </c>
      <c r="F114" s="31">
        <v>186</v>
      </c>
      <c r="G114" s="32"/>
      <c r="H114" s="32">
        <v>1.839</v>
      </c>
      <c r="I114" s="32">
        <v>1.8320000000000001</v>
      </c>
      <c r="J114" s="33">
        <f t="shared" si="11"/>
        <v>6.9999999999998952E-3</v>
      </c>
      <c r="K114" s="34" t="str">
        <f t="shared" si="10"/>
        <v/>
      </c>
      <c r="L114" s="35">
        <f t="shared" si="12"/>
        <v>7.44</v>
      </c>
      <c r="M114" s="36" t="str">
        <f t="shared" si="13"/>
        <v/>
      </c>
      <c r="N114" s="37" t="s">
        <v>16</v>
      </c>
      <c r="O114" s="29">
        <v>1</v>
      </c>
      <c r="P114" s="38">
        <v>25</v>
      </c>
      <c r="Q114" s="28"/>
      <c r="R114" s="28" t="s">
        <v>2377</v>
      </c>
      <c r="S114" s="28" t="s">
        <v>21</v>
      </c>
      <c r="T114" s="28"/>
      <c r="U114" s="28" t="s">
        <v>31</v>
      </c>
    </row>
    <row r="115" spans="1:21" s="27" customFormat="1" x14ac:dyDescent="0.25">
      <c r="A115" s="28" t="s">
        <v>21</v>
      </c>
      <c r="B115" s="44" t="s">
        <v>2347</v>
      </c>
      <c r="C115" s="28" t="s">
        <v>21</v>
      </c>
      <c r="D115" s="31">
        <v>1</v>
      </c>
      <c r="E115" s="71">
        <v>51</v>
      </c>
      <c r="F115" s="31">
        <v>186</v>
      </c>
      <c r="G115" s="32"/>
      <c r="H115" s="32">
        <v>1.847</v>
      </c>
      <c r="I115" s="32">
        <v>1.839</v>
      </c>
      <c r="J115" s="33">
        <f t="shared" si="11"/>
        <v>8.0000000000000071E-3</v>
      </c>
      <c r="K115" s="34" t="str">
        <f t="shared" si="10"/>
        <v/>
      </c>
      <c r="L115" s="35">
        <f t="shared" si="12"/>
        <v>7.44</v>
      </c>
      <c r="M115" s="36" t="str">
        <f t="shared" si="13"/>
        <v/>
      </c>
      <c r="N115" s="37" t="s">
        <v>16</v>
      </c>
      <c r="O115" s="29">
        <v>1</v>
      </c>
      <c r="P115" s="38">
        <v>25</v>
      </c>
      <c r="Q115" s="28"/>
      <c r="R115" s="28" t="s">
        <v>2378</v>
      </c>
      <c r="S115" s="28" t="s">
        <v>21</v>
      </c>
      <c r="T115" s="28"/>
      <c r="U115" s="28" t="s">
        <v>31</v>
      </c>
    </row>
    <row r="116" spans="1:21" s="27" customFormat="1" x14ac:dyDescent="0.25">
      <c r="A116" s="28" t="s">
        <v>21</v>
      </c>
      <c r="B116" s="44" t="s">
        <v>2348</v>
      </c>
      <c r="C116" s="28" t="s">
        <v>21</v>
      </c>
      <c r="D116" s="31">
        <v>1</v>
      </c>
      <c r="E116" s="71">
        <v>50</v>
      </c>
      <c r="F116" s="31">
        <v>187</v>
      </c>
      <c r="G116" s="32"/>
      <c r="H116" s="32">
        <v>1.8560000000000001</v>
      </c>
      <c r="I116" s="32">
        <v>1.8480000000000001</v>
      </c>
      <c r="J116" s="33">
        <f t="shared" si="11"/>
        <v>8.0000000000000071E-3</v>
      </c>
      <c r="K116" s="34" t="str">
        <f t="shared" si="10"/>
        <v/>
      </c>
      <c r="L116" s="35">
        <f t="shared" si="12"/>
        <v>7.48</v>
      </c>
      <c r="M116" s="36" t="str">
        <f t="shared" si="13"/>
        <v/>
      </c>
      <c r="N116" s="37" t="s">
        <v>16</v>
      </c>
      <c r="O116" s="29">
        <v>1</v>
      </c>
      <c r="P116" s="38">
        <v>25</v>
      </c>
      <c r="Q116" s="28"/>
      <c r="R116" s="28" t="s">
        <v>2379</v>
      </c>
      <c r="S116" s="28" t="s">
        <v>21</v>
      </c>
      <c r="T116" s="28"/>
      <c r="U116" s="28" t="s">
        <v>31</v>
      </c>
    </row>
    <row r="117" spans="1:21" s="27" customFormat="1" x14ac:dyDescent="0.25">
      <c r="A117" s="28" t="s">
        <v>21</v>
      </c>
      <c r="B117" s="44" t="s">
        <v>2349</v>
      </c>
      <c r="C117" s="28" t="s">
        <v>21</v>
      </c>
      <c r="D117" s="31">
        <v>1</v>
      </c>
      <c r="E117" s="71">
        <v>46</v>
      </c>
      <c r="F117" s="31">
        <v>187</v>
      </c>
      <c r="G117" s="32"/>
      <c r="H117" s="32">
        <v>1.8640000000000001</v>
      </c>
      <c r="I117" s="32">
        <v>1.8560000000000001</v>
      </c>
      <c r="J117" s="33">
        <f t="shared" si="11"/>
        <v>8.0000000000000071E-3</v>
      </c>
      <c r="K117" s="34" t="str">
        <f t="shared" si="10"/>
        <v/>
      </c>
      <c r="L117" s="35">
        <f t="shared" si="12"/>
        <v>7.48</v>
      </c>
      <c r="M117" s="36" t="str">
        <f t="shared" si="13"/>
        <v/>
      </c>
      <c r="N117" s="37" t="s">
        <v>16</v>
      </c>
      <c r="O117" s="29">
        <v>1</v>
      </c>
      <c r="P117" s="38">
        <v>25</v>
      </c>
      <c r="Q117" s="28"/>
      <c r="R117" s="28" t="s">
        <v>2380</v>
      </c>
      <c r="S117" s="71" t="s">
        <v>103</v>
      </c>
      <c r="T117" s="28"/>
      <c r="U117" s="28" t="s">
        <v>31</v>
      </c>
    </row>
    <row r="118" spans="1:21" s="27" customFormat="1" x14ac:dyDescent="0.25">
      <c r="A118" s="28" t="s">
        <v>21</v>
      </c>
      <c r="B118" s="44" t="s">
        <v>2350</v>
      </c>
      <c r="C118" s="28" t="s">
        <v>21</v>
      </c>
      <c r="D118" s="31">
        <v>1</v>
      </c>
      <c r="E118" s="71">
        <v>41</v>
      </c>
      <c r="F118" s="31">
        <v>188</v>
      </c>
      <c r="G118" s="32"/>
      <c r="H118" s="32">
        <v>1.8660000000000001</v>
      </c>
      <c r="I118" s="32">
        <v>1.857</v>
      </c>
      <c r="J118" s="33">
        <f t="shared" si="11"/>
        <v>9.000000000000119E-3</v>
      </c>
      <c r="K118" s="34" t="str">
        <f t="shared" si="10"/>
        <v/>
      </c>
      <c r="L118" s="35">
        <f t="shared" si="12"/>
        <v>7.52</v>
      </c>
      <c r="M118" s="36" t="str">
        <f t="shared" si="13"/>
        <v/>
      </c>
      <c r="N118" s="37" t="s">
        <v>16</v>
      </c>
      <c r="O118" s="29">
        <v>1</v>
      </c>
      <c r="P118" s="38">
        <v>25</v>
      </c>
      <c r="Q118" s="28"/>
      <c r="R118" s="28" t="s">
        <v>2376</v>
      </c>
      <c r="S118" s="71" t="s">
        <v>59</v>
      </c>
      <c r="T118" s="28"/>
      <c r="U118" s="28" t="s">
        <v>31</v>
      </c>
    </row>
    <row r="119" spans="1:21" s="27" customFormat="1" x14ac:dyDescent="0.25">
      <c r="A119" s="28" t="s">
        <v>21</v>
      </c>
      <c r="B119" s="44" t="s">
        <v>2351</v>
      </c>
      <c r="C119" s="28" t="s">
        <v>21</v>
      </c>
      <c r="D119" s="31">
        <v>1</v>
      </c>
      <c r="E119" s="71">
        <v>43</v>
      </c>
      <c r="F119" s="31">
        <v>187</v>
      </c>
      <c r="G119" s="32"/>
      <c r="H119" s="32">
        <v>1.8740000000000001</v>
      </c>
      <c r="I119" s="32">
        <v>1.8660000000000001</v>
      </c>
      <c r="J119" s="33">
        <f t="shared" si="11"/>
        <v>8.0000000000000071E-3</v>
      </c>
      <c r="K119" s="34" t="str">
        <f t="shared" si="10"/>
        <v/>
      </c>
      <c r="L119" s="35">
        <f t="shared" si="12"/>
        <v>7.48</v>
      </c>
      <c r="M119" s="36" t="str">
        <f t="shared" si="13"/>
        <v/>
      </c>
      <c r="N119" s="37" t="s">
        <v>16</v>
      </c>
      <c r="O119" s="29">
        <v>1</v>
      </c>
      <c r="P119" s="38">
        <v>25</v>
      </c>
      <c r="Q119" s="28"/>
      <c r="R119" s="28" t="s">
        <v>2381</v>
      </c>
      <c r="S119" s="28" t="s">
        <v>21</v>
      </c>
      <c r="T119" s="28"/>
      <c r="U119" s="28" t="s">
        <v>31</v>
      </c>
    </row>
    <row r="120" spans="1:21" s="27" customFormat="1" x14ac:dyDescent="0.25">
      <c r="A120" s="28" t="s">
        <v>21</v>
      </c>
      <c r="B120" s="44" t="s">
        <v>2352</v>
      </c>
      <c r="C120" s="28" t="s">
        <v>21</v>
      </c>
      <c r="D120" s="31">
        <v>1</v>
      </c>
      <c r="E120" s="71">
        <v>51</v>
      </c>
      <c r="F120" s="31">
        <v>186</v>
      </c>
      <c r="G120" s="32"/>
      <c r="H120" s="32">
        <v>1.86</v>
      </c>
      <c r="I120" s="32">
        <v>1.853</v>
      </c>
      <c r="J120" s="33">
        <f t="shared" si="11"/>
        <v>7.0000000000001172E-3</v>
      </c>
      <c r="K120" s="34" t="str">
        <f t="shared" si="10"/>
        <v/>
      </c>
      <c r="L120" s="35">
        <f t="shared" si="12"/>
        <v>7.44</v>
      </c>
      <c r="M120" s="36" t="str">
        <f t="shared" si="13"/>
        <v/>
      </c>
      <c r="N120" s="37" t="s">
        <v>16</v>
      </c>
      <c r="O120" s="29">
        <v>1</v>
      </c>
      <c r="P120" s="38">
        <v>25</v>
      </c>
      <c r="Q120" s="28"/>
      <c r="R120" s="28" t="s">
        <v>2382</v>
      </c>
      <c r="S120" s="28" t="s">
        <v>21</v>
      </c>
      <c r="T120" s="28"/>
      <c r="U120" s="28" t="s">
        <v>31</v>
      </c>
    </row>
    <row r="121" spans="1:21" s="27" customFormat="1" x14ac:dyDescent="0.25">
      <c r="A121" s="28" t="s">
        <v>21</v>
      </c>
      <c r="B121" s="44" t="s">
        <v>2353</v>
      </c>
      <c r="C121" s="28" t="s">
        <v>21</v>
      </c>
      <c r="D121" s="31">
        <v>1</v>
      </c>
      <c r="E121" s="71">
        <v>42</v>
      </c>
      <c r="F121" s="31">
        <v>187</v>
      </c>
      <c r="G121" s="32"/>
      <c r="H121" s="32">
        <v>1.86</v>
      </c>
      <c r="I121" s="32">
        <v>1.851</v>
      </c>
      <c r="J121" s="33">
        <f t="shared" si="11"/>
        <v>9.000000000000119E-3</v>
      </c>
      <c r="K121" s="34" t="str">
        <f t="shared" si="10"/>
        <v/>
      </c>
      <c r="L121" s="35">
        <f t="shared" si="12"/>
        <v>7.48</v>
      </c>
      <c r="M121" s="36" t="str">
        <f t="shared" si="13"/>
        <v/>
      </c>
      <c r="N121" s="37" t="s">
        <v>16</v>
      </c>
      <c r="O121" s="29">
        <v>1</v>
      </c>
      <c r="P121" s="38">
        <v>25</v>
      </c>
      <c r="Q121" s="28"/>
      <c r="R121" s="28" t="s">
        <v>2383</v>
      </c>
      <c r="S121" s="28" t="s">
        <v>21</v>
      </c>
      <c r="T121" s="28"/>
      <c r="U121" s="28" t="s">
        <v>31</v>
      </c>
    </row>
    <row r="122" spans="1:21" s="27" customFormat="1" x14ac:dyDescent="0.25">
      <c r="A122" s="28" t="s">
        <v>2384</v>
      </c>
      <c r="B122" s="44" t="s">
        <v>2385</v>
      </c>
      <c r="C122" s="28">
        <v>698356</v>
      </c>
      <c r="D122" s="31">
        <v>1</v>
      </c>
      <c r="E122" s="71">
        <v>26</v>
      </c>
      <c r="F122" s="45">
        <v>606</v>
      </c>
      <c r="G122" s="32">
        <v>1.851</v>
      </c>
      <c r="H122" s="32">
        <v>3.7149999999999999</v>
      </c>
      <c r="I122" s="32">
        <v>3.6989999999999998</v>
      </c>
      <c r="J122" s="33">
        <f>IF(O122&lt;&gt;"",(H122-I122)/O122,"")</f>
        <v>8.0000000000000071E-3</v>
      </c>
      <c r="K122" s="34" t="str">
        <f t="shared" si="10"/>
        <v/>
      </c>
      <c r="L122" s="35">
        <f>F122/(O122*P122)</f>
        <v>7.5750000000000002</v>
      </c>
      <c r="M122" s="36" t="str">
        <f>IF(L122=0,"",IF(OR(L122&lt;7,L122&gt;7.8),"X",""))</f>
        <v/>
      </c>
      <c r="N122" s="37" t="s">
        <v>20</v>
      </c>
      <c r="O122" s="29">
        <v>2</v>
      </c>
      <c r="P122" s="38">
        <v>40</v>
      </c>
      <c r="Q122" s="28"/>
      <c r="R122" s="28" t="s">
        <v>2405</v>
      </c>
      <c r="S122" s="71" t="s">
        <v>58</v>
      </c>
      <c r="T122" s="28"/>
      <c r="U122" s="28" t="s">
        <v>31</v>
      </c>
    </row>
    <row r="123" spans="1:21" s="27" customFormat="1" x14ac:dyDescent="0.25">
      <c r="A123" s="28" t="s">
        <v>21</v>
      </c>
      <c r="B123" s="28" t="s">
        <v>21</v>
      </c>
      <c r="C123" s="28" t="s">
        <v>21</v>
      </c>
      <c r="D123" s="31">
        <v>1</v>
      </c>
      <c r="E123" s="71"/>
      <c r="F123" s="31"/>
      <c r="G123" s="32">
        <v>1.8640000000000001</v>
      </c>
      <c r="H123" s="32"/>
      <c r="I123" s="32"/>
      <c r="J123" s="33"/>
      <c r="K123" s="34" t="str">
        <f t="shared" si="10"/>
        <v/>
      </c>
      <c r="L123" s="35"/>
      <c r="M123" s="36" t="str">
        <f t="shared" ref="M123:M161" si="14">IF(L123=0,"",IF(OR(L123&lt;7.4,L123&gt;8),"X",""))</f>
        <v/>
      </c>
      <c r="N123" s="37"/>
      <c r="O123" s="29"/>
      <c r="P123" s="38"/>
      <c r="Q123" s="28"/>
      <c r="R123" s="28" t="s">
        <v>2406</v>
      </c>
      <c r="S123" s="71" t="s">
        <v>59</v>
      </c>
      <c r="T123" s="28"/>
      <c r="U123" s="28" t="s">
        <v>31</v>
      </c>
    </row>
    <row r="124" spans="1:21" s="27" customFormat="1" x14ac:dyDescent="0.25">
      <c r="A124" s="28" t="s">
        <v>21</v>
      </c>
      <c r="B124" s="44" t="s">
        <v>2386</v>
      </c>
      <c r="C124" s="28" t="s">
        <v>21</v>
      </c>
      <c r="D124" s="31">
        <v>1</v>
      </c>
      <c r="E124" s="71">
        <v>51</v>
      </c>
      <c r="F124" s="45">
        <v>602</v>
      </c>
      <c r="G124" s="32">
        <v>1.879</v>
      </c>
      <c r="H124" s="32">
        <v>3.7440000000000002</v>
      </c>
      <c r="I124" s="32">
        <v>3.7330000000000001</v>
      </c>
      <c r="J124" s="33">
        <f>IF(O124&lt;&gt;"",(H124-I124)/O124,"")</f>
        <v>5.5000000000000604E-3</v>
      </c>
      <c r="K124" s="34" t="str">
        <f t="shared" si="10"/>
        <v/>
      </c>
      <c r="L124" s="35">
        <f>F124/(O124*P124)</f>
        <v>7.5250000000000004</v>
      </c>
      <c r="M124" s="36" t="str">
        <f>IF(L124=0,"",IF(OR(L124&lt;7,L124&gt;7.8),"X",""))</f>
        <v/>
      </c>
      <c r="N124" s="37" t="s">
        <v>20</v>
      </c>
      <c r="O124" s="29">
        <v>2</v>
      </c>
      <c r="P124" s="38">
        <v>40</v>
      </c>
      <c r="Q124" s="28"/>
      <c r="R124" s="28" t="s">
        <v>2408</v>
      </c>
      <c r="S124" s="28" t="s">
        <v>21</v>
      </c>
      <c r="T124" s="28"/>
      <c r="U124" s="28" t="s">
        <v>31</v>
      </c>
    </row>
    <row r="125" spans="1:21" s="27" customFormat="1" x14ac:dyDescent="0.25">
      <c r="A125" s="28" t="s">
        <v>21</v>
      </c>
      <c r="B125" s="28" t="s">
        <v>21</v>
      </c>
      <c r="C125" s="28" t="s">
        <v>21</v>
      </c>
      <c r="D125" s="31">
        <v>1</v>
      </c>
      <c r="E125" s="71"/>
      <c r="F125" s="31"/>
      <c r="G125" s="32">
        <v>1.865</v>
      </c>
      <c r="H125" s="32"/>
      <c r="I125" s="32"/>
      <c r="J125" s="33"/>
      <c r="K125" s="34" t="str">
        <f t="shared" si="10"/>
        <v/>
      </c>
      <c r="L125" s="35"/>
      <c r="M125" s="36" t="str">
        <f t="shared" si="14"/>
        <v/>
      </c>
      <c r="N125" s="37"/>
      <c r="O125" s="29"/>
      <c r="P125" s="38"/>
      <c r="Q125" s="28"/>
      <c r="R125" s="28" t="s">
        <v>2409</v>
      </c>
      <c r="S125" s="28" t="s">
        <v>21</v>
      </c>
      <c r="T125" s="28"/>
      <c r="U125" s="28" t="s">
        <v>31</v>
      </c>
    </row>
    <row r="126" spans="1:21" s="27" customFormat="1" x14ac:dyDescent="0.25">
      <c r="A126" s="28" t="s">
        <v>21</v>
      </c>
      <c r="B126" s="44" t="s">
        <v>2387</v>
      </c>
      <c r="C126" s="28" t="s">
        <v>21</v>
      </c>
      <c r="D126" s="31">
        <v>1</v>
      </c>
      <c r="E126" s="71">
        <v>37</v>
      </c>
      <c r="F126" s="45">
        <v>604</v>
      </c>
      <c r="G126" s="32">
        <v>1.865</v>
      </c>
      <c r="H126" s="32">
        <v>3.7250000000000001</v>
      </c>
      <c r="I126" s="32">
        <v>3.7120000000000002</v>
      </c>
      <c r="J126" s="33">
        <f>IF(O126&lt;&gt;"",(H126-I126)/O126,"")</f>
        <v>6.4999999999999503E-3</v>
      </c>
      <c r="K126" s="34" t="str">
        <f t="shared" si="10"/>
        <v/>
      </c>
      <c r="L126" s="35">
        <f>F126/(O126*P126)</f>
        <v>7.55</v>
      </c>
      <c r="M126" s="36" t="str">
        <f>IF(L126=0,"",IF(OR(L126&lt;7,L126&gt;7.8),"X",""))</f>
        <v/>
      </c>
      <c r="N126" s="37" t="s">
        <v>20</v>
      </c>
      <c r="O126" s="29">
        <v>2</v>
      </c>
      <c r="P126" s="38">
        <v>40</v>
      </c>
      <c r="Q126" s="28"/>
      <c r="R126" s="28" t="s">
        <v>2410</v>
      </c>
      <c r="S126" s="28" t="s">
        <v>21</v>
      </c>
      <c r="T126" s="28"/>
      <c r="U126" s="28" t="s">
        <v>31</v>
      </c>
    </row>
    <row r="127" spans="1:21" s="27" customFormat="1" x14ac:dyDescent="0.25">
      <c r="A127" s="28" t="s">
        <v>21</v>
      </c>
      <c r="B127" s="28" t="s">
        <v>21</v>
      </c>
      <c r="C127" s="28" t="s">
        <v>21</v>
      </c>
      <c r="D127" s="31">
        <v>1</v>
      </c>
      <c r="E127" s="71"/>
      <c r="F127" s="31"/>
      <c r="G127" s="32">
        <v>1.861</v>
      </c>
      <c r="H127" s="32"/>
      <c r="I127" s="32"/>
      <c r="J127" s="33"/>
      <c r="K127" s="34" t="str">
        <f t="shared" si="10"/>
        <v/>
      </c>
      <c r="L127" s="35"/>
      <c r="M127" s="36" t="str">
        <f t="shared" si="14"/>
        <v/>
      </c>
      <c r="N127" s="37"/>
      <c r="O127" s="29"/>
      <c r="P127" s="38"/>
      <c r="Q127" s="28"/>
      <c r="R127" s="28" t="s">
        <v>2411</v>
      </c>
      <c r="S127" s="28" t="s">
        <v>21</v>
      </c>
      <c r="T127" s="28"/>
      <c r="U127" s="28" t="s">
        <v>31</v>
      </c>
    </row>
    <row r="128" spans="1:21" s="27" customFormat="1" x14ac:dyDescent="0.25">
      <c r="A128" s="28" t="s">
        <v>21</v>
      </c>
      <c r="B128" s="44" t="s">
        <v>2388</v>
      </c>
      <c r="C128" s="28" t="s">
        <v>21</v>
      </c>
      <c r="D128" s="31">
        <v>1</v>
      </c>
      <c r="E128" s="71">
        <v>27</v>
      </c>
      <c r="F128" s="45">
        <v>606</v>
      </c>
      <c r="G128" s="32">
        <v>1.8660000000000001</v>
      </c>
      <c r="H128" s="32">
        <v>3.72</v>
      </c>
      <c r="I128" s="32">
        <v>3.7040000000000002</v>
      </c>
      <c r="J128" s="33">
        <f>IF(O128&lt;&gt;"",(H128-I128)/O128,"")</f>
        <v>8.0000000000000071E-3</v>
      </c>
      <c r="K128" s="34" t="str">
        <f t="shared" si="10"/>
        <v/>
      </c>
      <c r="L128" s="35">
        <f>F128/(O128*P128)</f>
        <v>7.5750000000000002</v>
      </c>
      <c r="M128" s="36" t="str">
        <f>IF(L128=0,"",IF(OR(L128&lt;7,L128&gt;7.8),"X",""))</f>
        <v/>
      </c>
      <c r="N128" s="37" t="s">
        <v>20</v>
      </c>
      <c r="O128" s="29">
        <v>2</v>
      </c>
      <c r="P128" s="38">
        <v>40</v>
      </c>
      <c r="Q128" s="28"/>
      <c r="R128" s="28" t="s">
        <v>2413</v>
      </c>
      <c r="S128" s="28" t="s">
        <v>21</v>
      </c>
      <c r="T128" s="28"/>
      <c r="U128" s="28" t="s">
        <v>31</v>
      </c>
    </row>
    <row r="129" spans="1:21" s="27" customFormat="1" x14ac:dyDescent="0.25">
      <c r="A129" s="28" t="s">
        <v>21</v>
      </c>
      <c r="B129" s="28" t="s">
        <v>21</v>
      </c>
      <c r="C129" s="28" t="s">
        <v>21</v>
      </c>
      <c r="D129" s="31">
        <v>1</v>
      </c>
      <c r="E129" s="71"/>
      <c r="F129" s="31"/>
      <c r="G129" s="32">
        <v>1.855</v>
      </c>
      <c r="H129" s="32"/>
      <c r="I129" s="32"/>
      <c r="J129" s="33"/>
      <c r="K129" s="34" t="str">
        <f t="shared" si="10"/>
        <v/>
      </c>
      <c r="L129" s="35"/>
      <c r="M129" s="36" t="str">
        <f t="shared" si="14"/>
        <v/>
      </c>
      <c r="N129" s="37"/>
      <c r="O129" s="29"/>
      <c r="P129" s="38"/>
      <c r="Q129" s="28"/>
      <c r="R129" s="28" t="s">
        <v>2412</v>
      </c>
      <c r="S129" s="28" t="s">
        <v>21</v>
      </c>
      <c r="T129" s="28"/>
      <c r="U129" s="28" t="s">
        <v>31</v>
      </c>
    </row>
    <row r="130" spans="1:21" s="27" customFormat="1" x14ac:dyDescent="0.25">
      <c r="A130" s="28" t="s">
        <v>21</v>
      </c>
      <c r="B130" s="44" t="s">
        <v>2389</v>
      </c>
      <c r="C130" s="28" t="s">
        <v>21</v>
      </c>
      <c r="D130" s="31">
        <v>1</v>
      </c>
      <c r="E130" s="71">
        <v>39</v>
      </c>
      <c r="F130" s="45">
        <v>606</v>
      </c>
      <c r="G130" s="32">
        <v>1.8620000000000001</v>
      </c>
      <c r="H130" s="32">
        <v>3.7189999999999999</v>
      </c>
      <c r="I130" s="32">
        <v>3.706</v>
      </c>
      <c r="J130" s="33">
        <f>IF(O130&lt;&gt;"",(H130-I130)/O130,"")</f>
        <v>6.4999999999999503E-3</v>
      </c>
      <c r="K130" s="34" t="str">
        <f t="shared" ref="K130:K184" si="15">IF(J130=0,"",IF(OR(J130&lt;0,J130&gt;0.03),"X",""))</f>
        <v/>
      </c>
      <c r="L130" s="35">
        <f>F130/(O130*P130)</f>
        <v>7.5750000000000002</v>
      </c>
      <c r="M130" s="36" t="str">
        <f>IF(L130=0,"",IF(OR(L130&lt;7,L130&gt;7.8),"X",""))</f>
        <v/>
      </c>
      <c r="N130" s="37" t="s">
        <v>20</v>
      </c>
      <c r="O130" s="29">
        <v>2</v>
      </c>
      <c r="P130" s="38">
        <v>40</v>
      </c>
      <c r="Q130" s="28"/>
      <c r="R130" s="28" t="s">
        <v>2407</v>
      </c>
      <c r="S130" s="28" t="s">
        <v>21</v>
      </c>
      <c r="T130" s="28"/>
      <c r="U130" s="28" t="s">
        <v>31</v>
      </c>
    </row>
    <row r="131" spans="1:21" s="27" customFormat="1" x14ac:dyDescent="0.25">
      <c r="A131" s="28" t="s">
        <v>21</v>
      </c>
      <c r="B131" s="28" t="s">
        <v>21</v>
      </c>
      <c r="C131" s="28">
        <v>698356</v>
      </c>
      <c r="D131" s="31">
        <v>1</v>
      </c>
      <c r="E131" s="71"/>
      <c r="F131" s="31"/>
      <c r="G131" s="32">
        <v>1.857</v>
      </c>
      <c r="H131" s="32"/>
      <c r="I131" s="32"/>
      <c r="J131" s="33"/>
      <c r="K131" s="34" t="str">
        <f t="shared" si="15"/>
        <v/>
      </c>
      <c r="L131" s="35"/>
      <c r="M131" s="36" t="str">
        <f t="shared" si="14"/>
        <v/>
      </c>
      <c r="N131" s="37"/>
      <c r="O131" s="29"/>
      <c r="P131" s="38"/>
      <c r="Q131" s="28"/>
      <c r="R131" s="28" t="s">
        <v>2414</v>
      </c>
      <c r="S131" s="28" t="s">
        <v>21</v>
      </c>
      <c r="T131" s="28"/>
      <c r="U131" s="28" t="s">
        <v>31</v>
      </c>
    </row>
    <row r="132" spans="1:21" s="27" customFormat="1" x14ac:dyDescent="0.25">
      <c r="A132" s="28" t="s">
        <v>21</v>
      </c>
      <c r="B132" s="44" t="s">
        <v>2390</v>
      </c>
      <c r="C132" s="28" t="s">
        <v>21</v>
      </c>
      <c r="D132" s="31">
        <v>1</v>
      </c>
      <c r="E132" s="71">
        <v>54</v>
      </c>
      <c r="F132" s="45">
        <v>608</v>
      </c>
      <c r="G132" s="32">
        <v>1.8759999999999999</v>
      </c>
      <c r="H132" s="32">
        <v>3.7480000000000002</v>
      </c>
      <c r="I132" s="32">
        <v>3.7320000000000002</v>
      </c>
      <c r="J132" s="33">
        <f>IF(O132&lt;&gt;"",(H132-I132)/O132,"")</f>
        <v>8.0000000000000071E-3</v>
      </c>
      <c r="K132" s="34" t="str">
        <f t="shared" si="15"/>
        <v/>
      </c>
      <c r="L132" s="35">
        <f>F132/(O132*P132)</f>
        <v>7.6</v>
      </c>
      <c r="M132" s="36" t="str">
        <f>IF(L132=0,"",IF(OR(L132&lt;7,L132&gt;7.8),"X",""))</f>
        <v/>
      </c>
      <c r="N132" s="37" t="s">
        <v>20</v>
      </c>
      <c r="O132" s="29">
        <v>2</v>
      </c>
      <c r="P132" s="38">
        <v>40</v>
      </c>
      <c r="Q132" s="28"/>
      <c r="R132" s="28" t="s">
        <v>2416</v>
      </c>
      <c r="S132" s="28" t="s">
        <v>21</v>
      </c>
      <c r="T132" s="28"/>
      <c r="U132" s="28" t="s">
        <v>31</v>
      </c>
    </row>
    <row r="133" spans="1:21" s="27" customFormat="1" x14ac:dyDescent="0.25">
      <c r="A133" s="28" t="s">
        <v>21</v>
      </c>
      <c r="B133" s="28" t="s">
        <v>21</v>
      </c>
      <c r="C133" s="28" t="s">
        <v>21</v>
      </c>
      <c r="D133" s="31">
        <v>1</v>
      </c>
      <c r="E133" s="71"/>
      <c r="F133" s="31"/>
      <c r="G133" s="32">
        <v>1.8720000000000001</v>
      </c>
      <c r="H133" s="32"/>
      <c r="I133" s="32"/>
      <c r="J133" s="33"/>
      <c r="K133" s="34" t="str">
        <f t="shared" si="15"/>
        <v/>
      </c>
      <c r="L133" s="35"/>
      <c r="M133" s="36" t="str">
        <f t="shared" si="14"/>
        <v/>
      </c>
      <c r="N133" s="37"/>
      <c r="O133" s="29"/>
      <c r="P133" s="38"/>
      <c r="Q133" s="28"/>
      <c r="R133" s="28" t="s">
        <v>2417</v>
      </c>
      <c r="S133" s="28" t="s">
        <v>21</v>
      </c>
      <c r="T133" s="28"/>
      <c r="U133" s="28" t="s">
        <v>31</v>
      </c>
    </row>
    <row r="134" spans="1:21" s="27" customFormat="1" x14ac:dyDescent="0.25">
      <c r="A134" s="28" t="s">
        <v>21</v>
      </c>
      <c r="B134" s="44" t="s">
        <v>2391</v>
      </c>
      <c r="C134" s="28" t="s">
        <v>21</v>
      </c>
      <c r="D134" s="31">
        <v>1</v>
      </c>
      <c r="E134" s="71">
        <v>55</v>
      </c>
      <c r="F134" s="45">
        <v>606</v>
      </c>
      <c r="G134" s="32">
        <v>1.8660000000000001</v>
      </c>
      <c r="H134" s="32">
        <v>3.74</v>
      </c>
      <c r="I134" s="32">
        <v>3.7250000000000001</v>
      </c>
      <c r="J134" s="33">
        <f>IF(O134&lt;&gt;"",(H134-I134)/O134,"")</f>
        <v>7.5000000000000622E-3</v>
      </c>
      <c r="K134" s="34" t="str">
        <f t="shared" si="15"/>
        <v/>
      </c>
      <c r="L134" s="35">
        <f>F134/(O134*P134)</f>
        <v>7.5750000000000002</v>
      </c>
      <c r="M134" s="36" t="str">
        <f>IF(L134=0,"",IF(OR(L134&lt;7,L134&gt;7.8),"X",""))</f>
        <v/>
      </c>
      <c r="N134" s="37" t="s">
        <v>20</v>
      </c>
      <c r="O134" s="29">
        <v>2</v>
      </c>
      <c r="P134" s="38">
        <v>40</v>
      </c>
      <c r="Q134" s="28"/>
      <c r="R134" s="28" t="s">
        <v>2418</v>
      </c>
      <c r="S134" s="28" t="s">
        <v>21</v>
      </c>
      <c r="T134" s="28"/>
      <c r="U134" s="28" t="s">
        <v>31</v>
      </c>
    </row>
    <row r="135" spans="1:21" s="27" customFormat="1" x14ac:dyDescent="0.25">
      <c r="A135" s="28" t="s">
        <v>21</v>
      </c>
      <c r="B135" s="28" t="s">
        <v>21</v>
      </c>
      <c r="C135" s="28" t="s">
        <v>21</v>
      </c>
      <c r="D135" s="31">
        <v>1</v>
      </c>
      <c r="E135" s="71"/>
      <c r="F135" s="31"/>
      <c r="G135" s="32">
        <v>1.875</v>
      </c>
      <c r="H135" s="32"/>
      <c r="I135" s="32"/>
      <c r="J135" s="33"/>
      <c r="K135" s="34" t="str">
        <f t="shared" si="15"/>
        <v/>
      </c>
      <c r="L135" s="35"/>
      <c r="M135" s="36" t="str">
        <f t="shared" si="14"/>
        <v/>
      </c>
      <c r="N135" s="37"/>
      <c r="O135" s="29"/>
      <c r="P135" s="38"/>
      <c r="Q135" s="28"/>
      <c r="R135" s="28" t="s">
        <v>2415</v>
      </c>
      <c r="S135" s="28" t="s">
        <v>21</v>
      </c>
      <c r="T135" s="28"/>
      <c r="U135" s="28" t="s">
        <v>31</v>
      </c>
    </row>
    <row r="136" spans="1:21" s="27" customFormat="1" x14ac:dyDescent="0.25">
      <c r="A136" s="28" t="s">
        <v>21</v>
      </c>
      <c r="B136" s="44" t="s">
        <v>2392</v>
      </c>
      <c r="C136" s="28" t="s">
        <v>21</v>
      </c>
      <c r="D136" s="31">
        <v>1</v>
      </c>
      <c r="E136" s="71">
        <v>72</v>
      </c>
      <c r="F136" s="45">
        <v>603</v>
      </c>
      <c r="G136" s="32">
        <v>1.847</v>
      </c>
      <c r="H136" s="32">
        <v>3.6970000000000001</v>
      </c>
      <c r="I136" s="32">
        <v>3.6840000000000002</v>
      </c>
      <c r="J136" s="33">
        <f>IF(O136&lt;&gt;"",(H136-I136)/O136,"")</f>
        <v>6.4999999999999503E-3</v>
      </c>
      <c r="K136" s="34" t="str">
        <f t="shared" si="15"/>
        <v/>
      </c>
      <c r="L136" s="35">
        <f>F136/(O136*P136)</f>
        <v>7.5374999999999996</v>
      </c>
      <c r="M136" s="36" t="str">
        <f>IF(L136=0,"",IF(OR(L136&lt;7,L136&gt;7.8),"X",""))</f>
        <v/>
      </c>
      <c r="N136" s="37" t="s">
        <v>20</v>
      </c>
      <c r="O136" s="29">
        <v>2</v>
      </c>
      <c r="P136" s="38">
        <v>40</v>
      </c>
      <c r="Q136" s="28"/>
      <c r="R136" s="28" t="s">
        <v>2436</v>
      </c>
      <c r="S136" s="71" t="s">
        <v>103</v>
      </c>
      <c r="T136" s="28"/>
      <c r="U136" s="28" t="s">
        <v>31</v>
      </c>
    </row>
    <row r="137" spans="1:21" s="27" customFormat="1" x14ac:dyDescent="0.25">
      <c r="A137" s="28" t="s">
        <v>21</v>
      </c>
      <c r="B137" s="28" t="s">
        <v>21</v>
      </c>
      <c r="C137" s="28" t="s">
        <v>21</v>
      </c>
      <c r="D137" s="31">
        <v>1</v>
      </c>
      <c r="E137" s="71"/>
      <c r="F137" s="31"/>
      <c r="G137" s="32">
        <v>1.851</v>
      </c>
      <c r="H137" s="32"/>
      <c r="I137" s="32"/>
      <c r="J137" s="33"/>
      <c r="K137" s="34" t="str">
        <f t="shared" si="15"/>
        <v/>
      </c>
      <c r="L137" s="35"/>
      <c r="M137" s="36" t="str">
        <f t="shared" si="14"/>
        <v/>
      </c>
      <c r="N137" s="37"/>
      <c r="O137" s="29"/>
      <c r="P137" s="38"/>
      <c r="Q137" s="28"/>
      <c r="R137" s="28" t="s">
        <v>2438</v>
      </c>
      <c r="S137" s="71" t="s">
        <v>59</v>
      </c>
      <c r="T137" s="28"/>
      <c r="U137" s="28" t="s">
        <v>31</v>
      </c>
    </row>
    <row r="138" spans="1:21" s="27" customFormat="1" x14ac:dyDescent="0.25">
      <c r="A138" s="28" t="s">
        <v>21</v>
      </c>
      <c r="B138" s="44" t="s">
        <v>2393</v>
      </c>
      <c r="C138" s="28" t="s">
        <v>21</v>
      </c>
      <c r="D138" s="31">
        <v>1</v>
      </c>
      <c r="E138" s="71">
        <v>64</v>
      </c>
      <c r="F138" s="45">
        <v>604</v>
      </c>
      <c r="G138" s="32">
        <v>1.8480000000000001</v>
      </c>
      <c r="H138" s="32">
        <v>3.6970000000000001</v>
      </c>
      <c r="I138" s="32">
        <v>3.6819999999999999</v>
      </c>
      <c r="J138" s="33">
        <f>IF(O138&lt;&gt;"",(H138-I138)/O138,"")</f>
        <v>7.5000000000000622E-3</v>
      </c>
      <c r="K138" s="34" t="str">
        <f t="shared" si="15"/>
        <v/>
      </c>
      <c r="L138" s="35">
        <f>F138/(O138*P138)</f>
        <v>7.55</v>
      </c>
      <c r="M138" s="36" t="str">
        <f>IF(L138=0,"",IF(OR(L138&lt;7,L138&gt;7.8),"X",""))</f>
        <v/>
      </c>
      <c r="N138" s="37" t="s">
        <v>20</v>
      </c>
      <c r="O138" s="29">
        <v>2</v>
      </c>
      <c r="P138" s="38">
        <v>40</v>
      </c>
      <c r="Q138" s="28"/>
      <c r="R138" s="28" t="s">
        <v>2439</v>
      </c>
      <c r="S138" s="28" t="s">
        <v>21</v>
      </c>
      <c r="T138" s="28"/>
      <c r="U138" s="28" t="s">
        <v>31</v>
      </c>
    </row>
    <row r="139" spans="1:21" s="27" customFormat="1" x14ac:dyDescent="0.25">
      <c r="A139" s="28" t="s">
        <v>21</v>
      </c>
      <c r="B139" s="28" t="s">
        <v>21</v>
      </c>
      <c r="C139" s="28" t="s">
        <v>21</v>
      </c>
      <c r="D139" s="31">
        <v>1</v>
      </c>
      <c r="E139" s="71"/>
      <c r="F139" s="31"/>
      <c r="G139" s="32">
        <v>1.849</v>
      </c>
      <c r="H139" s="32"/>
      <c r="I139" s="32"/>
      <c r="J139" s="33"/>
      <c r="K139" s="34" t="str">
        <f t="shared" si="15"/>
        <v/>
      </c>
      <c r="L139" s="35"/>
      <c r="M139" s="36" t="str">
        <f t="shared" si="14"/>
        <v/>
      </c>
      <c r="N139" s="37"/>
      <c r="O139" s="29"/>
      <c r="P139" s="38"/>
      <c r="Q139" s="28"/>
      <c r="R139" s="28" t="s">
        <v>2437</v>
      </c>
      <c r="S139" s="28" t="s">
        <v>21</v>
      </c>
      <c r="T139" s="28"/>
      <c r="U139" s="28" t="s">
        <v>31</v>
      </c>
    </row>
    <row r="140" spans="1:21" s="27" customFormat="1" x14ac:dyDescent="0.25">
      <c r="A140" s="28" t="s">
        <v>21</v>
      </c>
      <c r="B140" s="44" t="s">
        <v>2394</v>
      </c>
      <c r="C140" s="28" t="s">
        <v>21</v>
      </c>
      <c r="D140" s="31">
        <v>1</v>
      </c>
      <c r="E140" s="71">
        <v>64</v>
      </c>
      <c r="F140" s="45">
        <v>605</v>
      </c>
      <c r="G140" s="32">
        <v>1.8580000000000001</v>
      </c>
      <c r="H140" s="32">
        <v>3.6970000000000001</v>
      </c>
      <c r="I140" s="32">
        <v>3.6829999999999998</v>
      </c>
      <c r="J140" s="33">
        <f>IF(O140&lt;&gt;"",(H140-I140)/O140,"")</f>
        <v>7.0000000000001172E-3</v>
      </c>
      <c r="K140" s="34" t="str">
        <f t="shared" si="15"/>
        <v/>
      </c>
      <c r="L140" s="35">
        <f>F140/(O140*P140)</f>
        <v>7.5625</v>
      </c>
      <c r="M140" s="36" t="str">
        <f>IF(L140=0,"",IF(OR(L140&lt;7,L140&gt;7.8),"X",""))</f>
        <v/>
      </c>
      <c r="N140" s="37" t="s">
        <v>20</v>
      </c>
      <c r="O140" s="29">
        <v>2</v>
      </c>
      <c r="P140" s="38">
        <v>40</v>
      </c>
      <c r="Q140" s="28"/>
      <c r="R140" s="28" t="s">
        <v>2440</v>
      </c>
      <c r="S140" s="28" t="s">
        <v>21</v>
      </c>
      <c r="T140" s="28"/>
      <c r="U140" s="28" t="s">
        <v>31</v>
      </c>
    </row>
    <row r="141" spans="1:21" s="27" customFormat="1" x14ac:dyDescent="0.25">
      <c r="A141" s="28" t="s">
        <v>21</v>
      </c>
      <c r="B141" s="28" t="s">
        <v>21</v>
      </c>
      <c r="C141" s="28" t="s">
        <v>21</v>
      </c>
      <c r="D141" s="31">
        <v>1</v>
      </c>
      <c r="E141" s="71"/>
      <c r="F141" s="31"/>
      <c r="G141" s="32">
        <v>1.84</v>
      </c>
      <c r="H141" s="32"/>
      <c r="I141" s="32"/>
      <c r="J141" s="33"/>
      <c r="K141" s="34" t="str">
        <f t="shared" si="15"/>
        <v/>
      </c>
      <c r="L141" s="35"/>
      <c r="M141" s="36" t="str">
        <f t="shared" si="14"/>
        <v/>
      </c>
      <c r="N141" s="37"/>
      <c r="O141" s="29"/>
      <c r="P141" s="38"/>
      <c r="Q141" s="28"/>
      <c r="R141" s="28" t="s">
        <v>2441</v>
      </c>
      <c r="S141" s="28" t="s">
        <v>21</v>
      </c>
      <c r="T141" s="28"/>
      <c r="U141" s="28" t="s">
        <v>31</v>
      </c>
    </row>
    <row r="142" spans="1:21" s="27" customFormat="1" x14ac:dyDescent="0.25">
      <c r="A142" s="28" t="s">
        <v>21</v>
      </c>
      <c r="B142" s="44" t="s">
        <v>2395</v>
      </c>
      <c r="C142" s="28">
        <v>698356</v>
      </c>
      <c r="D142" s="31">
        <v>1</v>
      </c>
      <c r="E142" s="71">
        <v>64</v>
      </c>
      <c r="F142" s="45">
        <v>604</v>
      </c>
      <c r="G142" s="32">
        <v>1.857</v>
      </c>
      <c r="H142" s="32">
        <v>3.706</v>
      </c>
      <c r="I142" s="32">
        <v>3.6920000000000002</v>
      </c>
      <c r="J142" s="33">
        <f>IF(O142&lt;&gt;"",(H142-I142)/O142,"")</f>
        <v>6.9999999999998952E-3</v>
      </c>
      <c r="K142" s="34" t="str">
        <f t="shared" si="15"/>
        <v/>
      </c>
      <c r="L142" s="35">
        <f>F142/(O142*P142)</f>
        <v>7.55</v>
      </c>
      <c r="M142" s="36" t="str">
        <f>IF(L142=0,"",IF(OR(L142&lt;7,L142&gt;7.8),"X",""))</f>
        <v/>
      </c>
      <c r="N142" s="37" t="s">
        <v>20</v>
      </c>
      <c r="O142" s="29">
        <v>2</v>
      </c>
      <c r="P142" s="38">
        <v>40</v>
      </c>
      <c r="Q142" s="28"/>
      <c r="R142" s="28" t="s">
        <v>2442</v>
      </c>
      <c r="S142" s="28" t="s">
        <v>21</v>
      </c>
      <c r="T142" s="28"/>
      <c r="U142" s="28" t="s">
        <v>31</v>
      </c>
    </row>
    <row r="143" spans="1:21" s="27" customFormat="1" x14ac:dyDescent="0.25">
      <c r="A143" s="28" t="s">
        <v>21</v>
      </c>
      <c r="B143" s="28" t="s">
        <v>21</v>
      </c>
      <c r="C143" s="28" t="s">
        <v>21</v>
      </c>
      <c r="D143" s="31">
        <v>1</v>
      </c>
      <c r="E143" s="71"/>
      <c r="F143" s="31"/>
      <c r="G143" s="32">
        <v>1.8480000000000001</v>
      </c>
      <c r="H143" s="32"/>
      <c r="I143" s="32"/>
      <c r="J143" s="33"/>
      <c r="K143" s="34" t="str">
        <f t="shared" si="15"/>
        <v/>
      </c>
      <c r="L143" s="35"/>
      <c r="M143" s="36" t="str">
        <f t="shared" si="14"/>
        <v/>
      </c>
      <c r="N143" s="37"/>
      <c r="O143" s="29"/>
      <c r="P143" s="38"/>
      <c r="Q143" s="28"/>
      <c r="R143" s="28" t="s">
        <v>2443</v>
      </c>
      <c r="S143" s="28" t="s">
        <v>21</v>
      </c>
      <c r="T143" s="28"/>
      <c r="U143" s="28" t="s">
        <v>31</v>
      </c>
    </row>
    <row r="144" spans="1:21" s="27" customFormat="1" x14ac:dyDescent="0.25">
      <c r="A144" s="28" t="s">
        <v>21</v>
      </c>
      <c r="B144" s="44" t="s">
        <v>2396</v>
      </c>
      <c r="C144" s="28" t="s">
        <v>21</v>
      </c>
      <c r="D144" s="31">
        <v>1</v>
      </c>
      <c r="E144" s="71">
        <v>60</v>
      </c>
      <c r="F144" s="45">
        <v>604</v>
      </c>
      <c r="G144" s="32">
        <v>1.8580000000000001</v>
      </c>
      <c r="H144" s="32">
        <v>3.7160000000000002</v>
      </c>
      <c r="I144" s="32">
        <v>3.7010000000000001</v>
      </c>
      <c r="J144" s="33">
        <f>IF(O144&lt;&gt;"",(H144-I144)/O144,"")</f>
        <v>7.5000000000000622E-3</v>
      </c>
      <c r="K144" s="34" t="str">
        <f t="shared" si="15"/>
        <v/>
      </c>
      <c r="L144" s="35">
        <f>F144/(O144*P144)</f>
        <v>7.55</v>
      </c>
      <c r="M144" s="36" t="str">
        <f>IF(L144=0,"",IF(OR(L144&lt;7,L144&gt;7.8),"X",""))</f>
        <v/>
      </c>
      <c r="N144" s="37" t="s">
        <v>20</v>
      </c>
      <c r="O144" s="29">
        <v>2</v>
      </c>
      <c r="P144" s="38">
        <v>40</v>
      </c>
      <c r="Q144" s="28"/>
      <c r="R144" s="28" t="s">
        <v>2444</v>
      </c>
      <c r="S144" s="28" t="s">
        <v>21</v>
      </c>
      <c r="T144" s="28"/>
      <c r="U144" s="28" t="s">
        <v>31</v>
      </c>
    </row>
    <row r="145" spans="1:21" s="27" customFormat="1" x14ac:dyDescent="0.25">
      <c r="A145" s="28" t="s">
        <v>21</v>
      </c>
      <c r="B145" s="28" t="s">
        <v>21</v>
      </c>
      <c r="C145" s="28" t="s">
        <v>21</v>
      </c>
      <c r="D145" s="31">
        <v>1</v>
      </c>
      <c r="E145" s="71"/>
      <c r="F145" s="31"/>
      <c r="G145" s="32">
        <v>1.859</v>
      </c>
      <c r="H145" s="32"/>
      <c r="I145" s="32"/>
      <c r="J145" s="33"/>
      <c r="K145" s="34" t="str">
        <f t="shared" si="15"/>
        <v/>
      </c>
      <c r="L145" s="35"/>
      <c r="M145" s="36" t="str">
        <f t="shared" si="14"/>
        <v/>
      </c>
      <c r="N145" s="37"/>
      <c r="O145" s="29"/>
      <c r="P145" s="38"/>
      <c r="Q145" s="28"/>
      <c r="R145" s="28" t="s">
        <v>2446</v>
      </c>
      <c r="S145" s="28" t="s">
        <v>21</v>
      </c>
      <c r="T145" s="28"/>
      <c r="U145" s="28" t="s">
        <v>31</v>
      </c>
    </row>
    <row r="146" spans="1:21" s="27" customFormat="1" x14ac:dyDescent="0.25">
      <c r="A146" s="28" t="s">
        <v>21</v>
      </c>
      <c r="B146" s="44" t="s">
        <v>2397</v>
      </c>
      <c r="C146" s="28" t="s">
        <v>21</v>
      </c>
      <c r="D146" s="31">
        <v>1</v>
      </c>
      <c r="E146" s="71">
        <v>41</v>
      </c>
      <c r="F146" s="45">
        <v>601</v>
      </c>
      <c r="G146" s="32">
        <v>1.86</v>
      </c>
      <c r="H146" s="32">
        <v>3.72</v>
      </c>
      <c r="I146" s="32">
        <v>3.7069999999999999</v>
      </c>
      <c r="J146" s="33">
        <f>IF(O146&lt;&gt;"",(H146-I146)/O146,"")</f>
        <v>6.5000000000001723E-3</v>
      </c>
      <c r="K146" s="34" t="str">
        <f t="shared" si="15"/>
        <v/>
      </c>
      <c r="L146" s="35">
        <f>F146/(O146*P146)</f>
        <v>7.5125000000000002</v>
      </c>
      <c r="M146" s="36" t="str">
        <f>IF(L146=0,"",IF(OR(L146&lt;7,L146&gt;7.8),"X",""))</f>
        <v/>
      </c>
      <c r="N146" s="37" t="s">
        <v>20</v>
      </c>
      <c r="O146" s="29">
        <v>2</v>
      </c>
      <c r="P146" s="38">
        <v>40</v>
      </c>
      <c r="Q146" s="28"/>
      <c r="R146" s="28" t="s">
        <v>2445</v>
      </c>
      <c r="S146" s="28" t="s">
        <v>21</v>
      </c>
      <c r="T146" s="28"/>
      <c r="U146" s="28" t="s">
        <v>31</v>
      </c>
    </row>
    <row r="147" spans="1:21" s="27" customFormat="1" x14ac:dyDescent="0.25">
      <c r="A147" s="28" t="s">
        <v>21</v>
      </c>
      <c r="B147" s="28" t="s">
        <v>21</v>
      </c>
      <c r="C147" s="28" t="s">
        <v>21</v>
      </c>
      <c r="D147" s="31">
        <v>1</v>
      </c>
      <c r="E147" s="71"/>
      <c r="F147" s="31"/>
      <c r="G147" s="32">
        <v>1.86</v>
      </c>
      <c r="H147" s="32"/>
      <c r="I147" s="32"/>
      <c r="J147" s="33"/>
      <c r="K147" s="34" t="str">
        <f t="shared" si="15"/>
        <v/>
      </c>
      <c r="L147" s="35"/>
      <c r="M147" s="36" t="str">
        <f t="shared" si="14"/>
        <v/>
      </c>
      <c r="N147" s="37"/>
      <c r="O147" s="29"/>
      <c r="P147" s="38"/>
      <c r="Q147" s="28"/>
      <c r="R147" s="28" t="s">
        <v>2447</v>
      </c>
      <c r="S147" s="28" t="s">
        <v>21</v>
      </c>
      <c r="T147" s="28"/>
      <c r="U147" s="28" t="s">
        <v>31</v>
      </c>
    </row>
    <row r="148" spans="1:21" s="27" customFormat="1" x14ac:dyDescent="0.25">
      <c r="A148" s="28" t="s">
        <v>21</v>
      </c>
      <c r="B148" s="44" t="s">
        <v>2398</v>
      </c>
      <c r="C148" s="28" t="s">
        <v>21</v>
      </c>
      <c r="D148" s="31">
        <v>1</v>
      </c>
      <c r="E148" s="71">
        <v>56</v>
      </c>
      <c r="F148" s="45">
        <v>603</v>
      </c>
      <c r="G148" s="32">
        <v>1.867</v>
      </c>
      <c r="H148" s="32">
        <v>3.7240000000000002</v>
      </c>
      <c r="I148" s="32">
        <v>3.7120000000000002</v>
      </c>
      <c r="J148" s="33">
        <f>IF(O148&lt;&gt;"",(H148-I148)/O148,"")</f>
        <v>6.0000000000000053E-3</v>
      </c>
      <c r="K148" s="34" t="str">
        <f t="shared" si="15"/>
        <v/>
      </c>
      <c r="L148" s="35">
        <f>F148/(O148*P148)</f>
        <v>7.5374999999999996</v>
      </c>
      <c r="M148" s="36" t="str">
        <f>IF(L148=0,"",IF(OR(L148&lt;7,L148&gt;7.8),"X",""))</f>
        <v/>
      </c>
      <c r="N148" s="37" t="s">
        <v>20</v>
      </c>
      <c r="O148" s="29">
        <v>2</v>
      </c>
      <c r="P148" s="38">
        <v>40</v>
      </c>
      <c r="Q148" s="28"/>
      <c r="R148" s="28" t="s">
        <v>2448</v>
      </c>
      <c r="S148" s="28" t="s">
        <v>21</v>
      </c>
      <c r="T148" s="28"/>
      <c r="U148" s="28" t="s">
        <v>31</v>
      </c>
    </row>
    <row r="149" spans="1:21" s="27" customFormat="1" x14ac:dyDescent="0.25">
      <c r="A149" s="28" t="s">
        <v>21</v>
      </c>
      <c r="B149" s="28" t="s">
        <v>21</v>
      </c>
      <c r="C149" s="28" t="s">
        <v>21</v>
      </c>
      <c r="D149" s="31">
        <v>1</v>
      </c>
      <c r="E149" s="71"/>
      <c r="F149" s="31"/>
      <c r="G149" s="32">
        <v>1.857</v>
      </c>
      <c r="H149" s="32"/>
      <c r="I149" s="32"/>
      <c r="J149" s="33"/>
      <c r="K149" s="34" t="str">
        <f t="shared" si="15"/>
        <v/>
      </c>
      <c r="L149" s="35"/>
      <c r="M149" s="36" t="str">
        <f t="shared" si="14"/>
        <v/>
      </c>
      <c r="N149" s="37"/>
      <c r="O149" s="29"/>
      <c r="P149" s="38"/>
      <c r="Q149" s="28"/>
      <c r="R149" s="28" t="s">
        <v>2449</v>
      </c>
      <c r="S149" s="28" t="s">
        <v>21</v>
      </c>
      <c r="T149" s="28"/>
      <c r="U149" s="28" t="s">
        <v>31</v>
      </c>
    </row>
    <row r="150" spans="1:21" s="27" customFormat="1" x14ac:dyDescent="0.25">
      <c r="A150" s="28" t="s">
        <v>21</v>
      </c>
      <c r="B150" s="44" t="s">
        <v>2399</v>
      </c>
      <c r="C150" s="28" t="s">
        <v>21</v>
      </c>
      <c r="D150" s="31">
        <v>1</v>
      </c>
      <c r="E150" s="71">
        <v>47</v>
      </c>
      <c r="F150" s="45">
        <v>603</v>
      </c>
      <c r="G150" s="32">
        <v>1.87</v>
      </c>
      <c r="H150" s="32">
        <v>3.7349999999999999</v>
      </c>
      <c r="I150" s="32">
        <v>3.7210000000000001</v>
      </c>
      <c r="J150" s="33">
        <f>IF(O150&lt;&gt;"",(H150-I150)/O150,"")</f>
        <v>6.9999999999998952E-3</v>
      </c>
      <c r="K150" s="34" t="str">
        <f t="shared" si="15"/>
        <v/>
      </c>
      <c r="L150" s="35">
        <f>F150/(O150*P150)</f>
        <v>7.5374999999999996</v>
      </c>
      <c r="M150" s="36" t="str">
        <f>IF(L150=0,"",IF(OR(L150&lt;7,L150&gt;7.8),"X",""))</f>
        <v/>
      </c>
      <c r="N150" s="37" t="s">
        <v>20</v>
      </c>
      <c r="O150" s="29">
        <v>2</v>
      </c>
      <c r="P150" s="38">
        <v>40</v>
      </c>
      <c r="Q150" s="28"/>
      <c r="R150" s="28" t="s">
        <v>2450</v>
      </c>
      <c r="S150" s="28" t="s">
        <v>21</v>
      </c>
      <c r="T150" s="28"/>
      <c r="U150" s="28" t="s">
        <v>31</v>
      </c>
    </row>
    <row r="151" spans="1:21" s="27" customFormat="1" x14ac:dyDescent="0.25">
      <c r="A151" s="28" t="s">
        <v>21</v>
      </c>
      <c r="B151" s="28" t="s">
        <v>21</v>
      </c>
      <c r="C151" s="28" t="s">
        <v>21</v>
      </c>
      <c r="D151" s="31">
        <v>1</v>
      </c>
      <c r="E151" s="71"/>
      <c r="F151" s="31"/>
      <c r="G151" s="32">
        <v>1.865</v>
      </c>
      <c r="H151" s="32"/>
      <c r="I151" s="32"/>
      <c r="J151" s="33"/>
      <c r="K151" s="34" t="str">
        <f t="shared" si="15"/>
        <v/>
      </c>
      <c r="L151" s="35"/>
      <c r="M151" s="36" t="str">
        <f t="shared" si="14"/>
        <v/>
      </c>
      <c r="N151" s="37"/>
      <c r="O151" s="29"/>
      <c r="P151" s="38"/>
      <c r="Q151" s="28"/>
      <c r="R151" s="28" t="s">
        <v>2452</v>
      </c>
      <c r="S151" s="28" t="s">
        <v>21</v>
      </c>
      <c r="T151" s="28"/>
      <c r="U151" s="28" t="s">
        <v>31</v>
      </c>
    </row>
    <row r="152" spans="1:21" s="27" customFormat="1" x14ac:dyDescent="0.25">
      <c r="A152" s="28" t="s">
        <v>21</v>
      </c>
      <c r="B152" s="44" t="s">
        <v>2400</v>
      </c>
      <c r="C152" s="28" t="s">
        <v>21</v>
      </c>
      <c r="D152" s="31">
        <v>1</v>
      </c>
      <c r="E152" s="71">
        <v>45</v>
      </c>
      <c r="F152" s="45">
        <v>604</v>
      </c>
      <c r="G152" s="32">
        <v>1.8680000000000001</v>
      </c>
      <c r="H152" s="32">
        <v>3.726</v>
      </c>
      <c r="I152" s="32">
        <v>3.7109999999999999</v>
      </c>
      <c r="J152" s="33">
        <f>IF(O152&lt;&gt;"",(H152-I152)/O152,"")</f>
        <v>7.5000000000000622E-3</v>
      </c>
      <c r="K152" s="34" t="str">
        <f t="shared" si="15"/>
        <v/>
      </c>
      <c r="L152" s="35">
        <f>F152/(O152*P152)</f>
        <v>7.55</v>
      </c>
      <c r="M152" s="36" t="str">
        <f>IF(L152=0,"",IF(OR(L152&lt;7,L152&gt;7.8),"X",""))</f>
        <v/>
      </c>
      <c r="N152" s="37" t="s">
        <v>20</v>
      </c>
      <c r="O152" s="29">
        <v>2</v>
      </c>
      <c r="P152" s="38">
        <v>40</v>
      </c>
      <c r="Q152" s="28"/>
      <c r="R152" s="28" t="s">
        <v>2451</v>
      </c>
      <c r="S152" s="28" t="s">
        <v>21</v>
      </c>
      <c r="T152" s="28"/>
      <c r="U152" s="28" t="s">
        <v>31</v>
      </c>
    </row>
    <row r="153" spans="1:21" s="27" customFormat="1" x14ac:dyDescent="0.25">
      <c r="A153" s="28" t="s">
        <v>21</v>
      </c>
      <c r="B153" s="28" t="s">
        <v>21</v>
      </c>
      <c r="C153" s="28" t="s">
        <v>21</v>
      </c>
      <c r="D153" s="31">
        <v>1</v>
      </c>
      <c r="E153" s="71"/>
      <c r="F153" s="31"/>
      <c r="G153" s="32">
        <v>1.857</v>
      </c>
      <c r="H153" s="32"/>
      <c r="I153" s="32"/>
      <c r="J153" s="33"/>
      <c r="K153" s="34" t="str">
        <f t="shared" si="15"/>
        <v/>
      </c>
      <c r="L153" s="35"/>
      <c r="M153" s="36" t="str">
        <f t="shared" si="14"/>
        <v/>
      </c>
      <c r="N153" s="37"/>
      <c r="O153" s="29"/>
      <c r="P153" s="38"/>
      <c r="Q153" s="28"/>
      <c r="R153" s="28" t="s">
        <v>2454</v>
      </c>
      <c r="S153" s="28" t="s">
        <v>21</v>
      </c>
      <c r="T153" s="28"/>
      <c r="U153" s="28" t="s">
        <v>31</v>
      </c>
    </row>
    <row r="154" spans="1:21" s="27" customFormat="1" x14ac:dyDescent="0.25">
      <c r="A154" s="28" t="s">
        <v>21</v>
      </c>
      <c r="B154" s="44" t="s">
        <v>2401</v>
      </c>
      <c r="C154" s="28" t="s">
        <v>21</v>
      </c>
      <c r="D154" s="31">
        <v>1</v>
      </c>
      <c r="E154" s="71">
        <v>49</v>
      </c>
      <c r="F154" s="45">
        <v>604</v>
      </c>
      <c r="G154" s="32">
        <v>1.877</v>
      </c>
      <c r="H154" s="32">
        <v>3.7469999999999999</v>
      </c>
      <c r="I154" s="32">
        <v>3.734</v>
      </c>
      <c r="J154" s="33">
        <f>IF(O154&lt;&gt;"",(H154-I154)/O154,"")</f>
        <v>6.4999999999999503E-3</v>
      </c>
      <c r="K154" s="34" t="str">
        <f t="shared" si="15"/>
        <v/>
      </c>
      <c r="L154" s="35">
        <f>F154/(O154*P154)</f>
        <v>7.55</v>
      </c>
      <c r="M154" s="36" t="str">
        <f>IF(L154=0,"",IF(OR(L154&lt;7,L154&gt;7.8),"X",""))</f>
        <v/>
      </c>
      <c r="N154" s="37" t="s">
        <v>20</v>
      </c>
      <c r="O154" s="29">
        <v>2</v>
      </c>
      <c r="P154" s="38">
        <v>40</v>
      </c>
      <c r="Q154" s="28"/>
      <c r="R154" s="28" t="s">
        <v>2455</v>
      </c>
      <c r="S154" s="28" t="s">
        <v>21</v>
      </c>
      <c r="T154" s="28"/>
      <c r="U154" s="28" t="s">
        <v>31</v>
      </c>
    </row>
    <row r="155" spans="1:21" s="27" customFormat="1" x14ac:dyDescent="0.25">
      <c r="A155" s="28" t="s">
        <v>21</v>
      </c>
      <c r="B155" s="28" t="s">
        <v>21</v>
      </c>
      <c r="C155" s="28" t="s">
        <v>21</v>
      </c>
      <c r="D155" s="31">
        <v>1</v>
      </c>
      <c r="E155" s="71"/>
      <c r="F155" s="31"/>
      <c r="G155" s="32">
        <v>1.87</v>
      </c>
      <c r="H155" s="32"/>
      <c r="I155" s="32"/>
      <c r="J155" s="33"/>
      <c r="K155" s="34" t="str">
        <f t="shared" si="15"/>
        <v/>
      </c>
      <c r="L155" s="35"/>
      <c r="M155" s="36" t="str">
        <f t="shared" si="14"/>
        <v/>
      </c>
      <c r="N155" s="37"/>
      <c r="O155" s="29"/>
      <c r="P155" s="38"/>
      <c r="Q155" s="28"/>
      <c r="R155" s="28" t="s">
        <v>2453</v>
      </c>
      <c r="S155" s="28" t="s">
        <v>21</v>
      </c>
      <c r="T155" s="28"/>
      <c r="U155" s="28" t="s">
        <v>31</v>
      </c>
    </row>
    <row r="156" spans="1:21" s="27" customFormat="1" x14ac:dyDescent="0.25">
      <c r="A156" s="28" t="s">
        <v>21</v>
      </c>
      <c r="B156" s="44" t="s">
        <v>2402</v>
      </c>
      <c r="C156" s="28" t="s">
        <v>21</v>
      </c>
      <c r="D156" s="31">
        <v>1</v>
      </c>
      <c r="E156" s="73">
        <v>37</v>
      </c>
      <c r="F156" s="45">
        <v>604</v>
      </c>
      <c r="G156" s="32">
        <v>1.831</v>
      </c>
      <c r="H156" s="32">
        <v>3.661</v>
      </c>
      <c r="I156" s="32">
        <v>3.6480000000000001</v>
      </c>
      <c r="J156" s="33">
        <f>IF(O156&lt;&gt;"",(H156-I156)/O156,"")</f>
        <v>6.4999999999999503E-3</v>
      </c>
      <c r="K156" s="34" t="str">
        <f t="shared" si="15"/>
        <v/>
      </c>
      <c r="L156" s="35">
        <f>F156/(O156*P156)</f>
        <v>7.55</v>
      </c>
      <c r="M156" s="36" t="str">
        <f>IF(L156=0,"",IF(OR(L156&lt;7,L156&gt;7.8),"X",""))</f>
        <v/>
      </c>
      <c r="N156" s="37" t="s">
        <v>20</v>
      </c>
      <c r="O156" s="29">
        <v>2</v>
      </c>
      <c r="P156" s="38">
        <v>40</v>
      </c>
      <c r="Q156" s="28"/>
      <c r="R156" s="28" t="s">
        <v>2456</v>
      </c>
      <c r="S156" s="28"/>
      <c r="T156" s="28"/>
      <c r="U156" s="28" t="s">
        <v>31</v>
      </c>
    </row>
    <row r="157" spans="1:21" s="27" customFormat="1" x14ac:dyDescent="0.25">
      <c r="A157" s="28" t="s">
        <v>21</v>
      </c>
      <c r="B157" s="28" t="s">
        <v>21</v>
      </c>
      <c r="C157" s="28" t="s">
        <v>21</v>
      </c>
      <c r="D157" s="31">
        <v>1</v>
      </c>
      <c r="E157" s="73"/>
      <c r="F157" s="31"/>
      <c r="G157" s="32">
        <v>1.83</v>
      </c>
      <c r="H157" s="32"/>
      <c r="I157" s="32"/>
      <c r="J157" s="33"/>
      <c r="K157" s="34" t="str">
        <f t="shared" si="15"/>
        <v/>
      </c>
      <c r="L157" s="35"/>
      <c r="M157" s="36" t="str">
        <f t="shared" si="14"/>
        <v/>
      </c>
      <c r="N157" s="37"/>
      <c r="O157" s="29"/>
      <c r="P157" s="38"/>
      <c r="Q157" s="28"/>
      <c r="R157" s="28" t="s">
        <v>2457</v>
      </c>
      <c r="S157" s="28"/>
      <c r="T157" s="28"/>
      <c r="U157" s="28" t="s">
        <v>31</v>
      </c>
    </row>
    <row r="158" spans="1:21" s="27" customFormat="1" x14ac:dyDescent="0.25">
      <c r="A158" s="28" t="s">
        <v>21</v>
      </c>
      <c r="B158" s="44" t="s">
        <v>2403</v>
      </c>
      <c r="C158" s="28" t="s">
        <v>21</v>
      </c>
      <c r="D158" s="31">
        <v>1</v>
      </c>
      <c r="E158" s="73">
        <v>27</v>
      </c>
      <c r="F158" s="45">
        <v>605</v>
      </c>
      <c r="G158" s="32">
        <v>1.837</v>
      </c>
      <c r="H158" s="32">
        <v>3.669</v>
      </c>
      <c r="I158" s="32">
        <v>3.6539999999999999</v>
      </c>
      <c r="J158" s="33">
        <f>IF(O158&lt;&gt;"",(H158-I158)/O158,"")</f>
        <v>7.5000000000000622E-3</v>
      </c>
      <c r="K158" s="34" t="str">
        <f t="shared" si="15"/>
        <v/>
      </c>
      <c r="L158" s="35">
        <f>F158/(O158*P158)</f>
        <v>7.5625</v>
      </c>
      <c r="M158" s="36" t="str">
        <f>IF(L158=0,"",IF(OR(L158&lt;7,L158&gt;7.8),"X",""))</f>
        <v/>
      </c>
      <c r="N158" s="37" t="s">
        <v>20</v>
      </c>
      <c r="O158" s="29">
        <v>2</v>
      </c>
      <c r="P158" s="38">
        <v>40</v>
      </c>
      <c r="Q158" s="28"/>
      <c r="R158" s="28" t="s">
        <v>2458</v>
      </c>
      <c r="S158" s="47"/>
      <c r="T158" s="28"/>
      <c r="U158" s="28" t="s">
        <v>31</v>
      </c>
    </row>
    <row r="159" spans="1:21" s="27" customFormat="1" x14ac:dyDescent="0.25">
      <c r="A159" s="28" t="s">
        <v>21</v>
      </c>
      <c r="B159" s="28" t="s">
        <v>21</v>
      </c>
      <c r="C159" s="28" t="s">
        <v>21</v>
      </c>
      <c r="D159" s="31">
        <v>1</v>
      </c>
      <c r="E159" s="73"/>
      <c r="F159" s="31"/>
      <c r="G159" s="32">
        <v>1.833</v>
      </c>
      <c r="H159" s="32"/>
      <c r="I159" s="32"/>
      <c r="J159" s="33"/>
      <c r="K159" s="34" t="str">
        <f t="shared" si="15"/>
        <v/>
      </c>
      <c r="L159" s="35"/>
      <c r="M159" s="36" t="str">
        <f t="shared" si="14"/>
        <v/>
      </c>
      <c r="N159" s="37"/>
      <c r="O159" s="29"/>
      <c r="P159" s="38"/>
      <c r="Q159" s="28"/>
      <c r="R159" s="28" t="s">
        <v>2459</v>
      </c>
      <c r="S159" s="47"/>
      <c r="T159" s="28"/>
      <c r="U159" s="28" t="s">
        <v>31</v>
      </c>
    </row>
    <row r="160" spans="1:21" s="27" customFormat="1" x14ac:dyDescent="0.25">
      <c r="A160" s="28" t="s">
        <v>21</v>
      </c>
      <c r="B160" s="44" t="s">
        <v>2404</v>
      </c>
      <c r="C160" s="28" t="s">
        <v>21</v>
      </c>
      <c r="D160" s="31">
        <v>1</v>
      </c>
      <c r="E160" s="73">
        <v>24</v>
      </c>
      <c r="F160" s="45">
        <v>605</v>
      </c>
      <c r="G160" s="32">
        <v>1.8380000000000001</v>
      </c>
      <c r="H160" s="32">
        <v>3.6789999999999998</v>
      </c>
      <c r="I160" s="32">
        <v>3.6659999999999999</v>
      </c>
      <c r="J160" s="33">
        <f>IF(O160&lt;&gt;"",(H160-I160)/O160,"")</f>
        <v>6.4999999999999503E-3</v>
      </c>
      <c r="K160" s="34" t="str">
        <f t="shared" si="15"/>
        <v/>
      </c>
      <c r="L160" s="35">
        <f>F160/(O160*P160)</f>
        <v>7.5625</v>
      </c>
      <c r="M160" s="36" t="str">
        <f>IF(L160=0,"",IF(OR(L160&lt;7,L160&gt;7.8),"X",""))</f>
        <v/>
      </c>
      <c r="N160" s="37" t="s">
        <v>20</v>
      </c>
      <c r="O160" s="29">
        <v>2</v>
      </c>
      <c r="P160" s="38">
        <v>40</v>
      </c>
      <c r="Q160" s="28"/>
      <c r="R160" s="28" t="s">
        <v>2460</v>
      </c>
      <c r="S160" s="47"/>
      <c r="T160" s="28"/>
      <c r="U160" s="28" t="s">
        <v>31</v>
      </c>
    </row>
    <row r="161" spans="1:21" s="27" customFormat="1" x14ac:dyDescent="0.25">
      <c r="A161" s="28" t="s">
        <v>21</v>
      </c>
      <c r="B161" s="28" t="s">
        <v>21</v>
      </c>
      <c r="C161" s="28">
        <v>698356</v>
      </c>
      <c r="D161" s="31">
        <v>1</v>
      </c>
      <c r="E161" s="73"/>
      <c r="F161" s="31"/>
      <c r="G161" s="32">
        <v>1.84</v>
      </c>
      <c r="H161" s="32"/>
      <c r="I161" s="32"/>
      <c r="J161" s="33"/>
      <c r="K161" s="34" t="str">
        <f t="shared" si="15"/>
        <v/>
      </c>
      <c r="L161" s="35"/>
      <c r="M161" s="36" t="str">
        <f t="shared" si="14"/>
        <v/>
      </c>
      <c r="N161" s="37"/>
      <c r="O161" s="29"/>
      <c r="P161" s="38"/>
      <c r="Q161" s="28"/>
      <c r="R161" s="28" t="s">
        <v>2461</v>
      </c>
      <c r="S161" s="47"/>
      <c r="T161" s="28"/>
      <c r="U161" s="28" t="s">
        <v>31</v>
      </c>
    </row>
    <row r="162" spans="1:21" s="27" customFormat="1" x14ac:dyDescent="0.25">
      <c r="A162" s="28" t="s">
        <v>2419</v>
      </c>
      <c r="B162" s="44" t="s">
        <v>2420</v>
      </c>
      <c r="C162" s="28">
        <v>698356</v>
      </c>
      <c r="D162" s="31">
        <v>1</v>
      </c>
      <c r="E162" s="71">
        <v>54</v>
      </c>
      <c r="F162" s="45">
        <v>300</v>
      </c>
      <c r="G162" s="32"/>
      <c r="H162" s="32">
        <v>1.871</v>
      </c>
      <c r="I162" s="32">
        <v>1.863</v>
      </c>
      <c r="J162" s="33">
        <f t="shared" ref="J162:J169" si="16">IF(O162&lt;&gt;"",(H162-I162)/O162,"")</f>
        <v>8.0000000000000071E-3</v>
      </c>
      <c r="K162" s="34" t="str">
        <f t="shared" si="15"/>
        <v/>
      </c>
      <c r="L162" s="35">
        <f t="shared" ref="L162:L169" si="17">F162/(O162*P162)</f>
        <v>7.5</v>
      </c>
      <c r="M162" s="36" t="str">
        <f t="shared" ref="M162:M169" si="18">IF(L162=0,"",IF(OR(L162&lt;7,L162&gt;7.8),"X",""))</f>
        <v/>
      </c>
      <c r="N162" s="37" t="s">
        <v>18</v>
      </c>
      <c r="O162" s="29">
        <v>1</v>
      </c>
      <c r="P162" s="38">
        <v>40</v>
      </c>
      <c r="Q162" s="46" t="s">
        <v>1454</v>
      </c>
      <c r="R162" s="28" t="s">
        <v>2428</v>
      </c>
      <c r="S162" s="71" t="s">
        <v>103</v>
      </c>
      <c r="T162" s="46"/>
      <c r="U162" s="28" t="s">
        <v>31</v>
      </c>
    </row>
    <row r="163" spans="1:21" s="27" customFormat="1" x14ac:dyDescent="0.25">
      <c r="A163" s="28" t="s">
        <v>21</v>
      </c>
      <c r="B163" s="44" t="s">
        <v>2421</v>
      </c>
      <c r="C163" s="28" t="s">
        <v>21</v>
      </c>
      <c r="D163" s="31">
        <v>1</v>
      </c>
      <c r="E163" s="71">
        <v>62</v>
      </c>
      <c r="F163" s="45">
        <v>299</v>
      </c>
      <c r="G163" s="32"/>
      <c r="H163" s="32">
        <v>1.887</v>
      </c>
      <c r="I163" s="32">
        <v>1.881</v>
      </c>
      <c r="J163" s="33">
        <f t="shared" si="16"/>
        <v>6.0000000000000053E-3</v>
      </c>
      <c r="K163" s="34" t="str">
        <f t="shared" si="15"/>
        <v/>
      </c>
      <c r="L163" s="35">
        <f t="shared" si="17"/>
        <v>7.4749999999999996</v>
      </c>
      <c r="M163" s="36" t="str">
        <f t="shared" si="18"/>
        <v/>
      </c>
      <c r="N163" s="37" t="s">
        <v>18</v>
      </c>
      <c r="O163" s="29">
        <v>1</v>
      </c>
      <c r="P163" s="38">
        <v>40</v>
      </c>
      <c r="Q163" s="46" t="s">
        <v>1454</v>
      </c>
      <c r="R163" s="28" t="s">
        <v>2429</v>
      </c>
      <c r="S163" s="71" t="s">
        <v>59</v>
      </c>
      <c r="T163" s="46"/>
      <c r="U163" s="28" t="s">
        <v>31</v>
      </c>
    </row>
    <row r="164" spans="1:21" s="27" customFormat="1" x14ac:dyDescent="0.25">
      <c r="A164" s="28" t="s">
        <v>21</v>
      </c>
      <c r="B164" s="44" t="s">
        <v>2422</v>
      </c>
      <c r="C164" s="28" t="s">
        <v>21</v>
      </c>
      <c r="D164" s="31">
        <v>1</v>
      </c>
      <c r="E164" s="71">
        <v>36</v>
      </c>
      <c r="F164" s="45">
        <v>302</v>
      </c>
      <c r="G164" s="32"/>
      <c r="H164" s="32">
        <v>1.863</v>
      </c>
      <c r="I164" s="32">
        <v>1.853</v>
      </c>
      <c r="J164" s="33">
        <f t="shared" si="16"/>
        <v>1.0000000000000009E-2</v>
      </c>
      <c r="K164" s="34" t="str">
        <f t="shared" si="15"/>
        <v/>
      </c>
      <c r="L164" s="35">
        <f t="shared" si="17"/>
        <v>7.55</v>
      </c>
      <c r="M164" s="36" t="str">
        <f t="shared" si="18"/>
        <v/>
      </c>
      <c r="N164" s="37" t="s">
        <v>18</v>
      </c>
      <c r="O164" s="29">
        <v>1</v>
      </c>
      <c r="P164" s="38">
        <v>40</v>
      </c>
      <c r="Q164" s="46" t="s">
        <v>1454</v>
      </c>
      <c r="R164" s="28" t="s">
        <v>2430</v>
      </c>
      <c r="S164" s="28" t="s">
        <v>21</v>
      </c>
      <c r="T164" s="46"/>
      <c r="U164" s="28" t="s">
        <v>31</v>
      </c>
    </row>
    <row r="165" spans="1:21" s="27" customFormat="1" x14ac:dyDescent="0.25">
      <c r="A165" s="28" t="s">
        <v>21</v>
      </c>
      <c r="B165" s="44" t="s">
        <v>2423</v>
      </c>
      <c r="C165" s="28" t="s">
        <v>21</v>
      </c>
      <c r="D165" s="31">
        <v>1</v>
      </c>
      <c r="E165" s="71">
        <v>45</v>
      </c>
      <c r="F165" s="45">
        <v>301</v>
      </c>
      <c r="G165" s="32"/>
      <c r="H165" s="32">
        <v>1.8660000000000001</v>
      </c>
      <c r="I165" s="32">
        <v>1.857</v>
      </c>
      <c r="J165" s="33">
        <f t="shared" si="16"/>
        <v>9.000000000000119E-3</v>
      </c>
      <c r="K165" s="34" t="str">
        <f t="shared" si="15"/>
        <v/>
      </c>
      <c r="L165" s="35">
        <f t="shared" si="17"/>
        <v>7.5250000000000004</v>
      </c>
      <c r="M165" s="36" t="str">
        <f t="shared" si="18"/>
        <v/>
      </c>
      <c r="N165" s="37" t="s">
        <v>18</v>
      </c>
      <c r="O165" s="29">
        <v>1</v>
      </c>
      <c r="P165" s="38">
        <v>40</v>
      </c>
      <c r="Q165" s="46"/>
      <c r="R165" s="28" t="s">
        <v>2431</v>
      </c>
      <c r="S165" s="28" t="s">
        <v>21</v>
      </c>
      <c r="T165" s="46"/>
      <c r="U165" s="28" t="s">
        <v>31</v>
      </c>
    </row>
    <row r="166" spans="1:21" s="27" customFormat="1" x14ac:dyDescent="0.25">
      <c r="A166" s="28" t="s">
        <v>21</v>
      </c>
      <c r="B166" s="44" t="s">
        <v>2424</v>
      </c>
      <c r="C166" s="28" t="s">
        <v>21</v>
      </c>
      <c r="D166" s="31">
        <v>1</v>
      </c>
      <c r="E166" s="71">
        <v>54</v>
      </c>
      <c r="F166" s="45">
        <v>300</v>
      </c>
      <c r="G166" s="32"/>
      <c r="H166" s="32">
        <v>1.877</v>
      </c>
      <c r="I166" s="32">
        <v>1.87</v>
      </c>
      <c r="J166" s="33">
        <f t="shared" si="16"/>
        <v>6.9999999999998952E-3</v>
      </c>
      <c r="K166" s="34" t="str">
        <f t="shared" si="15"/>
        <v/>
      </c>
      <c r="L166" s="35">
        <f t="shared" si="17"/>
        <v>7.5</v>
      </c>
      <c r="M166" s="36" t="str">
        <f t="shared" si="18"/>
        <v/>
      </c>
      <c r="N166" s="37" t="s">
        <v>18</v>
      </c>
      <c r="O166" s="29">
        <v>1</v>
      </c>
      <c r="P166" s="38">
        <v>40</v>
      </c>
      <c r="Q166" s="46"/>
      <c r="R166" s="28" t="s">
        <v>2432</v>
      </c>
      <c r="S166" s="28" t="s">
        <v>21</v>
      </c>
      <c r="T166" s="46"/>
      <c r="U166" s="28" t="s">
        <v>31</v>
      </c>
    </row>
    <row r="167" spans="1:21" s="27" customFormat="1" x14ac:dyDescent="0.25">
      <c r="A167" s="28" t="s">
        <v>21</v>
      </c>
      <c r="B167" s="44" t="s">
        <v>2425</v>
      </c>
      <c r="C167" s="28" t="s">
        <v>21</v>
      </c>
      <c r="D167" s="31">
        <v>1</v>
      </c>
      <c r="E167" s="71">
        <v>52</v>
      </c>
      <c r="F167" s="45">
        <v>301</v>
      </c>
      <c r="G167" s="32"/>
      <c r="H167" s="32">
        <v>1.8959999999999999</v>
      </c>
      <c r="I167" s="32">
        <v>1.8879999999999999</v>
      </c>
      <c r="J167" s="33">
        <f t="shared" si="16"/>
        <v>8.0000000000000071E-3</v>
      </c>
      <c r="K167" s="34" t="str">
        <f t="shared" si="15"/>
        <v/>
      </c>
      <c r="L167" s="35">
        <f t="shared" si="17"/>
        <v>7.5250000000000004</v>
      </c>
      <c r="M167" s="36" t="str">
        <f t="shared" si="18"/>
        <v/>
      </c>
      <c r="N167" s="37" t="s">
        <v>18</v>
      </c>
      <c r="O167" s="29">
        <v>1</v>
      </c>
      <c r="P167" s="38">
        <v>40</v>
      </c>
      <c r="Q167" s="46"/>
      <c r="R167" s="28" t="s">
        <v>2433</v>
      </c>
      <c r="S167" s="71" t="s">
        <v>58</v>
      </c>
      <c r="T167" s="46"/>
      <c r="U167" s="28" t="s">
        <v>31</v>
      </c>
    </row>
    <row r="168" spans="1:21" s="27" customFormat="1" x14ac:dyDescent="0.25">
      <c r="A168" s="28" t="s">
        <v>21</v>
      </c>
      <c r="B168" s="44" t="s">
        <v>2426</v>
      </c>
      <c r="C168" s="28" t="s">
        <v>21</v>
      </c>
      <c r="D168" s="31">
        <v>1</v>
      </c>
      <c r="E168" s="71">
        <v>52</v>
      </c>
      <c r="F168" s="45">
        <v>300</v>
      </c>
      <c r="G168" s="32"/>
      <c r="H168" s="32">
        <v>1.8879999999999999</v>
      </c>
      <c r="I168" s="32">
        <v>1.881</v>
      </c>
      <c r="J168" s="33">
        <f t="shared" si="16"/>
        <v>6.9999999999998952E-3</v>
      </c>
      <c r="K168" s="34" t="str">
        <f t="shared" si="15"/>
        <v/>
      </c>
      <c r="L168" s="35">
        <f t="shared" si="17"/>
        <v>7.5</v>
      </c>
      <c r="M168" s="36" t="str">
        <f t="shared" si="18"/>
        <v/>
      </c>
      <c r="N168" s="37" t="s">
        <v>18</v>
      </c>
      <c r="O168" s="29">
        <v>1</v>
      </c>
      <c r="P168" s="38">
        <v>40</v>
      </c>
      <c r="Q168" s="46"/>
      <c r="R168" s="28" t="s">
        <v>2435</v>
      </c>
      <c r="S168" s="71" t="s">
        <v>59</v>
      </c>
      <c r="T168" s="46"/>
      <c r="U168" s="28" t="s">
        <v>31</v>
      </c>
    </row>
    <row r="169" spans="1:21" s="27" customFormat="1" x14ac:dyDescent="0.25">
      <c r="A169" s="28" t="s">
        <v>21</v>
      </c>
      <c r="B169" s="44" t="s">
        <v>2427</v>
      </c>
      <c r="C169" s="28" t="s">
        <v>21</v>
      </c>
      <c r="D169" s="31">
        <v>1</v>
      </c>
      <c r="E169" s="71">
        <v>58</v>
      </c>
      <c r="F169" s="45">
        <v>302</v>
      </c>
      <c r="G169" s="32"/>
      <c r="H169" s="32">
        <v>1.8839999999999999</v>
      </c>
      <c r="I169" s="32">
        <v>1.8779999999999999</v>
      </c>
      <c r="J169" s="33">
        <f t="shared" si="16"/>
        <v>6.0000000000000053E-3</v>
      </c>
      <c r="K169" s="34" t="str">
        <f t="shared" si="15"/>
        <v/>
      </c>
      <c r="L169" s="35">
        <f t="shared" si="17"/>
        <v>7.55</v>
      </c>
      <c r="M169" s="36" t="str">
        <f t="shared" si="18"/>
        <v/>
      </c>
      <c r="N169" s="37" t="s">
        <v>18</v>
      </c>
      <c r="O169" s="29">
        <v>1</v>
      </c>
      <c r="P169" s="38">
        <v>40</v>
      </c>
      <c r="Q169" s="46"/>
      <c r="R169" s="28" t="s">
        <v>2434</v>
      </c>
      <c r="S169" s="28" t="s">
        <v>21</v>
      </c>
      <c r="T169" s="46"/>
      <c r="U169" s="28" t="s">
        <v>31</v>
      </c>
    </row>
    <row r="170" spans="1:21" s="27" customFormat="1" x14ac:dyDescent="0.25">
      <c r="A170" s="28" t="s">
        <v>2462</v>
      </c>
      <c r="B170" s="28" t="s">
        <v>2463</v>
      </c>
      <c r="C170" s="28">
        <v>698227</v>
      </c>
      <c r="D170" s="31">
        <v>1</v>
      </c>
      <c r="E170" s="71">
        <v>45</v>
      </c>
      <c r="F170" s="31">
        <v>187</v>
      </c>
      <c r="G170" s="32"/>
      <c r="H170" s="32">
        <v>1.8540000000000001</v>
      </c>
      <c r="I170" s="32">
        <v>1.8460000000000001</v>
      </c>
      <c r="J170" s="33">
        <f t="shared" ref="J170:J184" si="19">IF(O170&lt;&gt;"",(H170-I170)/O170,"")</f>
        <v>8.0000000000000071E-3</v>
      </c>
      <c r="K170" s="34" t="str">
        <f t="shared" si="15"/>
        <v/>
      </c>
      <c r="L170" s="35">
        <f t="shared" ref="L170:L184" si="20">F170/(O170*P170)</f>
        <v>7.48</v>
      </c>
      <c r="M170" s="36" t="str">
        <f t="shared" ref="M170:M184" si="21">IF(L170=0,"",IF(OR(L170&lt;7,L170&gt;7.8),"X",""))</f>
        <v/>
      </c>
      <c r="N170" s="37" t="s">
        <v>16</v>
      </c>
      <c r="O170" s="29">
        <v>1</v>
      </c>
      <c r="P170" s="38">
        <v>25</v>
      </c>
      <c r="Q170" s="28"/>
      <c r="R170" s="28" t="s">
        <v>2478</v>
      </c>
      <c r="S170" s="71" t="s">
        <v>58</v>
      </c>
      <c r="T170" s="28"/>
      <c r="U170" s="28" t="s">
        <v>135</v>
      </c>
    </row>
    <row r="171" spans="1:21" s="27" customFormat="1" x14ac:dyDescent="0.25">
      <c r="A171" s="28" t="s">
        <v>21</v>
      </c>
      <c r="B171" s="28" t="s">
        <v>2464</v>
      </c>
      <c r="C171" s="28" t="s">
        <v>21</v>
      </c>
      <c r="D171" s="31">
        <v>1</v>
      </c>
      <c r="E171" s="71">
        <v>47</v>
      </c>
      <c r="F171" s="31">
        <v>187</v>
      </c>
      <c r="G171" s="32"/>
      <c r="H171" s="32">
        <v>1.8520000000000001</v>
      </c>
      <c r="I171" s="32">
        <v>1.8440000000000001</v>
      </c>
      <c r="J171" s="33">
        <f t="shared" si="19"/>
        <v>8.0000000000000071E-3</v>
      </c>
      <c r="K171" s="34" t="str">
        <f t="shared" si="15"/>
        <v/>
      </c>
      <c r="L171" s="35">
        <f t="shared" si="20"/>
        <v>7.48</v>
      </c>
      <c r="M171" s="36" t="str">
        <f t="shared" si="21"/>
        <v/>
      </c>
      <c r="N171" s="37" t="s">
        <v>16</v>
      </c>
      <c r="O171" s="29">
        <v>1</v>
      </c>
      <c r="P171" s="38">
        <v>25</v>
      </c>
      <c r="Q171" s="28"/>
      <c r="R171" s="28" t="s">
        <v>2479</v>
      </c>
      <c r="S171" s="71" t="s">
        <v>59</v>
      </c>
      <c r="T171" s="28"/>
      <c r="U171" s="28" t="s">
        <v>135</v>
      </c>
    </row>
    <row r="172" spans="1:21" s="27" customFormat="1" x14ac:dyDescent="0.25">
      <c r="A172" s="28" t="s">
        <v>21</v>
      </c>
      <c r="B172" s="28" t="s">
        <v>2465</v>
      </c>
      <c r="C172" s="28" t="s">
        <v>21</v>
      </c>
      <c r="D172" s="31">
        <v>1</v>
      </c>
      <c r="E172" s="71">
        <v>44</v>
      </c>
      <c r="F172" s="31">
        <v>186</v>
      </c>
      <c r="G172" s="32"/>
      <c r="H172" s="32">
        <v>1.8520000000000001</v>
      </c>
      <c r="I172" s="32">
        <v>1.8440000000000001</v>
      </c>
      <c r="J172" s="33">
        <f t="shared" si="19"/>
        <v>8.0000000000000071E-3</v>
      </c>
      <c r="K172" s="34" t="str">
        <f t="shared" si="15"/>
        <v/>
      </c>
      <c r="L172" s="35">
        <f t="shared" si="20"/>
        <v>7.44</v>
      </c>
      <c r="M172" s="36" t="str">
        <f t="shared" si="21"/>
        <v/>
      </c>
      <c r="N172" s="37" t="s">
        <v>16</v>
      </c>
      <c r="O172" s="29">
        <v>1</v>
      </c>
      <c r="P172" s="38">
        <v>25</v>
      </c>
      <c r="Q172" s="28"/>
      <c r="R172" s="28" t="s">
        <v>2480</v>
      </c>
      <c r="S172" s="28" t="s">
        <v>21</v>
      </c>
      <c r="T172" s="28"/>
      <c r="U172" s="28" t="s">
        <v>135</v>
      </c>
    </row>
    <row r="173" spans="1:21" s="27" customFormat="1" x14ac:dyDescent="0.25">
      <c r="A173" s="28" t="s">
        <v>21</v>
      </c>
      <c r="B173" s="28" t="s">
        <v>2466</v>
      </c>
      <c r="C173" s="28" t="s">
        <v>21</v>
      </c>
      <c r="D173" s="31">
        <v>1</v>
      </c>
      <c r="E173" s="71">
        <v>46</v>
      </c>
      <c r="F173" s="31">
        <v>186</v>
      </c>
      <c r="G173" s="32"/>
      <c r="H173" s="32">
        <v>1.8560000000000001</v>
      </c>
      <c r="I173" s="32">
        <v>1.8480000000000001</v>
      </c>
      <c r="J173" s="33">
        <f t="shared" si="19"/>
        <v>8.0000000000000071E-3</v>
      </c>
      <c r="K173" s="34" t="str">
        <f t="shared" si="15"/>
        <v/>
      </c>
      <c r="L173" s="35">
        <f t="shared" si="20"/>
        <v>7.44</v>
      </c>
      <c r="M173" s="36" t="str">
        <f t="shared" si="21"/>
        <v/>
      </c>
      <c r="N173" s="37" t="s">
        <v>16</v>
      </c>
      <c r="O173" s="29">
        <v>1</v>
      </c>
      <c r="P173" s="38">
        <v>25</v>
      </c>
      <c r="Q173" s="28"/>
      <c r="R173" s="28" t="s">
        <v>2481</v>
      </c>
      <c r="S173" s="28" t="s">
        <v>21</v>
      </c>
      <c r="T173" s="28"/>
      <c r="U173" s="28" t="s">
        <v>135</v>
      </c>
    </row>
    <row r="174" spans="1:21" s="27" customFormat="1" x14ac:dyDescent="0.25">
      <c r="A174" s="28" t="s">
        <v>21</v>
      </c>
      <c r="B174" s="28" t="s">
        <v>2467</v>
      </c>
      <c r="C174" s="28" t="s">
        <v>21</v>
      </c>
      <c r="D174" s="31">
        <v>1</v>
      </c>
      <c r="E174" s="71">
        <v>13</v>
      </c>
      <c r="F174" s="31">
        <v>185</v>
      </c>
      <c r="G174" s="32"/>
      <c r="H174" s="32">
        <v>1.855</v>
      </c>
      <c r="I174" s="32">
        <v>1.849</v>
      </c>
      <c r="J174" s="33">
        <f t="shared" si="19"/>
        <v>6.0000000000000053E-3</v>
      </c>
      <c r="K174" s="34" t="str">
        <f t="shared" si="15"/>
        <v/>
      </c>
      <c r="L174" s="35">
        <f t="shared" si="20"/>
        <v>7.4</v>
      </c>
      <c r="M174" s="36" t="str">
        <f t="shared" si="21"/>
        <v/>
      </c>
      <c r="N174" s="37" t="s">
        <v>16</v>
      </c>
      <c r="O174" s="29">
        <v>1</v>
      </c>
      <c r="P174" s="38">
        <v>25</v>
      </c>
      <c r="Q174" s="28"/>
      <c r="R174" s="28" t="s">
        <v>2482</v>
      </c>
      <c r="S174" s="28" t="s">
        <v>21</v>
      </c>
      <c r="T174" s="28"/>
      <c r="U174" s="28" t="s">
        <v>135</v>
      </c>
    </row>
    <row r="175" spans="1:21" s="27" customFormat="1" x14ac:dyDescent="0.25">
      <c r="A175" s="28" t="s">
        <v>21</v>
      </c>
      <c r="B175" s="28" t="s">
        <v>2468</v>
      </c>
      <c r="C175" s="28" t="s">
        <v>21</v>
      </c>
      <c r="D175" s="31">
        <v>1</v>
      </c>
      <c r="E175" s="71">
        <v>51</v>
      </c>
      <c r="F175" s="31">
        <v>186</v>
      </c>
      <c r="G175" s="32"/>
      <c r="H175" s="32">
        <v>1.8720000000000001</v>
      </c>
      <c r="I175" s="32">
        <v>1.865</v>
      </c>
      <c r="J175" s="33">
        <f t="shared" si="19"/>
        <v>7.0000000000001172E-3</v>
      </c>
      <c r="K175" s="34" t="str">
        <f t="shared" si="15"/>
        <v/>
      </c>
      <c r="L175" s="35">
        <f t="shared" si="20"/>
        <v>7.44</v>
      </c>
      <c r="M175" s="36" t="str">
        <f t="shared" si="21"/>
        <v/>
      </c>
      <c r="N175" s="37" t="s">
        <v>16</v>
      </c>
      <c r="O175" s="29">
        <v>1</v>
      </c>
      <c r="P175" s="38">
        <v>25</v>
      </c>
      <c r="Q175" s="28"/>
      <c r="R175" s="28" t="s">
        <v>2483</v>
      </c>
      <c r="S175" s="71" t="s">
        <v>103</v>
      </c>
      <c r="T175" s="28"/>
      <c r="U175" s="28" t="s">
        <v>135</v>
      </c>
    </row>
    <row r="176" spans="1:21" s="27" customFormat="1" x14ac:dyDescent="0.25">
      <c r="A176" s="28" t="s">
        <v>21</v>
      </c>
      <c r="B176" s="28" t="s">
        <v>2469</v>
      </c>
      <c r="C176" s="28" t="s">
        <v>21</v>
      </c>
      <c r="D176" s="31">
        <v>1</v>
      </c>
      <c r="E176" s="71">
        <v>60</v>
      </c>
      <c r="F176" s="31">
        <v>186</v>
      </c>
      <c r="G176" s="32"/>
      <c r="H176" s="32">
        <v>1.869</v>
      </c>
      <c r="I176" s="32">
        <v>1.8640000000000001</v>
      </c>
      <c r="J176" s="33">
        <f t="shared" si="19"/>
        <v>4.9999999999998934E-3</v>
      </c>
      <c r="K176" s="34" t="str">
        <f t="shared" si="15"/>
        <v/>
      </c>
      <c r="L176" s="35">
        <f t="shared" si="20"/>
        <v>7.44</v>
      </c>
      <c r="M176" s="36" t="str">
        <f t="shared" si="21"/>
        <v/>
      </c>
      <c r="N176" s="37" t="s">
        <v>16</v>
      </c>
      <c r="O176" s="29">
        <v>1</v>
      </c>
      <c r="P176" s="38">
        <v>25</v>
      </c>
      <c r="Q176" s="28"/>
      <c r="R176" s="28" t="s">
        <v>2484</v>
      </c>
      <c r="S176" s="71" t="s">
        <v>59</v>
      </c>
      <c r="T176" s="28"/>
      <c r="U176" s="28" t="s">
        <v>135</v>
      </c>
    </row>
    <row r="177" spans="1:21" s="27" customFormat="1" x14ac:dyDescent="0.25">
      <c r="A177" s="28" t="s">
        <v>21</v>
      </c>
      <c r="B177" s="28" t="s">
        <v>2470</v>
      </c>
      <c r="C177" s="28" t="s">
        <v>21</v>
      </c>
      <c r="D177" s="31">
        <v>1</v>
      </c>
      <c r="E177" s="71">
        <v>45</v>
      </c>
      <c r="F177" s="31">
        <v>187</v>
      </c>
      <c r="G177" s="32"/>
      <c r="H177" s="32">
        <v>1.879</v>
      </c>
      <c r="I177" s="32">
        <v>1.8720000000000001</v>
      </c>
      <c r="J177" s="33">
        <f t="shared" si="19"/>
        <v>6.9999999999998952E-3</v>
      </c>
      <c r="K177" s="34" t="str">
        <f t="shared" si="15"/>
        <v/>
      </c>
      <c r="L177" s="35">
        <f t="shared" si="20"/>
        <v>7.48</v>
      </c>
      <c r="M177" s="36" t="str">
        <f t="shared" si="21"/>
        <v/>
      </c>
      <c r="N177" s="37" t="s">
        <v>16</v>
      </c>
      <c r="O177" s="29">
        <v>1</v>
      </c>
      <c r="P177" s="38">
        <v>25</v>
      </c>
      <c r="Q177" s="28"/>
      <c r="R177" s="28" t="s">
        <v>2486</v>
      </c>
      <c r="S177" s="28" t="s">
        <v>21</v>
      </c>
      <c r="T177" s="28"/>
      <c r="U177" s="28" t="s">
        <v>135</v>
      </c>
    </row>
    <row r="178" spans="1:21" s="27" customFormat="1" x14ac:dyDescent="0.25">
      <c r="A178" s="28" t="s">
        <v>21</v>
      </c>
      <c r="B178" s="28" t="s">
        <v>2471</v>
      </c>
      <c r="C178" s="28" t="s">
        <v>21</v>
      </c>
      <c r="D178" s="31">
        <v>1</v>
      </c>
      <c r="E178" s="71">
        <v>53</v>
      </c>
      <c r="F178" s="31">
        <v>186</v>
      </c>
      <c r="G178" s="32"/>
      <c r="H178" s="32">
        <v>1.8759999999999999</v>
      </c>
      <c r="I178" s="32">
        <v>1.87</v>
      </c>
      <c r="J178" s="33">
        <f t="shared" si="19"/>
        <v>5.9999999999997833E-3</v>
      </c>
      <c r="K178" s="34" t="str">
        <f t="shared" si="15"/>
        <v/>
      </c>
      <c r="L178" s="35">
        <f t="shared" si="20"/>
        <v>7.44</v>
      </c>
      <c r="M178" s="36" t="str">
        <f t="shared" si="21"/>
        <v/>
      </c>
      <c r="N178" s="37" t="s">
        <v>16</v>
      </c>
      <c r="O178" s="29">
        <v>1</v>
      </c>
      <c r="P178" s="38">
        <v>25</v>
      </c>
      <c r="Q178" s="28"/>
      <c r="R178" s="28" t="s">
        <v>2485</v>
      </c>
      <c r="S178" s="28" t="s">
        <v>21</v>
      </c>
      <c r="T178" s="28"/>
      <c r="U178" s="28" t="s">
        <v>135</v>
      </c>
    </row>
    <row r="179" spans="1:21" s="27" customFormat="1" x14ac:dyDescent="0.25">
      <c r="A179" s="28" t="s">
        <v>21</v>
      </c>
      <c r="B179" s="28" t="s">
        <v>2472</v>
      </c>
      <c r="C179" s="28" t="s">
        <v>21</v>
      </c>
      <c r="D179" s="31">
        <v>1</v>
      </c>
      <c r="E179" s="71">
        <v>51</v>
      </c>
      <c r="F179" s="31">
        <v>186</v>
      </c>
      <c r="G179" s="32"/>
      <c r="H179" s="32">
        <v>1.869</v>
      </c>
      <c r="I179" s="32">
        <v>1.8620000000000001</v>
      </c>
      <c r="J179" s="33">
        <f t="shared" si="19"/>
        <v>6.9999999999998952E-3</v>
      </c>
      <c r="K179" s="34" t="str">
        <f t="shared" si="15"/>
        <v/>
      </c>
      <c r="L179" s="35">
        <f t="shared" si="20"/>
        <v>7.44</v>
      </c>
      <c r="M179" s="36" t="str">
        <f t="shared" si="21"/>
        <v/>
      </c>
      <c r="N179" s="37" t="s">
        <v>16</v>
      </c>
      <c r="O179" s="29">
        <v>1</v>
      </c>
      <c r="P179" s="38">
        <v>25</v>
      </c>
      <c r="Q179" s="28"/>
      <c r="R179" s="28" t="s">
        <v>2487</v>
      </c>
      <c r="S179" s="28" t="s">
        <v>21</v>
      </c>
      <c r="T179" s="28"/>
      <c r="U179" s="28" t="s">
        <v>135</v>
      </c>
    </row>
    <row r="180" spans="1:21" s="27" customFormat="1" x14ac:dyDescent="0.25">
      <c r="A180" s="28" t="s">
        <v>21</v>
      </c>
      <c r="B180" s="28" t="s">
        <v>2473</v>
      </c>
      <c r="C180" s="28">
        <v>698227</v>
      </c>
      <c r="D180" s="31">
        <v>1</v>
      </c>
      <c r="E180" s="73">
        <v>23</v>
      </c>
      <c r="F180" s="31">
        <v>186</v>
      </c>
      <c r="G180" s="32"/>
      <c r="H180" s="32">
        <v>1.843</v>
      </c>
      <c r="I180" s="32">
        <v>1.8360000000000001</v>
      </c>
      <c r="J180" s="33">
        <f t="shared" si="19"/>
        <v>6.9999999999998952E-3</v>
      </c>
      <c r="K180" s="34" t="str">
        <f t="shared" si="15"/>
        <v/>
      </c>
      <c r="L180" s="35">
        <f t="shared" si="20"/>
        <v>7.44</v>
      </c>
      <c r="M180" s="36" t="str">
        <f t="shared" si="21"/>
        <v/>
      </c>
      <c r="N180" s="37" t="s">
        <v>16</v>
      </c>
      <c r="O180" s="29">
        <v>1</v>
      </c>
      <c r="P180" s="38">
        <v>25</v>
      </c>
      <c r="Q180" s="28"/>
      <c r="R180" s="28" t="s">
        <v>2488</v>
      </c>
      <c r="S180" s="39"/>
      <c r="T180" s="28"/>
      <c r="U180" s="28" t="s">
        <v>135</v>
      </c>
    </row>
    <row r="181" spans="1:21" s="27" customFormat="1" x14ac:dyDescent="0.25">
      <c r="A181" s="28" t="s">
        <v>21</v>
      </c>
      <c r="B181" s="28" t="s">
        <v>2474</v>
      </c>
      <c r="C181" s="28" t="s">
        <v>21</v>
      </c>
      <c r="D181" s="31">
        <v>1</v>
      </c>
      <c r="E181" s="73">
        <v>17</v>
      </c>
      <c r="F181" s="31">
        <v>186</v>
      </c>
      <c r="G181" s="32"/>
      <c r="H181" s="32">
        <v>1.8360000000000001</v>
      </c>
      <c r="I181" s="32">
        <v>1.8280000000000001</v>
      </c>
      <c r="J181" s="33">
        <f t="shared" si="19"/>
        <v>8.0000000000000071E-3</v>
      </c>
      <c r="K181" s="34" t="str">
        <f t="shared" si="15"/>
        <v/>
      </c>
      <c r="L181" s="35">
        <f t="shared" si="20"/>
        <v>7.44</v>
      </c>
      <c r="M181" s="36" t="str">
        <f t="shared" si="21"/>
        <v/>
      </c>
      <c r="N181" s="37" t="s">
        <v>16</v>
      </c>
      <c r="O181" s="29">
        <v>1</v>
      </c>
      <c r="P181" s="38">
        <v>25</v>
      </c>
      <c r="Q181" s="28"/>
      <c r="R181" s="28" t="s">
        <v>2489</v>
      </c>
      <c r="S181" s="39"/>
      <c r="T181" s="28"/>
      <c r="U181" s="28" t="s">
        <v>135</v>
      </c>
    </row>
    <row r="182" spans="1:21" s="27" customFormat="1" x14ac:dyDescent="0.25">
      <c r="A182" s="28" t="s">
        <v>21</v>
      </c>
      <c r="B182" s="28" t="s">
        <v>2475</v>
      </c>
      <c r="C182" s="28" t="s">
        <v>21</v>
      </c>
      <c r="D182" s="31">
        <v>1</v>
      </c>
      <c r="E182" s="73">
        <v>16</v>
      </c>
      <c r="F182" s="31">
        <v>187</v>
      </c>
      <c r="G182" s="32"/>
      <c r="H182" s="32">
        <v>1.841</v>
      </c>
      <c r="I182" s="32">
        <v>1.833</v>
      </c>
      <c r="J182" s="33">
        <f t="shared" si="19"/>
        <v>8.0000000000000071E-3</v>
      </c>
      <c r="K182" s="34" t="str">
        <f t="shared" si="15"/>
        <v/>
      </c>
      <c r="L182" s="35">
        <f t="shared" si="20"/>
        <v>7.48</v>
      </c>
      <c r="M182" s="36" t="str">
        <f t="shared" si="21"/>
        <v/>
      </c>
      <c r="N182" s="37" t="s">
        <v>16</v>
      </c>
      <c r="O182" s="29">
        <v>1</v>
      </c>
      <c r="P182" s="38">
        <v>25</v>
      </c>
      <c r="Q182" s="28"/>
      <c r="R182" s="28" t="s">
        <v>2490</v>
      </c>
      <c r="S182" s="39"/>
      <c r="T182" s="28"/>
      <c r="U182" s="28" t="s">
        <v>135</v>
      </c>
    </row>
    <row r="183" spans="1:21" s="27" customFormat="1" x14ac:dyDescent="0.25">
      <c r="A183" s="28" t="s">
        <v>21</v>
      </c>
      <c r="B183" s="28" t="s">
        <v>2476</v>
      </c>
      <c r="C183" s="28" t="s">
        <v>21</v>
      </c>
      <c r="D183" s="31">
        <v>1</v>
      </c>
      <c r="E183" s="73">
        <v>13</v>
      </c>
      <c r="F183" s="31">
        <v>186</v>
      </c>
      <c r="G183" s="32"/>
      <c r="H183" s="32">
        <v>1.843</v>
      </c>
      <c r="I183" s="32">
        <v>1.835</v>
      </c>
      <c r="J183" s="33">
        <f t="shared" si="19"/>
        <v>8.0000000000000071E-3</v>
      </c>
      <c r="K183" s="34" t="str">
        <f t="shared" si="15"/>
        <v/>
      </c>
      <c r="L183" s="35">
        <f t="shared" si="20"/>
        <v>7.44</v>
      </c>
      <c r="M183" s="36" t="str">
        <f t="shared" si="21"/>
        <v/>
      </c>
      <c r="N183" s="37" t="s">
        <v>16</v>
      </c>
      <c r="O183" s="29">
        <v>1</v>
      </c>
      <c r="P183" s="38">
        <v>25</v>
      </c>
      <c r="Q183" s="28"/>
      <c r="R183" s="28" t="s">
        <v>2491</v>
      </c>
      <c r="S183" s="39"/>
      <c r="T183" s="28"/>
      <c r="U183" s="28" t="s">
        <v>135</v>
      </c>
    </row>
    <row r="184" spans="1:21" s="27" customFormat="1" x14ac:dyDescent="0.25">
      <c r="A184" s="28" t="s">
        <v>21</v>
      </c>
      <c r="B184" s="28" t="s">
        <v>2477</v>
      </c>
      <c r="C184" s="28" t="s">
        <v>21</v>
      </c>
      <c r="D184" s="31">
        <v>1</v>
      </c>
      <c r="E184" s="73">
        <v>14</v>
      </c>
      <c r="F184" s="31">
        <v>187</v>
      </c>
      <c r="G184" s="32"/>
      <c r="H184" s="32">
        <v>1.851</v>
      </c>
      <c r="I184" s="32">
        <v>1.845</v>
      </c>
      <c r="J184" s="33">
        <f t="shared" si="19"/>
        <v>6.0000000000000053E-3</v>
      </c>
      <c r="K184" s="34" t="str">
        <f t="shared" si="15"/>
        <v/>
      </c>
      <c r="L184" s="35">
        <f t="shared" si="20"/>
        <v>7.48</v>
      </c>
      <c r="M184" s="36" t="str">
        <f t="shared" si="21"/>
        <v/>
      </c>
      <c r="N184" s="37" t="s">
        <v>16</v>
      </c>
      <c r="O184" s="29">
        <v>1</v>
      </c>
      <c r="P184" s="38">
        <v>25</v>
      </c>
      <c r="Q184" s="28"/>
      <c r="R184" s="28" t="s">
        <v>2492</v>
      </c>
      <c r="S184" s="39"/>
      <c r="T184" s="28"/>
      <c r="U184" s="28" t="s">
        <v>135</v>
      </c>
    </row>
    <row r="207" spans="1:21" ht="15.75" thickBot="1" x14ac:dyDescent="0.3"/>
    <row r="208" spans="1:21" s="27" customFormat="1" ht="16.5" thickBot="1" x14ac:dyDescent="0.3">
      <c r="A208" s="78" t="s">
        <v>30</v>
      </c>
      <c r="B208" s="77"/>
      <c r="D208" s="56"/>
      <c r="E208" s="51"/>
      <c r="F208" s="50"/>
      <c r="G208" s="53"/>
      <c r="H208" s="53"/>
      <c r="I208" s="59"/>
      <c r="J208" s="60"/>
      <c r="K208" s="22"/>
      <c r="L208" s="61"/>
      <c r="M208" s="62"/>
      <c r="N208" s="63"/>
      <c r="O208" s="64"/>
      <c r="P208" s="65"/>
      <c r="Q208" s="58"/>
      <c r="R208" s="58"/>
      <c r="S208" s="58"/>
      <c r="T208" s="58"/>
      <c r="U208" s="58"/>
    </row>
    <row r="209" spans="1:21" s="27" customFormat="1" x14ac:dyDescent="0.25">
      <c r="A209" s="28" t="s">
        <v>2320</v>
      </c>
      <c r="B209" s="44" t="s">
        <v>2318</v>
      </c>
      <c r="C209" s="28" t="s">
        <v>2495</v>
      </c>
      <c r="D209" s="31" t="s">
        <v>2495</v>
      </c>
      <c r="E209" s="73"/>
      <c r="F209" s="45"/>
      <c r="G209" s="32"/>
      <c r="H209" s="32"/>
      <c r="I209" s="32"/>
      <c r="J209" s="33">
        <f>IF(O209&lt;&gt;"",(H209-I209)/O209,"")</f>
        <v>0</v>
      </c>
      <c r="K209" s="34" t="str">
        <f t="shared" ref="K209:K210" si="22">IF(J209=0,"",IF(OR(J209&lt;0,J209&gt;0.03),"X",""))</f>
        <v/>
      </c>
      <c r="L209" s="35">
        <f>F209/(O209*P209)</f>
        <v>0</v>
      </c>
      <c r="M209" s="36" t="str">
        <f>IF(L209=0,"",IF(OR(L209&lt;7,L209&gt;7.8),"X",""))</f>
        <v/>
      </c>
      <c r="N209" s="37" t="s">
        <v>2496</v>
      </c>
      <c r="O209" s="29">
        <v>1</v>
      </c>
      <c r="P209" s="38">
        <v>20</v>
      </c>
      <c r="Q209" s="46"/>
      <c r="R209" s="28"/>
      <c r="S209" s="47"/>
      <c r="T209" s="46"/>
      <c r="U209" s="28" t="s">
        <v>2319</v>
      </c>
    </row>
    <row r="210" spans="1:21" s="27" customFormat="1" x14ac:dyDescent="0.25">
      <c r="A210" s="28" t="s">
        <v>2320</v>
      </c>
      <c r="B210" s="79" t="s">
        <v>2318</v>
      </c>
      <c r="C210" s="28" t="s">
        <v>2495</v>
      </c>
      <c r="D210" s="31" t="s">
        <v>2495</v>
      </c>
      <c r="E210" s="73"/>
      <c r="F210" s="45"/>
      <c r="G210" s="32"/>
      <c r="H210" s="32"/>
      <c r="I210" s="32"/>
      <c r="J210" s="33">
        <f>IF(O210&lt;&gt;"",(H210-I210)/O210,"")</f>
        <v>0</v>
      </c>
      <c r="K210" s="34" t="str">
        <f t="shared" si="22"/>
        <v/>
      </c>
      <c r="L210" s="35">
        <f>F210/(O210*P210)</f>
        <v>0</v>
      </c>
      <c r="M210" s="36" t="str">
        <f>IF(L210=0,"",IF(OR(L210&lt;7,L210&gt;7.8),"X",""))</f>
        <v/>
      </c>
      <c r="N210" s="37" t="s">
        <v>2496</v>
      </c>
      <c r="O210" s="29">
        <v>1</v>
      </c>
      <c r="P210" s="38">
        <v>15</v>
      </c>
      <c r="Q210" s="28"/>
      <c r="R210" s="28"/>
      <c r="S210" s="47"/>
      <c r="T210" s="28"/>
      <c r="U210" s="28"/>
    </row>
    <row r="211" spans="1:21" s="27" customFormat="1" x14ac:dyDescent="0.25">
      <c r="A211" s="28" t="s">
        <v>2320</v>
      </c>
      <c r="B211" s="79" t="s">
        <v>2318</v>
      </c>
      <c r="C211" s="28" t="s">
        <v>2495</v>
      </c>
      <c r="D211" s="31"/>
      <c r="E211" s="73"/>
      <c r="F211" s="31"/>
      <c r="G211" s="32"/>
      <c r="H211" s="32"/>
      <c r="I211" s="32"/>
      <c r="J211" s="33">
        <f t="shared" ref="J211" si="23">IF(O211&lt;&gt;"",(H211-I211)/O211,"")</f>
        <v>0</v>
      </c>
      <c r="K211" s="34" t="str">
        <f>IF(J211=0,"",IF(OR(J211&lt;0,J211&gt;0.03),"X",""))</f>
        <v/>
      </c>
      <c r="L211" s="35">
        <f>F211/(O211*P211)</f>
        <v>0</v>
      </c>
      <c r="M211" s="36" t="str">
        <f t="shared" ref="M211" si="24">IF(L211=0,"",IF(OR(L211&lt;7.4,L211&gt;8),"X",""))</f>
        <v/>
      </c>
      <c r="N211" s="37" t="s">
        <v>2496</v>
      </c>
      <c r="O211" s="29">
        <v>1</v>
      </c>
      <c r="P211" s="38">
        <v>10</v>
      </c>
      <c r="Q211" s="28"/>
      <c r="R211" s="28"/>
      <c r="S211" s="47"/>
      <c r="T211" s="28"/>
      <c r="U211" s="28"/>
    </row>
    <row r="212" spans="1:21" s="27" customFormat="1" x14ac:dyDescent="0.25">
      <c r="A212" s="28"/>
      <c r="B212" s="28"/>
      <c r="C212" s="28"/>
      <c r="D212" s="31"/>
      <c r="E212" s="73"/>
      <c r="F212" s="31"/>
      <c r="G212" s="32"/>
      <c r="H212" s="32"/>
      <c r="I212" s="32"/>
      <c r="J212" s="33"/>
      <c r="K212" s="34"/>
      <c r="L212" s="35"/>
      <c r="M212" s="36"/>
      <c r="N212" s="37"/>
      <c r="O212" s="29"/>
      <c r="P212" s="38"/>
      <c r="Q212" s="28"/>
      <c r="R212" s="28"/>
      <c r="S212" s="47"/>
      <c r="T212" s="28"/>
      <c r="U212" s="28"/>
    </row>
    <row r="213" spans="1:21" s="27" customFormat="1" x14ac:dyDescent="0.25">
      <c r="A213" s="28"/>
      <c r="B213" s="28"/>
      <c r="C213" s="28"/>
      <c r="D213" s="31"/>
      <c r="E213" s="73"/>
      <c r="F213" s="31"/>
      <c r="G213" s="32"/>
      <c r="H213" s="32"/>
      <c r="I213" s="32"/>
      <c r="J213" s="33"/>
      <c r="K213" s="34"/>
      <c r="L213" s="35"/>
      <c r="M213" s="36"/>
      <c r="N213" s="37"/>
      <c r="O213" s="29"/>
      <c r="P213" s="38"/>
      <c r="Q213" s="28"/>
      <c r="R213" s="28"/>
      <c r="S213" s="47"/>
      <c r="T213" s="28"/>
      <c r="U213" s="28"/>
    </row>
    <row r="214" spans="1:21" s="27" customFormat="1" x14ac:dyDescent="0.25">
      <c r="A214" s="28" t="s">
        <v>2321</v>
      </c>
      <c r="B214" s="28" t="s">
        <v>2322</v>
      </c>
      <c r="C214" s="28" t="s">
        <v>2495</v>
      </c>
      <c r="D214" s="31" t="s">
        <v>2494</v>
      </c>
      <c r="E214" s="73">
        <v>0</v>
      </c>
      <c r="F214" s="45">
        <v>1504</v>
      </c>
      <c r="G214" s="32"/>
      <c r="H214" s="32">
        <v>8.8699999999999992</v>
      </c>
      <c r="I214" s="32">
        <v>8.85</v>
      </c>
      <c r="J214" s="33">
        <f>IF(O214&lt;&gt;"",(H214-I214)/O214,"")</f>
        <v>4.9999999999998934E-3</v>
      </c>
      <c r="K214" s="34" t="str">
        <f t="shared" ref="K214:K219" si="25">IF(J214=0,"",IF(OR(J214&lt;0,J214&gt;0.03),"X",""))</f>
        <v/>
      </c>
      <c r="L214" s="35">
        <f t="shared" ref="L214:L219" si="26">F214/(O214*P214)</f>
        <v>7.52</v>
      </c>
      <c r="M214" s="36" t="str">
        <f t="shared" ref="M214:M219" si="27">IF(L214=0,"",IF(OR(L214&lt;7.4,L214&gt;8),"X",""))</f>
        <v/>
      </c>
      <c r="N214" s="37" t="s">
        <v>2493</v>
      </c>
      <c r="O214" s="29">
        <v>4</v>
      </c>
      <c r="P214" s="38">
        <v>50</v>
      </c>
      <c r="Q214" s="28"/>
      <c r="R214" s="28"/>
      <c r="S214" s="47"/>
      <c r="T214" s="28"/>
      <c r="U214" s="28"/>
    </row>
    <row r="215" spans="1:21" s="27" customFormat="1" x14ac:dyDescent="0.25">
      <c r="A215" s="28" t="s">
        <v>2321</v>
      </c>
      <c r="B215" s="28" t="s">
        <v>2322</v>
      </c>
      <c r="C215" s="28" t="s">
        <v>2495</v>
      </c>
      <c r="D215" s="31" t="s">
        <v>2495</v>
      </c>
      <c r="E215" s="73"/>
      <c r="F215" s="45"/>
      <c r="G215" s="32"/>
      <c r="H215" s="32"/>
      <c r="I215" s="32"/>
      <c r="J215" s="33">
        <f t="shared" ref="J215:J217" si="28">IF(O215&lt;&gt;"",(H215-I215)/O215,"")</f>
        <v>0</v>
      </c>
      <c r="K215" s="34" t="str">
        <f t="shared" si="25"/>
        <v/>
      </c>
      <c r="L215" s="35">
        <f t="shared" si="26"/>
        <v>0</v>
      </c>
      <c r="M215" s="36" t="str">
        <f t="shared" si="27"/>
        <v/>
      </c>
      <c r="N215" s="37" t="s">
        <v>2493</v>
      </c>
      <c r="O215" s="29">
        <v>4</v>
      </c>
      <c r="P215" s="38">
        <v>45</v>
      </c>
      <c r="Q215" s="28"/>
      <c r="R215" s="28"/>
      <c r="S215" s="47"/>
      <c r="T215" s="28"/>
      <c r="U215" s="28"/>
    </row>
    <row r="216" spans="1:21" s="27" customFormat="1" x14ac:dyDescent="0.25">
      <c r="A216" s="28" t="s">
        <v>2321</v>
      </c>
      <c r="B216" s="28" t="s">
        <v>2322</v>
      </c>
      <c r="C216" s="28" t="s">
        <v>2495</v>
      </c>
      <c r="D216" s="31" t="s">
        <v>2495</v>
      </c>
      <c r="E216" s="73">
        <v>1</v>
      </c>
      <c r="F216" s="45">
        <v>1208</v>
      </c>
      <c r="G216" s="32"/>
      <c r="H216" s="32">
        <v>8.51</v>
      </c>
      <c r="I216" s="32">
        <v>8.49</v>
      </c>
      <c r="J216" s="33">
        <f t="shared" si="28"/>
        <v>4.9999999999998934E-3</v>
      </c>
      <c r="K216" s="34" t="str">
        <f t="shared" si="25"/>
        <v/>
      </c>
      <c r="L216" s="35">
        <f t="shared" si="26"/>
        <v>7.55</v>
      </c>
      <c r="M216" s="36" t="str">
        <f t="shared" si="27"/>
        <v/>
      </c>
      <c r="N216" s="37" t="s">
        <v>2493</v>
      </c>
      <c r="O216" s="29">
        <v>4</v>
      </c>
      <c r="P216" s="38">
        <v>40</v>
      </c>
      <c r="Q216" s="28"/>
      <c r="R216" s="28"/>
      <c r="S216" s="47"/>
      <c r="T216" s="28"/>
      <c r="U216" s="28"/>
    </row>
    <row r="217" spans="1:21" s="27" customFormat="1" x14ac:dyDescent="0.25">
      <c r="A217" s="28" t="s">
        <v>2321</v>
      </c>
      <c r="B217" s="28" t="s">
        <v>2322</v>
      </c>
      <c r="C217" s="28" t="s">
        <v>2495</v>
      </c>
      <c r="D217" s="31" t="s">
        <v>2495</v>
      </c>
      <c r="E217" s="73"/>
      <c r="F217" s="31"/>
      <c r="G217" s="32"/>
      <c r="H217" s="32"/>
      <c r="I217" s="32"/>
      <c r="J217" s="33">
        <f t="shared" si="28"/>
        <v>0</v>
      </c>
      <c r="K217" s="34" t="str">
        <f t="shared" si="25"/>
        <v/>
      </c>
      <c r="L217" s="35">
        <f t="shared" si="26"/>
        <v>0</v>
      </c>
      <c r="M217" s="36" t="str">
        <f t="shared" si="27"/>
        <v/>
      </c>
      <c r="N217" s="37" t="s">
        <v>2493</v>
      </c>
      <c r="O217" s="29">
        <v>4</v>
      </c>
      <c r="P217" s="38">
        <v>35</v>
      </c>
      <c r="Q217" s="28"/>
      <c r="R217" s="28"/>
      <c r="S217" s="47"/>
      <c r="T217" s="28"/>
      <c r="U217" s="28"/>
    </row>
    <row r="218" spans="1:21" x14ac:dyDescent="0.25">
      <c r="A218" s="79" t="s">
        <v>2321</v>
      </c>
      <c r="B218" s="79" t="s">
        <v>2322</v>
      </c>
      <c r="C218" s="79" t="s">
        <v>2495</v>
      </c>
      <c r="D218" s="80" t="s">
        <v>2495</v>
      </c>
      <c r="E218" s="81"/>
      <c r="F218" s="80"/>
      <c r="G218" s="82"/>
      <c r="H218" s="82"/>
      <c r="I218" s="82"/>
      <c r="J218" s="83">
        <f>IF(O218&lt;&gt;"",(H218-I218)/O218,"")</f>
        <v>0</v>
      </c>
      <c r="K218" s="84" t="str">
        <f t="shared" si="25"/>
        <v/>
      </c>
      <c r="L218" s="85">
        <f t="shared" si="26"/>
        <v>0</v>
      </c>
      <c r="M218" s="86" t="str">
        <f t="shared" si="27"/>
        <v/>
      </c>
      <c r="N218" s="87" t="s">
        <v>2493</v>
      </c>
      <c r="O218" s="80">
        <v>4</v>
      </c>
      <c r="P218" s="88">
        <v>35</v>
      </c>
      <c r="Q218" s="79"/>
      <c r="R218" s="79"/>
      <c r="S218" s="79"/>
      <c r="T218" s="79"/>
      <c r="U218" s="79"/>
    </row>
    <row r="219" spans="1:21" x14ac:dyDescent="0.25">
      <c r="A219" s="79" t="s">
        <v>2321</v>
      </c>
      <c r="B219" s="79" t="s">
        <v>2322</v>
      </c>
      <c r="C219" s="79" t="s">
        <v>2495</v>
      </c>
      <c r="D219" s="80" t="s">
        <v>2495</v>
      </c>
      <c r="E219" s="81"/>
      <c r="F219" s="80"/>
      <c r="G219" s="82"/>
      <c r="H219" s="82"/>
      <c r="I219" s="82"/>
      <c r="J219" s="83">
        <f>IF(O219&lt;&gt;"",(H219-I219)/O219,"")</f>
        <v>0</v>
      </c>
      <c r="K219" s="84" t="str">
        <f t="shared" si="25"/>
        <v/>
      </c>
      <c r="L219" s="85">
        <f t="shared" si="26"/>
        <v>0</v>
      </c>
      <c r="M219" s="86" t="str">
        <f t="shared" si="27"/>
        <v/>
      </c>
      <c r="N219" s="87" t="s">
        <v>2493</v>
      </c>
      <c r="O219" s="80">
        <v>4</v>
      </c>
      <c r="P219" s="88">
        <v>35</v>
      </c>
      <c r="Q219" s="79"/>
      <c r="R219" s="79"/>
      <c r="S219" s="79"/>
      <c r="T219" s="79"/>
      <c r="U219" s="79"/>
    </row>
    <row r="220" spans="1:21" x14ac:dyDescent="0.25">
      <c r="A220" s="79"/>
      <c r="B220" s="79"/>
      <c r="C220" s="79"/>
      <c r="D220" s="80"/>
      <c r="E220" s="81"/>
      <c r="F220" s="80"/>
      <c r="G220" s="82"/>
      <c r="H220" s="82"/>
      <c r="I220" s="82"/>
      <c r="J220" s="83"/>
      <c r="K220" s="84"/>
      <c r="L220" s="85"/>
      <c r="M220" s="86"/>
      <c r="N220" s="87"/>
      <c r="O220" s="80"/>
      <c r="P220" s="88"/>
      <c r="Q220" s="79"/>
      <c r="R220" s="79"/>
      <c r="S220" s="79"/>
      <c r="T220" s="79"/>
      <c r="U220" s="79"/>
    </row>
    <row r="221" spans="1:21" x14ac:dyDescent="0.25">
      <c r="A221" s="79"/>
      <c r="B221" s="79"/>
      <c r="C221" s="79"/>
      <c r="D221" s="80"/>
      <c r="E221" s="81"/>
      <c r="F221" s="80"/>
      <c r="G221" s="82"/>
      <c r="H221" s="82"/>
      <c r="I221" s="82"/>
      <c r="J221" s="83"/>
      <c r="K221" s="84"/>
      <c r="L221" s="85"/>
      <c r="M221" s="86"/>
      <c r="N221" s="87"/>
      <c r="O221" s="80"/>
      <c r="P221" s="88"/>
      <c r="Q221" s="79"/>
      <c r="R221" s="79"/>
      <c r="S221" s="79"/>
      <c r="T221" s="79"/>
      <c r="U221" s="79"/>
    </row>
    <row r="222" spans="1:21" x14ac:dyDescent="0.25">
      <c r="A222" s="79" t="s">
        <v>2497</v>
      </c>
      <c r="B222" s="79" t="s">
        <v>2322</v>
      </c>
      <c r="C222" s="79" t="s">
        <v>2495</v>
      </c>
      <c r="D222" s="80" t="s">
        <v>2494</v>
      </c>
      <c r="E222" s="81"/>
      <c r="F222" s="89"/>
      <c r="G222" s="82"/>
      <c r="H222" s="82"/>
      <c r="I222" s="82"/>
      <c r="J222" s="83">
        <f>IF(O222&lt;&gt;"",(H222-I222)/O222,"")</f>
        <v>0</v>
      </c>
      <c r="K222" s="84" t="str">
        <f>IF(J222=0,"",IF(OR(J222&lt;0,J222&gt;0.03),"X",""))</f>
        <v/>
      </c>
      <c r="L222" s="85">
        <f>F222/(O222*P222)</f>
        <v>0</v>
      </c>
      <c r="M222" s="86" t="str">
        <f>IF(L222=0,"",IF(OR(L222&lt;7.4,L222&gt;8),"X",""))</f>
        <v/>
      </c>
      <c r="N222" s="87" t="s">
        <v>2498</v>
      </c>
      <c r="O222" s="80">
        <v>2</v>
      </c>
      <c r="P222" s="88">
        <v>30</v>
      </c>
      <c r="Q222" s="79"/>
      <c r="R222" s="79"/>
      <c r="S222" s="79"/>
      <c r="T222" s="79"/>
      <c r="U222" s="79"/>
    </row>
    <row r="223" spans="1:21" x14ac:dyDescent="0.25">
      <c r="A223" s="79" t="s">
        <v>2497</v>
      </c>
      <c r="B223" s="79" t="s">
        <v>2322</v>
      </c>
      <c r="C223" s="79" t="s">
        <v>2495</v>
      </c>
      <c r="D223" s="80" t="s">
        <v>2495</v>
      </c>
      <c r="E223" s="81"/>
      <c r="F223" s="89"/>
      <c r="G223" s="82"/>
      <c r="H223" s="82"/>
      <c r="I223" s="82"/>
      <c r="J223" s="83">
        <f>IF(O223&lt;&gt;"",(H223-I223)/O223,"")</f>
        <v>0</v>
      </c>
      <c r="K223" s="84" t="str">
        <f>IF(J223=0,"",IF(OR(J223&lt;0,J223&gt;0.03),"X",""))</f>
        <v/>
      </c>
      <c r="L223" s="85">
        <f>F223/(O223*P223)</f>
        <v>0</v>
      </c>
      <c r="M223" s="86" t="str">
        <f>IF(L223=0,"",IF(OR(L223&lt;7.4,L223&gt;8),"X",""))</f>
        <v/>
      </c>
      <c r="N223" s="87" t="s">
        <v>2498</v>
      </c>
      <c r="O223" s="80">
        <v>2</v>
      </c>
      <c r="P223" s="88">
        <v>25</v>
      </c>
      <c r="Q223" s="79"/>
      <c r="R223" s="79"/>
      <c r="S223" s="79"/>
      <c r="T223" s="79"/>
      <c r="U223" s="79"/>
    </row>
    <row r="224" spans="1:21" x14ac:dyDescent="0.25">
      <c r="A224" s="79" t="s">
        <v>2497</v>
      </c>
      <c r="B224" s="79" t="s">
        <v>2322</v>
      </c>
      <c r="C224" s="79" t="s">
        <v>2495</v>
      </c>
      <c r="D224" s="80" t="s">
        <v>2495</v>
      </c>
      <c r="E224" s="81"/>
      <c r="F224" s="89"/>
      <c r="G224" s="82"/>
      <c r="H224" s="82"/>
      <c r="I224" s="82"/>
      <c r="J224" s="83">
        <f>IF(O224&lt;&gt;"",(H224-I224)/O224,"")</f>
        <v>0</v>
      </c>
      <c r="K224" s="84" t="str">
        <f>IF(J224=0,"",IF(OR(J224&lt;0,J224&gt;0.03),"X",""))</f>
        <v/>
      </c>
      <c r="L224" s="85">
        <f>F224/(O224*P224)</f>
        <v>0</v>
      </c>
      <c r="M224" s="86" t="str">
        <f>IF(L224=0,"",IF(OR(L224&lt;7.4,L224&gt;8),"X",""))</f>
        <v/>
      </c>
      <c r="N224" s="87" t="s">
        <v>2498</v>
      </c>
      <c r="O224" s="80">
        <v>2</v>
      </c>
      <c r="P224" s="88">
        <v>20</v>
      </c>
      <c r="Q224" s="79"/>
      <c r="R224" s="79"/>
      <c r="S224" s="79"/>
      <c r="T224" s="79"/>
      <c r="U224" s="79"/>
    </row>
    <row r="225" spans="1:21" x14ac:dyDescent="0.25">
      <c r="A225" s="79" t="s">
        <v>2497</v>
      </c>
      <c r="B225" s="79" t="s">
        <v>2322</v>
      </c>
      <c r="C225" s="79" t="s">
        <v>2495</v>
      </c>
      <c r="D225" s="80" t="s">
        <v>2495</v>
      </c>
      <c r="E225" s="81"/>
      <c r="F225" s="80"/>
      <c r="G225" s="82"/>
      <c r="H225" s="82"/>
      <c r="I225" s="82"/>
      <c r="J225" s="83">
        <f>IF(O225&lt;&gt;"",(H225-I225)/O225,"")</f>
        <v>0</v>
      </c>
      <c r="K225" s="84" t="str">
        <f>IF(J225=0,"",IF(OR(J225&lt;0,J225&gt;0.03),"X",""))</f>
        <v/>
      </c>
      <c r="L225" s="85">
        <f>F225/(O225*P225)</f>
        <v>0</v>
      </c>
      <c r="M225" s="86" t="str">
        <f>IF(L225=0,"",IF(OR(L225&lt;7.4,L225&gt;8),"X",""))</f>
        <v/>
      </c>
      <c r="N225" s="87" t="s">
        <v>2498</v>
      </c>
      <c r="O225" s="80">
        <v>2</v>
      </c>
      <c r="P225" s="88">
        <v>15</v>
      </c>
      <c r="Q225" s="79"/>
      <c r="R225" s="79"/>
      <c r="S225" s="79"/>
      <c r="T225" s="79"/>
      <c r="U225" s="79"/>
    </row>
    <row r="226" spans="1:21" x14ac:dyDescent="0.25">
      <c r="A226" s="79" t="s">
        <v>2497</v>
      </c>
      <c r="B226" s="79" t="s">
        <v>2322</v>
      </c>
      <c r="C226" s="79" t="s">
        <v>2495</v>
      </c>
      <c r="D226" s="80" t="s">
        <v>2495</v>
      </c>
      <c r="E226" s="81"/>
      <c r="F226" s="80"/>
      <c r="G226" s="82"/>
      <c r="H226" s="82"/>
      <c r="I226" s="82"/>
      <c r="J226" s="83">
        <f>IF(O226&lt;&gt;"",(H226-I226)/O226,"")</f>
        <v>0</v>
      </c>
      <c r="K226" s="84" t="str">
        <f>IF(J226=0,"",IF(OR(J226&lt;0,J226&gt;0.03),"X",""))</f>
        <v/>
      </c>
      <c r="L226" s="85">
        <f>F226/(O226*P226)</f>
        <v>0</v>
      </c>
      <c r="M226" s="86" t="str">
        <f>IF(L226=0,"",IF(OR(L226&lt;7.4,L226&gt;8),"X",""))</f>
        <v/>
      </c>
      <c r="N226" s="87" t="s">
        <v>2498</v>
      </c>
      <c r="O226" s="80">
        <v>2</v>
      </c>
      <c r="P226" s="88">
        <v>10</v>
      </c>
      <c r="Q226" s="79"/>
      <c r="R226" s="79"/>
      <c r="S226" s="79"/>
      <c r="T226" s="79"/>
      <c r="U226" s="79"/>
    </row>
  </sheetData>
  <customSheetViews>
    <customSheetView guid="{C2C34B0E-C0A2-4B0B-812E-0757ABB9DC2E}">
      <pane ySplit="1" topLeftCell="A163" activePane="bottomLeft" state="frozen"/>
      <selection pane="bottomLeft" activeCell="S112" sqref="S112:S121"/>
      <pageMargins left="0.7" right="0.7" top="0.78740157499999996" bottom="0.78740157499999996" header="0.3" footer="0.3"/>
    </customSheetView>
    <customSheetView guid="{3652BF58-5AAC-43BD-BC8A-2FFF29529405}">
      <pane ySplit="1" topLeftCell="A196" activePane="bottomLeft" state="frozen"/>
      <selection pane="bottomLeft" activeCell="I202" sqref="I202"/>
      <pageMargins left="0.7" right="0.7" top="0.78740157499999996" bottom="0.78740157499999996" header="0.3" footer="0.3"/>
    </customSheetView>
    <customSheetView guid="{E2377352-22A7-452B-BFAD-18D3D497CC88}">
      <pane ySplit="1" topLeftCell="A163" activePane="bottomLeft" state="frozen"/>
      <selection pane="bottomLeft" activeCell="S112" sqref="S112:S121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"/>
  <sheetViews>
    <sheetView workbookViewId="0">
      <pane ySplit="1" topLeftCell="A14" activePane="bottomLeft" state="frozen"/>
      <selection pane="bottomLeft" activeCell="F22" sqref="F22"/>
    </sheetView>
  </sheetViews>
  <sheetFormatPr baseColWidth="10" defaultRowHeight="15" x14ac:dyDescent="0.25"/>
  <cols>
    <col min="1" max="1" width="15.140625" customWidth="1"/>
    <col min="2" max="2" width="15.28515625" customWidth="1"/>
    <col min="3" max="3" width="12.140625" customWidth="1"/>
    <col min="4" max="4" width="8.5703125" customWidth="1"/>
    <col min="5" max="5" width="7.7109375" customWidth="1"/>
    <col min="10" max="10" width="11.140625" customWidth="1"/>
    <col min="11" max="11" width="2.28515625" customWidth="1"/>
    <col min="12" max="12" width="10" customWidth="1"/>
    <col min="13" max="13" width="1.85546875" customWidth="1"/>
    <col min="15" max="15" width="10.28515625" customWidth="1"/>
    <col min="16" max="16" width="9.5703125" customWidth="1"/>
    <col min="17" max="17" width="2.5703125" customWidth="1"/>
    <col min="18" max="18" width="39.7109375" customWidth="1"/>
    <col min="19" max="19" width="38" customWidth="1"/>
    <col min="20" max="20" width="1.28515625" customWidth="1"/>
    <col min="21" max="21" width="9.28515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</sheetData>
  <customSheetViews>
    <customSheetView guid="{C2C34B0E-C0A2-4B0B-812E-0757ABB9DC2E}">
      <pane ySplit="1" topLeftCell="A14" activePane="bottomLeft" state="frozen"/>
      <selection pane="bottomLeft" activeCell="F22" sqref="F22"/>
      <pageMargins left="0.7" right="0.7" top="0.78740157499999996" bottom="0.78740157499999996" header="0.3" footer="0.3"/>
    </customSheetView>
    <customSheetView guid="{3652BF58-5AAC-43BD-BC8A-2FFF29529405}">
      <pane ySplit="1" topLeftCell="A20" activePane="bottomLeft" state="frozen"/>
      <selection pane="bottomLeft" activeCell="F22" sqref="F22"/>
      <pageMargins left="0.7" right="0.7" top="0.78740157499999996" bottom="0.78740157499999996" header="0.3" footer="0.3"/>
    </customSheetView>
    <customSheetView guid="{E2377352-22A7-452B-BFAD-18D3D497CC88}">
      <pane ySplit="1" topLeftCell="A20" activePane="bottomLeft" state="frozen"/>
      <selection pane="bottomLeft" activeCell="F22" sqref="F2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25"/>
  <sheetViews>
    <sheetView zoomScaleNormal="100" workbookViewId="0">
      <pane ySplit="1" topLeftCell="A98" activePane="bottomLeft" state="frozen"/>
      <selection pane="bottomLeft" activeCell="R113" sqref="R113"/>
    </sheetView>
  </sheetViews>
  <sheetFormatPr baseColWidth="10" defaultRowHeight="15" x14ac:dyDescent="0.25"/>
  <cols>
    <col min="1" max="1" width="14.7109375" customWidth="1"/>
    <col min="2" max="2" width="16.28515625" customWidth="1"/>
    <col min="3" max="3" width="12.42578125" customWidth="1"/>
    <col min="4" max="4" width="9" customWidth="1"/>
    <col min="5" max="5" width="9.140625" customWidth="1"/>
    <col min="10" max="10" width="10.140625" customWidth="1"/>
    <col min="11" max="11" width="2.28515625" customWidth="1"/>
    <col min="12" max="12" width="10" customWidth="1"/>
    <col min="13" max="13" width="2.7109375" customWidth="1"/>
    <col min="14" max="14" width="10.42578125" customWidth="1"/>
    <col min="15" max="15" width="7.7109375" customWidth="1"/>
    <col min="16" max="16" width="10.85546875" customWidth="1"/>
    <col min="17" max="17" width="2.28515625" customWidth="1"/>
    <col min="18" max="18" width="34.42578125" customWidth="1"/>
    <col min="19" max="19" width="42" customWidth="1"/>
    <col min="20" max="20" width="1.140625" customWidth="1"/>
    <col min="21" max="21" width="7.57031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2499</v>
      </c>
      <c r="B2" s="28" t="s">
        <v>2500</v>
      </c>
      <c r="C2" s="28">
        <v>698356</v>
      </c>
      <c r="D2" s="31">
        <v>1</v>
      </c>
      <c r="E2" s="71">
        <v>50</v>
      </c>
      <c r="F2" s="45">
        <v>300</v>
      </c>
      <c r="G2" s="32"/>
      <c r="H2" s="32">
        <v>1.8720000000000001</v>
      </c>
      <c r="I2" s="32">
        <v>1.863</v>
      </c>
      <c r="J2" s="33">
        <f t="shared" ref="J2:J31" si="0">IF(O2&lt;&gt;"",(H2-I2)/O2,"")</f>
        <v>9.000000000000119E-3</v>
      </c>
      <c r="K2" s="34" t="str">
        <f t="shared" ref="K2:K36" si="1">IF(J2=0,"",IF(OR(J2&lt;0,J2&gt;0.03),"X",""))</f>
        <v/>
      </c>
      <c r="L2" s="35">
        <f t="shared" ref="L2:L31" si="2">F2/(O2*P2)</f>
        <v>7.5</v>
      </c>
      <c r="M2" s="36" t="str">
        <f t="shared" ref="M2:M31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2530</v>
      </c>
      <c r="S2" s="71" t="s">
        <v>58</v>
      </c>
      <c r="T2" s="46"/>
      <c r="U2" s="28" t="s">
        <v>31</v>
      </c>
    </row>
    <row r="3" spans="1:54" s="27" customFormat="1" x14ac:dyDescent="0.25">
      <c r="A3" s="28" t="s">
        <v>21</v>
      </c>
      <c r="B3" s="28" t="s">
        <v>2501</v>
      </c>
      <c r="C3" s="28" t="s">
        <v>21</v>
      </c>
      <c r="D3" s="31">
        <v>1</v>
      </c>
      <c r="E3" s="71">
        <v>58</v>
      </c>
      <c r="F3" s="45">
        <v>300</v>
      </c>
      <c r="G3" s="32"/>
      <c r="H3" s="32">
        <v>1.8620000000000001</v>
      </c>
      <c r="I3" s="32">
        <v>1.855</v>
      </c>
      <c r="J3" s="33">
        <f t="shared" si="0"/>
        <v>7.0000000000001172E-3</v>
      </c>
      <c r="K3" s="34" t="str">
        <f t="shared" si="1"/>
        <v/>
      </c>
      <c r="L3" s="35">
        <f t="shared" si="2"/>
        <v>7.5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2531</v>
      </c>
      <c r="S3" s="71" t="s">
        <v>59</v>
      </c>
      <c r="T3" s="46"/>
      <c r="U3" s="28" t="s">
        <v>31</v>
      </c>
    </row>
    <row r="4" spans="1:54" s="27" customFormat="1" x14ac:dyDescent="0.25">
      <c r="A4" s="28" t="s">
        <v>21</v>
      </c>
      <c r="B4" s="28" t="s">
        <v>2502</v>
      </c>
      <c r="C4" s="28" t="s">
        <v>21</v>
      </c>
      <c r="D4" s="31">
        <v>1</v>
      </c>
      <c r="E4" s="71">
        <v>61</v>
      </c>
      <c r="F4" s="45">
        <v>298</v>
      </c>
      <c r="G4" s="32"/>
      <c r="H4" s="32">
        <v>1.8580000000000001</v>
      </c>
      <c r="I4" s="32">
        <v>1.8520000000000001</v>
      </c>
      <c r="J4" s="33">
        <f t="shared" si="0"/>
        <v>6.0000000000000053E-3</v>
      </c>
      <c r="K4" s="34" t="str">
        <f t="shared" si="1"/>
        <v/>
      </c>
      <c r="L4" s="35">
        <f t="shared" si="2"/>
        <v>7.45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2532</v>
      </c>
      <c r="S4" s="28" t="s">
        <v>21</v>
      </c>
      <c r="T4" s="46"/>
      <c r="U4" s="28" t="s">
        <v>31</v>
      </c>
    </row>
    <row r="5" spans="1:54" s="27" customFormat="1" x14ac:dyDescent="0.25">
      <c r="A5" s="28" t="s">
        <v>21</v>
      </c>
      <c r="B5" s="28" t="s">
        <v>2503</v>
      </c>
      <c r="C5" s="28" t="s">
        <v>21</v>
      </c>
      <c r="D5" s="31">
        <v>1</v>
      </c>
      <c r="E5" s="71">
        <v>55</v>
      </c>
      <c r="F5" s="45">
        <v>300</v>
      </c>
      <c r="G5" s="32"/>
      <c r="H5" s="32">
        <v>1.865</v>
      </c>
      <c r="I5" s="32">
        <v>1.859</v>
      </c>
      <c r="J5" s="33">
        <f t="shared" si="0"/>
        <v>6.0000000000000053E-3</v>
      </c>
      <c r="K5" s="34" t="str">
        <f t="shared" si="1"/>
        <v/>
      </c>
      <c r="L5" s="35">
        <f t="shared" si="2"/>
        <v>7.5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2534</v>
      </c>
      <c r="S5" s="28" t="s">
        <v>21</v>
      </c>
      <c r="T5" s="46"/>
      <c r="U5" s="28" t="s">
        <v>31</v>
      </c>
    </row>
    <row r="6" spans="1:54" s="27" customFormat="1" x14ac:dyDescent="0.25">
      <c r="A6" s="28" t="s">
        <v>21</v>
      </c>
      <c r="B6" s="28" t="s">
        <v>2504</v>
      </c>
      <c r="C6" s="28" t="s">
        <v>21</v>
      </c>
      <c r="D6" s="31">
        <v>1</v>
      </c>
      <c r="E6" s="71">
        <v>71</v>
      </c>
      <c r="F6" s="45">
        <v>302</v>
      </c>
      <c r="G6" s="32"/>
      <c r="H6" s="32">
        <v>1.845</v>
      </c>
      <c r="I6" s="32">
        <v>1.839</v>
      </c>
      <c r="J6" s="33">
        <f t="shared" si="0"/>
        <v>6.0000000000000053E-3</v>
      </c>
      <c r="K6" s="34" t="str">
        <f t="shared" si="1"/>
        <v/>
      </c>
      <c r="L6" s="35">
        <f t="shared" si="2"/>
        <v>7.55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2535</v>
      </c>
      <c r="S6" s="28" t="s">
        <v>21</v>
      </c>
      <c r="T6" s="46"/>
      <c r="U6" s="28" t="s">
        <v>31</v>
      </c>
    </row>
    <row r="7" spans="1:54" s="27" customFormat="1" x14ac:dyDescent="0.25">
      <c r="A7" s="28" t="s">
        <v>21</v>
      </c>
      <c r="B7" s="28" t="s">
        <v>2505</v>
      </c>
      <c r="C7" s="28" t="s">
        <v>21</v>
      </c>
      <c r="D7" s="31">
        <v>1</v>
      </c>
      <c r="E7" s="71">
        <v>51</v>
      </c>
      <c r="F7" s="45">
        <v>299</v>
      </c>
      <c r="G7" s="32"/>
      <c r="H7" s="32">
        <v>1.8779999999999999</v>
      </c>
      <c r="I7" s="32">
        <v>1.87</v>
      </c>
      <c r="J7" s="33">
        <f t="shared" si="0"/>
        <v>7.9999999999997851E-3</v>
      </c>
      <c r="K7" s="34" t="str">
        <f t="shared" si="1"/>
        <v/>
      </c>
      <c r="L7" s="35">
        <f t="shared" si="2"/>
        <v>7.4749999999999996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2536</v>
      </c>
      <c r="S7" s="71" t="s">
        <v>103</v>
      </c>
      <c r="T7" s="46"/>
      <c r="U7" s="28" t="s">
        <v>31</v>
      </c>
    </row>
    <row r="8" spans="1:54" s="27" customFormat="1" x14ac:dyDescent="0.25">
      <c r="A8" s="28" t="s">
        <v>21</v>
      </c>
      <c r="B8" s="28" t="s">
        <v>2506</v>
      </c>
      <c r="C8" s="28" t="s">
        <v>21</v>
      </c>
      <c r="D8" s="31">
        <v>1</v>
      </c>
      <c r="E8" s="71">
        <v>57</v>
      </c>
      <c r="F8" s="45">
        <v>298</v>
      </c>
      <c r="G8" s="32"/>
      <c r="H8" s="32">
        <v>1.88</v>
      </c>
      <c r="I8" s="32">
        <v>1.873</v>
      </c>
      <c r="J8" s="33">
        <f t="shared" si="0"/>
        <v>6.9999999999998952E-3</v>
      </c>
      <c r="K8" s="34" t="str">
        <f t="shared" si="1"/>
        <v/>
      </c>
      <c r="L8" s="35">
        <f t="shared" si="2"/>
        <v>7.45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2533</v>
      </c>
      <c r="S8" s="71" t="s">
        <v>59</v>
      </c>
      <c r="T8" s="46"/>
      <c r="U8" s="28" t="s">
        <v>31</v>
      </c>
    </row>
    <row r="9" spans="1:54" s="27" customFormat="1" x14ac:dyDescent="0.25">
      <c r="A9" s="28" t="s">
        <v>21</v>
      </c>
      <c r="B9" s="28" t="s">
        <v>2507</v>
      </c>
      <c r="C9" s="28" t="s">
        <v>21</v>
      </c>
      <c r="D9" s="31">
        <v>1</v>
      </c>
      <c r="E9" s="71">
        <v>45</v>
      </c>
      <c r="F9" s="45">
        <v>299</v>
      </c>
      <c r="G9" s="32"/>
      <c r="H9" s="32">
        <v>1.87</v>
      </c>
      <c r="I9" s="32">
        <v>1.863</v>
      </c>
      <c r="J9" s="33">
        <f t="shared" si="0"/>
        <v>7.0000000000001172E-3</v>
      </c>
      <c r="K9" s="34" t="str">
        <f t="shared" si="1"/>
        <v/>
      </c>
      <c r="L9" s="35">
        <f t="shared" si="2"/>
        <v>7.4749999999999996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2537</v>
      </c>
      <c r="S9" s="28" t="s">
        <v>21</v>
      </c>
      <c r="T9" s="46"/>
      <c r="U9" s="28" t="s">
        <v>31</v>
      </c>
    </row>
    <row r="10" spans="1:54" s="27" customFormat="1" x14ac:dyDescent="0.25">
      <c r="A10" s="28" t="s">
        <v>21</v>
      </c>
      <c r="B10" s="28" t="s">
        <v>2508</v>
      </c>
      <c r="C10" s="28" t="s">
        <v>21</v>
      </c>
      <c r="D10" s="31">
        <v>1</v>
      </c>
      <c r="E10" s="71">
        <v>64</v>
      </c>
      <c r="F10" s="45">
        <v>302</v>
      </c>
      <c r="G10" s="32"/>
      <c r="H10" s="32">
        <v>1.879</v>
      </c>
      <c r="I10" s="32">
        <v>1.873</v>
      </c>
      <c r="J10" s="33">
        <f t="shared" si="0"/>
        <v>6.0000000000000053E-3</v>
      </c>
      <c r="K10" s="34" t="str">
        <f t="shared" si="1"/>
        <v/>
      </c>
      <c r="L10" s="35">
        <f t="shared" si="2"/>
        <v>7.55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2538</v>
      </c>
      <c r="S10" s="28" t="s">
        <v>21</v>
      </c>
      <c r="T10" s="46"/>
      <c r="U10" s="28" t="s">
        <v>31</v>
      </c>
    </row>
    <row r="11" spans="1:54" s="27" customFormat="1" x14ac:dyDescent="0.25">
      <c r="A11" s="28" t="s">
        <v>21</v>
      </c>
      <c r="B11" s="28" t="s">
        <v>2509</v>
      </c>
      <c r="C11" s="28" t="s">
        <v>21</v>
      </c>
      <c r="D11" s="31">
        <v>1</v>
      </c>
      <c r="E11" s="71">
        <v>53</v>
      </c>
      <c r="F11" s="45">
        <v>300</v>
      </c>
      <c r="G11" s="32"/>
      <c r="H11" s="32">
        <v>1.8819999999999999</v>
      </c>
      <c r="I11" s="32">
        <v>1.873</v>
      </c>
      <c r="J11" s="33">
        <f t="shared" si="0"/>
        <v>8.999999999999897E-3</v>
      </c>
      <c r="K11" s="34" t="str">
        <f t="shared" si="1"/>
        <v/>
      </c>
      <c r="L11" s="35">
        <f t="shared" si="2"/>
        <v>7.5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2539</v>
      </c>
      <c r="S11" s="28" t="s">
        <v>21</v>
      </c>
      <c r="T11" s="46"/>
      <c r="U11" s="28" t="s">
        <v>31</v>
      </c>
    </row>
    <row r="12" spans="1:54" s="27" customFormat="1" x14ac:dyDescent="0.25">
      <c r="A12" s="28" t="s">
        <v>21</v>
      </c>
      <c r="B12" s="28" t="s">
        <v>2510</v>
      </c>
      <c r="C12" s="28" t="s">
        <v>21</v>
      </c>
      <c r="D12" s="31">
        <v>1</v>
      </c>
      <c r="E12" s="71">
        <v>31</v>
      </c>
      <c r="F12" s="45">
        <v>302</v>
      </c>
      <c r="G12" s="32"/>
      <c r="H12" s="32">
        <v>1.8740000000000001</v>
      </c>
      <c r="I12" s="32">
        <v>1.865</v>
      </c>
      <c r="J12" s="33">
        <f t="shared" si="0"/>
        <v>9.000000000000119E-3</v>
      </c>
      <c r="K12" s="34" t="str">
        <f t="shared" si="1"/>
        <v/>
      </c>
      <c r="L12" s="35">
        <f t="shared" si="2"/>
        <v>7.55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2541</v>
      </c>
      <c r="S12" s="71" t="s">
        <v>58</v>
      </c>
      <c r="T12" s="46"/>
      <c r="U12" s="28" t="s">
        <v>31</v>
      </c>
    </row>
    <row r="13" spans="1:54" s="27" customFormat="1" x14ac:dyDescent="0.25">
      <c r="A13" s="28" t="s">
        <v>21</v>
      </c>
      <c r="B13" s="28" t="s">
        <v>2511</v>
      </c>
      <c r="C13" s="28" t="s">
        <v>21</v>
      </c>
      <c r="D13" s="31">
        <v>1</v>
      </c>
      <c r="E13" s="71">
        <v>31</v>
      </c>
      <c r="F13" s="45">
        <v>303</v>
      </c>
      <c r="G13" s="32"/>
      <c r="H13" s="32">
        <v>1.869</v>
      </c>
      <c r="I13" s="32">
        <v>1.86</v>
      </c>
      <c r="J13" s="33">
        <f t="shared" si="0"/>
        <v>8.999999999999897E-3</v>
      </c>
      <c r="K13" s="34" t="str">
        <f t="shared" si="1"/>
        <v/>
      </c>
      <c r="L13" s="35">
        <f t="shared" si="2"/>
        <v>7.5750000000000002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2540</v>
      </c>
      <c r="S13" s="71" t="s">
        <v>59</v>
      </c>
      <c r="T13" s="46"/>
      <c r="U13" s="28" t="s">
        <v>31</v>
      </c>
    </row>
    <row r="14" spans="1:54" s="27" customFormat="1" x14ac:dyDescent="0.25">
      <c r="A14" s="28" t="s">
        <v>21</v>
      </c>
      <c r="B14" s="28" t="s">
        <v>2512</v>
      </c>
      <c r="C14" s="28" t="s">
        <v>21</v>
      </c>
      <c r="D14" s="31">
        <v>1</v>
      </c>
      <c r="E14" s="71">
        <v>26</v>
      </c>
      <c r="F14" s="45">
        <v>304</v>
      </c>
      <c r="G14" s="32"/>
      <c r="H14" s="32">
        <v>1.8640000000000001</v>
      </c>
      <c r="I14" s="32">
        <v>1.853</v>
      </c>
      <c r="J14" s="33">
        <f t="shared" si="0"/>
        <v>1.1000000000000121E-2</v>
      </c>
      <c r="K14" s="34" t="str">
        <f t="shared" si="1"/>
        <v/>
      </c>
      <c r="L14" s="35">
        <f t="shared" si="2"/>
        <v>7.6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2542</v>
      </c>
      <c r="S14" s="28" t="s">
        <v>21</v>
      </c>
      <c r="T14" s="46"/>
      <c r="U14" s="28" t="s">
        <v>31</v>
      </c>
    </row>
    <row r="15" spans="1:54" s="27" customFormat="1" x14ac:dyDescent="0.25">
      <c r="A15" s="28" t="s">
        <v>21</v>
      </c>
      <c r="B15" s="28" t="s">
        <v>2513</v>
      </c>
      <c r="C15" s="28" t="s">
        <v>21</v>
      </c>
      <c r="D15" s="31">
        <v>1</v>
      </c>
      <c r="E15" s="71">
        <v>29</v>
      </c>
      <c r="F15" s="45">
        <v>305</v>
      </c>
      <c r="G15" s="32"/>
      <c r="H15" s="32">
        <v>1.87</v>
      </c>
      <c r="I15" s="32">
        <v>1.861</v>
      </c>
      <c r="J15" s="33">
        <f t="shared" si="0"/>
        <v>9.000000000000119E-3</v>
      </c>
      <c r="K15" s="34" t="str">
        <f t="shared" si="1"/>
        <v/>
      </c>
      <c r="L15" s="35">
        <f t="shared" si="2"/>
        <v>7.625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2543</v>
      </c>
      <c r="S15" s="28" t="s">
        <v>21</v>
      </c>
      <c r="T15" s="46"/>
      <c r="U15" s="28" t="s">
        <v>31</v>
      </c>
    </row>
    <row r="16" spans="1:54" s="27" customFormat="1" x14ac:dyDescent="0.25">
      <c r="A16" s="28" t="s">
        <v>21</v>
      </c>
      <c r="B16" s="28" t="s">
        <v>2517</v>
      </c>
      <c r="C16" s="28" t="s">
        <v>21</v>
      </c>
      <c r="D16" s="31">
        <v>1</v>
      </c>
      <c r="E16" s="71">
        <v>33</v>
      </c>
      <c r="F16" s="45">
        <v>304</v>
      </c>
      <c r="G16" s="32"/>
      <c r="H16" s="32">
        <v>1.88</v>
      </c>
      <c r="I16" s="32">
        <v>1.8720000000000001</v>
      </c>
      <c r="J16" s="33">
        <f t="shared" si="0"/>
        <v>7.9999999999997851E-3</v>
      </c>
      <c r="K16" s="34" t="str">
        <f t="shared" si="1"/>
        <v/>
      </c>
      <c r="L16" s="35">
        <f t="shared" si="2"/>
        <v>7.6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2544</v>
      </c>
      <c r="S16" s="28" t="s">
        <v>21</v>
      </c>
      <c r="T16" s="46"/>
      <c r="U16" s="28" t="s">
        <v>31</v>
      </c>
    </row>
    <row r="17" spans="1:21" s="27" customFormat="1" x14ac:dyDescent="0.25">
      <c r="A17" s="28" t="s">
        <v>21</v>
      </c>
      <c r="B17" s="28" t="s">
        <v>2516</v>
      </c>
      <c r="C17" s="28" t="s">
        <v>21</v>
      </c>
      <c r="D17" s="31">
        <v>1</v>
      </c>
      <c r="E17" s="71">
        <v>30</v>
      </c>
      <c r="F17" s="45">
        <v>301</v>
      </c>
      <c r="G17" s="32"/>
      <c r="H17" s="32">
        <v>1.867</v>
      </c>
      <c r="I17" s="32">
        <v>1.8580000000000001</v>
      </c>
      <c r="J17" s="33">
        <f t="shared" si="0"/>
        <v>8.999999999999897E-3</v>
      </c>
      <c r="K17" s="34" t="str">
        <f t="shared" si="1"/>
        <v/>
      </c>
      <c r="L17" s="35">
        <f t="shared" si="2"/>
        <v>7.5250000000000004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2545</v>
      </c>
      <c r="S17" s="71" t="s">
        <v>58</v>
      </c>
      <c r="T17" s="46"/>
      <c r="U17" s="28" t="s">
        <v>31</v>
      </c>
    </row>
    <row r="18" spans="1:21" s="27" customFormat="1" x14ac:dyDescent="0.25">
      <c r="A18" s="28" t="s">
        <v>21</v>
      </c>
      <c r="B18" s="28" t="s">
        <v>2515</v>
      </c>
      <c r="C18" s="28" t="s">
        <v>21</v>
      </c>
      <c r="D18" s="31">
        <v>1</v>
      </c>
      <c r="E18" s="71">
        <v>25</v>
      </c>
      <c r="F18" s="45">
        <v>300</v>
      </c>
      <c r="G18" s="32"/>
      <c r="H18" s="32">
        <v>1.8640000000000001</v>
      </c>
      <c r="I18" s="32">
        <v>1.855</v>
      </c>
      <c r="J18" s="33">
        <f t="shared" si="0"/>
        <v>9.000000000000119E-3</v>
      </c>
      <c r="K18" s="34" t="str">
        <f t="shared" si="1"/>
        <v/>
      </c>
      <c r="L18" s="35">
        <f t="shared" si="2"/>
        <v>7.5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2546</v>
      </c>
      <c r="S18" s="71" t="s">
        <v>59</v>
      </c>
      <c r="T18" s="46"/>
      <c r="U18" s="28" t="s">
        <v>31</v>
      </c>
    </row>
    <row r="19" spans="1:21" s="27" customFormat="1" x14ac:dyDescent="0.25">
      <c r="A19" s="28" t="s">
        <v>21</v>
      </c>
      <c r="B19" s="28" t="s">
        <v>2514</v>
      </c>
      <c r="C19" s="28" t="s">
        <v>21</v>
      </c>
      <c r="D19" s="31">
        <v>1</v>
      </c>
      <c r="E19" s="71">
        <v>44</v>
      </c>
      <c r="F19" s="45">
        <v>302</v>
      </c>
      <c r="G19" s="32"/>
      <c r="H19" s="32">
        <v>1.86</v>
      </c>
      <c r="I19" s="32">
        <v>1.851</v>
      </c>
      <c r="J19" s="33">
        <f t="shared" si="0"/>
        <v>9.000000000000119E-3</v>
      </c>
      <c r="K19" s="34" t="str">
        <f t="shared" si="1"/>
        <v/>
      </c>
      <c r="L19" s="35">
        <f t="shared" si="2"/>
        <v>7.55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2547</v>
      </c>
      <c r="S19" s="28" t="s">
        <v>21</v>
      </c>
      <c r="T19" s="46"/>
      <c r="U19" s="28" t="s">
        <v>31</v>
      </c>
    </row>
    <row r="20" spans="1:21" s="27" customFormat="1" x14ac:dyDescent="0.25">
      <c r="A20" s="28" t="s">
        <v>21</v>
      </c>
      <c r="B20" s="28" t="s">
        <v>2518</v>
      </c>
      <c r="C20" s="28" t="s">
        <v>21</v>
      </c>
      <c r="D20" s="31">
        <v>1</v>
      </c>
      <c r="E20" s="71">
        <v>34</v>
      </c>
      <c r="F20" s="45">
        <v>303</v>
      </c>
      <c r="G20" s="32"/>
      <c r="H20" s="32">
        <v>1.8520000000000001</v>
      </c>
      <c r="I20" s="32">
        <v>1.841</v>
      </c>
      <c r="J20" s="33">
        <f t="shared" si="0"/>
        <v>1.1000000000000121E-2</v>
      </c>
      <c r="K20" s="34" t="str">
        <f t="shared" si="1"/>
        <v/>
      </c>
      <c r="L20" s="35">
        <f t="shared" si="2"/>
        <v>7.5750000000000002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2548</v>
      </c>
      <c r="S20" s="28" t="s">
        <v>21</v>
      </c>
      <c r="T20" s="46"/>
      <c r="U20" s="28" t="s">
        <v>31</v>
      </c>
    </row>
    <row r="21" spans="1:21" s="27" customFormat="1" x14ac:dyDescent="0.25">
      <c r="A21" s="28" t="s">
        <v>21</v>
      </c>
      <c r="B21" s="28" t="s">
        <v>2519</v>
      </c>
      <c r="C21" s="28">
        <v>784502</v>
      </c>
      <c r="D21" s="31">
        <v>1</v>
      </c>
      <c r="E21" s="71">
        <v>46</v>
      </c>
      <c r="F21" s="45">
        <v>302</v>
      </c>
      <c r="G21" s="32"/>
      <c r="H21" s="32">
        <v>1.8540000000000001</v>
      </c>
      <c r="I21" s="32">
        <v>1.8480000000000001</v>
      </c>
      <c r="J21" s="33">
        <f t="shared" si="0"/>
        <v>6.0000000000000053E-3</v>
      </c>
      <c r="K21" s="34" t="str">
        <f t="shared" si="1"/>
        <v/>
      </c>
      <c r="L21" s="35">
        <f t="shared" si="2"/>
        <v>7.55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2549</v>
      </c>
      <c r="S21" s="28" t="s">
        <v>21</v>
      </c>
      <c r="T21" s="46"/>
      <c r="U21" s="28" t="s">
        <v>31</v>
      </c>
    </row>
    <row r="22" spans="1:21" s="27" customFormat="1" x14ac:dyDescent="0.25">
      <c r="A22" s="28" t="s">
        <v>21</v>
      </c>
      <c r="B22" s="28" t="s">
        <v>2520</v>
      </c>
      <c r="C22" s="28" t="s">
        <v>21</v>
      </c>
      <c r="D22" s="31">
        <v>1</v>
      </c>
      <c r="E22" s="71">
        <v>53</v>
      </c>
      <c r="F22" s="45">
        <v>300</v>
      </c>
      <c r="G22" s="32"/>
      <c r="H22" s="32">
        <v>1.8779999999999999</v>
      </c>
      <c r="I22" s="32">
        <v>1.871</v>
      </c>
      <c r="J22" s="33">
        <f t="shared" si="0"/>
        <v>6.9999999999998952E-3</v>
      </c>
      <c r="K22" s="34" t="str">
        <f t="shared" si="1"/>
        <v/>
      </c>
      <c r="L22" s="35">
        <f t="shared" si="2"/>
        <v>7.5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2550</v>
      </c>
      <c r="S22" s="71" t="s">
        <v>103</v>
      </c>
      <c r="T22" s="46"/>
      <c r="U22" s="28" t="s">
        <v>31</v>
      </c>
    </row>
    <row r="23" spans="1:21" s="27" customFormat="1" x14ac:dyDescent="0.25">
      <c r="A23" s="28" t="s">
        <v>21</v>
      </c>
      <c r="B23" s="28" t="s">
        <v>2521</v>
      </c>
      <c r="C23" s="28" t="s">
        <v>21</v>
      </c>
      <c r="D23" s="31">
        <v>1</v>
      </c>
      <c r="E23" s="71">
        <v>26</v>
      </c>
      <c r="F23" s="45">
        <v>301</v>
      </c>
      <c r="G23" s="32"/>
      <c r="H23" s="32">
        <v>1.87</v>
      </c>
      <c r="I23" s="32">
        <v>1.8620000000000001</v>
      </c>
      <c r="J23" s="33">
        <f t="shared" si="0"/>
        <v>8.0000000000000071E-3</v>
      </c>
      <c r="K23" s="34" t="str">
        <f t="shared" si="1"/>
        <v/>
      </c>
      <c r="L23" s="35">
        <f t="shared" si="2"/>
        <v>7.5250000000000004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2551</v>
      </c>
      <c r="S23" s="71" t="s">
        <v>59</v>
      </c>
      <c r="T23" s="46"/>
      <c r="U23" s="28" t="s">
        <v>31</v>
      </c>
    </row>
    <row r="24" spans="1:21" s="27" customFormat="1" x14ac:dyDescent="0.25">
      <c r="A24" s="28" t="s">
        <v>21</v>
      </c>
      <c r="B24" s="28" t="s">
        <v>2522</v>
      </c>
      <c r="C24" s="28" t="s">
        <v>21</v>
      </c>
      <c r="D24" s="31">
        <v>1</v>
      </c>
      <c r="E24" s="71">
        <v>56</v>
      </c>
      <c r="F24" s="45">
        <v>301</v>
      </c>
      <c r="G24" s="32"/>
      <c r="H24" s="32">
        <v>1.879</v>
      </c>
      <c r="I24" s="32">
        <v>1.873</v>
      </c>
      <c r="J24" s="33">
        <f t="shared" si="0"/>
        <v>6.0000000000000053E-3</v>
      </c>
      <c r="K24" s="34" t="str">
        <f t="shared" si="1"/>
        <v/>
      </c>
      <c r="L24" s="35">
        <f t="shared" si="2"/>
        <v>7.5250000000000004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2553</v>
      </c>
      <c r="S24" s="28" t="s">
        <v>21</v>
      </c>
      <c r="T24" s="46"/>
      <c r="U24" s="28" t="s">
        <v>31</v>
      </c>
    </row>
    <row r="25" spans="1:21" s="27" customFormat="1" x14ac:dyDescent="0.25">
      <c r="A25" s="28" t="s">
        <v>21</v>
      </c>
      <c r="B25" s="28" t="s">
        <v>2523</v>
      </c>
      <c r="C25" s="28" t="s">
        <v>21</v>
      </c>
      <c r="D25" s="31">
        <v>1</v>
      </c>
      <c r="E25" s="71">
        <v>50</v>
      </c>
      <c r="F25" s="45">
        <v>300</v>
      </c>
      <c r="G25" s="32"/>
      <c r="H25" s="32">
        <v>1.879</v>
      </c>
      <c r="I25" s="32">
        <v>1.8720000000000001</v>
      </c>
      <c r="J25" s="33">
        <f t="shared" si="0"/>
        <v>6.9999999999998952E-3</v>
      </c>
      <c r="K25" s="34" t="str">
        <f t="shared" si="1"/>
        <v/>
      </c>
      <c r="L25" s="35">
        <f t="shared" si="2"/>
        <v>7.5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2552</v>
      </c>
      <c r="S25" s="28" t="s">
        <v>21</v>
      </c>
      <c r="T25" s="46"/>
      <c r="U25" s="28" t="s">
        <v>31</v>
      </c>
    </row>
    <row r="26" spans="1:21" s="27" customFormat="1" x14ac:dyDescent="0.25">
      <c r="A26" s="28" t="s">
        <v>21</v>
      </c>
      <c r="B26" s="28" t="s">
        <v>2524</v>
      </c>
      <c r="C26" s="28" t="s">
        <v>21</v>
      </c>
      <c r="D26" s="31">
        <v>1</v>
      </c>
      <c r="E26" s="71">
        <v>38</v>
      </c>
      <c r="F26" s="45">
        <v>301</v>
      </c>
      <c r="G26" s="32"/>
      <c r="H26" s="32">
        <v>1.865</v>
      </c>
      <c r="I26" s="32">
        <v>1.857</v>
      </c>
      <c r="J26" s="33">
        <f t="shared" si="0"/>
        <v>8.0000000000000071E-3</v>
      </c>
      <c r="K26" s="34" t="str">
        <f t="shared" si="1"/>
        <v/>
      </c>
      <c r="L26" s="35">
        <f t="shared" si="2"/>
        <v>7.5250000000000004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2554</v>
      </c>
      <c r="S26" s="28" t="s">
        <v>21</v>
      </c>
      <c r="T26" s="46"/>
      <c r="U26" s="28" t="s">
        <v>31</v>
      </c>
    </row>
    <row r="27" spans="1:21" s="27" customFormat="1" x14ac:dyDescent="0.25">
      <c r="A27" s="28" t="s">
        <v>21</v>
      </c>
      <c r="B27" s="28" t="s">
        <v>2525</v>
      </c>
      <c r="C27" s="28" t="s">
        <v>21</v>
      </c>
      <c r="D27" s="31">
        <v>1</v>
      </c>
      <c r="E27" s="71">
        <v>43</v>
      </c>
      <c r="F27" s="45">
        <v>301</v>
      </c>
      <c r="G27" s="32"/>
      <c r="H27" s="32">
        <v>1.8440000000000001</v>
      </c>
      <c r="I27" s="32">
        <v>1.837</v>
      </c>
      <c r="J27" s="33">
        <f t="shared" si="0"/>
        <v>7.0000000000001172E-3</v>
      </c>
      <c r="K27" s="34" t="str">
        <f t="shared" si="1"/>
        <v/>
      </c>
      <c r="L27" s="35">
        <f t="shared" si="2"/>
        <v>7.5250000000000004</v>
      </c>
      <c r="M27" s="36" t="str">
        <f t="shared" si="3"/>
        <v/>
      </c>
      <c r="N27" s="37" t="s">
        <v>18</v>
      </c>
      <c r="O27" s="29">
        <v>1</v>
      </c>
      <c r="P27" s="38">
        <v>40</v>
      </c>
      <c r="Q27" s="46"/>
      <c r="R27" s="28" t="s">
        <v>2567</v>
      </c>
      <c r="S27" s="71" t="s">
        <v>58</v>
      </c>
      <c r="T27" s="46"/>
      <c r="U27" s="28" t="s">
        <v>31</v>
      </c>
    </row>
    <row r="28" spans="1:21" s="27" customFormat="1" x14ac:dyDescent="0.25">
      <c r="A28" s="28" t="s">
        <v>21</v>
      </c>
      <c r="B28" s="28" t="s">
        <v>2526</v>
      </c>
      <c r="C28" s="28" t="s">
        <v>21</v>
      </c>
      <c r="D28" s="31">
        <v>1</v>
      </c>
      <c r="E28" s="71">
        <v>17</v>
      </c>
      <c r="F28" s="45">
        <v>302</v>
      </c>
      <c r="G28" s="32"/>
      <c r="H28" s="32">
        <v>1.845</v>
      </c>
      <c r="I28" s="32">
        <v>1.8340000000000001</v>
      </c>
      <c r="J28" s="33">
        <f t="shared" si="0"/>
        <v>1.0999999999999899E-2</v>
      </c>
      <c r="K28" s="34" t="str">
        <f t="shared" si="1"/>
        <v/>
      </c>
      <c r="L28" s="35">
        <f t="shared" si="2"/>
        <v>7.55</v>
      </c>
      <c r="M28" s="36" t="str">
        <f t="shared" si="3"/>
        <v/>
      </c>
      <c r="N28" s="37" t="s">
        <v>18</v>
      </c>
      <c r="O28" s="29">
        <v>1</v>
      </c>
      <c r="P28" s="38">
        <v>40</v>
      </c>
      <c r="Q28" s="46"/>
      <c r="R28" s="28" t="s">
        <v>2568</v>
      </c>
      <c r="S28" s="71" t="s">
        <v>59</v>
      </c>
      <c r="T28" s="46"/>
      <c r="U28" s="28" t="s">
        <v>31</v>
      </c>
    </row>
    <row r="29" spans="1:21" s="27" customFormat="1" x14ac:dyDescent="0.25">
      <c r="A29" s="28" t="s">
        <v>21</v>
      </c>
      <c r="B29" s="28" t="s">
        <v>2527</v>
      </c>
      <c r="C29" s="28" t="s">
        <v>21</v>
      </c>
      <c r="D29" s="31">
        <v>1</v>
      </c>
      <c r="E29" s="71">
        <v>24</v>
      </c>
      <c r="F29" s="45">
        <v>302</v>
      </c>
      <c r="G29" s="32"/>
      <c r="H29" s="32">
        <v>1.847</v>
      </c>
      <c r="I29" s="32">
        <v>1.8380000000000001</v>
      </c>
      <c r="J29" s="33">
        <f t="shared" si="0"/>
        <v>8.999999999999897E-3</v>
      </c>
      <c r="K29" s="34" t="str">
        <f t="shared" si="1"/>
        <v/>
      </c>
      <c r="L29" s="35">
        <f t="shared" si="2"/>
        <v>7.55</v>
      </c>
      <c r="M29" s="36" t="str">
        <f t="shared" si="3"/>
        <v/>
      </c>
      <c r="N29" s="37" t="s">
        <v>18</v>
      </c>
      <c r="O29" s="29">
        <v>1</v>
      </c>
      <c r="P29" s="38">
        <v>40</v>
      </c>
      <c r="Q29" s="46"/>
      <c r="R29" s="28" t="s">
        <v>2569</v>
      </c>
      <c r="S29" s="28" t="s">
        <v>21</v>
      </c>
      <c r="T29" s="46"/>
      <c r="U29" s="28" t="s">
        <v>31</v>
      </c>
    </row>
    <row r="30" spans="1:21" s="27" customFormat="1" x14ac:dyDescent="0.25">
      <c r="A30" s="28" t="s">
        <v>21</v>
      </c>
      <c r="B30" s="28" t="s">
        <v>2528</v>
      </c>
      <c r="C30" s="28" t="s">
        <v>21</v>
      </c>
      <c r="D30" s="31">
        <v>1</v>
      </c>
      <c r="E30" s="71">
        <v>22</v>
      </c>
      <c r="F30" s="45">
        <v>303</v>
      </c>
      <c r="G30" s="32"/>
      <c r="H30" s="32">
        <v>1.85</v>
      </c>
      <c r="I30" s="32">
        <v>1.841</v>
      </c>
      <c r="J30" s="33">
        <f t="shared" si="0"/>
        <v>9.000000000000119E-3</v>
      </c>
      <c r="K30" s="34" t="str">
        <f t="shared" si="1"/>
        <v/>
      </c>
      <c r="L30" s="35">
        <f t="shared" si="2"/>
        <v>7.5750000000000002</v>
      </c>
      <c r="M30" s="36" t="str">
        <f t="shared" si="3"/>
        <v/>
      </c>
      <c r="N30" s="37" t="s">
        <v>18</v>
      </c>
      <c r="O30" s="29">
        <v>1</v>
      </c>
      <c r="P30" s="38">
        <v>40</v>
      </c>
      <c r="Q30" s="46"/>
      <c r="R30" s="28" t="s">
        <v>2570</v>
      </c>
      <c r="S30" s="28" t="s">
        <v>21</v>
      </c>
      <c r="T30" s="46"/>
      <c r="U30" s="28" t="s">
        <v>31</v>
      </c>
    </row>
    <row r="31" spans="1:21" s="27" customFormat="1" x14ac:dyDescent="0.25">
      <c r="A31" s="28" t="s">
        <v>21</v>
      </c>
      <c r="B31" s="28" t="s">
        <v>2529</v>
      </c>
      <c r="C31" s="28" t="s">
        <v>21</v>
      </c>
      <c r="D31" s="31">
        <v>1</v>
      </c>
      <c r="E31" s="71">
        <v>31</v>
      </c>
      <c r="F31" s="45">
        <v>302</v>
      </c>
      <c r="G31" s="32"/>
      <c r="H31" s="32">
        <v>1.8620000000000001</v>
      </c>
      <c r="I31" s="32">
        <v>1.853</v>
      </c>
      <c r="J31" s="33">
        <f t="shared" si="0"/>
        <v>9.000000000000119E-3</v>
      </c>
      <c r="K31" s="34" t="str">
        <f t="shared" si="1"/>
        <v/>
      </c>
      <c r="L31" s="35">
        <f t="shared" si="2"/>
        <v>7.55</v>
      </c>
      <c r="M31" s="36" t="str">
        <f t="shared" si="3"/>
        <v/>
      </c>
      <c r="N31" s="37" t="s">
        <v>18</v>
      </c>
      <c r="O31" s="29">
        <v>1</v>
      </c>
      <c r="P31" s="38">
        <v>40</v>
      </c>
      <c r="Q31" s="46"/>
      <c r="R31" s="28" t="s">
        <v>2571</v>
      </c>
      <c r="S31" s="28" t="s">
        <v>21</v>
      </c>
      <c r="T31" s="46"/>
      <c r="U31" s="28" t="s">
        <v>31</v>
      </c>
    </row>
    <row r="32" spans="1:21" s="27" customFormat="1" x14ac:dyDescent="0.25">
      <c r="A32" s="28" t="s">
        <v>2555</v>
      </c>
      <c r="B32" s="28" t="s">
        <v>2556</v>
      </c>
      <c r="C32" s="28">
        <v>784502</v>
      </c>
      <c r="D32" s="31">
        <v>1</v>
      </c>
      <c r="E32" s="71">
        <v>2</v>
      </c>
      <c r="F32" s="45">
        <v>609</v>
      </c>
      <c r="G32" s="32">
        <v>1.831</v>
      </c>
      <c r="H32" s="32">
        <v>3.6579999999999999</v>
      </c>
      <c r="I32" s="32">
        <v>3.64</v>
      </c>
      <c r="J32" s="33">
        <f>IF(O32&lt;&gt;"",(H32-I32)/O32,"")</f>
        <v>8.999999999999897E-3</v>
      </c>
      <c r="K32" s="34" t="str">
        <f t="shared" si="1"/>
        <v/>
      </c>
      <c r="L32" s="35">
        <f>F32/(O32*P32)</f>
        <v>7.6124999999999998</v>
      </c>
      <c r="M32" s="36" t="str">
        <f>IF(L32=0,"",IF(OR(L32&lt;7,L32&gt;7.8),"X",""))</f>
        <v/>
      </c>
      <c r="N32" s="37" t="s">
        <v>20</v>
      </c>
      <c r="O32" s="29">
        <v>2</v>
      </c>
      <c r="P32" s="38">
        <v>40</v>
      </c>
      <c r="Q32" s="28"/>
      <c r="R32" s="28" t="s">
        <v>2560</v>
      </c>
      <c r="S32" s="71" t="s">
        <v>58</v>
      </c>
      <c r="T32" s="28"/>
      <c r="U32" s="28" t="s">
        <v>31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31">
        <v>1</v>
      </c>
      <c r="E33" s="71"/>
      <c r="F33" s="31"/>
      <c r="G33" s="32">
        <v>1.8280000000000001</v>
      </c>
      <c r="H33" s="32"/>
      <c r="I33" s="32"/>
      <c r="J33" s="33"/>
      <c r="K33" s="34" t="str">
        <f t="shared" si="1"/>
        <v/>
      </c>
      <c r="L33" s="35"/>
      <c r="M33" s="36" t="str">
        <f t="shared" ref="M33:M35" si="4">IF(L33=0,"",IF(OR(L33&lt;7.4,L33&gt;8),"X",""))</f>
        <v/>
      </c>
      <c r="N33" s="37"/>
      <c r="O33" s="29"/>
      <c r="P33" s="38"/>
      <c r="Q33" s="28"/>
      <c r="R33" s="28" t="s">
        <v>2561</v>
      </c>
      <c r="S33" s="71" t="s">
        <v>59</v>
      </c>
      <c r="T33" s="28"/>
      <c r="U33" s="28" t="s">
        <v>31</v>
      </c>
    </row>
    <row r="34" spans="1:21" s="27" customFormat="1" x14ac:dyDescent="0.25">
      <c r="A34" s="28" t="s">
        <v>21</v>
      </c>
      <c r="B34" s="28" t="s">
        <v>2557</v>
      </c>
      <c r="C34" s="28" t="s">
        <v>21</v>
      </c>
      <c r="D34" s="31">
        <v>1</v>
      </c>
      <c r="E34" s="71">
        <v>15</v>
      </c>
      <c r="F34" s="45">
        <v>604</v>
      </c>
      <c r="G34" s="32">
        <v>1.823</v>
      </c>
      <c r="H34" s="32">
        <v>3.6589999999999998</v>
      </c>
      <c r="I34" s="32">
        <v>3.6459999999999999</v>
      </c>
      <c r="J34" s="33">
        <f>IF(O34&lt;&gt;"",(H34-I34)/O34,"")</f>
        <v>6.4999999999999503E-3</v>
      </c>
      <c r="K34" s="34" t="str">
        <f t="shared" si="1"/>
        <v/>
      </c>
      <c r="L34" s="35">
        <f>F34/(O34*P34)</f>
        <v>7.55</v>
      </c>
      <c r="M34" s="36" t="str">
        <f>IF(L34=0,"",IF(OR(L34&lt;7,L34&gt;7.8),"X",""))</f>
        <v/>
      </c>
      <c r="N34" s="37" t="s">
        <v>20</v>
      </c>
      <c r="O34" s="29">
        <v>2</v>
      </c>
      <c r="P34" s="38">
        <v>40</v>
      </c>
      <c r="Q34" s="28"/>
      <c r="R34" s="28" t="s">
        <v>2562</v>
      </c>
      <c r="S34" s="28" t="s">
        <v>21</v>
      </c>
      <c r="T34" s="28"/>
      <c r="U34" s="28" t="s">
        <v>31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31">
        <v>1</v>
      </c>
      <c r="E35" s="71"/>
      <c r="F35" s="31"/>
      <c r="G35" s="32">
        <v>1.8340000000000001</v>
      </c>
      <c r="H35" s="32"/>
      <c r="I35" s="32"/>
      <c r="J35" s="33"/>
      <c r="K35" s="34" t="str">
        <f t="shared" si="1"/>
        <v/>
      </c>
      <c r="L35" s="35"/>
      <c r="M35" s="36" t="str">
        <f t="shared" si="4"/>
        <v/>
      </c>
      <c r="N35" s="37"/>
      <c r="O35" s="29"/>
      <c r="P35" s="38"/>
      <c r="Q35" s="28"/>
      <c r="R35" s="28" t="s">
        <v>2563</v>
      </c>
      <c r="S35" s="28" t="s">
        <v>21</v>
      </c>
      <c r="T35" s="28"/>
      <c r="U35" s="28" t="s">
        <v>31</v>
      </c>
    </row>
    <row r="36" spans="1:21" s="27" customFormat="1" x14ac:dyDescent="0.25">
      <c r="A36" s="28" t="s">
        <v>2558</v>
      </c>
      <c r="B36" s="28" t="s">
        <v>2559</v>
      </c>
      <c r="C36" s="28">
        <v>784502</v>
      </c>
      <c r="D36" s="31">
        <v>1</v>
      </c>
      <c r="E36" s="71">
        <v>15</v>
      </c>
      <c r="F36" s="45">
        <v>908</v>
      </c>
      <c r="G36" s="32">
        <v>1.8280000000000001</v>
      </c>
      <c r="H36" s="32">
        <v>5.4690000000000003</v>
      </c>
      <c r="I36" s="32">
        <v>5.4420000000000002</v>
      </c>
      <c r="J36" s="33">
        <f>IF(O36&lt;&gt;"",(H36-I36)/O36,"")</f>
        <v>9.0000000000000444E-3</v>
      </c>
      <c r="K36" s="34" t="str">
        <f t="shared" si="1"/>
        <v/>
      </c>
      <c r="L36" s="35">
        <f>F36/(O36*P36)</f>
        <v>7.5666666666666664</v>
      </c>
      <c r="M36" s="36" t="str">
        <f>IF(L36=0,"",IF(OR(L36&lt;7,L36&gt;7.8),"X",""))</f>
        <v/>
      </c>
      <c r="N36" s="37" t="s">
        <v>23</v>
      </c>
      <c r="O36" s="29">
        <v>3</v>
      </c>
      <c r="P36" s="38">
        <v>40</v>
      </c>
      <c r="Q36" s="28"/>
      <c r="R36" s="28" t="s">
        <v>2564</v>
      </c>
      <c r="S36" s="28" t="s">
        <v>21</v>
      </c>
      <c r="T36" s="46"/>
      <c r="U36" s="28" t="s">
        <v>31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31">
        <v>1</v>
      </c>
      <c r="E37" s="71"/>
      <c r="F37" s="31"/>
      <c r="G37" s="32">
        <v>1.8149999999999999</v>
      </c>
      <c r="H37" s="32"/>
      <c r="I37" s="32"/>
      <c r="J37" s="33" t="str">
        <f t="shared" ref="J37:J38" si="5">IF(O37&lt;&gt;"",(H37-I37)/O37,"")</f>
        <v/>
      </c>
      <c r="K37" s="34"/>
      <c r="L37" s="35"/>
      <c r="M37" s="36" t="str">
        <f t="shared" ref="M37:M38" si="6">IF(L37=0,"",IF(OR(L37&lt;7.4,L37&gt;8),"X",""))</f>
        <v/>
      </c>
      <c r="N37" s="37"/>
      <c r="O37" s="29"/>
      <c r="P37" s="38"/>
      <c r="Q37" s="28"/>
      <c r="R37" s="28" t="s">
        <v>2565</v>
      </c>
      <c r="S37" s="28" t="s">
        <v>21</v>
      </c>
      <c r="T37" s="46"/>
      <c r="U37" s="28" t="s">
        <v>31</v>
      </c>
    </row>
    <row r="38" spans="1:21" s="27" customFormat="1" ht="14.25" customHeight="1" x14ac:dyDescent="0.25">
      <c r="A38" s="28" t="s">
        <v>21</v>
      </c>
      <c r="B38" s="28" t="s">
        <v>21</v>
      </c>
      <c r="C38" s="28" t="s">
        <v>21</v>
      </c>
      <c r="D38" s="31">
        <v>1</v>
      </c>
      <c r="E38" s="71"/>
      <c r="F38" s="31"/>
      <c r="G38" s="32">
        <v>1.8260000000000001</v>
      </c>
      <c r="H38" s="32"/>
      <c r="I38" s="32"/>
      <c r="J38" s="33" t="str">
        <f t="shared" si="5"/>
        <v/>
      </c>
      <c r="K38" s="34"/>
      <c r="L38" s="35"/>
      <c r="M38" s="36" t="str">
        <f t="shared" si="6"/>
        <v/>
      </c>
      <c r="N38" s="37"/>
      <c r="O38" s="29"/>
      <c r="P38" s="38"/>
      <c r="Q38" s="28"/>
      <c r="R38" s="28" t="s">
        <v>2566</v>
      </c>
      <c r="S38" s="28" t="s">
        <v>21</v>
      </c>
      <c r="T38" s="46"/>
      <c r="U38" s="28" t="s">
        <v>31</v>
      </c>
    </row>
    <row r="39" spans="1:21" s="27" customFormat="1" x14ac:dyDescent="0.25">
      <c r="A39" s="28" t="s">
        <v>2572</v>
      </c>
      <c r="B39" s="28" t="s">
        <v>2573</v>
      </c>
      <c r="C39" s="28">
        <v>698227</v>
      </c>
      <c r="D39" s="31">
        <v>1</v>
      </c>
      <c r="E39" s="71">
        <v>37</v>
      </c>
      <c r="F39" s="31">
        <v>186</v>
      </c>
      <c r="G39" s="32"/>
      <c r="H39" s="32">
        <v>1.8740000000000001</v>
      </c>
      <c r="I39" s="32">
        <v>1.867</v>
      </c>
      <c r="J39" s="33">
        <f t="shared" ref="J39:J58" si="7">IF(O39&lt;&gt;"",(H39-I39)/O39,"")</f>
        <v>7.0000000000001172E-3</v>
      </c>
      <c r="K39" s="34" t="str">
        <f t="shared" ref="K39:K80" si="8">IF(J39=0,"",IF(OR(J39&lt;0,J39&gt;0.03),"X",""))</f>
        <v/>
      </c>
      <c r="L39" s="35">
        <f t="shared" ref="L39:L58" si="9">F39/(O39*P39)</f>
        <v>7.44</v>
      </c>
      <c r="M39" s="36" t="str">
        <f t="shared" ref="M39:M58" si="10">IF(L39=0,"",IF(OR(L39&lt;7,L39&gt;7.8),"X",""))</f>
        <v/>
      </c>
      <c r="N39" s="37" t="s">
        <v>16</v>
      </c>
      <c r="O39" s="29">
        <v>1</v>
      </c>
      <c r="P39" s="38">
        <v>25</v>
      </c>
      <c r="Q39" s="28"/>
      <c r="R39" s="28" t="s">
        <v>2593</v>
      </c>
      <c r="S39" s="91" t="s">
        <v>58</v>
      </c>
      <c r="T39" s="28"/>
      <c r="U39" s="28" t="s">
        <v>31</v>
      </c>
    </row>
    <row r="40" spans="1:21" s="27" customFormat="1" x14ac:dyDescent="0.25">
      <c r="A40" s="28" t="s">
        <v>21</v>
      </c>
      <c r="B40" s="28" t="s">
        <v>2574</v>
      </c>
      <c r="C40" s="28" t="s">
        <v>21</v>
      </c>
      <c r="D40" s="31">
        <v>1</v>
      </c>
      <c r="E40" s="71">
        <v>31</v>
      </c>
      <c r="F40" s="31">
        <v>187</v>
      </c>
      <c r="G40" s="32"/>
      <c r="H40" s="32">
        <v>1.877</v>
      </c>
      <c r="I40" s="32">
        <v>1.8680000000000001</v>
      </c>
      <c r="J40" s="33">
        <f t="shared" si="7"/>
        <v>8.999999999999897E-3</v>
      </c>
      <c r="K40" s="34" t="str">
        <f t="shared" si="8"/>
        <v/>
      </c>
      <c r="L40" s="35">
        <f t="shared" si="9"/>
        <v>7.48</v>
      </c>
      <c r="M40" s="36" t="str">
        <f t="shared" si="10"/>
        <v/>
      </c>
      <c r="N40" s="37" t="s">
        <v>16</v>
      </c>
      <c r="O40" s="29">
        <v>1</v>
      </c>
      <c r="P40" s="38">
        <v>25</v>
      </c>
      <c r="Q40" s="28"/>
      <c r="R40" s="28" t="s">
        <v>2595</v>
      </c>
      <c r="S40" s="91" t="s">
        <v>59</v>
      </c>
      <c r="T40" s="28"/>
      <c r="U40" s="28" t="s">
        <v>31</v>
      </c>
    </row>
    <row r="41" spans="1:21" s="27" customFormat="1" x14ac:dyDescent="0.25">
      <c r="A41" s="28" t="s">
        <v>21</v>
      </c>
      <c r="B41" s="28" t="s">
        <v>2575</v>
      </c>
      <c r="C41" s="28" t="s">
        <v>21</v>
      </c>
      <c r="D41" s="31">
        <v>1</v>
      </c>
      <c r="E41" s="71">
        <v>43</v>
      </c>
      <c r="F41" s="31">
        <v>186</v>
      </c>
      <c r="G41" s="32"/>
      <c r="H41" s="32">
        <v>1.8660000000000001</v>
      </c>
      <c r="I41" s="32">
        <v>1.8580000000000001</v>
      </c>
      <c r="J41" s="33">
        <f t="shared" si="7"/>
        <v>8.0000000000000071E-3</v>
      </c>
      <c r="K41" s="34" t="str">
        <f t="shared" si="8"/>
        <v/>
      </c>
      <c r="L41" s="35">
        <f t="shared" si="9"/>
        <v>7.44</v>
      </c>
      <c r="M41" s="36" t="str">
        <f t="shared" si="10"/>
        <v/>
      </c>
      <c r="N41" s="37" t="s">
        <v>16</v>
      </c>
      <c r="O41" s="29">
        <v>1</v>
      </c>
      <c r="P41" s="38">
        <v>25</v>
      </c>
      <c r="Q41" s="28"/>
      <c r="R41" s="28" t="s">
        <v>2597</v>
      </c>
      <c r="S41" s="92" t="s">
        <v>21</v>
      </c>
      <c r="T41" s="28"/>
      <c r="U41" s="28" t="s">
        <v>31</v>
      </c>
    </row>
    <row r="42" spans="1:21" s="27" customFormat="1" x14ac:dyDescent="0.25">
      <c r="A42" s="28" t="s">
        <v>21</v>
      </c>
      <c r="B42" s="28" t="s">
        <v>2576</v>
      </c>
      <c r="C42" s="28" t="s">
        <v>21</v>
      </c>
      <c r="D42" s="31">
        <v>1</v>
      </c>
      <c r="E42" s="71">
        <v>60</v>
      </c>
      <c r="F42" s="31">
        <v>185</v>
      </c>
      <c r="G42" s="32"/>
      <c r="H42" s="32">
        <v>1.869</v>
      </c>
      <c r="I42" s="32">
        <v>1.863</v>
      </c>
      <c r="J42" s="33">
        <f t="shared" si="7"/>
        <v>6.0000000000000053E-3</v>
      </c>
      <c r="K42" s="34" t="str">
        <f t="shared" si="8"/>
        <v/>
      </c>
      <c r="L42" s="35">
        <f t="shared" si="9"/>
        <v>7.4</v>
      </c>
      <c r="M42" s="36" t="str">
        <f t="shared" si="10"/>
        <v/>
      </c>
      <c r="N42" s="37" t="s">
        <v>16</v>
      </c>
      <c r="O42" s="29">
        <v>1</v>
      </c>
      <c r="P42" s="38">
        <v>25</v>
      </c>
      <c r="Q42" s="28"/>
      <c r="R42" s="28" t="s">
        <v>2598</v>
      </c>
      <c r="S42" s="92" t="s">
        <v>21</v>
      </c>
      <c r="T42" s="28"/>
      <c r="U42" s="28" t="s">
        <v>31</v>
      </c>
    </row>
    <row r="43" spans="1:21" s="27" customFormat="1" x14ac:dyDescent="0.25">
      <c r="A43" s="28" t="s">
        <v>21</v>
      </c>
      <c r="B43" s="28" t="s">
        <v>2577</v>
      </c>
      <c r="C43" s="28" t="s">
        <v>21</v>
      </c>
      <c r="D43" s="31">
        <v>1</v>
      </c>
      <c r="E43" s="71">
        <v>47</v>
      </c>
      <c r="F43" s="31">
        <v>186</v>
      </c>
      <c r="G43" s="32"/>
      <c r="H43" s="32">
        <v>1.8580000000000001</v>
      </c>
      <c r="I43" s="32">
        <v>1.85</v>
      </c>
      <c r="J43" s="33">
        <f t="shared" si="7"/>
        <v>8.0000000000000071E-3</v>
      </c>
      <c r="K43" s="34" t="str">
        <f t="shared" si="8"/>
        <v/>
      </c>
      <c r="L43" s="35">
        <f t="shared" si="9"/>
        <v>7.44</v>
      </c>
      <c r="M43" s="36" t="str">
        <f t="shared" si="10"/>
        <v/>
      </c>
      <c r="N43" s="37" t="s">
        <v>16</v>
      </c>
      <c r="O43" s="29">
        <v>1</v>
      </c>
      <c r="P43" s="38">
        <v>25</v>
      </c>
      <c r="Q43" s="28"/>
      <c r="R43" s="28" t="s">
        <v>2594</v>
      </c>
      <c r="S43" s="92" t="s">
        <v>21</v>
      </c>
      <c r="T43" s="28"/>
      <c r="U43" s="28" t="s">
        <v>31</v>
      </c>
    </row>
    <row r="44" spans="1:21" s="27" customFormat="1" x14ac:dyDescent="0.25">
      <c r="A44" s="28" t="s">
        <v>21</v>
      </c>
      <c r="B44" s="28" t="s">
        <v>2578</v>
      </c>
      <c r="C44" s="28" t="s">
        <v>21</v>
      </c>
      <c r="D44" s="31">
        <v>1</v>
      </c>
      <c r="E44" s="71">
        <v>10</v>
      </c>
      <c r="F44" s="31">
        <v>186</v>
      </c>
      <c r="G44" s="32"/>
      <c r="H44" s="32">
        <v>1.891</v>
      </c>
      <c r="I44" s="32">
        <v>1.8819999999999999</v>
      </c>
      <c r="J44" s="33">
        <f t="shared" si="7"/>
        <v>9.000000000000119E-3</v>
      </c>
      <c r="K44" s="34" t="str">
        <f t="shared" si="8"/>
        <v/>
      </c>
      <c r="L44" s="35">
        <f t="shared" si="9"/>
        <v>7.44</v>
      </c>
      <c r="M44" s="36" t="str">
        <f t="shared" si="10"/>
        <v/>
      </c>
      <c r="N44" s="37" t="s">
        <v>16</v>
      </c>
      <c r="O44" s="29">
        <v>1</v>
      </c>
      <c r="P44" s="38">
        <v>25</v>
      </c>
      <c r="Q44" s="28"/>
      <c r="R44" s="28" t="s">
        <v>2600</v>
      </c>
      <c r="S44" s="91" t="s">
        <v>103</v>
      </c>
      <c r="T44" s="28"/>
      <c r="U44" s="28" t="s">
        <v>31</v>
      </c>
    </row>
    <row r="45" spans="1:21" s="27" customFormat="1" x14ac:dyDescent="0.25">
      <c r="A45" s="28" t="s">
        <v>21</v>
      </c>
      <c r="B45" s="28" t="s">
        <v>2579</v>
      </c>
      <c r="C45" s="28" t="s">
        <v>21</v>
      </c>
      <c r="D45" s="31">
        <v>1</v>
      </c>
      <c r="E45" s="71">
        <v>15</v>
      </c>
      <c r="F45" s="31">
        <v>187</v>
      </c>
      <c r="G45" s="32"/>
      <c r="H45" s="32">
        <v>1.9039999999999999</v>
      </c>
      <c r="I45" s="32">
        <v>1.8959999999999999</v>
      </c>
      <c r="J45" s="33">
        <f t="shared" si="7"/>
        <v>8.0000000000000071E-3</v>
      </c>
      <c r="K45" s="34" t="str">
        <f t="shared" si="8"/>
        <v/>
      </c>
      <c r="L45" s="35">
        <f t="shared" si="9"/>
        <v>7.48</v>
      </c>
      <c r="M45" s="36" t="str">
        <f t="shared" si="10"/>
        <v/>
      </c>
      <c r="N45" s="37" t="s">
        <v>16</v>
      </c>
      <c r="O45" s="29">
        <v>1</v>
      </c>
      <c r="P45" s="38">
        <v>25</v>
      </c>
      <c r="Q45" s="28"/>
      <c r="R45" s="28" t="s">
        <v>2601</v>
      </c>
      <c r="S45" s="91" t="s">
        <v>59</v>
      </c>
      <c r="T45" s="28"/>
      <c r="U45" s="28" t="s">
        <v>31</v>
      </c>
    </row>
    <row r="46" spans="1:21" s="27" customFormat="1" x14ac:dyDescent="0.25">
      <c r="A46" s="28" t="s">
        <v>21</v>
      </c>
      <c r="B46" s="28" t="s">
        <v>2580</v>
      </c>
      <c r="C46" s="28" t="s">
        <v>21</v>
      </c>
      <c r="D46" s="31">
        <v>1</v>
      </c>
      <c r="E46" s="71">
        <v>25</v>
      </c>
      <c r="F46" s="31">
        <v>187</v>
      </c>
      <c r="G46" s="32"/>
      <c r="H46" s="32">
        <v>1.887</v>
      </c>
      <c r="I46" s="32">
        <v>1.879</v>
      </c>
      <c r="J46" s="33">
        <f t="shared" si="7"/>
        <v>8.0000000000000071E-3</v>
      </c>
      <c r="K46" s="34" t="str">
        <f t="shared" si="8"/>
        <v/>
      </c>
      <c r="L46" s="35">
        <f t="shared" si="9"/>
        <v>7.48</v>
      </c>
      <c r="M46" s="36" t="str">
        <f t="shared" si="10"/>
        <v/>
      </c>
      <c r="N46" s="37" t="s">
        <v>16</v>
      </c>
      <c r="O46" s="29">
        <v>1</v>
      </c>
      <c r="P46" s="38">
        <v>25</v>
      </c>
      <c r="Q46" s="28"/>
      <c r="R46" s="28" t="s">
        <v>2596</v>
      </c>
      <c r="S46" s="92" t="s">
        <v>21</v>
      </c>
      <c r="T46" s="28"/>
      <c r="U46" s="28" t="s">
        <v>31</v>
      </c>
    </row>
    <row r="47" spans="1:21" s="27" customFormat="1" x14ac:dyDescent="0.25">
      <c r="A47" s="28" t="s">
        <v>21</v>
      </c>
      <c r="B47" s="28" t="s">
        <v>2581</v>
      </c>
      <c r="C47" s="28" t="s">
        <v>21</v>
      </c>
      <c r="D47" s="29">
        <v>1</v>
      </c>
      <c r="E47" s="71">
        <v>24</v>
      </c>
      <c r="F47" s="31">
        <v>187</v>
      </c>
      <c r="G47" s="32"/>
      <c r="H47" s="32">
        <v>1.8819999999999999</v>
      </c>
      <c r="I47" s="32">
        <v>1.875</v>
      </c>
      <c r="J47" s="33">
        <f t="shared" si="7"/>
        <v>6.9999999999998952E-3</v>
      </c>
      <c r="K47" s="34" t="str">
        <f t="shared" si="8"/>
        <v/>
      </c>
      <c r="L47" s="35">
        <f t="shared" si="9"/>
        <v>7.48</v>
      </c>
      <c r="M47" s="36" t="str">
        <f t="shared" si="10"/>
        <v/>
      </c>
      <c r="N47" s="37" t="s">
        <v>16</v>
      </c>
      <c r="O47" s="29">
        <v>1</v>
      </c>
      <c r="P47" s="38">
        <v>25</v>
      </c>
      <c r="Q47" s="28"/>
      <c r="R47" s="28" t="s">
        <v>2599</v>
      </c>
      <c r="S47" s="92" t="s">
        <v>21</v>
      </c>
      <c r="T47" s="28"/>
      <c r="U47" s="28" t="s">
        <v>31</v>
      </c>
    </row>
    <row r="48" spans="1:21" s="27" customFormat="1" x14ac:dyDescent="0.25">
      <c r="A48" s="28" t="s">
        <v>21</v>
      </c>
      <c r="B48" s="28" t="s">
        <v>2582</v>
      </c>
      <c r="C48" s="28" t="s">
        <v>21</v>
      </c>
      <c r="D48" s="29">
        <v>1</v>
      </c>
      <c r="E48" s="71">
        <v>31</v>
      </c>
      <c r="F48" s="31">
        <v>186</v>
      </c>
      <c r="G48" s="32"/>
      <c r="H48" s="32">
        <v>1.871</v>
      </c>
      <c r="I48" s="32">
        <v>1.8640000000000001</v>
      </c>
      <c r="J48" s="33">
        <f t="shared" si="7"/>
        <v>6.9999999999998952E-3</v>
      </c>
      <c r="K48" s="34" t="str">
        <f t="shared" si="8"/>
        <v/>
      </c>
      <c r="L48" s="35">
        <f t="shared" si="9"/>
        <v>7.44</v>
      </c>
      <c r="M48" s="36" t="str">
        <f t="shared" si="10"/>
        <v/>
      </c>
      <c r="N48" s="37" t="s">
        <v>16</v>
      </c>
      <c r="O48" s="29">
        <v>1</v>
      </c>
      <c r="P48" s="38">
        <v>25</v>
      </c>
      <c r="Q48" s="28"/>
      <c r="R48" s="28" t="s">
        <v>2602</v>
      </c>
      <c r="S48" s="92" t="s">
        <v>21</v>
      </c>
      <c r="T48" s="28"/>
      <c r="U48" s="28" t="s">
        <v>31</v>
      </c>
    </row>
    <row r="49" spans="1:21" s="27" customFormat="1" x14ac:dyDescent="0.25">
      <c r="A49" s="28" t="s">
        <v>21</v>
      </c>
      <c r="B49" s="28" t="s">
        <v>2583</v>
      </c>
      <c r="C49" s="28" t="s">
        <v>21</v>
      </c>
      <c r="D49" s="29">
        <v>1</v>
      </c>
      <c r="E49" s="71">
        <v>40</v>
      </c>
      <c r="F49" s="31">
        <v>188</v>
      </c>
      <c r="G49" s="32"/>
      <c r="H49" s="32">
        <v>1.849</v>
      </c>
      <c r="I49" s="32">
        <v>1.839</v>
      </c>
      <c r="J49" s="33">
        <f t="shared" si="7"/>
        <v>1.0000000000000009E-2</v>
      </c>
      <c r="K49" s="34" t="str">
        <f t="shared" si="8"/>
        <v/>
      </c>
      <c r="L49" s="35">
        <f t="shared" si="9"/>
        <v>7.52</v>
      </c>
      <c r="M49" s="36" t="str">
        <f t="shared" si="10"/>
        <v/>
      </c>
      <c r="N49" s="37" t="s">
        <v>16</v>
      </c>
      <c r="O49" s="29">
        <v>1</v>
      </c>
      <c r="P49" s="38">
        <v>25</v>
      </c>
      <c r="Q49" s="28"/>
      <c r="R49" s="28" t="s">
        <v>2603</v>
      </c>
      <c r="S49" s="91" t="s">
        <v>58</v>
      </c>
      <c r="T49" s="28"/>
      <c r="U49" s="28" t="s">
        <v>31</v>
      </c>
    </row>
    <row r="50" spans="1:21" s="27" customFormat="1" x14ac:dyDescent="0.25">
      <c r="A50" s="28" t="s">
        <v>21</v>
      </c>
      <c r="B50" s="28" t="s">
        <v>2584</v>
      </c>
      <c r="C50" s="28" t="s">
        <v>21</v>
      </c>
      <c r="D50" s="29">
        <v>1</v>
      </c>
      <c r="E50" s="71">
        <v>41</v>
      </c>
      <c r="F50" s="31">
        <v>187</v>
      </c>
      <c r="G50" s="32"/>
      <c r="H50" s="32">
        <v>1.859</v>
      </c>
      <c r="I50" s="32">
        <v>1.85</v>
      </c>
      <c r="J50" s="33">
        <f t="shared" si="7"/>
        <v>8.999999999999897E-3</v>
      </c>
      <c r="K50" s="34" t="str">
        <f t="shared" si="8"/>
        <v/>
      </c>
      <c r="L50" s="35">
        <f t="shared" si="9"/>
        <v>7.48</v>
      </c>
      <c r="M50" s="36" t="str">
        <f t="shared" si="10"/>
        <v/>
      </c>
      <c r="N50" s="37" t="s">
        <v>16</v>
      </c>
      <c r="O50" s="29">
        <v>1</v>
      </c>
      <c r="P50" s="38">
        <v>25</v>
      </c>
      <c r="Q50" s="28"/>
      <c r="R50" s="28" t="s">
        <v>2604</v>
      </c>
      <c r="S50" s="91" t="s">
        <v>59</v>
      </c>
      <c r="T50" s="28"/>
      <c r="U50" s="28" t="s">
        <v>31</v>
      </c>
    </row>
    <row r="51" spans="1:21" s="27" customFormat="1" x14ac:dyDescent="0.25">
      <c r="A51" s="28" t="s">
        <v>21</v>
      </c>
      <c r="B51" s="28" t="s">
        <v>2585</v>
      </c>
      <c r="C51" s="28" t="s">
        <v>21</v>
      </c>
      <c r="D51" s="29">
        <v>1</v>
      </c>
      <c r="E51" s="71">
        <v>37</v>
      </c>
      <c r="F51" s="31">
        <v>186</v>
      </c>
      <c r="G51" s="32"/>
      <c r="H51" s="32">
        <v>1.861</v>
      </c>
      <c r="I51" s="32">
        <v>1.8520000000000001</v>
      </c>
      <c r="J51" s="33">
        <f t="shared" si="7"/>
        <v>8.999999999999897E-3</v>
      </c>
      <c r="K51" s="34" t="str">
        <f t="shared" si="8"/>
        <v/>
      </c>
      <c r="L51" s="35">
        <f t="shared" si="9"/>
        <v>7.44</v>
      </c>
      <c r="M51" s="36" t="str">
        <f t="shared" si="10"/>
        <v/>
      </c>
      <c r="N51" s="37" t="s">
        <v>16</v>
      </c>
      <c r="O51" s="29">
        <v>1</v>
      </c>
      <c r="P51" s="38">
        <v>25</v>
      </c>
      <c r="Q51" s="28"/>
      <c r="R51" s="28" t="s">
        <v>2605</v>
      </c>
      <c r="S51" s="92" t="s">
        <v>21</v>
      </c>
      <c r="T51" s="28"/>
      <c r="U51" s="28" t="s">
        <v>31</v>
      </c>
    </row>
    <row r="52" spans="1:21" s="27" customFormat="1" x14ac:dyDescent="0.25">
      <c r="A52" s="28" t="s">
        <v>21</v>
      </c>
      <c r="B52" s="28" t="s">
        <v>2586</v>
      </c>
      <c r="C52" s="28" t="s">
        <v>21</v>
      </c>
      <c r="D52" s="29">
        <v>1</v>
      </c>
      <c r="E52" s="71">
        <v>40</v>
      </c>
      <c r="F52" s="31">
        <v>186</v>
      </c>
      <c r="G52" s="32"/>
      <c r="H52" s="32">
        <v>1.871</v>
      </c>
      <c r="I52" s="32">
        <v>1.8620000000000001</v>
      </c>
      <c r="J52" s="33">
        <f t="shared" si="7"/>
        <v>8.999999999999897E-3</v>
      </c>
      <c r="K52" s="34" t="str">
        <f t="shared" si="8"/>
        <v/>
      </c>
      <c r="L52" s="35">
        <f t="shared" si="9"/>
        <v>7.44</v>
      </c>
      <c r="M52" s="36" t="str">
        <f t="shared" si="10"/>
        <v/>
      </c>
      <c r="N52" s="37" t="s">
        <v>16</v>
      </c>
      <c r="O52" s="29">
        <v>1</v>
      </c>
      <c r="P52" s="38">
        <v>25</v>
      </c>
      <c r="Q52" s="28"/>
      <c r="R52" s="28" t="s">
        <v>2607</v>
      </c>
      <c r="S52" s="92" t="s">
        <v>21</v>
      </c>
      <c r="T52" s="28"/>
      <c r="U52" s="28" t="s">
        <v>31</v>
      </c>
    </row>
    <row r="53" spans="1:21" s="27" customFormat="1" x14ac:dyDescent="0.25">
      <c r="A53" s="28" t="s">
        <v>21</v>
      </c>
      <c r="B53" s="28" t="s">
        <v>2587</v>
      </c>
      <c r="C53" s="28" t="s">
        <v>21</v>
      </c>
      <c r="D53" s="29">
        <v>1</v>
      </c>
      <c r="E53" s="71">
        <v>41</v>
      </c>
      <c r="F53" s="31">
        <v>186</v>
      </c>
      <c r="G53" s="32"/>
      <c r="H53" s="32">
        <v>1.871</v>
      </c>
      <c r="I53" s="32">
        <v>1.863</v>
      </c>
      <c r="J53" s="33">
        <f t="shared" si="7"/>
        <v>8.0000000000000071E-3</v>
      </c>
      <c r="K53" s="34" t="str">
        <f t="shared" si="8"/>
        <v/>
      </c>
      <c r="L53" s="35">
        <f t="shared" si="9"/>
        <v>7.44</v>
      </c>
      <c r="M53" s="36" t="str">
        <f t="shared" si="10"/>
        <v/>
      </c>
      <c r="N53" s="37" t="s">
        <v>16</v>
      </c>
      <c r="O53" s="29">
        <v>1</v>
      </c>
      <c r="P53" s="38">
        <v>25</v>
      </c>
      <c r="Q53" s="28"/>
      <c r="R53" s="28" t="s">
        <v>2606</v>
      </c>
      <c r="S53" s="92" t="s">
        <v>21</v>
      </c>
      <c r="T53" s="28"/>
      <c r="U53" s="28" t="s">
        <v>31</v>
      </c>
    </row>
    <row r="54" spans="1:21" s="27" customFormat="1" x14ac:dyDescent="0.25">
      <c r="A54" s="28" t="s">
        <v>21</v>
      </c>
      <c r="B54" s="28" t="s">
        <v>2588</v>
      </c>
      <c r="C54" s="28" t="s">
        <v>21</v>
      </c>
      <c r="D54" s="29">
        <v>1</v>
      </c>
      <c r="E54" s="71">
        <v>27</v>
      </c>
      <c r="F54" s="31">
        <v>185</v>
      </c>
      <c r="G54" s="32"/>
      <c r="H54" s="32">
        <v>1.861</v>
      </c>
      <c r="I54" s="32">
        <v>1.8540000000000001</v>
      </c>
      <c r="J54" s="33">
        <f t="shared" si="7"/>
        <v>6.9999999999998952E-3</v>
      </c>
      <c r="K54" s="34" t="str">
        <f t="shared" si="8"/>
        <v/>
      </c>
      <c r="L54" s="35">
        <f t="shared" si="9"/>
        <v>7.4</v>
      </c>
      <c r="M54" s="36" t="str">
        <f t="shared" si="10"/>
        <v/>
      </c>
      <c r="N54" s="37" t="s">
        <v>16</v>
      </c>
      <c r="O54" s="29">
        <v>1</v>
      </c>
      <c r="P54" s="38">
        <v>25</v>
      </c>
      <c r="Q54" s="28"/>
      <c r="R54" s="28" t="s">
        <v>2608</v>
      </c>
      <c r="S54" s="91" t="s">
        <v>58</v>
      </c>
      <c r="T54" s="28"/>
      <c r="U54" s="28" t="s">
        <v>31</v>
      </c>
    </row>
    <row r="55" spans="1:21" s="27" customFormat="1" x14ac:dyDescent="0.25">
      <c r="A55" s="28" t="s">
        <v>21</v>
      </c>
      <c r="B55" s="28" t="s">
        <v>2589</v>
      </c>
      <c r="C55" s="28" t="s">
        <v>21</v>
      </c>
      <c r="D55" s="29">
        <v>1</v>
      </c>
      <c r="E55" s="71">
        <v>24</v>
      </c>
      <c r="F55" s="31">
        <v>185</v>
      </c>
      <c r="G55" s="32"/>
      <c r="H55" s="32">
        <v>1.865</v>
      </c>
      <c r="I55" s="32">
        <v>1.857</v>
      </c>
      <c r="J55" s="33">
        <f t="shared" si="7"/>
        <v>8.0000000000000071E-3</v>
      </c>
      <c r="K55" s="34" t="str">
        <f t="shared" si="8"/>
        <v/>
      </c>
      <c r="L55" s="35">
        <f t="shared" si="9"/>
        <v>7.4</v>
      </c>
      <c r="M55" s="36" t="str">
        <f t="shared" si="10"/>
        <v/>
      </c>
      <c r="N55" s="37" t="s">
        <v>16</v>
      </c>
      <c r="O55" s="29">
        <v>1</v>
      </c>
      <c r="P55" s="38">
        <v>25</v>
      </c>
      <c r="Q55" s="28"/>
      <c r="R55" s="28" t="s">
        <v>2610</v>
      </c>
      <c r="S55" s="91" t="s">
        <v>59</v>
      </c>
      <c r="T55" s="28"/>
      <c r="U55" s="28" t="s">
        <v>31</v>
      </c>
    </row>
    <row r="56" spans="1:21" s="27" customFormat="1" x14ac:dyDescent="0.25">
      <c r="A56" s="28" t="s">
        <v>21</v>
      </c>
      <c r="B56" s="28" t="s">
        <v>2590</v>
      </c>
      <c r="C56" s="28" t="s">
        <v>21</v>
      </c>
      <c r="D56" s="29">
        <v>1</v>
      </c>
      <c r="E56" s="71">
        <v>27</v>
      </c>
      <c r="F56" s="31">
        <v>186</v>
      </c>
      <c r="G56" s="32"/>
      <c r="H56" s="32">
        <v>1.8919999999999999</v>
      </c>
      <c r="I56" s="32">
        <v>1.885</v>
      </c>
      <c r="J56" s="33">
        <f t="shared" si="7"/>
        <v>6.9999999999998952E-3</v>
      </c>
      <c r="K56" s="34" t="str">
        <f t="shared" si="8"/>
        <v/>
      </c>
      <c r="L56" s="35">
        <f t="shared" si="9"/>
        <v>7.44</v>
      </c>
      <c r="M56" s="36" t="str">
        <f t="shared" si="10"/>
        <v/>
      </c>
      <c r="N56" s="37" t="s">
        <v>16</v>
      </c>
      <c r="O56" s="29">
        <v>1</v>
      </c>
      <c r="P56" s="38">
        <v>25</v>
      </c>
      <c r="Q56" s="28"/>
      <c r="R56" s="28" t="s">
        <v>2609</v>
      </c>
      <c r="S56" s="92" t="s">
        <v>21</v>
      </c>
      <c r="T56" s="28"/>
      <c r="U56" s="28" t="s">
        <v>31</v>
      </c>
    </row>
    <row r="57" spans="1:21" s="27" customFormat="1" x14ac:dyDescent="0.25">
      <c r="A57" s="28" t="s">
        <v>21</v>
      </c>
      <c r="B57" s="28" t="s">
        <v>2591</v>
      </c>
      <c r="C57" s="28" t="s">
        <v>21</v>
      </c>
      <c r="D57" s="29">
        <v>1</v>
      </c>
      <c r="E57" s="71">
        <v>20</v>
      </c>
      <c r="F57" s="31">
        <v>186</v>
      </c>
      <c r="G57" s="32"/>
      <c r="H57" s="32">
        <v>1.875</v>
      </c>
      <c r="I57" s="32">
        <v>1.8660000000000001</v>
      </c>
      <c r="J57" s="33">
        <f t="shared" si="7"/>
        <v>8.999999999999897E-3</v>
      </c>
      <c r="K57" s="34" t="str">
        <f t="shared" si="8"/>
        <v/>
      </c>
      <c r="L57" s="35">
        <f t="shared" si="9"/>
        <v>7.44</v>
      </c>
      <c r="M57" s="36" t="str">
        <f t="shared" si="10"/>
        <v/>
      </c>
      <c r="N57" s="37" t="s">
        <v>16</v>
      </c>
      <c r="O57" s="29">
        <v>1</v>
      </c>
      <c r="P57" s="38">
        <v>25</v>
      </c>
      <c r="Q57" s="28"/>
      <c r="R57" s="28" t="s">
        <v>2611</v>
      </c>
      <c r="S57" s="92" t="s">
        <v>21</v>
      </c>
      <c r="T57" s="28"/>
      <c r="U57" s="28" t="s">
        <v>31</v>
      </c>
    </row>
    <row r="58" spans="1:21" s="27" customFormat="1" x14ac:dyDescent="0.25">
      <c r="A58" s="28" t="s">
        <v>21</v>
      </c>
      <c r="B58" s="28" t="s">
        <v>2592</v>
      </c>
      <c r="C58" s="28" t="s">
        <v>21</v>
      </c>
      <c r="D58" s="29">
        <v>1</v>
      </c>
      <c r="E58" s="71">
        <v>16</v>
      </c>
      <c r="F58" s="31">
        <v>187</v>
      </c>
      <c r="G58" s="32"/>
      <c r="H58" s="32">
        <v>1.8879999999999999</v>
      </c>
      <c r="I58" s="32">
        <v>1.8819999999999999</v>
      </c>
      <c r="J58" s="33">
        <f t="shared" si="7"/>
        <v>6.0000000000000053E-3</v>
      </c>
      <c r="K58" s="34" t="str">
        <f t="shared" si="8"/>
        <v/>
      </c>
      <c r="L58" s="35">
        <f t="shared" si="9"/>
        <v>7.48</v>
      </c>
      <c r="M58" s="36" t="str">
        <f t="shared" si="10"/>
        <v/>
      </c>
      <c r="N58" s="37" t="s">
        <v>16</v>
      </c>
      <c r="O58" s="29">
        <v>1</v>
      </c>
      <c r="P58" s="38">
        <v>25</v>
      </c>
      <c r="Q58" s="28"/>
      <c r="R58" s="28" t="s">
        <v>2612</v>
      </c>
      <c r="S58" s="92" t="s">
        <v>21</v>
      </c>
      <c r="T58" s="28"/>
      <c r="U58" s="28" t="s">
        <v>31</v>
      </c>
    </row>
    <row r="59" spans="1:21" s="27" customFormat="1" x14ac:dyDescent="0.25">
      <c r="A59" s="28" t="s">
        <v>2613</v>
      </c>
      <c r="B59" s="28" t="s">
        <v>2614</v>
      </c>
      <c r="C59" s="28">
        <v>784502</v>
      </c>
      <c r="D59" s="29">
        <v>1</v>
      </c>
      <c r="E59" s="71">
        <v>29</v>
      </c>
      <c r="F59" s="45">
        <v>298</v>
      </c>
      <c r="G59" s="32"/>
      <c r="H59" s="32">
        <v>1.891</v>
      </c>
      <c r="I59" s="32">
        <v>1.883</v>
      </c>
      <c r="J59" s="33">
        <f t="shared" ref="J59:J64" si="11">IF(O59&lt;&gt;"",(H59-I59)/O59,"")</f>
        <v>8.0000000000000071E-3</v>
      </c>
      <c r="K59" s="34" t="str">
        <f t="shared" si="8"/>
        <v/>
      </c>
      <c r="L59" s="35">
        <f t="shared" ref="L59:L64" si="12">F59/(O59*P59)</f>
        <v>7.45</v>
      </c>
      <c r="M59" s="36" t="str">
        <f t="shared" ref="M59:M64" si="13">IF(L59=0,"",IF(OR(L59&lt;7,L59&gt;7.8),"X",""))</f>
        <v/>
      </c>
      <c r="N59" s="37" t="s">
        <v>27</v>
      </c>
      <c r="O59" s="29">
        <v>1</v>
      </c>
      <c r="P59" s="38">
        <v>40</v>
      </c>
      <c r="Q59" s="28"/>
      <c r="R59" s="28" t="s">
        <v>2619</v>
      </c>
      <c r="S59" s="91" t="s">
        <v>58</v>
      </c>
      <c r="T59" s="28"/>
      <c r="U59" s="28" t="s">
        <v>31</v>
      </c>
    </row>
    <row r="60" spans="1:21" s="27" customFormat="1" x14ac:dyDescent="0.25">
      <c r="A60" s="28" t="s">
        <v>21</v>
      </c>
      <c r="B60" s="28" t="s">
        <v>2615</v>
      </c>
      <c r="C60" s="28" t="s">
        <v>21</v>
      </c>
      <c r="D60" s="29">
        <v>1</v>
      </c>
      <c r="E60" s="71">
        <v>34</v>
      </c>
      <c r="F60" s="45">
        <v>298</v>
      </c>
      <c r="G60" s="32"/>
      <c r="H60" s="32">
        <v>1.891</v>
      </c>
      <c r="I60" s="32">
        <v>1.883</v>
      </c>
      <c r="J60" s="33">
        <f t="shared" si="11"/>
        <v>8.0000000000000071E-3</v>
      </c>
      <c r="K60" s="34" t="str">
        <f t="shared" si="8"/>
        <v/>
      </c>
      <c r="L60" s="35">
        <f t="shared" si="12"/>
        <v>7.45</v>
      </c>
      <c r="M60" s="36" t="str">
        <f t="shared" si="13"/>
        <v/>
      </c>
      <c r="N60" s="37" t="s">
        <v>27</v>
      </c>
      <c r="O60" s="29">
        <v>1</v>
      </c>
      <c r="P60" s="38">
        <v>40</v>
      </c>
      <c r="Q60" s="28"/>
      <c r="R60" s="28" t="s">
        <v>2620</v>
      </c>
      <c r="S60" s="91" t="s">
        <v>59</v>
      </c>
      <c r="T60" s="28"/>
      <c r="U60" s="28" t="s">
        <v>31</v>
      </c>
    </row>
    <row r="61" spans="1:21" s="27" customFormat="1" x14ac:dyDescent="0.25">
      <c r="A61" s="28" t="s">
        <v>21</v>
      </c>
      <c r="B61" s="28" t="s">
        <v>2616</v>
      </c>
      <c r="C61" s="28">
        <v>784502</v>
      </c>
      <c r="D61" s="29">
        <v>1</v>
      </c>
      <c r="E61" s="71">
        <v>40</v>
      </c>
      <c r="F61" s="45">
        <v>297</v>
      </c>
      <c r="G61" s="32"/>
      <c r="H61" s="32">
        <v>1.8879999999999999</v>
      </c>
      <c r="I61" s="32">
        <v>1.883</v>
      </c>
      <c r="J61" s="33">
        <f t="shared" si="11"/>
        <v>4.9999999999998934E-3</v>
      </c>
      <c r="K61" s="34" t="str">
        <f t="shared" si="8"/>
        <v/>
      </c>
      <c r="L61" s="35">
        <f t="shared" si="12"/>
        <v>7.4249999999999998</v>
      </c>
      <c r="M61" s="36" t="str">
        <f t="shared" si="13"/>
        <v/>
      </c>
      <c r="N61" s="37" t="s">
        <v>27</v>
      </c>
      <c r="O61" s="29">
        <v>1</v>
      </c>
      <c r="P61" s="38">
        <v>40</v>
      </c>
      <c r="Q61" s="28"/>
      <c r="R61" s="28" t="s">
        <v>2621</v>
      </c>
      <c r="S61" s="92" t="s">
        <v>21</v>
      </c>
      <c r="T61" s="28"/>
      <c r="U61" s="28" t="s">
        <v>31</v>
      </c>
    </row>
    <row r="62" spans="1:21" s="27" customFormat="1" x14ac:dyDescent="0.25">
      <c r="A62" s="28" t="s">
        <v>21</v>
      </c>
      <c r="B62" s="28" t="s">
        <v>2617</v>
      </c>
      <c r="C62" s="28" t="s">
        <v>21</v>
      </c>
      <c r="D62" s="29">
        <v>1</v>
      </c>
      <c r="E62" s="71">
        <v>36</v>
      </c>
      <c r="F62" s="45">
        <v>297</v>
      </c>
      <c r="G62" s="32"/>
      <c r="H62" s="32">
        <v>1.8740000000000001</v>
      </c>
      <c r="I62" s="32">
        <v>1.8660000000000001</v>
      </c>
      <c r="J62" s="33">
        <f t="shared" si="11"/>
        <v>8.0000000000000071E-3</v>
      </c>
      <c r="K62" s="34" t="str">
        <f t="shared" si="8"/>
        <v/>
      </c>
      <c r="L62" s="35">
        <f t="shared" si="12"/>
        <v>7.4249999999999998</v>
      </c>
      <c r="M62" s="36" t="str">
        <f t="shared" si="13"/>
        <v/>
      </c>
      <c r="N62" s="37" t="s">
        <v>27</v>
      </c>
      <c r="O62" s="29">
        <v>1</v>
      </c>
      <c r="P62" s="38">
        <v>40</v>
      </c>
      <c r="Q62" s="28"/>
      <c r="R62" s="28" t="s">
        <v>2622</v>
      </c>
      <c r="S62" s="92" t="s">
        <v>21</v>
      </c>
      <c r="T62" s="28"/>
      <c r="U62" s="28" t="s">
        <v>31</v>
      </c>
    </row>
    <row r="63" spans="1:21" s="27" customFormat="1" x14ac:dyDescent="0.25">
      <c r="A63" s="28" t="s">
        <v>21</v>
      </c>
      <c r="B63" s="28" t="s">
        <v>2618</v>
      </c>
      <c r="C63" s="28" t="s">
        <v>21</v>
      </c>
      <c r="D63" s="29">
        <v>1</v>
      </c>
      <c r="E63" s="71">
        <v>36</v>
      </c>
      <c r="F63" s="45">
        <v>297</v>
      </c>
      <c r="G63" s="32"/>
      <c r="H63" s="32">
        <v>1.871</v>
      </c>
      <c r="I63" s="32">
        <v>1.863</v>
      </c>
      <c r="J63" s="33">
        <f t="shared" si="11"/>
        <v>8.0000000000000071E-3</v>
      </c>
      <c r="K63" s="34" t="str">
        <f t="shared" si="8"/>
        <v/>
      </c>
      <c r="L63" s="35">
        <f t="shared" si="12"/>
        <v>7.4249999999999998</v>
      </c>
      <c r="M63" s="36" t="str">
        <f t="shared" si="13"/>
        <v/>
      </c>
      <c r="N63" s="37" t="s">
        <v>27</v>
      </c>
      <c r="O63" s="29">
        <v>1</v>
      </c>
      <c r="P63" s="38">
        <v>40</v>
      </c>
      <c r="Q63" s="28"/>
      <c r="R63" s="28" t="s">
        <v>2623</v>
      </c>
      <c r="S63" s="92" t="s">
        <v>21</v>
      </c>
      <c r="T63" s="28"/>
      <c r="U63" s="28" t="s">
        <v>31</v>
      </c>
    </row>
    <row r="64" spans="1:21" s="27" customFormat="1" x14ac:dyDescent="0.25">
      <c r="A64" s="28" t="s">
        <v>2624</v>
      </c>
      <c r="B64" s="28" t="s">
        <v>2625</v>
      </c>
      <c r="C64" s="28">
        <v>784502</v>
      </c>
      <c r="D64" s="29">
        <v>1</v>
      </c>
      <c r="E64" s="71">
        <v>60</v>
      </c>
      <c r="F64" s="45">
        <v>1207</v>
      </c>
      <c r="G64" s="32">
        <v>1.8440000000000001</v>
      </c>
      <c r="H64" s="32">
        <v>7.39</v>
      </c>
      <c r="I64" s="32">
        <v>7.36</v>
      </c>
      <c r="J64" s="33">
        <f t="shared" si="11"/>
        <v>7.4999999999998401E-3</v>
      </c>
      <c r="K64" s="34" t="str">
        <f t="shared" si="8"/>
        <v/>
      </c>
      <c r="L64" s="35">
        <f t="shared" si="12"/>
        <v>7.5437500000000002</v>
      </c>
      <c r="M64" s="36" t="str">
        <f t="shared" si="13"/>
        <v/>
      </c>
      <c r="N64" s="37" t="s">
        <v>24</v>
      </c>
      <c r="O64" s="29">
        <v>4</v>
      </c>
      <c r="P64" s="38">
        <v>40</v>
      </c>
      <c r="Q64" s="28"/>
      <c r="R64" s="28" t="s">
        <v>2631</v>
      </c>
      <c r="S64" s="71" t="s">
        <v>103</v>
      </c>
      <c r="T64" s="28"/>
      <c r="U64" s="28" t="s">
        <v>31</v>
      </c>
    </row>
    <row r="65" spans="1:21" s="27" customFormat="1" x14ac:dyDescent="0.25">
      <c r="A65" s="28" t="s">
        <v>21</v>
      </c>
      <c r="B65" s="28" t="s">
        <v>21</v>
      </c>
      <c r="C65" s="28" t="s">
        <v>21</v>
      </c>
      <c r="D65" s="29">
        <v>1</v>
      </c>
      <c r="E65" s="71"/>
      <c r="F65" s="31"/>
      <c r="G65" s="32">
        <v>1.851</v>
      </c>
      <c r="H65" s="32"/>
      <c r="I65" s="32"/>
      <c r="J65" s="33" t="str">
        <f t="shared" ref="J65:J83" si="14">IF(O65&lt;&gt;"",(H65-I65)/O65,"")</f>
        <v/>
      </c>
      <c r="K65" s="34"/>
      <c r="L65" s="35"/>
      <c r="M65" s="36" t="str">
        <f t="shared" ref="M65:M83" si="15">IF(L65=0,"",IF(OR(L65&lt;7.4,L65&gt;8),"X",""))</f>
        <v/>
      </c>
      <c r="N65" s="37"/>
      <c r="O65" s="29"/>
      <c r="P65" s="38"/>
      <c r="Q65" s="28"/>
      <c r="R65" s="28" t="s">
        <v>2633</v>
      </c>
      <c r="S65" s="71" t="s">
        <v>59</v>
      </c>
      <c r="T65" s="28"/>
      <c r="U65" s="28" t="s">
        <v>31</v>
      </c>
    </row>
    <row r="66" spans="1:21" s="27" customFormat="1" x14ac:dyDescent="0.25">
      <c r="A66" s="28" t="s">
        <v>21</v>
      </c>
      <c r="B66" s="28" t="s">
        <v>21</v>
      </c>
      <c r="C66" s="28" t="s">
        <v>21</v>
      </c>
      <c r="D66" s="29">
        <v>1</v>
      </c>
      <c r="E66" s="71"/>
      <c r="F66" s="31"/>
      <c r="G66" s="32">
        <v>1.8460000000000001</v>
      </c>
      <c r="H66" s="32"/>
      <c r="I66" s="32"/>
      <c r="J66" s="33" t="str">
        <f t="shared" si="14"/>
        <v/>
      </c>
      <c r="K66" s="34"/>
      <c r="L66" s="35"/>
      <c r="M66" s="36" t="str">
        <f t="shared" si="15"/>
        <v/>
      </c>
      <c r="N66" s="37"/>
      <c r="O66" s="29"/>
      <c r="P66" s="38"/>
      <c r="Q66" s="28"/>
      <c r="R66" s="28" t="s">
        <v>2630</v>
      </c>
      <c r="S66" s="28" t="s">
        <v>21</v>
      </c>
      <c r="T66" s="28"/>
      <c r="U66" s="28" t="s">
        <v>31</v>
      </c>
    </row>
    <row r="67" spans="1:21" s="27" customFormat="1" x14ac:dyDescent="0.25">
      <c r="A67" s="28" t="s">
        <v>21</v>
      </c>
      <c r="B67" s="28" t="s">
        <v>21</v>
      </c>
      <c r="C67" s="28" t="s">
        <v>21</v>
      </c>
      <c r="D67" s="29">
        <v>1</v>
      </c>
      <c r="E67" s="71"/>
      <c r="F67" s="31"/>
      <c r="G67" s="32">
        <v>1.849</v>
      </c>
      <c r="H67" s="32"/>
      <c r="I67" s="32"/>
      <c r="J67" s="33" t="str">
        <f t="shared" si="14"/>
        <v/>
      </c>
      <c r="K67" s="34"/>
      <c r="L67" s="35"/>
      <c r="M67" s="36" t="str">
        <f t="shared" si="15"/>
        <v/>
      </c>
      <c r="N67" s="37"/>
      <c r="O67" s="29"/>
      <c r="P67" s="38"/>
      <c r="Q67" s="28"/>
      <c r="R67" s="28" t="s">
        <v>2634</v>
      </c>
      <c r="S67" s="28" t="s">
        <v>21</v>
      </c>
      <c r="T67" s="28"/>
      <c r="U67" s="28" t="s">
        <v>31</v>
      </c>
    </row>
    <row r="68" spans="1:21" s="27" customFormat="1" x14ac:dyDescent="0.25">
      <c r="A68" s="28" t="s">
        <v>21</v>
      </c>
      <c r="B68" s="28" t="s">
        <v>2626</v>
      </c>
      <c r="C68" s="28" t="s">
        <v>21</v>
      </c>
      <c r="D68" s="29">
        <v>1</v>
      </c>
      <c r="E68" s="71">
        <v>67</v>
      </c>
      <c r="F68" s="45">
        <v>1202</v>
      </c>
      <c r="G68" s="32">
        <v>1.8580000000000001</v>
      </c>
      <c r="H68" s="32">
        <v>7.43</v>
      </c>
      <c r="I68" s="32">
        <v>7.41</v>
      </c>
      <c r="J68" s="33">
        <f>IF(O68&lt;&gt;"",(H68-I68)/O68,"")</f>
        <v>4.9999999999998934E-3</v>
      </c>
      <c r="K68" s="34" t="str">
        <f>IF(J68=0,"",IF(OR(J68&lt;0,J68&gt;0.03),"X",""))</f>
        <v/>
      </c>
      <c r="L68" s="35">
        <f>F68/(O68*P68)</f>
        <v>7.5125000000000002</v>
      </c>
      <c r="M68" s="36" t="str">
        <f>IF(L68=0,"",IF(OR(L68&lt;7,L68&gt;7.8),"X",""))</f>
        <v/>
      </c>
      <c r="N68" s="37" t="s">
        <v>24</v>
      </c>
      <c r="O68" s="29">
        <v>4</v>
      </c>
      <c r="P68" s="38">
        <v>40</v>
      </c>
      <c r="Q68" s="28"/>
      <c r="R68" s="28" t="s">
        <v>2635</v>
      </c>
      <c r="S68" s="28" t="s">
        <v>21</v>
      </c>
      <c r="T68" s="28"/>
      <c r="U68" s="28" t="s">
        <v>31</v>
      </c>
    </row>
    <row r="69" spans="1:21" s="27" customFormat="1" x14ac:dyDescent="0.25">
      <c r="A69" s="28" t="s">
        <v>21</v>
      </c>
      <c r="B69" s="28" t="s">
        <v>21</v>
      </c>
      <c r="C69" s="28" t="s">
        <v>21</v>
      </c>
      <c r="D69" s="29">
        <v>1</v>
      </c>
      <c r="E69" s="71"/>
      <c r="F69" s="31"/>
      <c r="G69" s="32">
        <v>1.857</v>
      </c>
      <c r="H69" s="32"/>
      <c r="I69" s="32"/>
      <c r="J69" s="33" t="str">
        <f>IF(O69&lt;&gt;"",(H69-I69)/O69,"")</f>
        <v/>
      </c>
      <c r="K69" s="34"/>
      <c r="L69" s="35"/>
      <c r="M69" s="36" t="str">
        <f t="shared" si="15"/>
        <v/>
      </c>
      <c r="N69" s="37"/>
      <c r="O69" s="29"/>
      <c r="P69" s="38"/>
      <c r="Q69" s="28"/>
      <c r="R69" s="28" t="s">
        <v>2632</v>
      </c>
      <c r="S69" s="28" t="s">
        <v>21</v>
      </c>
      <c r="T69" s="28"/>
      <c r="U69" s="28" t="s">
        <v>31</v>
      </c>
    </row>
    <row r="70" spans="1:21" s="27" customFormat="1" x14ac:dyDescent="0.25">
      <c r="A70" s="28" t="s">
        <v>21</v>
      </c>
      <c r="B70" s="28" t="s">
        <v>21</v>
      </c>
      <c r="C70" s="28" t="s">
        <v>21</v>
      </c>
      <c r="D70" s="29">
        <v>1</v>
      </c>
      <c r="E70" s="71"/>
      <c r="F70" s="31"/>
      <c r="G70" s="32">
        <v>1.8580000000000001</v>
      </c>
      <c r="H70" s="32"/>
      <c r="I70" s="32"/>
      <c r="J70" s="33" t="str">
        <f>IF(O70&lt;&gt;"",(H70-I70)/O70,"")</f>
        <v/>
      </c>
      <c r="K70" s="34"/>
      <c r="L70" s="35"/>
      <c r="M70" s="36" t="str">
        <f t="shared" si="15"/>
        <v/>
      </c>
      <c r="N70" s="37"/>
      <c r="O70" s="29"/>
      <c r="P70" s="38"/>
      <c r="Q70" s="28"/>
      <c r="R70" s="28" t="s">
        <v>2637</v>
      </c>
      <c r="S70" s="28" t="s">
        <v>21</v>
      </c>
      <c r="T70" s="28"/>
      <c r="U70" s="28" t="s">
        <v>31</v>
      </c>
    </row>
    <row r="71" spans="1:21" s="27" customFormat="1" x14ac:dyDescent="0.25">
      <c r="A71" s="28" t="s">
        <v>21</v>
      </c>
      <c r="B71" s="28" t="s">
        <v>21</v>
      </c>
      <c r="C71" s="28" t="s">
        <v>21</v>
      </c>
      <c r="D71" s="29">
        <v>1</v>
      </c>
      <c r="E71" s="71"/>
      <c r="F71" s="31"/>
      <c r="G71" s="32">
        <v>1.86</v>
      </c>
      <c r="H71" s="32"/>
      <c r="I71" s="32"/>
      <c r="J71" s="33" t="str">
        <f>IF(O71&lt;&gt;"",(H71-I71)/O71,"")</f>
        <v/>
      </c>
      <c r="K71" s="34"/>
      <c r="L71" s="35"/>
      <c r="M71" s="36" t="str">
        <f t="shared" si="15"/>
        <v/>
      </c>
      <c r="N71" s="37"/>
      <c r="O71" s="29"/>
      <c r="P71" s="38"/>
      <c r="Q71" s="28"/>
      <c r="R71" s="28" t="s">
        <v>2636</v>
      </c>
      <c r="S71" s="28" t="s">
        <v>21</v>
      </c>
      <c r="T71" s="28"/>
      <c r="U71" s="28" t="s">
        <v>31</v>
      </c>
    </row>
    <row r="72" spans="1:21" s="27" customFormat="1" x14ac:dyDescent="0.25">
      <c r="A72" s="28" t="s">
        <v>21</v>
      </c>
      <c r="B72" s="28" t="s">
        <v>2627</v>
      </c>
      <c r="C72" s="28" t="s">
        <v>21</v>
      </c>
      <c r="D72" s="29">
        <v>1</v>
      </c>
      <c r="E72" s="71">
        <v>65</v>
      </c>
      <c r="F72" s="45">
        <v>1206</v>
      </c>
      <c r="G72" s="32">
        <v>1.851</v>
      </c>
      <c r="H72" s="32">
        <v>7.41</v>
      </c>
      <c r="I72" s="32">
        <v>7.38</v>
      </c>
      <c r="J72" s="33">
        <f>IF(O72&lt;&gt;"",(H72-I72)/O72,"")</f>
        <v>7.5000000000000622E-3</v>
      </c>
      <c r="K72" s="34" t="str">
        <f t="shared" si="8"/>
        <v/>
      </c>
      <c r="L72" s="35">
        <f>F72/(O72*P72)</f>
        <v>7.5374999999999996</v>
      </c>
      <c r="M72" s="36" t="str">
        <f>IF(L72=0,"",IF(OR(L72&lt;7,L72&gt;7.8),"X",""))</f>
        <v/>
      </c>
      <c r="N72" s="37" t="s">
        <v>24</v>
      </c>
      <c r="O72" s="29">
        <v>4</v>
      </c>
      <c r="P72" s="38">
        <v>40</v>
      </c>
      <c r="Q72" s="28"/>
      <c r="R72" s="28" t="s">
        <v>2638</v>
      </c>
      <c r="S72" s="28" t="s">
        <v>21</v>
      </c>
      <c r="T72" s="28"/>
      <c r="U72" s="28" t="s">
        <v>31</v>
      </c>
    </row>
    <row r="73" spans="1:21" s="27" customFormat="1" x14ac:dyDescent="0.25">
      <c r="A73" s="28" t="s">
        <v>21</v>
      </c>
      <c r="B73" s="28" t="s">
        <v>21</v>
      </c>
      <c r="C73" s="28" t="s">
        <v>21</v>
      </c>
      <c r="D73" s="29">
        <v>1</v>
      </c>
      <c r="E73" s="71"/>
      <c r="F73" s="31"/>
      <c r="G73" s="32">
        <v>1.8540000000000001</v>
      </c>
      <c r="H73" s="32"/>
      <c r="I73" s="32"/>
      <c r="J73" s="33" t="str">
        <f t="shared" si="14"/>
        <v/>
      </c>
      <c r="K73" s="34"/>
      <c r="L73" s="35"/>
      <c r="M73" s="36" t="str">
        <f t="shared" si="15"/>
        <v/>
      </c>
      <c r="N73" s="37"/>
      <c r="O73" s="29"/>
      <c r="P73" s="38"/>
      <c r="Q73" s="28"/>
      <c r="R73" s="28" t="s">
        <v>2639</v>
      </c>
      <c r="S73" s="28" t="s">
        <v>21</v>
      </c>
      <c r="T73" s="28"/>
      <c r="U73" s="28" t="s">
        <v>31</v>
      </c>
    </row>
    <row r="74" spans="1:21" s="27" customFormat="1" x14ac:dyDescent="0.25">
      <c r="A74" s="28" t="s">
        <v>21</v>
      </c>
      <c r="B74" s="28" t="s">
        <v>21</v>
      </c>
      <c r="C74" s="28" t="s">
        <v>21</v>
      </c>
      <c r="D74" s="29">
        <v>1</v>
      </c>
      <c r="E74" s="71"/>
      <c r="F74" s="31"/>
      <c r="G74" s="32">
        <v>1.851</v>
      </c>
      <c r="H74" s="32"/>
      <c r="I74" s="32"/>
      <c r="J74" s="33" t="str">
        <f t="shared" si="14"/>
        <v/>
      </c>
      <c r="K74" s="34"/>
      <c r="L74" s="35"/>
      <c r="M74" s="36" t="str">
        <f t="shared" si="15"/>
        <v/>
      </c>
      <c r="N74" s="37"/>
      <c r="O74" s="29"/>
      <c r="P74" s="38"/>
      <c r="Q74" s="28"/>
      <c r="R74" s="28" t="s">
        <v>2640</v>
      </c>
      <c r="S74" s="28" t="s">
        <v>21</v>
      </c>
      <c r="T74" s="28"/>
      <c r="U74" s="28" t="s">
        <v>31</v>
      </c>
    </row>
    <row r="75" spans="1:21" s="27" customFormat="1" x14ac:dyDescent="0.25">
      <c r="A75" s="28" t="s">
        <v>21</v>
      </c>
      <c r="B75" s="28" t="s">
        <v>21</v>
      </c>
      <c r="C75" s="28" t="s">
        <v>21</v>
      </c>
      <c r="D75" s="29">
        <v>1</v>
      </c>
      <c r="E75" s="71"/>
      <c r="F75" s="31"/>
      <c r="G75" s="32">
        <v>1.8480000000000001</v>
      </c>
      <c r="H75" s="32"/>
      <c r="I75" s="32"/>
      <c r="J75" s="33" t="str">
        <f t="shared" si="14"/>
        <v/>
      </c>
      <c r="K75" s="34"/>
      <c r="L75" s="35"/>
      <c r="M75" s="36" t="str">
        <f t="shared" si="15"/>
        <v/>
      </c>
      <c r="N75" s="37"/>
      <c r="O75" s="29"/>
      <c r="P75" s="38"/>
      <c r="Q75" s="28"/>
      <c r="R75" s="28" t="s">
        <v>2641</v>
      </c>
      <c r="S75" s="28" t="s">
        <v>21</v>
      </c>
      <c r="T75" s="28"/>
      <c r="U75" s="28" t="s">
        <v>31</v>
      </c>
    </row>
    <row r="76" spans="1:21" s="27" customFormat="1" x14ac:dyDescent="0.25">
      <c r="A76" s="28" t="s">
        <v>21</v>
      </c>
      <c r="B76" s="28" t="s">
        <v>2628</v>
      </c>
      <c r="C76" s="28" t="s">
        <v>21</v>
      </c>
      <c r="D76" s="29">
        <v>1</v>
      </c>
      <c r="E76" s="71">
        <v>56</v>
      </c>
      <c r="F76" s="45">
        <v>1206</v>
      </c>
      <c r="G76" s="32">
        <v>1.831</v>
      </c>
      <c r="H76" s="32">
        <v>7.32</v>
      </c>
      <c r="I76" s="32">
        <v>7.29</v>
      </c>
      <c r="J76" s="33">
        <f>IF(O76&lt;&gt;"",(H76-I76)/O76,"")</f>
        <v>7.5000000000000622E-3</v>
      </c>
      <c r="K76" s="34" t="str">
        <f t="shared" si="8"/>
        <v/>
      </c>
      <c r="L76" s="35">
        <f>F76/(O76*P76)</f>
        <v>7.5374999999999996</v>
      </c>
      <c r="M76" s="36" t="str">
        <f>IF(L76=0,"",IF(OR(L76&lt;7,L76&gt;7.8),"X",""))</f>
        <v/>
      </c>
      <c r="N76" s="37" t="s">
        <v>24</v>
      </c>
      <c r="O76" s="29">
        <v>4</v>
      </c>
      <c r="P76" s="38">
        <v>40</v>
      </c>
      <c r="Q76" s="28"/>
      <c r="R76" s="28" t="s">
        <v>2642</v>
      </c>
      <c r="S76" s="71" t="s">
        <v>103</v>
      </c>
      <c r="T76" s="28"/>
      <c r="U76" s="28" t="s">
        <v>31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29">
        <v>1</v>
      </c>
      <c r="E77" s="71"/>
      <c r="F77" s="31"/>
      <c r="G77" s="32">
        <v>1.833</v>
      </c>
      <c r="H77" s="32"/>
      <c r="I77" s="32"/>
      <c r="J77" s="33" t="str">
        <f t="shared" si="14"/>
        <v/>
      </c>
      <c r="K77" s="34"/>
      <c r="L77" s="35"/>
      <c r="M77" s="36" t="str">
        <f t="shared" si="15"/>
        <v/>
      </c>
      <c r="N77" s="37"/>
      <c r="O77" s="29"/>
      <c r="P77" s="38"/>
      <c r="Q77" s="28"/>
      <c r="R77" s="28" t="s">
        <v>2644</v>
      </c>
      <c r="S77" s="71" t="s">
        <v>59</v>
      </c>
      <c r="T77" s="28"/>
      <c r="U77" s="28" t="s">
        <v>31</v>
      </c>
    </row>
    <row r="78" spans="1:21" s="27" customFormat="1" x14ac:dyDescent="0.25">
      <c r="A78" s="28" t="s">
        <v>21</v>
      </c>
      <c r="B78" s="28" t="s">
        <v>21</v>
      </c>
      <c r="C78" s="28" t="s">
        <v>21</v>
      </c>
      <c r="D78" s="29">
        <v>1</v>
      </c>
      <c r="E78" s="71"/>
      <c r="F78" s="31"/>
      <c r="G78" s="32">
        <v>1.829</v>
      </c>
      <c r="H78" s="32"/>
      <c r="I78" s="32"/>
      <c r="J78" s="33" t="str">
        <f t="shared" si="14"/>
        <v/>
      </c>
      <c r="K78" s="34"/>
      <c r="L78" s="35"/>
      <c r="M78" s="36" t="str">
        <f t="shared" si="15"/>
        <v/>
      </c>
      <c r="N78" s="37"/>
      <c r="O78" s="29"/>
      <c r="P78" s="38"/>
      <c r="Q78" s="28"/>
      <c r="R78" s="28" t="s">
        <v>2643</v>
      </c>
      <c r="S78" s="28" t="s">
        <v>21</v>
      </c>
      <c r="T78" s="28"/>
      <c r="U78" s="28" t="s">
        <v>31</v>
      </c>
    </row>
    <row r="79" spans="1:21" s="27" customFormat="1" x14ac:dyDescent="0.25">
      <c r="A79" s="28" t="s">
        <v>21</v>
      </c>
      <c r="B79" s="28" t="s">
        <v>21</v>
      </c>
      <c r="C79" s="28" t="s">
        <v>21</v>
      </c>
      <c r="D79" s="29">
        <v>1</v>
      </c>
      <c r="E79" s="71"/>
      <c r="F79" s="31"/>
      <c r="G79" s="32">
        <v>1.829</v>
      </c>
      <c r="H79" s="32"/>
      <c r="I79" s="32"/>
      <c r="J79" s="33" t="str">
        <f t="shared" si="14"/>
        <v/>
      </c>
      <c r="K79" s="34"/>
      <c r="L79" s="35"/>
      <c r="M79" s="36" t="str">
        <f t="shared" si="15"/>
        <v/>
      </c>
      <c r="N79" s="37"/>
      <c r="O79" s="29"/>
      <c r="P79" s="38"/>
      <c r="Q79" s="28"/>
      <c r="R79" s="28" t="s">
        <v>2645</v>
      </c>
      <c r="S79" s="28" t="s">
        <v>21</v>
      </c>
      <c r="T79" s="28"/>
      <c r="U79" s="28" t="s">
        <v>31</v>
      </c>
    </row>
    <row r="80" spans="1:21" s="27" customFormat="1" x14ac:dyDescent="0.25">
      <c r="A80" s="28" t="s">
        <v>21</v>
      </c>
      <c r="B80" s="28" t="s">
        <v>2629</v>
      </c>
      <c r="C80" s="28" t="s">
        <v>21</v>
      </c>
      <c r="D80" s="29">
        <v>1</v>
      </c>
      <c r="E80" s="71">
        <v>66</v>
      </c>
      <c r="F80" s="45">
        <v>1200</v>
      </c>
      <c r="G80" s="32">
        <v>1.83</v>
      </c>
      <c r="H80" s="32">
        <v>7.33</v>
      </c>
      <c r="I80" s="32">
        <v>7.3</v>
      </c>
      <c r="J80" s="33">
        <f>IF(O80&lt;&gt;"",(H80-I80)/O80,"")</f>
        <v>7.5000000000000622E-3</v>
      </c>
      <c r="K80" s="34" t="str">
        <f t="shared" si="8"/>
        <v/>
      </c>
      <c r="L80" s="35">
        <f>F80/(O80*P80)</f>
        <v>7.5</v>
      </c>
      <c r="M80" s="36" t="str">
        <f>IF(L80=0,"",IF(OR(L80&lt;7,L80&gt;7.8),"X",""))</f>
        <v/>
      </c>
      <c r="N80" s="37" t="s">
        <v>24</v>
      </c>
      <c r="O80" s="29">
        <v>4</v>
      </c>
      <c r="P80" s="38">
        <v>40</v>
      </c>
      <c r="Q80" s="28"/>
      <c r="R80" s="28" t="s">
        <v>2646</v>
      </c>
      <c r="S80" s="28" t="s">
        <v>21</v>
      </c>
      <c r="T80" s="28"/>
      <c r="U80" s="28" t="s">
        <v>31</v>
      </c>
    </row>
    <row r="81" spans="1:21" s="27" customFormat="1" x14ac:dyDescent="0.25">
      <c r="A81" s="28" t="s">
        <v>21</v>
      </c>
      <c r="B81" s="28" t="s">
        <v>21</v>
      </c>
      <c r="C81" s="28">
        <v>784502</v>
      </c>
      <c r="D81" s="29">
        <v>1</v>
      </c>
      <c r="E81" s="71"/>
      <c r="F81" s="31"/>
      <c r="G81" s="32">
        <v>1.8320000000000001</v>
      </c>
      <c r="H81" s="32"/>
      <c r="I81" s="32"/>
      <c r="J81" s="33" t="str">
        <f t="shared" si="14"/>
        <v/>
      </c>
      <c r="K81" s="34"/>
      <c r="L81" s="35"/>
      <c r="M81" s="36" t="str">
        <f t="shared" si="15"/>
        <v/>
      </c>
      <c r="N81" s="37"/>
      <c r="O81" s="29"/>
      <c r="P81" s="38"/>
      <c r="Q81" s="28"/>
      <c r="R81" s="28" t="s">
        <v>2647</v>
      </c>
      <c r="S81" s="28" t="s">
        <v>21</v>
      </c>
      <c r="T81" s="28"/>
      <c r="U81" s="28" t="s">
        <v>31</v>
      </c>
    </row>
    <row r="82" spans="1:21" s="27" customFormat="1" x14ac:dyDescent="0.25">
      <c r="A82" s="28" t="s">
        <v>21</v>
      </c>
      <c r="B82" s="28" t="s">
        <v>21</v>
      </c>
      <c r="C82" s="28" t="s">
        <v>21</v>
      </c>
      <c r="D82" s="29">
        <v>1</v>
      </c>
      <c r="E82" s="71"/>
      <c r="F82" s="31"/>
      <c r="G82" s="32">
        <v>1.8320000000000001</v>
      </c>
      <c r="H82" s="32"/>
      <c r="I82" s="32"/>
      <c r="J82" s="33" t="str">
        <f t="shared" si="14"/>
        <v/>
      </c>
      <c r="K82" s="34"/>
      <c r="L82" s="35"/>
      <c r="M82" s="36" t="str">
        <f t="shared" si="15"/>
        <v/>
      </c>
      <c r="N82" s="37"/>
      <c r="O82" s="29"/>
      <c r="P82" s="38"/>
      <c r="Q82" s="28"/>
      <c r="R82" s="28" t="s">
        <v>2649</v>
      </c>
      <c r="S82" s="28" t="s">
        <v>21</v>
      </c>
      <c r="T82" s="28"/>
      <c r="U82" s="28" t="s">
        <v>31</v>
      </c>
    </row>
    <row r="83" spans="1:21" s="27" customFormat="1" x14ac:dyDescent="0.25">
      <c r="A83" s="28" t="s">
        <v>21</v>
      </c>
      <c r="B83" s="28" t="s">
        <v>21</v>
      </c>
      <c r="C83" s="28" t="s">
        <v>21</v>
      </c>
      <c r="D83" s="29">
        <v>1</v>
      </c>
      <c r="E83" s="71"/>
      <c r="F83" s="31"/>
      <c r="G83" s="32">
        <v>1.831</v>
      </c>
      <c r="H83" s="32"/>
      <c r="I83" s="32"/>
      <c r="J83" s="33" t="str">
        <f t="shared" si="14"/>
        <v/>
      </c>
      <c r="K83" s="34"/>
      <c r="L83" s="35"/>
      <c r="M83" s="36" t="str">
        <f t="shared" si="15"/>
        <v/>
      </c>
      <c r="N83" s="37"/>
      <c r="O83" s="29"/>
      <c r="P83" s="38"/>
      <c r="Q83" s="28"/>
      <c r="R83" s="28" t="s">
        <v>2648</v>
      </c>
      <c r="S83" s="28" t="s">
        <v>21</v>
      </c>
      <c r="T83" s="28"/>
      <c r="U83" s="28" t="s">
        <v>31</v>
      </c>
    </row>
    <row r="84" spans="1:21" s="27" customFormat="1" x14ac:dyDescent="0.25">
      <c r="A84" s="28" t="s">
        <v>2624</v>
      </c>
      <c r="B84" s="28" t="s">
        <v>2650</v>
      </c>
      <c r="C84" s="28">
        <v>784502</v>
      </c>
      <c r="D84" s="29">
        <v>1</v>
      </c>
      <c r="E84" s="71">
        <v>50</v>
      </c>
      <c r="F84" s="45">
        <v>299</v>
      </c>
      <c r="G84" s="32"/>
      <c r="H84" s="32">
        <v>1.843</v>
      </c>
      <c r="I84" s="32">
        <v>1.8380000000000001</v>
      </c>
      <c r="J84" s="33">
        <f t="shared" ref="J84:J113" si="16">IF(O84&lt;&gt;"",(H84-I84)/O84,"")</f>
        <v>4.9999999999998934E-3</v>
      </c>
      <c r="K84" s="34" t="str">
        <f t="shared" ref="K84:K113" si="17">IF(J84=0,"",IF(OR(J84&lt;0,J84&gt;0.03),"X",""))</f>
        <v/>
      </c>
      <c r="L84" s="35">
        <f t="shared" ref="L84:L113" si="18">F84/(O84*P84)</f>
        <v>7.4749999999999996</v>
      </c>
      <c r="M84" s="36" t="str">
        <f t="shared" ref="M84:M113" si="19">IF(L84=0,"",IF(OR(L84&lt;7,L84&gt;7.8),"X",""))</f>
        <v/>
      </c>
      <c r="N84" s="37" t="s">
        <v>18</v>
      </c>
      <c r="O84" s="29">
        <v>1</v>
      </c>
      <c r="P84" s="38">
        <v>40</v>
      </c>
      <c r="Q84" s="46"/>
      <c r="R84" s="28" t="s">
        <v>2680</v>
      </c>
      <c r="S84" s="91" t="s">
        <v>58</v>
      </c>
      <c r="T84" s="46"/>
      <c r="U84" s="28" t="s">
        <v>31</v>
      </c>
    </row>
    <row r="85" spans="1:21" s="27" customFormat="1" x14ac:dyDescent="0.25">
      <c r="A85" s="28" t="s">
        <v>21</v>
      </c>
      <c r="B85" s="28" t="s">
        <v>2651</v>
      </c>
      <c r="C85" s="28" t="s">
        <v>21</v>
      </c>
      <c r="D85" s="29">
        <v>1</v>
      </c>
      <c r="E85" s="71">
        <v>32</v>
      </c>
      <c r="F85" s="45">
        <v>300</v>
      </c>
      <c r="G85" s="32"/>
      <c r="H85" s="32">
        <v>1.857</v>
      </c>
      <c r="I85" s="32">
        <v>1.849</v>
      </c>
      <c r="J85" s="33">
        <f t="shared" si="16"/>
        <v>8.0000000000000071E-3</v>
      </c>
      <c r="K85" s="34" t="str">
        <f t="shared" si="17"/>
        <v/>
      </c>
      <c r="L85" s="35">
        <f t="shared" si="18"/>
        <v>7.5</v>
      </c>
      <c r="M85" s="36" t="str">
        <f t="shared" si="19"/>
        <v/>
      </c>
      <c r="N85" s="37" t="s">
        <v>18</v>
      </c>
      <c r="O85" s="29">
        <v>1</v>
      </c>
      <c r="P85" s="38">
        <v>40</v>
      </c>
      <c r="Q85" s="46"/>
      <c r="R85" s="28" t="s">
        <v>2681</v>
      </c>
      <c r="S85" s="91" t="s">
        <v>59</v>
      </c>
      <c r="T85" s="46"/>
      <c r="U85" s="28" t="s">
        <v>31</v>
      </c>
    </row>
    <row r="86" spans="1:21" s="27" customFormat="1" x14ac:dyDescent="0.25">
      <c r="A86" s="28" t="s">
        <v>21</v>
      </c>
      <c r="B86" s="28" t="s">
        <v>2652</v>
      </c>
      <c r="C86" s="28" t="s">
        <v>21</v>
      </c>
      <c r="D86" s="29">
        <v>1</v>
      </c>
      <c r="E86" s="71">
        <v>35</v>
      </c>
      <c r="F86" s="45">
        <v>301</v>
      </c>
      <c r="G86" s="32"/>
      <c r="H86" s="32">
        <v>1.86</v>
      </c>
      <c r="I86" s="32">
        <v>1.8520000000000001</v>
      </c>
      <c r="J86" s="33">
        <f t="shared" si="16"/>
        <v>8.0000000000000071E-3</v>
      </c>
      <c r="K86" s="34" t="str">
        <f t="shared" si="17"/>
        <v/>
      </c>
      <c r="L86" s="35">
        <f t="shared" si="18"/>
        <v>7.5250000000000004</v>
      </c>
      <c r="M86" s="36" t="str">
        <f t="shared" si="19"/>
        <v/>
      </c>
      <c r="N86" s="37" t="s">
        <v>18</v>
      </c>
      <c r="O86" s="29">
        <v>1</v>
      </c>
      <c r="P86" s="38">
        <v>40</v>
      </c>
      <c r="Q86" s="46"/>
      <c r="R86" s="28" t="s">
        <v>2682</v>
      </c>
      <c r="S86" s="92" t="s">
        <v>21</v>
      </c>
      <c r="T86" s="46"/>
      <c r="U86" s="28" t="s">
        <v>31</v>
      </c>
    </row>
    <row r="87" spans="1:21" s="27" customFormat="1" x14ac:dyDescent="0.25">
      <c r="A87" s="28" t="s">
        <v>21</v>
      </c>
      <c r="B87" s="28" t="s">
        <v>2653</v>
      </c>
      <c r="C87" s="28" t="s">
        <v>21</v>
      </c>
      <c r="D87" s="29">
        <v>1</v>
      </c>
      <c r="E87" s="71">
        <v>59</v>
      </c>
      <c r="F87" s="45">
        <v>300</v>
      </c>
      <c r="G87" s="32"/>
      <c r="H87" s="32">
        <v>1.8680000000000001</v>
      </c>
      <c r="I87" s="32">
        <v>1.861</v>
      </c>
      <c r="J87" s="33">
        <f t="shared" si="16"/>
        <v>7.0000000000001172E-3</v>
      </c>
      <c r="K87" s="34" t="str">
        <f t="shared" si="17"/>
        <v/>
      </c>
      <c r="L87" s="35">
        <f t="shared" si="18"/>
        <v>7.5</v>
      </c>
      <c r="M87" s="36" t="str">
        <f t="shared" si="19"/>
        <v/>
      </c>
      <c r="N87" s="37" t="s">
        <v>18</v>
      </c>
      <c r="O87" s="29">
        <v>1</v>
      </c>
      <c r="P87" s="38">
        <v>40</v>
      </c>
      <c r="Q87" s="46"/>
      <c r="R87" s="28" t="s">
        <v>2683</v>
      </c>
      <c r="S87" s="92" t="s">
        <v>21</v>
      </c>
      <c r="T87" s="46"/>
      <c r="U87" s="28" t="s">
        <v>31</v>
      </c>
    </row>
    <row r="88" spans="1:21" s="27" customFormat="1" x14ac:dyDescent="0.25">
      <c r="A88" s="28" t="s">
        <v>21</v>
      </c>
      <c r="B88" s="28" t="s">
        <v>2654</v>
      </c>
      <c r="C88" s="28" t="s">
        <v>21</v>
      </c>
      <c r="D88" s="29">
        <v>1</v>
      </c>
      <c r="E88" s="71">
        <v>56</v>
      </c>
      <c r="F88" s="45">
        <v>302</v>
      </c>
      <c r="G88" s="32"/>
      <c r="H88" s="32">
        <v>1.8759999999999999</v>
      </c>
      <c r="I88" s="32">
        <v>1.8680000000000001</v>
      </c>
      <c r="J88" s="33">
        <f t="shared" si="16"/>
        <v>7.9999999999997851E-3</v>
      </c>
      <c r="K88" s="34" t="str">
        <f t="shared" si="17"/>
        <v/>
      </c>
      <c r="L88" s="35">
        <f t="shared" si="18"/>
        <v>7.55</v>
      </c>
      <c r="M88" s="36" t="str">
        <f t="shared" si="19"/>
        <v/>
      </c>
      <c r="N88" s="37" t="s">
        <v>18</v>
      </c>
      <c r="O88" s="29">
        <v>1</v>
      </c>
      <c r="P88" s="38">
        <v>40</v>
      </c>
      <c r="Q88" s="46"/>
      <c r="R88" s="28" t="s">
        <v>2684</v>
      </c>
      <c r="S88" s="92" t="s">
        <v>21</v>
      </c>
      <c r="T88" s="46"/>
      <c r="U88" s="28" t="s">
        <v>31</v>
      </c>
    </row>
    <row r="89" spans="1:21" s="27" customFormat="1" x14ac:dyDescent="0.25">
      <c r="A89" s="28" t="s">
        <v>21</v>
      </c>
      <c r="B89" s="28" t="s">
        <v>2655</v>
      </c>
      <c r="C89" s="28" t="s">
        <v>21</v>
      </c>
      <c r="D89" s="29">
        <v>1</v>
      </c>
      <c r="E89" s="71">
        <v>30</v>
      </c>
      <c r="F89" s="45">
        <v>301</v>
      </c>
      <c r="G89" s="32"/>
      <c r="H89" s="32">
        <v>1.8779999999999999</v>
      </c>
      <c r="I89" s="32">
        <v>1.87</v>
      </c>
      <c r="J89" s="33">
        <f t="shared" si="16"/>
        <v>7.9999999999997851E-3</v>
      </c>
      <c r="K89" s="34" t="str">
        <f t="shared" si="17"/>
        <v/>
      </c>
      <c r="L89" s="35">
        <f t="shared" si="18"/>
        <v>7.5250000000000004</v>
      </c>
      <c r="M89" s="36" t="str">
        <f t="shared" si="19"/>
        <v/>
      </c>
      <c r="N89" s="37" t="s">
        <v>18</v>
      </c>
      <c r="O89" s="29">
        <v>1</v>
      </c>
      <c r="P89" s="38">
        <v>40</v>
      </c>
      <c r="Q89" s="46"/>
      <c r="R89" s="28" t="s">
        <v>2686</v>
      </c>
      <c r="S89" s="71" t="s">
        <v>103</v>
      </c>
      <c r="T89" s="46"/>
      <c r="U89" s="28" t="s">
        <v>31</v>
      </c>
    </row>
    <row r="90" spans="1:21" s="27" customFormat="1" x14ac:dyDescent="0.25">
      <c r="A90" s="28" t="s">
        <v>21</v>
      </c>
      <c r="B90" s="28" t="s">
        <v>2656</v>
      </c>
      <c r="C90" s="28" t="s">
        <v>21</v>
      </c>
      <c r="D90" s="29">
        <v>1</v>
      </c>
      <c r="E90" s="71">
        <v>30</v>
      </c>
      <c r="F90" s="45">
        <v>301</v>
      </c>
      <c r="G90" s="32"/>
      <c r="H90" s="32">
        <v>1.871</v>
      </c>
      <c r="I90" s="32">
        <v>1.8620000000000001</v>
      </c>
      <c r="J90" s="33">
        <f t="shared" si="16"/>
        <v>8.999999999999897E-3</v>
      </c>
      <c r="K90" s="34" t="str">
        <f t="shared" si="17"/>
        <v/>
      </c>
      <c r="L90" s="35">
        <f t="shared" si="18"/>
        <v>7.5250000000000004</v>
      </c>
      <c r="M90" s="36" t="str">
        <f t="shared" si="19"/>
        <v/>
      </c>
      <c r="N90" s="37" t="s">
        <v>18</v>
      </c>
      <c r="O90" s="29">
        <v>1</v>
      </c>
      <c r="P90" s="38">
        <v>40</v>
      </c>
      <c r="Q90" s="46"/>
      <c r="R90" s="28" t="s">
        <v>2685</v>
      </c>
      <c r="S90" s="71" t="s">
        <v>59</v>
      </c>
      <c r="T90" s="46"/>
      <c r="U90" s="28" t="s">
        <v>31</v>
      </c>
    </row>
    <row r="91" spans="1:21" s="27" customFormat="1" x14ac:dyDescent="0.25">
      <c r="A91" s="28" t="s">
        <v>21</v>
      </c>
      <c r="B91" s="28" t="s">
        <v>2657</v>
      </c>
      <c r="C91" s="28">
        <v>784502</v>
      </c>
      <c r="D91" s="29">
        <v>1</v>
      </c>
      <c r="E91" s="71">
        <v>38</v>
      </c>
      <c r="F91" s="45">
        <v>300</v>
      </c>
      <c r="G91" s="32"/>
      <c r="H91" s="32">
        <v>1.8779999999999999</v>
      </c>
      <c r="I91" s="32">
        <v>1.8720000000000001</v>
      </c>
      <c r="J91" s="33">
        <f t="shared" si="16"/>
        <v>5.9999999999997833E-3</v>
      </c>
      <c r="K91" s="34" t="str">
        <f t="shared" si="17"/>
        <v/>
      </c>
      <c r="L91" s="35">
        <f t="shared" si="18"/>
        <v>7.5</v>
      </c>
      <c r="M91" s="36" t="str">
        <f t="shared" si="19"/>
        <v/>
      </c>
      <c r="N91" s="37" t="s">
        <v>18</v>
      </c>
      <c r="O91" s="29">
        <v>1</v>
      </c>
      <c r="P91" s="38">
        <v>40</v>
      </c>
      <c r="Q91" s="46"/>
      <c r="R91" s="28" t="s">
        <v>2687</v>
      </c>
      <c r="S91" s="28" t="s">
        <v>21</v>
      </c>
      <c r="T91" s="46"/>
      <c r="U91" s="28" t="s">
        <v>31</v>
      </c>
    </row>
    <row r="92" spans="1:21" s="27" customFormat="1" x14ac:dyDescent="0.25">
      <c r="A92" s="28" t="s">
        <v>21</v>
      </c>
      <c r="B92" s="28" t="s">
        <v>2658</v>
      </c>
      <c r="C92" s="28" t="s">
        <v>21</v>
      </c>
      <c r="D92" s="29">
        <v>1</v>
      </c>
      <c r="E92" s="71">
        <v>57</v>
      </c>
      <c r="F92" s="45">
        <v>299</v>
      </c>
      <c r="G92" s="32"/>
      <c r="H92" s="32">
        <v>1.849</v>
      </c>
      <c r="I92" s="32">
        <v>1.841</v>
      </c>
      <c r="J92" s="33">
        <f>IF(O92&lt;&gt;"",(H92-I92)/O92,"")</f>
        <v>8.0000000000000071E-3</v>
      </c>
      <c r="K92" s="34" t="str">
        <f t="shared" si="17"/>
        <v/>
      </c>
      <c r="L92" s="35">
        <f>F92/(O92*P92)</f>
        <v>7.4749999999999996</v>
      </c>
      <c r="M92" s="36" t="str">
        <f t="shared" si="19"/>
        <v/>
      </c>
      <c r="N92" s="37" t="s">
        <v>18</v>
      </c>
      <c r="O92" s="29">
        <v>1</v>
      </c>
      <c r="P92" s="38">
        <v>40</v>
      </c>
      <c r="Q92" s="46"/>
      <c r="R92" s="28" t="s">
        <v>2688</v>
      </c>
      <c r="S92" s="91" t="s">
        <v>58</v>
      </c>
      <c r="T92" s="46"/>
      <c r="U92" s="28" t="s">
        <v>31</v>
      </c>
    </row>
    <row r="93" spans="1:21" s="27" customFormat="1" x14ac:dyDescent="0.25">
      <c r="A93" s="28" t="s">
        <v>21</v>
      </c>
      <c r="B93" s="28" t="s">
        <v>2659</v>
      </c>
      <c r="C93" s="28" t="s">
        <v>21</v>
      </c>
      <c r="D93" s="29">
        <v>1</v>
      </c>
      <c r="E93" s="71">
        <v>49</v>
      </c>
      <c r="F93" s="45">
        <v>302</v>
      </c>
      <c r="G93" s="32"/>
      <c r="H93" s="32">
        <v>1.863</v>
      </c>
      <c r="I93" s="32">
        <v>1.855</v>
      </c>
      <c r="J93" s="33">
        <f t="shared" si="16"/>
        <v>8.0000000000000071E-3</v>
      </c>
      <c r="K93" s="34" t="str">
        <f t="shared" si="17"/>
        <v/>
      </c>
      <c r="L93" s="35">
        <f t="shared" si="18"/>
        <v>7.55</v>
      </c>
      <c r="M93" s="36" t="str">
        <f t="shared" si="19"/>
        <v/>
      </c>
      <c r="N93" s="37" t="s">
        <v>18</v>
      </c>
      <c r="O93" s="29">
        <v>1</v>
      </c>
      <c r="P93" s="38">
        <v>40</v>
      </c>
      <c r="Q93" s="46"/>
      <c r="R93" s="28" t="s">
        <v>2689</v>
      </c>
      <c r="S93" s="91" t="s">
        <v>59</v>
      </c>
      <c r="T93" s="46"/>
      <c r="U93" s="28" t="s">
        <v>31</v>
      </c>
    </row>
    <row r="94" spans="1:21" s="27" customFormat="1" x14ac:dyDescent="0.25">
      <c r="A94" s="28" t="s">
        <v>21</v>
      </c>
      <c r="B94" s="28" t="s">
        <v>2660</v>
      </c>
      <c r="C94" s="28" t="s">
        <v>21</v>
      </c>
      <c r="D94" s="29">
        <v>1</v>
      </c>
      <c r="E94" s="71">
        <v>59</v>
      </c>
      <c r="F94" s="45">
        <v>301</v>
      </c>
      <c r="G94" s="32"/>
      <c r="H94" s="32">
        <v>1.871</v>
      </c>
      <c r="I94" s="32">
        <v>1.8640000000000001</v>
      </c>
      <c r="J94" s="33">
        <f>IF(O94&lt;&gt;"",(H94-I94)/O94,"")</f>
        <v>6.9999999999998952E-3</v>
      </c>
      <c r="K94" s="34" t="str">
        <f t="shared" si="17"/>
        <v/>
      </c>
      <c r="L94" s="35">
        <f>F94/(O94*P94)</f>
        <v>7.5250000000000004</v>
      </c>
      <c r="M94" s="36" t="str">
        <f t="shared" si="19"/>
        <v/>
      </c>
      <c r="N94" s="37" t="s">
        <v>18</v>
      </c>
      <c r="O94" s="29">
        <v>1</v>
      </c>
      <c r="P94" s="38">
        <v>40</v>
      </c>
      <c r="Q94" s="46"/>
      <c r="R94" s="28" t="s">
        <v>2691</v>
      </c>
      <c r="S94" s="92" t="s">
        <v>21</v>
      </c>
      <c r="T94" s="46"/>
      <c r="U94" s="28" t="s">
        <v>31</v>
      </c>
    </row>
    <row r="95" spans="1:21" s="27" customFormat="1" x14ac:dyDescent="0.25">
      <c r="A95" s="28" t="s">
        <v>21</v>
      </c>
      <c r="B95" s="28" t="s">
        <v>2661</v>
      </c>
      <c r="C95" s="28" t="s">
        <v>21</v>
      </c>
      <c r="D95" s="29">
        <v>1</v>
      </c>
      <c r="E95" s="71">
        <v>54</v>
      </c>
      <c r="F95" s="45">
        <v>300</v>
      </c>
      <c r="G95" s="32"/>
      <c r="H95" s="32">
        <v>1.8740000000000001</v>
      </c>
      <c r="I95" s="32">
        <v>1.867</v>
      </c>
      <c r="J95" s="33">
        <f t="shared" si="16"/>
        <v>7.0000000000001172E-3</v>
      </c>
      <c r="K95" s="34" t="str">
        <f t="shared" si="17"/>
        <v/>
      </c>
      <c r="L95" s="35">
        <f t="shared" si="18"/>
        <v>7.5</v>
      </c>
      <c r="M95" s="36" t="str">
        <f t="shared" si="19"/>
        <v/>
      </c>
      <c r="N95" s="37" t="s">
        <v>18</v>
      </c>
      <c r="O95" s="29">
        <v>1</v>
      </c>
      <c r="P95" s="38">
        <v>40</v>
      </c>
      <c r="Q95" s="46"/>
      <c r="R95" s="28" t="s">
        <v>2692</v>
      </c>
      <c r="S95" s="92" t="s">
        <v>21</v>
      </c>
      <c r="T95" s="46"/>
      <c r="U95" s="28" t="s">
        <v>31</v>
      </c>
    </row>
    <row r="96" spans="1:21" s="27" customFormat="1" x14ac:dyDescent="0.25">
      <c r="A96" s="28" t="s">
        <v>21</v>
      </c>
      <c r="B96" s="28" t="s">
        <v>2662</v>
      </c>
      <c r="C96" s="28" t="s">
        <v>21</v>
      </c>
      <c r="D96" s="29">
        <v>1</v>
      </c>
      <c r="E96" s="71">
        <v>44</v>
      </c>
      <c r="F96" s="45">
        <v>301</v>
      </c>
      <c r="G96" s="32"/>
      <c r="H96" s="32">
        <v>1.881</v>
      </c>
      <c r="I96" s="32">
        <v>1.8720000000000001</v>
      </c>
      <c r="J96" s="33">
        <f t="shared" si="16"/>
        <v>8.999999999999897E-3</v>
      </c>
      <c r="K96" s="34" t="str">
        <f t="shared" si="17"/>
        <v/>
      </c>
      <c r="L96" s="35">
        <f t="shared" si="18"/>
        <v>7.5250000000000004</v>
      </c>
      <c r="M96" s="36" t="str">
        <f t="shared" si="19"/>
        <v/>
      </c>
      <c r="N96" s="37" t="s">
        <v>18</v>
      </c>
      <c r="O96" s="29">
        <v>1</v>
      </c>
      <c r="P96" s="38">
        <v>40</v>
      </c>
      <c r="Q96" s="46"/>
      <c r="R96" s="28" t="s">
        <v>2690</v>
      </c>
      <c r="S96" s="92" t="s">
        <v>21</v>
      </c>
      <c r="T96" s="46"/>
      <c r="U96" s="28" t="s">
        <v>31</v>
      </c>
    </row>
    <row r="97" spans="1:21" s="27" customFormat="1" x14ac:dyDescent="0.25">
      <c r="A97" s="28" t="s">
        <v>21</v>
      </c>
      <c r="B97" s="28" t="s">
        <v>2663</v>
      </c>
      <c r="C97" s="28" t="s">
        <v>21</v>
      </c>
      <c r="D97" s="29">
        <v>1</v>
      </c>
      <c r="E97" s="71">
        <v>31</v>
      </c>
      <c r="F97" s="45">
        <v>303</v>
      </c>
      <c r="G97" s="32"/>
      <c r="H97" s="32">
        <v>1.88</v>
      </c>
      <c r="I97" s="32">
        <v>1.8740000000000001</v>
      </c>
      <c r="J97" s="33">
        <f t="shared" si="16"/>
        <v>5.9999999999997833E-3</v>
      </c>
      <c r="K97" s="34" t="str">
        <f t="shared" si="17"/>
        <v/>
      </c>
      <c r="L97" s="35">
        <f t="shared" si="18"/>
        <v>7.5750000000000002</v>
      </c>
      <c r="M97" s="36" t="str">
        <f t="shared" si="19"/>
        <v/>
      </c>
      <c r="N97" s="37" t="s">
        <v>18</v>
      </c>
      <c r="O97" s="29">
        <v>1</v>
      </c>
      <c r="P97" s="38">
        <v>40</v>
      </c>
      <c r="Q97" s="46"/>
      <c r="R97" s="28" t="s">
        <v>2693</v>
      </c>
      <c r="S97" s="71" t="s">
        <v>103</v>
      </c>
      <c r="T97" s="46"/>
      <c r="U97" s="28" t="s">
        <v>31</v>
      </c>
    </row>
    <row r="98" spans="1:21" s="27" customFormat="1" x14ac:dyDescent="0.25">
      <c r="A98" s="28" t="s">
        <v>21</v>
      </c>
      <c r="B98" s="28" t="s">
        <v>2664</v>
      </c>
      <c r="C98" s="28" t="s">
        <v>21</v>
      </c>
      <c r="D98" s="29">
        <v>1</v>
      </c>
      <c r="E98" s="71">
        <v>27</v>
      </c>
      <c r="F98" s="45">
        <v>300</v>
      </c>
      <c r="G98" s="32"/>
      <c r="H98" s="32">
        <v>1.8819999999999999</v>
      </c>
      <c r="I98" s="32">
        <v>1.8740000000000001</v>
      </c>
      <c r="J98" s="33">
        <f t="shared" si="16"/>
        <v>7.9999999999997851E-3</v>
      </c>
      <c r="K98" s="34" t="str">
        <f t="shared" si="17"/>
        <v/>
      </c>
      <c r="L98" s="35">
        <f t="shared" si="18"/>
        <v>7.5</v>
      </c>
      <c r="M98" s="36" t="str">
        <f t="shared" si="19"/>
        <v/>
      </c>
      <c r="N98" s="37" t="s">
        <v>18</v>
      </c>
      <c r="O98" s="29">
        <v>1</v>
      </c>
      <c r="P98" s="38">
        <v>40</v>
      </c>
      <c r="Q98" s="46"/>
      <c r="R98" s="28" t="s">
        <v>2694</v>
      </c>
      <c r="S98" s="71" t="s">
        <v>59</v>
      </c>
      <c r="T98" s="46"/>
      <c r="U98" s="28" t="s">
        <v>31</v>
      </c>
    </row>
    <row r="99" spans="1:21" s="27" customFormat="1" x14ac:dyDescent="0.25">
      <c r="A99" s="28" t="s">
        <v>21</v>
      </c>
      <c r="B99" s="28" t="s">
        <v>2665</v>
      </c>
      <c r="C99" s="28" t="s">
        <v>21</v>
      </c>
      <c r="D99" s="29">
        <v>1</v>
      </c>
      <c r="E99" s="71">
        <v>29</v>
      </c>
      <c r="F99" s="45">
        <v>301</v>
      </c>
      <c r="G99" s="32"/>
      <c r="H99" s="32">
        <v>1.8440000000000001</v>
      </c>
      <c r="I99" s="32">
        <v>1.837</v>
      </c>
      <c r="J99" s="33">
        <f t="shared" si="16"/>
        <v>7.0000000000001172E-3</v>
      </c>
      <c r="K99" s="34" t="str">
        <f t="shared" si="17"/>
        <v/>
      </c>
      <c r="L99" s="35">
        <f t="shared" si="18"/>
        <v>7.5250000000000004</v>
      </c>
      <c r="M99" s="36" t="str">
        <f t="shared" si="19"/>
        <v/>
      </c>
      <c r="N99" s="37" t="s">
        <v>18</v>
      </c>
      <c r="O99" s="29">
        <v>1</v>
      </c>
      <c r="P99" s="38">
        <v>40</v>
      </c>
      <c r="Q99" s="46"/>
      <c r="R99" s="28" t="s">
        <v>2695</v>
      </c>
      <c r="S99" s="91" t="s">
        <v>58</v>
      </c>
      <c r="T99" s="46"/>
      <c r="U99" s="28" t="s">
        <v>31</v>
      </c>
    </row>
    <row r="100" spans="1:21" s="27" customFormat="1" x14ac:dyDescent="0.25">
      <c r="A100" s="28" t="s">
        <v>21</v>
      </c>
      <c r="B100" s="28" t="s">
        <v>2666</v>
      </c>
      <c r="C100" s="28" t="s">
        <v>21</v>
      </c>
      <c r="D100" s="29">
        <v>1</v>
      </c>
      <c r="E100" s="71">
        <v>45</v>
      </c>
      <c r="F100" s="45">
        <v>300</v>
      </c>
      <c r="G100" s="32"/>
      <c r="H100" s="32">
        <v>1.86</v>
      </c>
      <c r="I100" s="32">
        <v>1.8540000000000001</v>
      </c>
      <c r="J100" s="33">
        <f t="shared" si="16"/>
        <v>6.0000000000000053E-3</v>
      </c>
      <c r="K100" s="34" t="str">
        <f t="shared" si="17"/>
        <v/>
      </c>
      <c r="L100" s="35">
        <f t="shared" si="18"/>
        <v>7.5</v>
      </c>
      <c r="M100" s="36" t="str">
        <f t="shared" si="19"/>
        <v/>
      </c>
      <c r="N100" s="37" t="s">
        <v>18</v>
      </c>
      <c r="O100" s="29">
        <v>1</v>
      </c>
      <c r="P100" s="38">
        <v>40</v>
      </c>
      <c r="Q100" s="46"/>
      <c r="R100" s="28" t="s">
        <v>2697</v>
      </c>
      <c r="S100" s="91" t="s">
        <v>59</v>
      </c>
      <c r="T100" s="46"/>
      <c r="U100" s="28" t="s">
        <v>31</v>
      </c>
    </row>
    <row r="101" spans="1:21" s="27" customFormat="1" x14ac:dyDescent="0.25">
      <c r="A101" s="28" t="s">
        <v>21</v>
      </c>
      <c r="B101" s="28" t="s">
        <v>2667</v>
      </c>
      <c r="C101" s="28" t="s">
        <v>21</v>
      </c>
      <c r="D101" s="29">
        <v>1</v>
      </c>
      <c r="E101" s="71">
        <v>41</v>
      </c>
      <c r="F101" s="45">
        <v>300</v>
      </c>
      <c r="G101" s="32"/>
      <c r="H101" s="32">
        <v>1.8620000000000001</v>
      </c>
      <c r="I101" s="32">
        <v>1.8560000000000001</v>
      </c>
      <c r="J101" s="33">
        <f t="shared" si="16"/>
        <v>6.0000000000000053E-3</v>
      </c>
      <c r="K101" s="34" t="str">
        <f t="shared" si="17"/>
        <v/>
      </c>
      <c r="L101" s="35">
        <f t="shared" si="18"/>
        <v>7.5</v>
      </c>
      <c r="M101" s="36" t="str">
        <f t="shared" si="19"/>
        <v/>
      </c>
      <c r="N101" s="37" t="s">
        <v>18</v>
      </c>
      <c r="O101" s="29">
        <v>1</v>
      </c>
      <c r="P101" s="38">
        <v>40</v>
      </c>
      <c r="Q101" s="46"/>
      <c r="R101" s="28" t="s">
        <v>2696</v>
      </c>
      <c r="S101" s="92" t="s">
        <v>21</v>
      </c>
      <c r="T101" s="46"/>
      <c r="U101" s="28" t="s">
        <v>31</v>
      </c>
    </row>
    <row r="102" spans="1:21" s="27" customFormat="1" x14ac:dyDescent="0.25">
      <c r="A102" s="28" t="s">
        <v>21</v>
      </c>
      <c r="B102" s="28" t="s">
        <v>2668</v>
      </c>
      <c r="C102" s="28" t="s">
        <v>21</v>
      </c>
      <c r="D102" s="29">
        <v>1</v>
      </c>
      <c r="E102" s="71">
        <v>41</v>
      </c>
      <c r="F102" s="45">
        <v>300</v>
      </c>
      <c r="G102" s="32"/>
      <c r="H102" s="32">
        <v>1.865</v>
      </c>
      <c r="I102" s="32">
        <v>1.859</v>
      </c>
      <c r="J102" s="33">
        <f t="shared" si="16"/>
        <v>6.0000000000000053E-3</v>
      </c>
      <c r="K102" s="34" t="str">
        <f t="shared" si="17"/>
        <v/>
      </c>
      <c r="L102" s="35">
        <f t="shared" si="18"/>
        <v>7.5</v>
      </c>
      <c r="M102" s="36" t="str">
        <f t="shared" si="19"/>
        <v/>
      </c>
      <c r="N102" s="37" t="s">
        <v>18</v>
      </c>
      <c r="O102" s="29">
        <v>1</v>
      </c>
      <c r="P102" s="38">
        <v>40</v>
      </c>
      <c r="Q102" s="46"/>
      <c r="R102" s="28" t="s">
        <v>2698</v>
      </c>
      <c r="S102" s="92" t="s">
        <v>21</v>
      </c>
      <c r="T102" s="46"/>
      <c r="U102" s="28" t="s">
        <v>31</v>
      </c>
    </row>
    <row r="103" spans="1:21" s="27" customFormat="1" x14ac:dyDescent="0.25">
      <c r="A103" s="28" t="s">
        <v>21</v>
      </c>
      <c r="B103" s="28" t="s">
        <v>2669</v>
      </c>
      <c r="C103" s="28" t="s">
        <v>21</v>
      </c>
      <c r="D103" s="29">
        <v>1</v>
      </c>
      <c r="E103" s="71">
        <v>33</v>
      </c>
      <c r="F103" s="45">
        <v>300</v>
      </c>
      <c r="G103" s="32"/>
      <c r="H103" s="32">
        <v>1.8720000000000001</v>
      </c>
      <c r="I103" s="32">
        <v>1.865</v>
      </c>
      <c r="J103" s="33">
        <f t="shared" si="16"/>
        <v>7.0000000000001172E-3</v>
      </c>
      <c r="K103" s="34" t="str">
        <f t="shared" si="17"/>
        <v/>
      </c>
      <c r="L103" s="35">
        <f t="shared" si="18"/>
        <v>7.5</v>
      </c>
      <c r="M103" s="36" t="str">
        <f t="shared" si="19"/>
        <v/>
      </c>
      <c r="N103" s="37" t="s">
        <v>18</v>
      </c>
      <c r="O103" s="29">
        <v>1</v>
      </c>
      <c r="P103" s="38">
        <v>40</v>
      </c>
      <c r="Q103" s="46"/>
      <c r="R103" s="28" t="s">
        <v>2699</v>
      </c>
      <c r="S103" s="92" t="s">
        <v>21</v>
      </c>
      <c r="T103" s="46"/>
      <c r="U103" s="28" t="s">
        <v>31</v>
      </c>
    </row>
    <row r="104" spans="1:21" s="27" customFormat="1" x14ac:dyDescent="0.25">
      <c r="A104" s="28" t="s">
        <v>21</v>
      </c>
      <c r="B104" s="28" t="s">
        <v>2670</v>
      </c>
      <c r="C104" s="28" t="s">
        <v>21</v>
      </c>
      <c r="D104" s="29">
        <v>1</v>
      </c>
      <c r="E104" s="71">
        <v>47</v>
      </c>
      <c r="F104" s="45">
        <v>300</v>
      </c>
      <c r="G104" s="32"/>
      <c r="H104" s="32">
        <v>1.873</v>
      </c>
      <c r="I104" s="32">
        <v>1.8660000000000001</v>
      </c>
      <c r="J104" s="33">
        <f t="shared" si="16"/>
        <v>6.9999999999998952E-3</v>
      </c>
      <c r="K104" s="34" t="str">
        <f t="shared" si="17"/>
        <v/>
      </c>
      <c r="L104" s="35">
        <f t="shared" si="18"/>
        <v>7.5</v>
      </c>
      <c r="M104" s="36" t="str">
        <f t="shared" si="19"/>
        <v/>
      </c>
      <c r="N104" s="37" t="s">
        <v>18</v>
      </c>
      <c r="O104" s="29">
        <v>1</v>
      </c>
      <c r="P104" s="38">
        <v>40</v>
      </c>
      <c r="Q104" s="46"/>
      <c r="R104" s="28" t="s">
        <v>2700</v>
      </c>
      <c r="S104" s="71" t="s">
        <v>103</v>
      </c>
      <c r="T104" s="46"/>
      <c r="U104" s="28" t="s">
        <v>31</v>
      </c>
    </row>
    <row r="105" spans="1:21" s="27" customFormat="1" x14ac:dyDescent="0.25">
      <c r="A105" s="28" t="s">
        <v>21</v>
      </c>
      <c r="B105" s="28" t="s">
        <v>2671</v>
      </c>
      <c r="C105" s="28" t="s">
        <v>21</v>
      </c>
      <c r="D105" s="29">
        <v>1</v>
      </c>
      <c r="E105" s="71">
        <v>21</v>
      </c>
      <c r="F105" s="45">
        <v>300</v>
      </c>
      <c r="G105" s="32"/>
      <c r="H105" s="32">
        <v>1.8680000000000001</v>
      </c>
      <c r="I105" s="32">
        <v>1.86</v>
      </c>
      <c r="J105" s="33">
        <f t="shared" si="16"/>
        <v>8.0000000000000071E-3</v>
      </c>
      <c r="K105" s="34" t="str">
        <f t="shared" si="17"/>
        <v/>
      </c>
      <c r="L105" s="35">
        <f t="shared" si="18"/>
        <v>7.5</v>
      </c>
      <c r="M105" s="36" t="str">
        <f t="shared" si="19"/>
        <v/>
      </c>
      <c r="N105" s="37" t="s">
        <v>18</v>
      </c>
      <c r="O105" s="29">
        <v>1</v>
      </c>
      <c r="P105" s="38">
        <v>40</v>
      </c>
      <c r="Q105" s="46"/>
      <c r="R105" s="28" t="s">
        <v>2701</v>
      </c>
      <c r="S105" s="71" t="s">
        <v>59</v>
      </c>
      <c r="T105" s="46"/>
      <c r="U105" s="28" t="s">
        <v>31</v>
      </c>
    </row>
    <row r="106" spans="1:21" s="27" customFormat="1" x14ac:dyDescent="0.25">
      <c r="A106" s="28" t="s">
        <v>21</v>
      </c>
      <c r="B106" s="28" t="s">
        <v>2672</v>
      </c>
      <c r="C106" s="28" t="s">
        <v>21</v>
      </c>
      <c r="D106" s="29">
        <v>1</v>
      </c>
      <c r="E106" s="71">
        <v>25</v>
      </c>
      <c r="F106" s="45">
        <v>300</v>
      </c>
      <c r="G106" s="32"/>
      <c r="H106" s="32">
        <v>1.879</v>
      </c>
      <c r="I106" s="32">
        <v>1.8720000000000001</v>
      </c>
      <c r="J106" s="33">
        <f t="shared" si="16"/>
        <v>6.9999999999998952E-3</v>
      </c>
      <c r="K106" s="34" t="str">
        <f t="shared" si="17"/>
        <v/>
      </c>
      <c r="L106" s="35">
        <f t="shared" si="18"/>
        <v>7.5</v>
      </c>
      <c r="M106" s="36" t="str">
        <f t="shared" si="19"/>
        <v/>
      </c>
      <c r="N106" s="37" t="s">
        <v>18</v>
      </c>
      <c r="O106" s="29">
        <v>1</v>
      </c>
      <c r="P106" s="38">
        <v>40</v>
      </c>
      <c r="Q106" s="46"/>
      <c r="R106" s="28" t="s">
        <v>2702</v>
      </c>
      <c r="S106" s="28" t="s">
        <v>21</v>
      </c>
      <c r="T106" s="46"/>
      <c r="U106" s="28" t="s">
        <v>31</v>
      </c>
    </row>
    <row r="107" spans="1:21" s="27" customFormat="1" x14ac:dyDescent="0.25">
      <c r="A107" s="28" t="s">
        <v>21</v>
      </c>
      <c r="B107" s="28" t="s">
        <v>2673</v>
      </c>
      <c r="C107" s="28" t="s">
        <v>21</v>
      </c>
      <c r="D107" s="29">
        <v>1</v>
      </c>
      <c r="E107" s="71">
        <v>32</v>
      </c>
      <c r="F107" s="45">
        <v>299</v>
      </c>
      <c r="G107" s="32"/>
      <c r="H107" s="32">
        <v>1.881</v>
      </c>
      <c r="I107" s="32">
        <v>1.875</v>
      </c>
      <c r="J107" s="33">
        <f t="shared" si="16"/>
        <v>6.0000000000000053E-3</v>
      </c>
      <c r="K107" s="34" t="str">
        <f t="shared" si="17"/>
        <v/>
      </c>
      <c r="L107" s="35">
        <f t="shared" si="18"/>
        <v>7.4749999999999996</v>
      </c>
      <c r="M107" s="36" t="str">
        <f t="shared" si="19"/>
        <v/>
      </c>
      <c r="N107" s="37" t="s">
        <v>18</v>
      </c>
      <c r="O107" s="29">
        <v>1</v>
      </c>
      <c r="P107" s="38">
        <v>40</v>
      </c>
      <c r="Q107" s="46"/>
      <c r="R107" s="28" t="s">
        <v>2703</v>
      </c>
      <c r="S107" s="28" t="s">
        <v>21</v>
      </c>
      <c r="T107" s="46"/>
      <c r="U107" s="28" t="s">
        <v>31</v>
      </c>
    </row>
    <row r="108" spans="1:21" s="27" customFormat="1" x14ac:dyDescent="0.25">
      <c r="A108" s="28" t="s">
        <v>21</v>
      </c>
      <c r="B108" s="28" t="s">
        <v>2674</v>
      </c>
      <c r="C108" s="28" t="s">
        <v>21</v>
      </c>
      <c r="D108" s="29">
        <v>1</v>
      </c>
      <c r="E108" s="71">
        <v>28</v>
      </c>
      <c r="F108" s="45">
        <v>299</v>
      </c>
      <c r="G108" s="32"/>
      <c r="H108" s="32">
        <v>1.8779999999999999</v>
      </c>
      <c r="I108" s="32">
        <v>1.8720000000000001</v>
      </c>
      <c r="J108" s="33">
        <f t="shared" si="16"/>
        <v>5.9999999999997833E-3</v>
      </c>
      <c r="K108" s="34" t="str">
        <f t="shared" si="17"/>
        <v/>
      </c>
      <c r="L108" s="35">
        <f t="shared" si="18"/>
        <v>7.4749999999999996</v>
      </c>
      <c r="M108" s="36" t="str">
        <f t="shared" si="19"/>
        <v/>
      </c>
      <c r="N108" s="37" t="s">
        <v>18</v>
      </c>
      <c r="O108" s="29">
        <v>1</v>
      </c>
      <c r="P108" s="38">
        <v>40</v>
      </c>
      <c r="Q108" s="46"/>
      <c r="R108" s="28" t="s">
        <v>2704</v>
      </c>
      <c r="S108" s="28" t="s">
        <v>21</v>
      </c>
      <c r="T108" s="46"/>
      <c r="U108" s="28" t="s">
        <v>31</v>
      </c>
    </row>
    <row r="109" spans="1:21" s="27" customFormat="1" x14ac:dyDescent="0.25">
      <c r="A109" s="28" t="s">
        <v>21</v>
      </c>
      <c r="B109" s="28" t="s">
        <v>2675</v>
      </c>
      <c r="C109" s="28" t="s">
        <v>21</v>
      </c>
      <c r="D109" s="29">
        <v>1</v>
      </c>
      <c r="E109" s="71">
        <v>19</v>
      </c>
      <c r="F109" s="45">
        <v>300</v>
      </c>
      <c r="G109" s="32"/>
      <c r="H109" s="32">
        <v>1.829</v>
      </c>
      <c r="I109" s="32">
        <v>1.82</v>
      </c>
      <c r="J109" s="33">
        <f t="shared" si="16"/>
        <v>8.999999999999897E-3</v>
      </c>
      <c r="K109" s="34" t="str">
        <f t="shared" si="17"/>
        <v/>
      </c>
      <c r="L109" s="35">
        <f t="shared" si="18"/>
        <v>7.5</v>
      </c>
      <c r="M109" s="36" t="str">
        <f t="shared" si="19"/>
        <v/>
      </c>
      <c r="N109" s="37" t="s">
        <v>18</v>
      </c>
      <c r="O109" s="29">
        <v>1</v>
      </c>
      <c r="P109" s="38">
        <v>40</v>
      </c>
      <c r="Q109" s="46"/>
      <c r="R109" s="28" t="s">
        <v>2705</v>
      </c>
      <c r="S109" s="91" t="s">
        <v>58</v>
      </c>
      <c r="T109" s="46"/>
      <c r="U109" s="28" t="s">
        <v>31</v>
      </c>
    </row>
    <row r="110" spans="1:21" s="27" customFormat="1" x14ac:dyDescent="0.25">
      <c r="A110" s="28" t="s">
        <v>21</v>
      </c>
      <c r="B110" s="28" t="s">
        <v>2676</v>
      </c>
      <c r="C110" s="28" t="s">
        <v>21</v>
      </c>
      <c r="D110" s="29">
        <v>1</v>
      </c>
      <c r="E110" s="71">
        <v>39</v>
      </c>
      <c r="F110" s="45">
        <v>299</v>
      </c>
      <c r="G110" s="32"/>
      <c r="H110" s="32">
        <v>1.853</v>
      </c>
      <c r="I110" s="32">
        <v>1.847</v>
      </c>
      <c r="J110" s="33">
        <f t="shared" si="16"/>
        <v>6.0000000000000053E-3</v>
      </c>
      <c r="K110" s="34" t="str">
        <f t="shared" si="17"/>
        <v/>
      </c>
      <c r="L110" s="35">
        <f t="shared" si="18"/>
        <v>7.4749999999999996</v>
      </c>
      <c r="M110" s="36" t="str">
        <f t="shared" si="19"/>
        <v/>
      </c>
      <c r="N110" s="37" t="s">
        <v>18</v>
      </c>
      <c r="O110" s="29">
        <v>1</v>
      </c>
      <c r="P110" s="38">
        <v>40</v>
      </c>
      <c r="Q110" s="46"/>
      <c r="R110" s="28" t="s">
        <v>2706</v>
      </c>
      <c r="S110" s="91" t="s">
        <v>59</v>
      </c>
      <c r="T110" s="46"/>
      <c r="U110" s="28" t="s">
        <v>31</v>
      </c>
    </row>
    <row r="111" spans="1:21" s="27" customFormat="1" x14ac:dyDescent="0.25">
      <c r="A111" s="28" t="s">
        <v>21</v>
      </c>
      <c r="B111" s="28" t="s">
        <v>2677</v>
      </c>
      <c r="C111" s="28">
        <v>784502</v>
      </c>
      <c r="D111" s="29">
        <v>1</v>
      </c>
      <c r="E111" s="71">
        <v>35</v>
      </c>
      <c r="F111" s="45">
        <v>299</v>
      </c>
      <c r="G111" s="32"/>
      <c r="H111" s="32">
        <v>1.85</v>
      </c>
      <c r="I111" s="32">
        <v>1.843</v>
      </c>
      <c r="J111" s="33">
        <f t="shared" si="16"/>
        <v>7.0000000000001172E-3</v>
      </c>
      <c r="K111" s="34" t="str">
        <f t="shared" si="17"/>
        <v/>
      </c>
      <c r="L111" s="35">
        <f t="shared" si="18"/>
        <v>7.4749999999999996</v>
      </c>
      <c r="M111" s="36" t="str">
        <f t="shared" si="19"/>
        <v/>
      </c>
      <c r="N111" s="37" t="s">
        <v>18</v>
      </c>
      <c r="O111" s="29">
        <v>1</v>
      </c>
      <c r="P111" s="38">
        <v>40</v>
      </c>
      <c r="Q111" s="46"/>
      <c r="R111" s="28" t="s">
        <v>2707</v>
      </c>
      <c r="S111" s="92" t="s">
        <v>21</v>
      </c>
      <c r="T111" s="46"/>
      <c r="U111" s="28" t="s">
        <v>31</v>
      </c>
    </row>
    <row r="112" spans="1:21" s="27" customFormat="1" x14ac:dyDescent="0.25">
      <c r="A112" s="28" t="s">
        <v>21</v>
      </c>
      <c r="B112" s="28" t="s">
        <v>2678</v>
      </c>
      <c r="C112" s="28" t="s">
        <v>21</v>
      </c>
      <c r="D112" s="29">
        <v>1</v>
      </c>
      <c r="E112" s="71">
        <v>24</v>
      </c>
      <c r="F112" s="45">
        <v>300</v>
      </c>
      <c r="G112" s="32"/>
      <c r="H112" s="32">
        <v>1.8640000000000001</v>
      </c>
      <c r="I112" s="32">
        <v>1.855</v>
      </c>
      <c r="J112" s="33">
        <f t="shared" si="16"/>
        <v>9.000000000000119E-3</v>
      </c>
      <c r="K112" s="34" t="str">
        <f t="shared" si="17"/>
        <v/>
      </c>
      <c r="L112" s="35">
        <f t="shared" si="18"/>
        <v>7.5</v>
      </c>
      <c r="M112" s="36" t="str">
        <f t="shared" si="19"/>
        <v/>
      </c>
      <c r="N112" s="37" t="s">
        <v>18</v>
      </c>
      <c r="O112" s="29">
        <v>1</v>
      </c>
      <c r="P112" s="38">
        <v>40</v>
      </c>
      <c r="Q112" s="46"/>
      <c r="R112" s="28" t="s">
        <v>2708</v>
      </c>
      <c r="S112" s="92" t="s">
        <v>21</v>
      </c>
      <c r="T112" s="46"/>
      <c r="U112" s="28" t="s">
        <v>31</v>
      </c>
    </row>
    <row r="113" spans="1:21" s="27" customFormat="1" x14ac:dyDescent="0.25">
      <c r="A113" s="28" t="s">
        <v>21</v>
      </c>
      <c r="B113" s="28" t="s">
        <v>2679</v>
      </c>
      <c r="C113" s="28" t="s">
        <v>21</v>
      </c>
      <c r="D113" s="29">
        <v>1</v>
      </c>
      <c r="E113" s="71">
        <v>33</v>
      </c>
      <c r="F113" s="45">
        <v>299</v>
      </c>
      <c r="G113" s="32"/>
      <c r="H113" s="32">
        <v>1.8740000000000001</v>
      </c>
      <c r="I113" s="32">
        <v>1.8680000000000001</v>
      </c>
      <c r="J113" s="33">
        <f t="shared" si="16"/>
        <v>6.0000000000000053E-3</v>
      </c>
      <c r="K113" s="34" t="str">
        <f t="shared" si="17"/>
        <v/>
      </c>
      <c r="L113" s="35">
        <f t="shared" si="18"/>
        <v>7.4749999999999996</v>
      </c>
      <c r="M113" s="36" t="str">
        <f t="shared" si="19"/>
        <v/>
      </c>
      <c r="N113" s="37" t="s">
        <v>18</v>
      </c>
      <c r="O113" s="29">
        <v>1</v>
      </c>
      <c r="P113" s="38">
        <v>40</v>
      </c>
      <c r="Q113" s="46"/>
      <c r="R113" s="28" t="s">
        <v>2709</v>
      </c>
      <c r="S113" s="92" t="s">
        <v>21</v>
      </c>
      <c r="T113" s="46"/>
      <c r="U113" s="28" t="s">
        <v>31</v>
      </c>
    </row>
    <row r="151" spans="1:22" s="27" customForma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1:22" s="27" customFormat="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1:22" s="27" customForma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1:22" s="27" customFormat="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1:22" s="27" customFormat="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1:22" s="27" customFormat="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60" spans="1:22" ht="15.75" thickBot="1" x14ac:dyDescent="0.3"/>
    <row r="161" spans="1:21" ht="15.75" thickBot="1" x14ac:dyDescent="0.3">
      <c r="A161" s="90" t="s">
        <v>30</v>
      </c>
    </row>
    <row r="162" spans="1:21" s="27" customFormat="1" x14ac:dyDescent="0.25">
      <c r="A162" s="28" t="s">
        <v>2555</v>
      </c>
      <c r="B162" s="28" t="s">
        <v>2556</v>
      </c>
      <c r="C162" s="28">
        <v>784502</v>
      </c>
      <c r="D162" s="31">
        <v>2</v>
      </c>
      <c r="E162" s="71">
        <v>16</v>
      </c>
      <c r="F162" s="45">
        <v>606</v>
      </c>
      <c r="G162" s="32">
        <v>1.8440000000000001</v>
      </c>
      <c r="H162" s="32">
        <v>3.6859999999999999</v>
      </c>
      <c r="I162" s="32">
        <v>3.669</v>
      </c>
      <c r="J162" s="33">
        <f>IF(O162&lt;&gt;"",(H162-I162)/O162,"")</f>
        <v>8.499999999999952E-3</v>
      </c>
      <c r="K162" s="34" t="str">
        <f t="shared" ref="K162:K166" si="20">IF(J162=0,"",IF(OR(J162&lt;0,J162&gt;0.03),"X",""))</f>
        <v/>
      </c>
      <c r="L162" s="35">
        <f>F162/(O162*P162)</f>
        <v>7.5750000000000002</v>
      </c>
      <c r="M162" s="36" t="str">
        <f>IF(L162=0,"",IF(OR(L162&lt;7,L162&gt;7.8),"X",""))</f>
        <v/>
      </c>
      <c r="N162" s="37" t="s">
        <v>20</v>
      </c>
      <c r="O162" s="29">
        <v>2</v>
      </c>
      <c r="P162" s="38">
        <v>40</v>
      </c>
      <c r="Q162" s="28"/>
      <c r="R162" s="28" t="s">
        <v>2560</v>
      </c>
      <c r="S162" s="71" t="s">
        <v>58</v>
      </c>
      <c r="T162" s="28"/>
      <c r="U162" s="28" t="s">
        <v>31</v>
      </c>
    </row>
    <row r="163" spans="1:21" s="27" customFormat="1" x14ac:dyDescent="0.25">
      <c r="A163" s="28" t="s">
        <v>21</v>
      </c>
      <c r="B163" s="28" t="s">
        <v>21</v>
      </c>
      <c r="C163" s="28" t="s">
        <v>21</v>
      </c>
      <c r="D163" s="31">
        <v>2</v>
      </c>
      <c r="E163" s="71"/>
      <c r="F163" s="31"/>
      <c r="G163" s="32">
        <v>1.843</v>
      </c>
      <c r="H163" s="32"/>
      <c r="I163" s="32"/>
      <c r="J163" s="33"/>
      <c r="K163" s="34" t="str">
        <f t="shared" si="20"/>
        <v/>
      </c>
      <c r="L163" s="35"/>
      <c r="M163" s="36" t="str">
        <f t="shared" ref="M163" si="21">IF(L163=0,"",IF(OR(L163&lt;7.4,L163&gt;8),"X",""))</f>
        <v/>
      </c>
      <c r="N163" s="37"/>
      <c r="O163" s="29"/>
      <c r="P163" s="38"/>
      <c r="Q163" s="28"/>
      <c r="R163" s="28" t="s">
        <v>2561</v>
      </c>
      <c r="S163" s="71" t="s">
        <v>59</v>
      </c>
      <c r="T163" s="28"/>
      <c r="U163" s="28" t="s">
        <v>31</v>
      </c>
    </row>
    <row r="164" spans="1:21" s="27" customFormat="1" x14ac:dyDescent="0.25">
      <c r="A164" s="28" t="s">
        <v>21</v>
      </c>
      <c r="B164" s="28" t="s">
        <v>2557</v>
      </c>
      <c r="C164" s="28" t="s">
        <v>21</v>
      </c>
      <c r="D164" s="31">
        <v>2</v>
      </c>
      <c r="E164" s="71">
        <v>23</v>
      </c>
      <c r="F164" s="45">
        <v>605</v>
      </c>
      <c r="G164" s="32">
        <v>1.839</v>
      </c>
      <c r="H164" s="32">
        <v>3.6949999999999998</v>
      </c>
      <c r="I164" s="32">
        <v>3.6819999999999999</v>
      </c>
      <c r="J164" s="33">
        <f>IF(O164&lt;&gt;"",(H164-I164)/O164,"")</f>
        <v>6.4999999999999503E-3</v>
      </c>
      <c r="K164" s="34" t="str">
        <f t="shared" si="20"/>
        <v/>
      </c>
      <c r="L164" s="35">
        <f>F164/(O164*P164)</f>
        <v>7.5625</v>
      </c>
      <c r="M164" s="36" t="str">
        <f>IF(L164=0,"",IF(OR(L164&lt;7,L164&gt;7.8),"X",""))</f>
        <v/>
      </c>
      <c r="N164" s="37" t="s">
        <v>20</v>
      </c>
      <c r="O164" s="29">
        <v>2</v>
      </c>
      <c r="P164" s="38">
        <v>40</v>
      </c>
      <c r="Q164" s="28"/>
      <c r="R164" s="28" t="s">
        <v>2562</v>
      </c>
      <c r="S164" s="28" t="s">
        <v>21</v>
      </c>
      <c r="T164" s="28"/>
      <c r="U164" s="28" t="s">
        <v>31</v>
      </c>
    </row>
    <row r="165" spans="1:21" s="27" customFormat="1" x14ac:dyDescent="0.25">
      <c r="A165" s="28" t="s">
        <v>21</v>
      </c>
      <c r="B165" s="28" t="s">
        <v>21</v>
      </c>
      <c r="C165" s="28" t="s">
        <v>21</v>
      </c>
      <c r="D165" s="31">
        <v>2</v>
      </c>
      <c r="E165" s="71"/>
      <c r="F165" s="31"/>
      <c r="G165" s="32">
        <v>1.8520000000000001</v>
      </c>
      <c r="H165" s="32"/>
      <c r="I165" s="32"/>
      <c r="J165" s="33"/>
      <c r="K165" s="34" t="str">
        <f t="shared" si="20"/>
        <v/>
      </c>
      <c r="L165" s="35"/>
      <c r="M165" s="36" t="str">
        <f t="shared" ref="M165" si="22">IF(L165=0,"",IF(OR(L165&lt;7.4,L165&gt;8),"X",""))</f>
        <v/>
      </c>
      <c r="N165" s="37"/>
      <c r="O165" s="29"/>
      <c r="P165" s="38"/>
      <c r="Q165" s="28"/>
      <c r="R165" s="28" t="s">
        <v>2563</v>
      </c>
      <c r="S165" s="28" t="s">
        <v>21</v>
      </c>
      <c r="T165" s="28"/>
      <c r="U165" s="28" t="s">
        <v>31</v>
      </c>
    </row>
    <row r="166" spans="1:21" s="27" customFormat="1" x14ac:dyDescent="0.25">
      <c r="A166" s="28" t="s">
        <v>2558</v>
      </c>
      <c r="B166" s="28" t="s">
        <v>2559</v>
      </c>
      <c r="C166" s="28">
        <v>784502</v>
      </c>
      <c r="D166" s="31">
        <v>2</v>
      </c>
      <c r="E166" s="71">
        <v>24</v>
      </c>
      <c r="F166" s="45">
        <v>906</v>
      </c>
      <c r="G166" s="32">
        <v>1.8560000000000001</v>
      </c>
      <c r="H166" s="32">
        <v>5.5549999999999997</v>
      </c>
      <c r="I166" s="32">
        <v>5.5330000000000004</v>
      </c>
      <c r="J166" s="33">
        <f>IF(O166&lt;&gt;"",(H166-I166)/O166,"")</f>
        <v>7.3333333333331181E-3</v>
      </c>
      <c r="K166" s="34" t="str">
        <f t="shared" si="20"/>
        <v/>
      </c>
      <c r="L166" s="35">
        <f>F166/(O166*P166)</f>
        <v>7.55</v>
      </c>
      <c r="M166" s="36" t="str">
        <f>IF(L166=0,"",IF(OR(L166&lt;7,L166&gt;7.8),"X",""))</f>
        <v/>
      </c>
      <c r="N166" s="37" t="s">
        <v>23</v>
      </c>
      <c r="O166" s="29">
        <v>3</v>
      </c>
      <c r="P166" s="38">
        <v>40</v>
      </c>
      <c r="Q166" s="28"/>
      <c r="R166" s="28" t="s">
        <v>2564</v>
      </c>
      <c r="S166" s="28" t="s">
        <v>21</v>
      </c>
      <c r="T166" s="46"/>
      <c r="U166" s="28" t="s">
        <v>31</v>
      </c>
    </row>
    <row r="167" spans="1:21" s="27" customFormat="1" x14ac:dyDescent="0.25">
      <c r="A167" s="28" t="s">
        <v>21</v>
      </c>
      <c r="B167" s="28" t="s">
        <v>21</v>
      </c>
      <c r="C167" s="28" t="s">
        <v>21</v>
      </c>
      <c r="D167" s="31">
        <v>2</v>
      </c>
      <c r="E167" s="71"/>
      <c r="F167" s="31"/>
      <c r="G167" s="32">
        <v>1.8440000000000001</v>
      </c>
      <c r="H167" s="32"/>
      <c r="I167" s="32"/>
      <c r="J167" s="33" t="str">
        <f t="shared" ref="J167:J170" si="23">IF(O167&lt;&gt;"",(H167-I167)/O167,"")</f>
        <v/>
      </c>
      <c r="K167" s="34"/>
      <c r="L167" s="35"/>
      <c r="M167" s="36" t="str">
        <f t="shared" ref="M167:M168" si="24">IF(L167=0,"",IF(OR(L167&lt;7.4,L167&gt;8),"X",""))</f>
        <v/>
      </c>
      <c r="N167" s="37"/>
      <c r="O167" s="29"/>
      <c r="P167" s="38"/>
      <c r="Q167" s="28"/>
      <c r="R167" s="28" t="s">
        <v>2565</v>
      </c>
      <c r="S167" s="28" t="s">
        <v>21</v>
      </c>
      <c r="T167" s="46"/>
      <c r="U167" s="28" t="s">
        <v>31</v>
      </c>
    </row>
    <row r="168" spans="1:21" s="27" customFormat="1" ht="14.25" customHeight="1" x14ac:dyDescent="0.25">
      <c r="A168" s="28" t="s">
        <v>21</v>
      </c>
      <c r="B168" s="28" t="s">
        <v>21</v>
      </c>
      <c r="C168" s="28" t="s">
        <v>21</v>
      </c>
      <c r="D168" s="31">
        <v>2</v>
      </c>
      <c r="E168" s="71"/>
      <c r="F168" s="31"/>
      <c r="G168" s="32">
        <v>1.847</v>
      </c>
      <c r="H168" s="32"/>
      <c r="I168" s="32"/>
      <c r="J168" s="33" t="str">
        <f t="shared" si="23"/>
        <v/>
      </c>
      <c r="K168" s="34"/>
      <c r="L168" s="35"/>
      <c r="M168" s="36" t="str">
        <f t="shared" si="24"/>
        <v/>
      </c>
      <c r="N168" s="37"/>
      <c r="O168" s="29"/>
      <c r="P168" s="38"/>
      <c r="Q168" s="28"/>
      <c r="R168" s="28" t="s">
        <v>2566</v>
      </c>
      <c r="S168" s="28" t="s">
        <v>21</v>
      </c>
      <c r="T168" s="46"/>
      <c r="U168" s="28" t="s">
        <v>31</v>
      </c>
    </row>
    <row r="169" spans="1:21" s="27" customFormat="1" x14ac:dyDescent="0.25">
      <c r="A169" s="28" t="s">
        <v>2499</v>
      </c>
      <c r="B169" s="28" t="s">
        <v>2528</v>
      </c>
      <c r="C169" s="28" t="s">
        <v>21</v>
      </c>
      <c r="D169" s="31">
        <v>2</v>
      </c>
      <c r="E169" s="71">
        <v>18</v>
      </c>
      <c r="F169" s="45"/>
      <c r="G169" s="32"/>
      <c r="H169" s="32"/>
      <c r="I169" s="32"/>
      <c r="J169" s="33">
        <f t="shared" si="23"/>
        <v>0</v>
      </c>
      <c r="K169" s="34" t="str">
        <f t="shared" ref="K169:K170" si="25">IF(J169=0,"",IF(OR(J169&lt;0,J169&gt;0.03),"X",""))</f>
        <v/>
      </c>
      <c r="L169" s="35">
        <f t="shared" ref="L169:L170" si="26">F169/(O169*P169)</f>
        <v>0</v>
      </c>
      <c r="M169" s="36" t="str">
        <f t="shared" ref="M169:M170" si="27">IF(L169=0,"",IF(OR(L169&lt;7,L169&gt;7.8),"X",""))</f>
        <v/>
      </c>
      <c r="N169" s="37" t="s">
        <v>18</v>
      </c>
      <c r="O169" s="29">
        <v>1</v>
      </c>
      <c r="P169" s="38">
        <v>40</v>
      </c>
      <c r="Q169" s="46"/>
      <c r="R169" s="28" t="s">
        <v>2570</v>
      </c>
      <c r="S169" s="28" t="s">
        <v>21</v>
      </c>
      <c r="T169" s="46"/>
      <c r="U169" s="28" t="s">
        <v>31</v>
      </c>
    </row>
    <row r="170" spans="1:21" s="27" customFormat="1" x14ac:dyDescent="0.25">
      <c r="A170" s="28" t="s">
        <v>21</v>
      </c>
      <c r="B170" s="28" t="s">
        <v>2529</v>
      </c>
      <c r="C170" s="28" t="s">
        <v>21</v>
      </c>
      <c r="D170" s="31">
        <v>2</v>
      </c>
      <c r="E170" s="71">
        <v>23</v>
      </c>
      <c r="F170" s="45"/>
      <c r="G170" s="32"/>
      <c r="H170" s="32"/>
      <c r="I170" s="32"/>
      <c r="J170" s="33">
        <f t="shared" si="23"/>
        <v>0</v>
      </c>
      <c r="K170" s="34" t="str">
        <f t="shared" si="25"/>
        <v/>
      </c>
      <c r="L170" s="35">
        <f t="shared" si="26"/>
        <v>0</v>
      </c>
      <c r="M170" s="36" t="str">
        <f t="shared" si="27"/>
        <v/>
      </c>
      <c r="N170" s="37" t="s">
        <v>18</v>
      </c>
      <c r="O170" s="29">
        <v>1</v>
      </c>
      <c r="P170" s="38">
        <v>40</v>
      </c>
      <c r="Q170" s="46"/>
      <c r="R170" s="28" t="s">
        <v>2571</v>
      </c>
      <c r="S170" s="28" t="s">
        <v>21</v>
      </c>
      <c r="T170" s="46"/>
      <c r="U170" s="28" t="s">
        <v>31</v>
      </c>
    </row>
    <row r="172" spans="1:21" x14ac:dyDescent="0.25">
      <c r="A172" s="79" t="s">
        <v>2572</v>
      </c>
      <c r="B172" s="79" t="s">
        <v>2573</v>
      </c>
      <c r="C172" s="79">
        <v>698227</v>
      </c>
      <c r="D172" s="80">
        <v>2</v>
      </c>
      <c r="E172" s="91">
        <v>41</v>
      </c>
      <c r="F172" s="80"/>
      <c r="G172" s="82"/>
      <c r="H172" s="82"/>
      <c r="I172" s="82"/>
      <c r="J172" s="83">
        <f>IF(O172&lt;&gt;"",(H172-I172)/O172,"")</f>
        <v>0</v>
      </c>
      <c r="K172" s="84" t="str">
        <f>IF(J172=0,"",IF(OR(J172&lt;0,J172&gt;0.03),"X",""))</f>
        <v/>
      </c>
      <c r="L172" s="85">
        <f>F172/(O172*P172)</f>
        <v>0</v>
      </c>
      <c r="M172" s="86" t="str">
        <f>IF(L172=0,"",IF(OR(L172&lt;7,L172&gt;7.8),"X",""))</f>
        <v/>
      </c>
      <c r="N172" s="87" t="s">
        <v>16</v>
      </c>
      <c r="O172" s="80">
        <v>1</v>
      </c>
      <c r="P172" s="88">
        <v>25</v>
      </c>
      <c r="Q172" s="79"/>
      <c r="R172" s="79" t="s">
        <v>2593</v>
      </c>
      <c r="S172" s="91" t="s">
        <v>58</v>
      </c>
      <c r="T172" s="79"/>
      <c r="U172" s="79" t="s">
        <v>31</v>
      </c>
    </row>
    <row r="173" spans="1:21" x14ac:dyDescent="0.25">
      <c r="A173" s="79" t="s">
        <v>21</v>
      </c>
      <c r="B173" s="79" t="s">
        <v>2574</v>
      </c>
      <c r="C173" s="79" t="s">
        <v>21</v>
      </c>
      <c r="D173" s="80">
        <v>2</v>
      </c>
      <c r="E173" s="91">
        <v>35</v>
      </c>
      <c r="F173" s="80"/>
      <c r="G173" s="82"/>
      <c r="H173" s="82"/>
      <c r="I173" s="82"/>
      <c r="J173" s="83">
        <f>IF(O173&lt;&gt;"",(H173-I173)/O173,"")</f>
        <v>0</v>
      </c>
      <c r="K173" s="84" t="str">
        <f>IF(J173=0,"",IF(OR(J173&lt;0,J173&gt;0.03),"X",""))</f>
        <v/>
      </c>
      <c r="L173" s="85">
        <f>F173/(O173*P173)</f>
        <v>0</v>
      </c>
      <c r="M173" s="86" t="str">
        <f>IF(L173=0,"",IF(OR(L173&lt;7,L173&gt;7.8),"X",""))</f>
        <v/>
      </c>
      <c r="N173" s="87" t="s">
        <v>16</v>
      </c>
      <c r="O173" s="80">
        <v>1</v>
      </c>
      <c r="P173" s="88">
        <v>25</v>
      </c>
      <c r="Q173" s="79"/>
      <c r="R173" s="79" t="s">
        <v>2595</v>
      </c>
      <c r="S173" s="91" t="s">
        <v>59</v>
      </c>
      <c r="T173" s="79"/>
      <c r="U173" s="79" t="s">
        <v>31</v>
      </c>
    </row>
    <row r="174" spans="1:21" x14ac:dyDescent="0.25">
      <c r="A174" s="79" t="s">
        <v>21</v>
      </c>
      <c r="B174" s="79" t="s">
        <v>2575</v>
      </c>
      <c r="C174" s="79" t="s">
        <v>21</v>
      </c>
      <c r="D174" s="80">
        <v>2</v>
      </c>
      <c r="E174" s="91">
        <v>47</v>
      </c>
      <c r="F174" s="80"/>
      <c r="G174" s="82"/>
      <c r="H174" s="82"/>
      <c r="I174" s="82"/>
      <c r="J174" s="83">
        <f>IF(O174&lt;&gt;"",(H174-I174)/O174,"")</f>
        <v>0</v>
      </c>
      <c r="K174" s="84" t="str">
        <f>IF(J174=0,"",IF(OR(J174&lt;0,J174&gt;0.03),"X",""))</f>
        <v/>
      </c>
      <c r="L174" s="85">
        <f>F174/(O174*P174)</f>
        <v>0</v>
      </c>
      <c r="M174" s="86" t="str">
        <f>IF(L174=0,"",IF(OR(L174&lt;7,L174&gt;7.8),"X",""))</f>
        <v/>
      </c>
      <c r="N174" s="87" t="s">
        <v>16</v>
      </c>
      <c r="O174" s="80">
        <v>1</v>
      </c>
      <c r="P174" s="88">
        <v>25</v>
      </c>
      <c r="Q174" s="79"/>
      <c r="R174" s="79" t="s">
        <v>2597</v>
      </c>
      <c r="S174" s="79" t="s">
        <v>21</v>
      </c>
      <c r="T174" s="79"/>
      <c r="U174" s="79" t="s">
        <v>31</v>
      </c>
    </row>
    <row r="175" spans="1:21" x14ac:dyDescent="0.25">
      <c r="A175" s="79" t="s">
        <v>21</v>
      </c>
      <c r="B175" s="79" t="s">
        <v>2576</v>
      </c>
      <c r="C175" s="79" t="s">
        <v>21</v>
      </c>
      <c r="D175" s="80">
        <v>2</v>
      </c>
      <c r="E175" s="91">
        <v>53</v>
      </c>
      <c r="F175" s="80"/>
      <c r="G175" s="82"/>
      <c r="H175" s="82"/>
      <c r="I175" s="82"/>
      <c r="J175" s="83">
        <f>IF(O175&lt;&gt;"",(H175-I175)/O175,"")</f>
        <v>0</v>
      </c>
      <c r="K175" s="84" t="str">
        <f>IF(J175=0,"",IF(OR(J175&lt;0,J175&gt;0.03),"X",""))</f>
        <v/>
      </c>
      <c r="L175" s="85">
        <f>F175/(O175*P175)</f>
        <v>0</v>
      </c>
      <c r="M175" s="86" t="str">
        <f>IF(L175=0,"",IF(OR(L175&lt;7,L175&gt;7.8),"X",""))</f>
        <v/>
      </c>
      <c r="N175" s="87" t="s">
        <v>16</v>
      </c>
      <c r="O175" s="80">
        <v>1</v>
      </c>
      <c r="P175" s="88">
        <v>25</v>
      </c>
      <c r="Q175" s="79"/>
      <c r="R175" s="79" t="s">
        <v>2598</v>
      </c>
      <c r="S175" s="79" t="s">
        <v>21</v>
      </c>
      <c r="T175" s="79"/>
      <c r="U175" s="79" t="s">
        <v>31</v>
      </c>
    </row>
    <row r="176" spans="1:21" x14ac:dyDescent="0.25">
      <c r="A176" s="79" t="s">
        <v>21</v>
      </c>
      <c r="B176" s="79" t="s">
        <v>2577</v>
      </c>
      <c r="C176" s="79" t="s">
        <v>21</v>
      </c>
      <c r="D176" s="80">
        <v>2</v>
      </c>
      <c r="E176" s="91">
        <v>49</v>
      </c>
      <c r="F176" s="80"/>
      <c r="G176" s="82"/>
      <c r="H176" s="82"/>
      <c r="I176" s="82"/>
      <c r="J176" s="83">
        <f>IF(O176&lt;&gt;"",(H176-I176)/O176,"")</f>
        <v>0</v>
      </c>
      <c r="K176" s="84" t="str">
        <f>IF(J176=0,"",IF(OR(J176&lt;0,J176&gt;0.03),"X",""))</f>
        <v/>
      </c>
      <c r="L176" s="85">
        <f>F176/(O176*P176)</f>
        <v>0</v>
      </c>
      <c r="M176" s="86" t="str">
        <f>IF(L176=0,"",IF(OR(L176&lt;7,L176&gt;7.8),"X",""))</f>
        <v/>
      </c>
      <c r="N176" s="87" t="s">
        <v>16</v>
      </c>
      <c r="O176" s="80">
        <v>1</v>
      </c>
      <c r="P176" s="88">
        <v>25</v>
      </c>
      <c r="Q176" s="79"/>
      <c r="R176" s="79" t="s">
        <v>2594</v>
      </c>
      <c r="S176" s="79" t="s">
        <v>21</v>
      </c>
      <c r="T176" s="79"/>
      <c r="U176" s="79" t="s">
        <v>31</v>
      </c>
    </row>
    <row r="178" spans="1:21" s="27" customFormat="1" x14ac:dyDescent="0.25">
      <c r="A178" s="28"/>
      <c r="B178" s="28" t="s">
        <v>2710</v>
      </c>
      <c r="C178" s="28"/>
      <c r="D178" s="31"/>
      <c r="E178" s="73">
        <v>10</v>
      </c>
      <c r="F178" s="45"/>
      <c r="G178" s="32">
        <v>2.1880000000000002</v>
      </c>
      <c r="H178" s="32">
        <v>25.75</v>
      </c>
      <c r="I178" s="32">
        <v>24.6</v>
      </c>
      <c r="J178" s="33">
        <f>IF(O178&lt;&gt;"",(H178-I178)/O178,"")</f>
        <v>9.5833333333333215E-2</v>
      </c>
      <c r="K178" s="34" t="str">
        <f t="shared" ref="K178" si="28">IF(J178=0,"",IF(OR(J178&lt;0,J178&gt;0.03),"X",""))</f>
        <v>X</v>
      </c>
      <c r="L178" s="35">
        <f>F178/(O178*P178)</f>
        <v>0</v>
      </c>
      <c r="M178" s="36" t="str">
        <f>IF(L178=0,"",IF(OR(L178&lt;7,L178&gt;7.8),"X",""))</f>
        <v/>
      </c>
      <c r="N178" s="37" t="s">
        <v>26</v>
      </c>
      <c r="O178" s="29">
        <v>12</v>
      </c>
      <c r="P178" s="38">
        <v>40</v>
      </c>
      <c r="Q178" s="28"/>
      <c r="R178" s="28"/>
      <c r="S178" s="47"/>
      <c r="T178" s="28"/>
      <c r="U178" s="79" t="s">
        <v>31</v>
      </c>
    </row>
    <row r="179" spans="1:21" s="27" customFormat="1" x14ac:dyDescent="0.25">
      <c r="A179" s="28" t="s">
        <v>21</v>
      </c>
      <c r="B179" s="28" t="s">
        <v>21</v>
      </c>
      <c r="C179" s="28"/>
      <c r="D179" s="31"/>
      <c r="E179" s="73"/>
      <c r="F179" s="31"/>
      <c r="G179" s="32">
        <v>2.17</v>
      </c>
      <c r="H179" s="32"/>
      <c r="I179" s="32"/>
      <c r="J179" s="33" t="str">
        <f t="shared" ref="J179:J189" si="29">IF(O179&lt;&gt;"",(H179-I179)/O179,"")</f>
        <v/>
      </c>
      <c r="K179" s="34"/>
      <c r="L179" s="35"/>
      <c r="M179" s="36" t="str">
        <f t="shared" ref="M179:M189" si="30">IF(L179=0,"",IF(OR(L179&lt;7.4,L179&gt;8),"X",""))</f>
        <v/>
      </c>
      <c r="N179" s="37"/>
      <c r="O179" s="29"/>
      <c r="P179" s="38"/>
      <c r="Q179" s="28"/>
      <c r="R179" s="28"/>
      <c r="S179" s="47"/>
      <c r="T179" s="28"/>
      <c r="U179" s="79" t="s">
        <v>31</v>
      </c>
    </row>
    <row r="180" spans="1:21" s="27" customFormat="1" x14ac:dyDescent="0.25">
      <c r="A180" s="28" t="s">
        <v>21</v>
      </c>
      <c r="B180" s="28" t="s">
        <v>21</v>
      </c>
      <c r="C180" s="28"/>
      <c r="D180" s="31"/>
      <c r="E180" s="73"/>
      <c r="F180" s="31"/>
      <c r="G180" s="32">
        <v>2.19</v>
      </c>
      <c r="H180" s="32"/>
      <c r="I180" s="32"/>
      <c r="J180" s="33" t="str">
        <f t="shared" si="29"/>
        <v/>
      </c>
      <c r="K180" s="34"/>
      <c r="L180" s="35"/>
      <c r="M180" s="36" t="str">
        <f t="shared" si="30"/>
        <v/>
      </c>
      <c r="N180" s="37"/>
      <c r="O180" s="29"/>
      <c r="P180" s="38"/>
      <c r="Q180" s="28"/>
      <c r="R180" s="28"/>
      <c r="S180" s="47"/>
      <c r="T180" s="28"/>
      <c r="U180" s="79" t="s">
        <v>31</v>
      </c>
    </row>
    <row r="181" spans="1:21" s="27" customFormat="1" x14ac:dyDescent="0.25">
      <c r="A181" s="28" t="s">
        <v>21</v>
      </c>
      <c r="B181" s="28" t="s">
        <v>21</v>
      </c>
      <c r="C181" s="28"/>
      <c r="D181" s="31"/>
      <c r="E181" s="73"/>
      <c r="F181" s="31"/>
      <c r="G181" s="32">
        <v>2.1930000000000001</v>
      </c>
      <c r="H181" s="32"/>
      <c r="I181" s="32"/>
      <c r="J181" s="33" t="str">
        <f t="shared" si="29"/>
        <v/>
      </c>
      <c r="K181" s="34"/>
      <c r="L181" s="35"/>
      <c r="M181" s="36" t="str">
        <f t="shared" si="30"/>
        <v/>
      </c>
      <c r="N181" s="37"/>
      <c r="O181" s="29"/>
      <c r="P181" s="38"/>
      <c r="Q181" s="28"/>
      <c r="R181" s="28"/>
      <c r="S181" s="47"/>
      <c r="T181" s="28"/>
      <c r="U181" s="79" t="s">
        <v>31</v>
      </c>
    </row>
    <row r="182" spans="1:21" s="27" customFormat="1" x14ac:dyDescent="0.25">
      <c r="A182" s="28" t="s">
        <v>21</v>
      </c>
      <c r="B182" s="28" t="s">
        <v>21</v>
      </c>
      <c r="C182" s="28"/>
      <c r="D182" s="31"/>
      <c r="E182" s="73"/>
      <c r="F182" s="31"/>
      <c r="G182" s="32">
        <v>2.1949999999999998</v>
      </c>
      <c r="H182" s="32"/>
      <c r="I182" s="32"/>
      <c r="J182" s="33" t="str">
        <f t="shared" si="29"/>
        <v/>
      </c>
      <c r="K182" s="34"/>
      <c r="L182" s="35"/>
      <c r="M182" s="36" t="str">
        <f t="shared" si="30"/>
        <v/>
      </c>
      <c r="N182" s="37"/>
      <c r="O182" s="29"/>
      <c r="P182" s="38"/>
      <c r="Q182" s="28"/>
      <c r="R182" s="28"/>
      <c r="S182" s="47"/>
      <c r="T182" s="28"/>
      <c r="U182" s="79" t="s">
        <v>31</v>
      </c>
    </row>
    <row r="183" spans="1:21" s="27" customFormat="1" x14ac:dyDescent="0.25">
      <c r="A183" s="28" t="s">
        <v>21</v>
      </c>
      <c r="B183" s="28" t="s">
        <v>21</v>
      </c>
      <c r="C183" s="28"/>
      <c r="D183" s="31"/>
      <c r="E183" s="73"/>
      <c r="F183" s="31"/>
      <c r="G183" s="32">
        <v>2.157</v>
      </c>
      <c r="H183" s="32"/>
      <c r="I183" s="32"/>
      <c r="J183" s="33" t="str">
        <f t="shared" si="29"/>
        <v/>
      </c>
      <c r="K183" s="34"/>
      <c r="L183" s="35"/>
      <c r="M183" s="36" t="str">
        <f t="shared" si="30"/>
        <v/>
      </c>
      <c r="N183" s="37"/>
      <c r="O183" s="29"/>
      <c r="P183" s="38"/>
      <c r="Q183" s="28"/>
      <c r="R183" s="28"/>
      <c r="S183" s="47"/>
      <c r="T183" s="28"/>
      <c r="U183" s="79" t="s">
        <v>31</v>
      </c>
    </row>
    <row r="184" spans="1:21" s="27" customFormat="1" x14ac:dyDescent="0.25">
      <c r="A184" s="28" t="s">
        <v>21</v>
      </c>
      <c r="B184" s="28" t="s">
        <v>21</v>
      </c>
      <c r="C184" s="28"/>
      <c r="D184" s="31"/>
      <c r="E184" s="73"/>
      <c r="F184" s="31"/>
      <c r="G184" s="32">
        <v>2.1640000000000001</v>
      </c>
      <c r="H184" s="32"/>
      <c r="I184" s="32"/>
      <c r="J184" s="33" t="str">
        <f t="shared" si="29"/>
        <v/>
      </c>
      <c r="K184" s="34"/>
      <c r="L184" s="35"/>
      <c r="M184" s="36" t="str">
        <f t="shared" si="30"/>
        <v/>
      </c>
      <c r="N184" s="37"/>
      <c r="O184" s="29"/>
      <c r="P184" s="38"/>
      <c r="Q184" s="28"/>
      <c r="R184" s="28"/>
      <c r="S184" s="47"/>
      <c r="T184" s="28"/>
      <c r="U184" s="79" t="s">
        <v>31</v>
      </c>
    </row>
    <row r="185" spans="1:21" s="27" customFormat="1" x14ac:dyDescent="0.25">
      <c r="A185" s="28" t="s">
        <v>21</v>
      </c>
      <c r="B185" s="28" t="s">
        <v>21</v>
      </c>
      <c r="C185" s="28"/>
      <c r="D185" s="31"/>
      <c r="E185" s="73"/>
      <c r="F185" s="31"/>
      <c r="G185" s="32">
        <v>2.1909999999999998</v>
      </c>
      <c r="H185" s="32"/>
      <c r="I185" s="32"/>
      <c r="J185" s="33" t="str">
        <f t="shared" si="29"/>
        <v/>
      </c>
      <c r="K185" s="34"/>
      <c r="L185" s="35"/>
      <c r="M185" s="36" t="str">
        <f t="shared" si="30"/>
        <v/>
      </c>
      <c r="N185" s="37"/>
      <c r="O185" s="29"/>
      <c r="P185" s="38"/>
      <c r="Q185" s="28"/>
      <c r="R185" s="28"/>
      <c r="S185" s="47"/>
      <c r="T185" s="28"/>
      <c r="U185" s="79" t="s">
        <v>31</v>
      </c>
    </row>
    <row r="186" spans="1:21" s="27" customFormat="1" x14ac:dyDescent="0.25">
      <c r="A186" s="28" t="s">
        <v>21</v>
      </c>
      <c r="B186" s="28" t="s">
        <v>21</v>
      </c>
      <c r="C186" s="28"/>
      <c r="D186" s="31"/>
      <c r="E186" s="73"/>
      <c r="F186" s="31"/>
      <c r="G186" s="32">
        <v>2.1880000000000002</v>
      </c>
      <c r="H186" s="32"/>
      <c r="I186" s="32"/>
      <c r="J186" s="33" t="str">
        <f t="shared" si="29"/>
        <v/>
      </c>
      <c r="K186" s="34"/>
      <c r="L186" s="35"/>
      <c r="M186" s="36" t="str">
        <f t="shared" si="30"/>
        <v/>
      </c>
      <c r="N186" s="37"/>
      <c r="O186" s="29"/>
      <c r="P186" s="38"/>
      <c r="Q186" s="28"/>
      <c r="R186" s="28"/>
      <c r="S186" s="47"/>
      <c r="T186" s="28"/>
      <c r="U186" s="79" t="s">
        <v>31</v>
      </c>
    </row>
    <row r="187" spans="1:21" s="27" customFormat="1" x14ac:dyDescent="0.25">
      <c r="A187" s="28" t="s">
        <v>21</v>
      </c>
      <c r="B187" s="28" t="s">
        <v>21</v>
      </c>
      <c r="C187" s="28"/>
      <c r="D187" s="31"/>
      <c r="E187" s="73"/>
      <c r="F187" s="31"/>
      <c r="G187" s="32">
        <v>2.2080000000000002</v>
      </c>
      <c r="H187" s="32"/>
      <c r="I187" s="32"/>
      <c r="J187" s="33" t="str">
        <f t="shared" si="29"/>
        <v/>
      </c>
      <c r="K187" s="34"/>
      <c r="L187" s="35"/>
      <c r="M187" s="36" t="str">
        <f t="shared" si="30"/>
        <v/>
      </c>
      <c r="N187" s="37"/>
      <c r="O187" s="29"/>
      <c r="P187" s="38"/>
      <c r="Q187" s="28"/>
      <c r="R187" s="28"/>
      <c r="S187" s="47"/>
      <c r="T187" s="28"/>
      <c r="U187" s="79" t="s">
        <v>31</v>
      </c>
    </row>
    <row r="188" spans="1:21" s="27" customFormat="1" x14ac:dyDescent="0.25">
      <c r="A188" s="28" t="s">
        <v>21</v>
      </c>
      <c r="B188" s="28" t="s">
        <v>21</v>
      </c>
      <c r="C188" s="28"/>
      <c r="D188" s="31"/>
      <c r="E188" s="73"/>
      <c r="F188" s="31"/>
      <c r="G188" s="32">
        <v>2.157</v>
      </c>
      <c r="H188" s="32"/>
      <c r="I188" s="32"/>
      <c r="J188" s="33" t="str">
        <f t="shared" si="29"/>
        <v/>
      </c>
      <c r="K188" s="34"/>
      <c r="L188" s="35"/>
      <c r="M188" s="36" t="str">
        <f t="shared" si="30"/>
        <v/>
      </c>
      <c r="N188" s="37"/>
      <c r="O188" s="29"/>
      <c r="P188" s="38"/>
      <c r="Q188" s="28"/>
      <c r="R188" s="28"/>
      <c r="S188" s="47"/>
      <c r="T188" s="28"/>
      <c r="U188" s="79" t="s">
        <v>31</v>
      </c>
    </row>
    <row r="189" spans="1:21" s="27" customFormat="1" x14ac:dyDescent="0.25">
      <c r="A189" s="28" t="s">
        <v>21</v>
      </c>
      <c r="B189" s="28" t="s">
        <v>21</v>
      </c>
      <c r="C189" s="28"/>
      <c r="D189" s="31"/>
      <c r="E189" s="73"/>
      <c r="F189" s="31"/>
      <c r="G189" s="32">
        <v>2.3319999999999999</v>
      </c>
      <c r="H189" s="32"/>
      <c r="I189" s="32"/>
      <c r="J189" s="33" t="str">
        <f t="shared" si="29"/>
        <v/>
      </c>
      <c r="K189" s="34"/>
      <c r="L189" s="35"/>
      <c r="M189" s="36" t="str">
        <f t="shared" si="30"/>
        <v/>
      </c>
      <c r="N189" s="37"/>
      <c r="O189" s="29"/>
      <c r="P189" s="38"/>
      <c r="Q189" s="28"/>
      <c r="R189" s="28"/>
      <c r="S189" s="47"/>
      <c r="T189" s="28"/>
      <c r="U189" s="79" t="s">
        <v>31</v>
      </c>
    </row>
    <row r="190" spans="1:21" s="27" customFormat="1" x14ac:dyDescent="0.25">
      <c r="A190" s="28"/>
      <c r="B190" s="28" t="s">
        <v>2710</v>
      </c>
      <c r="C190" s="28"/>
      <c r="D190" s="31"/>
      <c r="E190" s="73">
        <v>8</v>
      </c>
      <c r="F190" s="45"/>
      <c r="G190" s="32">
        <v>2.1520000000000001</v>
      </c>
      <c r="H190" s="32">
        <v>25.88</v>
      </c>
      <c r="I190" s="32">
        <v>25.5</v>
      </c>
      <c r="J190" s="33">
        <f>IF(O190&lt;&gt;"",(H190-I190)/O190,"")</f>
        <v>3.1666666666666586E-2</v>
      </c>
      <c r="K190" s="34" t="str">
        <f t="shared" ref="K190" si="31">IF(J190=0,"",IF(OR(J190&lt;0,J190&gt;0.03),"X",""))</f>
        <v>X</v>
      </c>
      <c r="L190" s="35">
        <f>F190/(O190*P190)</f>
        <v>0</v>
      </c>
      <c r="M190" s="36" t="str">
        <f>IF(L190=0,"",IF(OR(L190&lt;7,L190&gt;7.8),"X",""))</f>
        <v/>
      </c>
      <c r="N190" s="37" t="s">
        <v>26</v>
      </c>
      <c r="O190" s="29">
        <v>12</v>
      </c>
      <c r="P190" s="38">
        <v>40</v>
      </c>
      <c r="Q190" s="28"/>
      <c r="R190" s="28"/>
      <c r="S190" s="47"/>
      <c r="T190" s="28"/>
      <c r="U190" s="79" t="s">
        <v>31</v>
      </c>
    </row>
    <row r="191" spans="1:21" s="27" customFormat="1" x14ac:dyDescent="0.25">
      <c r="A191" s="28" t="s">
        <v>21</v>
      </c>
      <c r="B191" s="28" t="s">
        <v>21</v>
      </c>
      <c r="C191" s="28"/>
      <c r="D191" s="31"/>
      <c r="E191" s="73"/>
      <c r="F191" s="31"/>
      <c r="G191" s="32">
        <v>2.3250000000000002</v>
      </c>
      <c r="H191" s="32"/>
      <c r="I191" s="32"/>
      <c r="J191" s="33" t="str">
        <f t="shared" ref="J191:J201" si="32">IF(O191&lt;&gt;"",(H191-I191)/O191,"")</f>
        <v/>
      </c>
      <c r="K191" s="34"/>
      <c r="L191" s="35"/>
      <c r="M191" s="36" t="str">
        <f t="shared" ref="M191:M201" si="33">IF(L191=0,"",IF(OR(L191&lt;7.4,L191&gt;8),"X",""))</f>
        <v/>
      </c>
      <c r="N191" s="37"/>
      <c r="O191" s="29"/>
      <c r="P191" s="38"/>
      <c r="Q191" s="28"/>
      <c r="R191" s="28"/>
      <c r="S191" s="47"/>
      <c r="T191" s="28"/>
      <c r="U191" s="79" t="s">
        <v>31</v>
      </c>
    </row>
    <row r="192" spans="1:21" s="27" customFormat="1" x14ac:dyDescent="0.25">
      <c r="A192" s="28" t="s">
        <v>21</v>
      </c>
      <c r="B192" s="28" t="s">
        <v>21</v>
      </c>
      <c r="C192" s="28"/>
      <c r="D192" s="31"/>
      <c r="E192" s="73"/>
      <c r="F192" s="31"/>
      <c r="G192" s="32">
        <v>2.2080000000000002</v>
      </c>
      <c r="H192" s="32"/>
      <c r="I192" s="32"/>
      <c r="J192" s="33" t="str">
        <f t="shared" si="32"/>
        <v/>
      </c>
      <c r="K192" s="34"/>
      <c r="L192" s="35"/>
      <c r="M192" s="36" t="str">
        <f t="shared" si="33"/>
        <v/>
      </c>
      <c r="N192" s="37"/>
      <c r="O192" s="29"/>
      <c r="P192" s="38"/>
      <c r="Q192" s="28"/>
      <c r="R192" s="28"/>
      <c r="S192" s="47"/>
      <c r="T192" s="28"/>
      <c r="U192" s="79" t="s">
        <v>31</v>
      </c>
    </row>
    <row r="193" spans="1:21" s="27" customFormat="1" x14ac:dyDescent="0.25">
      <c r="A193" s="28" t="s">
        <v>21</v>
      </c>
      <c r="B193" s="28" t="s">
        <v>21</v>
      </c>
      <c r="C193" s="28"/>
      <c r="D193" s="31"/>
      <c r="E193" s="73"/>
      <c r="F193" s="31"/>
      <c r="G193" s="32">
        <v>2.2360000000000002</v>
      </c>
      <c r="H193" s="32"/>
      <c r="I193" s="32"/>
      <c r="J193" s="33" t="str">
        <f t="shared" si="32"/>
        <v/>
      </c>
      <c r="K193" s="34"/>
      <c r="L193" s="35"/>
      <c r="M193" s="36" t="str">
        <f t="shared" si="33"/>
        <v/>
      </c>
      <c r="N193" s="37"/>
      <c r="O193" s="29"/>
      <c r="P193" s="38"/>
      <c r="Q193" s="28"/>
      <c r="R193" s="28"/>
      <c r="S193" s="47"/>
      <c r="T193" s="28"/>
      <c r="U193" s="79" t="s">
        <v>31</v>
      </c>
    </row>
    <row r="194" spans="1:21" s="27" customFormat="1" x14ac:dyDescent="0.25">
      <c r="A194" s="28" t="s">
        <v>21</v>
      </c>
      <c r="B194" s="28" t="s">
        <v>21</v>
      </c>
      <c r="C194" s="28"/>
      <c r="D194" s="31"/>
      <c r="E194" s="73"/>
      <c r="F194" s="31"/>
      <c r="G194" s="32">
        <v>2.1749999999999998</v>
      </c>
      <c r="H194" s="32"/>
      <c r="I194" s="32"/>
      <c r="J194" s="33" t="str">
        <f t="shared" si="32"/>
        <v/>
      </c>
      <c r="K194" s="34"/>
      <c r="L194" s="35"/>
      <c r="M194" s="36" t="str">
        <f t="shared" si="33"/>
        <v/>
      </c>
      <c r="N194" s="37"/>
      <c r="O194" s="29"/>
      <c r="P194" s="38"/>
      <c r="Q194" s="28"/>
      <c r="R194" s="28"/>
      <c r="S194" s="47"/>
      <c r="T194" s="28"/>
      <c r="U194" s="79" t="s">
        <v>31</v>
      </c>
    </row>
    <row r="195" spans="1:21" s="27" customFormat="1" x14ac:dyDescent="0.25">
      <c r="A195" s="28" t="s">
        <v>21</v>
      </c>
      <c r="B195" s="28" t="s">
        <v>21</v>
      </c>
      <c r="C195" s="28"/>
      <c r="D195" s="31"/>
      <c r="E195" s="73"/>
      <c r="F195" s="31"/>
      <c r="G195" s="32">
        <v>2.194</v>
      </c>
      <c r="H195" s="32"/>
      <c r="I195" s="32"/>
      <c r="J195" s="33" t="str">
        <f t="shared" si="32"/>
        <v/>
      </c>
      <c r="K195" s="34"/>
      <c r="L195" s="35"/>
      <c r="M195" s="36" t="str">
        <f t="shared" si="33"/>
        <v/>
      </c>
      <c r="N195" s="37"/>
      <c r="O195" s="29"/>
      <c r="P195" s="38"/>
      <c r="Q195" s="28"/>
      <c r="R195" s="28"/>
      <c r="S195" s="47"/>
      <c r="T195" s="28"/>
      <c r="U195" s="79" t="s">
        <v>31</v>
      </c>
    </row>
    <row r="196" spans="1:21" s="27" customFormat="1" x14ac:dyDescent="0.25">
      <c r="A196" s="28" t="s">
        <v>21</v>
      </c>
      <c r="B196" s="28" t="s">
        <v>21</v>
      </c>
      <c r="C196" s="28"/>
      <c r="D196" s="31"/>
      <c r="E196" s="73"/>
      <c r="F196" s="31"/>
      <c r="G196" s="32">
        <v>2.2109999999999999</v>
      </c>
      <c r="H196" s="32"/>
      <c r="I196" s="32"/>
      <c r="J196" s="33" t="str">
        <f t="shared" si="32"/>
        <v/>
      </c>
      <c r="K196" s="34"/>
      <c r="L196" s="35"/>
      <c r="M196" s="36" t="str">
        <f t="shared" si="33"/>
        <v/>
      </c>
      <c r="N196" s="37"/>
      <c r="O196" s="29"/>
      <c r="P196" s="38"/>
      <c r="Q196" s="28"/>
      <c r="R196" s="28"/>
      <c r="S196" s="47"/>
      <c r="T196" s="28"/>
      <c r="U196" s="79" t="s">
        <v>31</v>
      </c>
    </row>
    <row r="197" spans="1:21" s="27" customFormat="1" x14ac:dyDescent="0.25">
      <c r="A197" s="28" t="s">
        <v>21</v>
      </c>
      <c r="B197" s="28" t="s">
        <v>21</v>
      </c>
      <c r="C197" s="28"/>
      <c r="D197" s="31"/>
      <c r="E197" s="73"/>
      <c r="F197" s="31"/>
      <c r="G197" s="32">
        <v>2.2650000000000001</v>
      </c>
      <c r="H197" s="32"/>
      <c r="I197" s="32"/>
      <c r="J197" s="33" t="str">
        <f t="shared" si="32"/>
        <v/>
      </c>
      <c r="K197" s="34"/>
      <c r="L197" s="35"/>
      <c r="M197" s="36" t="str">
        <f t="shared" si="33"/>
        <v/>
      </c>
      <c r="N197" s="37"/>
      <c r="O197" s="29"/>
      <c r="P197" s="38"/>
      <c r="Q197" s="28"/>
      <c r="R197" s="28"/>
      <c r="S197" s="47"/>
      <c r="T197" s="28"/>
      <c r="U197" s="79" t="s">
        <v>31</v>
      </c>
    </row>
    <row r="198" spans="1:21" s="27" customFormat="1" x14ac:dyDescent="0.25">
      <c r="A198" s="28" t="s">
        <v>21</v>
      </c>
      <c r="B198" s="28" t="s">
        <v>21</v>
      </c>
      <c r="C198" s="28"/>
      <c r="D198" s="31"/>
      <c r="E198" s="73"/>
      <c r="F198" s="31"/>
      <c r="G198" s="32">
        <v>2.177</v>
      </c>
      <c r="H198" s="32"/>
      <c r="I198" s="32"/>
      <c r="J198" s="33" t="str">
        <f t="shared" si="32"/>
        <v/>
      </c>
      <c r="K198" s="34"/>
      <c r="L198" s="35"/>
      <c r="M198" s="36" t="str">
        <f t="shared" si="33"/>
        <v/>
      </c>
      <c r="N198" s="37"/>
      <c r="O198" s="29"/>
      <c r="P198" s="38"/>
      <c r="Q198" s="28"/>
      <c r="R198" s="28"/>
      <c r="S198" s="47"/>
      <c r="T198" s="28"/>
      <c r="U198" s="79" t="s">
        <v>31</v>
      </c>
    </row>
    <row r="199" spans="1:21" s="27" customFormat="1" x14ac:dyDescent="0.25">
      <c r="A199" s="28" t="s">
        <v>21</v>
      </c>
      <c r="B199" s="28" t="s">
        <v>21</v>
      </c>
      <c r="C199" s="28"/>
      <c r="D199" s="31"/>
      <c r="E199" s="73"/>
      <c r="F199" s="31"/>
      <c r="G199" s="32">
        <v>2.1739999999999999</v>
      </c>
      <c r="H199" s="32"/>
      <c r="I199" s="32"/>
      <c r="J199" s="33" t="str">
        <f t="shared" si="32"/>
        <v/>
      </c>
      <c r="K199" s="34"/>
      <c r="L199" s="35"/>
      <c r="M199" s="36" t="str">
        <f t="shared" si="33"/>
        <v/>
      </c>
      <c r="N199" s="37"/>
      <c r="O199" s="29"/>
      <c r="P199" s="38"/>
      <c r="Q199" s="28"/>
      <c r="R199" s="28"/>
      <c r="S199" s="47"/>
      <c r="T199" s="28"/>
      <c r="U199" s="79" t="s">
        <v>31</v>
      </c>
    </row>
    <row r="200" spans="1:21" s="27" customFormat="1" x14ac:dyDescent="0.25">
      <c r="A200" s="28" t="s">
        <v>21</v>
      </c>
      <c r="B200" s="28" t="s">
        <v>21</v>
      </c>
      <c r="C200" s="28"/>
      <c r="D200" s="31"/>
      <c r="E200" s="73"/>
      <c r="F200" s="31"/>
      <c r="G200" s="32">
        <v>2.181</v>
      </c>
      <c r="H200" s="32"/>
      <c r="I200" s="32"/>
      <c r="J200" s="33" t="str">
        <f t="shared" si="32"/>
        <v/>
      </c>
      <c r="K200" s="34"/>
      <c r="L200" s="35"/>
      <c r="M200" s="36" t="str">
        <f t="shared" si="33"/>
        <v/>
      </c>
      <c r="N200" s="37"/>
      <c r="O200" s="29"/>
      <c r="P200" s="38"/>
      <c r="Q200" s="28"/>
      <c r="R200" s="28"/>
      <c r="S200" s="47"/>
      <c r="T200" s="28"/>
      <c r="U200" s="79" t="s">
        <v>31</v>
      </c>
    </row>
    <row r="201" spans="1:21" s="27" customFormat="1" x14ac:dyDescent="0.25">
      <c r="A201" s="28" t="s">
        <v>21</v>
      </c>
      <c r="B201" s="28" t="s">
        <v>21</v>
      </c>
      <c r="C201" s="28"/>
      <c r="D201" s="31"/>
      <c r="E201" s="73"/>
      <c r="F201" s="31"/>
      <c r="G201" s="32">
        <v>2.222</v>
      </c>
      <c r="H201" s="32"/>
      <c r="I201" s="32"/>
      <c r="J201" s="33" t="str">
        <f t="shared" si="32"/>
        <v/>
      </c>
      <c r="K201" s="34"/>
      <c r="L201" s="35"/>
      <c r="M201" s="36" t="str">
        <f t="shared" si="33"/>
        <v/>
      </c>
      <c r="N201" s="37"/>
      <c r="O201" s="29"/>
      <c r="P201" s="38"/>
      <c r="Q201" s="28"/>
      <c r="R201" s="28"/>
      <c r="S201" s="47"/>
      <c r="T201" s="28"/>
      <c r="U201" s="79" t="s">
        <v>31</v>
      </c>
    </row>
    <row r="202" spans="1:21" s="27" customFormat="1" x14ac:dyDescent="0.25">
      <c r="A202" s="28"/>
      <c r="B202" s="28" t="s">
        <v>2711</v>
      </c>
      <c r="C202" s="28"/>
      <c r="D202" s="31"/>
      <c r="E202" s="73">
        <v>12</v>
      </c>
      <c r="F202" s="45"/>
      <c r="G202" s="32">
        <v>2.105</v>
      </c>
      <c r="H202" s="32">
        <v>24.28</v>
      </c>
      <c r="I202" s="32">
        <v>23.45</v>
      </c>
      <c r="J202" s="33">
        <f>IF(O202&lt;&gt;"",(H202-I202)/O202,"")</f>
        <v>6.9166666666666821E-2</v>
      </c>
      <c r="K202" s="34" t="str">
        <f t="shared" ref="K202" si="34">IF(J202=0,"",IF(OR(J202&lt;0,J202&gt;0.03),"X",""))</f>
        <v>X</v>
      </c>
      <c r="L202" s="35">
        <f>F202/(O202*P202)</f>
        <v>0</v>
      </c>
      <c r="M202" s="36" t="str">
        <f>IF(L202=0,"",IF(OR(L202&lt;7,L202&gt;7.8),"X",""))</f>
        <v/>
      </c>
      <c r="N202" s="37" t="s">
        <v>26</v>
      </c>
      <c r="O202" s="29">
        <v>12</v>
      </c>
      <c r="P202" s="38">
        <v>40</v>
      </c>
      <c r="Q202" s="28"/>
      <c r="R202" s="28"/>
      <c r="S202" s="47"/>
      <c r="T202" s="28"/>
      <c r="U202" s="79" t="s">
        <v>31</v>
      </c>
    </row>
    <row r="203" spans="1:21" s="27" customFormat="1" x14ac:dyDescent="0.25">
      <c r="A203" s="28" t="s">
        <v>21</v>
      </c>
      <c r="B203" s="28" t="s">
        <v>21</v>
      </c>
      <c r="C203" s="28"/>
      <c r="D203" s="31"/>
      <c r="E203" s="73"/>
      <c r="F203" s="31"/>
      <c r="G203" s="32">
        <v>2.1859999999999999</v>
      </c>
      <c r="H203" s="32"/>
      <c r="I203" s="32"/>
      <c r="J203" s="33" t="str">
        <f t="shared" ref="J203:J213" si="35">IF(O203&lt;&gt;"",(H203-I203)/O203,"")</f>
        <v/>
      </c>
      <c r="K203" s="34"/>
      <c r="L203" s="35"/>
      <c r="M203" s="36" t="str">
        <f t="shared" ref="M203:M213" si="36">IF(L203=0,"",IF(OR(L203&lt;7.4,L203&gt;8),"X",""))</f>
        <v/>
      </c>
      <c r="N203" s="37"/>
      <c r="O203" s="29"/>
      <c r="P203" s="38"/>
      <c r="Q203" s="28"/>
      <c r="R203" s="28"/>
      <c r="S203" s="47"/>
      <c r="T203" s="28"/>
      <c r="U203" s="79" t="s">
        <v>31</v>
      </c>
    </row>
    <row r="204" spans="1:21" s="27" customFormat="1" x14ac:dyDescent="0.25">
      <c r="A204" s="28" t="s">
        <v>21</v>
      </c>
      <c r="B204" s="28" t="s">
        <v>21</v>
      </c>
      <c r="C204" s="28"/>
      <c r="D204" s="31"/>
      <c r="E204" s="73"/>
      <c r="F204" s="31"/>
      <c r="G204" s="32">
        <v>2.0880000000000001</v>
      </c>
      <c r="H204" s="32"/>
      <c r="I204" s="32"/>
      <c r="J204" s="33" t="str">
        <f t="shared" si="35"/>
        <v/>
      </c>
      <c r="K204" s="34"/>
      <c r="L204" s="35"/>
      <c r="M204" s="36" t="str">
        <f t="shared" si="36"/>
        <v/>
      </c>
      <c r="N204" s="37"/>
      <c r="O204" s="29"/>
      <c r="P204" s="38"/>
      <c r="Q204" s="28"/>
      <c r="R204" s="28"/>
      <c r="S204" s="47"/>
      <c r="T204" s="28"/>
      <c r="U204" s="79" t="s">
        <v>31</v>
      </c>
    </row>
    <row r="205" spans="1:21" s="27" customFormat="1" x14ac:dyDescent="0.25">
      <c r="A205" s="28" t="s">
        <v>21</v>
      </c>
      <c r="B205" s="28" t="s">
        <v>21</v>
      </c>
      <c r="C205" s="28"/>
      <c r="D205" s="31"/>
      <c r="E205" s="73"/>
      <c r="F205" s="31"/>
      <c r="G205" s="32">
        <v>2.0099999999999998</v>
      </c>
      <c r="H205" s="32"/>
      <c r="I205" s="32"/>
      <c r="J205" s="33" t="str">
        <f t="shared" si="35"/>
        <v/>
      </c>
      <c r="K205" s="34"/>
      <c r="L205" s="35"/>
      <c r="M205" s="36" t="str">
        <f t="shared" si="36"/>
        <v/>
      </c>
      <c r="N205" s="37"/>
      <c r="O205" s="29"/>
      <c r="P205" s="38"/>
      <c r="Q205" s="28"/>
      <c r="R205" s="28"/>
      <c r="S205" s="47"/>
      <c r="T205" s="28"/>
      <c r="U205" s="79" t="s">
        <v>31</v>
      </c>
    </row>
    <row r="206" spans="1:21" s="27" customFormat="1" x14ac:dyDescent="0.25">
      <c r="A206" s="28" t="s">
        <v>21</v>
      </c>
      <c r="B206" s="28" t="s">
        <v>21</v>
      </c>
      <c r="C206" s="28"/>
      <c r="D206" s="31"/>
      <c r="E206" s="73"/>
      <c r="F206" s="31"/>
      <c r="G206" s="32">
        <v>2.0150000000000001</v>
      </c>
      <c r="H206" s="32"/>
      <c r="I206" s="32"/>
      <c r="J206" s="33" t="str">
        <f t="shared" si="35"/>
        <v/>
      </c>
      <c r="K206" s="34"/>
      <c r="L206" s="35"/>
      <c r="M206" s="36" t="str">
        <f t="shared" si="36"/>
        <v/>
      </c>
      <c r="N206" s="37"/>
      <c r="O206" s="29"/>
      <c r="P206" s="38"/>
      <c r="Q206" s="28"/>
      <c r="R206" s="28"/>
      <c r="S206" s="47"/>
      <c r="T206" s="28"/>
      <c r="U206" s="79" t="s">
        <v>31</v>
      </c>
    </row>
    <row r="207" spans="1:21" s="27" customFormat="1" x14ac:dyDescent="0.25">
      <c r="A207" s="28" t="s">
        <v>21</v>
      </c>
      <c r="B207" s="28" t="s">
        <v>21</v>
      </c>
      <c r="C207" s="28"/>
      <c r="D207" s="31"/>
      <c r="E207" s="73"/>
      <c r="F207" s="31"/>
      <c r="G207" s="32">
        <v>2.0070000000000001</v>
      </c>
      <c r="H207" s="32"/>
      <c r="I207" s="32"/>
      <c r="J207" s="33" t="str">
        <f t="shared" si="35"/>
        <v/>
      </c>
      <c r="K207" s="34"/>
      <c r="L207" s="35"/>
      <c r="M207" s="36" t="str">
        <f t="shared" si="36"/>
        <v/>
      </c>
      <c r="N207" s="37"/>
      <c r="O207" s="29"/>
      <c r="P207" s="38"/>
      <c r="Q207" s="28"/>
      <c r="R207" s="28"/>
      <c r="S207" s="47"/>
      <c r="T207" s="28"/>
      <c r="U207" s="79" t="s">
        <v>31</v>
      </c>
    </row>
    <row r="208" spans="1:21" s="27" customFormat="1" x14ac:dyDescent="0.25">
      <c r="A208" s="28" t="s">
        <v>21</v>
      </c>
      <c r="B208" s="28" t="s">
        <v>21</v>
      </c>
      <c r="C208" s="28"/>
      <c r="D208" s="31"/>
      <c r="E208" s="73"/>
      <c r="F208" s="31"/>
      <c r="G208" s="32">
        <v>2.028</v>
      </c>
      <c r="H208" s="32"/>
      <c r="I208" s="32"/>
      <c r="J208" s="33" t="str">
        <f t="shared" si="35"/>
        <v/>
      </c>
      <c r="K208" s="34"/>
      <c r="L208" s="35"/>
      <c r="M208" s="36" t="str">
        <f t="shared" si="36"/>
        <v/>
      </c>
      <c r="N208" s="37"/>
      <c r="O208" s="29"/>
      <c r="P208" s="38"/>
      <c r="Q208" s="28"/>
      <c r="R208" s="28"/>
      <c r="S208" s="47"/>
      <c r="T208" s="28"/>
      <c r="U208" s="79" t="s">
        <v>31</v>
      </c>
    </row>
    <row r="209" spans="1:21" s="27" customFormat="1" x14ac:dyDescent="0.25">
      <c r="A209" s="28" t="s">
        <v>21</v>
      </c>
      <c r="B209" s="28" t="s">
        <v>21</v>
      </c>
      <c r="C209" s="28"/>
      <c r="D209" s="31"/>
      <c r="E209" s="73"/>
      <c r="F209" s="31"/>
      <c r="G209" s="32">
        <v>2.0209999999999999</v>
      </c>
      <c r="H209" s="32"/>
      <c r="I209" s="32"/>
      <c r="J209" s="33" t="str">
        <f t="shared" si="35"/>
        <v/>
      </c>
      <c r="K209" s="34"/>
      <c r="L209" s="35"/>
      <c r="M209" s="36" t="str">
        <f t="shared" si="36"/>
        <v/>
      </c>
      <c r="N209" s="37"/>
      <c r="O209" s="29"/>
      <c r="P209" s="38"/>
      <c r="Q209" s="28"/>
      <c r="R209" s="28"/>
      <c r="S209" s="47"/>
      <c r="T209" s="28"/>
      <c r="U209" s="79" t="s">
        <v>31</v>
      </c>
    </row>
    <row r="210" spans="1:21" s="27" customFormat="1" x14ac:dyDescent="0.25">
      <c r="A210" s="28" t="s">
        <v>21</v>
      </c>
      <c r="B210" s="28" t="s">
        <v>21</v>
      </c>
      <c r="C210" s="28"/>
      <c r="D210" s="31"/>
      <c r="E210" s="73"/>
      <c r="F210" s="31"/>
      <c r="G210" s="32">
        <v>2.0299999999999998</v>
      </c>
      <c r="H210" s="32"/>
      <c r="I210" s="32"/>
      <c r="J210" s="33" t="str">
        <f t="shared" si="35"/>
        <v/>
      </c>
      <c r="K210" s="34"/>
      <c r="L210" s="35"/>
      <c r="M210" s="36" t="str">
        <f t="shared" si="36"/>
        <v/>
      </c>
      <c r="N210" s="37"/>
      <c r="O210" s="29"/>
      <c r="P210" s="38"/>
      <c r="Q210" s="28"/>
      <c r="R210" s="28"/>
      <c r="S210" s="47"/>
      <c r="T210" s="28"/>
      <c r="U210" s="79" t="s">
        <v>31</v>
      </c>
    </row>
    <row r="211" spans="1:21" s="27" customFormat="1" x14ac:dyDescent="0.25">
      <c r="A211" s="28" t="s">
        <v>21</v>
      </c>
      <c r="B211" s="28" t="s">
        <v>21</v>
      </c>
      <c r="C211" s="28"/>
      <c r="D211" s="31"/>
      <c r="E211" s="73"/>
      <c r="F211" s="31"/>
      <c r="G211" s="32">
        <v>2</v>
      </c>
      <c r="H211" s="32"/>
      <c r="I211" s="32"/>
      <c r="J211" s="33" t="str">
        <f t="shared" si="35"/>
        <v/>
      </c>
      <c r="K211" s="34"/>
      <c r="L211" s="35"/>
      <c r="M211" s="36" t="str">
        <f t="shared" si="36"/>
        <v/>
      </c>
      <c r="N211" s="37"/>
      <c r="O211" s="29"/>
      <c r="P211" s="38"/>
      <c r="Q211" s="28"/>
      <c r="R211" s="28"/>
      <c r="S211" s="47"/>
      <c r="T211" s="28"/>
      <c r="U211" s="79" t="s">
        <v>31</v>
      </c>
    </row>
    <row r="212" spans="1:21" s="27" customFormat="1" x14ac:dyDescent="0.25">
      <c r="A212" s="28" t="s">
        <v>21</v>
      </c>
      <c r="B212" s="28" t="s">
        <v>21</v>
      </c>
      <c r="C212" s="28"/>
      <c r="D212" s="31"/>
      <c r="E212" s="73"/>
      <c r="F212" s="31"/>
      <c r="G212" s="32">
        <v>2.13</v>
      </c>
      <c r="H212" s="32"/>
      <c r="I212" s="32"/>
      <c r="J212" s="33" t="str">
        <f t="shared" si="35"/>
        <v/>
      </c>
      <c r="K212" s="34"/>
      <c r="L212" s="35"/>
      <c r="M212" s="36" t="str">
        <f t="shared" si="36"/>
        <v/>
      </c>
      <c r="N212" s="37"/>
      <c r="O212" s="29"/>
      <c r="P212" s="38"/>
      <c r="Q212" s="28"/>
      <c r="R212" s="28"/>
      <c r="S212" s="47"/>
      <c r="T212" s="28"/>
      <c r="U212" s="79" t="s">
        <v>31</v>
      </c>
    </row>
    <row r="213" spans="1:21" s="27" customFormat="1" x14ac:dyDescent="0.25">
      <c r="A213" s="28" t="s">
        <v>21</v>
      </c>
      <c r="B213" s="28" t="s">
        <v>21</v>
      </c>
      <c r="C213" s="28"/>
      <c r="D213" s="31"/>
      <c r="E213" s="73"/>
      <c r="F213" s="31"/>
      <c r="G213" s="32">
        <v>2.1949999999999998</v>
      </c>
      <c r="H213" s="32"/>
      <c r="I213" s="32"/>
      <c r="J213" s="33" t="str">
        <f t="shared" si="35"/>
        <v/>
      </c>
      <c r="K213" s="34"/>
      <c r="L213" s="35"/>
      <c r="M213" s="36" t="str">
        <f t="shared" si="36"/>
        <v/>
      </c>
      <c r="N213" s="37"/>
      <c r="O213" s="29"/>
      <c r="P213" s="38"/>
      <c r="Q213" s="28"/>
      <c r="R213" s="28"/>
      <c r="S213" s="47"/>
      <c r="T213" s="28"/>
      <c r="U213" s="79" t="s">
        <v>31</v>
      </c>
    </row>
    <row r="214" spans="1:21" s="27" customFormat="1" x14ac:dyDescent="0.25">
      <c r="A214" s="28"/>
      <c r="B214" s="28" t="s">
        <v>2712</v>
      </c>
      <c r="C214" s="28"/>
      <c r="D214" s="31"/>
      <c r="E214" s="71">
        <v>224</v>
      </c>
      <c r="F214" s="45"/>
      <c r="G214" s="32"/>
      <c r="H214" s="32"/>
      <c r="I214" s="32"/>
      <c r="J214" s="33">
        <f>IF(O214&lt;&gt;"",(H214-I214)/O214,"")</f>
        <v>0</v>
      </c>
      <c r="K214" s="34" t="str">
        <f t="shared" ref="K214" si="37">IF(J214=0,"",IF(OR(J214&lt;0,J214&gt;0.03),"X",""))</f>
        <v/>
      </c>
      <c r="L214" s="35">
        <f>F214/(O214*P214)</f>
        <v>0</v>
      </c>
      <c r="M214" s="36" t="str">
        <f>IF(L214=0,"",IF(OR(L214&lt;7,L214&gt;7.8),"X",""))</f>
        <v/>
      </c>
      <c r="N214" s="37" t="s">
        <v>26</v>
      </c>
      <c r="O214" s="29">
        <v>12</v>
      </c>
      <c r="P214" s="38">
        <v>40</v>
      </c>
      <c r="Q214" s="28"/>
      <c r="R214" s="28" t="s">
        <v>2762</v>
      </c>
      <c r="S214" s="47"/>
      <c r="T214" s="28"/>
      <c r="U214" s="79" t="s">
        <v>31</v>
      </c>
    </row>
    <row r="215" spans="1:21" s="27" customFormat="1" x14ac:dyDescent="0.25">
      <c r="A215" s="28" t="s">
        <v>21</v>
      </c>
      <c r="B215" s="28" t="s">
        <v>21</v>
      </c>
      <c r="C215" s="28"/>
      <c r="D215" s="31"/>
      <c r="E215" s="73"/>
      <c r="F215" s="31"/>
      <c r="G215" s="32"/>
      <c r="H215" s="32"/>
      <c r="I215" s="32"/>
      <c r="J215" s="33" t="str">
        <f t="shared" ref="J215:J225" si="38">IF(O215&lt;&gt;"",(H215-I215)/O215,"")</f>
        <v/>
      </c>
      <c r="K215" s="34"/>
      <c r="L215" s="35"/>
      <c r="M215" s="36" t="str">
        <f t="shared" ref="M215:M225" si="39">IF(L215=0,"",IF(OR(L215&lt;7.4,L215&gt;8),"X",""))</f>
        <v/>
      </c>
      <c r="N215" s="37"/>
      <c r="O215" s="29"/>
      <c r="P215" s="38"/>
      <c r="Q215" s="28"/>
      <c r="R215" s="28"/>
      <c r="S215" s="47"/>
      <c r="T215" s="28"/>
      <c r="U215" s="79" t="s">
        <v>31</v>
      </c>
    </row>
    <row r="216" spans="1:21" s="27" customFormat="1" x14ac:dyDescent="0.25">
      <c r="A216" s="28" t="s">
        <v>21</v>
      </c>
      <c r="B216" s="28" t="s">
        <v>21</v>
      </c>
      <c r="C216" s="28"/>
      <c r="D216" s="31"/>
      <c r="E216" s="73"/>
      <c r="F216" s="31"/>
      <c r="G216" s="32"/>
      <c r="H216" s="32"/>
      <c r="I216" s="32"/>
      <c r="J216" s="33" t="str">
        <f t="shared" si="38"/>
        <v/>
      </c>
      <c r="K216" s="34"/>
      <c r="L216" s="35"/>
      <c r="M216" s="36" t="str">
        <f t="shared" si="39"/>
        <v/>
      </c>
      <c r="N216" s="37"/>
      <c r="O216" s="29"/>
      <c r="P216" s="38"/>
      <c r="Q216" s="28"/>
      <c r="R216" s="28"/>
      <c r="S216" s="47"/>
      <c r="T216" s="28"/>
      <c r="U216" s="79" t="s">
        <v>31</v>
      </c>
    </row>
    <row r="217" spans="1:21" s="27" customFormat="1" x14ac:dyDescent="0.25">
      <c r="A217" s="28" t="s">
        <v>21</v>
      </c>
      <c r="B217" s="28" t="s">
        <v>21</v>
      </c>
      <c r="C217" s="28"/>
      <c r="D217" s="31"/>
      <c r="E217" s="73"/>
      <c r="F217" s="31"/>
      <c r="G217" s="32"/>
      <c r="H217" s="32"/>
      <c r="I217" s="32"/>
      <c r="J217" s="33" t="str">
        <f t="shared" si="38"/>
        <v/>
      </c>
      <c r="K217" s="34"/>
      <c r="L217" s="35"/>
      <c r="M217" s="36" t="str">
        <f t="shared" si="39"/>
        <v/>
      </c>
      <c r="N217" s="37"/>
      <c r="O217" s="29"/>
      <c r="P217" s="38"/>
      <c r="Q217" s="28"/>
      <c r="R217" s="28"/>
      <c r="S217" s="47"/>
      <c r="T217" s="28"/>
      <c r="U217" s="79" t="s">
        <v>31</v>
      </c>
    </row>
    <row r="218" spans="1:21" s="27" customFormat="1" x14ac:dyDescent="0.25">
      <c r="A218" s="28" t="s">
        <v>21</v>
      </c>
      <c r="B218" s="28" t="s">
        <v>21</v>
      </c>
      <c r="C218" s="28"/>
      <c r="D218" s="31"/>
      <c r="E218" s="73"/>
      <c r="F218" s="31"/>
      <c r="G218" s="32"/>
      <c r="H218" s="32"/>
      <c r="I218" s="32"/>
      <c r="J218" s="33" t="str">
        <f t="shared" si="38"/>
        <v/>
      </c>
      <c r="K218" s="34"/>
      <c r="L218" s="35"/>
      <c r="M218" s="36" t="str">
        <f t="shared" si="39"/>
        <v/>
      </c>
      <c r="N218" s="37"/>
      <c r="O218" s="29"/>
      <c r="P218" s="38"/>
      <c r="Q218" s="28"/>
      <c r="R218" s="28"/>
      <c r="S218" s="47"/>
      <c r="T218" s="28"/>
      <c r="U218" s="79" t="s">
        <v>31</v>
      </c>
    </row>
    <row r="219" spans="1:21" s="27" customFormat="1" x14ac:dyDescent="0.25">
      <c r="A219" s="28" t="s">
        <v>21</v>
      </c>
      <c r="B219" s="28" t="s">
        <v>21</v>
      </c>
      <c r="C219" s="28"/>
      <c r="D219" s="31"/>
      <c r="E219" s="73"/>
      <c r="F219" s="31"/>
      <c r="G219" s="32"/>
      <c r="H219" s="32"/>
      <c r="I219" s="32"/>
      <c r="J219" s="33" t="str">
        <f t="shared" si="38"/>
        <v/>
      </c>
      <c r="K219" s="34"/>
      <c r="L219" s="35"/>
      <c r="M219" s="36" t="str">
        <f t="shared" si="39"/>
        <v/>
      </c>
      <c r="N219" s="37"/>
      <c r="O219" s="29"/>
      <c r="P219" s="38"/>
      <c r="Q219" s="28"/>
      <c r="R219" s="28"/>
      <c r="S219" s="47"/>
      <c r="T219" s="28"/>
      <c r="U219" s="79" t="s">
        <v>31</v>
      </c>
    </row>
    <row r="220" spans="1:21" s="27" customFormat="1" x14ac:dyDescent="0.25">
      <c r="A220" s="28" t="s">
        <v>21</v>
      </c>
      <c r="B220" s="28" t="s">
        <v>21</v>
      </c>
      <c r="C220" s="28"/>
      <c r="D220" s="31"/>
      <c r="E220" s="73"/>
      <c r="F220" s="31"/>
      <c r="G220" s="32"/>
      <c r="H220" s="32"/>
      <c r="I220" s="32"/>
      <c r="J220" s="33" t="str">
        <f t="shared" si="38"/>
        <v/>
      </c>
      <c r="K220" s="34"/>
      <c r="L220" s="35"/>
      <c r="M220" s="36" t="str">
        <f t="shared" si="39"/>
        <v/>
      </c>
      <c r="N220" s="37"/>
      <c r="O220" s="29"/>
      <c r="P220" s="38"/>
      <c r="Q220" s="28"/>
      <c r="R220" s="28"/>
      <c r="S220" s="47"/>
      <c r="T220" s="28"/>
      <c r="U220" s="79" t="s">
        <v>31</v>
      </c>
    </row>
    <row r="221" spans="1:21" s="27" customFormat="1" x14ac:dyDescent="0.25">
      <c r="A221" s="28" t="s">
        <v>21</v>
      </c>
      <c r="B221" s="28" t="s">
        <v>21</v>
      </c>
      <c r="C221" s="28"/>
      <c r="D221" s="31"/>
      <c r="E221" s="73"/>
      <c r="F221" s="31"/>
      <c r="G221" s="32"/>
      <c r="H221" s="32"/>
      <c r="I221" s="32"/>
      <c r="J221" s="33" t="str">
        <f t="shared" si="38"/>
        <v/>
      </c>
      <c r="K221" s="34"/>
      <c r="L221" s="35"/>
      <c r="M221" s="36" t="str">
        <f t="shared" si="39"/>
        <v/>
      </c>
      <c r="N221" s="37"/>
      <c r="O221" s="29"/>
      <c r="P221" s="38"/>
      <c r="Q221" s="28"/>
      <c r="R221" s="28"/>
      <c r="S221" s="47"/>
      <c r="T221" s="28"/>
      <c r="U221" s="79" t="s">
        <v>31</v>
      </c>
    </row>
    <row r="222" spans="1:21" s="27" customFormat="1" x14ac:dyDescent="0.25">
      <c r="A222" s="28" t="s">
        <v>21</v>
      </c>
      <c r="B222" s="28" t="s">
        <v>21</v>
      </c>
      <c r="C222" s="28"/>
      <c r="D222" s="31"/>
      <c r="E222" s="73"/>
      <c r="F222" s="31"/>
      <c r="G222" s="32"/>
      <c r="H222" s="32"/>
      <c r="I222" s="32"/>
      <c r="J222" s="33" t="str">
        <f t="shared" si="38"/>
        <v/>
      </c>
      <c r="K222" s="34"/>
      <c r="L222" s="35"/>
      <c r="M222" s="36" t="str">
        <f t="shared" si="39"/>
        <v/>
      </c>
      <c r="N222" s="37"/>
      <c r="O222" s="29"/>
      <c r="P222" s="38"/>
      <c r="Q222" s="28"/>
      <c r="R222" s="28"/>
      <c r="S222" s="47"/>
      <c r="T222" s="28"/>
      <c r="U222" s="79" t="s">
        <v>31</v>
      </c>
    </row>
    <row r="223" spans="1:21" s="27" customFormat="1" x14ac:dyDescent="0.25">
      <c r="A223" s="28" t="s">
        <v>21</v>
      </c>
      <c r="B223" s="28" t="s">
        <v>21</v>
      </c>
      <c r="C223" s="28"/>
      <c r="D223" s="31"/>
      <c r="E223" s="73"/>
      <c r="F223" s="31"/>
      <c r="G223" s="32"/>
      <c r="H223" s="32"/>
      <c r="I223" s="32"/>
      <c r="J223" s="33" t="str">
        <f t="shared" si="38"/>
        <v/>
      </c>
      <c r="K223" s="34"/>
      <c r="L223" s="35"/>
      <c r="M223" s="36" t="str">
        <f t="shared" si="39"/>
        <v/>
      </c>
      <c r="N223" s="37"/>
      <c r="O223" s="29"/>
      <c r="P223" s="38"/>
      <c r="Q223" s="28"/>
      <c r="R223" s="28"/>
      <c r="S223" s="47"/>
      <c r="T223" s="28"/>
      <c r="U223" s="79" t="s">
        <v>31</v>
      </c>
    </row>
    <row r="224" spans="1:21" s="27" customFormat="1" x14ac:dyDescent="0.25">
      <c r="A224" s="28" t="s">
        <v>21</v>
      </c>
      <c r="B224" s="28" t="s">
        <v>21</v>
      </c>
      <c r="C224" s="28"/>
      <c r="D224" s="31"/>
      <c r="E224" s="73"/>
      <c r="F224" s="31"/>
      <c r="G224" s="32"/>
      <c r="H224" s="32"/>
      <c r="I224" s="32"/>
      <c r="J224" s="33" t="str">
        <f t="shared" si="38"/>
        <v/>
      </c>
      <c r="K224" s="34"/>
      <c r="L224" s="35"/>
      <c r="M224" s="36" t="str">
        <f t="shared" si="39"/>
        <v/>
      </c>
      <c r="N224" s="37"/>
      <c r="O224" s="29"/>
      <c r="P224" s="38"/>
      <c r="Q224" s="28"/>
      <c r="R224" s="28"/>
      <c r="S224" s="47"/>
      <c r="T224" s="28"/>
      <c r="U224" s="79" t="s">
        <v>31</v>
      </c>
    </row>
    <row r="225" spans="1:21" s="27" customFormat="1" x14ac:dyDescent="0.25">
      <c r="A225" s="28" t="s">
        <v>21</v>
      </c>
      <c r="B225" s="28" t="s">
        <v>21</v>
      </c>
      <c r="C225" s="28"/>
      <c r="D225" s="31"/>
      <c r="E225" s="73"/>
      <c r="F225" s="31"/>
      <c r="G225" s="32"/>
      <c r="H225" s="32"/>
      <c r="I225" s="32"/>
      <c r="J225" s="33" t="str">
        <f t="shared" si="38"/>
        <v/>
      </c>
      <c r="K225" s="34"/>
      <c r="L225" s="35"/>
      <c r="M225" s="36" t="str">
        <f t="shared" si="39"/>
        <v/>
      </c>
      <c r="N225" s="37"/>
      <c r="O225" s="29"/>
      <c r="P225" s="38"/>
      <c r="Q225" s="28"/>
      <c r="R225" s="28"/>
      <c r="S225" s="47"/>
      <c r="T225" s="28"/>
      <c r="U225" s="79" t="s">
        <v>31</v>
      </c>
    </row>
  </sheetData>
  <customSheetViews>
    <customSheetView guid="{C2C34B0E-C0A2-4B0B-812E-0757ABB9DC2E}">
      <pane ySplit="1" topLeftCell="A98" activePane="bottomLeft" state="frozen"/>
      <selection pane="bottomLeft" activeCell="R113" sqref="R113"/>
      <pageMargins left="0.7" right="0.7" top="0.78740157499999996" bottom="0.78740157499999996" header="0.3" footer="0.3"/>
    </customSheetView>
    <customSheetView guid="{3652BF58-5AAC-43BD-BC8A-2FFF29529405}">
      <pane ySplit="1" topLeftCell="A2" activePane="bottomLeft" state="frozen"/>
      <selection pane="bottomLeft" activeCell="B30" sqref="B30"/>
      <pageMargins left="0.7" right="0.7" top="0.78740157499999996" bottom="0.78740157499999996" header="0.3" footer="0.3"/>
    </customSheetView>
    <customSheetView guid="{E2377352-22A7-452B-BFAD-18D3D497CC88}">
      <pane ySplit="1" topLeftCell="A53" activePane="bottomLeft" state="frozen"/>
      <selection pane="bottomLeft" activeCell="O82" sqref="O82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302"/>
  <sheetViews>
    <sheetView workbookViewId="0">
      <pane ySplit="1" topLeftCell="A260" activePane="bottomLeft" state="frozen"/>
      <selection pane="bottomLeft" activeCell="R269" sqref="R269"/>
    </sheetView>
  </sheetViews>
  <sheetFormatPr baseColWidth="10" defaultRowHeight="15" x14ac:dyDescent="0.25"/>
  <cols>
    <col min="1" max="1" width="15.7109375" customWidth="1"/>
    <col min="2" max="2" width="15.5703125" customWidth="1"/>
    <col min="3" max="3" width="12.28515625" customWidth="1"/>
    <col min="4" max="4" width="8.140625" customWidth="1"/>
    <col min="5" max="5" width="8.5703125" customWidth="1"/>
    <col min="6" max="6" width="10.85546875" customWidth="1"/>
    <col min="10" max="10" width="9.85546875" customWidth="1"/>
    <col min="11" max="11" width="1.85546875" customWidth="1"/>
    <col min="12" max="12" width="9.85546875" customWidth="1"/>
    <col min="13" max="13" width="1.85546875" customWidth="1"/>
    <col min="14" max="14" width="11.7109375" customWidth="1"/>
    <col min="15" max="15" width="8.140625" customWidth="1"/>
    <col min="16" max="16" width="9.85546875" customWidth="1"/>
    <col min="17" max="17" width="2.140625" customWidth="1"/>
    <col min="18" max="18" width="34.7109375" customWidth="1"/>
    <col min="19" max="19" width="40.28515625" customWidth="1"/>
    <col min="20" max="20" width="0.42578125" customWidth="1"/>
    <col min="21" max="21" width="8.14062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2713</v>
      </c>
      <c r="B2" s="28" t="s">
        <v>2714</v>
      </c>
      <c r="C2" s="28">
        <v>698227</v>
      </c>
      <c r="D2" s="29">
        <v>1</v>
      </c>
      <c r="E2" s="71">
        <v>63</v>
      </c>
      <c r="F2" s="31">
        <v>186</v>
      </c>
      <c r="G2" s="32"/>
      <c r="H2" s="32">
        <v>1.847</v>
      </c>
      <c r="I2" s="32">
        <v>1.84</v>
      </c>
      <c r="J2" s="33">
        <f t="shared" ref="J2:J31" si="0">IF(O2&lt;&gt;"",(H2-I2)/O2,"")</f>
        <v>6.9999999999998952E-3</v>
      </c>
      <c r="K2" s="34" t="str">
        <f t="shared" ref="K2:K32" si="1">IF(J2=0,"",IF(OR(J2&lt;0,J2&gt;0.03),"X",""))</f>
        <v/>
      </c>
      <c r="L2" s="35">
        <f t="shared" ref="L2:L31" si="2">F2/(O2*P2)</f>
        <v>7.44</v>
      </c>
      <c r="M2" s="36" t="str">
        <f t="shared" ref="M2:M31" si="3">IF(L2=0,"",IF(OR(L2&lt;7,L2&gt;7.8),"X",""))</f>
        <v/>
      </c>
      <c r="N2" s="37" t="s">
        <v>16</v>
      </c>
      <c r="O2" s="29">
        <v>1</v>
      </c>
      <c r="P2" s="38">
        <v>25</v>
      </c>
      <c r="Q2" s="28"/>
      <c r="R2" s="28" t="s">
        <v>2744</v>
      </c>
      <c r="S2" s="91" t="s">
        <v>58</v>
      </c>
      <c r="T2" s="28"/>
      <c r="U2" s="28" t="s">
        <v>31</v>
      </c>
    </row>
    <row r="3" spans="1:54" s="27" customFormat="1" x14ac:dyDescent="0.25">
      <c r="A3" s="28" t="s">
        <v>21</v>
      </c>
      <c r="B3" s="28" t="s">
        <v>2715</v>
      </c>
      <c r="C3" s="28" t="s">
        <v>21</v>
      </c>
      <c r="D3" s="29">
        <v>1</v>
      </c>
      <c r="E3" s="71">
        <v>51</v>
      </c>
      <c r="F3" s="31">
        <v>187</v>
      </c>
      <c r="G3" s="32"/>
      <c r="H3" s="32">
        <v>1.8420000000000001</v>
      </c>
      <c r="I3" s="32">
        <v>1.8340000000000001</v>
      </c>
      <c r="J3" s="33">
        <f t="shared" si="0"/>
        <v>8.0000000000000071E-3</v>
      </c>
      <c r="K3" s="34" t="str">
        <f t="shared" si="1"/>
        <v/>
      </c>
      <c r="L3" s="35">
        <f t="shared" si="2"/>
        <v>7.48</v>
      </c>
      <c r="M3" s="36" t="str">
        <f t="shared" si="3"/>
        <v/>
      </c>
      <c r="N3" s="37" t="s">
        <v>16</v>
      </c>
      <c r="O3" s="29">
        <v>1</v>
      </c>
      <c r="P3" s="38">
        <v>25</v>
      </c>
      <c r="Q3" s="28"/>
      <c r="R3" s="28" t="s">
        <v>2746</v>
      </c>
      <c r="S3" s="91" t="s">
        <v>59</v>
      </c>
      <c r="T3" s="28"/>
      <c r="U3" s="28" t="s">
        <v>31</v>
      </c>
    </row>
    <row r="4" spans="1:54" s="27" customFormat="1" x14ac:dyDescent="0.25">
      <c r="A4" s="28" t="s">
        <v>21</v>
      </c>
      <c r="B4" s="28" t="s">
        <v>2716</v>
      </c>
      <c r="C4" s="28" t="s">
        <v>21</v>
      </c>
      <c r="D4" s="29">
        <v>1</v>
      </c>
      <c r="E4" s="71">
        <v>47</v>
      </c>
      <c r="F4" s="31">
        <v>188</v>
      </c>
      <c r="G4" s="32"/>
      <c r="H4" s="32">
        <v>1.8420000000000001</v>
      </c>
      <c r="I4" s="32">
        <v>1.8340000000000001</v>
      </c>
      <c r="J4" s="33">
        <f t="shared" si="0"/>
        <v>8.0000000000000071E-3</v>
      </c>
      <c r="K4" s="34" t="str">
        <f t="shared" si="1"/>
        <v/>
      </c>
      <c r="L4" s="35">
        <f t="shared" si="2"/>
        <v>7.52</v>
      </c>
      <c r="M4" s="36" t="str">
        <f t="shared" si="3"/>
        <v/>
      </c>
      <c r="N4" s="37" t="s">
        <v>16</v>
      </c>
      <c r="O4" s="29">
        <v>1</v>
      </c>
      <c r="P4" s="38">
        <v>25</v>
      </c>
      <c r="Q4" s="28"/>
      <c r="R4" s="28" t="s">
        <v>2747</v>
      </c>
      <c r="S4" s="92" t="s">
        <v>21</v>
      </c>
      <c r="T4" s="28"/>
      <c r="U4" s="28" t="s">
        <v>31</v>
      </c>
    </row>
    <row r="5" spans="1:54" s="27" customFormat="1" x14ac:dyDescent="0.25">
      <c r="A5" s="28" t="s">
        <v>21</v>
      </c>
      <c r="B5" s="28" t="s">
        <v>2717</v>
      </c>
      <c r="C5" s="28" t="s">
        <v>21</v>
      </c>
      <c r="D5" s="29">
        <v>1</v>
      </c>
      <c r="E5" s="71">
        <v>49</v>
      </c>
      <c r="F5" s="31">
        <v>188</v>
      </c>
      <c r="G5" s="32"/>
      <c r="H5" s="32">
        <v>1.853</v>
      </c>
      <c r="I5" s="32">
        <v>1.845</v>
      </c>
      <c r="J5" s="33">
        <f t="shared" si="0"/>
        <v>8.0000000000000071E-3</v>
      </c>
      <c r="K5" s="34" t="str">
        <f t="shared" si="1"/>
        <v/>
      </c>
      <c r="L5" s="35">
        <f t="shared" si="2"/>
        <v>7.52</v>
      </c>
      <c r="M5" s="36" t="str">
        <f t="shared" si="3"/>
        <v/>
      </c>
      <c r="N5" s="37" t="s">
        <v>16</v>
      </c>
      <c r="O5" s="29">
        <v>1</v>
      </c>
      <c r="P5" s="38">
        <v>25</v>
      </c>
      <c r="Q5" s="28"/>
      <c r="R5" s="28" t="s">
        <v>2748</v>
      </c>
      <c r="S5" s="92" t="s">
        <v>21</v>
      </c>
      <c r="T5" s="28"/>
      <c r="U5" s="28" t="s">
        <v>31</v>
      </c>
    </row>
    <row r="6" spans="1:54" s="27" customFormat="1" x14ac:dyDescent="0.25">
      <c r="A6" s="28" t="s">
        <v>21</v>
      </c>
      <c r="B6" s="28" t="s">
        <v>2718</v>
      </c>
      <c r="C6" s="28" t="s">
        <v>21</v>
      </c>
      <c r="D6" s="29">
        <v>1</v>
      </c>
      <c r="E6" s="71">
        <v>37</v>
      </c>
      <c r="F6" s="31">
        <v>189</v>
      </c>
      <c r="G6" s="32"/>
      <c r="H6" s="32">
        <v>1.863</v>
      </c>
      <c r="I6" s="32">
        <v>1.853</v>
      </c>
      <c r="J6" s="33">
        <f t="shared" si="0"/>
        <v>1.0000000000000009E-2</v>
      </c>
      <c r="K6" s="34" t="str">
        <f t="shared" si="1"/>
        <v/>
      </c>
      <c r="L6" s="35">
        <f t="shared" si="2"/>
        <v>7.56</v>
      </c>
      <c r="M6" s="36" t="str">
        <f t="shared" si="3"/>
        <v/>
      </c>
      <c r="N6" s="37" t="s">
        <v>16</v>
      </c>
      <c r="O6" s="29">
        <v>1</v>
      </c>
      <c r="P6" s="38">
        <v>25</v>
      </c>
      <c r="Q6" s="28"/>
      <c r="R6" s="28" t="s">
        <v>2749</v>
      </c>
      <c r="S6" s="92" t="s">
        <v>21</v>
      </c>
      <c r="T6" s="28"/>
      <c r="U6" s="28" t="s">
        <v>31</v>
      </c>
    </row>
    <row r="7" spans="1:54" s="27" customFormat="1" x14ac:dyDescent="0.25">
      <c r="A7" s="28" t="s">
        <v>21</v>
      </c>
      <c r="B7" s="28" t="s">
        <v>2719</v>
      </c>
      <c r="C7" s="28" t="s">
        <v>21</v>
      </c>
      <c r="D7" s="29">
        <v>1</v>
      </c>
      <c r="E7" s="71">
        <v>43</v>
      </c>
      <c r="F7" s="31">
        <v>189</v>
      </c>
      <c r="G7" s="32"/>
      <c r="H7" s="32">
        <v>1.867</v>
      </c>
      <c r="I7" s="32">
        <v>1.859</v>
      </c>
      <c r="J7" s="33">
        <f t="shared" si="0"/>
        <v>8.0000000000000071E-3</v>
      </c>
      <c r="K7" s="34" t="str">
        <f t="shared" si="1"/>
        <v/>
      </c>
      <c r="L7" s="35">
        <f t="shared" si="2"/>
        <v>7.56</v>
      </c>
      <c r="M7" s="36" t="str">
        <f t="shared" si="3"/>
        <v/>
      </c>
      <c r="N7" s="37" t="s">
        <v>16</v>
      </c>
      <c r="O7" s="29">
        <v>1</v>
      </c>
      <c r="P7" s="38">
        <v>25</v>
      </c>
      <c r="Q7" s="28"/>
      <c r="R7" s="28" t="s">
        <v>2750</v>
      </c>
      <c r="S7" s="91" t="s">
        <v>103</v>
      </c>
      <c r="T7" s="28"/>
      <c r="U7" s="28" t="s">
        <v>31</v>
      </c>
    </row>
    <row r="8" spans="1:54" s="27" customFormat="1" x14ac:dyDescent="0.25">
      <c r="A8" s="28" t="s">
        <v>21</v>
      </c>
      <c r="B8" s="28" t="s">
        <v>2720</v>
      </c>
      <c r="C8" s="28" t="s">
        <v>21</v>
      </c>
      <c r="D8" s="29">
        <v>1</v>
      </c>
      <c r="E8" s="71">
        <v>38</v>
      </c>
      <c r="F8" s="31">
        <v>189</v>
      </c>
      <c r="G8" s="32"/>
      <c r="H8" s="32">
        <v>1.861</v>
      </c>
      <c r="I8" s="32">
        <v>1.851</v>
      </c>
      <c r="J8" s="33">
        <f>IF(O8&lt;&gt;"",(H8-I8)/O8,"")</f>
        <v>1.0000000000000009E-2</v>
      </c>
      <c r="K8" s="34" t="str">
        <f t="shared" si="1"/>
        <v/>
      </c>
      <c r="L8" s="35">
        <f>F8/(O8*P8)</f>
        <v>7.56</v>
      </c>
      <c r="M8" s="36" t="str">
        <f t="shared" si="3"/>
        <v/>
      </c>
      <c r="N8" s="37" t="s">
        <v>16</v>
      </c>
      <c r="O8" s="29">
        <v>1</v>
      </c>
      <c r="P8" s="38">
        <v>25</v>
      </c>
      <c r="Q8" s="28"/>
      <c r="R8" s="28" t="s">
        <v>2751</v>
      </c>
      <c r="S8" s="91" t="s">
        <v>59</v>
      </c>
      <c r="T8" s="28"/>
      <c r="U8" s="28" t="s">
        <v>31</v>
      </c>
    </row>
    <row r="9" spans="1:54" s="27" customFormat="1" x14ac:dyDescent="0.25">
      <c r="A9" s="28" t="s">
        <v>21</v>
      </c>
      <c r="B9" s="28" t="s">
        <v>2721</v>
      </c>
      <c r="C9" s="28" t="s">
        <v>21</v>
      </c>
      <c r="D9" s="29">
        <v>1</v>
      </c>
      <c r="E9" s="71">
        <v>37</v>
      </c>
      <c r="F9" s="31">
        <v>190</v>
      </c>
      <c r="G9" s="32"/>
      <c r="H9" s="32">
        <v>1.891</v>
      </c>
      <c r="I9" s="32">
        <v>1.885</v>
      </c>
      <c r="J9" s="33">
        <f t="shared" si="0"/>
        <v>6.0000000000000053E-3</v>
      </c>
      <c r="K9" s="34" t="str">
        <f t="shared" si="1"/>
        <v/>
      </c>
      <c r="L9" s="35">
        <f t="shared" si="2"/>
        <v>7.6</v>
      </c>
      <c r="M9" s="36" t="str">
        <f t="shared" si="3"/>
        <v/>
      </c>
      <c r="N9" s="37" t="s">
        <v>16</v>
      </c>
      <c r="O9" s="29">
        <v>1</v>
      </c>
      <c r="P9" s="38">
        <v>25</v>
      </c>
      <c r="Q9" s="28"/>
      <c r="R9" s="28" t="s">
        <v>2745</v>
      </c>
      <c r="S9" s="92" t="s">
        <v>21</v>
      </c>
      <c r="T9" s="28"/>
      <c r="U9" s="28" t="s">
        <v>31</v>
      </c>
    </row>
    <row r="10" spans="1:54" s="27" customFormat="1" x14ac:dyDescent="0.25">
      <c r="A10" s="28" t="s">
        <v>21</v>
      </c>
      <c r="B10" s="28" t="s">
        <v>2722</v>
      </c>
      <c r="C10" s="28" t="s">
        <v>21</v>
      </c>
      <c r="D10" s="29">
        <v>1</v>
      </c>
      <c r="E10" s="71">
        <v>40</v>
      </c>
      <c r="F10" s="31">
        <v>190</v>
      </c>
      <c r="G10" s="32"/>
      <c r="H10" s="32">
        <v>1.8859999999999999</v>
      </c>
      <c r="I10" s="32">
        <v>1.879</v>
      </c>
      <c r="J10" s="33">
        <f t="shared" si="0"/>
        <v>6.9999999999998952E-3</v>
      </c>
      <c r="K10" s="34" t="str">
        <f t="shared" si="1"/>
        <v/>
      </c>
      <c r="L10" s="35">
        <f t="shared" si="2"/>
        <v>7.6</v>
      </c>
      <c r="M10" s="36" t="str">
        <f t="shared" si="3"/>
        <v/>
      </c>
      <c r="N10" s="37" t="s">
        <v>16</v>
      </c>
      <c r="O10" s="29">
        <v>1</v>
      </c>
      <c r="P10" s="38">
        <v>25</v>
      </c>
      <c r="Q10" s="28"/>
      <c r="R10" s="28" t="s">
        <v>2752</v>
      </c>
      <c r="S10" s="92" t="s">
        <v>21</v>
      </c>
      <c r="T10" s="28"/>
      <c r="U10" s="28" t="s">
        <v>31</v>
      </c>
    </row>
    <row r="11" spans="1:54" s="27" customFormat="1" x14ac:dyDescent="0.25">
      <c r="A11" s="28" t="s">
        <v>21</v>
      </c>
      <c r="B11" s="28" t="s">
        <v>2723</v>
      </c>
      <c r="C11" s="28" t="s">
        <v>21</v>
      </c>
      <c r="D11" s="29">
        <v>1</v>
      </c>
      <c r="E11" s="71">
        <v>40</v>
      </c>
      <c r="F11" s="31">
        <v>189</v>
      </c>
      <c r="G11" s="32"/>
      <c r="H11" s="32">
        <v>1.88</v>
      </c>
      <c r="I11" s="32">
        <v>1.8720000000000001</v>
      </c>
      <c r="J11" s="33">
        <f t="shared" si="0"/>
        <v>7.9999999999997851E-3</v>
      </c>
      <c r="K11" s="34" t="str">
        <f t="shared" si="1"/>
        <v/>
      </c>
      <c r="L11" s="35">
        <f t="shared" si="2"/>
        <v>7.56</v>
      </c>
      <c r="M11" s="36" t="str">
        <f t="shared" si="3"/>
        <v/>
      </c>
      <c r="N11" s="37" t="s">
        <v>16</v>
      </c>
      <c r="O11" s="29">
        <v>1</v>
      </c>
      <c r="P11" s="38">
        <v>25</v>
      </c>
      <c r="Q11" s="28"/>
      <c r="R11" s="28" t="s">
        <v>2753</v>
      </c>
      <c r="S11" s="92" t="s">
        <v>21</v>
      </c>
      <c r="T11" s="28"/>
      <c r="U11" s="28" t="s">
        <v>31</v>
      </c>
    </row>
    <row r="12" spans="1:54" s="27" customFormat="1" x14ac:dyDescent="0.25">
      <c r="A12" s="28" t="s">
        <v>21</v>
      </c>
      <c r="B12" s="28" t="s">
        <v>2724</v>
      </c>
      <c r="C12" s="28" t="s">
        <v>21</v>
      </c>
      <c r="D12" s="29">
        <v>1</v>
      </c>
      <c r="E12" s="71">
        <v>39</v>
      </c>
      <c r="F12" s="31">
        <v>187</v>
      </c>
      <c r="G12" s="32"/>
      <c r="H12" s="32">
        <v>1.8520000000000001</v>
      </c>
      <c r="I12" s="32">
        <v>1.843</v>
      </c>
      <c r="J12" s="33">
        <f t="shared" si="0"/>
        <v>9.000000000000119E-3</v>
      </c>
      <c r="K12" s="34" t="str">
        <f t="shared" si="1"/>
        <v/>
      </c>
      <c r="L12" s="35">
        <f t="shared" si="2"/>
        <v>7.48</v>
      </c>
      <c r="M12" s="36" t="str">
        <f t="shared" si="3"/>
        <v/>
      </c>
      <c r="N12" s="37" t="s">
        <v>16</v>
      </c>
      <c r="O12" s="29">
        <v>1</v>
      </c>
      <c r="P12" s="38">
        <v>25</v>
      </c>
      <c r="Q12" s="28"/>
      <c r="R12" s="28" t="s">
        <v>2754</v>
      </c>
      <c r="S12" s="91" t="s">
        <v>58</v>
      </c>
      <c r="T12" s="28"/>
      <c r="U12" s="28" t="s">
        <v>31</v>
      </c>
    </row>
    <row r="13" spans="1:54" s="27" customFormat="1" x14ac:dyDescent="0.25">
      <c r="A13" s="28" t="s">
        <v>21</v>
      </c>
      <c r="B13" s="28" t="s">
        <v>2725</v>
      </c>
      <c r="C13" s="28">
        <v>698231</v>
      </c>
      <c r="D13" s="29">
        <v>1</v>
      </c>
      <c r="E13" s="71">
        <v>36</v>
      </c>
      <c r="F13" s="31">
        <v>184</v>
      </c>
      <c r="G13" s="32"/>
      <c r="H13" s="32">
        <v>1.853</v>
      </c>
      <c r="I13" s="32">
        <v>1.8440000000000001</v>
      </c>
      <c r="J13" s="33">
        <f t="shared" si="0"/>
        <v>8.999999999999897E-3</v>
      </c>
      <c r="K13" s="34" t="str">
        <f t="shared" si="1"/>
        <v/>
      </c>
      <c r="L13" s="35">
        <f t="shared" si="2"/>
        <v>7.36</v>
      </c>
      <c r="M13" s="36" t="str">
        <f t="shared" si="3"/>
        <v/>
      </c>
      <c r="N13" s="37" t="s">
        <v>16</v>
      </c>
      <c r="O13" s="29">
        <v>1</v>
      </c>
      <c r="P13" s="38">
        <v>25</v>
      </c>
      <c r="Q13" s="28"/>
      <c r="R13" s="28" t="s">
        <v>2763</v>
      </c>
      <c r="S13" s="91" t="s">
        <v>59</v>
      </c>
      <c r="T13" s="28"/>
      <c r="U13" s="28" t="s">
        <v>31</v>
      </c>
    </row>
    <row r="14" spans="1:54" s="27" customFormat="1" x14ac:dyDescent="0.25">
      <c r="A14" s="28" t="s">
        <v>21</v>
      </c>
      <c r="B14" s="28" t="s">
        <v>2726</v>
      </c>
      <c r="C14" s="28">
        <v>698227</v>
      </c>
      <c r="D14" s="29">
        <v>1</v>
      </c>
      <c r="E14" s="71">
        <v>36</v>
      </c>
      <c r="F14" s="31">
        <v>188</v>
      </c>
      <c r="G14" s="32"/>
      <c r="H14" s="32">
        <v>1.8720000000000001</v>
      </c>
      <c r="I14" s="32">
        <v>1.863</v>
      </c>
      <c r="J14" s="33">
        <f t="shared" si="0"/>
        <v>9.000000000000119E-3</v>
      </c>
      <c r="K14" s="34" t="str">
        <f t="shared" si="1"/>
        <v/>
      </c>
      <c r="L14" s="35">
        <f t="shared" si="2"/>
        <v>7.52</v>
      </c>
      <c r="M14" s="36" t="str">
        <f t="shared" si="3"/>
        <v/>
      </c>
      <c r="N14" s="37" t="s">
        <v>16</v>
      </c>
      <c r="O14" s="29">
        <v>1</v>
      </c>
      <c r="P14" s="38">
        <v>25</v>
      </c>
      <c r="Q14" s="28"/>
      <c r="R14" s="28" t="s">
        <v>2755</v>
      </c>
      <c r="S14" s="92" t="s">
        <v>21</v>
      </c>
      <c r="T14" s="28"/>
      <c r="U14" s="28" t="s">
        <v>31</v>
      </c>
    </row>
    <row r="15" spans="1:54" s="27" customFormat="1" x14ac:dyDescent="0.25">
      <c r="A15" s="28" t="s">
        <v>21</v>
      </c>
      <c r="B15" s="28" t="s">
        <v>2727</v>
      </c>
      <c r="C15" s="28" t="s">
        <v>21</v>
      </c>
      <c r="D15" s="29">
        <v>1</v>
      </c>
      <c r="E15" s="71">
        <v>38</v>
      </c>
      <c r="F15" s="31">
        <v>188</v>
      </c>
      <c r="G15" s="32"/>
      <c r="H15" s="32">
        <v>1.875</v>
      </c>
      <c r="I15" s="32">
        <v>1.8660000000000001</v>
      </c>
      <c r="J15" s="33">
        <f t="shared" si="0"/>
        <v>8.999999999999897E-3</v>
      </c>
      <c r="K15" s="34" t="str">
        <f t="shared" si="1"/>
        <v/>
      </c>
      <c r="L15" s="35">
        <f t="shared" si="2"/>
        <v>7.52</v>
      </c>
      <c r="M15" s="36" t="str">
        <f t="shared" si="3"/>
        <v/>
      </c>
      <c r="N15" s="37" t="s">
        <v>16</v>
      </c>
      <c r="O15" s="29">
        <v>1</v>
      </c>
      <c r="P15" s="38">
        <v>25</v>
      </c>
      <c r="Q15" s="28"/>
      <c r="R15" s="28" t="s">
        <v>2756</v>
      </c>
      <c r="S15" s="92" t="s">
        <v>21</v>
      </c>
      <c r="T15" s="28"/>
      <c r="U15" s="28" t="s">
        <v>31</v>
      </c>
    </row>
    <row r="16" spans="1:54" s="27" customFormat="1" x14ac:dyDescent="0.25">
      <c r="A16" s="28" t="s">
        <v>21</v>
      </c>
      <c r="B16" s="28" t="s">
        <v>2728</v>
      </c>
      <c r="C16" s="28" t="s">
        <v>21</v>
      </c>
      <c r="D16" s="29">
        <v>1</v>
      </c>
      <c r="E16" s="71">
        <v>48</v>
      </c>
      <c r="F16" s="31">
        <v>187</v>
      </c>
      <c r="G16" s="32"/>
      <c r="H16" s="32">
        <v>1.88</v>
      </c>
      <c r="I16" s="32">
        <v>1.8720000000000001</v>
      </c>
      <c r="J16" s="33">
        <f t="shared" si="0"/>
        <v>7.9999999999997851E-3</v>
      </c>
      <c r="K16" s="34" t="str">
        <f t="shared" si="1"/>
        <v/>
      </c>
      <c r="L16" s="35">
        <f t="shared" si="2"/>
        <v>7.48</v>
      </c>
      <c r="M16" s="36" t="str">
        <f t="shared" si="3"/>
        <v/>
      </c>
      <c r="N16" s="37" t="s">
        <v>16</v>
      </c>
      <c r="O16" s="29">
        <v>1</v>
      </c>
      <c r="P16" s="38">
        <v>25</v>
      </c>
      <c r="Q16" s="28"/>
      <c r="R16" s="28" t="s">
        <v>2612</v>
      </c>
      <c r="S16" s="92" t="s">
        <v>21</v>
      </c>
      <c r="T16" s="28"/>
      <c r="U16" s="28" t="s">
        <v>31</v>
      </c>
    </row>
    <row r="17" spans="1:21" s="27" customFormat="1" x14ac:dyDescent="0.25">
      <c r="A17" s="28" t="s">
        <v>21</v>
      </c>
      <c r="B17" s="28" t="s">
        <v>2729</v>
      </c>
      <c r="C17" s="28">
        <v>698231</v>
      </c>
      <c r="D17" s="29">
        <v>1</v>
      </c>
      <c r="E17" s="71">
        <v>16</v>
      </c>
      <c r="F17" s="31">
        <v>188</v>
      </c>
      <c r="G17" s="32"/>
      <c r="H17" s="32">
        <v>1.8819999999999999</v>
      </c>
      <c r="I17" s="32">
        <v>1.873</v>
      </c>
      <c r="J17" s="33">
        <f t="shared" si="0"/>
        <v>8.999999999999897E-3</v>
      </c>
      <c r="K17" s="34" t="str">
        <f t="shared" si="1"/>
        <v/>
      </c>
      <c r="L17" s="35">
        <f t="shared" si="2"/>
        <v>7.52</v>
      </c>
      <c r="M17" s="36" t="str">
        <f t="shared" si="3"/>
        <v/>
      </c>
      <c r="N17" s="37" t="s">
        <v>16</v>
      </c>
      <c r="O17" s="29">
        <v>1</v>
      </c>
      <c r="P17" s="38">
        <v>25</v>
      </c>
      <c r="Q17" s="28"/>
      <c r="R17" s="28" t="s">
        <v>2757</v>
      </c>
      <c r="S17" s="91" t="s">
        <v>103</v>
      </c>
      <c r="T17" s="28"/>
      <c r="U17" s="28" t="s">
        <v>31</v>
      </c>
    </row>
    <row r="18" spans="1:21" s="27" customFormat="1" x14ac:dyDescent="0.25">
      <c r="A18" s="28" t="s">
        <v>21</v>
      </c>
      <c r="B18" s="28" t="s">
        <v>2730</v>
      </c>
      <c r="C18" s="28" t="s">
        <v>21</v>
      </c>
      <c r="D18" s="29">
        <v>1</v>
      </c>
      <c r="E18" s="71">
        <v>24</v>
      </c>
      <c r="F18" s="31">
        <v>188</v>
      </c>
      <c r="G18" s="32"/>
      <c r="H18" s="32">
        <v>1.8819999999999999</v>
      </c>
      <c r="I18" s="32">
        <v>1.873</v>
      </c>
      <c r="J18" s="33">
        <f t="shared" si="0"/>
        <v>8.999999999999897E-3</v>
      </c>
      <c r="K18" s="34" t="str">
        <f t="shared" si="1"/>
        <v/>
      </c>
      <c r="L18" s="35">
        <f t="shared" si="2"/>
        <v>7.52</v>
      </c>
      <c r="M18" s="36" t="str">
        <f t="shared" si="3"/>
        <v/>
      </c>
      <c r="N18" s="37" t="s">
        <v>16</v>
      </c>
      <c r="O18" s="29">
        <v>1</v>
      </c>
      <c r="P18" s="38">
        <v>25</v>
      </c>
      <c r="Q18" s="28"/>
      <c r="R18" s="28" t="s">
        <v>2758</v>
      </c>
      <c r="S18" s="91" t="s">
        <v>59</v>
      </c>
      <c r="T18" s="28"/>
      <c r="U18" s="28" t="s">
        <v>31</v>
      </c>
    </row>
    <row r="19" spans="1:21" s="27" customFormat="1" x14ac:dyDescent="0.25">
      <c r="A19" s="28" t="s">
        <v>21</v>
      </c>
      <c r="B19" s="28" t="s">
        <v>2731</v>
      </c>
      <c r="C19" s="28" t="s">
        <v>21</v>
      </c>
      <c r="D19" s="29">
        <v>1</v>
      </c>
      <c r="E19" s="71">
        <v>19</v>
      </c>
      <c r="F19" s="31">
        <v>188</v>
      </c>
      <c r="G19" s="32"/>
      <c r="H19" s="32">
        <v>1.887</v>
      </c>
      <c r="I19" s="32">
        <v>1.8779999999999999</v>
      </c>
      <c r="J19" s="33">
        <f t="shared" si="0"/>
        <v>9.000000000000119E-3</v>
      </c>
      <c r="K19" s="34" t="str">
        <f t="shared" si="1"/>
        <v/>
      </c>
      <c r="L19" s="35">
        <f t="shared" si="2"/>
        <v>7.52</v>
      </c>
      <c r="M19" s="36" t="str">
        <f t="shared" si="3"/>
        <v/>
      </c>
      <c r="N19" s="37" t="s">
        <v>16</v>
      </c>
      <c r="O19" s="29">
        <v>1</v>
      </c>
      <c r="P19" s="38">
        <v>25</v>
      </c>
      <c r="Q19" s="28"/>
      <c r="R19" s="28" t="s">
        <v>2759</v>
      </c>
      <c r="S19" s="92" t="s">
        <v>21</v>
      </c>
      <c r="T19" s="28"/>
      <c r="U19" s="28" t="s">
        <v>31</v>
      </c>
    </row>
    <row r="20" spans="1:21" s="27" customFormat="1" x14ac:dyDescent="0.25">
      <c r="A20" s="28" t="s">
        <v>21</v>
      </c>
      <c r="B20" s="28" t="s">
        <v>2732</v>
      </c>
      <c r="C20" s="28" t="s">
        <v>21</v>
      </c>
      <c r="D20" s="29">
        <v>1</v>
      </c>
      <c r="E20" s="71">
        <v>17</v>
      </c>
      <c r="F20" s="31">
        <v>188</v>
      </c>
      <c r="G20" s="32"/>
      <c r="H20" s="32">
        <v>1.887</v>
      </c>
      <c r="I20" s="32">
        <v>1.879</v>
      </c>
      <c r="J20" s="33">
        <f t="shared" si="0"/>
        <v>8.0000000000000071E-3</v>
      </c>
      <c r="K20" s="34" t="str">
        <f t="shared" si="1"/>
        <v/>
      </c>
      <c r="L20" s="35">
        <f t="shared" si="2"/>
        <v>7.52</v>
      </c>
      <c r="M20" s="36" t="str">
        <f t="shared" si="3"/>
        <v/>
      </c>
      <c r="N20" s="37" t="s">
        <v>16</v>
      </c>
      <c r="O20" s="29">
        <v>1</v>
      </c>
      <c r="P20" s="38">
        <v>25</v>
      </c>
      <c r="Q20" s="28"/>
      <c r="R20" s="28" t="s">
        <v>2760</v>
      </c>
      <c r="S20" s="92" t="s">
        <v>21</v>
      </c>
      <c r="T20" s="28"/>
      <c r="U20" s="28" t="s">
        <v>31</v>
      </c>
    </row>
    <row r="21" spans="1:21" s="27" customFormat="1" x14ac:dyDescent="0.25">
      <c r="A21" s="28" t="s">
        <v>21</v>
      </c>
      <c r="B21" s="28" t="s">
        <v>2733</v>
      </c>
      <c r="C21" s="28" t="s">
        <v>21</v>
      </c>
      <c r="D21" s="29">
        <v>1</v>
      </c>
      <c r="E21" s="71">
        <v>16</v>
      </c>
      <c r="F21" s="31">
        <v>186</v>
      </c>
      <c r="G21" s="32"/>
      <c r="H21" s="32">
        <v>1.883</v>
      </c>
      <c r="I21" s="32">
        <v>1.8740000000000001</v>
      </c>
      <c r="J21" s="33">
        <f t="shared" si="0"/>
        <v>8.999999999999897E-3</v>
      </c>
      <c r="K21" s="34" t="str">
        <f t="shared" si="1"/>
        <v/>
      </c>
      <c r="L21" s="35">
        <f t="shared" si="2"/>
        <v>7.44</v>
      </c>
      <c r="M21" s="36" t="str">
        <f t="shared" si="3"/>
        <v/>
      </c>
      <c r="N21" s="37" t="s">
        <v>16</v>
      </c>
      <c r="O21" s="29">
        <v>1</v>
      </c>
      <c r="P21" s="38">
        <v>25</v>
      </c>
      <c r="Q21" s="28"/>
      <c r="R21" s="28" t="s">
        <v>2761</v>
      </c>
      <c r="S21" s="92" t="s">
        <v>21</v>
      </c>
      <c r="T21" s="28"/>
      <c r="U21" s="28" t="s">
        <v>31</v>
      </c>
    </row>
    <row r="22" spans="1:21" s="27" customFormat="1" x14ac:dyDescent="0.25">
      <c r="A22" s="28" t="s">
        <v>21</v>
      </c>
      <c r="B22" s="28" t="s">
        <v>2734</v>
      </c>
      <c r="C22" s="28" t="s">
        <v>21</v>
      </c>
      <c r="D22" s="29">
        <v>1</v>
      </c>
      <c r="E22" s="71">
        <v>60</v>
      </c>
      <c r="F22" s="31">
        <v>184</v>
      </c>
      <c r="G22" s="32"/>
      <c r="H22" s="32">
        <v>1.867</v>
      </c>
      <c r="I22" s="32">
        <v>1.861</v>
      </c>
      <c r="J22" s="33">
        <f t="shared" si="0"/>
        <v>6.0000000000000053E-3</v>
      </c>
      <c r="K22" s="34" t="str">
        <f t="shared" si="1"/>
        <v/>
      </c>
      <c r="L22" s="35">
        <f t="shared" si="2"/>
        <v>7.36</v>
      </c>
      <c r="M22" s="36" t="str">
        <f t="shared" si="3"/>
        <v/>
      </c>
      <c r="N22" s="37" t="s">
        <v>16</v>
      </c>
      <c r="O22" s="29">
        <v>1</v>
      </c>
      <c r="P22" s="38">
        <v>25</v>
      </c>
      <c r="Q22" s="28"/>
      <c r="R22" s="28" t="s">
        <v>2778</v>
      </c>
      <c r="S22" s="91" t="s">
        <v>58</v>
      </c>
      <c r="T22" s="28"/>
      <c r="U22" s="28" t="s">
        <v>31</v>
      </c>
    </row>
    <row r="23" spans="1:21" s="27" customFormat="1" x14ac:dyDescent="0.25">
      <c r="A23" s="28" t="s">
        <v>21</v>
      </c>
      <c r="B23" s="28" t="s">
        <v>2735</v>
      </c>
      <c r="C23" s="28" t="s">
        <v>21</v>
      </c>
      <c r="D23" s="29">
        <v>1</v>
      </c>
      <c r="E23" s="71">
        <v>38</v>
      </c>
      <c r="F23" s="31">
        <v>185</v>
      </c>
      <c r="G23" s="32"/>
      <c r="H23" s="32">
        <v>1.857</v>
      </c>
      <c r="I23" s="32">
        <v>1.85</v>
      </c>
      <c r="J23" s="33">
        <f t="shared" si="0"/>
        <v>6.9999999999998952E-3</v>
      </c>
      <c r="K23" s="34" t="str">
        <f t="shared" si="1"/>
        <v/>
      </c>
      <c r="L23" s="35">
        <f t="shared" si="2"/>
        <v>7.4</v>
      </c>
      <c r="M23" s="36" t="str">
        <f t="shared" si="3"/>
        <v/>
      </c>
      <c r="N23" s="37" t="s">
        <v>16</v>
      </c>
      <c r="O23" s="29">
        <v>1</v>
      </c>
      <c r="P23" s="38">
        <v>25</v>
      </c>
      <c r="Q23" s="28"/>
      <c r="R23" s="28" t="s">
        <v>2780</v>
      </c>
      <c r="S23" s="91" t="s">
        <v>59</v>
      </c>
      <c r="T23" s="28"/>
      <c r="U23" s="28" t="s">
        <v>31</v>
      </c>
    </row>
    <row r="24" spans="1:21" s="27" customFormat="1" x14ac:dyDescent="0.25">
      <c r="A24" s="28" t="s">
        <v>21</v>
      </c>
      <c r="B24" s="28" t="s">
        <v>2736</v>
      </c>
      <c r="C24" s="28" t="s">
        <v>21</v>
      </c>
      <c r="D24" s="29">
        <v>1</v>
      </c>
      <c r="E24" s="71">
        <v>36</v>
      </c>
      <c r="F24" s="31">
        <v>186</v>
      </c>
      <c r="G24" s="32"/>
      <c r="H24" s="32">
        <v>1.8660000000000001</v>
      </c>
      <c r="I24" s="32">
        <v>1.857</v>
      </c>
      <c r="J24" s="33">
        <f t="shared" si="0"/>
        <v>9.000000000000119E-3</v>
      </c>
      <c r="K24" s="34" t="str">
        <f t="shared" si="1"/>
        <v/>
      </c>
      <c r="L24" s="35">
        <f t="shared" si="2"/>
        <v>7.44</v>
      </c>
      <c r="M24" s="36" t="str">
        <f t="shared" si="3"/>
        <v/>
      </c>
      <c r="N24" s="37" t="s">
        <v>16</v>
      </c>
      <c r="O24" s="29">
        <v>1</v>
      </c>
      <c r="P24" s="38">
        <v>25</v>
      </c>
      <c r="Q24" s="28"/>
      <c r="R24" s="28" t="s">
        <v>2779</v>
      </c>
      <c r="S24" s="92" t="s">
        <v>21</v>
      </c>
      <c r="T24" s="28"/>
      <c r="U24" s="28" t="s">
        <v>31</v>
      </c>
    </row>
    <row r="25" spans="1:21" s="27" customFormat="1" x14ac:dyDescent="0.25">
      <c r="A25" s="28" t="s">
        <v>21</v>
      </c>
      <c r="B25" s="28" t="s">
        <v>2737</v>
      </c>
      <c r="C25" s="28" t="s">
        <v>21</v>
      </c>
      <c r="D25" s="29">
        <v>1</v>
      </c>
      <c r="E25" s="71">
        <v>40</v>
      </c>
      <c r="F25" s="31">
        <v>185</v>
      </c>
      <c r="G25" s="32"/>
      <c r="H25" s="32">
        <v>1.855</v>
      </c>
      <c r="I25" s="32">
        <v>1.8460000000000001</v>
      </c>
      <c r="J25" s="33">
        <f t="shared" si="0"/>
        <v>8.999999999999897E-3</v>
      </c>
      <c r="K25" s="34" t="str">
        <f t="shared" si="1"/>
        <v/>
      </c>
      <c r="L25" s="35">
        <f t="shared" si="2"/>
        <v>7.4</v>
      </c>
      <c r="M25" s="36" t="str">
        <f t="shared" si="3"/>
        <v/>
      </c>
      <c r="N25" s="37" t="s">
        <v>16</v>
      </c>
      <c r="O25" s="29">
        <v>1</v>
      </c>
      <c r="P25" s="38">
        <v>25</v>
      </c>
      <c r="Q25" s="28"/>
      <c r="R25" s="28" t="s">
        <v>2781</v>
      </c>
      <c r="S25" s="92" t="s">
        <v>21</v>
      </c>
      <c r="T25" s="28"/>
      <c r="U25" s="28" t="s">
        <v>31</v>
      </c>
    </row>
    <row r="26" spans="1:21" s="27" customFormat="1" x14ac:dyDescent="0.25">
      <c r="A26" s="28" t="s">
        <v>21</v>
      </c>
      <c r="B26" s="28" t="s">
        <v>2738</v>
      </c>
      <c r="C26" s="28" t="s">
        <v>21</v>
      </c>
      <c r="D26" s="29">
        <v>1</v>
      </c>
      <c r="E26" s="71">
        <v>42</v>
      </c>
      <c r="F26" s="31">
        <v>185</v>
      </c>
      <c r="G26" s="32"/>
      <c r="H26" s="32">
        <v>1.8680000000000001</v>
      </c>
      <c r="I26" s="32">
        <v>1.861</v>
      </c>
      <c r="J26" s="33">
        <f t="shared" si="0"/>
        <v>7.0000000000001172E-3</v>
      </c>
      <c r="K26" s="34" t="str">
        <f t="shared" si="1"/>
        <v/>
      </c>
      <c r="L26" s="35">
        <f t="shared" si="2"/>
        <v>7.4</v>
      </c>
      <c r="M26" s="36" t="str">
        <f t="shared" si="3"/>
        <v/>
      </c>
      <c r="N26" s="37" t="s">
        <v>16</v>
      </c>
      <c r="O26" s="29">
        <v>1</v>
      </c>
      <c r="P26" s="38">
        <v>25</v>
      </c>
      <c r="Q26" s="28"/>
      <c r="R26" s="28" t="s">
        <v>2782</v>
      </c>
      <c r="S26" s="92" t="s">
        <v>21</v>
      </c>
      <c r="T26" s="28"/>
      <c r="U26" s="28" t="s">
        <v>31</v>
      </c>
    </row>
    <row r="27" spans="1:21" s="27" customFormat="1" x14ac:dyDescent="0.25">
      <c r="A27" s="28" t="s">
        <v>21</v>
      </c>
      <c r="B27" s="28" t="s">
        <v>2739</v>
      </c>
      <c r="C27" s="28" t="s">
        <v>21</v>
      </c>
      <c r="D27" s="29">
        <v>1</v>
      </c>
      <c r="E27" s="71">
        <v>16</v>
      </c>
      <c r="F27" s="31">
        <v>186</v>
      </c>
      <c r="G27" s="32"/>
      <c r="H27" s="32">
        <v>1.8680000000000001</v>
      </c>
      <c r="I27" s="32">
        <v>1.8580000000000001</v>
      </c>
      <c r="J27" s="33">
        <f t="shared" si="0"/>
        <v>1.0000000000000009E-2</v>
      </c>
      <c r="K27" s="34" t="str">
        <f t="shared" si="1"/>
        <v/>
      </c>
      <c r="L27" s="35">
        <f t="shared" si="2"/>
        <v>7.44</v>
      </c>
      <c r="M27" s="36" t="str">
        <f t="shared" si="3"/>
        <v/>
      </c>
      <c r="N27" s="37" t="s">
        <v>16</v>
      </c>
      <c r="O27" s="29">
        <v>1</v>
      </c>
      <c r="P27" s="38">
        <v>25</v>
      </c>
      <c r="Q27" s="28"/>
      <c r="R27" s="28" t="s">
        <v>2807</v>
      </c>
      <c r="S27" s="91" t="s">
        <v>58</v>
      </c>
      <c r="T27" s="28"/>
      <c r="U27" s="28" t="s">
        <v>31</v>
      </c>
    </row>
    <row r="28" spans="1:21" s="27" customFormat="1" x14ac:dyDescent="0.25">
      <c r="A28" s="28" t="s">
        <v>21</v>
      </c>
      <c r="B28" s="28" t="s">
        <v>2740</v>
      </c>
      <c r="C28" s="28" t="s">
        <v>21</v>
      </c>
      <c r="D28" s="29">
        <v>1</v>
      </c>
      <c r="E28" s="71">
        <v>27</v>
      </c>
      <c r="F28" s="31">
        <v>186</v>
      </c>
      <c r="G28" s="32"/>
      <c r="H28" s="32">
        <v>1.867</v>
      </c>
      <c r="I28" s="32">
        <v>1.86</v>
      </c>
      <c r="J28" s="33">
        <f t="shared" si="0"/>
        <v>6.9999999999998952E-3</v>
      </c>
      <c r="K28" s="34" t="str">
        <f t="shared" si="1"/>
        <v/>
      </c>
      <c r="L28" s="35">
        <f t="shared" si="2"/>
        <v>7.44</v>
      </c>
      <c r="M28" s="36" t="str">
        <f t="shared" si="3"/>
        <v/>
      </c>
      <c r="N28" s="37" t="s">
        <v>16</v>
      </c>
      <c r="O28" s="29">
        <v>1</v>
      </c>
      <c r="P28" s="38">
        <v>25</v>
      </c>
      <c r="Q28" s="28"/>
      <c r="R28" s="28" t="s">
        <v>2808</v>
      </c>
      <c r="S28" s="91" t="s">
        <v>59</v>
      </c>
      <c r="T28" s="28"/>
      <c r="U28" s="28" t="s">
        <v>31</v>
      </c>
    </row>
    <row r="29" spans="1:21" s="27" customFormat="1" x14ac:dyDescent="0.25">
      <c r="A29" s="28" t="s">
        <v>21</v>
      </c>
      <c r="B29" s="28" t="s">
        <v>2741</v>
      </c>
      <c r="C29" s="28" t="s">
        <v>21</v>
      </c>
      <c r="D29" s="29">
        <v>1</v>
      </c>
      <c r="E29" s="71">
        <v>22</v>
      </c>
      <c r="F29" s="31">
        <v>188</v>
      </c>
      <c r="G29" s="32"/>
      <c r="H29" s="32">
        <v>1.865</v>
      </c>
      <c r="I29" s="32">
        <v>1.857</v>
      </c>
      <c r="J29" s="33">
        <f t="shared" si="0"/>
        <v>8.0000000000000071E-3</v>
      </c>
      <c r="K29" s="34" t="str">
        <f t="shared" si="1"/>
        <v/>
      </c>
      <c r="L29" s="35">
        <f t="shared" si="2"/>
        <v>7.52</v>
      </c>
      <c r="M29" s="36" t="str">
        <f t="shared" si="3"/>
        <v/>
      </c>
      <c r="N29" s="37" t="s">
        <v>16</v>
      </c>
      <c r="O29" s="29">
        <v>1</v>
      </c>
      <c r="P29" s="38">
        <v>25</v>
      </c>
      <c r="Q29" s="28"/>
      <c r="R29" s="28" t="s">
        <v>2810</v>
      </c>
      <c r="S29" s="92" t="s">
        <v>21</v>
      </c>
      <c r="T29" s="28"/>
      <c r="U29" s="28" t="s">
        <v>31</v>
      </c>
    </row>
    <row r="30" spans="1:21" s="27" customFormat="1" x14ac:dyDescent="0.25">
      <c r="A30" s="28" t="s">
        <v>21</v>
      </c>
      <c r="B30" s="28" t="s">
        <v>2742</v>
      </c>
      <c r="C30" s="28" t="s">
        <v>21</v>
      </c>
      <c r="D30" s="29">
        <v>1</v>
      </c>
      <c r="E30" s="71">
        <v>24</v>
      </c>
      <c r="F30" s="31">
        <v>187</v>
      </c>
      <c r="G30" s="32"/>
      <c r="H30" s="32">
        <v>1.865</v>
      </c>
      <c r="I30" s="32">
        <v>1.8560000000000001</v>
      </c>
      <c r="J30" s="33">
        <f t="shared" si="0"/>
        <v>8.999999999999897E-3</v>
      </c>
      <c r="K30" s="34" t="str">
        <f t="shared" si="1"/>
        <v/>
      </c>
      <c r="L30" s="35">
        <f t="shared" si="2"/>
        <v>7.48</v>
      </c>
      <c r="M30" s="36" t="str">
        <f t="shared" si="3"/>
        <v/>
      </c>
      <c r="N30" s="37" t="s">
        <v>16</v>
      </c>
      <c r="O30" s="29">
        <v>1</v>
      </c>
      <c r="P30" s="38">
        <v>25</v>
      </c>
      <c r="Q30" s="28"/>
      <c r="R30" s="28" t="s">
        <v>2809</v>
      </c>
      <c r="S30" s="92" t="s">
        <v>21</v>
      </c>
      <c r="T30" s="28"/>
      <c r="U30" s="28" t="s">
        <v>31</v>
      </c>
    </row>
    <row r="31" spans="1:21" s="27" customFormat="1" x14ac:dyDescent="0.25">
      <c r="A31" s="28" t="s">
        <v>21</v>
      </c>
      <c r="B31" s="28" t="s">
        <v>2743</v>
      </c>
      <c r="C31" s="28" t="s">
        <v>21</v>
      </c>
      <c r="D31" s="29">
        <v>1</v>
      </c>
      <c r="E31" s="71">
        <v>39</v>
      </c>
      <c r="F31" s="31">
        <v>186</v>
      </c>
      <c r="G31" s="32"/>
      <c r="H31" s="32">
        <v>1.8560000000000001</v>
      </c>
      <c r="I31" s="32">
        <v>1.85</v>
      </c>
      <c r="J31" s="33">
        <f t="shared" si="0"/>
        <v>6.0000000000000053E-3</v>
      </c>
      <c r="K31" s="34" t="str">
        <f t="shared" si="1"/>
        <v/>
      </c>
      <c r="L31" s="35">
        <f t="shared" si="2"/>
        <v>7.44</v>
      </c>
      <c r="M31" s="36" t="str">
        <f t="shared" si="3"/>
        <v/>
      </c>
      <c r="N31" s="37" t="s">
        <v>16</v>
      </c>
      <c r="O31" s="29">
        <v>1</v>
      </c>
      <c r="P31" s="38">
        <v>25</v>
      </c>
      <c r="Q31" s="28"/>
      <c r="R31" s="28" t="s">
        <v>2811</v>
      </c>
      <c r="S31" s="92" t="s">
        <v>21</v>
      </c>
      <c r="T31" s="28"/>
      <c r="U31" s="28" t="s">
        <v>31</v>
      </c>
    </row>
    <row r="32" spans="1:21" s="27" customFormat="1" x14ac:dyDescent="0.25">
      <c r="A32" s="28" t="s">
        <v>2769</v>
      </c>
      <c r="B32" s="93" t="s">
        <v>2764</v>
      </c>
      <c r="C32" s="28">
        <v>784502</v>
      </c>
      <c r="D32" s="29">
        <v>1</v>
      </c>
      <c r="E32" s="73">
        <v>14</v>
      </c>
      <c r="F32" s="45"/>
      <c r="G32" s="32">
        <v>1.8180000000000001</v>
      </c>
      <c r="H32" s="32">
        <v>21.8</v>
      </c>
      <c r="I32" s="32">
        <v>21.65</v>
      </c>
      <c r="J32" s="33">
        <f>IF(O32&lt;&gt;"",(H32-I32)/O32,"")</f>
        <v>1.2500000000000178E-2</v>
      </c>
      <c r="K32" s="34" t="str">
        <f t="shared" si="1"/>
        <v/>
      </c>
      <c r="L32" s="35">
        <f>F32/(O32*P32)</f>
        <v>0</v>
      </c>
      <c r="M32" s="36" t="str">
        <f>IF(L32=0,"",IF(OR(L32&lt;7,L32&gt;7.8),"X",""))</f>
        <v/>
      </c>
      <c r="N32" s="37" t="s">
        <v>26</v>
      </c>
      <c r="O32" s="29">
        <v>12</v>
      </c>
      <c r="P32" s="38">
        <v>40</v>
      </c>
      <c r="Q32" s="28"/>
      <c r="R32" s="28" t="s">
        <v>2765</v>
      </c>
      <c r="S32" s="47"/>
      <c r="T32" s="28"/>
      <c r="U32" s="28" t="s">
        <v>31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29">
        <v>1</v>
      </c>
      <c r="E33" s="73"/>
      <c r="F33" s="31"/>
      <c r="G33" s="32">
        <v>1.798</v>
      </c>
      <c r="H33" s="32"/>
      <c r="I33" s="32"/>
      <c r="J33" s="33" t="str">
        <f>IF(O33&lt;&gt;"",(H33-I33)/O33,"")</f>
        <v/>
      </c>
      <c r="K33" s="34"/>
      <c r="L33" s="35"/>
      <c r="M33" s="36" t="str">
        <f t="shared" ref="M33:M43" si="4">IF(L33=0,"",IF(OR(L33&lt;7.4,L33&gt;8),"X",""))</f>
        <v/>
      </c>
      <c r="N33" s="37"/>
      <c r="O33" s="29"/>
      <c r="P33" s="38"/>
      <c r="Q33" s="28"/>
      <c r="R33" s="28" t="s">
        <v>2766</v>
      </c>
      <c r="S33" s="47"/>
      <c r="T33" s="28"/>
      <c r="U33" s="28" t="s">
        <v>31</v>
      </c>
    </row>
    <row r="34" spans="1:21" s="27" customFormat="1" x14ac:dyDescent="0.25">
      <c r="A34" s="28" t="s">
        <v>21</v>
      </c>
      <c r="B34" s="28" t="s">
        <v>21</v>
      </c>
      <c r="C34" s="28" t="s">
        <v>21</v>
      </c>
      <c r="D34" s="29">
        <v>1</v>
      </c>
      <c r="E34" s="73"/>
      <c r="F34" s="31"/>
      <c r="G34" s="32">
        <v>1.8180000000000001</v>
      </c>
      <c r="H34" s="32"/>
      <c r="I34" s="32"/>
      <c r="J34" s="33" t="str">
        <f t="shared" ref="J34:J43" si="5">IF(O34&lt;&gt;"",(H34-I34)/O34,"")</f>
        <v/>
      </c>
      <c r="K34" s="34"/>
      <c r="L34" s="35"/>
      <c r="M34" s="36" t="str">
        <f t="shared" si="4"/>
        <v/>
      </c>
      <c r="N34" s="37"/>
      <c r="O34" s="29"/>
      <c r="P34" s="38"/>
      <c r="Q34" s="28"/>
      <c r="R34" s="28" t="s">
        <v>2767</v>
      </c>
      <c r="S34" s="47"/>
      <c r="T34" s="28"/>
      <c r="U34" s="28" t="s">
        <v>31</v>
      </c>
    </row>
    <row r="35" spans="1:21" s="27" customFormat="1" x14ac:dyDescent="0.25">
      <c r="A35" s="28" t="s">
        <v>21</v>
      </c>
      <c r="B35" s="28" t="s">
        <v>21</v>
      </c>
      <c r="C35" s="28" t="s">
        <v>21</v>
      </c>
      <c r="D35" s="29">
        <v>1</v>
      </c>
      <c r="E35" s="73"/>
      <c r="F35" s="31"/>
      <c r="G35" s="32">
        <v>1.8220000000000001</v>
      </c>
      <c r="H35" s="32"/>
      <c r="I35" s="32"/>
      <c r="J35" s="33" t="str">
        <f t="shared" si="5"/>
        <v/>
      </c>
      <c r="K35" s="34"/>
      <c r="L35" s="35"/>
      <c r="M35" s="36" t="str">
        <f t="shared" si="4"/>
        <v/>
      </c>
      <c r="N35" s="37"/>
      <c r="O35" s="29"/>
      <c r="P35" s="38"/>
      <c r="Q35" s="28"/>
      <c r="R35" s="28" t="s">
        <v>2768</v>
      </c>
      <c r="S35" s="47"/>
      <c r="T35" s="28"/>
      <c r="U35" s="28" t="s">
        <v>31</v>
      </c>
    </row>
    <row r="36" spans="1:21" s="27" customFormat="1" x14ac:dyDescent="0.25">
      <c r="A36" s="28" t="s">
        <v>21</v>
      </c>
      <c r="B36" s="28" t="s">
        <v>21</v>
      </c>
      <c r="C36" s="28" t="s">
        <v>21</v>
      </c>
      <c r="D36" s="29">
        <v>1</v>
      </c>
      <c r="E36" s="73"/>
      <c r="F36" s="31"/>
      <c r="G36" s="32">
        <v>1.8129999999999999</v>
      </c>
      <c r="H36" s="32"/>
      <c r="I36" s="32"/>
      <c r="J36" s="33" t="str">
        <f t="shared" si="5"/>
        <v/>
      </c>
      <c r="K36" s="34"/>
      <c r="L36" s="35"/>
      <c r="M36" s="36" t="str">
        <f t="shared" si="4"/>
        <v/>
      </c>
      <c r="N36" s="37"/>
      <c r="O36" s="29"/>
      <c r="P36" s="38"/>
      <c r="Q36" s="28"/>
      <c r="R36" s="28" t="s">
        <v>2770</v>
      </c>
      <c r="S36" s="47"/>
      <c r="T36" s="28"/>
      <c r="U36" s="28" t="s">
        <v>31</v>
      </c>
    </row>
    <row r="37" spans="1:21" s="27" customFormat="1" x14ac:dyDescent="0.25">
      <c r="A37" s="28" t="s">
        <v>21</v>
      </c>
      <c r="B37" s="28" t="s">
        <v>21</v>
      </c>
      <c r="C37" s="28" t="s">
        <v>21</v>
      </c>
      <c r="D37" s="29">
        <v>1</v>
      </c>
      <c r="E37" s="73"/>
      <c r="F37" s="31"/>
      <c r="G37" s="32">
        <v>1.8129999999999999</v>
      </c>
      <c r="H37" s="32"/>
      <c r="I37" s="32"/>
      <c r="J37" s="33" t="str">
        <f t="shared" si="5"/>
        <v/>
      </c>
      <c r="K37" s="34"/>
      <c r="L37" s="35"/>
      <c r="M37" s="36" t="str">
        <f t="shared" si="4"/>
        <v/>
      </c>
      <c r="N37" s="37"/>
      <c r="O37" s="29"/>
      <c r="P37" s="38"/>
      <c r="Q37" s="28"/>
      <c r="R37" s="28" t="s">
        <v>2771</v>
      </c>
      <c r="S37" s="47"/>
      <c r="T37" s="28"/>
      <c r="U37" s="28" t="s">
        <v>31</v>
      </c>
    </row>
    <row r="38" spans="1:21" s="27" customFormat="1" x14ac:dyDescent="0.25">
      <c r="A38" s="28" t="s">
        <v>21</v>
      </c>
      <c r="B38" s="28" t="s">
        <v>21</v>
      </c>
      <c r="C38" s="28" t="s">
        <v>21</v>
      </c>
      <c r="D38" s="29">
        <v>1</v>
      </c>
      <c r="E38" s="73"/>
      <c r="F38" s="31"/>
      <c r="G38" s="32">
        <v>1.8169999999999999</v>
      </c>
      <c r="H38" s="32"/>
      <c r="I38" s="32"/>
      <c r="J38" s="33" t="str">
        <f t="shared" si="5"/>
        <v/>
      </c>
      <c r="K38" s="34"/>
      <c r="L38" s="35"/>
      <c r="M38" s="36" t="str">
        <f t="shared" si="4"/>
        <v/>
      </c>
      <c r="N38" s="37"/>
      <c r="O38" s="29"/>
      <c r="P38" s="38"/>
      <c r="Q38" s="28"/>
      <c r="R38" s="28" t="s">
        <v>2772</v>
      </c>
      <c r="S38" s="47"/>
      <c r="T38" s="28"/>
      <c r="U38" s="28" t="s">
        <v>31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29">
        <v>1</v>
      </c>
      <c r="E39" s="73"/>
      <c r="F39" s="31"/>
      <c r="G39" s="32">
        <v>1.8169999999999999</v>
      </c>
      <c r="H39" s="32"/>
      <c r="I39" s="32"/>
      <c r="J39" s="33" t="str">
        <f t="shared" si="5"/>
        <v/>
      </c>
      <c r="K39" s="34"/>
      <c r="L39" s="35"/>
      <c r="M39" s="36" t="str">
        <f t="shared" si="4"/>
        <v/>
      </c>
      <c r="N39" s="37"/>
      <c r="O39" s="29"/>
      <c r="P39" s="38"/>
      <c r="Q39" s="28"/>
      <c r="R39" s="28" t="s">
        <v>2773</v>
      </c>
      <c r="S39" s="47"/>
      <c r="T39" s="28"/>
      <c r="U39" s="28" t="s">
        <v>31</v>
      </c>
    </row>
    <row r="40" spans="1:21" s="27" customFormat="1" x14ac:dyDescent="0.25">
      <c r="A40" s="28" t="s">
        <v>21</v>
      </c>
      <c r="B40" s="28" t="s">
        <v>21</v>
      </c>
      <c r="C40" s="28" t="s">
        <v>21</v>
      </c>
      <c r="D40" s="29">
        <v>1</v>
      </c>
      <c r="E40" s="73"/>
      <c r="F40" s="31"/>
      <c r="G40" s="32">
        <v>1.8260000000000001</v>
      </c>
      <c r="H40" s="32"/>
      <c r="I40" s="32"/>
      <c r="J40" s="33" t="str">
        <f t="shared" si="5"/>
        <v/>
      </c>
      <c r="K40" s="34"/>
      <c r="L40" s="35"/>
      <c r="M40" s="36" t="str">
        <f t="shared" si="4"/>
        <v/>
      </c>
      <c r="N40" s="37"/>
      <c r="O40" s="29"/>
      <c r="P40" s="38"/>
      <c r="Q40" s="28"/>
      <c r="R40" s="28" t="s">
        <v>2774</v>
      </c>
      <c r="S40" s="47"/>
      <c r="T40" s="28"/>
      <c r="U40" s="28" t="s">
        <v>31</v>
      </c>
    </row>
    <row r="41" spans="1:21" s="27" customFormat="1" x14ac:dyDescent="0.25">
      <c r="A41" s="28" t="s">
        <v>21</v>
      </c>
      <c r="B41" s="28" t="s">
        <v>21</v>
      </c>
      <c r="C41" s="28" t="s">
        <v>21</v>
      </c>
      <c r="D41" s="29">
        <v>1</v>
      </c>
      <c r="E41" s="73"/>
      <c r="F41" s="31"/>
      <c r="G41" s="32">
        <v>1.8149999999999999</v>
      </c>
      <c r="H41" s="32"/>
      <c r="I41" s="32"/>
      <c r="J41" s="33" t="str">
        <f t="shared" si="5"/>
        <v/>
      </c>
      <c r="K41" s="34"/>
      <c r="L41" s="35"/>
      <c r="M41" s="36" t="str">
        <f t="shared" si="4"/>
        <v/>
      </c>
      <c r="N41" s="37"/>
      <c r="O41" s="29"/>
      <c r="P41" s="38"/>
      <c r="Q41" s="28"/>
      <c r="R41" s="28" t="s">
        <v>2775</v>
      </c>
      <c r="S41" s="47"/>
      <c r="T41" s="28"/>
      <c r="U41" s="28" t="s">
        <v>31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29">
        <v>1</v>
      </c>
      <c r="E42" s="73"/>
      <c r="F42" s="31"/>
      <c r="G42" s="32">
        <v>1.8260000000000001</v>
      </c>
      <c r="H42" s="32"/>
      <c r="I42" s="32"/>
      <c r="J42" s="33" t="str">
        <f t="shared" si="5"/>
        <v/>
      </c>
      <c r="K42" s="34"/>
      <c r="L42" s="35"/>
      <c r="M42" s="36" t="str">
        <f t="shared" si="4"/>
        <v/>
      </c>
      <c r="N42" s="37"/>
      <c r="O42" s="29"/>
      <c r="P42" s="38"/>
      <c r="Q42" s="28"/>
      <c r="R42" s="28" t="s">
        <v>2776</v>
      </c>
      <c r="S42" s="47"/>
      <c r="T42" s="28"/>
      <c r="U42" s="28" t="s">
        <v>31</v>
      </c>
    </row>
    <row r="43" spans="1:21" s="27" customFormat="1" x14ac:dyDescent="0.25">
      <c r="A43" s="28" t="s">
        <v>21</v>
      </c>
      <c r="B43" s="28" t="s">
        <v>21</v>
      </c>
      <c r="C43" s="28" t="s">
        <v>21</v>
      </c>
      <c r="D43" s="29">
        <v>1</v>
      </c>
      <c r="E43" s="73"/>
      <c r="F43" s="31"/>
      <c r="G43" s="32">
        <v>1.8180000000000001</v>
      </c>
      <c r="H43" s="32"/>
      <c r="I43" s="32"/>
      <c r="J43" s="33" t="str">
        <f t="shared" si="5"/>
        <v/>
      </c>
      <c r="K43" s="34"/>
      <c r="L43" s="35"/>
      <c r="M43" s="36" t="str">
        <f t="shared" si="4"/>
        <v/>
      </c>
      <c r="N43" s="37"/>
      <c r="O43" s="29"/>
      <c r="P43" s="38"/>
      <c r="Q43" s="28"/>
      <c r="R43" s="28" t="s">
        <v>2777</v>
      </c>
      <c r="S43" s="47"/>
      <c r="T43" s="28"/>
      <c r="U43" s="28" t="s">
        <v>31</v>
      </c>
    </row>
    <row r="44" spans="1:21" s="27" customFormat="1" x14ac:dyDescent="0.25">
      <c r="A44" s="28" t="s">
        <v>2769</v>
      </c>
      <c r="B44" s="93" t="s">
        <v>2783</v>
      </c>
      <c r="C44" s="28" t="s">
        <v>21</v>
      </c>
      <c r="D44" s="29">
        <v>1</v>
      </c>
      <c r="E44" s="73">
        <v>39</v>
      </c>
      <c r="F44" s="45"/>
      <c r="G44" s="32">
        <v>1.841</v>
      </c>
      <c r="H44" s="32">
        <v>22</v>
      </c>
      <c r="I44" s="32">
        <v>21.86</v>
      </c>
      <c r="J44" s="33">
        <f>IF(O44&lt;&gt;"",(H44-I44)/O44,"")</f>
        <v>1.1666666666666714E-2</v>
      </c>
      <c r="K44" s="34" t="str">
        <f t="shared" ref="K44" si="6">IF(J44=0,"",IF(OR(J44&lt;0,J44&gt;0.03),"X",""))</f>
        <v/>
      </c>
      <c r="L44" s="35">
        <f>F44/(O44*P44)</f>
        <v>0</v>
      </c>
      <c r="M44" s="36" t="str">
        <f>IF(L44=0,"",IF(OR(L44&lt;7,L44&gt;7.8),"X",""))</f>
        <v/>
      </c>
      <c r="N44" s="37" t="s">
        <v>26</v>
      </c>
      <c r="O44" s="29">
        <v>12</v>
      </c>
      <c r="P44" s="38">
        <v>40</v>
      </c>
      <c r="Q44" s="28"/>
      <c r="R44" s="28" t="s">
        <v>2784</v>
      </c>
      <c r="S44" s="47"/>
      <c r="T44" s="28"/>
      <c r="U44" s="28" t="s">
        <v>31</v>
      </c>
    </row>
    <row r="45" spans="1:21" s="27" customFormat="1" x14ac:dyDescent="0.25">
      <c r="A45" s="28" t="s">
        <v>21</v>
      </c>
      <c r="B45" s="28" t="s">
        <v>21</v>
      </c>
      <c r="C45" s="28" t="s">
        <v>21</v>
      </c>
      <c r="D45" s="29">
        <v>1</v>
      </c>
      <c r="E45" s="73"/>
      <c r="F45" s="31"/>
      <c r="G45" s="32">
        <v>1.8380000000000001</v>
      </c>
      <c r="H45" s="32"/>
      <c r="I45" s="32"/>
      <c r="J45" s="33" t="str">
        <f t="shared" ref="J45:J55" si="7">IF(O45&lt;&gt;"",(H45-I45)/O45,"")</f>
        <v/>
      </c>
      <c r="K45" s="34"/>
      <c r="L45" s="35"/>
      <c r="M45" s="36" t="str">
        <f t="shared" ref="M45:M55" si="8">IF(L45=0,"",IF(OR(L45&lt;7.4,L45&gt;8),"X",""))</f>
        <v/>
      </c>
      <c r="N45" s="37"/>
      <c r="O45" s="29"/>
      <c r="P45" s="38"/>
      <c r="Q45" s="28"/>
      <c r="R45" s="28" t="s">
        <v>2785</v>
      </c>
      <c r="S45" s="47"/>
      <c r="T45" s="28"/>
      <c r="U45" s="28" t="s">
        <v>31</v>
      </c>
    </row>
    <row r="46" spans="1:21" s="27" customFormat="1" x14ac:dyDescent="0.25">
      <c r="A46" s="28" t="s">
        <v>21</v>
      </c>
      <c r="B46" s="28" t="s">
        <v>21</v>
      </c>
      <c r="C46" s="28" t="s">
        <v>21</v>
      </c>
      <c r="D46" s="29">
        <v>1</v>
      </c>
      <c r="E46" s="73"/>
      <c r="F46" s="31"/>
      <c r="G46" s="32">
        <v>1.8320000000000001</v>
      </c>
      <c r="H46" s="32"/>
      <c r="I46" s="32"/>
      <c r="J46" s="33" t="str">
        <f t="shared" si="7"/>
        <v/>
      </c>
      <c r="K46" s="34"/>
      <c r="L46" s="35"/>
      <c r="M46" s="36" t="str">
        <f t="shared" si="8"/>
        <v/>
      </c>
      <c r="N46" s="37"/>
      <c r="O46" s="29"/>
      <c r="P46" s="38"/>
      <c r="Q46" s="28"/>
      <c r="R46" s="28" t="s">
        <v>2786</v>
      </c>
      <c r="S46" s="47"/>
      <c r="T46" s="28"/>
      <c r="U46" s="28" t="s">
        <v>31</v>
      </c>
    </row>
    <row r="47" spans="1:21" s="27" customFormat="1" x14ac:dyDescent="0.25">
      <c r="A47" s="28" t="s">
        <v>21</v>
      </c>
      <c r="B47" s="28" t="s">
        <v>21</v>
      </c>
      <c r="C47" s="28" t="s">
        <v>21</v>
      </c>
      <c r="D47" s="29">
        <v>1</v>
      </c>
      <c r="E47" s="73"/>
      <c r="F47" s="31"/>
      <c r="G47" s="32">
        <v>1.823</v>
      </c>
      <c r="H47" s="32"/>
      <c r="I47" s="32"/>
      <c r="J47" s="33" t="str">
        <f t="shared" si="7"/>
        <v/>
      </c>
      <c r="K47" s="34"/>
      <c r="L47" s="35"/>
      <c r="M47" s="36" t="str">
        <f t="shared" si="8"/>
        <v/>
      </c>
      <c r="N47" s="37"/>
      <c r="O47" s="29"/>
      <c r="P47" s="38"/>
      <c r="Q47" s="28"/>
      <c r="R47" s="28" t="s">
        <v>2787</v>
      </c>
      <c r="S47" s="47"/>
      <c r="T47" s="28"/>
      <c r="U47" s="28" t="s">
        <v>31</v>
      </c>
    </row>
    <row r="48" spans="1:21" s="27" customFormat="1" x14ac:dyDescent="0.25">
      <c r="A48" s="28" t="s">
        <v>21</v>
      </c>
      <c r="B48" s="28" t="s">
        <v>21</v>
      </c>
      <c r="C48" s="28">
        <v>784502</v>
      </c>
      <c r="D48" s="29">
        <v>1</v>
      </c>
      <c r="E48" s="73"/>
      <c r="F48" s="31"/>
      <c r="G48" s="32">
        <v>1.8320000000000001</v>
      </c>
      <c r="H48" s="32"/>
      <c r="I48" s="32"/>
      <c r="J48" s="33" t="str">
        <f t="shared" si="7"/>
        <v/>
      </c>
      <c r="K48" s="34"/>
      <c r="L48" s="35"/>
      <c r="M48" s="36" t="str">
        <f t="shared" si="8"/>
        <v/>
      </c>
      <c r="N48" s="37"/>
      <c r="O48" s="29"/>
      <c r="P48" s="38"/>
      <c r="Q48" s="28"/>
      <c r="R48" s="28" t="s">
        <v>2788</v>
      </c>
      <c r="S48" s="47"/>
      <c r="T48" s="28"/>
      <c r="U48" s="28" t="s">
        <v>31</v>
      </c>
    </row>
    <row r="49" spans="1:21" s="27" customFormat="1" x14ac:dyDescent="0.25">
      <c r="A49" s="28" t="s">
        <v>21</v>
      </c>
      <c r="B49" s="28" t="s">
        <v>21</v>
      </c>
      <c r="C49" s="28" t="s">
        <v>21</v>
      </c>
      <c r="D49" s="29">
        <v>1</v>
      </c>
      <c r="E49" s="73"/>
      <c r="F49" s="31"/>
      <c r="G49" s="32">
        <v>1.829</v>
      </c>
      <c r="H49" s="32"/>
      <c r="I49" s="32"/>
      <c r="J49" s="33" t="str">
        <f t="shared" si="7"/>
        <v/>
      </c>
      <c r="K49" s="34"/>
      <c r="L49" s="35"/>
      <c r="M49" s="36" t="str">
        <f t="shared" si="8"/>
        <v/>
      </c>
      <c r="N49" s="37"/>
      <c r="O49" s="29"/>
      <c r="P49" s="38"/>
      <c r="Q49" s="28"/>
      <c r="R49" s="28" t="s">
        <v>2789</v>
      </c>
      <c r="S49" s="47"/>
      <c r="T49" s="28"/>
      <c r="U49" s="28" t="s">
        <v>31</v>
      </c>
    </row>
    <row r="50" spans="1:21" s="27" customFormat="1" x14ac:dyDescent="0.25">
      <c r="A50" s="28" t="s">
        <v>21</v>
      </c>
      <c r="B50" s="28" t="s">
        <v>21</v>
      </c>
      <c r="C50" s="28" t="s">
        <v>21</v>
      </c>
      <c r="D50" s="29">
        <v>1</v>
      </c>
      <c r="E50" s="73"/>
      <c r="F50" s="31"/>
      <c r="G50" s="32">
        <v>1.8340000000000001</v>
      </c>
      <c r="H50" s="32"/>
      <c r="I50" s="32"/>
      <c r="J50" s="33" t="str">
        <f t="shared" si="7"/>
        <v/>
      </c>
      <c r="K50" s="34"/>
      <c r="L50" s="35"/>
      <c r="M50" s="36" t="str">
        <f t="shared" si="8"/>
        <v/>
      </c>
      <c r="N50" s="37"/>
      <c r="O50" s="29"/>
      <c r="P50" s="38"/>
      <c r="Q50" s="28"/>
      <c r="R50" s="28" t="s">
        <v>2790</v>
      </c>
      <c r="S50" s="47"/>
      <c r="T50" s="28"/>
      <c r="U50" s="28" t="s">
        <v>31</v>
      </c>
    </row>
    <row r="51" spans="1:21" s="27" customFormat="1" x14ac:dyDescent="0.25">
      <c r="A51" s="28" t="s">
        <v>21</v>
      </c>
      <c r="B51" s="28" t="s">
        <v>21</v>
      </c>
      <c r="C51" s="28" t="s">
        <v>21</v>
      </c>
      <c r="D51" s="29">
        <v>1</v>
      </c>
      <c r="E51" s="73"/>
      <c r="F51" s="31"/>
      <c r="G51" s="32">
        <v>1.83</v>
      </c>
      <c r="H51" s="32"/>
      <c r="I51" s="32"/>
      <c r="J51" s="33" t="str">
        <f t="shared" si="7"/>
        <v/>
      </c>
      <c r="K51" s="34"/>
      <c r="L51" s="35"/>
      <c r="M51" s="36" t="str">
        <f t="shared" si="8"/>
        <v/>
      </c>
      <c r="N51" s="37"/>
      <c r="O51" s="29"/>
      <c r="P51" s="38"/>
      <c r="Q51" s="28"/>
      <c r="R51" s="28" t="s">
        <v>2792</v>
      </c>
      <c r="S51" s="47"/>
      <c r="T51" s="28"/>
      <c r="U51" s="28" t="s">
        <v>31</v>
      </c>
    </row>
    <row r="52" spans="1:21" s="27" customFormat="1" x14ac:dyDescent="0.25">
      <c r="A52" s="28" t="s">
        <v>21</v>
      </c>
      <c r="B52" s="28" t="s">
        <v>21</v>
      </c>
      <c r="C52" s="28" t="s">
        <v>21</v>
      </c>
      <c r="D52" s="29">
        <v>1</v>
      </c>
      <c r="E52" s="73"/>
      <c r="F52" s="31"/>
      <c r="G52" s="32">
        <v>1.835</v>
      </c>
      <c r="H52" s="32"/>
      <c r="I52" s="32"/>
      <c r="J52" s="33" t="str">
        <f t="shared" si="7"/>
        <v/>
      </c>
      <c r="K52" s="34"/>
      <c r="L52" s="35"/>
      <c r="M52" s="36" t="str">
        <f t="shared" si="8"/>
        <v/>
      </c>
      <c r="N52" s="37"/>
      <c r="O52" s="29"/>
      <c r="P52" s="38"/>
      <c r="Q52" s="28"/>
      <c r="R52" s="28" t="s">
        <v>2791</v>
      </c>
      <c r="S52" s="47"/>
      <c r="T52" s="28"/>
      <c r="U52" s="28" t="s">
        <v>31</v>
      </c>
    </row>
    <row r="53" spans="1:21" s="27" customFormat="1" x14ac:dyDescent="0.25">
      <c r="A53" s="28" t="s">
        <v>21</v>
      </c>
      <c r="B53" s="28" t="s">
        <v>21</v>
      </c>
      <c r="C53" s="28" t="s">
        <v>21</v>
      </c>
      <c r="D53" s="29">
        <v>1</v>
      </c>
      <c r="E53" s="73"/>
      <c r="F53" s="31"/>
      <c r="G53" s="32">
        <v>1.833</v>
      </c>
      <c r="H53" s="32"/>
      <c r="I53" s="32"/>
      <c r="J53" s="33" t="str">
        <f t="shared" si="7"/>
        <v/>
      </c>
      <c r="K53" s="34"/>
      <c r="L53" s="35"/>
      <c r="M53" s="36" t="str">
        <f t="shared" si="8"/>
        <v/>
      </c>
      <c r="N53" s="37"/>
      <c r="O53" s="29"/>
      <c r="P53" s="38"/>
      <c r="Q53" s="28"/>
      <c r="R53" s="28" t="s">
        <v>2793</v>
      </c>
      <c r="S53" s="47"/>
      <c r="T53" s="28"/>
      <c r="U53" s="28" t="s">
        <v>31</v>
      </c>
    </row>
    <row r="54" spans="1:21" s="27" customFormat="1" x14ac:dyDescent="0.25">
      <c r="A54" s="28" t="s">
        <v>21</v>
      </c>
      <c r="B54" s="28" t="s">
        <v>21</v>
      </c>
      <c r="C54" s="28" t="s">
        <v>21</v>
      </c>
      <c r="D54" s="29">
        <v>1</v>
      </c>
      <c r="E54" s="73"/>
      <c r="F54" s="31"/>
      <c r="G54" s="32">
        <v>1.849</v>
      </c>
      <c r="H54" s="32"/>
      <c r="I54" s="32"/>
      <c r="J54" s="33" t="str">
        <f t="shared" si="7"/>
        <v/>
      </c>
      <c r="K54" s="34"/>
      <c r="L54" s="35"/>
      <c r="M54" s="36" t="str">
        <f t="shared" si="8"/>
        <v/>
      </c>
      <c r="N54" s="37"/>
      <c r="O54" s="29"/>
      <c r="P54" s="38"/>
      <c r="Q54" s="28"/>
      <c r="R54" s="28" t="s">
        <v>2794</v>
      </c>
      <c r="S54" s="47"/>
      <c r="T54" s="28"/>
      <c r="U54" s="28" t="s">
        <v>31</v>
      </c>
    </row>
    <row r="55" spans="1:21" s="27" customFormat="1" x14ac:dyDescent="0.25">
      <c r="A55" s="28" t="s">
        <v>21</v>
      </c>
      <c r="B55" s="28" t="s">
        <v>21</v>
      </c>
      <c r="C55" s="28" t="s">
        <v>21</v>
      </c>
      <c r="D55" s="29">
        <v>1</v>
      </c>
      <c r="E55" s="73"/>
      <c r="F55" s="31"/>
      <c r="G55" s="32">
        <v>1.8340000000000001</v>
      </c>
      <c r="H55" s="32"/>
      <c r="I55" s="32"/>
      <c r="J55" s="33" t="str">
        <f t="shared" si="7"/>
        <v/>
      </c>
      <c r="K55" s="34"/>
      <c r="L55" s="35"/>
      <c r="M55" s="36" t="str">
        <f t="shared" si="8"/>
        <v/>
      </c>
      <c r="N55" s="37"/>
      <c r="O55" s="29"/>
      <c r="P55" s="38"/>
      <c r="Q55" s="28"/>
      <c r="R55" s="28" t="s">
        <v>2795</v>
      </c>
      <c r="S55" s="47"/>
      <c r="T55" s="28"/>
      <c r="U55" s="28" t="s">
        <v>31</v>
      </c>
    </row>
    <row r="56" spans="1:21" s="27" customFormat="1" x14ac:dyDescent="0.25">
      <c r="A56" s="28" t="s">
        <v>2769</v>
      </c>
      <c r="B56" s="93" t="s">
        <v>2812</v>
      </c>
      <c r="C56" s="28" t="s">
        <v>21</v>
      </c>
      <c r="D56" s="29">
        <v>1</v>
      </c>
      <c r="E56" s="73">
        <v>30</v>
      </c>
      <c r="F56" s="45"/>
      <c r="G56" s="32">
        <v>1.85</v>
      </c>
      <c r="H56" s="32">
        <v>22.11</v>
      </c>
      <c r="I56" s="32">
        <v>21.97</v>
      </c>
      <c r="J56" s="33">
        <f>IF(O56&lt;&gt;"",(H56-I56)/O56,"")</f>
        <v>1.1666666666666714E-2</v>
      </c>
      <c r="K56" s="34" t="str">
        <f t="shared" ref="K56" si="9">IF(J56=0,"",IF(OR(J56&lt;0,J56&gt;0.03),"X",""))</f>
        <v/>
      </c>
      <c r="L56" s="35">
        <f>F56/(O56*P56)</f>
        <v>0</v>
      </c>
      <c r="M56" s="36" t="str">
        <f>IF(L56=0,"",IF(OR(L56&lt;7,L56&gt;7.8),"X",""))</f>
        <v/>
      </c>
      <c r="N56" s="37" t="s">
        <v>26</v>
      </c>
      <c r="O56" s="29">
        <v>12</v>
      </c>
      <c r="P56" s="38">
        <v>40</v>
      </c>
      <c r="Q56" s="28"/>
      <c r="R56" s="28" t="s">
        <v>2813</v>
      </c>
      <c r="S56" s="47"/>
      <c r="T56" s="28"/>
      <c r="U56" s="28" t="s">
        <v>31</v>
      </c>
    </row>
    <row r="57" spans="1:21" s="27" customFormat="1" x14ac:dyDescent="0.25">
      <c r="A57" s="28" t="s">
        <v>21</v>
      </c>
      <c r="B57" s="28" t="s">
        <v>21</v>
      </c>
      <c r="C57" s="28" t="s">
        <v>21</v>
      </c>
      <c r="D57" s="29">
        <v>1</v>
      </c>
      <c r="E57" s="73"/>
      <c r="F57" s="31"/>
      <c r="G57" s="32">
        <v>1.837</v>
      </c>
      <c r="H57" s="32"/>
      <c r="I57" s="32"/>
      <c r="J57" s="33" t="str">
        <f t="shared" ref="J57:J67" si="10">IF(O57&lt;&gt;"",(H57-I57)/O57,"")</f>
        <v/>
      </c>
      <c r="K57" s="34"/>
      <c r="L57" s="35"/>
      <c r="M57" s="36" t="str">
        <f t="shared" ref="M57:M67" si="11">IF(L57=0,"",IF(OR(L57&lt;7.4,L57&gt;8),"X",""))</f>
        <v/>
      </c>
      <c r="N57" s="37"/>
      <c r="O57" s="29"/>
      <c r="P57" s="38"/>
      <c r="Q57" s="28"/>
      <c r="R57" s="28" t="s">
        <v>2814</v>
      </c>
      <c r="S57" s="47"/>
      <c r="T57" s="28"/>
      <c r="U57" s="28" t="s">
        <v>31</v>
      </c>
    </row>
    <row r="58" spans="1:21" s="27" customFormat="1" x14ac:dyDescent="0.25">
      <c r="A58" s="28" t="s">
        <v>21</v>
      </c>
      <c r="B58" s="28" t="s">
        <v>21</v>
      </c>
      <c r="C58" s="28" t="s">
        <v>21</v>
      </c>
      <c r="D58" s="29">
        <v>1</v>
      </c>
      <c r="E58" s="73"/>
      <c r="F58" s="31"/>
      <c r="G58" s="32">
        <v>1.851</v>
      </c>
      <c r="H58" s="32"/>
      <c r="I58" s="32"/>
      <c r="J58" s="33" t="str">
        <f t="shared" si="10"/>
        <v/>
      </c>
      <c r="K58" s="34"/>
      <c r="L58" s="35"/>
      <c r="M58" s="36" t="str">
        <f t="shared" si="11"/>
        <v/>
      </c>
      <c r="N58" s="37"/>
      <c r="O58" s="29"/>
      <c r="P58" s="38"/>
      <c r="Q58" s="28"/>
      <c r="R58" s="28" t="s">
        <v>2816</v>
      </c>
      <c r="S58" s="47"/>
      <c r="T58" s="28"/>
      <c r="U58" s="28" t="s">
        <v>31</v>
      </c>
    </row>
    <row r="59" spans="1:21" s="27" customFormat="1" x14ac:dyDescent="0.25">
      <c r="A59" s="28" t="s">
        <v>21</v>
      </c>
      <c r="B59" s="28" t="s">
        <v>21</v>
      </c>
      <c r="C59" s="28" t="s">
        <v>21</v>
      </c>
      <c r="D59" s="29">
        <v>1</v>
      </c>
      <c r="E59" s="73"/>
      <c r="F59" s="31"/>
      <c r="G59" s="32">
        <v>1.8420000000000001</v>
      </c>
      <c r="H59" s="32"/>
      <c r="I59" s="32"/>
      <c r="J59" s="33" t="str">
        <f t="shared" si="10"/>
        <v/>
      </c>
      <c r="K59" s="34"/>
      <c r="L59" s="35"/>
      <c r="M59" s="36" t="str">
        <f t="shared" si="11"/>
        <v/>
      </c>
      <c r="N59" s="37"/>
      <c r="O59" s="29"/>
      <c r="P59" s="38"/>
      <c r="Q59" s="28"/>
      <c r="R59" s="28" t="s">
        <v>2817</v>
      </c>
      <c r="S59" s="47"/>
      <c r="T59" s="28"/>
      <c r="U59" s="28" t="s">
        <v>31</v>
      </c>
    </row>
    <row r="60" spans="1:21" s="27" customFormat="1" x14ac:dyDescent="0.25">
      <c r="A60" s="28" t="s">
        <v>21</v>
      </c>
      <c r="B60" s="28" t="s">
        <v>21</v>
      </c>
      <c r="C60" s="28" t="s">
        <v>21</v>
      </c>
      <c r="D60" s="29">
        <v>1</v>
      </c>
      <c r="E60" s="73"/>
      <c r="F60" s="31"/>
      <c r="G60" s="32">
        <v>1.8460000000000001</v>
      </c>
      <c r="H60" s="32"/>
      <c r="I60" s="32"/>
      <c r="J60" s="33" t="str">
        <f t="shared" si="10"/>
        <v/>
      </c>
      <c r="K60" s="34"/>
      <c r="L60" s="35"/>
      <c r="M60" s="36" t="str">
        <f t="shared" si="11"/>
        <v/>
      </c>
      <c r="N60" s="37"/>
      <c r="O60" s="29"/>
      <c r="P60" s="38"/>
      <c r="Q60" s="28"/>
      <c r="R60" s="28" t="s">
        <v>2818</v>
      </c>
      <c r="S60" s="47"/>
      <c r="T60" s="28"/>
      <c r="U60" s="28" t="s">
        <v>31</v>
      </c>
    </row>
    <row r="61" spans="1:21" s="27" customFormat="1" x14ac:dyDescent="0.25">
      <c r="A61" s="28" t="s">
        <v>21</v>
      </c>
      <c r="B61" s="28" t="s">
        <v>21</v>
      </c>
      <c r="C61" s="28" t="s">
        <v>21</v>
      </c>
      <c r="D61" s="29">
        <v>1</v>
      </c>
      <c r="E61" s="73"/>
      <c r="F61" s="31"/>
      <c r="G61" s="32">
        <v>1.8380000000000001</v>
      </c>
      <c r="H61" s="32"/>
      <c r="I61" s="32"/>
      <c r="J61" s="33" t="str">
        <f t="shared" si="10"/>
        <v/>
      </c>
      <c r="K61" s="34"/>
      <c r="L61" s="35"/>
      <c r="M61" s="36" t="str">
        <f t="shared" si="11"/>
        <v/>
      </c>
      <c r="N61" s="37"/>
      <c r="O61" s="29"/>
      <c r="P61" s="38"/>
      <c r="Q61" s="28"/>
      <c r="R61" s="28" t="s">
        <v>2819</v>
      </c>
      <c r="S61" s="47"/>
      <c r="T61" s="28"/>
      <c r="U61" s="28" t="s">
        <v>31</v>
      </c>
    </row>
    <row r="62" spans="1:21" s="27" customFormat="1" x14ac:dyDescent="0.25">
      <c r="A62" s="28" t="s">
        <v>21</v>
      </c>
      <c r="B62" s="28" t="s">
        <v>21</v>
      </c>
      <c r="C62" s="28" t="s">
        <v>21</v>
      </c>
      <c r="D62" s="29">
        <v>1</v>
      </c>
      <c r="E62" s="73"/>
      <c r="F62" s="31"/>
      <c r="G62" s="32">
        <v>1.8380000000000001</v>
      </c>
      <c r="H62" s="32"/>
      <c r="I62" s="32"/>
      <c r="J62" s="33" t="str">
        <f t="shared" si="10"/>
        <v/>
      </c>
      <c r="K62" s="34"/>
      <c r="L62" s="35"/>
      <c r="M62" s="36" t="str">
        <f t="shared" si="11"/>
        <v/>
      </c>
      <c r="N62" s="37"/>
      <c r="O62" s="29"/>
      <c r="P62" s="38"/>
      <c r="Q62" s="28"/>
      <c r="R62" s="28" t="s">
        <v>2820</v>
      </c>
      <c r="S62" s="47"/>
      <c r="T62" s="28"/>
      <c r="U62" s="28" t="s">
        <v>31</v>
      </c>
    </row>
    <row r="63" spans="1:21" s="27" customFormat="1" x14ac:dyDescent="0.25">
      <c r="A63" s="28" t="s">
        <v>21</v>
      </c>
      <c r="B63" s="28" t="s">
        <v>21</v>
      </c>
      <c r="C63" s="28" t="s">
        <v>21</v>
      </c>
      <c r="D63" s="29">
        <v>1</v>
      </c>
      <c r="E63" s="73"/>
      <c r="F63" s="31"/>
      <c r="G63" s="32">
        <v>1.843</v>
      </c>
      <c r="H63" s="32"/>
      <c r="I63" s="32"/>
      <c r="J63" s="33" t="str">
        <f t="shared" si="10"/>
        <v/>
      </c>
      <c r="K63" s="34"/>
      <c r="L63" s="35"/>
      <c r="M63" s="36" t="str">
        <f t="shared" si="11"/>
        <v/>
      </c>
      <c r="N63" s="37"/>
      <c r="O63" s="29"/>
      <c r="P63" s="38"/>
      <c r="Q63" s="28"/>
      <c r="R63" s="28" t="s">
        <v>2821</v>
      </c>
      <c r="S63" s="47"/>
      <c r="T63" s="28"/>
      <c r="U63" s="28" t="s">
        <v>31</v>
      </c>
    </row>
    <row r="64" spans="1:21" s="27" customFormat="1" x14ac:dyDescent="0.25">
      <c r="A64" s="28" t="s">
        <v>21</v>
      </c>
      <c r="B64" s="28" t="s">
        <v>21</v>
      </c>
      <c r="C64" s="28" t="s">
        <v>21</v>
      </c>
      <c r="D64" s="29">
        <v>1</v>
      </c>
      <c r="E64" s="73"/>
      <c r="F64" s="31"/>
      <c r="G64" s="32">
        <v>1.843</v>
      </c>
      <c r="H64" s="32"/>
      <c r="I64" s="32"/>
      <c r="J64" s="33" t="str">
        <f t="shared" si="10"/>
        <v/>
      </c>
      <c r="K64" s="34"/>
      <c r="L64" s="35"/>
      <c r="M64" s="36" t="str">
        <f t="shared" si="11"/>
        <v/>
      </c>
      <c r="N64" s="37"/>
      <c r="O64" s="29"/>
      <c r="P64" s="38"/>
      <c r="Q64" s="28"/>
      <c r="R64" s="28" t="s">
        <v>2823</v>
      </c>
      <c r="S64" s="47"/>
      <c r="T64" s="28"/>
      <c r="U64" s="28" t="s">
        <v>31</v>
      </c>
    </row>
    <row r="65" spans="1:21" s="27" customFormat="1" x14ac:dyDescent="0.25">
      <c r="A65" s="28" t="s">
        <v>21</v>
      </c>
      <c r="B65" s="28" t="s">
        <v>21</v>
      </c>
      <c r="C65" s="28" t="s">
        <v>21</v>
      </c>
      <c r="D65" s="29">
        <v>1</v>
      </c>
      <c r="E65" s="73"/>
      <c r="F65" s="31"/>
      <c r="G65" s="32">
        <v>1.839</v>
      </c>
      <c r="H65" s="32"/>
      <c r="I65" s="32"/>
      <c r="J65" s="33" t="str">
        <f t="shared" si="10"/>
        <v/>
      </c>
      <c r="K65" s="34"/>
      <c r="L65" s="35"/>
      <c r="M65" s="36" t="str">
        <f t="shared" si="11"/>
        <v/>
      </c>
      <c r="N65" s="37"/>
      <c r="O65" s="29"/>
      <c r="P65" s="38"/>
      <c r="Q65" s="28"/>
      <c r="R65" s="28" t="s">
        <v>2824</v>
      </c>
      <c r="S65" s="47"/>
      <c r="T65" s="28"/>
      <c r="U65" s="28" t="s">
        <v>31</v>
      </c>
    </row>
    <row r="66" spans="1:21" s="27" customFormat="1" x14ac:dyDescent="0.25">
      <c r="A66" s="28" t="s">
        <v>21</v>
      </c>
      <c r="B66" s="28" t="s">
        <v>21</v>
      </c>
      <c r="C66" s="28" t="s">
        <v>21</v>
      </c>
      <c r="D66" s="29">
        <v>1</v>
      </c>
      <c r="E66" s="73"/>
      <c r="F66" s="31"/>
      <c r="G66" s="32">
        <v>1.845</v>
      </c>
      <c r="H66" s="32"/>
      <c r="I66" s="32"/>
      <c r="J66" s="33" t="str">
        <f t="shared" si="10"/>
        <v/>
      </c>
      <c r="K66" s="34"/>
      <c r="L66" s="35"/>
      <c r="M66" s="36" t="str">
        <f t="shared" si="11"/>
        <v/>
      </c>
      <c r="N66" s="37"/>
      <c r="O66" s="29"/>
      <c r="P66" s="38"/>
      <c r="Q66" s="28"/>
      <c r="R66" s="28" t="s">
        <v>2822</v>
      </c>
      <c r="S66" s="47"/>
      <c r="T66" s="28"/>
      <c r="U66" s="28" t="s">
        <v>31</v>
      </c>
    </row>
    <row r="67" spans="1:21" s="27" customFormat="1" x14ac:dyDescent="0.25">
      <c r="A67" s="28" t="s">
        <v>21</v>
      </c>
      <c r="B67" s="28" t="s">
        <v>21</v>
      </c>
      <c r="C67" s="28" t="s">
        <v>21</v>
      </c>
      <c r="D67" s="29">
        <v>1</v>
      </c>
      <c r="E67" s="73"/>
      <c r="F67" s="31"/>
      <c r="G67" s="32">
        <v>1.853</v>
      </c>
      <c r="H67" s="32"/>
      <c r="I67" s="32"/>
      <c r="J67" s="33" t="str">
        <f t="shared" si="10"/>
        <v/>
      </c>
      <c r="K67" s="34"/>
      <c r="L67" s="35"/>
      <c r="M67" s="36" t="str">
        <f t="shared" si="11"/>
        <v/>
      </c>
      <c r="N67" s="37"/>
      <c r="O67" s="29"/>
      <c r="P67" s="38"/>
      <c r="Q67" s="28"/>
      <c r="R67" s="28" t="s">
        <v>2815</v>
      </c>
      <c r="S67" s="47"/>
      <c r="T67" s="28"/>
      <c r="U67" s="28" t="s">
        <v>31</v>
      </c>
    </row>
    <row r="68" spans="1:21" s="27" customFormat="1" x14ac:dyDescent="0.25">
      <c r="A68" s="28" t="s">
        <v>2769</v>
      </c>
      <c r="B68" s="93" t="s">
        <v>2826</v>
      </c>
      <c r="C68" s="28">
        <v>784502</v>
      </c>
      <c r="D68" s="29">
        <v>1</v>
      </c>
      <c r="E68" s="73">
        <v>12</v>
      </c>
      <c r="F68" s="31"/>
      <c r="G68" s="32">
        <v>1.8480000000000001</v>
      </c>
      <c r="H68" s="32">
        <v>22.11</v>
      </c>
      <c r="I68" s="32">
        <v>21.96</v>
      </c>
      <c r="J68" s="33">
        <f>IF(O68&lt;&gt;"",(H68-I68)/O68,"")</f>
        <v>1.2499999999999881E-2</v>
      </c>
      <c r="K68" s="34" t="str">
        <f>IF(J68=0,"",IF(OR(J68&lt;0,J68&gt;0.03),"X",""))</f>
        <v/>
      </c>
      <c r="L68" s="35">
        <f>F68/(O68*P68)</f>
        <v>0</v>
      </c>
      <c r="M68" s="36" t="str">
        <f>IF(L68=0,"",IF(OR(L68&lt;7,L68&gt;7.8),"X",""))</f>
        <v/>
      </c>
      <c r="N68" s="37" t="s">
        <v>26</v>
      </c>
      <c r="O68" s="29">
        <v>12</v>
      </c>
      <c r="P68" s="38">
        <v>40</v>
      </c>
      <c r="Q68" s="28"/>
      <c r="R68" s="28" t="s">
        <v>2828</v>
      </c>
      <c r="S68" s="47"/>
      <c r="T68" s="28"/>
      <c r="U68" s="28" t="s">
        <v>31</v>
      </c>
    </row>
    <row r="69" spans="1:21" s="27" customFormat="1" x14ac:dyDescent="0.25">
      <c r="A69" s="28" t="s">
        <v>21</v>
      </c>
      <c r="B69" s="28" t="s">
        <v>21</v>
      </c>
      <c r="C69" s="28" t="s">
        <v>21</v>
      </c>
      <c r="D69" s="29">
        <v>1</v>
      </c>
      <c r="E69" s="73"/>
      <c r="F69" s="31"/>
      <c r="G69" s="32">
        <v>1.843</v>
      </c>
      <c r="H69" s="32"/>
      <c r="I69" s="32"/>
      <c r="J69" s="33" t="str">
        <f>IF(O69&lt;&gt;"",(H69-I69)/O69,"")</f>
        <v/>
      </c>
      <c r="K69" s="34"/>
      <c r="L69" s="35"/>
      <c r="M69" s="36" t="str">
        <f>IF(L69=0,"",IF(OR(L69&lt;7.4,L69&gt;8),"X",""))</f>
        <v/>
      </c>
      <c r="N69" s="37"/>
      <c r="O69" s="29"/>
      <c r="P69" s="38"/>
      <c r="Q69" s="28"/>
      <c r="R69" s="28" t="s">
        <v>2829</v>
      </c>
      <c r="S69" s="47"/>
      <c r="T69" s="28"/>
      <c r="U69" s="28" t="s">
        <v>31</v>
      </c>
    </row>
    <row r="70" spans="1:21" s="27" customFormat="1" x14ac:dyDescent="0.25">
      <c r="A70" s="28" t="s">
        <v>21</v>
      </c>
      <c r="B70" s="28" t="s">
        <v>21</v>
      </c>
      <c r="C70" s="28" t="s">
        <v>21</v>
      </c>
      <c r="D70" s="29">
        <v>1</v>
      </c>
      <c r="E70" s="73"/>
      <c r="F70" s="31"/>
      <c r="G70" s="32">
        <v>1.849</v>
      </c>
      <c r="H70" s="32"/>
      <c r="I70" s="32"/>
      <c r="J70" s="33" t="str">
        <f t="shared" ref="J70:J79" si="12">IF(O70&lt;&gt;"",(H70-I70)/O70,"")</f>
        <v/>
      </c>
      <c r="K70" s="34"/>
      <c r="L70" s="35"/>
      <c r="M70" s="36" t="str">
        <f t="shared" ref="M70:M79" si="13">IF(L70=0,"",IF(OR(L70&lt;7.4,L70&gt;8),"X",""))</f>
        <v/>
      </c>
      <c r="N70" s="37"/>
      <c r="O70" s="29"/>
      <c r="P70" s="38"/>
      <c r="Q70" s="28"/>
      <c r="R70" s="28" t="s">
        <v>2830</v>
      </c>
      <c r="S70" s="47"/>
      <c r="T70" s="28"/>
      <c r="U70" s="28" t="s">
        <v>31</v>
      </c>
    </row>
    <row r="71" spans="1:21" s="27" customFormat="1" x14ac:dyDescent="0.25">
      <c r="A71" s="28" t="s">
        <v>21</v>
      </c>
      <c r="B71" s="28" t="s">
        <v>21</v>
      </c>
      <c r="C71" s="28" t="s">
        <v>21</v>
      </c>
      <c r="D71" s="29">
        <v>1</v>
      </c>
      <c r="E71" s="73"/>
      <c r="F71" s="31"/>
      <c r="G71" s="32">
        <v>1.8460000000000001</v>
      </c>
      <c r="H71" s="32"/>
      <c r="I71" s="32"/>
      <c r="J71" s="33" t="str">
        <f t="shared" si="12"/>
        <v/>
      </c>
      <c r="K71" s="34"/>
      <c r="L71" s="35"/>
      <c r="M71" s="36" t="str">
        <f t="shared" si="13"/>
        <v/>
      </c>
      <c r="N71" s="37"/>
      <c r="O71" s="29"/>
      <c r="P71" s="38"/>
      <c r="Q71" s="28"/>
      <c r="R71" s="28" t="s">
        <v>2832</v>
      </c>
      <c r="S71" s="47"/>
      <c r="T71" s="28"/>
      <c r="U71" s="28" t="s">
        <v>31</v>
      </c>
    </row>
    <row r="72" spans="1:21" s="27" customFormat="1" x14ac:dyDescent="0.25">
      <c r="A72" s="28" t="s">
        <v>21</v>
      </c>
      <c r="B72" s="28" t="s">
        <v>21</v>
      </c>
      <c r="C72" s="28" t="s">
        <v>21</v>
      </c>
      <c r="D72" s="29">
        <v>1</v>
      </c>
      <c r="E72" s="73"/>
      <c r="F72" s="31"/>
      <c r="G72" s="32">
        <v>1.841</v>
      </c>
      <c r="H72" s="32"/>
      <c r="I72" s="32"/>
      <c r="J72" s="33" t="str">
        <f t="shared" si="12"/>
        <v/>
      </c>
      <c r="K72" s="34"/>
      <c r="L72" s="35"/>
      <c r="M72" s="36" t="str">
        <f t="shared" si="13"/>
        <v/>
      </c>
      <c r="N72" s="37"/>
      <c r="O72" s="29"/>
      <c r="P72" s="38"/>
      <c r="Q72" s="28"/>
      <c r="R72" s="28" t="s">
        <v>2831</v>
      </c>
      <c r="S72" s="47"/>
      <c r="T72" s="28"/>
      <c r="U72" s="28" t="s">
        <v>31</v>
      </c>
    </row>
    <row r="73" spans="1:21" s="27" customFormat="1" x14ac:dyDescent="0.25">
      <c r="A73" s="28" t="s">
        <v>21</v>
      </c>
      <c r="B73" s="28" t="s">
        <v>21</v>
      </c>
      <c r="C73" s="28" t="s">
        <v>21</v>
      </c>
      <c r="D73" s="29">
        <v>1</v>
      </c>
      <c r="E73" s="73"/>
      <c r="F73" s="31"/>
      <c r="G73" s="32">
        <v>1.849</v>
      </c>
      <c r="H73" s="32"/>
      <c r="I73" s="32"/>
      <c r="J73" s="33" t="str">
        <f t="shared" si="12"/>
        <v/>
      </c>
      <c r="K73" s="34"/>
      <c r="L73" s="35"/>
      <c r="M73" s="36" t="str">
        <f t="shared" si="13"/>
        <v/>
      </c>
      <c r="N73" s="37"/>
      <c r="O73" s="29"/>
      <c r="P73" s="38"/>
      <c r="Q73" s="28"/>
      <c r="R73" s="28" t="s">
        <v>2834</v>
      </c>
      <c r="S73" s="47"/>
      <c r="T73" s="28"/>
      <c r="U73" s="28" t="s">
        <v>31</v>
      </c>
    </row>
    <row r="74" spans="1:21" s="27" customFormat="1" x14ac:dyDescent="0.25">
      <c r="A74" s="28" t="s">
        <v>21</v>
      </c>
      <c r="B74" s="28" t="s">
        <v>21</v>
      </c>
      <c r="C74" s="28" t="s">
        <v>21</v>
      </c>
      <c r="D74" s="29">
        <v>1</v>
      </c>
      <c r="E74" s="73"/>
      <c r="F74" s="31"/>
      <c r="G74" s="32">
        <v>1.845</v>
      </c>
      <c r="H74" s="32"/>
      <c r="I74" s="32"/>
      <c r="J74" s="33" t="str">
        <f t="shared" si="12"/>
        <v/>
      </c>
      <c r="K74" s="34"/>
      <c r="L74" s="35"/>
      <c r="M74" s="36" t="str">
        <f t="shared" si="13"/>
        <v/>
      </c>
      <c r="N74" s="37"/>
      <c r="O74" s="29"/>
      <c r="P74" s="38"/>
      <c r="Q74" s="28"/>
      <c r="R74" s="28" t="s">
        <v>2835</v>
      </c>
      <c r="S74" s="47"/>
      <c r="T74" s="28"/>
      <c r="U74" s="28" t="s">
        <v>31</v>
      </c>
    </row>
    <row r="75" spans="1:21" s="27" customFormat="1" x14ac:dyDescent="0.25">
      <c r="A75" s="28" t="s">
        <v>21</v>
      </c>
      <c r="B75" s="28" t="s">
        <v>21</v>
      </c>
      <c r="C75" s="28" t="s">
        <v>21</v>
      </c>
      <c r="D75" s="29">
        <v>1</v>
      </c>
      <c r="E75" s="73"/>
      <c r="F75" s="31"/>
      <c r="G75" s="32">
        <v>1.841</v>
      </c>
      <c r="H75" s="32"/>
      <c r="I75" s="32"/>
      <c r="J75" s="33" t="str">
        <f t="shared" si="12"/>
        <v/>
      </c>
      <c r="K75" s="34"/>
      <c r="L75" s="35"/>
      <c r="M75" s="36" t="str">
        <f t="shared" si="13"/>
        <v/>
      </c>
      <c r="N75" s="37"/>
      <c r="O75" s="29"/>
      <c r="P75" s="38"/>
      <c r="Q75" s="28"/>
      <c r="R75" s="28" t="s">
        <v>2833</v>
      </c>
      <c r="S75" s="47"/>
      <c r="T75" s="28"/>
      <c r="U75" s="28" t="s">
        <v>31</v>
      </c>
    </row>
    <row r="76" spans="1:21" s="27" customFormat="1" x14ac:dyDescent="0.25">
      <c r="A76" s="28" t="s">
        <v>21</v>
      </c>
      <c r="B76" s="28" t="s">
        <v>21</v>
      </c>
      <c r="C76" s="28" t="s">
        <v>21</v>
      </c>
      <c r="D76" s="29">
        <v>1</v>
      </c>
      <c r="E76" s="73"/>
      <c r="F76" s="31"/>
      <c r="G76" s="32">
        <v>1.845</v>
      </c>
      <c r="H76" s="32"/>
      <c r="I76" s="32"/>
      <c r="J76" s="33" t="str">
        <f t="shared" si="12"/>
        <v/>
      </c>
      <c r="K76" s="34"/>
      <c r="L76" s="35"/>
      <c r="M76" s="36" t="str">
        <f t="shared" si="13"/>
        <v/>
      </c>
      <c r="N76" s="37"/>
      <c r="O76" s="29"/>
      <c r="P76" s="38"/>
      <c r="Q76" s="28"/>
      <c r="R76" s="28" t="s">
        <v>2837</v>
      </c>
      <c r="S76" s="47"/>
      <c r="T76" s="28"/>
      <c r="U76" s="28" t="s">
        <v>31</v>
      </c>
    </row>
    <row r="77" spans="1:21" s="27" customFormat="1" x14ac:dyDescent="0.25">
      <c r="A77" s="28" t="s">
        <v>21</v>
      </c>
      <c r="B77" s="28" t="s">
        <v>21</v>
      </c>
      <c r="C77" s="28" t="s">
        <v>21</v>
      </c>
      <c r="D77" s="29">
        <v>1</v>
      </c>
      <c r="E77" s="73"/>
      <c r="F77" s="31"/>
      <c r="G77" s="32">
        <v>1.8460000000000001</v>
      </c>
      <c r="H77" s="32"/>
      <c r="I77" s="32"/>
      <c r="J77" s="33" t="str">
        <f t="shared" si="12"/>
        <v/>
      </c>
      <c r="K77" s="34"/>
      <c r="L77" s="35"/>
      <c r="M77" s="36" t="str">
        <f t="shared" si="13"/>
        <v/>
      </c>
      <c r="N77" s="37"/>
      <c r="O77" s="29"/>
      <c r="P77" s="38"/>
      <c r="Q77" s="28"/>
      <c r="R77" s="28" t="s">
        <v>2839</v>
      </c>
      <c r="S77" s="47"/>
      <c r="T77" s="28"/>
      <c r="U77" s="28" t="s">
        <v>31</v>
      </c>
    </row>
    <row r="78" spans="1:21" s="27" customFormat="1" x14ac:dyDescent="0.25">
      <c r="A78" s="28" t="s">
        <v>21</v>
      </c>
      <c r="B78" s="28" t="s">
        <v>21</v>
      </c>
      <c r="C78" s="28" t="s">
        <v>21</v>
      </c>
      <c r="D78" s="29">
        <v>1</v>
      </c>
      <c r="E78" s="73"/>
      <c r="F78" s="31"/>
      <c r="G78" s="32">
        <v>1.847</v>
      </c>
      <c r="H78" s="32"/>
      <c r="I78" s="32"/>
      <c r="J78" s="33" t="str">
        <f t="shared" si="12"/>
        <v/>
      </c>
      <c r="K78" s="34"/>
      <c r="L78" s="35"/>
      <c r="M78" s="36" t="str">
        <f t="shared" si="13"/>
        <v/>
      </c>
      <c r="N78" s="37"/>
      <c r="O78" s="29"/>
      <c r="P78" s="38"/>
      <c r="Q78" s="28"/>
      <c r="R78" s="28" t="s">
        <v>2838</v>
      </c>
      <c r="S78" s="47"/>
      <c r="T78" s="28"/>
      <c r="U78" s="28" t="s">
        <v>31</v>
      </c>
    </row>
    <row r="79" spans="1:21" s="27" customFormat="1" x14ac:dyDescent="0.25">
      <c r="A79" s="28" t="s">
        <v>21</v>
      </c>
      <c r="B79" s="28" t="s">
        <v>21</v>
      </c>
      <c r="C79" s="28" t="s">
        <v>21</v>
      </c>
      <c r="D79" s="29">
        <v>1</v>
      </c>
      <c r="E79" s="73"/>
      <c r="F79" s="31"/>
      <c r="G79" s="32">
        <v>1.8380000000000001</v>
      </c>
      <c r="H79" s="32"/>
      <c r="I79" s="32"/>
      <c r="J79" s="33" t="str">
        <f t="shared" si="12"/>
        <v/>
      </c>
      <c r="K79" s="34"/>
      <c r="L79" s="35"/>
      <c r="M79" s="36" t="str">
        <f t="shared" si="13"/>
        <v/>
      </c>
      <c r="N79" s="37"/>
      <c r="O79" s="29"/>
      <c r="P79" s="38"/>
      <c r="Q79" s="28"/>
      <c r="R79" s="28" t="s">
        <v>2827</v>
      </c>
      <c r="S79" s="47"/>
      <c r="T79" s="28"/>
      <c r="U79" s="28" t="s">
        <v>31</v>
      </c>
    </row>
    <row r="80" spans="1:21" s="27" customFormat="1" x14ac:dyDescent="0.25">
      <c r="A80" s="28" t="s">
        <v>2769</v>
      </c>
      <c r="B80" s="114" t="s">
        <v>2841</v>
      </c>
      <c r="C80" s="28">
        <v>784502</v>
      </c>
      <c r="D80" s="29">
        <v>1</v>
      </c>
      <c r="E80" s="112">
        <v>49</v>
      </c>
      <c r="F80" s="113">
        <v>1822</v>
      </c>
      <c r="G80" s="97">
        <v>1.8740000000000001</v>
      </c>
      <c r="H80" s="97">
        <v>11.15</v>
      </c>
      <c r="I80" s="32">
        <v>11.12</v>
      </c>
      <c r="J80" s="98">
        <f t="shared" ref="J80:J85" si="14">IF(O80&lt;&gt;"",(H80-I80)/O80,"")</f>
        <v>5.0000000000001892E-3</v>
      </c>
      <c r="K80" s="34" t="str">
        <f>IF(J80=0,"",IF(OR(J80&lt;0,J80&gt;0.03),"X",""))</f>
        <v/>
      </c>
      <c r="L80" s="99">
        <f>F80/(O80*P80)</f>
        <v>7.5916666666666668</v>
      </c>
      <c r="M80" s="36" t="str">
        <f>IF(L80=0,"",IF(OR(L80&lt;7,L80&gt;7.8),"X",""))</f>
        <v/>
      </c>
      <c r="N80" s="37" t="s">
        <v>2825</v>
      </c>
      <c r="O80" s="29">
        <v>6</v>
      </c>
      <c r="P80" s="38">
        <v>40</v>
      </c>
      <c r="Q80" s="28"/>
      <c r="R80" s="28" t="s">
        <v>2842</v>
      </c>
      <c r="S80" s="91" t="s">
        <v>58</v>
      </c>
      <c r="T80" s="28"/>
      <c r="U80" s="28" t="s">
        <v>31</v>
      </c>
    </row>
    <row r="81" spans="1:21" s="27" customFormat="1" x14ac:dyDescent="0.25">
      <c r="A81" s="28" t="s">
        <v>21</v>
      </c>
      <c r="B81" s="28" t="s">
        <v>21</v>
      </c>
      <c r="C81" s="28" t="s">
        <v>21</v>
      </c>
      <c r="D81" s="29">
        <v>1</v>
      </c>
      <c r="E81" s="112"/>
      <c r="F81" s="110"/>
      <c r="G81" s="97">
        <v>1.853</v>
      </c>
      <c r="H81" s="97"/>
      <c r="I81" s="32"/>
      <c r="J81" s="98" t="str">
        <f t="shared" si="14"/>
        <v/>
      </c>
      <c r="K81" s="34"/>
      <c r="L81" s="99"/>
      <c r="M81" s="36" t="str">
        <f>IF(L81=0,"",IF(OR(L81&lt;7.4,L81&gt;8),"X",""))</f>
        <v/>
      </c>
      <c r="N81" s="37"/>
      <c r="O81" s="29"/>
      <c r="P81" s="38"/>
      <c r="Q81" s="28"/>
      <c r="R81" s="28" t="s">
        <v>2843</v>
      </c>
      <c r="S81" s="91" t="s">
        <v>59</v>
      </c>
      <c r="T81" s="28"/>
      <c r="U81" s="28" t="s">
        <v>31</v>
      </c>
    </row>
    <row r="82" spans="1:21" s="27" customFormat="1" x14ac:dyDescent="0.25">
      <c r="A82" s="28" t="s">
        <v>21</v>
      </c>
      <c r="B82" s="28" t="s">
        <v>21</v>
      </c>
      <c r="C82" s="28" t="s">
        <v>21</v>
      </c>
      <c r="D82" s="29">
        <v>1</v>
      </c>
      <c r="E82" s="112"/>
      <c r="F82" s="110"/>
      <c r="G82" s="97">
        <v>1.855</v>
      </c>
      <c r="H82" s="97"/>
      <c r="I82" s="32"/>
      <c r="J82" s="98" t="str">
        <f t="shared" si="14"/>
        <v/>
      </c>
      <c r="K82" s="34"/>
      <c r="L82" s="99"/>
      <c r="M82" s="36" t="str">
        <f>IF(L82=0,"",IF(OR(L82&lt;7.4,L82&gt;8),"X",""))</f>
        <v/>
      </c>
      <c r="N82" s="37"/>
      <c r="O82" s="29"/>
      <c r="P82" s="38"/>
      <c r="Q82" s="28"/>
      <c r="R82" s="28" t="s">
        <v>2840</v>
      </c>
      <c r="S82" s="92" t="s">
        <v>21</v>
      </c>
      <c r="T82" s="28"/>
      <c r="U82" s="28" t="s">
        <v>31</v>
      </c>
    </row>
    <row r="83" spans="1:21" s="27" customFormat="1" x14ac:dyDescent="0.25">
      <c r="A83" s="28" t="s">
        <v>21</v>
      </c>
      <c r="B83" s="28" t="s">
        <v>21</v>
      </c>
      <c r="C83" s="28" t="s">
        <v>21</v>
      </c>
      <c r="D83" s="29">
        <v>1</v>
      </c>
      <c r="E83" s="112"/>
      <c r="F83" s="110"/>
      <c r="G83" s="97">
        <v>1.8560000000000001</v>
      </c>
      <c r="H83" s="97"/>
      <c r="I83" s="32"/>
      <c r="J83" s="98" t="str">
        <f t="shared" si="14"/>
        <v/>
      </c>
      <c r="K83" s="34"/>
      <c r="L83" s="99"/>
      <c r="M83" s="36" t="str">
        <f>IF(L83=0,"",IF(OR(L83&lt;7.4,L83&gt;8),"X",""))</f>
        <v/>
      </c>
      <c r="N83" s="37"/>
      <c r="O83" s="29"/>
      <c r="P83" s="38"/>
      <c r="Q83" s="28"/>
      <c r="R83" s="28" t="s">
        <v>2844</v>
      </c>
      <c r="S83" s="92" t="s">
        <v>21</v>
      </c>
      <c r="T83" s="28"/>
      <c r="U83" s="28" t="s">
        <v>31</v>
      </c>
    </row>
    <row r="84" spans="1:21" s="27" customFormat="1" x14ac:dyDescent="0.25">
      <c r="A84" s="28" t="s">
        <v>21</v>
      </c>
      <c r="B84" s="28" t="s">
        <v>21</v>
      </c>
      <c r="C84" s="28" t="s">
        <v>21</v>
      </c>
      <c r="D84" s="29">
        <v>1</v>
      </c>
      <c r="E84" s="112"/>
      <c r="F84" s="110"/>
      <c r="G84" s="97">
        <v>1.8560000000000001</v>
      </c>
      <c r="H84" s="97"/>
      <c r="I84" s="32"/>
      <c r="J84" s="98" t="str">
        <f t="shared" si="14"/>
        <v/>
      </c>
      <c r="K84" s="34"/>
      <c r="L84" s="99"/>
      <c r="M84" s="36" t="str">
        <f>IF(L84=0,"",IF(OR(L84&lt;7.4,L84&gt;8),"X",""))</f>
        <v/>
      </c>
      <c r="N84" s="37"/>
      <c r="O84" s="29"/>
      <c r="P84" s="38"/>
      <c r="Q84" s="28"/>
      <c r="R84" s="28" t="s">
        <v>2836</v>
      </c>
      <c r="S84" s="92" t="s">
        <v>21</v>
      </c>
      <c r="T84" s="28"/>
      <c r="U84" s="28" t="s">
        <v>31</v>
      </c>
    </row>
    <row r="85" spans="1:21" s="27" customFormat="1" x14ac:dyDescent="0.25">
      <c r="A85" s="28" t="s">
        <v>21</v>
      </c>
      <c r="B85" s="28" t="s">
        <v>21</v>
      </c>
      <c r="C85" s="28" t="s">
        <v>21</v>
      </c>
      <c r="D85" s="29">
        <v>1</v>
      </c>
      <c r="E85" s="112"/>
      <c r="F85" s="110"/>
      <c r="G85" s="97">
        <v>1.847</v>
      </c>
      <c r="H85" s="97"/>
      <c r="I85" s="32"/>
      <c r="J85" s="98" t="str">
        <f t="shared" si="14"/>
        <v/>
      </c>
      <c r="K85" s="84"/>
      <c r="L85" s="102"/>
      <c r="M85" s="103" t="str">
        <f>IF(L85=0,"",IF(OR(L85&lt;7.4,L85&gt;8),"X",""))</f>
        <v/>
      </c>
      <c r="N85" s="104"/>
      <c r="O85" s="105"/>
      <c r="P85" s="106"/>
      <c r="Q85" s="28"/>
      <c r="R85" s="28" t="s">
        <v>2845</v>
      </c>
      <c r="S85" s="92" t="s">
        <v>21</v>
      </c>
      <c r="T85" s="28"/>
      <c r="U85" s="28" t="s">
        <v>31</v>
      </c>
    </row>
    <row r="86" spans="1:21" s="27" customFormat="1" x14ac:dyDescent="0.25">
      <c r="A86" s="28" t="s">
        <v>2796</v>
      </c>
      <c r="B86" s="28" t="s">
        <v>2797</v>
      </c>
      <c r="C86" s="28">
        <v>784502</v>
      </c>
      <c r="D86" s="29">
        <v>1</v>
      </c>
      <c r="E86" s="71">
        <v>62</v>
      </c>
      <c r="F86" s="45">
        <v>603</v>
      </c>
      <c r="G86" s="32">
        <v>1.883</v>
      </c>
      <c r="H86" s="32">
        <v>3.7639999999999998</v>
      </c>
      <c r="I86" s="32">
        <v>3.7509999999999999</v>
      </c>
      <c r="J86" s="33">
        <f>IF(O86&lt;&gt;"",(H86-I86)/O86,"")</f>
        <v>6.4999999999999503E-3</v>
      </c>
      <c r="K86" s="34" t="str">
        <f t="shared" ref="K86:K149" si="15">IF(J86=0,"",IF(OR(J86&lt;0,J86&gt;0.03),"X",""))</f>
        <v/>
      </c>
      <c r="L86" s="35">
        <f>F86/(O86*P86)</f>
        <v>7.5374999999999996</v>
      </c>
      <c r="M86" s="36" t="str">
        <f>IF(L86=0,"",IF(OR(L86&lt;7,L86&gt;7.8),"X",""))</f>
        <v/>
      </c>
      <c r="N86" s="37" t="s">
        <v>20</v>
      </c>
      <c r="O86" s="29">
        <v>2</v>
      </c>
      <c r="P86" s="38">
        <v>40</v>
      </c>
      <c r="Q86" s="28"/>
      <c r="R86" s="28" t="s">
        <v>2847</v>
      </c>
      <c r="S86" s="91" t="s">
        <v>103</v>
      </c>
      <c r="T86" s="28"/>
      <c r="U86" s="28" t="s">
        <v>31</v>
      </c>
    </row>
    <row r="87" spans="1:21" s="27" customFormat="1" x14ac:dyDescent="0.25">
      <c r="A87" s="28" t="s">
        <v>21</v>
      </c>
      <c r="B87" s="28" t="s">
        <v>21</v>
      </c>
      <c r="C87" s="28" t="s">
        <v>21</v>
      </c>
      <c r="D87" s="29">
        <v>1</v>
      </c>
      <c r="E87" s="71"/>
      <c r="F87" s="31"/>
      <c r="G87" s="32">
        <v>1.881</v>
      </c>
      <c r="H87" s="32"/>
      <c r="I87" s="32"/>
      <c r="J87" s="33"/>
      <c r="K87" s="34" t="str">
        <f t="shared" si="15"/>
        <v/>
      </c>
      <c r="L87" s="35"/>
      <c r="M87" s="36" t="str">
        <f t="shared" ref="M87:M105" si="16">IF(L87=0,"",IF(OR(L87&lt;7.4,L87&gt;8),"X",""))</f>
        <v/>
      </c>
      <c r="N87" s="37"/>
      <c r="O87" s="29"/>
      <c r="P87" s="38"/>
      <c r="Q87" s="28"/>
      <c r="R87" s="28" t="s">
        <v>2846</v>
      </c>
      <c r="S87" s="91" t="s">
        <v>59</v>
      </c>
      <c r="T87" s="28"/>
      <c r="U87" s="28" t="s">
        <v>31</v>
      </c>
    </row>
    <row r="88" spans="1:21" s="27" customFormat="1" x14ac:dyDescent="0.25">
      <c r="A88" s="28" t="s">
        <v>21</v>
      </c>
      <c r="B88" s="28" t="s">
        <v>2798</v>
      </c>
      <c r="C88" s="28">
        <v>784502</v>
      </c>
      <c r="D88" s="29">
        <v>1</v>
      </c>
      <c r="E88" s="71">
        <v>67</v>
      </c>
      <c r="F88" s="45">
        <v>604</v>
      </c>
      <c r="G88" s="32">
        <v>1.859</v>
      </c>
      <c r="H88" s="32">
        <v>3.7149999999999999</v>
      </c>
      <c r="I88" s="32">
        <v>3.702</v>
      </c>
      <c r="J88" s="33">
        <f>IF(O88&lt;&gt;"",(H88-I88)/O88,"")</f>
        <v>6.4999999999999503E-3</v>
      </c>
      <c r="K88" s="34" t="str">
        <f t="shared" si="15"/>
        <v/>
      </c>
      <c r="L88" s="35">
        <f>F88/(O88*P88)</f>
        <v>7.55</v>
      </c>
      <c r="M88" s="36" t="str">
        <f>IF(L88=0,"",IF(OR(L88&lt;7,L88&gt;7.8),"X",""))</f>
        <v/>
      </c>
      <c r="N88" s="37" t="s">
        <v>20</v>
      </c>
      <c r="O88" s="29">
        <v>2</v>
      </c>
      <c r="P88" s="38">
        <v>40</v>
      </c>
      <c r="Q88" s="28"/>
      <c r="R88" s="28" t="s">
        <v>2848</v>
      </c>
      <c r="S88" s="92" t="s">
        <v>21</v>
      </c>
      <c r="T88" s="28"/>
      <c r="U88" s="28" t="s">
        <v>31</v>
      </c>
    </row>
    <row r="89" spans="1:21" s="27" customFormat="1" x14ac:dyDescent="0.25">
      <c r="A89" s="28" t="s">
        <v>21</v>
      </c>
      <c r="B89" s="28" t="s">
        <v>21</v>
      </c>
      <c r="C89" s="28" t="s">
        <v>21</v>
      </c>
      <c r="D89" s="29">
        <v>1</v>
      </c>
      <c r="E89" s="71"/>
      <c r="F89" s="31"/>
      <c r="G89" s="32">
        <v>1.8560000000000001</v>
      </c>
      <c r="H89" s="32"/>
      <c r="I89" s="32"/>
      <c r="J89" s="33"/>
      <c r="K89" s="34" t="str">
        <f t="shared" si="15"/>
        <v/>
      </c>
      <c r="L89" s="35"/>
      <c r="M89" s="36" t="str">
        <f t="shared" si="16"/>
        <v/>
      </c>
      <c r="N89" s="37"/>
      <c r="O89" s="29"/>
      <c r="P89" s="38"/>
      <c r="Q89" s="28"/>
      <c r="R89" s="28" t="s">
        <v>2850</v>
      </c>
      <c r="S89" s="92" t="s">
        <v>21</v>
      </c>
      <c r="T89" s="28"/>
      <c r="U89" s="28" t="s">
        <v>31</v>
      </c>
    </row>
    <row r="90" spans="1:21" s="27" customFormat="1" x14ac:dyDescent="0.25">
      <c r="A90" s="28" t="s">
        <v>21</v>
      </c>
      <c r="B90" s="28" t="s">
        <v>2799</v>
      </c>
      <c r="C90" s="28" t="s">
        <v>21</v>
      </c>
      <c r="D90" s="29">
        <v>1</v>
      </c>
      <c r="E90" s="71">
        <v>65</v>
      </c>
      <c r="F90" s="45">
        <v>605</v>
      </c>
      <c r="G90" s="32">
        <v>1.8640000000000001</v>
      </c>
      <c r="H90" s="32">
        <v>3.726</v>
      </c>
      <c r="I90" s="32">
        <v>3.7130000000000001</v>
      </c>
      <c r="J90" s="33">
        <f>IF(O90&lt;&gt;"",(H90-I90)/O90,"")</f>
        <v>6.4999999999999503E-3</v>
      </c>
      <c r="K90" s="34" t="str">
        <f t="shared" si="15"/>
        <v/>
      </c>
      <c r="L90" s="35">
        <f>F90/(O90*P90)</f>
        <v>7.5625</v>
      </c>
      <c r="M90" s="36" t="str">
        <f>IF(L90=0,"",IF(OR(L90&lt;7,L90&gt;7.8),"X",""))</f>
        <v/>
      </c>
      <c r="N90" s="37" t="s">
        <v>20</v>
      </c>
      <c r="O90" s="29">
        <v>2</v>
      </c>
      <c r="P90" s="38">
        <v>40</v>
      </c>
      <c r="Q90" s="28"/>
      <c r="R90" s="28" t="s">
        <v>2849</v>
      </c>
      <c r="S90" s="92" t="s">
        <v>21</v>
      </c>
      <c r="T90" s="28"/>
      <c r="U90" s="28" t="s">
        <v>31</v>
      </c>
    </row>
    <row r="91" spans="1:21" s="27" customFormat="1" x14ac:dyDescent="0.25">
      <c r="A91" s="28" t="s">
        <v>21</v>
      </c>
      <c r="B91" s="28" t="s">
        <v>21</v>
      </c>
      <c r="C91" s="28" t="s">
        <v>21</v>
      </c>
      <c r="D91" s="29">
        <v>1</v>
      </c>
      <c r="E91" s="71"/>
      <c r="F91" s="31"/>
      <c r="G91" s="32">
        <v>1.8620000000000001</v>
      </c>
      <c r="H91" s="32"/>
      <c r="I91" s="32"/>
      <c r="J91" s="33"/>
      <c r="K91" s="34" t="str">
        <f t="shared" si="15"/>
        <v/>
      </c>
      <c r="L91" s="35"/>
      <c r="M91" s="36" t="str">
        <f t="shared" si="16"/>
        <v/>
      </c>
      <c r="N91" s="37"/>
      <c r="O91" s="29"/>
      <c r="P91" s="38"/>
      <c r="Q91" s="28"/>
      <c r="R91" s="28" t="s">
        <v>2851</v>
      </c>
      <c r="S91" s="92" t="s">
        <v>21</v>
      </c>
      <c r="T91" s="28"/>
      <c r="U91" s="28" t="s">
        <v>31</v>
      </c>
    </row>
    <row r="92" spans="1:21" s="27" customFormat="1" x14ac:dyDescent="0.25">
      <c r="A92" s="28" t="s">
        <v>21</v>
      </c>
      <c r="B92" s="28" t="s">
        <v>2800</v>
      </c>
      <c r="C92" s="28" t="s">
        <v>21</v>
      </c>
      <c r="D92" s="29">
        <v>1</v>
      </c>
      <c r="E92" s="71">
        <v>70</v>
      </c>
      <c r="F92" s="45">
        <v>604</v>
      </c>
      <c r="G92" s="32">
        <v>1.85</v>
      </c>
      <c r="H92" s="32">
        <v>3.7010000000000001</v>
      </c>
      <c r="I92" s="32">
        <v>3.6880000000000002</v>
      </c>
      <c r="J92" s="33">
        <f>IF(O92&lt;&gt;"",(H92-I92)/O92,"")</f>
        <v>6.4999999999999503E-3</v>
      </c>
      <c r="K92" s="34" t="str">
        <f t="shared" si="15"/>
        <v/>
      </c>
      <c r="L92" s="35">
        <f>F92/(O92*P92)</f>
        <v>7.55</v>
      </c>
      <c r="M92" s="36" t="str">
        <f>IF(L92=0,"",IF(OR(L92&lt;7,L92&gt;7.8),"X",""))</f>
        <v/>
      </c>
      <c r="N92" s="37" t="s">
        <v>20</v>
      </c>
      <c r="O92" s="29">
        <v>2</v>
      </c>
      <c r="P92" s="38">
        <v>40</v>
      </c>
      <c r="Q92" s="28"/>
      <c r="R92" s="28" t="s">
        <v>2852</v>
      </c>
      <c r="S92" s="92" t="s">
        <v>21</v>
      </c>
      <c r="T92" s="28"/>
      <c r="U92" s="28" t="s">
        <v>31</v>
      </c>
    </row>
    <row r="93" spans="1:21" s="27" customFormat="1" x14ac:dyDescent="0.25">
      <c r="A93" s="28" t="s">
        <v>21</v>
      </c>
      <c r="B93" s="28" t="s">
        <v>21</v>
      </c>
      <c r="C93" s="28" t="s">
        <v>21</v>
      </c>
      <c r="D93" s="29">
        <v>1</v>
      </c>
      <c r="E93" s="71"/>
      <c r="F93" s="31"/>
      <c r="G93" s="32">
        <v>1.8520000000000001</v>
      </c>
      <c r="H93" s="32"/>
      <c r="I93" s="32"/>
      <c r="J93" s="33"/>
      <c r="K93" s="34" t="str">
        <f t="shared" si="15"/>
        <v/>
      </c>
      <c r="L93" s="35"/>
      <c r="M93" s="36" t="str">
        <f t="shared" si="16"/>
        <v/>
      </c>
      <c r="N93" s="37"/>
      <c r="O93" s="29"/>
      <c r="P93" s="38"/>
      <c r="Q93" s="28"/>
      <c r="R93" s="28" t="s">
        <v>2854</v>
      </c>
      <c r="S93" s="92" t="s">
        <v>21</v>
      </c>
      <c r="T93" s="28"/>
      <c r="U93" s="28" t="s">
        <v>31</v>
      </c>
    </row>
    <row r="94" spans="1:21" s="27" customFormat="1" x14ac:dyDescent="0.25">
      <c r="A94" s="28" t="s">
        <v>21</v>
      </c>
      <c r="B94" s="28" t="s">
        <v>2801</v>
      </c>
      <c r="C94" s="28" t="s">
        <v>21</v>
      </c>
      <c r="D94" s="29">
        <v>1</v>
      </c>
      <c r="E94" s="71">
        <v>60</v>
      </c>
      <c r="F94" s="45">
        <v>606</v>
      </c>
      <c r="G94" s="32">
        <v>1.849</v>
      </c>
      <c r="H94" s="32">
        <v>3.698</v>
      </c>
      <c r="I94" s="32">
        <v>3.6819999999999999</v>
      </c>
      <c r="J94" s="33">
        <f>IF(O94&lt;&gt;"",(H94-I94)/O94,"")</f>
        <v>8.0000000000000071E-3</v>
      </c>
      <c r="K94" s="34" t="str">
        <f t="shared" si="15"/>
        <v/>
      </c>
      <c r="L94" s="35">
        <f>F94/(O94*P94)</f>
        <v>7.5750000000000002</v>
      </c>
      <c r="M94" s="36" t="str">
        <f>IF(L94=0,"",IF(OR(L94&lt;7,L94&gt;7.8),"X",""))</f>
        <v/>
      </c>
      <c r="N94" s="37" t="s">
        <v>20</v>
      </c>
      <c r="O94" s="29">
        <v>2</v>
      </c>
      <c r="P94" s="38">
        <v>40</v>
      </c>
      <c r="Q94" s="28"/>
      <c r="R94" s="28" t="s">
        <v>2853</v>
      </c>
      <c r="S94" s="92" t="s">
        <v>21</v>
      </c>
      <c r="T94" s="28"/>
      <c r="U94" s="28" t="s">
        <v>31</v>
      </c>
    </row>
    <row r="95" spans="1:21" s="27" customFormat="1" x14ac:dyDescent="0.25">
      <c r="A95" s="28" t="s">
        <v>21</v>
      </c>
      <c r="B95" s="28" t="s">
        <v>21</v>
      </c>
      <c r="C95" s="28" t="s">
        <v>21</v>
      </c>
      <c r="D95" s="29">
        <v>1</v>
      </c>
      <c r="E95" s="71"/>
      <c r="F95" s="31"/>
      <c r="G95" s="32">
        <v>1.8480000000000001</v>
      </c>
      <c r="H95" s="32"/>
      <c r="I95" s="32"/>
      <c r="J95" s="33"/>
      <c r="K95" s="34" t="str">
        <f t="shared" si="15"/>
        <v/>
      </c>
      <c r="L95" s="35"/>
      <c r="M95" s="36" t="str">
        <f t="shared" si="16"/>
        <v/>
      </c>
      <c r="N95" s="37"/>
      <c r="O95" s="29"/>
      <c r="P95" s="38"/>
      <c r="Q95" s="28"/>
      <c r="R95" s="28" t="s">
        <v>2855</v>
      </c>
      <c r="S95" s="92" t="s">
        <v>21</v>
      </c>
      <c r="T95" s="28"/>
      <c r="U95" s="28" t="s">
        <v>31</v>
      </c>
    </row>
    <row r="96" spans="1:21" s="27" customFormat="1" x14ac:dyDescent="0.25">
      <c r="A96" s="28" t="s">
        <v>21</v>
      </c>
      <c r="B96" s="28" t="s">
        <v>2802</v>
      </c>
      <c r="C96" s="28" t="s">
        <v>21</v>
      </c>
      <c r="D96" s="29">
        <v>1</v>
      </c>
      <c r="E96" s="71">
        <v>57</v>
      </c>
      <c r="F96" s="45">
        <v>605</v>
      </c>
      <c r="G96" s="32">
        <v>1.867</v>
      </c>
      <c r="H96" s="32">
        <v>3.7280000000000002</v>
      </c>
      <c r="I96" s="32">
        <v>3.7160000000000002</v>
      </c>
      <c r="J96" s="33">
        <f>IF(O96&lt;&gt;"",(H96-I96)/O96,"")</f>
        <v>6.0000000000000053E-3</v>
      </c>
      <c r="K96" s="34" t="str">
        <f t="shared" si="15"/>
        <v/>
      </c>
      <c r="L96" s="35">
        <f>F96/(O96*P96)</f>
        <v>7.5625</v>
      </c>
      <c r="M96" s="36" t="str">
        <f>IF(L96=0,"",IF(OR(L96&lt;7,L96&gt;7.8),"X",""))</f>
        <v/>
      </c>
      <c r="N96" s="37" t="s">
        <v>20</v>
      </c>
      <c r="O96" s="29">
        <v>2</v>
      </c>
      <c r="P96" s="38">
        <v>40</v>
      </c>
      <c r="Q96" s="28"/>
      <c r="R96" s="28" t="s">
        <v>2858</v>
      </c>
      <c r="S96" s="91" t="s">
        <v>103</v>
      </c>
      <c r="T96" s="28"/>
      <c r="U96" s="28" t="s">
        <v>31</v>
      </c>
    </row>
    <row r="97" spans="1:21" s="27" customFormat="1" x14ac:dyDescent="0.25">
      <c r="A97" s="28" t="s">
        <v>21</v>
      </c>
      <c r="B97" s="28" t="s">
        <v>21</v>
      </c>
      <c r="C97" s="28" t="s">
        <v>21</v>
      </c>
      <c r="D97" s="29">
        <v>1</v>
      </c>
      <c r="E97" s="71"/>
      <c r="F97" s="31"/>
      <c r="G97" s="32">
        <v>1.8620000000000001</v>
      </c>
      <c r="H97" s="32"/>
      <c r="I97" s="32"/>
      <c r="J97" s="33"/>
      <c r="K97" s="34" t="str">
        <f t="shared" si="15"/>
        <v/>
      </c>
      <c r="L97" s="35"/>
      <c r="M97" s="36" t="str">
        <f t="shared" si="16"/>
        <v/>
      </c>
      <c r="N97" s="37"/>
      <c r="O97" s="29"/>
      <c r="P97" s="38"/>
      <c r="Q97" s="28"/>
      <c r="R97" s="28" t="s">
        <v>2859</v>
      </c>
      <c r="S97" s="91" t="s">
        <v>59</v>
      </c>
      <c r="T97" s="28"/>
      <c r="U97" s="28" t="s">
        <v>31</v>
      </c>
    </row>
    <row r="98" spans="1:21" s="27" customFormat="1" x14ac:dyDescent="0.25">
      <c r="A98" s="28" t="s">
        <v>21</v>
      </c>
      <c r="B98" s="28" t="s">
        <v>2803</v>
      </c>
      <c r="C98" s="28" t="s">
        <v>21</v>
      </c>
      <c r="D98" s="29">
        <v>1</v>
      </c>
      <c r="E98" s="71">
        <v>59</v>
      </c>
      <c r="F98" s="45">
        <v>607</v>
      </c>
      <c r="G98" s="32">
        <v>1.86</v>
      </c>
      <c r="H98" s="32">
        <v>3.7250000000000001</v>
      </c>
      <c r="I98" s="32">
        <v>3.7120000000000002</v>
      </c>
      <c r="J98" s="33">
        <f>IF(O98&lt;&gt;"",(H98-I98)/O98,"")</f>
        <v>6.4999999999999503E-3</v>
      </c>
      <c r="K98" s="34" t="str">
        <f t="shared" si="15"/>
        <v/>
      </c>
      <c r="L98" s="35">
        <f>F98/(O98*P98)</f>
        <v>7.5875000000000004</v>
      </c>
      <c r="M98" s="36" t="str">
        <f>IF(L98=0,"",IF(OR(L98&lt;7,L98&gt;7.8),"X",""))</f>
        <v/>
      </c>
      <c r="N98" s="37" t="s">
        <v>20</v>
      </c>
      <c r="O98" s="29">
        <v>2</v>
      </c>
      <c r="P98" s="38">
        <v>40</v>
      </c>
      <c r="Q98" s="28"/>
      <c r="R98" s="28" t="s">
        <v>2860</v>
      </c>
      <c r="S98" s="92" t="s">
        <v>21</v>
      </c>
      <c r="T98" s="28"/>
      <c r="U98" s="28" t="s">
        <v>31</v>
      </c>
    </row>
    <row r="99" spans="1:21" s="27" customFormat="1" x14ac:dyDescent="0.25">
      <c r="A99" s="28" t="s">
        <v>21</v>
      </c>
      <c r="B99" s="28" t="s">
        <v>21</v>
      </c>
      <c r="C99" s="28" t="s">
        <v>21</v>
      </c>
      <c r="D99" s="29">
        <v>1</v>
      </c>
      <c r="E99" s="71"/>
      <c r="F99" s="31"/>
      <c r="G99" s="32">
        <v>1.8660000000000001</v>
      </c>
      <c r="H99" s="32"/>
      <c r="I99" s="32"/>
      <c r="J99" s="33"/>
      <c r="K99" s="34" t="str">
        <f t="shared" si="15"/>
        <v/>
      </c>
      <c r="L99" s="35"/>
      <c r="M99" s="36" t="str">
        <f t="shared" si="16"/>
        <v/>
      </c>
      <c r="N99" s="37"/>
      <c r="O99" s="29"/>
      <c r="P99" s="38"/>
      <c r="Q99" s="28"/>
      <c r="R99" s="28" t="s">
        <v>2862</v>
      </c>
      <c r="S99" s="92" t="s">
        <v>21</v>
      </c>
      <c r="T99" s="28"/>
      <c r="U99" s="28" t="s">
        <v>31</v>
      </c>
    </row>
    <row r="100" spans="1:21" s="27" customFormat="1" x14ac:dyDescent="0.25">
      <c r="A100" s="28" t="s">
        <v>21</v>
      </c>
      <c r="B100" s="28" t="s">
        <v>2804</v>
      </c>
      <c r="C100" s="28" t="s">
        <v>21</v>
      </c>
      <c r="D100" s="29">
        <v>1</v>
      </c>
      <c r="E100" s="71">
        <v>53</v>
      </c>
      <c r="F100" s="45">
        <v>606</v>
      </c>
      <c r="G100" s="32">
        <v>1.86</v>
      </c>
      <c r="H100" s="32">
        <v>3.722</v>
      </c>
      <c r="I100" s="32">
        <v>3.7080000000000002</v>
      </c>
      <c r="J100" s="33">
        <f>IF(O100&lt;&gt;"",(H100-I100)/O100,"")</f>
        <v>6.9999999999998952E-3</v>
      </c>
      <c r="K100" s="34" t="str">
        <f t="shared" si="15"/>
        <v/>
      </c>
      <c r="L100" s="35">
        <f>F100/(O100*P100)</f>
        <v>7.5750000000000002</v>
      </c>
      <c r="M100" s="36" t="str">
        <f>IF(L100=0,"",IF(OR(L100&lt;7,L100&gt;7.8),"X",""))</f>
        <v/>
      </c>
      <c r="N100" s="37" t="s">
        <v>20</v>
      </c>
      <c r="O100" s="29">
        <v>2</v>
      </c>
      <c r="P100" s="38">
        <v>40</v>
      </c>
      <c r="Q100" s="28"/>
      <c r="R100" s="28" t="s">
        <v>2864</v>
      </c>
      <c r="S100" s="92" t="s">
        <v>21</v>
      </c>
      <c r="T100" s="28"/>
      <c r="U100" s="28" t="s">
        <v>31</v>
      </c>
    </row>
    <row r="101" spans="1:21" s="27" customFormat="1" x14ac:dyDescent="0.25">
      <c r="A101" s="28" t="s">
        <v>21</v>
      </c>
      <c r="B101" s="28" t="s">
        <v>21</v>
      </c>
      <c r="C101" s="28" t="s">
        <v>21</v>
      </c>
      <c r="D101" s="29">
        <v>1</v>
      </c>
      <c r="E101" s="71"/>
      <c r="F101" s="31"/>
      <c r="G101" s="32">
        <v>1.8620000000000001</v>
      </c>
      <c r="H101" s="32"/>
      <c r="I101" s="32"/>
      <c r="J101" s="33"/>
      <c r="K101" s="34" t="str">
        <f t="shared" si="15"/>
        <v/>
      </c>
      <c r="L101" s="35"/>
      <c r="M101" s="36" t="str">
        <f t="shared" si="16"/>
        <v/>
      </c>
      <c r="N101" s="37"/>
      <c r="O101" s="29"/>
      <c r="P101" s="38"/>
      <c r="Q101" s="28"/>
      <c r="R101" s="28" t="s">
        <v>2863</v>
      </c>
      <c r="S101" s="92" t="s">
        <v>21</v>
      </c>
      <c r="T101" s="28"/>
      <c r="U101" s="28" t="s">
        <v>31</v>
      </c>
    </row>
    <row r="102" spans="1:21" s="27" customFormat="1" x14ac:dyDescent="0.25">
      <c r="A102" s="28" t="s">
        <v>21</v>
      </c>
      <c r="B102" s="28" t="s">
        <v>2805</v>
      </c>
      <c r="C102" s="28" t="s">
        <v>21</v>
      </c>
      <c r="D102" s="29">
        <v>1</v>
      </c>
      <c r="E102" s="71">
        <v>51</v>
      </c>
      <c r="F102" s="45">
        <v>604</v>
      </c>
      <c r="G102" s="32">
        <v>1.85</v>
      </c>
      <c r="H102" s="32">
        <v>3.7</v>
      </c>
      <c r="I102" s="32">
        <v>3.6859999999999999</v>
      </c>
      <c r="J102" s="33">
        <f>IF(O102&lt;&gt;"",(H102-I102)/O102,"")</f>
        <v>7.0000000000001172E-3</v>
      </c>
      <c r="K102" s="34" t="str">
        <f t="shared" si="15"/>
        <v/>
      </c>
      <c r="L102" s="35">
        <f>F102/(O102*P102)</f>
        <v>7.55</v>
      </c>
      <c r="M102" s="36" t="str">
        <f>IF(L102=0,"",IF(OR(L102&lt;7,L102&gt;7.8),"X",""))</f>
        <v/>
      </c>
      <c r="N102" s="37" t="s">
        <v>20</v>
      </c>
      <c r="O102" s="29">
        <v>2</v>
      </c>
      <c r="P102" s="38">
        <v>40</v>
      </c>
      <c r="Q102" s="28"/>
      <c r="R102" s="28" t="s">
        <v>2865</v>
      </c>
      <c r="S102" s="92" t="s">
        <v>21</v>
      </c>
      <c r="T102" s="28"/>
      <c r="U102" s="28" t="s">
        <v>31</v>
      </c>
    </row>
    <row r="103" spans="1:21" s="27" customFormat="1" x14ac:dyDescent="0.25">
      <c r="A103" s="28" t="s">
        <v>21</v>
      </c>
      <c r="B103" s="28" t="s">
        <v>21</v>
      </c>
      <c r="C103" s="28" t="s">
        <v>21</v>
      </c>
      <c r="D103" s="29">
        <v>1</v>
      </c>
      <c r="E103" s="71"/>
      <c r="F103" s="31"/>
      <c r="G103" s="32">
        <v>1.85</v>
      </c>
      <c r="H103" s="32"/>
      <c r="I103" s="32"/>
      <c r="J103" s="33"/>
      <c r="K103" s="34" t="str">
        <f t="shared" si="15"/>
        <v/>
      </c>
      <c r="L103" s="35"/>
      <c r="M103" s="36" t="str">
        <f t="shared" si="16"/>
        <v/>
      </c>
      <c r="N103" s="37"/>
      <c r="O103" s="29"/>
      <c r="P103" s="38"/>
      <c r="Q103" s="28"/>
      <c r="R103" s="28" t="s">
        <v>2861</v>
      </c>
      <c r="S103" s="92" t="s">
        <v>21</v>
      </c>
      <c r="T103" s="28"/>
      <c r="U103" s="28" t="s">
        <v>31</v>
      </c>
    </row>
    <row r="104" spans="1:21" s="27" customFormat="1" x14ac:dyDescent="0.25">
      <c r="A104" s="28" t="s">
        <v>21</v>
      </c>
      <c r="B104" s="28" t="s">
        <v>2806</v>
      </c>
      <c r="C104" s="28" t="s">
        <v>21</v>
      </c>
      <c r="D104" s="29">
        <v>1</v>
      </c>
      <c r="E104" s="71">
        <v>55</v>
      </c>
      <c r="F104" s="45">
        <v>606</v>
      </c>
      <c r="G104" s="32">
        <v>1.8480000000000001</v>
      </c>
      <c r="H104" s="32">
        <v>3.69</v>
      </c>
      <c r="I104" s="32">
        <v>3.6739999999999999</v>
      </c>
      <c r="J104" s="33">
        <f>IF(O104&lt;&gt;"",(H104-I104)/O104,"")</f>
        <v>8.0000000000000071E-3</v>
      </c>
      <c r="K104" s="34" t="str">
        <f t="shared" si="15"/>
        <v/>
      </c>
      <c r="L104" s="35">
        <f>F104/(O104*P104)</f>
        <v>7.5750000000000002</v>
      </c>
      <c r="M104" s="36" t="str">
        <f>IF(L104=0,"",IF(OR(L104&lt;7,L104&gt;7.8),"X",""))</f>
        <v/>
      </c>
      <c r="N104" s="37" t="s">
        <v>20</v>
      </c>
      <c r="O104" s="29">
        <v>2</v>
      </c>
      <c r="P104" s="38">
        <v>40</v>
      </c>
      <c r="Q104" s="28"/>
      <c r="R104" s="28" t="s">
        <v>2866</v>
      </c>
      <c r="S104" s="92" t="s">
        <v>21</v>
      </c>
      <c r="T104" s="28"/>
      <c r="U104" s="28" t="s">
        <v>31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29">
        <v>1</v>
      </c>
      <c r="E105" s="71"/>
      <c r="F105" s="31"/>
      <c r="G105" s="32">
        <v>1.839</v>
      </c>
      <c r="H105" s="32"/>
      <c r="I105" s="32"/>
      <c r="J105" s="33"/>
      <c r="K105" s="34" t="str">
        <f t="shared" si="15"/>
        <v/>
      </c>
      <c r="L105" s="35"/>
      <c r="M105" s="36" t="str">
        <f t="shared" si="16"/>
        <v/>
      </c>
      <c r="N105" s="37"/>
      <c r="O105" s="29"/>
      <c r="P105" s="38"/>
      <c r="Q105" s="28"/>
      <c r="R105" s="28" t="s">
        <v>2867</v>
      </c>
      <c r="S105" s="92" t="s">
        <v>21</v>
      </c>
      <c r="T105" s="28"/>
      <c r="U105" s="28" t="s">
        <v>31</v>
      </c>
    </row>
    <row r="106" spans="1:21" s="27" customFormat="1" x14ac:dyDescent="0.25">
      <c r="A106" s="28" t="s">
        <v>2868</v>
      </c>
      <c r="B106" s="28" t="s">
        <v>2869</v>
      </c>
      <c r="C106" s="28">
        <v>784502</v>
      </c>
      <c r="D106" s="29">
        <v>1</v>
      </c>
      <c r="E106" s="71">
        <v>61</v>
      </c>
      <c r="F106" s="45">
        <v>296</v>
      </c>
      <c r="G106" s="32"/>
      <c r="H106" s="32">
        <v>1.849</v>
      </c>
      <c r="I106" s="32">
        <v>1.841</v>
      </c>
      <c r="J106" s="33">
        <f t="shared" ref="J106:J137" si="17">IF(O106&lt;&gt;"",(H106-I106)/O106,"")</f>
        <v>8.0000000000000071E-3</v>
      </c>
      <c r="K106" s="34" t="str">
        <f t="shared" si="15"/>
        <v/>
      </c>
      <c r="L106" s="35">
        <f t="shared" ref="L106:L137" si="18">F106/(O106*P106)</f>
        <v>7.4</v>
      </c>
      <c r="M106" s="36" t="str">
        <f t="shared" ref="M106:M137" si="19">IF(L106=0,"",IF(OR(L106&lt;7,L106&gt;7.8),"X",""))</f>
        <v/>
      </c>
      <c r="N106" s="37" t="s">
        <v>18</v>
      </c>
      <c r="O106" s="29">
        <v>1</v>
      </c>
      <c r="P106" s="38">
        <v>40</v>
      </c>
      <c r="Q106" s="46"/>
      <c r="R106" s="28" t="s">
        <v>2919</v>
      </c>
      <c r="S106" s="91" t="s">
        <v>58</v>
      </c>
      <c r="T106" s="46"/>
      <c r="U106" s="28" t="s">
        <v>31</v>
      </c>
    </row>
    <row r="107" spans="1:21" s="27" customFormat="1" x14ac:dyDescent="0.25">
      <c r="A107" s="28" t="s">
        <v>21</v>
      </c>
      <c r="B107" s="28" t="s">
        <v>2870</v>
      </c>
      <c r="C107" s="28" t="s">
        <v>21</v>
      </c>
      <c r="D107" s="29">
        <v>1</v>
      </c>
      <c r="E107" s="71">
        <v>44</v>
      </c>
      <c r="F107" s="45">
        <v>296</v>
      </c>
      <c r="G107" s="32"/>
      <c r="H107" s="32">
        <v>1.853</v>
      </c>
      <c r="I107" s="32">
        <v>1.8440000000000001</v>
      </c>
      <c r="J107" s="33">
        <f t="shared" si="17"/>
        <v>8.999999999999897E-3</v>
      </c>
      <c r="K107" s="34" t="str">
        <f t="shared" si="15"/>
        <v/>
      </c>
      <c r="L107" s="35">
        <f t="shared" si="18"/>
        <v>7.4</v>
      </c>
      <c r="M107" s="36" t="str">
        <f t="shared" si="19"/>
        <v/>
      </c>
      <c r="N107" s="37" t="s">
        <v>18</v>
      </c>
      <c r="O107" s="29">
        <v>1</v>
      </c>
      <c r="P107" s="38">
        <v>40</v>
      </c>
      <c r="Q107" s="46"/>
      <c r="R107" s="28" t="s">
        <v>2920</v>
      </c>
      <c r="S107" s="91" t="s">
        <v>59</v>
      </c>
      <c r="T107" s="46"/>
      <c r="U107" s="28" t="s">
        <v>31</v>
      </c>
    </row>
    <row r="108" spans="1:21" s="27" customFormat="1" x14ac:dyDescent="0.25">
      <c r="A108" s="28" t="s">
        <v>21</v>
      </c>
      <c r="B108" s="28" t="s">
        <v>2871</v>
      </c>
      <c r="C108" s="28">
        <v>784502</v>
      </c>
      <c r="D108" s="29">
        <v>1</v>
      </c>
      <c r="E108" s="71">
        <v>49</v>
      </c>
      <c r="F108" s="45">
        <v>300</v>
      </c>
      <c r="G108" s="32"/>
      <c r="H108" s="32">
        <v>1.855</v>
      </c>
      <c r="I108" s="32">
        <v>1.847</v>
      </c>
      <c r="J108" s="33">
        <f t="shared" si="17"/>
        <v>8.0000000000000071E-3</v>
      </c>
      <c r="K108" s="34" t="str">
        <f t="shared" si="15"/>
        <v/>
      </c>
      <c r="L108" s="35">
        <f t="shared" si="18"/>
        <v>7.5</v>
      </c>
      <c r="M108" s="36" t="str">
        <f t="shared" si="19"/>
        <v/>
      </c>
      <c r="N108" s="37" t="s">
        <v>18</v>
      </c>
      <c r="O108" s="29">
        <v>1</v>
      </c>
      <c r="P108" s="38">
        <v>40</v>
      </c>
      <c r="Q108" s="46"/>
      <c r="R108" s="28" t="s">
        <v>2921</v>
      </c>
      <c r="S108" s="92" t="s">
        <v>21</v>
      </c>
      <c r="T108" s="46"/>
      <c r="U108" s="28" t="s">
        <v>31</v>
      </c>
    </row>
    <row r="109" spans="1:21" s="27" customFormat="1" x14ac:dyDescent="0.25">
      <c r="A109" s="28" t="s">
        <v>21</v>
      </c>
      <c r="B109" s="28" t="s">
        <v>2872</v>
      </c>
      <c r="C109" s="28" t="s">
        <v>21</v>
      </c>
      <c r="D109" s="29">
        <v>1</v>
      </c>
      <c r="E109" s="71">
        <v>43</v>
      </c>
      <c r="F109" s="45">
        <v>301</v>
      </c>
      <c r="G109" s="32"/>
      <c r="H109" s="32">
        <v>1.851</v>
      </c>
      <c r="I109" s="32">
        <v>1.8420000000000001</v>
      </c>
      <c r="J109" s="33">
        <f t="shared" si="17"/>
        <v>8.999999999999897E-3</v>
      </c>
      <c r="K109" s="34" t="str">
        <f t="shared" si="15"/>
        <v/>
      </c>
      <c r="L109" s="35">
        <f t="shared" si="18"/>
        <v>7.5250000000000004</v>
      </c>
      <c r="M109" s="36" t="str">
        <f t="shared" si="19"/>
        <v/>
      </c>
      <c r="N109" s="37" t="s">
        <v>18</v>
      </c>
      <c r="O109" s="29">
        <v>1</v>
      </c>
      <c r="P109" s="38">
        <v>40</v>
      </c>
      <c r="Q109" s="46"/>
      <c r="R109" s="28" t="s">
        <v>2922</v>
      </c>
      <c r="S109" s="92" t="s">
        <v>21</v>
      </c>
      <c r="T109" s="46"/>
      <c r="U109" s="28" t="s">
        <v>31</v>
      </c>
    </row>
    <row r="110" spans="1:21" s="27" customFormat="1" x14ac:dyDescent="0.25">
      <c r="A110" s="28" t="s">
        <v>21</v>
      </c>
      <c r="B110" s="28" t="s">
        <v>2873</v>
      </c>
      <c r="C110" s="28" t="s">
        <v>21</v>
      </c>
      <c r="D110" s="29">
        <v>1</v>
      </c>
      <c r="E110" s="71">
        <v>36</v>
      </c>
      <c r="F110" s="45">
        <v>300</v>
      </c>
      <c r="G110" s="32"/>
      <c r="H110" s="32">
        <v>1.859</v>
      </c>
      <c r="I110" s="32">
        <v>1.85</v>
      </c>
      <c r="J110" s="33">
        <f t="shared" si="17"/>
        <v>8.999999999999897E-3</v>
      </c>
      <c r="K110" s="34" t="str">
        <f t="shared" si="15"/>
        <v/>
      </c>
      <c r="L110" s="35">
        <f t="shared" si="18"/>
        <v>7.5</v>
      </c>
      <c r="M110" s="36" t="str">
        <f t="shared" si="19"/>
        <v/>
      </c>
      <c r="N110" s="37" t="s">
        <v>18</v>
      </c>
      <c r="O110" s="29">
        <v>1</v>
      </c>
      <c r="P110" s="38">
        <v>40</v>
      </c>
      <c r="Q110" s="46"/>
      <c r="R110" s="28" t="s">
        <v>2923</v>
      </c>
      <c r="S110" s="92" t="s">
        <v>21</v>
      </c>
      <c r="T110" s="46"/>
      <c r="U110" s="28" t="s">
        <v>31</v>
      </c>
    </row>
    <row r="111" spans="1:21" s="27" customFormat="1" x14ac:dyDescent="0.25">
      <c r="A111" s="28" t="s">
        <v>21</v>
      </c>
      <c r="B111" s="28" t="s">
        <v>2874</v>
      </c>
      <c r="C111" s="28" t="s">
        <v>21</v>
      </c>
      <c r="D111" s="29">
        <v>1</v>
      </c>
      <c r="E111" s="71">
        <v>54</v>
      </c>
      <c r="F111" s="45">
        <v>300</v>
      </c>
      <c r="G111" s="32"/>
      <c r="H111" s="32">
        <v>1.863</v>
      </c>
      <c r="I111" s="32">
        <v>1.8560000000000001</v>
      </c>
      <c r="J111" s="33">
        <f t="shared" si="17"/>
        <v>6.9999999999998952E-3</v>
      </c>
      <c r="K111" s="34" t="str">
        <f t="shared" si="15"/>
        <v/>
      </c>
      <c r="L111" s="35">
        <f t="shared" si="18"/>
        <v>7.5</v>
      </c>
      <c r="M111" s="36" t="str">
        <f t="shared" si="19"/>
        <v/>
      </c>
      <c r="N111" s="37" t="s">
        <v>18</v>
      </c>
      <c r="O111" s="29">
        <v>1</v>
      </c>
      <c r="P111" s="38">
        <v>40</v>
      </c>
      <c r="Q111" s="46"/>
      <c r="R111" s="28" t="s">
        <v>2924</v>
      </c>
      <c r="S111" s="91" t="s">
        <v>103</v>
      </c>
      <c r="T111" s="46"/>
      <c r="U111" s="28" t="s">
        <v>31</v>
      </c>
    </row>
    <row r="112" spans="1:21" s="27" customFormat="1" x14ac:dyDescent="0.25">
      <c r="A112" s="28" t="s">
        <v>21</v>
      </c>
      <c r="B112" s="28" t="s">
        <v>2875</v>
      </c>
      <c r="C112" s="28" t="s">
        <v>21</v>
      </c>
      <c r="D112" s="29">
        <v>1</v>
      </c>
      <c r="E112" s="71">
        <v>40</v>
      </c>
      <c r="F112" s="45">
        <v>302</v>
      </c>
      <c r="G112" s="32"/>
      <c r="H112" s="32">
        <v>1.871</v>
      </c>
      <c r="I112" s="32">
        <v>1.861</v>
      </c>
      <c r="J112" s="33">
        <f t="shared" si="17"/>
        <v>1.0000000000000009E-2</v>
      </c>
      <c r="K112" s="34" t="str">
        <f t="shared" si="15"/>
        <v/>
      </c>
      <c r="L112" s="35">
        <f t="shared" si="18"/>
        <v>7.55</v>
      </c>
      <c r="M112" s="36" t="str">
        <f t="shared" si="19"/>
        <v/>
      </c>
      <c r="N112" s="37" t="s">
        <v>18</v>
      </c>
      <c r="O112" s="29">
        <v>1</v>
      </c>
      <c r="P112" s="38">
        <v>40</v>
      </c>
      <c r="Q112" s="46"/>
      <c r="R112" s="28" t="s">
        <v>2926</v>
      </c>
      <c r="S112" s="91" t="s">
        <v>59</v>
      </c>
      <c r="T112" s="46"/>
      <c r="U112" s="28" t="s">
        <v>31</v>
      </c>
    </row>
    <row r="113" spans="1:21" s="27" customFormat="1" x14ac:dyDescent="0.25">
      <c r="A113" s="28" t="s">
        <v>21</v>
      </c>
      <c r="B113" s="28" t="s">
        <v>2876</v>
      </c>
      <c r="C113" s="28" t="s">
        <v>21</v>
      </c>
      <c r="D113" s="29">
        <v>1</v>
      </c>
      <c r="E113" s="71">
        <v>59</v>
      </c>
      <c r="F113" s="45">
        <v>300</v>
      </c>
      <c r="G113" s="32"/>
      <c r="H113" s="32">
        <v>1.859</v>
      </c>
      <c r="I113" s="32">
        <v>1.8520000000000001</v>
      </c>
      <c r="J113" s="33">
        <f t="shared" si="17"/>
        <v>6.9999999999998952E-3</v>
      </c>
      <c r="K113" s="34" t="str">
        <f t="shared" si="15"/>
        <v/>
      </c>
      <c r="L113" s="35">
        <f t="shared" si="18"/>
        <v>7.5</v>
      </c>
      <c r="M113" s="36" t="str">
        <f t="shared" si="19"/>
        <v/>
      </c>
      <c r="N113" s="37" t="s">
        <v>18</v>
      </c>
      <c r="O113" s="29">
        <v>1</v>
      </c>
      <c r="P113" s="38">
        <v>40</v>
      </c>
      <c r="Q113" s="46"/>
      <c r="R113" s="28" t="s">
        <v>2927</v>
      </c>
      <c r="S113" s="92" t="s">
        <v>21</v>
      </c>
      <c r="T113" s="46"/>
      <c r="U113" s="28" t="s">
        <v>31</v>
      </c>
    </row>
    <row r="114" spans="1:21" s="27" customFormat="1" x14ac:dyDescent="0.25">
      <c r="A114" s="28" t="s">
        <v>21</v>
      </c>
      <c r="B114" s="28" t="s">
        <v>2877</v>
      </c>
      <c r="C114" s="28" t="s">
        <v>21</v>
      </c>
      <c r="D114" s="29">
        <v>1</v>
      </c>
      <c r="E114" s="71">
        <v>44</v>
      </c>
      <c r="F114" s="45">
        <v>302</v>
      </c>
      <c r="G114" s="32"/>
      <c r="H114" s="32">
        <v>1.863</v>
      </c>
      <c r="I114" s="32">
        <v>1.8540000000000001</v>
      </c>
      <c r="J114" s="33">
        <f t="shared" si="17"/>
        <v>8.999999999999897E-3</v>
      </c>
      <c r="K114" s="34" t="str">
        <f t="shared" si="15"/>
        <v/>
      </c>
      <c r="L114" s="35">
        <f t="shared" si="18"/>
        <v>7.55</v>
      </c>
      <c r="M114" s="36" t="str">
        <f t="shared" si="19"/>
        <v/>
      </c>
      <c r="N114" s="37" t="s">
        <v>18</v>
      </c>
      <c r="O114" s="29">
        <v>1</v>
      </c>
      <c r="P114" s="38">
        <v>40</v>
      </c>
      <c r="Q114" s="46"/>
      <c r="R114" s="28" t="s">
        <v>2928</v>
      </c>
      <c r="S114" s="92" t="s">
        <v>21</v>
      </c>
      <c r="T114" s="46"/>
      <c r="U114" s="28" t="s">
        <v>31</v>
      </c>
    </row>
    <row r="115" spans="1:21" s="27" customFormat="1" x14ac:dyDescent="0.25">
      <c r="A115" s="28" t="s">
        <v>21</v>
      </c>
      <c r="B115" s="28" t="s">
        <v>2878</v>
      </c>
      <c r="C115" s="28" t="s">
        <v>21</v>
      </c>
      <c r="D115" s="29">
        <v>1</v>
      </c>
      <c r="E115" s="71">
        <v>45</v>
      </c>
      <c r="F115" s="45">
        <v>300</v>
      </c>
      <c r="G115" s="32"/>
      <c r="H115" s="32">
        <v>1.8759999999999999</v>
      </c>
      <c r="I115" s="32">
        <v>1.8680000000000001</v>
      </c>
      <c r="J115" s="33">
        <f t="shared" si="17"/>
        <v>7.9999999999997851E-3</v>
      </c>
      <c r="K115" s="34" t="str">
        <f t="shared" si="15"/>
        <v/>
      </c>
      <c r="L115" s="35">
        <f t="shared" si="18"/>
        <v>7.5</v>
      </c>
      <c r="M115" s="36" t="str">
        <f t="shared" si="19"/>
        <v/>
      </c>
      <c r="N115" s="37" t="s">
        <v>18</v>
      </c>
      <c r="O115" s="29">
        <v>1</v>
      </c>
      <c r="P115" s="38">
        <v>40</v>
      </c>
      <c r="Q115" s="46"/>
      <c r="R115" s="28" t="s">
        <v>2925</v>
      </c>
      <c r="S115" s="92" t="s">
        <v>21</v>
      </c>
      <c r="T115" s="46"/>
      <c r="U115" s="28" t="s">
        <v>31</v>
      </c>
    </row>
    <row r="116" spans="1:21" s="27" customFormat="1" x14ac:dyDescent="0.25">
      <c r="A116" s="28" t="s">
        <v>21</v>
      </c>
      <c r="B116" s="28" t="s">
        <v>2879</v>
      </c>
      <c r="C116" s="28" t="s">
        <v>21</v>
      </c>
      <c r="D116" s="31">
        <v>1</v>
      </c>
      <c r="E116" s="71">
        <v>57</v>
      </c>
      <c r="F116" s="45">
        <v>302</v>
      </c>
      <c r="G116" s="32"/>
      <c r="H116" s="32">
        <v>1.861</v>
      </c>
      <c r="I116" s="32">
        <v>1.853</v>
      </c>
      <c r="J116" s="33">
        <f t="shared" si="17"/>
        <v>8.0000000000000071E-3</v>
      </c>
      <c r="K116" s="34" t="str">
        <f t="shared" si="15"/>
        <v/>
      </c>
      <c r="L116" s="35">
        <f t="shared" si="18"/>
        <v>7.55</v>
      </c>
      <c r="M116" s="36" t="str">
        <f t="shared" si="19"/>
        <v/>
      </c>
      <c r="N116" s="37" t="s">
        <v>18</v>
      </c>
      <c r="O116" s="29">
        <v>1</v>
      </c>
      <c r="P116" s="38">
        <v>40</v>
      </c>
      <c r="Q116" s="46"/>
      <c r="R116" s="28" t="s">
        <v>2930</v>
      </c>
      <c r="S116" s="91" t="s">
        <v>58</v>
      </c>
      <c r="T116" s="46"/>
      <c r="U116" s="28" t="s">
        <v>31</v>
      </c>
    </row>
    <row r="117" spans="1:21" s="27" customFormat="1" x14ac:dyDescent="0.25">
      <c r="A117" s="28" t="s">
        <v>21</v>
      </c>
      <c r="B117" s="28" t="s">
        <v>2880</v>
      </c>
      <c r="C117" s="28" t="s">
        <v>21</v>
      </c>
      <c r="D117" s="31">
        <v>1</v>
      </c>
      <c r="E117" s="71">
        <v>48</v>
      </c>
      <c r="F117" s="45">
        <v>304</v>
      </c>
      <c r="G117" s="32"/>
      <c r="H117" s="32">
        <v>1.8660000000000001</v>
      </c>
      <c r="I117" s="32">
        <v>1.8560000000000001</v>
      </c>
      <c r="J117" s="33">
        <f t="shared" si="17"/>
        <v>1.0000000000000009E-2</v>
      </c>
      <c r="K117" s="34" t="str">
        <f t="shared" si="15"/>
        <v/>
      </c>
      <c r="L117" s="35">
        <f t="shared" si="18"/>
        <v>7.6</v>
      </c>
      <c r="M117" s="36" t="str">
        <f t="shared" si="19"/>
        <v/>
      </c>
      <c r="N117" s="37" t="s">
        <v>18</v>
      </c>
      <c r="O117" s="29">
        <v>1</v>
      </c>
      <c r="P117" s="38">
        <v>40</v>
      </c>
      <c r="Q117" s="46"/>
      <c r="R117" s="28" t="s">
        <v>2929</v>
      </c>
      <c r="S117" s="91" t="s">
        <v>59</v>
      </c>
      <c r="T117" s="46"/>
      <c r="U117" s="28" t="s">
        <v>31</v>
      </c>
    </row>
    <row r="118" spans="1:21" s="27" customFormat="1" x14ac:dyDescent="0.25">
      <c r="A118" s="28" t="s">
        <v>21</v>
      </c>
      <c r="B118" s="28" t="s">
        <v>2881</v>
      </c>
      <c r="C118" s="28" t="s">
        <v>21</v>
      </c>
      <c r="D118" s="31">
        <v>1</v>
      </c>
      <c r="E118" s="71">
        <v>49</v>
      </c>
      <c r="F118" s="45">
        <v>305</v>
      </c>
      <c r="G118" s="32"/>
      <c r="H118" s="32">
        <v>1.843</v>
      </c>
      <c r="I118" s="32">
        <v>1.8340000000000001</v>
      </c>
      <c r="J118" s="33">
        <f t="shared" si="17"/>
        <v>8.999999999999897E-3</v>
      </c>
      <c r="K118" s="34" t="str">
        <f t="shared" si="15"/>
        <v/>
      </c>
      <c r="L118" s="35">
        <f t="shared" si="18"/>
        <v>7.625</v>
      </c>
      <c r="M118" s="36" t="str">
        <f t="shared" si="19"/>
        <v/>
      </c>
      <c r="N118" s="37" t="s">
        <v>18</v>
      </c>
      <c r="O118" s="29">
        <v>1</v>
      </c>
      <c r="P118" s="38">
        <v>40</v>
      </c>
      <c r="Q118" s="46"/>
      <c r="R118" s="28" t="s">
        <v>2931</v>
      </c>
      <c r="S118" s="92" t="s">
        <v>21</v>
      </c>
      <c r="T118" s="46"/>
      <c r="U118" s="28" t="s">
        <v>31</v>
      </c>
    </row>
    <row r="119" spans="1:21" s="27" customFormat="1" x14ac:dyDescent="0.25">
      <c r="A119" s="28" t="s">
        <v>21</v>
      </c>
      <c r="B119" s="28" t="s">
        <v>2882</v>
      </c>
      <c r="C119" s="28" t="s">
        <v>21</v>
      </c>
      <c r="D119" s="31">
        <v>1</v>
      </c>
      <c r="E119" s="71">
        <v>58</v>
      </c>
      <c r="F119" s="45">
        <v>305</v>
      </c>
      <c r="G119" s="32"/>
      <c r="H119" s="32">
        <v>1.8440000000000001</v>
      </c>
      <c r="I119" s="32">
        <v>1.8360000000000001</v>
      </c>
      <c r="J119" s="33">
        <f t="shared" si="17"/>
        <v>8.0000000000000071E-3</v>
      </c>
      <c r="K119" s="34" t="str">
        <f t="shared" si="15"/>
        <v/>
      </c>
      <c r="L119" s="35">
        <f t="shared" si="18"/>
        <v>7.625</v>
      </c>
      <c r="M119" s="36" t="str">
        <f t="shared" si="19"/>
        <v/>
      </c>
      <c r="N119" s="37" t="s">
        <v>18</v>
      </c>
      <c r="O119" s="29">
        <v>1</v>
      </c>
      <c r="P119" s="38">
        <v>40</v>
      </c>
      <c r="Q119" s="46"/>
      <c r="R119" s="28" t="s">
        <v>2932</v>
      </c>
      <c r="S119" s="92" t="s">
        <v>21</v>
      </c>
      <c r="T119" s="46"/>
      <c r="U119" s="28" t="s">
        <v>31</v>
      </c>
    </row>
    <row r="120" spans="1:21" s="27" customFormat="1" x14ac:dyDescent="0.25">
      <c r="A120" s="28" t="s">
        <v>21</v>
      </c>
      <c r="B120" s="28" t="s">
        <v>2883</v>
      </c>
      <c r="C120" s="28" t="s">
        <v>21</v>
      </c>
      <c r="D120" s="31">
        <v>1</v>
      </c>
      <c r="E120" s="71">
        <v>66</v>
      </c>
      <c r="F120" s="45">
        <v>303</v>
      </c>
      <c r="G120" s="32"/>
      <c r="H120" s="32">
        <v>1.8460000000000001</v>
      </c>
      <c r="I120" s="32">
        <v>1.8380000000000001</v>
      </c>
      <c r="J120" s="33">
        <f t="shared" si="17"/>
        <v>8.0000000000000071E-3</v>
      </c>
      <c r="K120" s="34" t="str">
        <f t="shared" si="15"/>
        <v/>
      </c>
      <c r="L120" s="35">
        <f t="shared" si="18"/>
        <v>7.5750000000000002</v>
      </c>
      <c r="M120" s="36" t="str">
        <f t="shared" si="19"/>
        <v/>
      </c>
      <c r="N120" s="37" t="s">
        <v>18</v>
      </c>
      <c r="O120" s="29">
        <v>1</v>
      </c>
      <c r="P120" s="38">
        <v>40</v>
      </c>
      <c r="Q120" s="46"/>
      <c r="R120" s="28" t="s">
        <v>2933</v>
      </c>
      <c r="S120" s="92" t="s">
        <v>21</v>
      </c>
      <c r="T120" s="46"/>
      <c r="U120" s="28" t="s">
        <v>31</v>
      </c>
    </row>
    <row r="121" spans="1:21" s="27" customFormat="1" x14ac:dyDescent="0.25">
      <c r="A121" s="28" t="s">
        <v>21</v>
      </c>
      <c r="B121" s="28" t="s">
        <v>2884</v>
      </c>
      <c r="C121" s="28" t="s">
        <v>21</v>
      </c>
      <c r="D121" s="31">
        <v>1</v>
      </c>
      <c r="E121" s="71">
        <v>52</v>
      </c>
      <c r="F121" s="45">
        <v>303</v>
      </c>
      <c r="G121" s="32"/>
      <c r="H121" s="32">
        <v>1.857</v>
      </c>
      <c r="I121" s="32">
        <v>1.849</v>
      </c>
      <c r="J121" s="33">
        <f t="shared" si="17"/>
        <v>8.0000000000000071E-3</v>
      </c>
      <c r="K121" s="34" t="str">
        <f t="shared" si="15"/>
        <v/>
      </c>
      <c r="L121" s="35">
        <f t="shared" si="18"/>
        <v>7.5750000000000002</v>
      </c>
      <c r="M121" s="36" t="str">
        <f t="shared" si="19"/>
        <v/>
      </c>
      <c r="N121" s="37" t="s">
        <v>18</v>
      </c>
      <c r="O121" s="29">
        <v>1</v>
      </c>
      <c r="P121" s="38">
        <v>40</v>
      </c>
      <c r="Q121" s="46"/>
      <c r="R121" s="28" t="s">
        <v>2934</v>
      </c>
      <c r="S121" s="91" t="s">
        <v>103</v>
      </c>
      <c r="T121" s="46"/>
      <c r="U121" s="28" t="s">
        <v>31</v>
      </c>
    </row>
    <row r="122" spans="1:21" s="27" customFormat="1" x14ac:dyDescent="0.25">
      <c r="A122" s="28" t="s">
        <v>21</v>
      </c>
      <c r="B122" s="28" t="s">
        <v>2885</v>
      </c>
      <c r="C122" s="28" t="s">
        <v>21</v>
      </c>
      <c r="D122" s="31">
        <v>1</v>
      </c>
      <c r="E122" s="71">
        <v>44</v>
      </c>
      <c r="F122" s="45">
        <v>303</v>
      </c>
      <c r="G122" s="32"/>
      <c r="H122" s="32">
        <v>1.859</v>
      </c>
      <c r="I122" s="32">
        <v>1.85</v>
      </c>
      <c r="J122" s="33">
        <f t="shared" si="17"/>
        <v>8.999999999999897E-3</v>
      </c>
      <c r="K122" s="34" t="str">
        <f t="shared" si="15"/>
        <v/>
      </c>
      <c r="L122" s="35">
        <f t="shared" si="18"/>
        <v>7.5750000000000002</v>
      </c>
      <c r="M122" s="36" t="str">
        <f t="shared" si="19"/>
        <v/>
      </c>
      <c r="N122" s="37" t="s">
        <v>18</v>
      </c>
      <c r="O122" s="29">
        <v>1</v>
      </c>
      <c r="P122" s="38">
        <v>40</v>
      </c>
      <c r="Q122" s="46"/>
      <c r="R122" s="28" t="s">
        <v>2936</v>
      </c>
      <c r="S122" s="91" t="s">
        <v>59</v>
      </c>
      <c r="T122" s="46"/>
      <c r="U122" s="28" t="s">
        <v>31</v>
      </c>
    </row>
    <row r="123" spans="1:21" s="27" customFormat="1" x14ac:dyDescent="0.25">
      <c r="A123" s="28" t="s">
        <v>21</v>
      </c>
      <c r="B123" s="28" t="s">
        <v>2886</v>
      </c>
      <c r="C123" s="28" t="s">
        <v>21</v>
      </c>
      <c r="D123" s="31">
        <v>1</v>
      </c>
      <c r="E123" s="71">
        <v>45</v>
      </c>
      <c r="F123" s="45">
        <v>303</v>
      </c>
      <c r="G123" s="32"/>
      <c r="H123" s="32">
        <v>1.8640000000000001</v>
      </c>
      <c r="I123" s="32">
        <v>1.8540000000000001</v>
      </c>
      <c r="J123" s="33">
        <f t="shared" si="17"/>
        <v>1.0000000000000009E-2</v>
      </c>
      <c r="K123" s="34" t="str">
        <f t="shared" si="15"/>
        <v/>
      </c>
      <c r="L123" s="35">
        <f t="shared" si="18"/>
        <v>7.5750000000000002</v>
      </c>
      <c r="M123" s="36" t="str">
        <f t="shared" si="19"/>
        <v/>
      </c>
      <c r="N123" s="37" t="s">
        <v>18</v>
      </c>
      <c r="O123" s="29">
        <v>1</v>
      </c>
      <c r="P123" s="38">
        <v>40</v>
      </c>
      <c r="Q123" s="46"/>
      <c r="R123" s="28" t="s">
        <v>2935</v>
      </c>
      <c r="S123" s="92" t="s">
        <v>21</v>
      </c>
      <c r="T123" s="46"/>
      <c r="U123" s="28" t="s">
        <v>31</v>
      </c>
    </row>
    <row r="124" spans="1:21" s="27" customFormat="1" x14ac:dyDescent="0.25">
      <c r="A124" s="28" t="s">
        <v>21</v>
      </c>
      <c r="B124" s="28" t="s">
        <v>2887</v>
      </c>
      <c r="C124" s="28" t="s">
        <v>21</v>
      </c>
      <c r="D124" s="31">
        <v>1</v>
      </c>
      <c r="E124" s="71">
        <v>49</v>
      </c>
      <c r="F124" s="45">
        <v>302</v>
      </c>
      <c r="G124" s="32"/>
      <c r="H124" s="32">
        <v>1.8580000000000001</v>
      </c>
      <c r="I124" s="32">
        <v>1.849</v>
      </c>
      <c r="J124" s="33">
        <f t="shared" si="17"/>
        <v>9.000000000000119E-3</v>
      </c>
      <c r="K124" s="34" t="str">
        <f t="shared" si="15"/>
        <v/>
      </c>
      <c r="L124" s="35">
        <f t="shared" si="18"/>
        <v>7.55</v>
      </c>
      <c r="M124" s="36" t="str">
        <f t="shared" si="19"/>
        <v/>
      </c>
      <c r="N124" s="37" t="s">
        <v>18</v>
      </c>
      <c r="O124" s="29">
        <v>1</v>
      </c>
      <c r="P124" s="38">
        <v>40</v>
      </c>
      <c r="Q124" s="46"/>
      <c r="R124" s="28" t="s">
        <v>2937</v>
      </c>
      <c r="S124" s="92" t="s">
        <v>21</v>
      </c>
      <c r="T124" s="46"/>
      <c r="U124" s="28" t="s">
        <v>31</v>
      </c>
    </row>
    <row r="125" spans="1:21" s="27" customFormat="1" x14ac:dyDescent="0.25">
      <c r="A125" s="28" t="s">
        <v>21</v>
      </c>
      <c r="B125" s="28" t="s">
        <v>2888</v>
      </c>
      <c r="C125" s="28" t="s">
        <v>21</v>
      </c>
      <c r="D125" s="31">
        <v>1</v>
      </c>
      <c r="E125" s="71">
        <v>69</v>
      </c>
      <c r="F125" s="45">
        <v>302</v>
      </c>
      <c r="G125" s="32"/>
      <c r="H125" s="32">
        <v>1.8620000000000001</v>
      </c>
      <c r="I125" s="32">
        <v>1.8560000000000001</v>
      </c>
      <c r="J125" s="33">
        <f t="shared" si="17"/>
        <v>6.0000000000000053E-3</v>
      </c>
      <c r="K125" s="34" t="str">
        <f t="shared" si="15"/>
        <v/>
      </c>
      <c r="L125" s="35">
        <f t="shared" si="18"/>
        <v>7.55</v>
      </c>
      <c r="M125" s="36" t="str">
        <f t="shared" si="19"/>
        <v/>
      </c>
      <c r="N125" s="37" t="s">
        <v>18</v>
      </c>
      <c r="O125" s="29">
        <v>1</v>
      </c>
      <c r="P125" s="38">
        <v>40</v>
      </c>
      <c r="Q125" s="46"/>
      <c r="R125" s="28" t="s">
        <v>2938</v>
      </c>
      <c r="S125" s="92" t="s">
        <v>21</v>
      </c>
      <c r="T125" s="46"/>
      <c r="U125" s="28" t="s">
        <v>31</v>
      </c>
    </row>
    <row r="126" spans="1:21" s="27" customFormat="1" x14ac:dyDescent="0.25">
      <c r="A126" s="28" t="s">
        <v>21</v>
      </c>
      <c r="B126" s="28" t="s">
        <v>2889</v>
      </c>
      <c r="C126" s="28" t="s">
        <v>21</v>
      </c>
      <c r="D126" s="31">
        <v>1</v>
      </c>
      <c r="E126" s="71">
        <v>28</v>
      </c>
      <c r="F126" s="45">
        <v>303</v>
      </c>
      <c r="G126" s="32"/>
      <c r="H126" s="32">
        <v>1.8660000000000001</v>
      </c>
      <c r="I126" s="32">
        <v>1.8560000000000001</v>
      </c>
      <c r="J126" s="33">
        <f t="shared" si="17"/>
        <v>1.0000000000000009E-2</v>
      </c>
      <c r="K126" s="34" t="str">
        <f t="shared" si="15"/>
        <v/>
      </c>
      <c r="L126" s="35">
        <f t="shared" si="18"/>
        <v>7.5750000000000002</v>
      </c>
      <c r="M126" s="36" t="str">
        <f t="shared" si="19"/>
        <v/>
      </c>
      <c r="N126" s="37" t="s">
        <v>18</v>
      </c>
      <c r="O126" s="29">
        <v>1</v>
      </c>
      <c r="P126" s="38">
        <v>40</v>
      </c>
      <c r="Q126" s="46"/>
      <c r="R126" s="28" t="s">
        <v>2939</v>
      </c>
      <c r="S126" s="91" t="s">
        <v>58</v>
      </c>
      <c r="T126" s="46"/>
      <c r="U126" s="28" t="s">
        <v>31</v>
      </c>
    </row>
    <row r="127" spans="1:21" s="27" customFormat="1" x14ac:dyDescent="0.25">
      <c r="A127" s="28" t="s">
        <v>21</v>
      </c>
      <c r="B127" s="28" t="s">
        <v>2890</v>
      </c>
      <c r="C127" s="28" t="s">
        <v>21</v>
      </c>
      <c r="D127" s="31">
        <v>1</v>
      </c>
      <c r="E127" s="71">
        <v>50</v>
      </c>
      <c r="F127" s="45">
        <v>304</v>
      </c>
      <c r="G127" s="32"/>
      <c r="H127" s="32">
        <v>1.859</v>
      </c>
      <c r="I127" s="32">
        <v>1.853</v>
      </c>
      <c r="J127" s="33">
        <f t="shared" si="17"/>
        <v>6.0000000000000053E-3</v>
      </c>
      <c r="K127" s="34" t="str">
        <f t="shared" si="15"/>
        <v/>
      </c>
      <c r="L127" s="35">
        <f t="shared" si="18"/>
        <v>7.6</v>
      </c>
      <c r="M127" s="36" t="str">
        <f t="shared" si="19"/>
        <v/>
      </c>
      <c r="N127" s="37" t="s">
        <v>18</v>
      </c>
      <c r="O127" s="29">
        <v>1</v>
      </c>
      <c r="P127" s="38">
        <v>40</v>
      </c>
      <c r="Q127" s="46"/>
      <c r="R127" s="28" t="s">
        <v>2940</v>
      </c>
      <c r="S127" s="91" t="s">
        <v>59</v>
      </c>
      <c r="T127" s="46"/>
      <c r="U127" s="28" t="s">
        <v>31</v>
      </c>
    </row>
    <row r="128" spans="1:21" s="27" customFormat="1" x14ac:dyDescent="0.25">
      <c r="A128" s="28" t="s">
        <v>21</v>
      </c>
      <c r="B128" s="28" t="s">
        <v>2891</v>
      </c>
      <c r="C128" s="28">
        <v>784502</v>
      </c>
      <c r="D128" s="31">
        <v>1</v>
      </c>
      <c r="E128" s="71">
        <v>55</v>
      </c>
      <c r="F128" s="45">
        <v>303</v>
      </c>
      <c r="G128" s="32"/>
      <c r="H128" s="32">
        <v>1.8620000000000001</v>
      </c>
      <c r="I128" s="32">
        <v>1.853</v>
      </c>
      <c r="J128" s="33">
        <f t="shared" si="17"/>
        <v>9.000000000000119E-3</v>
      </c>
      <c r="K128" s="34" t="str">
        <f t="shared" si="15"/>
        <v/>
      </c>
      <c r="L128" s="35">
        <f t="shared" si="18"/>
        <v>7.5750000000000002</v>
      </c>
      <c r="M128" s="36" t="str">
        <f t="shared" si="19"/>
        <v/>
      </c>
      <c r="N128" s="37" t="s">
        <v>18</v>
      </c>
      <c r="O128" s="29">
        <v>1</v>
      </c>
      <c r="P128" s="38">
        <v>40</v>
      </c>
      <c r="Q128" s="46"/>
      <c r="R128" s="28" t="s">
        <v>2941</v>
      </c>
      <c r="S128" s="92" t="s">
        <v>21</v>
      </c>
      <c r="T128" s="46"/>
      <c r="U128" s="28" t="s">
        <v>31</v>
      </c>
    </row>
    <row r="129" spans="1:21" s="27" customFormat="1" x14ac:dyDescent="0.25">
      <c r="A129" s="28" t="s">
        <v>21</v>
      </c>
      <c r="B129" s="28" t="s">
        <v>2892</v>
      </c>
      <c r="C129" s="28" t="s">
        <v>21</v>
      </c>
      <c r="D129" s="31">
        <v>1</v>
      </c>
      <c r="E129" s="71">
        <v>60</v>
      </c>
      <c r="F129" s="45">
        <v>303</v>
      </c>
      <c r="G129" s="32"/>
      <c r="H129" s="32">
        <v>1.855</v>
      </c>
      <c r="I129" s="32">
        <v>1.8480000000000001</v>
      </c>
      <c r="J129" s="33">
        <f t="shared" si="17"/>
        <v>6.9999999999998952E-3</v>
      </c>
      <c r="K129" s="34" t="str">
        <f t="shared" si="15"/>
        <v/>
      </c>
      <c r="L129" s="35">
        <f t="shared" si="18"/>
        <v>7.5750000000000002</v>
      </c>
      <c r="M129" s="36" t="str">
        <f t="shared" si="19"/>
        <v/>
      </c>
      <c r="N129" s="37" t="s">
        <v>18</v>
      </c>
      <c r="O129" s="29">
        <v>1</v>
      </c>
      <c r="P129" s="38">
        <v>40</v>
      </c>
      <c r="Q129" s="46"/>
      <c r="R129" s="28" t="s">
        <v>2942</v>
      </c>
      <c r="S129" s="92" t="s">
        <v>21</v>
      </c>
      <c r="T129" s="46"/>
      <c r="U129" s="28" t="s">
        <v>31</v>
      </c>
    </row>
    <row r="130" spans="1:21" s="27" customFormat="1" x14ac:dyDescent="0.25">
      <c r="A130" s="28" t="s">
        <v>21</v>
      </c>
      <c r="B130" s="28" t="s">
        <v>2893</v>
      </c>
      <c r="C130" s="28" t="s">
        <v>21</v>
      </c>
      <c r="D130" s="31">
        <v>1</v>
      </c>
      <c r="E130" s="71">
        <v>64</v>
      </c>
      <c r="F130" s="45">
        <v>302</v>
      </c>
      <c r="G130" s="32"/>
      <c r="H130" s="32">
        <v>1.8440000000000001</v>
      </c>
      <c r="I130" s="32">
        <v>1.837</v>
      </c>
      <c r="J130" s="33">
        <f t="shared" si="17"/>
        <v>7.0000000000001172E-3</v>
      </c>
      <c r="K130" s="34" t="str">
        <f t="shared" si="15"/>
        <v/>
      </c>
      <c r="L130" s="35">
        <f t="shared" si="18"/>
        <v>7.55</v>
      </c>
      <c r="M130" s="36" t="str">
        <f t="shared" si="19"/>
        <v/>
      </c>
      <c r="N130" s="37" t="s">
        <v>18</v>
      </c>
      <c r="O130" s="29">
        <v>1</v>
      </c>
      <c r="P130" s="38">
        <v>40</v>
      </c>
      <c r="Q130" s="46"/>
      <c r="R130" s="28" t="s">
        <v>2943</v>
      </c>
      <c r="S130" s="92" t="s">
        <v>21</v>
      </c>
      <c r="T130" s="46"/>
      <c r="U130" s="28" t="s">
        <v>31</v>
      </c>
    </row>
    <row r="131" spans="1:21" s="27" customFormat="1" x14ac:dyDescent="0.25">
      <c r="A131" s="28" t="s">
        <v>21</v>
      </c>
      <c r="B131" s="28" t="s">
        <v>2894</v>
      </c>
      <c r="C131" s="28" t="s">
        <v>21</v>
      </c>
      <c r="D131" s="31">
        <v>1</v>
      </c>
      <c r="E131" s="71">
        <v>66</v>
      </c>
      <c r="F131" s="45">
        <v>302</v>
      </c>
      <c r="G131" s="32"/>
      <c r="H131" s="32">
        <v>1.86</v>
      </c>
      <c r="I131" s="32">
        <v>1.853</v>
      </c>
      <c r="J131" s="33">
        <f t="shared" si="17"/>
        <v>7.0000000000001172E-3</v>
      </c>
      <c r="K131" s="34" t="str">
        <f t="shared" si="15"/>
        <v/>
      </c>
      <c r="L131" s="35">
        <f t="shared" si="18"/>
        <v>7.55</v>
      </c>
      <c r="M131" s="36" t="str">
        <f t="shared" si="19"/>
        <v/>
      </c>
      <c r="N131" s="37" t="s">
        <v>18</v>
      </c>
      <c r="O131" s="29">
        <v>1</v>
      </c>
      <c r="P131" s="38">
        <v>40</v>
      </c>
      <c r="Q131" s="46"/>
      <c r="R131" s="28" t="s">
        <v>2957</v>
      </c>
      <c r="S131" s="91" t="s">
        <v>58</v>
      </c>
      <c r="T131" s="46"/>
      <c r="U131" s="28" t="s">
        <v>31</v>
      </c>
    </row>
    <row r="132" spans="1:21" s="27" customFormat="1" x14ac:dyDescent="0.25">
      <c r="A132" s="28" t="s">
        <v>21</v>
      </c>
      <c r="B132" s="28" t="s">
        <v>2895</v>
      </c>
      <c r="C132" s="28" t="s">
        <v>21</v>
      </c>
      <c r="D132" s="31">
        <v>1</v>
      </c>
      <c r="E132" s="71">
        <v>71</v>
      </c>
      <c r="F132" s="45">
        <v>302</v>
      </c>
      <c r="G132" s="32"/>
      <c r="H132" s="32">
        <v>1.859</v>
      </c>
      <c r="I132" s="32">
        <v>1.853</v>
      </c>
      <c r="J132" s="33">
        <f t="shared" si="17"/>
        <v>6.0000000000000053E-3</v>
      </c>
      <c r="K132" s="34" t="str">
        <f t="shared" si="15"/>
        <v/>
      </c>
      <c r="L132" s="35">
        <f t="shared" si="18"/>
        <v>7.55</v>
      </c>
      <c r="M132" s="36" t="str">
        <f t="shared" si="19"/>
        <v/>
      </c>
      <c r="N132" s="37" t="s">
        <v>18</v>
      </c>
      <c r="O132" s="29">
        <v>1</v>
      </c>
      <c r="P132" s="38">
        <v>40</v>
      </c>
      <c r="Q132" s="46"/>
      <c r="R132" s="28" t="s">
        <v>2958</v>
      </c>
      <c r="S132" s="91" t="s">
        <v>59</v>
      </c>
      <c r="T132" s="46"/>
      <c r="U132" s="28" t="s">
        <v>31</v>
      </c>
    </row>
    <row r="133" spans="1:21" s="27" customFormat="1" x14ac:dyDescent="0.25">
      <c r="A133" s="28" t="s">
        <v>21</v>
      </c>
      <c r="B133" s="28" t="s">
        <v>2896</v>
      </c>
      <c r="C133" s="28" t="s">
        <v>21</v>
      </c>
      <c r="D133" s="31">
        <v>1</v>
      </c>
      <c r="E133" s="71">
        <v>64</v>
      </c>
      <c r="F133" s="45">
        <v>302</v>
      </c>
      <c r="G133" s="32"/>
      <c r="H133" s="32">
        <v>1.8660000000000001</v>
      </c>
      <c r="I133" s="32">
        <v>1.859</v>
      </c>
      <c r="J133" s="33">
        <f t="shared" si="17"/>
        <v>7.0000000000001172E-3</v>
      </c>
      <c r="K133" s="34" t="str">
        <f t="shared" si="15"/>
        <v/>
      </c>
      <c r="L133" s="35">
        <f t="shared" si="18"/>
        <v>7.55</v>
      </c>
      <c r="M133" s="36" t="str">
        <f t="shared" si="19"/>
        <v/>
      </c>
      <c r="N133" s="37" t="s">
        <v>18</v>
      </c>
      <c r="O133" s="29">
        <v>1</v>
      </c>
      <c r="P133" s="38">
        <v>40</v>
      </c>
      <c r="Q133" s="46"/>
      <c r="R133" s="28" t="s">
        <v>2959</v>
      </c>
      <c r="S133" s="92" t="s">
        <v>21</v>
      </c>
      <c r="T133" s="46"/>
      <c r="U133" s="28" t="s">
        <v>31</v>
      </c>
    </row>
    <row r="134" spans="1:21" s="27" customFormat="1" x14ac:dyDescent="0.25">
      <c r="A134" s="28" t="s">
        <v>21</v>
      </c>
      <c r="B134" s="28" t="s">
        <v>2897</v>
      </c>
      <c r="C134" s="28" t="s">
        <v>21</v>
      </c>
      <c r="D134" s="31">
        <v>1</v>
      </c>
      <c r="E134" s="71">
        <v>43</v>
      </c>
      <c r="F134" s="45">
        <v>302</v>
      </c>
      <c r="G134" s="32"/>
      <c r="H134" s="32">
        <v>1.8680000000000001</v>
      </c>
      <c r="I134" s="32">
        <v>1.8580000000000001</v>
      </c>
      <c r="J134" s="33">
        <f t="shared" si="17"/>
        <v>1.0000000000000009E-2</v>
      </c>
      <c r="K134" s="34" t="str">
        <f t="shared" si="15"/>
        <v/>
      </c>
      <c r="L134" s="35">
        <f t="shared" si="18"/>
        <v>7.55</v>
      </c>
      <c r="M134" s="36" t="str">
        <f t="shared" si="19"/>
        <v/>
      </c>
      <c r="N134" s="37" t="s">
        <v>18</v>
      </c>
      <c r="O134" s="29">
        <v>1</v>
      </c>
      <c r="P134" s="38">
        <v>40</v>
      </c>
      <c r="Q134" s="46"/>
      <c r="R134" s="28" t="s">
        <v>2960</v>
      </c>
      <c r="S134" s="92" t="s">
        <v>21</v>
      </c>
      <c r="T134" s="46"/>
      <c r="U134" s="28" t="s">
        <v>31</v>
      </c>
    </row>
    <row r="135" spans="1:21" s="27" customFormat="1" x14ac:dyDescent="0.25">
      <c r="A135" s="28" t="s">
        <v>21</v>
      </c>
      <c r="B135" s="28" t="s">
        <v>2898</v>
      </c>
      <c r="C135" s="28" t="s">
        <v>21</v>
      </c>
      <c r="D135" s="31">
        <v>1</v>
      </c>
      <c r="E135" s="71">
        <v>56</v>
      </c>
      <c r="F135" s="45">
        <v>303</v>
      </c>
      <c r="G135" s="32"/>
      <c r="H135" s="32">
        <v>1.865</v>
      </c>
      <c r="I135" s="32">
        <v>1.857</v>
      </c>
      <c r="J135" s="33">
        <f t="shared" si="17"/>
        <v>8.0000000000000071E-3</v>
      </c>
      <c r="K135" s="34" t="str">
        <f t="shared" si="15"/>
        <v/>
      </c>
      <c r="L135" s="35">
        <f t="shared" si="18"/>
        <v>7.5750000000000002</v>
      </c>
      <c r="M135" s="36" t="str">
        <f t="shared" si="19"/>
        <v/>
      </c>
      <c r="N135" s="37" t="s">
        <v>18</v>
      </c>
      <c r="O135" s="29">
        <v>1</v>
      </c>
      <c r="P135" s="38">
        <v>40</v>
      </c>
      <c r="Q135" s="46"/>
      <c r="R135" s="28" t="s">
        <v>2961</v>
      </c>
      <c r="S135" s="92" t="s">
        <v>21</v>
      </c>
      <c r="T135" s="46"/>
      <c r="U135" s="28" t="s">
        <v>31</v>
      </c>
    </row>
    <row r="136" spans="1:21" s="27" customFormat="1" x14ac:dyDescent="0.25">
      <c r="A136" s="28" t="s">
        <v>21</v>
      </c>
      <c r="B136" s="28" t="s">
        <v>2899</v>
      </c>
      <c r="C136" s="28">
        <v>784502</v>
      </c>
      <c r="D136" s="31">
        <v>1</v>
      </c>
      <c r="E136" s="71">
        <v>51</v>
      </c>
      <c r="F136" s="45">
        <v>302</v>
      </c>
      <c r="G136" s="32"/>
      <c r="H136" s="32">
        <v>1.873</v>
      </c>
      <c r="I136" s="32">
        <v>1.8660000000000001</v>
      </c>
      <c r="J136" s="33">
        <f t="shared" si="17"/>
        <v>6.9999999999998952E-3</v>
      </c>
      <c r="K136" s="34" t="str">
        <f t="shared" si="15"/>
        <v/>
      </c>
      <c r="L136" s="35">
        <f t="shared" si="18"/>
        <v>7.55</v>
      </c>
      <c r="M136" s="36" t="str">
        <f t="shared" si="19"/>
        <v/>
      </c>
      <c r="N136" s="37" t="s">
        <v>18</v>
      </c>
      <c r="O136" s="29">
        <v>1</v>
      </c>
      <c r="P136" s="38">
        <v>40</v>
      </c>
      <c r="Q136" s="46"/>
      <c r="R136" s="28" t="s">
        <v>2962</v>
      </c>
      <c r="S136" s="91" t="s">
        <v>103</v>
      </c>
      <c r="T136" s="46"/>
      <c r="U136" s="28" t="s">
        <v>31</v>
      </c>
    </row>
    <row r="137" spans="1:21" s="27" customFormat="1" x14ac:dyDescent="0.25">
      <c r="A137" s="28" t="s">
        <v>21</v>
      </c>
      <c r="B137" s="28" t="s">
        <v>2900</v>
      </c>
      <c r="C137" s="28" t="s">
        <v>21</v>
      </c>
      <c r="D137" s="31">
        <v>1</v>
      </c>
      <c r="E137" s="71">
        <v>57</v>
      </c>
      <c r="F137" s="45">
        <v>300</v>
      </c>
      <c r="G137" s="32"/>
      <c r="H137" s="32">
        <v>1.8740000000000001</v>
      </c>
      <c r="I137" s="32">
        <v>1.867</v>
      </c>
      <c r="J137" s="33">
        <f t="shared" si="17"/>
        <v>7.0000000000001172E-3</v>
      </c>
      <c r="K137" s="34" t="str">
        <f t="shared" si="15"/>
        <v/>
      </c>
      <c r="L137" s="35">
        <f t="shared" si="18"/>
        <v>7.5</v>
      </c>
      <c r="M137" s="36" t="str">
        <f t="shared" si="19"/>
        <v/>
      </c>
      <c r="N137" s="37" t="s">
        <v>18</v>
      </c>
      <c r="O137" s="29">
        <v>1</v>
      </c>
      <c r="P137" s="38">
        <v>40</v>
      </c>
      <c r="Q137" s="46"/>
      <c r="R137" s="28" t="s">
        <v>2963</v>
      </c>
      <c r="S137" s="91" t="s">
        <v>59</v>
      </c>
      <c r="T137" s="46"/>
      <c r="U137" s="28" t="s">
        <v>31</v>
      </c>
    </row>
    <row r="138" spans="1:21" s="27" customFormat="1" x14ac:dyDescent="0.25">
      <c r="A138" s="28" t="s">
        <v>21</v>
      </c>
      <c r="B138" s="28" t="s">
        <v>2901</v>
      </c>
      <c r="C138" s="28" t="s">
        <v>21</v>
      </c>
      <c r="D138" s="31">
        <v>1</v>
      </c>
      <c r="E138" s="71">
        <v>42</v>
      </c>
      <c r="F138" s="45">
        <v>303</v>
      </c>
      <c r="G138" s="32"/>
      <c r="H138" s="32">
        <v>1.8720000000000001</v>
      </c>
      <c r="I138" s="32">
        <v>1.8640000000000001</v>
      </c>
      <c r="J138" s="33">
        <f t="shared" ref="J138:J155" si="20">IF(O138&lt;&gt;"",(H138-I138)/O138,"")</f>
        <v>8.0000000000000071E-3</v>
      </c>
      <c r="K138" s="34" t="str">
        <f t="shared" si="15"/>
        <v/>
      </c>
      <c r="L138" s="35">
        <f t="shared" ref="L138:L155" si="21">F138/(O138*P138)</f>
        <v>7.5750000000000002</v>
      </c>
      <c r="M138" s="36" t="str">
        <f t="shared" ref="M138:M155" si="22">IF(L138=0,"",IF(OR(L138&lt;7,L138&gt;7.8),"X",""))</f>
        <v/>
      </c>
      <c r="N138" s="37" t="s">
        <v>18</v>
      </c>
      <c r="O138" s="29">
        <v>1</v>
      </c>
      <c r="P138" s="38">
        <v>40</v>
      </c>
      <c r="Q138" s="46"/>
      <c r="R138" s="28" t="s">
        <v>2964</v>
      </c>
      <c r="S138" s="92" t="s">
        <v>21</v>
      </c>
      <c r="T138" s="46"/>
      <c r="U138" s="28" t="s">
        <v>31</v>
      </c>
    </row>
    <row r="139" spans="1:21" s="27" customFormat="1" x14ac:dyDescent="0.25">
      <c r="A139" s="28" t="s">
        <v>21</v>
      </c>
      <c r="B139" s="28" t="s">
        <v>2902</v>
      </c>
      <c r="C139" s="28" t="s">
        <v>21</v>
      </c>
      <c r="D139" s="31">
        <v>1</v>
      </c>
      <c r="E139" s="71">
        <v>35</v>
      </c>
      <c r="F139" s="45">
        <v>302</v>
      </c>
      <c r="G139" s="32"/>
      <c r="H139" s="32">
        <v>1.87</v>
      </c>
      <c r="I139" s="32">
        <v>1.861</v>
      </c>
      <c r="J139" s="33">
        <f t="shared" si="20"/>
        <v>9.000000000000119E-3</v>
      </c>
      <c r="K139" s="34" t="str">
        <f t="shared" si="15"/>
        <v/>
      </c>
      <c r="L139" s="35">
        <f t="shared" si="21"/>
        <v>7.55</v>
      </c>
      <c r="M139" s="36" t="str">
        <f t="shared" si="22"/>
        <v/>
      </c>
      <c r="N139" s="37" t="s">
        <v>18</v>
      </c>
      <c r="O139" s="29">
        <v>1</v>
      </c>
      <c r="P139" s="38">
        <v>40</v>
      </c>
      <c r="Q139" s="46"/>
      <c r="R139" s="28" t="s">
        <v>2965</v>
      </c>
      <c r="S139" s="92" t="s">
        <v>21</v>
      </c>
      <c r="T139" s="46"/>
      <c r="U139" s="28" t="s">
        <v>31</v>
      </c>
    </row>
    <row r="140" spans="1:21" s="27" customFormat="1" x14ac:dyDescent="0.25">
      <c r="A140" s="28" t="s">
        <v>21</v>
      </c>
      <c r="B140" s="28" t="s">
        <v>2903</v>
      </c>
      <c r="C140" s="28" t="s">
        <v>21</v>
      </c>
      <c r="D140" s="31">
        <v>1</v>
      </c>
      <c r="E140" s="71">
        <v>46</v>
      </c>
      <c r="F140" s="45">
        <v>301</v>
      </c>
      <c r="G140" s="32"/>
      <c r="H140" s="32">
        <v>1.88</v>
      </c>
      <c r="I140" s="32">
        <v>1.873</v>
      </c>
      <c r="J140" s="33">
        <f t="shared" si="20"/>
        <v>6.9999999999998952E-3</v>
      </c>
      <c r="K140" s="34" t="str">
        <f t="shared" si="15"/>
        <v/>
      </c>
      <c r="L140" s="35">
        <f t="shared" si="21"/>
        <v>7.5250000000000004</v>
      </c>
      <c r="M140" s="36" t="str">
        <f t="shared" si="22"/>
        <v/>
      </c>
      <c r="N140" s="37" t="s">
        <v>18</v>
      </c>
      <c r="O140" s="29">
        <v>1</v>
      </c>
      <c r="P140" s="38">
        <v>40</v>
      </c>
      <c r="Q140" s="46"/>
      <c r="R140" s="28" t="s">
        <v>2966</v>
      </c>
      <c r="S140" s="92" t="s">
        <v>21</v>
      </c>
      <c r="T140" s="46"/>
      <c r="U140" s="28" t="s">
        <v>31</v>
      </c>
    </row>
    <row r="141" spans="1:21" s="27" customFormat="1" x14ac:dyDescent="0.25">
      <c r="A141" s="28" t="s">
        <v>21</v>
      </c>
      <c r="B141" s="28" t="s">
        <v>2904</v>
      </c>
      <c r="C141" s="28" t="s">
        <v>21</v>
      </c>
      <c r="D141" s="31">
        <v>1</v>
      </c>
      <c r="E141" s="71">
        <v>58</v>
      </c>
      <c r="F141" s="45">
        <v>302</v>
      </c>
      <c r="G141" s="32"/>
      <c r="H141" s="32">
        <v>1.859</v>
      </c>
      <c r="I141" s="32">
        <v>1.851</v>
      </c>
      <c r="J141" s="33">
        <f t="shared" si="20"/>
        <v>8.0000000000000071E-3</v>
      </c>
      <c r="K141" s="34" t="str">
        <f t="shared" si="15"/>
        <v/>
      </c>
      <c r="L141" s="35">
        <f t="shared" si="21"/>
        <v>7.55</v>
      </c>
      <c r="M141" s="36" t="str">
        <f t="shared" si="22"/>
        <v/>
      </c>
      <c r="N141" s="37" t="s">
        <v>18</v>
      </c>
      <c r="O141" s="29">
        <v>1</v>
      </c>
      <c r="P141" s="38">
        <v>40</v>
      </c>
      <c r="Q141" s="46"/>
      <c r="R141" s="28" t="s">
        <v>2967</v>
      </c>
      <c r="S141" s="91" t="s">
        <v>58</v>
      </c>
      <c r="T141" s="46"/>
      <c r="U141" s="28" t="s">
        <v>31</v>
      </c>
    </row>
    <row r="142" spans="1:21" s="27" customFormat="1" x14ac:dyDescent="0.25">
      <c r="A142" s="28" t="s">
        <v>21</v>
      </c>
      <c r="B142" s="28" t="s">
        <v>2905</v>
      </c>
      <c r="C142" s="28" t="s">
        <v>21</v>
      </c>
      <c r="D142" s="31">
        <v>1</v>
      </c>
      <c r="E142" s="71">
        <v>60</v>
      </c>
      <c r="F142" s="45">
        <v>303</v>
      </c>
      <c r="G142" s="32"/>
      <c r="H142" s="32">
        <v>1.851</v>
      </c>
      <c r="I142" s="32">
        <v>1.843</v>
      </c>
      <c r="J142" s="33">
        <f t="shared" si="20"/>
        <v>8.0000000000000071E-3</v>
      </c>
      <c r="K142" s="34" t="str">
        <f t="shared" si="15"/>
        <v/>
      </c>
      <c r="L142" s="35">
        <f t="shared" si="21"/>
        <v>7.5750000000000002</v>
      </c>
      <c r="M142" s="36" t="str">
        <f t="shared" si="22"/>
        <v/>
      </c>
      <c r="N142" s="37" t="s">
        <v>18</v>
      </c>
      <c r="O142" s="29">
        <v>1</v>
      </c>
      <c r="P142" s="38">
        <v>40</v>
      </c>
      <c r="Q142" s="46"/>
      <c r="R142" s="28" t="s">
        <v>2968</v>
      </c>
      <c r="S142" s="91" t="s">
        <v>59</v>
      </c>
      <c r="T142" s="46"/>
      <c r="U142" s="28" t="s">
        <v>31</v>
      </c>
    </row>
    <row r="143" spans="1:21" s="27" customFormat="1" x14ac:dyDescent="0.25">
      <c r="A143" s="28" t="s">
        <v>21</v>
      </c>
      <c r="B143" s="28" t="s">
        <v>2906</v>
      </c>
      <c r="C143" s="28" t="s">
        <v>21</v>
      </c>
      <c r="D143" s="31">
        <v>1</v>
      </c>
      <c r="E143" s="71">
        <v>66</v>
      </c>
      <c r="F143" s="45">
        <v>304</v>
      </c>
      <c r="G143" s="32"/>
      <c r="H143" s="32">
        <v>1.845</v>
      </c>
      <c r="I143" s="32">
        <v>1.8380000000000001</v>
      </c>
      <c r="J143" s="33">
        <f t="shared" si="20"/>
        <v>6.9999999999998952E-3</v>
      </c>
      <c r="K143" s="34" t="str">
        <f t="shared" si="15"/>
        <v/>
      </c>
      <c r="L143" s="35">
        <f t="shared" si="21"/>
        <v>7.6</v>
      </c>
      <c r="M143" s="36" t="str">
        <f t="shared" si="22"/>
        <v/>
      </c>
      <c r="N143" s="37" t="s">
        <v>18</v>
      </c>
      <c r="O143" s="29">
        <v>1</v>
      </c>
      <c r="P143" s="38">
        <v>40</v>
      </c>
      <c r="Q143" s="46"/>
      <c r="R143" s="28" t="s">
        <v>2969</v>
      </c>
      <c r="S143" s="92" t="s">
        <v>21</v>
      </c>
      <c r="T143" s="46"/>
      <c r="U143" s="28" t="s">
        <v>31</v>
      </c>
    </row>
    <row r="144" spans="1:21" s="27" customFormat="1" x14ac:dyDescent="0.25">
      <c r="A144" s="28" t="s">
        <v>21</v>
      </c>
      <c r="B144" s="28" t="s">
        <v>2907</v>
      </c>
      <c r="C144" s="28" t="s">
        <v>21</v>
      </c>
      <c r="D144" s="31">
        <v>1</v>
      </c>
      <c r="E144" s="71">
        <v>61</v>
      </c>
      <c r="F144" s="45">
        <v>302</v>
      </c>
      <c r="G144" s="32"/>
      <c r="H144" s="32">
        <v>1.84</v>
      </c>
      <c r="I144" s="32">
        <v>1.8320000000000001</v>
      </c>
      <c r="J144" s="33">
        <f t="shared" si="20"/>
        <v>8.0000000000000071E-3</v>
      </c>
      <c r="K144" s="34" t="str">
        <f t="shared" si="15"/>
        <v/>
      </c>
      <c r="L144" s="35">
        <f t="shared" si="21"/>
        <v>7.55</v>
      </c>
      <c r="M144" s="36" t="str">
        <f t="shared" si="22"/>
        <v/>
      </c>
      <c r="N144" s="37" t="s">
        <v>18</v>
      </c>
      <c r="O144" s="29">
        <v>1</v>
      </c>
      <c r="P144" s="38">
        <v>40</v>
      </c>
      <c r="Q144" s="46"/>
      <c r="R144" s="28" t="s">
        <v>2970</v>
      </c>
      <c r="S144" s="92" t="s">
        <v>21</v>
      </c>
      <c r="T144" s="46"/>
      <c r="U144" s="28" t="s">
        <v>31</v>
      </c>
    </row>
    <row r="145" spans="1:21" s="27" customFormat="1" x14ac:dyDescent="0.25">
      <c r="A145" s="28" t="s">
        <v>21</v>
      </c>
      <c r="B145" s="28" t="s">
        <v>2908</v>
      </c>
      <c r="C145" s="28" t="s">
        <v>21</v>
      </c>
      <c r="D145" s="31">
        <v>1</v>
      </c>
      <c r="E145" s="71">
        <v>57</v>
      </c>
      <c r="F145" s="45">
        <v>302</v>
      </c>
      <c r="G145" s="32"/>
      <c r="H145" s="32">
        <v>1.841</v>
      </c>
      <c r="I145" s="32">
        <v>1.8320000000000001</v>
      </c>
      <c r="J145" s="33">
        <f t="shared" si="20"/>
        <v>8.999999999999897E-3</v>
      </c>
      <c r="K145" s="34" t="str">
        <f t="shared" si="15"/>
        <v/>
      </c>
      <c r="L145" s="35">
        <f t="shared" si="21"/>
        <v>7.55</v>
      </c>
      <c r="M145" s="36" t="str">
        <f t="shared" si="22"/>
        <v/>
      </c>
      <c r="N145" s="37" t="s">
        <v>18</v>
      </c>
      <c r="O145" s="29">
        <v>1</v>
      </c>
      <c r="P145" s="38">
        <v>40</v>
      </c>
      <c r="Q145" s="46"/>
      <c r="R145" s="28" t="s">
        <v>2972</v>
      </c>
      <c r="S145" s="92" t="s">
        <v>21</v>
      </c>
      <c r="T145" s="46"/>
      <c r="U145" s="28" t="s">
        <v>31</v>
      </c>
    </row>
    <row r="146" spans="1:21" s="27" customFormat="1" x14ac:dyDescent="0.25">
      <c r="A146" s="28" t="s">
        <v>21</v>
      </c>
      <c r="B146" s="28" t="s">
        <v>2909</v>
      </c>
      <c r="C146" s="28" t="s">
        <v>21</v>
      </c>
      <c r="D146" s="31">
        <v>1</v>
      </c>
      <c r="E146" s="71">
        <v>51</v>
      </c>
      <c r="F146" s="45">
        <v>301</v>
      </c>
      <c r="G146" s="32"/>
      <c r="H146" s="32">
        <v>1.8660000000000001</v>
      </c>
      <c r="I146" s="32">
        <v>1.8580000000000001</v>
      </c>
      <c r="J146" s="33">
        <f t="shared" si="20"/>
        <v>8.0000000000000071E-3</v>
      </c>
      <c r="K146" s="34" t="str">
        <f t="shared" si="15"/>
        <v/>
      </c>
      <c r="L146" s="35">
        <f t="shared" si="21"/>
        <v>7.5250000000000004</v>
      </c>
      <c r="M146" s="36" t="str">
        <f t="shared" si="22"/>
        <v/>
      </c>
      <c r="N146" s="37" t="s">
        <v>18</v>
      </c>
      <c r="O146" s="29">
        <v>1</v>
      </c>
      <c r="P146" s="38">
        <v>40</v>
      </c>
      <c r="Q146" s="46"/>
      <c r="R146" s="28" t="s">
        <v>2971</v>
      </c>
      <c r="S146" s="91" t="s">
        <v>103</v>
      </c>
      <c r="T146" s="46"/>
      <c r="U146" s="28" t="s">
        <v>31</v>
      </c>
    </row>
    <row r="147" spans="1:21" s="27" customFormat="1" x14ac:dyDescent="0.25">
      <c r="A147" s="28" t="s">
        <v>21</v>
      </c>
      <c r="B147" s="28" t="s">
        <v>2910</v>
      </c>
      <c r="C147" s="28" t="s">
        <v>21</v>
      </c>
      <c r="D147" s="31">
        <v>1</v>
      </c>
      <c r="E147" s="71">
        <v>48</v>
      </c>
      <c r="F147" s="45">
        <v>303</v>
      </c>
      <c r="G147" s="32"/>
      <c r="H147" s="32">
        <v>1.8720000000000001</v>
      </c>
      <c r="I147" s="32">
        <v>1.8640000000000001</v>
      </c>
      <c r="J147" s="33">
        <f t="shared" si="20"/>
        <v>8.0000000000000071E-3</v>
      </c>
      <c r="K147" s="34" t="str">
        <f t="shared" si="15"/>
        <v/>
      </c>
      <c r="L147" s="35">
        <f t="shared" si="21"/>
        <v>7.5750000000000002</v>
      </c>
      <c r="M147" s="36" t="str">
        <f t="shared" si="22"/>
        <v/>
      </c>
      <c r="N147" s="37" t="s">
        <v>18</v>
      </c>
      <c r="O147" s="29">
        <v>1</v>
      </c>
      <c r="P147" s="38">
        <v>40</v>
      </c>
      <c r="Q147" s="46"/>
      <c r="R147" s="28" t="s">
        <v>2974</v>
      </c>
      <c r="S147" s="91" t="s">
        <v>59</v>
      </c>
      <c r="T147" s="46"/>
      <c r="U147" s="28" t="s">
        <v>31</v>
      </c>
    </row>
    <row r="148" spans="1:21" s="27" customFormat="1" x14ac:dyDescent="0.25">
      <c r="A148" s="28" t="s">
        <v>21</v>
      </c>
      <c r="B148" s="28" t="s">
        <v>2911</v>
      </c>
      <c r="C148" s="28" t="s">
        <v>21</v>
      </c>
      <c r="D148" s="31">
        <v>1</v>
      </c>
      <c r="E148" s="71">
        <v>59</v>
      </c>
      <c r="F148" s="45">
        <v>303</v>
      </c>
      <c r="G148" s="32"/>
      <c r="H148" s="32">
        <v>1.879</v>
      </c>
      <c r="I148" s="32">
        <v>1.873</v>
      </c>
      <c r="J148" s="33">
        <f t="shared" si="20"/>
        <v>6.0000000000000053E-3</v>
      </c>
      <c r="K148" s="34" t="str">
        <f t="shared" si="15"/>
        <v/>
      </c>
      <c r="L148" s="35">
        <f t="shared" si="21"/>
        <v>7.5750000000000002</v>
      </c>
      <c r="M148" s="36" t="str">
        <f t="shared" si="22"/>
        <v/>
      </c>
      <c r="N148" s="37" t="s">
        <v>18</v>
      </c>
      <c r="O148" s="29">
        <v>1</v>
      </c>
      <c r="P148" s="38">
        <v>40</v>
      </c>
      <c r="Q148" s="46"/>
      <c r="R148" s="28" t="s">
        <v>2973</v>
      </c>
      <c r="S148" s="92" t="s">
        <v>21</v>
      </c>
      <c r="T148" s="46"/>
      <c r="U148" s="28" t="s">
        <v>31</v>
      </c>
    </row>
    <row r="149" spans="1:21" s="27" customFormat="1" x14ac:dyDescent="0.25">
      <c r="A149" s="28" t="s">
        <v>21</v>
      </c>
      <c r="B149" s="28" t="s">
        <v>2912</v>
      </c>
      <c r="C149" s="28" t="s">
        <v>21</v>
      </c>
      <c r="D149" s="31">
        <v>1</v>
      </c>
      <c r="E149" s="71">
        <v>60</v>
      </c>
      <c r="F149" s="45">
        <v>302</v>
      </c>
      <c r="G149" s="32"/>
      <c r="H149" s="32">
        <v>1.887</v>
      </c>
      <c r="I149" s="32">
        <v>1.88</v>
      </c>
      <c r="J149" s="33">
        <f t="shared" si="20"/>
        <v>7.0000000000001172E-3</v>
      </c>
      <c r="K149" s="34" t="str">
        <f t="shared" si="15"/>
        <v/>
      </c>
      <c r="L149" s="35">
        <f t="shared" si="21"/>
        <v>7.55</v>
      </c>
      <c r="M149" s="36" t="str">
        <f t="shared" si="22"/>
        <v/>
      </c>
      <c r="N149" s="37" t="s">
        <v>18</v>
      </c>
      <c r="O149" s="29">
        <v>1</v>
      </c>
      <c r="P149" s="38">
        <v>40</v>
      </c>
      <c r="Q149" s="46"/>
      <c r="R149" s="28" t="s">
        <v>2975</v>
      </c>
      <c r="S149" s="92" t="s">
        <v>21</v>
      </c>
      <c r="T149" s="46"/>
      <c r="U149" s="28" t="s">
        <v>31</v>
      </c>
    </row>
    <row r="150" spans="1:21" s="27" customFormat="1" x14ac:dyDescent="0.25">
      <c r="A150" s="28" t="s">
        <v>21</v>
      </c>
      <c r="B150" s="28" t="s">
        <v>2913</v>
      </c>
      <c r="C150" s="28" t="s">
        <v>21</v>
      </c>
      <c r="D150" s="31">
        <v>1</v>
      </c>
      <c r="E150" s="71">
        <v>67</v>
      </c>
      <c r="F150" s="45">
        <v>303</v>
      </c>
      <c r="G150" s="32"/>
      <c r="H150" s="32">
        <v>1.8660000000000001</v>
      </c>
      <c r="I150" s="32">
        <v>1.859</v>
      </c>
      <c r="J150" s="33">
        <f t="shared" si="20"/>
        <v>7.0000000000001172E-3</v>
      </c>
      <c r="K150" s="34" t="str">
        <f t="shared" ref="K150:K155" si="23">IF(J150=0,"",IF(OR(J150&lt;0,J150&gt;0.03),"X",""))</f>
        <v/>
      </c>
      <c r="L150" s="35">
        <f t="shared" si="21"/>
        <v>7.5750000000000002</v>
      </c>
      <c r="M150" s="36" t="str">
        <f t="shared" si="22"/>
        <v/>
      </c>
      <c r="N150" s="37" t="s">
        <v>18</v>
      </c>
      <c r="O150" s="29">
        <v>1</v>
      </c>
      <c r="P150" s="38">
        <v>40</v>
      </c>
      <c r="Q150" s="46"/>
      <c r="R150" s="28" t="s">
        <v>2976</v>
      </c>
      <c r="S150" s="92" t="s">
        <v>21</v>
      </c>
      <c r="T150" s="46"/>
      <c r="U150" s="28" t="s">
        <v>31</v>
      </c>
    </row>
    <row r="151" spans="1:21" s="27" customFormat="1" x14ac:dyDescent="0.25">
      <c r="A151" s="28" t="s">
        <v>21</v>
      </c>
      <c r="B151" s="28" t="s">
        <v>2914</v>
      </c>
      <c r="C151" s="28" t="s">
        <v>21</v>
      </c>
      <c r="D151" s="31">
        <v>1</v>
      </c>
      <c r="E151" s="71">
        <v>42</v>
      </c>
      <c r="F151" s="45">
        <v>300</v>
      </c>
      <c r="G151" s="32"/>
      <c r="H151" s="32">
        <v>1.857</v>
      </c>
      <c r="I151" s="32">
        <v>1.8520000000000001</v>
      </c>
      <c r="J151" s="33">
        <f t="shared" si="20"/>
        <v>4.9999999999998934E-3</v>
      </c>
      <c r="K151" s="34" t="str">
        <f t="shared" si="23"/>
        <v/>
      </c>
      <c r="L151" s="35">
        <f t="shared" si="21"/>
        <v>7.5</v>
      </c>
      <c r="M151" s="36" t="str">
        <f t="shared" si="22"/>
        <v/>
      </c>
      <c r="N151" s="37" t="s">
        <v>18</v>
      </c>
      <c r="O151" s="29">
        <v>1</v>
      </c>
      <c r="P151" s="38">
        <v>40</v>
      </c>
      <c r="Q151" s="46"/>
      <c r="R151" s="28" t="s">
        <v>2983</v>
      </c>
      <c r="S151" s="91" t="s">
        <v>58</v>
      </c>
      <c r="T151" s="46"/>
      <c r="U151" s="28" t="s">
        <v>31</v>
      </c>
    </row>
    <row r="152" spans="1:21" s="27" customFormat="1" x14ac:dyDescent="0.25">
      <c r="A152" s="28" t="s">
        <v>21</v>
      </c>
      <c r="B152" s="28" t="s">
        <v>2915</v>
      </c>
      <c r="C152" s="28" t="s">
        <v>21</v>
      </c>
      <c r="D152" s="31">
        <v>1</v>
      </c>
      <c r="E152" s="71">
        <v>42</v>
      </c>
      <c r="F152" s="45">
        <v>300</v>
      </c>
      <c r="G152" s="32"/>
      <c r="H152" s="32">
        <v>1.8640000000000001</v>
      </c>
      <c r="I152" s="32">
        <v>1.8580000000000001</v>
      </c>
      <c r="J152" s="33">
        <f t="shared" si="20"/>
        <v>6.0000000000000053E-3</v>
      </c>
      <c r="K152" s="34" t="str">
        <f t="shared" si="23"/>
        <v/>
      </c>
      <c r="L152" s="35">
        <f t="shared" si="21"/>
        <v>7.5</v>
      </c>
      <c r="M152" s="36" t="str">
        <f t="shared" si="22"/>
        <v/>
      </c>
      <c r="N152" s="37" t="s">
        <v>18</v>
      </c>
      <c r="O152" s="29">
        <v>1</v>
      </c>
      <c r="P152" s="38">
        <v>40</v>
      </c>
      <c r="Q152" s="46"/>
      <c r="R152" s="28" t="s">
        <v>2984</v>
      </c>
      <c r="S152" s="91" t="s">
        <v>59</v>
      </c>
      <c r="T152" s="46"/>
      <c r="U152" s="28" t="s">
        <v>31</v>
      </c>
    </row>
    <row r="153" spans="1:21" s="27" customFormat="1" x14ac:dyDescent="0.25">
      <c r="A153" s="28" t="s">
        <v>21</v>
      </c>
      <c r="B153" s="28" t="s">
        <v>2916</v>
      </c>
      <c r="C153" s="28" t="s">
        <v>21</v>
      </c>
      <c r="D153" s="31">
        <v>1</v>
      </c>
      <c r="E153" s="71">
        <v>42</v>
      </c>
      <c r="F153" s="45">
        <v>301</v>
      </c>
      <c r="G153" s="32"/>
      <c r="H153" s="32">
        <v>1.863</v>
      </c>
      <c r="I153" s="32">
        <v>1.857</v>
      </c>
      <c r="J153" s="33">
        <f t="shared" si="20"/>
        <v>6.0000000000000053E-3</v>
      </c>
      <c r="K153" s="34" t="str">
        <f t="shared" si="23"/>
        <v/>
      </c>
      <c r="L153" s="35">
        <f t="shared" si="21"/>
        <v>7.5250000000000004</v>
      </c>
      <c r="M153" s="36" t="str">
        <f t="shared" si="22"/>
        <v/>
      </c>
      <c r="N153" s="37" t="s">
        <v>18</v>
      </c>
      <c r="O153" s="29">
        <v>1</v>
      </c>
      <c r="P153" s="38">
        <v>40</v>
      </c>
      <c r="Q153" s="46"/>
      <c r="R153" s="28" t="s">
        <v>2985</v>
      </c>
      <c r="S153" s="92" t="s">
        <v>21</v>
      </c>
      <c r="T153" s="46"/>
      <c r="U153" s="28" t="s">
        <v>31</v>
      </c>
    </row>
    <row r="154" spans="1:21" s="27" customFormat="1" x14ac:dyDescent="0.25">
      <c r="A154" s="28" t="s">
        <v>21</v>
      </c>
      <c r="B154" s="28" t="s">
        <v>2917</v>
      </c>
      <c r="C154" s="28" t="s">
        <v>21</v>
      </c>
      <c r="D154" s="31">
        <v>1</v>
      </c>
      <c r="E154" s="71">
        <v>49</v>
      </c>
      <c r="F154" s="45">
        <v>302</v>
      </c>
      <c r="G154" s="32"/>
      <c r="H154" s="32">
        <v>1.867</v>
      </c>
      <c r="I154" s="32">
        <v>1.8620000000000001</v>
      </c>
      <c r="J154" s="33">
        <f t="shared" si="20"/>
        <v>4.9999999999998934E-3</v>
      </c>
      <c r="K154" s="34" t="str">
        <f t="shared" si="23"/>
        <v/>
      </c>
      <c r="L154" s="35">
        <f t="shared" si="21"/>
        <v>7.55</v>
      </c>
      <c r="M154" s="36" t="str">
        <f t="shared" si="22"/>
        <v/>
      </c>
      <c r="N154" s="37" t="s">
        <v>18</v>
      </c>
      <c r="O154" s="29">
        <v>1</v>
      </c>
      <c r="P154" s="38">
        <v>40</v>
      </c>
      <c r="Q154" s="46"/>
      <c r="R154" s="28" t="s">
        <v>2986</v>
      </c>
      <c r="S154" s="92" t="s">
        <v>21</v>
      </c>
      <c r="T154" s="46"/>
      <c r="U154" s="28" t="s">
        <v>31</v>
      </c>
    </row>
    <row r="155" spans="1:21" s="27" customFormat="1" x14ac:dyDescent="0.25">
      <c r="A155" s="28" t="s">
        <v>21</v>
      </c>
      <c r="B155" s="28" t="s">
        <v>2918</v>
      </c>
      <c r="C155" s="28" t="s">
        <v>21</v>
      </c>
      <c r="D155" s="31">
        <v>1</v>
      </c>
      <c r="E155" s="71">
        <v>34</v>
      </c>
      <c r="F155" s="45">
        <v>302</v>
      </c>
      <c r="G155" s="32"/>
      <c r="H155" s="32">
        <v>1.869</v>
      </c>
      <c r="I155" s="32">
        <v>1.8620000000000001</v>
      </c>
      <c r="J155" s="33">
        <f t="shared" si="20"/>
        <v>6.9999999999998952E-3</v>
      </c>
      <c r="K155" s="34" t="str">
        <f t="shared" si="23"/>
        <v/>
      </c>
      <c r="L155" s="35">
        <f t="shared" si="21"/>
        <v>7.55</v>
      </c>
      <c r="M155" s="36" t="str">
        <f t="shared" si="22"/>
        <v/>
      </c>
      <c r="N155" s="37" t="s">
        <v>18</v>
      </c>
      <c r="O155" s="29">
        <v>1</v>
      </c>
      <c r="P155" s="38">
        <v>40</v>
      </c>
      <c r="Q155" s="46"/>
      <c r="R155" s="28" t="s">
        <v>2987</v>
      </c>
      <c r="S155" s="92" t="s">
        <v>21</v>
      </c>
      <c r="T155" s="46"/>
      <c r="U155" s="28" t="s">
        <v>31</v>
      </c>
    </row>
    <row r="156" spans="1:21" s="27" customFormat="1" x14ac:dyDescent="0.25">
      <c r="A156" s="28" t="s">
        <v>2769</v>
      </c>
      <c r="B156" s="93" t="s">
        <v>2944</v>
      </c>
      <c r="C156" s="28">
        <v>784502</v>
      </c>
      <c r="D156" s="31">
        <v>1</v>
      </c>
      <c r="E156" s="73"/>
      <c r="F156" s="45"/>
      <c r="G156" s="32">
        <v>1.823</v>
      </c>
      <c r="H156" s="32">
        <v>21.99</v>
      </c>
      <c r="I156" s="32">
        <v>21.85</v>
      </c>
      <c r="J156" s="33">
        <f>IF(O156&lt;&gt;"",(H156-I156)/O156,"")</f>
        <v>1.1666666666666417E-2</v>
      </c>
      <c r="K156" s="34" t="str">
        <f>IF(J156=0,"",IF(OR(J156&lt;0,J156&gt;0.03),"X",""))</f>
        <v/>
      </c>
      <c r="L156" s="35">
        <f>F156/(O156*P156)</f>
        <v>0</v>
      </c>
      <c r="M156" s="36" t="str">
        <f>IF(L156=0,"",IF(OR(L156&lt;7,L156&gt;7.8),"X",""))</f>
        <v/>
      </c>
      <c r="N156" s="37" t="s">
        <v>26</v>
      </c>
      <c r="O156" s="29">
        <v>12</v>
      </c>
      <c r="P156" s="38">
        <v>40</v>
      </c>
      <c r="Q156" s="28"/>
      <c r="R156" s="28" t="s">
        <v>2945</v>
      </c>
      <c r="S156" s="47"/>
      <c r="T156" s="28"/>
      <c r="U156" s="28" t="s">
        <v>31</v>
      </c>
    </row>
    <row r="157" spans="1:21" s="27" customFormat="1" x14ac:dyDescent="0.25">
      <c r="A157" s="28" t="s">
        <v>21</v>
      </c>
      <c r="B157" s="28" t="s">
        <v>21</v>
      </c>
      <c r="C157" s="28" t="s">
        <v>21</v>
      </c>
      <c r="D157" s="31">
        <v>1</v>
      </c>
      <c r="E157" s="73"/>
      <c r="F157" s="31"/>
      <c r="G157" s="32">
        <v>1.833</v>
      </c>
      <c r="H157" s="32"/>
      <c r="I157" s="32"/>
      <c r="J157" s="33" t="str">
        <f>IF(O157&lt;&gt;"",(H157-I157)/O157,"")</f>
        <v/>
      </c>
      <c r="K157" s="34"/>
      <c r="L157" s="35"/>
      <c r="M157" s="36" t="str">
        <f>IF(L157=0,"",IF(OR(L157&lt;7.4,L157&gt;8),"X",""))</f>
        <v/>
      </c>
      <c r="N157" s="37"/>
      <c r="O157" s="29"/>
      <c r="P157" s="38"/>
      <c r="Q157" s="28"/>
      <c r="R157" s="28" t="s">
        <v>2946</v>
      </c>
      <c r="S157" s="47"/>
      <c r="T157" s="28"/>
      <c r="U157" s="28" t="s">
        <v>31</v>
      </c>
    </row>
    <row r="158" spans="1:21" s="27" customFormat="1" x14ac:dyDescent="0.25">
      <c r="A158" s="28" t="s">
        <v>21</v>
      </c>
      <c r="B158" s="28" t="s">
        <v>21</v>
      </c>
      <c r="C158" s="28" t="s">
        <v>21</v>
      </c>
      <c r="D158" s="31">
        <v>1</v>
      </c>
      <c r="E158" s="73"/>
      <c r="F158" s="31"/>
      <c r="G158" s="32">
        <v>1.837</v>
      </c>
      <c r="H158" s="32"/>
      <c r="I158" s="32"/>
      <c r="J158" s="33" t="str">
        <f t="shared" ref="J158:J167" si="24">IF(O158&lt;&gt;"",(H158-I158)/O158,"")</f>
        <v/>
      </c>
      <c r="K158" s="34"/>
      <c r="L158" s="35"/>
      <c r="M158" s="36" t="str">
        <f t="shared" ref="M158:M167" si="25">IF(L158=0,"",IF(OR(L158&lt;7.4,L158&gt;8),"X",""))</f>
        <v/>
      </c>
      <c r="N158" s="37"/>
      <c r="O158" s="29"/>
      <c r="P158" s="38"/>
      <c r="Q158" s="28"/>
      <c r="R158" s="28" t="s">
        <v>2947</v>
      </c>
      <c r="S158" s="47"/>
      <c r="T158" s="28"/>
      <c r="U158" s="28" t="s">
        <v>31</v>
      </c>
    </row>
    <row r="159" spans="1:21" s="27" customFormat="1" x14ac:dyDescent="0.25">
      <c r="A159" s="28" t="s">
        <v>21</v>
      </c>
      <c r="B159" s="28" t="s">
        <v>21</v>
      </c>
      <c r="C159" s="28" t="s">
        <v>21</v>
      </c>
      <c r="D159" s="31">
        <v>1</v>
      </c>
      <c r="E159" s="73"/>
      <c r="F159" s="31"/>
      <c r="G159" s="32">
        <v>1.84</v>
      </c>
      <c r="H159" s="32"/>
      <c r="I159" s="32"/>
      <c r="J159" s="33" t="str">
        <f t="shared" si="24"/>
        <v/>
      </c>
      <c r="K159" s="34"/>
      <c r="L159" s="35"/>
      <c r="M159" s="36" t="str">
        <f t="shared" si="25"/>
        <v/>
      </c>
      <c r="N159" s="37"/>
      <c r="O159" s="29"/>
      <c r="P159" s="38"/>
      <c r="Q159" s="28"/>
      <c r="R159" s="28" t="s">
        <v>2948</v>
      </c>
      <c r="S159" s="47"/>
      <c r="T159" s="28"/>
      <c r="U159" s="28" t="s">
        <v>31</v>
      </c>
    </row>
    <row r="160" spans="1:21" s="27" customFormat="1" x14ac:dyDescent="0.25">
      <c r="A160" s="28" t="s">
        <v>21</v>
      </c>
      <c r="B160" s="28" t="s">
        <v>21</v>
      </c>
      <c r="C160" s="28" t="s">
        <v>21</v>
      </c>
      <c r="D160" s="31">
        <v>1</v>
      </c>
      <c r="E160" s="73"/>
      <c r="F160" s="31"/>
      <c r="G160" s="32">
        <v>1.837</v>
      </c>
      <c r="H160" s="32"/>
      <c r="I160" s="32"/>
      <c r="J160" s="33" t="str">
        <f t="shared" si="24"/>
        <v/>
      </c>
      <c r="K160" s="34"/>
      <c r="L160" s="35"/>
      <c r="M160" s="36" t="str">
        <f t="shared" si="25"/>
        <v/>
      </c>
      <c r="N160" s="37"/>
      <c r="O160" s="29"/>
      <c r="P160" s="38"/>
      <c r="Q160" s="28"/>
      <c r="R160" s="28" t="s">
        <v>2949</v>
      </c>
      <c r="S160" s="47"/>
      <c r="T160" s="28"/>
      <c r="U160" s="28" t="s">
        <v>31</v>
      </c>
    </row>
    <row r="161" spans="1:21" s="27" customFormat="1" x14ac:dyDescent="0.25">
      <c r="A161" s="28" t="s">
        <v>21</v>
      </c>
      <c r="B161" s="28" t="s">
        <v>21</v>
      </c>
      <c r="C161" s="28" t="s">
        <v>21</v>
      </c>
      <c r="D161" s="31">
        <v>1</v>
      </c>
      <c r="E161" s="73"/>
      <c r="F161" s="31"/>
      <c r="G161" s="32">
        <v>1.831</v>
      </c>
      <c r="H161" s="32"/>
      <c r="I161" s="32"/>
      <c r="J161" s="33" t="str">
        <f t="shared" si="24"/>
        <v/>
      </c>
      <c r="K161" s="34"/>
      <c r="L161" s="35"/>
      <c r="M161" s="36" t="str">
        <f t="shared" si="25"/>
        <v/>
      </c>
      <c r="N161" s="37"/>
      <c r="O161" s="29"/>
      <c r="P161" s="38"/>
      <c r="Q161" s="28"/>
      <c r="R161" s="28" t="s">
        <v>2950</v>
      </c>
      <c r="S161" s="47"/>
      <c r="T161" s="28"/>
      <c r="U161" s="28" t="s">
        <v>31</v>
      </c>
    </row>
    <row r="162" spans="1:21" s="27" customFormat="1" x14ac:dyDescent="0.25">
      <c r="A162" s="28" t="s">
        <v>21</v>
      </c>
      <c r="B162" s="28" t="s">
        <v>21</v>
      </c>
      <c r="C162" s="28" t="s">
        <v>21</v>
      </c>
      <c r="D162" s="31">
        <v>1</v>
      </c>
      <c r="E162" s="73"/>
      <c r="F162" s="31"/>
      <c r="G162" s="32">
        <v>1.835</v>
      </c>
      <c r="H162" s="32"/>
      <c r="I162" s="32"/>
      <c r="J162" s="33" t="str">
        <f t="shared" si="24"/>
        <v/>
      </c>
      <c r="K162" s="34"/>
      <c r="L162" s="35"/>
      <c r="M162" s="36" t="str">
        <f t="shared" si="25"/>
        <v/>
      </c>
      <c r="N162" s="37"/>
      <c r="O162" s="29"/>
      <c r="P162" s="38"/>
      <c r="Q162" s="28"/>
      <c r="R162" s="28" t="s">
        <v>2951</v>
      </c>
      <c r="S162" s="47"/>
      <c r="T162" s="28"/>
      <c r="U162" s="28" t="s">
        <v>31</v>
      </c>
    </row>
    <row r="163" spans="1:21" s="27" customFormat="1" x14ac:dyDescent="0.25">
      <c r="A163" s="28" t="s">
        <v>21</v>
      </c>
      <c r="B163" s="28" t="s">
        <v>21</v>
      </c>
      <c r="C163" s="28" t="s">
        <v>21</v>
      </c>
      <c r="D163" s="31">
        <v>1</v>
      </c>
      <c r="E163" s="73"/>
      <c r="F163" s="31"/>
      <c r="G163" s="32">
        <v>1.837</v>
      </c>
      <c r="H163" s="32"/>
      <c r="I163" s="32"/>
      <c r="J163" s="33" t="str">
        <f t="shared" si="24"/>
        <v/>
      </c>
      <c r="K163" s="34"/>
      <c r="L163" s="35"/>
      <c r="M163" s="36" t="str">
        <f t="shared" si="25"/>
        <v/>
      </c>
      <c r="N163" s="37"/>
      <c r="O163" s="29"/>
      <c r="P163" s="38"/>
      <c r="Q163" s="28"/>
      <c r="R163" s="28" t="s">
        <v>2952</v>
      </c>
      <c r="S163" s="47"/>
      <c r="T163" s="28"/>
      <c r="U163" s="28" t="s">
        <v>31</v>
      </c>
    </row>
    <row r="164" spans="1:21" s="27" customFormat="1" x14ac:dyDescent="0.25">
      <c r="A164" s="28" t="s">
        <v>21</v>
      </c>
      <c r="B164" s="28" t="s">
        <v>21</v>
      </c>
      <c r="C164" s="28" t="s">
        <v>21</v>
      </c>
      <c r="D164" s="31">
        <v>1</v>
      </c>
      <c r="E164" s="73"/>
      <c r="F164" s="31"/>
      <c r="G164" s="32">
        <v>1.8340000000000001</v>
      </c>
      <c r="H164" s="32"/>
      <c r="I164" s="32"/>
      <c r="J164" s="33" t="str">
        <f t="shared" si="24"/>
        <v/>
      </c>
      <c r="K164" s="34"/>
      <c r="L164" s="35"/>
      <c r="M164" s="36" t="str">
        <f t="shared" si="25"/>
        <v/>
      </c>
      <c r="N164" s="37"/>
      <c r="O164" s="29"/>
      <c r="P164" s="38"/>
      <c r="Q164" s="28"/>
      <c r="R164" s="28" t="s">
        <v>2953</v>
      </c>
      <c r="S164" s="47"/>
      <c r="T164" s="28"/>
      <c r="U164" s="28" t="s">
        <v>31</v>
      </c>
    </row>
    <row r="165" spans="1:21" s="27" customFormat="1" x14ac:dyDescent="0.25">
      <c r="A165" s="28" t="s">
        <v>21</v>
      </c>
      <c r="B165" s="28" t="s">
        <v>21</v>
      </c>
      <c r="C165" s="28" t="s">
        <v>21</v>
      </c>
      <c r="D165" s="31">
        <v>1</v>
      </c>
      <c r="E165" s="73"/>
      <c r="F165" s="31"/>
      <c r="G165" s="32">
        <v>1.833</v>
      </c>
      <c r="H165" s="32"/>
      <c r="I165" s="32"/>
      <c r="J165" s="33" t="str">
        <f t="shared" si="24"/>
        <v/>
      </c>
      <c r="K165" s="34"/>
      <c r="L165" s="35"/>
      <c r="M165" s="36" t="str">
        <f t="shared" si="25"/>
        <v/>
      </c>
      <c r="N165" s="37"/>
      <c r="O165" s="29"/>
      <c r="P165" s="38"/>
      <c r="Q165" s="28"/>
      <c r="R165" s="28" t="s">
        <v>2954</v>
      </c>
      <c r="S165" s="47"/>
      <c r="T165" s="28"/>
      <c r="U165" s="28" t="s">
        <v>31</v>
      </c>
    </row>
    <row r="166" spans="1:21" s="27" customFormat="1" x14ac:dyDescent="0.25">
      <c r="A166" s="28" t="s">
        <v>21</v>
      </c>
      <c r="B166" s="28" t="s">
        <v>21</v>
      </c>
      <c r="C166" s="28" t="s">
        <v>21</v>
      </c>
      <c r="D166" s="31">
        <v>1</v>
      </c>
      <c r="E166" s="73"/>
      <c r="F166" s="31"/>
      <c r="G166" s="32">
        <v>1.8280000000000001</v>
      </c>
      <c r="H166" s="32"/>
      <c r="I166" s="32"/>
      <c r="J166" s="33" t="str">
        <f t="shared" si="24"/>
        <v/>
      </c>
      <c r="K166" s="34"/>
      <c r="L166" s="35"/>
      <c r="M166" s="36" t="str">
        <f t="shared" si="25"/>
        <v/>
      </c>
      <c r="N166" s="37"/>
      <c r="O166" s="29"/>
      <c r="P166" s="38"/>
      <c r="Q166" s="28"/>
      <c r="R166" s="28" t="s">
        <v>2955</v>
      </c>
      <c r="S166" s="47"/>
      <c r="T166" s="28"/>
      <c r="U166" s="28" t="s">
        <v>31</v>
      </c>
    </row>
    <row r="167" spans="1:21" s="27" customFormat="1" x14ac:dyDescent="0.25">
      <c r="A167" s="28" t="s">
        <v>21</v>
      </c>
      <c r="B167" s="28" t="s">
        <v>21</v>
      </c>
      <c r="C167" s="28" t="s">
        <v>21</v>
      </c>
      <c r="D167" s="31">
        <v>1</v>
      </c>
      <c r="E167" s="73"/>
      <c r="F167" s="31"/>
      <c r="G167" s="32">
        <v>1.833</v>
      </c>
      <c r="H167" s="32"/>
      <c r="I167" s="32"/>
      <c r="J167" s="33" t="str">
        <f t="shared" si="24"/>
        <v/>
      </c>
      <c r="K167" s="34"/>
      <c r="L167" s="35"/>
      <c r="M167" s="36" t="str">
        <f t="shared" si="25"/>
        <v/>
      </c>
      <c r="N167" s="37"/>
      <c r="O167" s="29"/>
      <c r="P167" s="38"/>
      <c r="Q167" s="28"/>
      <c r="R167" s="28" t="s">
        <v>2956</v>
      </c>
      <c r="S167" s="47"/>
      <c r="T167" s="28"/>
      <c r="U167" s="28" t="s">
        <v>31</v>
      </c>
    </row>
    <row r="168" spans="1:21" s="27" customFormat="1" x14ac:dyDescent="0.25">
      <c r="A168" s="28" t="s">
        <v>2977</v>
      </c>
      <c r="B168" s="28" t="s">
        <v>2978</v>
      </c>
      <c r="C168" s="28">
        <v>786992</v>
      </c>
      <c r="D168" s="31">
        <v>1</v>
      </c>
      <c r="E168" s="71">
        <v>68</v>
      </c>
      <c r="F168" s="45">
        <v>1210</v>
      </c>
      <c r="G168" s="32">
        <v>1.835</v>
      </c>
      <c r="H168" s="32">
        <v>7.33</v>
      </c>
      <c r="I168" s="32">
        <v>7.3</v>
      </c>
      <c r="J168" s="33">
        <f>IF(O168&lt;&gt;"",(H168-I168)/O168,"")</f>
        <v>7.5000000000000622E-3</v>
      </c>
      <c r="K168" s="34" t="str">
        <f t="shared" ref="K168:K184" si="26">IF(J168=0,"",IF(OR(J168&lt;0,J168&gt;0.03),"X",""))</f>
        <v/>
      </c>
      <c r="L168" s="35">
        <f>F168/(O168*P168)</f>
        <v>7.5625</v>
      </c>
      <c r="M168" s="36" t="str">
        <f>IF(L168=0,"",IF(OR(L168&lt;7,L168&gt;7.8),"X",""))</f>
        <v/>
      </c>
      <c r="N168" s="37" t="s">
        <v>24</v>
      </c>
      <c r="O168" s="29">
        <v>4</v>
      </c>
      <c r="P168" s="38">
        <v>40</v>
      </c>
      <c r="Q168" s="28"/>
      <c r="R168" s="28" t="s">
        <v>2988</v>
      </c>
      <c r="S168" s="91" t="s">
        <v>103</v>
      </c>
      <c r="T168" s="28"/>
      <c r="U168" s="28" t="s">
        <v>31</v>
      </c>
    </row>
    <row r="169" spans="1:21" s="27" customFormat="1" x14ac:dyDescent="0.25">
      <c r="A169" s="28" t="s">
        <v>21</v>
      </c>
      <c r="B169" s="28" t="s">
        <v>21</v>
      </c>
      <c r="C169" s="28" t="s">
        <v>21</v>
      </c>
      <c r="D169" s="31">
        <v>1</v>
      </c>
      <c r="E169" s="71"/>
      <c r="F169" s="31"/>
      <c r="G169" s="32">
        <v>1.835</v>
      </c>
      <c r="H169" s="32"/>
      <c r="I169" s="32"/>
      <c r="J169" s="33" t="str">
        <f t="shared" ref="J169:J187" si="27">IF(O169&lt;&gt;"",(H169-I169)/O169,"")</f>
        <v/>
      </c>
      <c r="K169" s="34"/>
      <c r="L169" s="35"/>
      <c r="M169" s="36" t="str">
        <f t="shared" ref="M169:M187" si="28">IF(L169=0,"",IF(OR(L169&lt;7.4,L169&gt;8),"X",""))</f>
        <v/>
      </c>
      <c r="N169" s="37"/>
      <c r="O169" s="29"/>
      <c r="P169" s="38"/>
      <c r="Q169" s="28"/>
      <c r="R169" s="28" t="s">
        <v>2989</v>
      </c>
      <c r="S169" s="91" t="s">
        <v>59</v>
      </c>
      <c r="T169" s="28"/>
      <c r="U169" s="28" t="s">
        <v>31</v>
      </c>
    </row>
    <row r="170" spans="1:21" s="27" customFormat="1" x14ac:dyDescent="0.25">
      <c r="A170" s="28" t="s">
        <v>21</v>
      </c>
      <c r="B170" s="28" t="s">
        <v>21</v>
      </c>
      <c r="C170" s="28" t="s">
        <v>21</v>
      </c>
      <c r="D170" s="31">
        <v>1</v>
      </c>
      <c r="E170" s="71"/>
      <c r="F170" s="31"/>
      <c r="G170" s="32">
        <v>1.823</v>
      </c>
      <c r="H170" s="32"/>
      <c r="I170" s="32"/>
      <c r="J170" s="33" t="str">
        <f t="shared" si="27"/>
        <v/>
      </c>
      <c r="K170" s="34"/>
      <c r="L170" s="35"/>
      <c r="M170" s="36" t="str">
        <f t="shared" si="28"/>
        <v/>
      </c>
      <c r="N170" s="37"/>
      <c r="O170" s="29"/>
      <c r="P170" s="38"/>
      <c r="Q170" s="28"/>
      <c r="R170" s="28" t="s">
        <v>2991</v>
      </c>
      <c r="S170" s="92" t="s">
        <v>21</v>
      </c>
      <c r="T170" s="28"/>
      <c r="U170" s="28" t="s">
        <v>31</v>
      </c>
    </row>
    <row r="171" spans="1:21" s="27" customFormat="1" x14ac:dyDescent="0.25">
      <c r="A171" s="28" t="s">
        <v>21</v>
      </c>
      <c r="B171" s="28" t="s">
        <v>21</v>
      </c>
      <c r="C171" s="28" t="s">
        <v>21</v>
      </c>
      <c r="D171" s="31">
        <v>1</v>
      </c>
      <c r="E171" s="71"/>
      <c r="F171" s="31"/>
      <c r="G171" s="32">
        <v>1.833</v>
      </c>
      <c r="H171" s="32"/>
      <c r="I171" s="32"/>
      <c r="J171" s="33" t="str">
        <f t="shared" si="27"/>
        <v/>
      </c>
      <c r="K171" s="34"/>
      <c r="L171" s="35"/>
      <c r="M171" s="36" t="str">
        <f t="shared" si="28"/>
        <v/>
      </c>
      <c r="N171" s="37"/>
      <c r="O171" s="29"/>
      <c r="P171" s="38"/>
      <c r="Q171" s="28"/>
      <c r="R171" s="28" t="s">
        <v>2990</v>
      </c>
      <c r="S171" s="92" t="s">
        <v>21</v>
      </c>
      <c r="T171" s="28"/>
      <c r="U171" s="28" t="s">
        <v>31</v>
      </c>
    </row>
    <row r="172" spans="1:21" s="27" customFormat="1" x14ac:dyDescent="0.25">
      <c r="A172" s="28" t="s">
        <v>21</v>
      </c>
      <c r="B172" s="28" t="s">
        <v>2979</v>
      </c>
      <c r="C172" s="28" t="s">
        <v>21</v>
      </c>
      <c r="D172" s="31">
        <v>1</v>
      </c>
      <c r="E172" s="71">
        <v>55</v>
      </c>
      <c r="F172" s="45">
        <v>1212</v>
      </c>
      <c r="G172" s="32">
        <v>1.8380000000000001</v>
      </c>
      <c r="H172" s="32">
        <v>7.35</v>
      </c>
      <c r="I172" s="32">
        <v>7.31</v>
      </c>
      <c r="J172" s="33">
        <f>IF(O172&lt;&gt;"",(H172-I172)/O172,"")</f>
        <v>1.0000000000000009E-2</v>
      </c>
      <c r="K172" s="34" t="str">
        <f t="shared" si="26"/>
        <v/>
      </c>
      <c r="L172" s="35">
        <f>F172/(O172*P172)</f>
        <v>7.5750000000000002</v>
      </c>
      <c r="M172" s="36" t="str">
        <f>IF(L172=0,"",IF(OR(L172&lt;7,L172&gt;7.8),"X",""))</f>
        <v/>
      </c>
      <c r="N172" s="37" t="s">
        <v>24</v>
      </c>
      <c r="O172" s="29">
        <v>4</v>
      </c>
      <c r="P172" s="38">
        <v>40</v>
      </c>
      <c r="Q172" s="28"/>
      <c r="R172" s="28" t="s">
        <v>2992</v>
      </c>
      <c r="S172" s="92" t="s">
        <v>21</v>
      </c>
      <c r="T172" s="28"/>
      <c r="U172" s="28" t="s">
        <v>31</v>
      </c>
    </row>
    <row r="173" spans="1:21" s="27" customFormat="1" x14ac:dyDescent="0.25">
      <c r="A173" s="28" t="s">
        <v>21</v>
      </c>
      <c r="B173" s="28" t="s">
        <v>21</v>
      </c>
      <c r="C173" s="28" t="s">
        <v>21</v>
      </c>
      <c r="D173" s="31">
        <v>1</v>
      </c>
      <c r="E173" s="71"/>
      <c r="F173" s="31"/>
      <c r="G173" s="32">
        <v>1.8340000000000001</v>
      </c>
      <c r="H173" s="32"/>
      <c r="I173" s="32"/>
      <c r="J173" s="33" t="str">
        <f t="shared" si="27"/>
        <v/>
      </c>
      <c r="K173" s="34"/>
      <c r="L173" s="35"/>
      <c r="M173" s="36" t="str">
        <f t="shared" si="28"/>
        <v/>
      </c>
      <c r="N173" s="37"/>
      <c r="O173" s="29"/>
      <c r="P173" s="38"/>
      <c r="Q173" s="28"/>
      <c r="R173" s="28" t="s">
        <v>2994</v>
      </c>
      <c r="S173" s="92" t="s">
        <v>21</v>
      </c>
      <c r="T173" s="28"/>
      <c r="U173" s="28" t="s">
        <v>31</v>
      </c>
    </row>
    <row r="174" spans="1:21" s="27" customFormat="1" x14ac:dyDescent="0.25">
      <c r="A174" s="28" t="s">
        <v>21</v>
      </c>
      <c r="B174" s="28" t="s">
        <v>21</v>
      </c>
      <c r="C174" s="28" t="s">
        <v>21</v>
      </c>
      <c r="D174" s="31">
        <v>1</v>
      </c>
      <c r="E174" s="71"/>
      <c r="F174" s="31"/>
      <c r="G174" s="32">
        <v>1.8380000000000001</v>
      </c>
      <c r="H174" s="32"/>
      <c r="I174" s="32"/>
      <c r="J174" s="33" t="str">
        <f t="shared" si="27"/>
        <v/>
      </c>
      <c r="K174" s="34"/>
      <c r="L174" s="35"/>
      <c r="M174" s="36" t="str">
        <f t="shared" si="28"/>
        <v/>
      </c>
      <c r="N174" s="37"/>
      <c r="O174" s="29"/>
      <c r="P174" s="38"/>
      <c r="Q174" s="28"/>
      <c r="R174" s="28" t="s">
        <v>2996</v>
      </c>
      <c r="S174" s="92" t="s">
        <v>21</v>
      </c>
      <c r="T174" s="28"/>
      <c r="U174" s="28" t="s">
        <v>31</v>
      </c>
    </row>
    <row r="175" spans="1:21" s="27" customFormat="1" x14ac:dyDescent="0.25">
      <c r="A175" s="28" t="s">
        <v>21</v>
      </c>
      <c r="B175" s="28" t="s">
        <v>21</v>
      </c>
      <c r="C175" s="28" t="s">
        <v>21</v>
      </c>
      <c r="D175" s="31">
        <v>1</v>
      </c>
      <c r="E175" s="71"/>
      <c r="F175" s="31"/>
      <c r="G175" s="32">
        <v>1.8340000000000001</v>
      </c>
      <c r="H175" s="32"/>
      <c r="I175" s="32"/>
      <c r="J175" s="33" t="str">
        <f t="shared" si="27"/>
        <v/>
      </c>
      <c r="K175" s="34"/>
      <c r="L175" s="35"/>
      <c r="M175" s="36" t="str">
        <f t="shared" si="28"/>
        <v/>
      </c>
      <c r="N175" s="37"/>
      <c r="O175" s="29"/>
      <c r="P175" s="38"/>
      <c r="Q175" s="28"/>
      <c r="R175" s="28" t="s">
        <v>2997</v>
      </c>
      <c r="S175" s="92" t="s">
        <v>21</v>
      </c>
      <c r="T175" s="28"/>
      <c r="U175" s="28" t="s">
        <v>31</v>
      </c>
    </row>
    <row r="176" spans="1:21" s="27" customFormat="1" x14ac:dyDescent="0.25">
      <c r="A176" s="28" t="s">
        <v>21</v>
      </c>
      <c r="B176" s="28" t="s">
        <v>2980</v>
      </c>
      <c r="C176" s="28" t="s">
        <v>21</v>
      </c>
      <c r="D176" s="31">
        <v>1</v>
      </c>
      <c r="E176" s="71">
        <v>51</v>
      </c>
      <c r="F176" s="45">
        <v>1211</v>
      </c>
      <c r="G176" s="32">
        <v>1.8480000000000001</v>
      </c>
      <c r="H176" s="32">
        <v>7.39</v>
      </c>
      <c r="I176" s="32">
        <v>7.36</v>
      </c>
      <c r="J176" s="33">
        <f>IF(O176&lt;&gt;"",(H176-I176)/O176,"")</f>
        <v>7.4999999999998401E-3</v>
      </c>
      <c r="K176" s="34" t="str">
        <f t="shared" si="26"/>
        <v/>
      </c>
      <c r="L176" s="35">
        <f>F176/(O176*P176)</f>
        <v>7.5687499999999996</v>
      </c>
      <c r="M176" s="36" t="str">
        <f>IF(L176=0,"",IF(OR(L176&lt;7,L176&gt;7.8),"X",""))</f>
        <v/>
      </c>
      <c r="N176" s="37" t="s">
        <v>24</v>
      </c>
      <c r="O176" s="29">
        <v>4</v>
      </c>
      <c r="P176" s="38">
        <v>40</v>
      </c>
      <c r="Q176" s="28"/>
      <c r="R176" s="28" t="s">
        <v>2995</v>
      </c>
      <c r="S176" s="92" t="s">
        <v>21</v>
      </c>
      <c r="T176" s="28"/>
      <c r="U176" s="28" t="s">
        <v>31</v>
      </c>
    </row>
    <row r="177" spans="1:21" s="27" customFormat="1" x14ac:dyDescent="0.25">
      <c r="A177" s="28" t="s">
        <v>21</v>
      </c>
      <c r="B177" s="28" t="s">
        <v>21</v>
      </c>
      <c r="C177" s="28" t="s">
        <v>21</v>
      </c>
      <c r="D177" s="31">
        <v>1</v>
      </c>
      <c r="E177" s="71"/>
      <c r="F177" s="31"/>
      <c r="G177" s="32">
        <v>1.841</v>
      </c>
      <c r="H177" s="32"/>
      <c r="I177" s="32"/>
      <c r="J177" s="33" t="str">
        <f t="shared" si="27"/>
        <v/>
      </c>
      <c r="K177" s="34"/>
      <c r="L177" s="35"/>
      <c r="M177" s="36" t="str">
        <f t="shared" si="28"/>
        <v/>
      </c>
      <c r="N177" s="37"/>
      <c r="O177" s="29"/>
      <c r="P177" s="38"/>
      <c r="Q177" s="28"/>
      <c r="R177" s="28" t="s">
        <v>2993</v>
      </c>
      <c r="S177" s="92" t="s">
        <v>21</v>
      </c>
      <c r="T177" s="28"/>
      <c r="U177" s="28" t="s">
        <v>31</v>
      </c>
    </row>
    <row r="178" spans="1:21" s="27" customFormat="1" x14ac:dyDescent="0.25">
      <c r="A178" s="28" t="s">
        <v>21</v>
      </c>
      <c r="B178" s="28" t="s">
        <v>21</v>
      </c>
      <c r="C178" s="28" t="s">
        <v>21</v>
      </c>
      <c r="D178" s="31">
        <v>1</v>
      </c>
      <c r="E178" s="71"/>
      <c r="F178" s="31"/>
      <c r="G178" s="32">
        <v>1.849</v>
      </c>
      <c r="H178" s="32"/>
      <c r="I178" s="32"/>
      <c r="J178" s="33" t="str">
        <f t="shared" si="27"/>
        <v/>
      </c>
      <c r="K178" s="34"/>
      <c r="L178" s="35"/>
      <c r="M178" s="36" t="str">
        <f t="shared" si="28"/>
        <v/>
      </c>
      <c r="N178" s="37"/>
      <c r="O178" s="29"/>
      <c r="P178" s="38"/>
      <c r="Q178" s="28"/>
      <c r="R178" s="28" t="s">
        <v>2998</v>
      </c>
      <c r="S178" s="92" t="s">
        <v>21</v>
      </c>
      <c r="T178" s="28"/>
      <c r="U178" s="28" t="s">
        <v>31</v>
      </c>
    </row>
    <row r="179" spans="1:21" s="27" customFormat="1" x14ac:dyDescent="0.25">
      <c r="A179" s="28" t="s">
        <v>21</v>
      </c>
      <c r="B179" s="28" t="s">
        <v>21</v>
      </c>
      <c r="C179" s="28" t="s">
        <v>21</v>
      </c>
      <c r="D179" s="31">
        <v>1</v>
      </c>
      <c r="E179" s="71"/>
      <c r="F179" s="31"/>
      <c r="G179" s="32">
        <v>1.8560000000000001</v>
      </c>
      <c r="H179" s="32"/>
      <c r="I179" s="32"/>
      <c r="J179" s="33" t="str">
        <f t="shared" si="27"/>
        <v/>
      </c>
      <c r="K179" s="34"/>
      <c r="L179" s="35"/>
      <c r="M179" s="36" t="str">
        <f t="shared" si="28"/>
        <v/>
      </c>
      <c r="N179" s="37"/>
      <c r="O179" s="29"/>
      <c r="P179" s="38"/>
      <c r="Q179" s="28"/>
      <c r="R179" s="28" t="s">
        <v>3000</v>
      </c>
      <c r="S179" s="92" t="s">
        <v>21</v>
      </c>
      <c r="T179" s="28"/>
      <c r="U179" s="28" t="s">
        <v>31</v>
      </c>
    </row>
    <row r="180" spans="1:21" s="27" customFormat="1" x14ac:dyDescent="0.25">
      <c r="A180" s="28" t="s">
        <v>21</v>
      </c>
      <c r="B180" s="28" t="s">
        <v>2981</v>
      </c>
      <c r="C180" s="28" t="s">
        <v>21</v>
      </c>
      <c r="D180" s="31">
        <v>1</v>
      </c>
      <c r="E180" s="47">
        <v>23</v>
      </c>
      <c r="F180" s="45">
        <v>1216</v>
      </c>
      <c r="G180" s="32">
        <v>1.8280000000000001</v>
      </c>
      <c r="H180" s="32">
        <v>7.3</v>
      </c>
      <c r="I180" s="32">
        <v>7.26</v>
      </c>
      <c r="J180" s="33">
        <f>IF(O180&lt;&gt;"",(H180-I180)/O180,"")</f>
        <v>1.0000000000000009E-2</v>
      </c>
      <c r="K180" s="34" t="str">
        <f t="shared" si="26"/>
        <v/>
      </c>
      <c r="L180" s="35">
        <f>F180/(O180*P180)</f>
        <v>7.6</v>
      </c>
      <c r="M180" s="36" t="str">
        <f>IF(L180=0,"",IF(OR(L180&lt;7,L180&gt;7.8),"X",""))</f>
        <v/>
      </c>
      <c r="N180" s="37" t="s">
        <v>24</v>
      </c>
      <c r="O180" s="29">
        <v>4</v>
      </c>
      <c r="P180" s="38">
        <v>40</v>
      </c>
      <c r="Q180" s="28"/>
      <c r="R180" s="28" t="s">
        <v>3001</v>
      </c>
      <c r="S180" s="47"/>
      <c r="T180" s="28"/>
      <c r="U180" s="28" t="s">
        <v>31</v>
      </c>
    </row>
    <row r="181" spans="1:21" s="27" customFormat="1" x14ac:dyDescent="0.25">
      <c r="A181" s="28" t="s">
        <v>21</v>
      </c>
      <c r="B181" s="28" t="s">
        <v>21</v>
      </c>
      <c r="C181" s="28" t="s">
        <v>21</v>
      </c>
      <c r="D181" s="31">
        <v>1</v>
      </c>
      <c r="E181" s="47"/>
      <c r="F181" s="31"/>
      <c r="G181" s="32">
        <v>1.83</v>
      </c>
      <c r="H181" s="32"/>
      <c r="I181" s="32"/>
      <c r="J181" s="33" t="str">
        <f t="shared" si="27"/>
        <v/>
      </c>
      <c r="K181" s="34"/>
      <c r="L181" s="35"/>
      <c r="M181" s="36" t="str">
        <f t="shared" si="28"/>
        <v/>
      </c>
      <c r="N181" s="37"/>
      <c r="O181" s="29"/>
      <c r="P181" s="38"/>
      <c r="Q181" s="28"/>
      <c r="R181" s="28" t="s">
        <v>2999</v>
      </c>
      <c r="S181" s="47"/>
      <c r="T181" s="28"/>
      <c r="U181" s="28" t="s">
        <v>31</v>
      </c>
    </row>
    <row r="182" spans="1:21" s="27" customFormat="1" x14ac:dyDescent="0.25">
      <c r="A182" s="28" t="s">
        <v>21</v>
      </c>
      <c r="B182" s="28" t="s">
        <v>21</v>
      </c>
      <c r="C182" s="28" t="s">
        <v>21</v>
      </c>
      <c r="D182" s="31">
        <v>1</v>
      </c>
      <c r="E182" s="47"/>
      <c r="F182" s="31"/>
      <c r="G182" s="32">
        <v>1.823</v>
      </c>
      <c r="H182" s="32"/>
      <c r="I182" s="32"/>
      <c r="J182" s="33" t="str">
        <f t="shared" si="27"/>
        <v/>
      </c>
      <c r="K182" s="34"/>
      <c r="L182" s="35"/>
      <c r="M182" s="36" t="str">
        <f t="shared" si="28"/>
        <v/>
      </c>
      <c r="N182" s="37"/>
      <c r="O182" s="29"/>
      <c r="P182" s="38"/>
      <c r="Q182" s="28"/>
      <c r="R182" s="28" t="s">
        <v>3002</v>
      </c>
      <c r="S182" s="47"/>
      <c r="T182" s="28"/>
      <c r="U182" s="28" t="s">
        <v>31</v>
      </c>
    </row>
    <row r="183" spans="1:21" s="27" customFormat="1" x14ac:dyDescent="0.25">
      <c r="A183" s="28" t="s">
        <v>21</v>
      </c>
      <c r="B183" s="28" t="s">
        <v>21</v>
      </c>
      <c r="C183" s="28" t="s">
        <v>21</v>
      </c>
      <c r="D183" s="31">
        <v>1</v>
      </c>
      <c r="E183" s="47"/>
      <c r="F183" s="31"/>
      <c r="G183" s="32">
        <v>1.8180000000000001</v>
      </c>
      <c r="H183" s="32"/>
      <c r="I183" s="32"/>
      <c r="J183" s="33" t="str">
        <f t="shared" si="27"/>
        <v/>
      </c>
      <c r="K183" s="34"/>
      <c r="L183" s="35"/>
      <c r="M183" s="36" t="str">
        <f t="shared" si="28"/>
        <v/>
      </c>
      <c r="N183" s="37"/>
      <c r="O183" s="29"/>
      <c r="P183" s="38"/>
      <c r="Q183" s="28"/>
      <c r="R183" s="28" t="s">
        <v>3003</v>
      </c>
      <c r="S183" s="47"/>
      <c r="T183" s="28"/>
      <c r="U183" s="28" t="s">
        <v>31</v>
      </c>
    </row>
    <row r="184" spans="1:21" s="27" customFormat="1" x14ac:dyDescent="0.25">
      <c r="A184" s="28" t="s">
        <v>21</v>
      </c>
      <c r="B184" s="28" t="s">
        <v>2982</v>
      </c>
      <c r="C184" s="28" t="s">
        <v>21</v>
      </c>
      <c r="D184" s="31">
        <v>1</v>
      </c>
      <c r="E184" s="73">
        <v>26</v>
      </c>
      <c r="F184" s="45">
        <v>1217</v>
      </c>
      <c r="G184" s="32">
        <v>1.8260000000000001</v>
      </c>
      <c r="H184" s="32">
        <v>7.32</v>
      </c>
      <c r="I184" s="32">
        <v>7.29</v>
      </c>
      <c r="J184" s="33">
        <f>IF(O184&lt;&gt;"",(H184-I184)/O184,"")</f>
        <v>7.5000000000000622E-3</v>
      </c>
      <c r="K184" s="34" t="str">
        <f t="shared" si="26"/>
        <v/>
      </c>
      <c r="L184" s="35">
        <f>F184/(O184*P184)</f>
        <v>7.6062500000000002</v>
      </c>
      <c r="M184" s="36" t="str">
        <f>IF(L184=0,"",IF(OR(L184&lt;7,L184&gt;7.8),"X",""))</f>
        <v/>
      </c>
      <c r="N184" s="37" t="s">
        <v>24</v>
      </c>
      <c r="O184" s="29">
        <v>4</v>
      </c>
      <c r="P184" s="38">
        <v>40</v>
      </c>
      <c r="Q184" s="28"/>
      <c r="R184" s="28" t="s">
        <v>3004</v>
      </c>
      <c r="S184" s="47"/>
      <c r="T184" s="28"/>
      <c r="U184" s="28" t="s">
        <v>31</v>
      </c>
    </row>
    <row r="185" spans="1:21" s="27" customFormat="1" x14ac:dyDescent="0.25">
      <c r="A185" s="28" t="s">
        <v>21</v>
      </c>
      <c r="B185" s="28" t="s">
        <v>21</v>
      </c>
      <c r="C185" s="28" t="s">
        <v>21</v>
      </c>
      <c r="D185" s="31">
        <v>1</v>
      </c>
      <c r="E185" s="73"/>
      <c r="F185" s="31"/>
      <c r="G185" s="32">
        <v>1.8280000000000001</v>
      </c>
      <c r="H185" s="32"/>
      <c r="I185" s="32"/>
      <c r="J185" s="33" t="str">
        <f t="shared" si="27"/>
        <v/>
      </c>
      <c r="K185" s="34"/>
      <c r="L185" s="35"/>
      <c r="M185" s="36" t="str">
        <f t="shared" si="28"/>
        <v/>
      </c>
      <c r="N185" s="37"/>
      <c r="O185" s="29"/>
      <c r="P185" s="38"/>
      <c r="Q185" s="28"/>
      <c r="R185" s="28" t="s">
        <v>3005</v>
      </c>
      <c r="S185" s="47"/>
      <c r="T185" s="28"/>
      <c r="U185" s="28" t="s">
        <v>31</v>
      </c>
    </row>
    <row r="186" spans="1:21" s="27" customFormat="1" x14ac:dyDescent="0.25">
      <c r="A186" s="28" t="s">
        <v>21</v>
      </c>
      <c r="B186" s="28" t="s">
        <v>21</v>
      </c>
      <c r="C186" s="28" t="s">
        <v>21</v>
      </c>
      <c r="D186" s="31">
        <v>1</v>
      </c>
      <c r="E186" s="73"/>
      <c r="F186" s="31"/>
      <c r="G186" s="32">
        <v>1.829</v>
      </c>
      <c r="H186" s="32"/>
      <c r="I186" s="32"/>
      <c r="J186" s="33" t="str">
        <f t="shared" si="27"/>
        <v/>
      </c>
      <c r="K186" s="34"/>
      <c r="L186" s="35"/>
      <c r="M186" s="36" t="str">
        <f t="shared" si="28"/>
        <v/>
      </c>
      <c r="N186" s="37"/>
      <c r="O186" s="29"/>
      <c r="P186" s="38"/>
      <c r="Q186" s="28"/>
      <c r="R186" s="28" t="s">
        <v>3007</v>
      </c>
      <c r="S186" s="47"/>
      <c r="T186" s="28"/>
      <c r="U186" s="28" t="s">
        <v>31</v>
      </c>
    </row>
    <row r="187" spans="1:21" s="27" customFormat="1" x14ac:dyDescent="0.25">
      <c r="A187" s="28" t="s">
        <v>21</v>
      </c>
      <c r="B187" s="28" t="s">
        <v>21</v>
      </c>
      <c r="C187" s="28" t="s">
        <v>21</v>
      </c>
      <c r="D187" s="31">
        <v>1</v>
      </c>
      <c r="E187" s="73"/>
      <c r="F187" s="31"/>
      <c r="G187" s="32">
        <v>1.837</v>
      </c>
      <c r="H187" s="32"/>
      <c r="I187" s="32"/>
      <c r="J187" s="33" t="str">
        <f t="shared" si="27"/>
        <v/>
      </c>
      <c r="K187" s="34"/>
      <c r="L187" s="35"/>
      <c r="M187" s="36" t="str">
        <f t="shared" si="28"/>
        <v/>
      </c>
      <c r="N187" s="37"/>
      <c r="O187" s="29"/>
      <c r="P187" s="38"/>
      <c r="Q187" s="28"/>
      <c r="R187" s="28" t="s">
        <v>3006</v>
      </c>
      <c r="S187" s="47"/>
      <c r="T187" s="28"/>
      <c r="U187" s="28" t="s">
        <v>31</v>
      </c>
    </row>
    <row r="188" spans="1:21" s="27" customFormat="1" x14ac:dyDescent="0.25">
      <c r="A188" s="28" t="s">
        <v>3011</v>
      </c>
      <c r="B188" s="28" t="s">
        <v>3012</v>
      </c>
      <c r="C188" s="28">
        <v>786992</v>
      </c>
      <c r="D188" s="31">
        <v>1</v>
      </c>
      <c r="E188" s="71">
        <v>41</v>
      </c>
      <c r="F188" s="45">
        <v>906</v>
      </c>
      <c r="G188" s="32">
        <v>1.877</v>
      </c>
      <c r="H188" s="32">
        <v>5.625</v>
      </c>
      <c r="I188" s="32">
        <v>5.6040000000000001</v>
      </c>
      <c r="J188" s="33">
        <f>IF(O188&lt;&gt;"",(H188-I188)/O188,"")</f>
        <v>6.9999999999999689E-3</v>
      </c>
      <c r="K188" s="34" t="str">
        <f t="shared" ref="K188:K230" si="29">IF(J188=0,"",IF(OR(J188&lt;0,J188&gt;0.03),"X",""))</f>
        <v/>
      </c>
      <c r="L188" s="35">
        <f>F188/(O188*P188)</f>
        <v>7.55</v>
      </c>
      <c r="M188" s="36" t="str">
        <f>IF(L188=0,"",IF(OR(L188&lt;7,L188&gt;7.8),"X",""))</f>
        <v/>
      </c>
      <c r="N188" s="37" t="s">
        <v>23</v>
      </c>
      <c r="O188" s="29">
        <v>3</v>
      </c>
      <c r="P188" s="38">
        <v>40</v>
      </c>
      <c r="Q188" s="28"/>
      <c r="R188" s="28" t="s">
        <v>3027</v>
      </c>
      <c r="S188" s="91" t="s">
        <v>58</v>
      </c>
      <c r="T188" s="46"/>
      <c r="U188" s="28" t="s">
        <v>31</v>
      </c>
    </row>
    <row r="189" spans="1:21" s="27" customFormat="1" x14ac:dyDescent="0.25">
      <c r="A189" s="28" t="s">
        <v>21</v>
      </c>
      <c r="B189" s="28" t="s">
        <v>21</v>
      </c>
      <c r="C189" s="28" t="s">
        <v>21</v>
      </c>
      <c r="D189" s="31">
        <v>1</v>
      </c>
      <c r="E189" s="71"/>
      <c r="F189" s="31"/>
      <c r="G189" s="32">
        <v>1.8740000000000001</v>
      </c>
      <c r="H189" s="32"/>
      <c r="I189" s="32"/>
      <c r="J189" s="33" t="str">
        <f t="shared" ref="J189:J232" si="30">IF(O189&lt;&gt;"",(H189-I189)/O189,"")</f>
        <v/>
      </c>
      <c r="K189" s="34"/>
      <c r="L189" s="35"/>
      <c r="M189" s="36" t="str">
        <f t="shared" ref="M189:M232" si="31">IF(L189=0,"",IF(OR(L189&lt;7.4,L189&gt;8),"X",""))</f>
        <v/>
      </c>
      <c r="N189" s="37"/>
      <c r="O189" s="29"/>
      <c r="P189" s="38"/>
      <c r="Q189" s="28"/>
      <c r="R189" s="28" t="s">
        <v>3029</v>
      </c>
      <c r="S189" s="91" t="s">
        <v>59</v>
      </c>
      <c r="T189" s="46"/>
      <c r="U189" s="28" t="s">
        <v>31</v>
      </c>
    </row>
    <row r="190" spans="1:21" s="27" customFormat="1" ht="14.25" customHeight="1" x14ac:dyDescent="0.25">
      <c r="A190" s="28" t="s">
        <v>21</v>
      </c>
      <c r="B190" s="28" t="s">
        <v>21</v>
      </c>
      <c r="C190" s="28" t="s">
        <v>21</v>
      </c>
      <c r="D190" s="31">
        <v>1</v>
      </c>
      <c r="E190" s="71"/>
      <c r="F190" s="31"/>
      <c r="G190" s="32">
        <v>1.875</v>
      </c>
      <c r="H190" s="32"/>
      <c r="I190" s="32"/>
      <c r="J190" s="33" t="str">
        <f t="shared" si="30"/>
        <v/>
      </c>
      <c r="K190" s="34"/>
      <c r="L190" s="35"/>
      <c r="M190" s="36" t="str">
        <f t="shared" si="31"/>
        <v/>
      </c>
      <c r="N190" s="37"/>
      <c r="O190" s="29"/>
      <c r="P190" s="38"/>
      <c r="Q190" s="28"/>
      <c r="R190" s="28" t="s">
        <v>3028</v>
      </c>
      <c r="S190" s="92" t="s">
        <v>21</v>
      </c>
      <c r="T190" s="46"/>
      <c r="U190" s="28" t="s">
        <v>31</v>
      </c>
    </row>
    <row r="191" spans="1:21" s="27" customFormat="1" x14ac:dyDescent="0.25">
      <c r="A191" s="28" t="s">
        <v>21</v>
      </c>
      <c r="B191" s="28" t="s">
        <v>3013</v>
      </c>
      <c r="C191" s="28" t="s">
        <v>21</v>
      </c>
      <c r="D191" s="31">
        <v>1</v>
      </c>
      <c r="E191" s="71">
        <v>52</v>
      </c>
      <c r="F191" s="45">
        <v>903</v>
      </c>
      <c r="G191" s="32">
        <v>1.8680000000000001</v>
      </c>
      <c r="H191" s="32">
        <v>5.5919999999999996</v>
      </c>
      <c r="I191" s="32">
        <v>5.5730000000000004</v>
      </c>
      <c r="J191" s="33">
        <f>IF(O191&lt;&gt;"",(H191-I191)/O191,"")</f>
        <v>6.3333333333330799E-3</v>
      </c>
      <c r="K191" s="34" t="str">
        <f t="shared" si="29"/>
        <v/>
      </c>
      <c r="L191" s="35">
        <f>F191/(O191*P191)</f>
        <v>7.5250000000000004</v>
      </c>
      <c r="M191" s="36" t="str">
        <f>IF(L191=0,"",IF(OR(L191&lt;7,L191&gt;7.8),"X",""))</f>
        <v/>
      </c>
      <c r="N191" s="37" t="s">
        <v>23</v>
      </c>
      <c r="O191" s="29">
        <v>3</v>
      </c>
      <c r="P191" s="38">
        <v>40</v>
      </c>
      <c r="Q191" s="28"/>
      <c r="R191" s="28" t="s">
        <v>3030</v>
      </c>
      <c r="S191" s="92" t="s">
        <v>21</v>
      </c>
      <c r="T191" s="46"/>
      <c r="U191" s="28" t="s">
        <v>31</v>
      </c>
    </row>
    <row r="192" spans="1:21" s="27" customFormat="1" x14ac:dyDescent="0.25">
      <c r="A192" s="28" t="s">
        <v>21</v>
      </c>
      <c r="B192" s="28" t="s">
        <v>21</v>
      </c>
      <c r="C192" s="28" t="s">
        <v>21</v>
      </c>
      <c r="D192" s="31">
        <v>1</v>
      </c>
      <c r="E192" s="71"/>
      <c r="F192" s="31"/>
      <c r="G192" s="32">
        <v>1.863</v>
      </c>
      <c r="H192" s="32"/>
      <c r="I192" s="32"/>
      <c r="J192" s="33" t="str">
        <f t="shared" si="30"/>
        <v/>
      </c>
      <c r="K192" s="34"/>
      <c r="L192" s="35"/>
      <c r="M192" s="36" t="str">
        <f t="shared" si="31"/>
        <v/>
      </c>
      <c r="N192" s="37"/>
      <c r="O192" s="29"/>
      <c r="P192" s="38"/>
      <c r="Q192" s="28"/>
      <c r="R192" s="28" t="s">
        <v>3032</v>
      </c>
      <c r="S192" s="92" t="s">
        <v>21</v>
      </c>
      <c r="T192" s="46"/>
      <c r="U192" s="28" t="s">
        <v>31</v>
      </c>
    </row>
    <row r="193" spans="1:21" s="27" customFormat="1" ht="14.25" customHeight="1" x14ac:dyDescent="0.25">
      <c r="A193" s="28" t="s">
        <v>21</v>
      </c>
      <c r="B193" s="28" t="s">
        <v>21</v>
      </c>
      <c r="C193" s="28" t="s">
        <v>21</v>
      </c>
      <c r="D193" s="31">
        <v>1</v>
      </c>
      <c r="E193" s="71"/>
      <c r="F193" s="31"/>
      <c r="G193" s="32">
        <v>1.8620000000000001</v>
      </c>
      <c r="H193" s="32"/>
      <c r="I193" s="32"/>
      <c r="J193" s="33" t="str">
        <f t="shared" si="30"/>
        <v/>
      </c>
      <c r="K193" s="34"/>
      <c r="L193" s="35"/>
      <c r="M193" s="36" t="str">
        <f t="shared" si="31"/>
        <v/>
      </c>
      <c r="N193" s="37"/>
      <c r="O193" s="29"/>
      <c r="P193" s="38"/>
      <c r="Q193" s="28"/>
      <c r="R193" s="28" t="s">
        <v>3031</v>
      </c>
      <c r="S193" s="92" t="s">
        <v>21</v>
      </c>
      <c r="T193" s="46"/>
      <c r="U193" s="28" t="s">
        <v>31</v>
      </c>
    </row>
    <row r="194" spans="1:21" s="27" customFormat="1" x14ac:dyDescent="0.25">
      <c r="A194" s="28" t="s">
        <v>21</v>
      </c>
      <c r="B194" s="28" t="s">
        <v>3014</v>
      </c>
      <c r="C194" s="28" t="s">
        <v>21</v>
      </c>
      <c r="D194" s="31">
        <v>1</v>
      </c>
      <c r="E194" s="71">
        <v>47</v>
      </c>
      <c r="F194" s="45">
        <v>903</v>
      </c>
      <c r="G194" s="32">
        <v>1.8520000000000001</v>
      </c>
      <c r="H194" s="32">
        <v>5.5439999999999996</v>
      </c>
      <c r="I194" s="32">
        <v>5.524</v>
      </c>
      <c r="J194" s="33">
        <f>IF(O194&lt;&gt;"",(H194-I194)/O194,"")</f>
        <v>6.6666666666665248E-3</v>
      </c>
      <c r="K194" s="34" t="str">
        <f t="shared" si="29"/>
        <v/>
      </c>
      <c r="L194" s="35">
        <f>F194/(O194*P194)</f>
        <v>7.5250000000000004</v>
      </c>
      <c r="M194" s="36" t="str">
        <f>IF(L194=0,"",IF(OR(L194&lt;7,L194&gt;7.8),"X",""))</f>
        <v/>
      </c>
      <c r="N194" s="37" t="s">
        <v>23</v>
      </c>
      <c r="O194" s="29">
        <v>3</v>
      </c>
      <c r="P194" s="38">
        <v>40</v>
      </c>
      <c r="Q194" s="28"/>
      <c r="R194" s="28" t="s">
        <v>3034</v>
      </c>
      <c r="S194" s="92" t="s">
        <v>21</v>
      </c>
      <c r="T194" s="46"/>
      <c r="U194" s="28" t="s">
        <v>31</v>
      </c>
    </row>
    <row r="195" spans="1:21" s="27" customFormat="1" x14ac:dyDescent="0.25">
      <c r="A195" s="28" t="s">
        <v>21</v>
      </c>
      <c r="B195" s="28" t="s">
        <v>21</v>
      </c>
      <c r="C195" s="28" t="s">
        <v>21</v>
      </c>
      <c r="D195" s="31">
        <v>1</v>
      </c>
      <c r="E195" s="71"/>
      <c r="F195" s="31"/>
      <c r="G195" s="32">
        <v>1.8460000000000001</v>
      </c>
      <c r="H195" s="32"/>
      <c r="I195" s="32"/>
      <c r="J195" s="33" t="str">
        <f t="shared" si="30"/>
        <v/>
      </c>
      <c r="K195" s="34"/>
      <c r="L195" s="35"/>
      <c r="M195" s="36" t="str">
        <f t="shared" si="31"/>
        <v/>
      </c>
      <c r="N195" s="37"/>
      <c r="O195" s="29"/>
      <c r="P195" s="38"/>
      <c r="Q195" s="28"/>
      <c r="R195" s="28" t="s">
        <v>3033</v>
      </c>
      <c r="S195" s="92" t="s">
        <v>21</v>
      </c>
      <c r="T195" s="46"/>
      <c r="U195" s="28" t="s">
        <v>31</v>
      </c>
    </row>
    <row r="196" spans="1:21" s="27" customFormat="1" ht="14.25" customHeight="1" x14ac:dyDescent="0.25">
      <c r="A196" s="28" t="s">
        <v>21</v>
      </c>
      <c r="B196" s="28" t="s">
        <v>21</v>
      </c>
      <c r="C196" s="28" t="s">
        <v>21</v>
      </c>
      <c r="D196" s="31">
        <v>1</v>
      </c>
      <c r="E196" s="71"/>
      <c r="F196" s="31"/>
      <c r="G196" s="32">
        <v>1.8460000000000001</v>
      </c>
      <c r="H196" s="32"/>
      <c r="I196" s="32"/>
      <c r="J196" s="33" t="str">
        <f t="shared" si="30"/>
        <v/>
      </c>
      <c r="K196" s="34"/>
      <c r="L196" s="35"/>
      <c r="M196" s="36" t="str">
        <f t="shared" si="31"/>
        <v/>
      </c>
      <c r="N196" s="37"/>
      <c r="O196" s="29"/>
      <c r="P196" s="38"/>
      <c r="Q196" s="28"/>
      <c r="R196" s="28" t="s">
        <v>3036</v>
      </c>
      <c r="S196" s="92" t="s">
        <v>21</v>
      </c>
      <c r="T196" s="46"/>
      <c r="U196" s="28" t="s">
        <v>31</v>
      </c>
    </row>
    <row r="197" spans="1:21" s="27" customFormat="1" x14ac:dyDescent="0.25">
      <c r="A197" s="28" t="s">
        <v>21</v>
      </c>
      <c r="B197" s="28" t="s">
        <v>3015</v>
      </c>
      <c r="C197" s="28" t="s">
        <v>21</v>
      </c>
      <c r="D197" s="31">
        <v>1</v>
      </c>
      <c r="E197" s="71">
        <v>45</v>
      </c>
      <c r="F197" s="45">
        <v>904</v>
      </c>
      <c r="G197" s="32">
        <v>1.851</v>
      </c>
      <c r="H197" s="32">
        <v>5.5659999999999998</v>
      </c>
      <c r="I197" s="32">
        <v>5.5460000000000003</v>
      </c>
      <c r="J197" s="33">
        <f>IF(O197&lt;&gt;"",(H197-I197)/O197,"")</f>
        <v>6.6666666666665248E-3</v>
      </c>
      <c r="K197" s="34" t="str">
        <f t="shared" si="29"/>
        <v/>
      </c>
      <c r="L197" s="35">
        <f>F197/(O197*P197)</f>
        <v>7.5333333333333332</v>
      </c>
      <c r="M197" s="36" t="str">
        <f>IF(L197=0,"",IF(OR(L197&lt;7,L197&gt;7.8),"X",""))</f>
        <v/>
      </c>
      <c r="N197" s="37" t="s">
        <v>23</v>
      </c>
      <c r="O197" s="29">
        <v>3</v>
      </c>
      <c r="P197" s="38">
        <v>40</v>
      </c>
      <c r="Q197" s="28"/>
      <c r="R197" s="28" t="s">
        <v>3035</v>
      </c>
      <c r="S197" s="92" t="s">
        <v>21</v>
      </c>
      <c r="T197" s="46"/>
      <c r="U197" s="28" t="s">
        <v>31</v>
      </c>
    </row>
    <row r="198" spans="1:21" s="27" customFormat="1" x14ac:dyDescent="0.25">
      <c r="A198" s="28" t="s">
        <v>21</v>
      </c>
      <c r="B198" s="28" t="s">
        <v>21</v>
      </c>
      <c r="C198" s="28" t="s">
        <v>21</v>
      </c>
      <c r="D198" s="31">
        <v>1</v>
      </c>
      <c r="E198" s="71"/>
      <c r="F198" s="31"/>
      <c r="G198" s="32">
        <v>1.857</v>
      </c>
      <c r="H198" s="32"/>
      <c r="I198" s="32"/>
      <c r="J198" s="33" t="str">
        <f t="shared" si="30"/>
        <v/>
      </c>
      <c r="K198" s="34"/>
      <c r="L198" s="35"/>
      <c r="M198" s="36" t="str">
        <f t="shared" si="31"/>
        <v/>
      </c>
      <c r="N198" s="37"/>
      <c r="O198" s="29"/>
      <c r="P198" s="38"/>
      <c r="Q198" s="28"/>
      <c r="R198" s="28" t="s">
        <v>3037</v>
      </c>
      <c r="S198" s="92" t="s">
        <v>21</v>
      </c>
      <c r="T198" s="46"/>
      <c r="U198" s="28" t="s">
        <v>31</v>
      </c>
    </row>
    <row r="199" spans="1:21" s="27" customFormat="1" ht="14.25" customHeight="1" x14ac:dyDescent="0.25">
      <c r="A199" s="28" t="s">
        <v>21</v>
      </c>
      <c r="B199" s="28" t="s">
        <v>21</v>
      </c>
      <c r="C199" s="28" t="s">
        <v>21</v>
      </c>
      <c r="D199" s="31">
        <v>1</v>
      </c>
      <c r="E199" s="71"/>
      <c r="F199" s="31"/>
      <c r="G199" s="32">
        <v>1.857</v>
      </c>
      <c r="H199" s="32"/>
      <c r="I199" s="32"/>
      <c r="J199" s="33" t="str">
        <f t="shared" si="30"/>
        <v/>
      </c>
      <c r="K199" s="34"/>
      <c r="L199" s="35"/>
      <c r="M199" s="36" t="str">
        <f t="shared" si="31"/>
        <v/>
      </c>
      <c r="N199" s="37"/>
      <c r="O199" s="29"/>
      <c r="P199" s="38"/>
      <c r="Q199" s="28"/>
      <c r="R199" s="28" t="s">
        <v>3039</v>
      </c>
      <c r="S199" s="92" t="s">
        <v>21</v>
      </c>
      <c r="T199" s="46"/>
      <c r="U199" s="28" t="s">
        <v>31</v>
      </c>
    </row>
    <row r="200" spans="1:21" s="27" customFormat="1" x14ac:dyDescent="0.25">
      <c r="A200" s="28" t="s">
        <v>21</v>
      </c>
      <c r="B200" s="28" t="s">
        <v>3016</v>
      </c>
      <c r="C200" s="28" t="s">
        <v>21</v>
      </c>
      <c r="D200" s="31">
        <v>1</v>
      </c>
      <c r="E200" s="71">
        <v>35</v>
      </c>
      <c r="F200" s="45">
        <v>903</v>
      </c>
      <c r="G200" s="32">
        <v>1.84</v>
      </c>
      <c r="H200" s="32">
        <v>5.516</v>
      </c>
      <c r="I200" s="32">
        <v>5.4950000000000001</v>
      </c>
      <c r="J200" s="33">
        <f>IF(O200&lt;&gt;"",(H200-I200)/O200,"")</f>
        <v>6.9999999999999689E-3</v>
      </c>
      <c r="K200" s="34" t="str">
        <f t="shared" si="29"/>
        <v/>
      </c>
      <c r="L200" s="35">
        <f>F200/(O200*P200)</f>
        <v>7.5250000000000004</v>
      </c>
      <c r="M200" s="36" t="str">
        <f>IF(L200=0,"",IF(OR(L200&lt;7,L200&gt;7.8),"X",""))</f>
        <v/>
      </c>
      <c r="N200" s="37" t="s">
        <v>23</v>
      </c>
      <c r="O200" s="29">
        <v>3</v>
      </c>
      <c r="P200" s="38">
        <v>40</v>
      </c>
      <c r="Q200" s="28"/>
      <c r="R200" s="28" t="s">
        <v>3038</v>
      </c>
      <c r="S200" s="92" t="s">
        <v>21</v>
      </c>
      <c r="T200" s="46"/>
      <c r="U200" s="28" t="s">
        <v>31</v>
      </c>
    </row>
    <row r="201" spans="1:21" s="27" customFormat="1" x14ac:dyDescent="0.25">
      <c r="A201" s="28" t="s">
        <v>21</v>
      </c>
      <c r="B201" s="28" t="s">
        <v>21</v>
      </c>
      <c r="C201" s="28" t="s">
        <v>21</v>
      </c>
      <c r="D201" s="31">
        <v>1</v>
      </c>
      <c r="E201" s="71"/>
      <c r="F201" s="31"/>
      <c r="G201" s="32">
        <v>1.837</v>
      </c>
      <c r="H201" s="32"/>
      <c r="I201" s="32"/>
      <c r="J201" s="33" t="str">
        <f t="shared" si="30"/>
        <v/>
      </c>
      <c r="K201" s="34"/>
      <c r="L201" s="35"/>
      <c r="M201" s="36" t="str">
        <f t="shared" si="31"/>
        <v/>
      </c>
      <c r="N201" s="37"/>
      <c r="O201" s="29"/>
      <c r="P201" s="38"/>
      <c r="Q201" s="28"/>
      <c r="R201" s="28" t="s">
        <v>3040</v>
      </c>
      <c r="S201" s="92" t="s">
        <v>21</v>
      </c>
      <c r="T201" s="46"/>
      <c r="U201" s="28" t="s">
        <v>31</v>
      </c>
    </row>
    <row r="202" spans="1:21" s="27" customFormat="1" ht="14.25" customHeight="1" x14ac:dyDescent="0.25">
      <c r="A202" s="28" t="s">
        <v>21</v>
      </c>
      <c r="B202" s="28" t="s">
        <v>21</v>
      </c>
      <c r="C202" s="28" t="s">
        <v>21</v>
      </c>
      <c r="D202" s="31">
        <v>1</v>
      </c>
      <c r="E202" s="71"/>
      <c r="F202" s="31"/>
      <c r="G202" s="32">
        <v>1.837</v>
      </c>
      <c r="H202" s="32"/>
      <c r="I202" s="32"/>
      <c r="J202" s="33" t="str">
        <f t="shared" si="30"/>
        <v/>
      </c>
      <c r="K202" s="34"/>
      <c r="L202" s="35"/>
      <c r="M202" s="36" t="str">
        <f t="shared" si="31"/>
        <v/>
      </c>
      <c r="N202" s="37"/>
      <c r="O202" s="29"/>
      <c r="P202" s="38"/>
      <c r="Q202" s="28"/>
      <c r="R202" s="28" t="s">
        <v>3041</v>
      </c>
      <c r="S202" s="92" t="s">
        <v>21</v>
      </c>
      <c r="T202" s="46"/>
      <c r="U202" s="28" t="s">
        <v>31</v>
      </c>
    </row>
    <row r="203" spans="1:21" s="27" customFormat="1" x14ac:dyDescent="0.25">
      <c r="A203" s="28" t="s">
        <v>21</v>
      </c>
      <c r="B203" s="28" t="s">
        <v>3017</v>
      </c>
      <c r="C203" s="28" t="s">
        <v>21</v>
      </c>
      <c r="D203" s="31">
        <v>1</v>
      </c>
      <c r="E203" s="71">
        <v>48</v>
      </c>
      <c r="F203" s="45">
        <v>904</v>
      </c>
      <c r="G203" s="32">
        <v>1.859</v>
      </c>
      <c r="H203" s="32">
        <v>5.5819999999999999</v>
      </c>
      <c r="I203" s="32">
        <v>5.5629999999999997</v>
      </c>
      <c r="J203" s="33">
        <f>IF(O203&lt;&gt;"",(H203-I203)/O203,"")</f>
        <v>6.3333333333333757E-3</v>
      </c>
      <c r="K203" s="34" t="str">
        <f t="shared" si="29"/>
        <v/>
      </c>
      <c r="L203" s="35">
        <f>F203/(O203*P203)</f>
        <v>7.5333333333333332</v>
      </c>
      <c r="M203" s="36" t="str">
        <f>IF(L203=0,"",IF(OR(L203&lt;7,L203&gt;7.8),"X",""))</f>
        <v/>
      </c>
      <c r="N203" s="37" t="s">
        <v>23</v>
      </c>
      <c r="O203" s="29">
        <v>3</v>
      </c>
      <c r="P203" s="38">
        <v>40</v>
      </c>
      <c r="Q203" s="28"/>
      <c r="R203" s="28" t="s">
        <v>3042</v>
      </c>
      <c r="S203" s="91" t="s">
        <v>58</v>
      </c>
      <c r="T203" s="46"/>
      <c r="U203" s="28" t="s">
        <v>31</v>
      </c>
    </row>
    <row r="204" spans="1:21" s="27" customFormat="1" x14ac:dyDescent="0.25">
      <c r="A204" s="28" t="s">
        <v>21</v>
      </c>
      <c r="B204" s="28" t="s">
        <v>21</v>
      </c>
      <c r="C204" s="28" t="s">
        <v>21</v>
      </c>
      <c r="D204" s="31">
        <v>1</v>
      </c>
      <c r="E204" s="71"/>
      <c r="F204" s="31"/>
      <c r="G204" s="32">
        <v>1.863</v>
      </c>
      <c r="H204" s="32"/>
      <c r="I204" s="32"/>
      <c r="J204" s="33" t="str">
        <f t="shared" si="30"/>
        <v/>
      </c>
      <c r="K204" s="34"/>
      <c r="L204" s="35"/>
      <c r="M204" s="36" t="str">
        <f t="shared" si="31"/>
        <v/>
      </c>
      <c r="N204" s="37"/>
      <c r="O204" s="29"/>
      <c r="P204" s="38"/>
      <c r="Q204" s="28"/>
      <c r="R204" s="28" t="s">
        <v>3044</v>
      </c>
      <c r="S204" s="91" t="s">
        <v>59</v>
      </c>
      <c r="T204" s="46"/>
      <c r="U204" s="28" t="s">
        <v>31</v>
      </c>
    </row>
    <row r="205" spans="1:21" s="27" customFormat="1" ht="14.25" customHeight="1" x14ac:dyDescent="0.25">
      <c r="A205" s="28" t="s">
        <v>21</v>
      </c>
      <c r="B205" s="28" t="s">
        <v>21</v>
      </c>
      <c r="C205" s="28" t="s">
        <v>21</v>
      </c>
      <c r="D205" s="31">
        <v>1</v>
      </c>
      <c r="E205" s="71"/>
      <c r="F205" s="31"/>
      <c r="G205" s="32">
        <v>1.86</v>
      </c>
      <c r="H205" s="32"/>
      <c r="I205" s="32"/>
      <c r="J205" s="33" t="str">
        <f t="shared" si="30"/>
        <v/>
      </c>
      <c r="K205" s="34"/>
      <c r="L205" s="35"/>
      <c r="M205" s="36" t="str">
        <f t="shared" si="31"/>
        <v/>
      </c>
      <c r="N205" s="37"/>
      <c r="O205" s="29"/>
      <c r="P205" s="38"/>
      <c r="Q205" s="28"/>
      <c r="R205" s="28" t="s">
        <v>3043</v>
      </c>
      <c r="S205" s="92" t="s">
        <v>21</v>
      </c>
      <c r="T205" s="46"/>
      <c r="U205" s="28" t="s">
        <v>31</v>
      </c>
    </row>
    <row r="206" spans="1:21" s="27" customFormat="1" x14ac:dyDescent="0.25">
      <c r="A206" s="28" t="s">
        <v>21</v>
      </c>
      <c r="B206" s="28" t="s">
        <v>3018</v>
      </c>
      <c r="C206" s="28" t="s">
        <v>21</v>
      </c>
      <c r="D206" s="31">
        <v>1</v>
      </c>
      <c r="E206" s="71">
        <v>49</v>
      </c>
      <c r="F206" s="45">
        <v>906</v>
      </c>
      <c r="G206" s="32">
        <v>1.861</v>
      </c>
      <c r="H206" s="32">
        <v>5.5940000000000003</v>
      </c>
      <c r="I206" s="32">
        <v>5.5730000000000004</v>
      </c>
      <c r="J206" s="33">
        <f>IF(O206&lt;&gt;"",(H206-I206)/O206,"")</f>
        <v>6.9999999999999689E-3</v>
      </c>
      <c r="K206" s="34" t="str">
        <f t="shared" si="29"/>
        <v/>
      </c>
      <c r="L206" s="35">
        <f>F206/(O206*P206)</f>
        <v>7.55</v>
      </c>
      <c r="M206" s="36" t="str">
        <f>IF(L206=0,"",IF(OR(L206&lt;7,L206&gt;7.8),"X",""))</f>
        <v/>
      </c>
      <c r="N206" s="37" t="s">
        <v>23</v>
      </c>
      <c r="O206" s="29">
        <v>3</v>
      </c>
      <c r="P206" s="38">
        <v>40</v>
      </c>
      <c r="Q206" s="28"/>
      <c r="R206" s="28" t="s">
        <v>3045</v>
      </c>
      <c r="S206" s="92" t="s">
        <v>21</v>
      </c>
      <c r="T206" s="46"/>
      <c r="U206" s="28" t="s">
        <v>31</v>
      </c>
    </row>
    <row r="207" spans="1:21" s="27" customFormat="1" x14ac:dyDescent="0.25">
      <c r="A207" s="28" t="s">
        <v>21</v>
      </c>
      <c r="B207" s="28" t="s">
        <v>21</v>
      </c>
      <c r="C207" s="28" t="s">
        <v>21</v>
      </c>
      <c r="D207" s="31">
        <v>1</v>
      </c>
      <c r="E207" s="71"/>
      <c r="F207" s="31"/>
      <c r="G207" s="32">
        <v>1.8580000000000001</v>
      </c>
      <c r="H207" s="32"/>
      <c r="I207" s="32"/>
      <c r="J207" s="33" t="str">
        <f t="shared" si="30"/>
        <v/>
      </c>
      <c r="K207" s="34"/>
      <c r="L207" s="35"/>
      <c r="M207" s="36" t="str">
        <f t="shared" si="31"/>
        <v/>
      </c>
      <c r="N207" s="37"/>
      <c r="O207" s="29"/>
      <c r="P207" s="38"/>
      <c r="Q207" s="28"/>
      <c r="R207" s="28" t="s">
        <v>3046</v>
      </c>
      <c r="S207" s="92" t="s">
        <v>21</v>
      </c>
      <c r="T207" s="46"/>
      <c r="U207" s="28" t="s">
        <v>31</v>
      </c>
    </row>
    <row r="208" spans="1:21" s="27" customFormat="1" ht="14.25" customHeight="1" x14ac:dyDescent="0.25">
      <c r="A208" s="28" t="s">
        <v>21</v>
      </c>
      <c r="B208" s="28" t="s">
        <v>21</v>
      </c>
      <c r="C208" s="28">
        <v>786992</v>
      </c>
      <c r="D208" s="31">
        <v>1</v>
      </c>
      <c r="E208" s="71"/>
      <c r="F208" s="31"/>
      <c r="G208" s="32">
        <v>1.8740000000000001</v>
      </c>
      <c r="H208" s="32"/>
      <c r="I208" s="32"/>
      <c r="J208" s="33" t="str">
        <f t="shared" si="30"/>
        <v/>
      </c>
      <c r="K208" s="34"/>
      <c r="L208" s="35"/>
      <c r="M208" s="36" t="str">
        <f t="shared" si="31"/>
        <v/>
      </c>
      <c r="N208" s="37"/>
      <c r="O208" s="29"/>
      <c r="P208" s="38"/>
      <c r="Q208" s="28"/>
      <c r="R208" s="28" t="s">
        <v>3047</v>
      </c>
      <c r="S208" s="92" t="s">
        <v>21</v>
      </c>
      <c r="T208" s="46"/>
      <c r="U208" s="28" t="s">
        <v>31</v>
      </c>
    </row>
    <row r="209" spans="1:21" s="27" customFormat="1" x14ac:dyDescent="0.25">
      <c r="A209" s="28" t="s">
        <v>21</v>
      </c>
      <c r="B209" s="28" t="s">
        <v>3019</v>
      </c>
      <c r="C209" s="28" t="s">
        <v>21</v>
      </c>
      <c r="D209" s="31">
        <v>1</v>
      </c>
      <c r="E209" s="71">
        <v>25</v>
      </c>
      <c r="F209" s="45">
        <v>903</v>
      </c>
      <c r="G209" s="32">
        <v>1.8460000000000001</v>
      </c>
      <c r="H209" s="32">
        <v>5.5670000000000002</v>
      </c>
      <c r="I209" s="32">
        <v>5.5449999999999999</v>
      </c>
      <c r="J209" s="33">
        <f>IF(O209&lt;&gt;"",(H209-I209)/O209,"")</f>
        <v>7.3333333333334139E-3</v>
      </c>
      <c r="K209" s="34" t="str">
        <f t="shared" si="29"/>
        <v/>
      </c>
      <c r="L209" s="35">
        <f>F209/(O209*P209)</f>
        <v>7.5250000000000004</v>
      </c>
      <c r="M209" s="36" t="str">
        <f>IF(L209=0,"",IF(OR(L209&lt;7,L209&gt;7.8),"X",""))</f>
        <v/>
      </c>
      <c r="N209" s="37" t="s">
        <v>23</v>
      </c>
      <c r="O209" s="29">
        <v>3</v>
      </c>
      <c r="P209" s="38">
        <v>40</v>
      </c>
      <c r="Q209" s="28"/>
      <c r="R209" s="28" t="s">
        <v>3048</v>
      </c>
      <c r="S209" s="92" t="s">
        <v>21</v>
      </c>
      <c r="T209" s="46"/>
      <c r="U209" s="28" t="s">
        <v>31</v>
      </c>
    </row>
    <row r="210" spans="1:21" s="27" customFormat="1" x14ac:dyDescent="0.25">
      <c r="A210" s="28" t="s">
        <v>21</v>
      </c>
      <c r="B210" s="28" t="s">
        <v>21</v>
      </c>
      <c r="C210" s="28" t="s">
        <v>21</v>
      </c>
      <c r="D210" s="31">
        <v>1</v>
      </c>
      <c r="E210" s="71"/>
      <c r="F210" s="31"/>
      <c r="G210" s="32">
        <v>1.863</v>
      </c>
      <c r="H210" s="32"/>
      <c r="I210" s="32"/>
      <c r="J210" s="33" t="str">
        <f t="shared" si="30"/>
        <v/>
      </c>
      <c r="K210" s="34"/>
      <c r="L210" s="35"/>
      <c r="M210" s="36" t="str">
        <f t="shared" si="31"/>
        <v/>
      </c>
      <c r="N210" s="37"/>
      <c r="O210" s="29"/>
      <c r="P210" s="38"/>
      <c r="Q210" s="28"/>
      <c r="R210" s="28" t="s">
        <v>3049</v>
      </c>
      <c r="S210" s="92" t="s">
        <v>21</v>
      </c>
      <c r="T210" s="46"/>
      <c r="U210" s="28" t="s">
        <v>31</v>
      </c>
    </row>
    <row r="211" spans="1:21" s="27" customFormat="1" ht="14.25" customHeight="1" x14ac:dyDescent="0.25">
      <c r="A211" s="28" t="s">
        <v>21</v>
      </c>
      <c r="B211" s="28" t="s">
        <v>21</v>
      </c>
      <c r="C211" s="28" t="s">
        <v>21</v>
      </c>
      <c r="D211" s="31">
        <v>1</v>
      </c>
      <c r="E211" s="71"/>
      <c r="F211" s="31"/>
      <c r="G211" s="32">
        <v>1.859</v>
      </c>
      <c r="H211" s="32"/>
      <c r="I211" s="32"/>
      <c r="J211" s="33" t="str">
        <f t="shared" si="30"/>
        <v/>
      </c>
      <c r="K211" s="34"/>
      <c r="L211" s="35"/>
      <c r="M211" s="36" t="str">
        <f t="shared" si="31"/>
        <v/>
      </c>
      <c r="N211" s="37"/>
      <c r="O211" s="29"/>
      <c r="P211" s="38"/>
      <c r="Q211" s="28"/>
      <c r="R211" s="28" t="s">
        <v>3050</v>
      </c>
      <c r="S211" s="92" t="s">
        <v>21</v>
      </c>
      <c r="T211" s="46"/>
      <c r="U211" s="28" t="s">
        <v>31</v>
      </c>
    </row>
    <row r="212" spans="1:21" s="27" customFormat="1" x14ac:dyDescent="0.25">
      <c r="A212" s="28" t="s">
        <v>21</v>
      </c>
      <c r="B212" s="28" t="s">
        <v>3020</v>
      </c>
      <c r="C212" s="28" t="s">
        <v>21</v>
      </c>
      <c r="D212" s="31">
        <v>1</v>
      </c>
      <c r="E212" s="71">
        <v>49</v>
      </c>
      <c r="F212" s="45">
        <v>904</v>
      </c>
      <c r="G212" s="32">
        <v>1.8660000000000001</v>
      </c>
      <c r="H212" s="32">
        <v>5.5759999999999996</v>
      </c>
      <c r="I212" s="32">
        <v>5.5579999999999998</v>
      </c>
      <c r="J212" s="33">
        <f>IF(O212&lt;&gt;"",(H212-I212)/O212,"")</f>
        <v>5.9999999999999316E-3</v>
      </c>
      <c r="K212" s="34" t="str">
        <f t="shared" si="29"/>
        <v/>
      </c>
      <c r="L212" s="35">
        <f>F212/(O212*P212)</f>
        <v>7.5333333333333332</v>
      </c>
      <c r="M212" s="36" t="str">
        <f>IF(L212=0,"",IF(OR(L212&lt;7,L212&gt;7.8),"X",""))</f>
        <v/>
      </c>
      <c r="N212" s="37" t="s">
        <v>23</v>
      </c>
      <c r="O212" s="29">
        <v>3</v>
      </c>
      <c r="P212" s="38">
        <v>40</v>
      </c>
      <c r="Q212" s="28"/>
      <c r="R212" s="28" t="s">
        <v>3051</v>
      </c>
      <c r="S212" s="92" t="s">
        <v>21</v>
      </c>
      <c r="T212" s="46"/>
      <c r="U212" s="28" t="s">
        <v>31</v>
      </c>
    </row>
    <row r="213" spans="1:21" s="27" customFormat="1" x14ac:dyDescent="0.25">
      <c r="A213" s="28" t="s">
        <v>21</v>
      </c>
      <c r="B213" s="28" t="s">
        <v>21</v>
      </c>
      <c r="C213" s="28" t="s">
        <v>21</v>
      </c>
      <c r="D213" s="31">
        <v>1</v>
      </c>
      <c r="E213" s="71"/>
      <c r="F213" s="31"/>
      <c r="G213" s="32">
        <v>1.861</v>
      </c>
      <c r="H213" s="32"/>
      <c r="I213" s="32"/>
      <c r="J213" s="33" t="str">
        <f t="shared" si="30"/>
        <v/>
      </c>
      <c r="K213" s="34"/>
      <c r="L213" s="35"/>
      <c r="M213" s="36" t="str">
        <f t="shared" si="31"/>
        <v/>
      </c>
      <c r="N213" s="37"/>
      <c r="O213" s="29"/>
      <c r="P213" s="38"/>
      <c r="Q213" s="28"/>
      <c r="R213" s="28" t="s">
        <v>3052</v>
      </c>
      <c r="S213" s="92" t="s">
        <v>21</v>
      </c>
      <c r="T213" s="46"/>
      <c r="U213" s="28" t="s">
        <v>31</v>
      </c>
    </row>
    <row r="214" spans="1:21" s="27" customFormat="1" ht="14.25" customHeight="1" x14ac:dyDescent="0.25">
      <c r="A214" s="28" t="s">
        <v>21</v>
      </c>
      <c r="B214" s="28" t="s">
        <v>21</v>
      </c>
      <c r="C214" s="28" t="s">
        <v>21</v>
      </c>
      <c r="D214" s="31">
        <v>1</v>
      </c>
      <c r="E214" s="71"/>
      <c r="F214" s="31"/>
      <c r="G214" s="32">
        <v>1.849</v>
      </c>
      <c r="H214" s="32"/>
      <c r="I214" s="32"/>
      <c r="J214" s="33" t="str">
        <f t="shared" si="30"/>
        <v/>
      </c>
      <c r="K214" s="34"/>
      <c r="L214" s="35"/>
      <c r="M214" s="36" t="str">
        <f t="shared" si="31"/>
        <v/>
      </c>
      <c r="N214" s="37"/>
      <c r="O214" s="29"/>
      <c r="P214" s="38"/>
      <c r="Q214" s="28"/>
      <c r="R214" s="28" t="s">
        <v>3053</v>
      </c>
      <c r="S214" s="92" t="s">
        <v>21</v>
      </c>
      <c r="T214" s="46"/>
      <c r="U214" s="28" t="s">
        <v>31</v>
      </c>
    </row>
    <row r="215" spans="1:21" s="27" customFormat="1" x14ac:dyDescent="0.25">
      <c r="A215" s="28" t="s">
        <v>21</v>
      </c>
      <c r="B215" s="28" t="s">
        <v>3021</v>
      </c>
      <c r="C215" s="28" t="s">
        <v>21</v>
      </c>
      <c r="D215" s="31">
        <v>1</v>
      </c>
      <c r="E215" s="71">
        <v>52</v>
      </c>
      <c r="F215" s="45">
        <v>902</v>
      </c>
      <c r="G215" s="32">
        <v>1.8620000000000001</v>
      </c>
      <c r="H215" s="32">
        <v>5.5780000000000003</v>
      </c>
      <c r="I215" s="32">
        <v>5.5590000000000002</v>
      </c>
      <c r="J215" s="33">
        <f>IF(O215&lt;&gt;"",(H215-I215)/O215,"")</f>
        <v>6.3333333333333757E-3</v>
      </c>
      <c r="K215" s="34" t="str">
        <f t="shared" si="29"/>
        <v/>
      </c>
      <c r="L215" s="35">
        <f>F215/(O215*P215)</f>
        <v>7.5166666666666666</v>
      </c>
      <c r="M215" s="36" t="str">
        <f>IF(L215=0,"",IF(OR(L215&lt;7,L215&gt;7.8),"X",""))</f>
        <v/>
      </c>
      <c r="N215" s="37" t="s">
        <v>23</v>
      </c>
      <c r="O215" s="29">
        <v>3</v>
      </c>
      <c r="P215" s="38">
        <v>40</v>
      </c>
      <c r="Q215" s="28"/>
      <c r="R215" s="28" t="s">
        <v>3054</v>
      </c>
      <c r="S215" s="92" t="s">
        <v>21</v>
      </c>
      <c r="T215" s="46"/>
      <c r="U215" s="28" t="s">
        <v>31</v>
      </c>
    </row>
    <row r="216" spans="1:21" s="27" customFormat="1" x14ac:dyDescent="0.25">
      <c r="A216" s="28" t="s">
        <v>21</v>
      </c>
      <c r="B216" s="28" t="s">
        <v>21</v>
      </c>
      <c r="C216" s="28" t="s">
        <v>21</v>
      </c>
      <c r="D216" s="31">
        <v>1</v>
      </c>
      <c r="E216" s="71"/>
      <c r="F216" s="31"/>
      <c r="G216" s="32">
        <v>1.8580000000000001</v>
      </c>
      <c r="H216" s="32"/>
      <c r="I216" s="32"/>
      <c r="J216" s="33" t="str">
        <f t="shared" si="30"/>
        <v/>
      </c>
      <c r="K216" s="34"/>
      <c r="L216" s="35"/>
      <c r="M216" s="36" t="str">
        <f t="shared" si="31"/>
        <v/>
      </c>
      <c r="N216" s="37"/>
      <c r="O216" s="29"/>
      <c r="P216" s="38"/>
      <c r="Q216" s="28"/>
      <c r="R216" s="28" t="s">
        <v>3055</v>
      </c>
      <c r="S216" s="92" t="s">
        <v>21</v>
      </c>
      <c r="T216" s="46"/>
      <c r="U216" s="28" t="s">
        <v>31</v>
      </c>
    </row>
    <row r="217" spans="1:21" s="27" customFormat="1" ht="14.25" customHeight="1" x14ac:dyDescent="0.25">
      <c r="A217" s="28" t="s">
        <v>21</v>
      </c>
      <c r="B217" s="28" t="s">
        <v>21</v>
      </c>
      <c r="C217" s="28" t="s">
        <v>21</v>
      </c>
      <c r="D217" s="31">
        <v>1</v>
      </c>
      <c r="E217" s="71"/>
      <c r="F217" s="31"/>
      <c r="G217" s="32">
        <v>1.859</v>
      </c>
      <c r="H217" s="32"/>
      <c r="I217" s="32"/>
      <c r="J217" s="33" t="str">
        <f t="shared" si="30"/>
        <v/>
      </c>
      <c r="K217" s="34"/>
      <c r="L217" s="35"/>
      <c r="M217" s="36" t="str">
        <f t="shared" si="31"/>
        <v/>
      </c>
      <c r="N217" s="37"/>
      <c r="O217" s="29"/>
      <c r="P217" s="38"/>
      <c r="Q217" s="28"/>
      <c r="R217" s="28" t="s">
        <v>3056</v>
      </c>
      <c r="S217" s="92" t="s">
        <v>21</v>
      </c>
      <c r="T217" s="46"/>
      <c r="U217" s="28" t="s">
        <v>31</v>
      </c>
    </row>
    <row r="218" spans="1:21" s="27" customFormat="1" x14ac:dyDescent="0.25">
      <c r="A218" s="28" t="s">
        <v>21</v>
      </c>
      <c r="B218" s="28" t="s">
        <v>3022</v>
      </c>
      <c r="C218" s="28">
        <v>786992</v>
      </c>
      <c r="D218" s="31">
        <v>1</v>
      </c>
      <c r="E218" s="71">
        <v>50</v>
      </c>
      <c r="F218" s="45">
        <v>905</v>
      </c>
      <c r="G218" s="32">
        <v>1.8720000000000001</v>
      </c>
      <c r="H218" s="32">
        <v>5.6040000000000001</v>
      </c>
      <c r="I218" s="32">
        <v>5.5869999999999997</v>
      </c>
      <c r="J218" s="33">
        <f>IF(O218&lt;&gt;"",(H218-I218)/O218,"")</f>
        <v>5.6666666666667824E-3</v>
      </c>
      <c r="K218" s="34" t="str">
        <f t="shared" si="29"/>
        <v/>
      </c>
      <c r="L218" s="35">
        <f>F218/(O218*P218)</f>
        <v>7.541666666666667</v>
      </c>
      <c r="M218" s="36" t="str">
        <f>IF(L218=0,"",IF(OR(L218&lt;7,L218&gt;7.8),"X",""))</f>
        <v/>
      </c>
      <c r="N218" s="37" t="s">
        <v>23</v>
      </c>
      <c r="O218" s="29">
        <v>3</v>
      </c>
      <c r="P218" s="38">
        <v>40</v>
      </c>
      <c r="Q218" s="28"/>
      <c r="R218" s="28" t="s">
        <v>3057</v>
      </c>
      <c r="S218" s="91" t="s">
        <v>58</v>
      </c>
      <c r="T218" s="46"/>
      <c r="U218" s="28" t="s">
        <v>31</v>
      </c>
    </row>
    <row r="219" spans="1:21" s="27" customFormat="1" x14ac:dyDescent="0.25">
      <c r="A219" s="28" t="s">
        <v>21</v>
      </c>
      <c r="B219" s="28" t="s">
        <v>21</v>
      </c>
      <c r="C219" s="28" t="s">
        <v>21</v>
      </c>
      <c r="D219" s="31">
        <v>1</v>
      </c>
      <c r="E219" s="71"/>
      <c r="F219" s="31"/>
      <c r="G219" s="32">
        <v>1.8660000000000001</v>
      </c>
      <c r="H219" s="32"/>
      <c r="I219" s="32"/>
      <c r="J219" s="33" t="str">
        <f t="shared" si="30"/>
        <v/>
      </c>
      <c r="K219" s="34"/>
      <c r="L219" s="35"/>
      <c r="M219" s="36" t="str">
        <f t="shared" si="31"/>
        <v/>
      </c>
      <c r="N219" s="37"/>
      <c r="O219" s="29"/>
      <c r="P219" s="38"/>
      <c r="Q219" s="28"/>
      <c r="R219" s="28" t="s">
        <v>3058</v>
      </c>
      <c r="S219" s="91" t="s">
        <v>59</v>
      </c>
      <c r="T219" s="46"/>
      <c r="U219" s="28" t="s">
        <v>31</v>
      </c>
    </row>
    <row r="220" spans="1:21" s="27" customFormat="1" ht="14.25" customHeight="1" x14ac:dyDescent="0.25">
      <c r="A220" s="28" t="s">
        <v>21</v>
      </c>
      <c r="B220" s="28" t="s">
        <v>21</v>
      </c>
      <c r="C220" s="28" t="s">
        <v>21</v>
      </c>
      <c r="D220" s="31">
        <v>1</v>
      </c>
      <c r="E220" s="71"/>
      <c r="F220" s="31"/>
      <c r="G220" s="32">
        <v>1.865</v>
      </c>
      <c r="H220" s="32"/>
      <c r="I220" s="32"/>
      <c r="J220" s="33" t="str">
        <f t="shared" si="30"/>
        <v/>
      </c>
      <c r="K220" s="34"/>
      <c r="L220" s="35"/>
      <c r="M220" s="36" t="str">
        <f t="shared" si="31"/>
        <v/>
      </c>
      <c r="N220" s="37"/>
      <c r="O220" s="29"/>
      <c r="P220" s="38"/>
      <c r="Q220" s="28"/>
      <c r="R220" s="28" t="s">
        <v>3059</v>
      </c>
      <c r="S220" s="92" t="s">
        <v>21</v>
      </c>
      <c r="T220" s="46"/>
      <c r="U220" s="28" t="s">
        <v>31</v>
      </c>
    </row>
    <row r="221" spans="1:21" s="27" customFormat="1" x14ac:dyDescent="0.25">
      <c r="A221" s="28" t="s">
        <v>21</v>
      </c>
      <c r="B221" s="28" t="s">
        <v>3023</v>
      </c>
      <c r="C221" s="28" t="s">
        <v>21</v>
      </c>
      <c r="D221" s="31">
        <v>1</v>
      </c>
      <c r="E221" s="71">
        <v>51</v>
      </c>
      <c r="F221" s="45">
        <v>903</v>
      </c>
      <c r="G221" s="32">
        <v>1.8520000000000001</v>
      </c>
      <c r="H221" s="32">
        <v>5.58</v>
      </c>
      <c r="I221" s="32">
        <v>5.5620000000000003</v>
      </c>
      <c r="J221" s="33">
        <f>IF(O221&lt;&gt;"",(H221-I221)/O221,"")</f>
        <v>5.9999999999999316E-3</v>
      </c>
      <c r="K221" s="34" t="str">
        <f t="shared" si="29"/>
        <v/>
      </c>
      <c r="L221" s="35">
        <f>F221/(O221*P221)</f>
        <v>7.5250000000000004</v>
      </c>
      <c r="M221" s="36" t="str">
        <f>IF(L221=0,"",IF(OR(L221&lt;7,L221&gt;7.8),"X",""))</f>
        <v/>
      </c>
      <c r="N221" s="37" t="s">
        <v>23</v>
      </c>
      <c r="O221" s="29">
        <v>3</v>
      </c>
      <c r="P221" s="38">
        <v>40</v>
      </c>
      <c r="Q221" s="28"/>
      <c r="R221" s="28" t="s">
        <v>3060</v>
      </c>
      <c r="S221" s="92" t="s">
        <v>21</v>
      </c>
      <c r="T221" s="46"/>
      <c r="U221" s="28" t="s">
        <v>31</v>
      </c>
    </row>
    <row r="222" spans="1:21" s="27" customFormat="1" x14ac:dyDescent="0.25">
      <c r="A222" s="28" t="s">
        <v>21</v>
      </c>
      <c r="B222" s="28" t="s">
        <v>21</v>
      </c>
      <c r="C222" s="28" t="s">
        <v>21</v>
      </c>
      <c r="D222" s="31">
        <v>1</v>
      </c>
      <c r="E222" s="71"/>
      <c r="F222" s="31"/>
      <c r="G222" s="32">
        <v>1.865</v>
      </c>
      <c r="H222" s="32"/>
      <c r="I222" s="32"/>
      <c r="J222" s="33" t="str">
        <f t="shared" si="30"/>
        <v/>
      </c>
      <c r="K222" s="34"/>
      <c r="L222" s="35"/>
      <c r="M222" s="36" t="str">
        <f t="shared" si="31"/>
        <v/>
      </c>
      <c r="N222" s="37"/>
      <c r="O222" s="29"/>
      <c r="P222" s="38"/>
      <c r="Q222" s="28"/>
      <c r="R222" s="28" t="s">
        <v>3062</v>
      </c>
      <c r="S222" s="92" t="s">
        <v>21</v>
      </c>
      <c r="T222" s="46"/>
      <c r="U222" s="28" t="s">
        <v>31</v>
      </c>
    </row>
    <row r="223" spans="1:21" s="27" customFormat="1" ht="14.25" customHeight="1" x14ac:dyDescent="0.25">
      <c r="A223" s="28" t="s">
        <v>21</v>
      </c>
      <c r="B223" s="28" t="s">
        <v>21</v>
      </c>
      <c r="C223" s="28" t="s">
        <v>21</v>
      </c>
      <c r="D223" s="31">
        <v>1</v>
      </c>
      <c r="E223" s="71"/>
      <c r="F223" s="31"/>
      <c r="G223" s="32">
        <v>1.863</v>
      </c>
      <c r="H223" s="32"/>
      <c r="I223" s="32"/>
      <c r="J223" s="33" t="str">
        <f t="shared" si="30"/>
        <v/>
      </c>
      <c r="K223" s="34"/>
      <c r="L223" s="35"/>
      <c r="M223" s="36" t="str">
        <f t="shared" si="31"/>
        <v/>
      </c>
      <c r="N223" s="37"/>
      <c r="O223" s="29"/>
      <c r="P223" s="38"/>
      <c r="Q223" s="28"/>
      <c r="R223" s="28" t="s">
        <v>3061</v>
      </c>
      <c r="S223" s="92" t="s">
        <v>21</v>
      </c>
      <c r="T223" s="46"/>
      <c r="U223" s="28" t="s">
        <v>31</v>
      </c>
    </row>
    <row r="224" spans="1:21" s="27" customFormat="1" x14ac:dyDescent="0.25">
      <c r="A224" s="28" t="s">
        <v>21</v>
      </c>
      <c r="B224" s="28" t="s">
        <v>3024</v>
      </c>
      <c r="C224" s="28" t="s">
        <v>21</v>
      </c>
      <c r="D224" s="31">
        <v>1</v>
      </c>
      <c r="E224" s="71">
        <v>52</v>
      </c>
      <c r="F224" s="45">
        <v>900</v>
      </c>
      <c r="G224" s="32">
        <v>1.859</v>
      </c>
      <c r="H224" s="32">
        <v>5.593</v>
      </c>
      <c r="I224" s="32">
        <v>5.5759999999999996</v>
      </c>
      <c r="J224" s="33">
        <f>IF(O224&lt;&gt;"",(H224-I224)/O224,"")</f>
        <v>5.6666666666667824E-3</v>
      </c>
      <c r="K224" s="34" t="str">
        <f t="shared" si="29"/>
        <v/>
      </c>
      <c r="L224" s="35">
        <f>F224/(O224*P224)</f>
        <v>7.5</v>
      </c>
      <c r="M224" s="36" t="str">
        <f>IF(L224=0,"",IF(OR(L224&lt;7,L224&gt;7.8),"X",""))</f>
        <v/>
      </c>
      <c r="N224" s="37" t="s">
        <v>23</v>
      </c>
      <c r="O224" s="29">
        <v>3</v>
      </c>
      <c r="P224" s="38">
        <v>40</v>
      </c>
      <c r="Q224" s="28"/>
      <c r="R224" s="28" t="s">
        <v>3063</v>
      </c>
      <c r="S224" s="92" t="s">
        <v>21</v>
      </c>
      <c r="T224" s="46"/>
      <c r="U224" s="28" t="s">
        <v>31</v>
      </c>
    </row>
    <row r="225" spans="1:21" s="27" customFormat="1" x14ac:dyDescent="0.25">
      <c r="A225" s="28" t="s">
        <v>21</v>
      </c>
      <c r="B225" s="28" t="s">
        <v>21</v>
      </c>
      <c r="C225" s="28" t="s">
        <v>21</v>
      </c>
      <c r="D225" s="31">
        <v>1</v>
      </c>
      <c r="E225" s="71"/>
      <c r="F225" s="31"/>
      <c r="G225" s="32">
        <v>1.87</v>
      </c>
      <c r="H225" s="32"/>
      <c r="I225" s="32"/>
      <c r="J225" s="33" t="str">
        <f t="shared" si="30"/>
        <v/>
      </c>
      <c r="K225" s="34"/>
      <c r="L225" s="35"/>
      <c r="M225" s="36" t="str">
        <f t="shared" si="31"/>
        <v/>
      </c>
      <c r="N225" s="37"/>
      <c r="O225" s="29"/>
      <c r="P225" s="38"/>
      <c r="Q225" s="28"/>
      <c r="R225" s="28" t="s">
        <v>3064</v>
      </c>
      <c r="S225" s="92" t="s">
        <v>21</v>
      </c>
      <c r="T225" s="46"/>
      <c r="U225" s="28" t="s">
        <v>31</v>
      </c>
    </row>
    <row r="226" spans="1:21" s="27" customFormat="1" ht="14.25" customHeight="1" x14ac:dyDescent="0.25">
      <c r="A226" s="28" t="s">
        <v>21</v>
      </c>
      <c r="B226" s="28" t="s">
        <v>21</v>
      </c>
      <c r="C226" s="28" t="s">
        <v>21</v>
      </c>
      <c r="D226" s="31">
        <v>1</v>
      </c>
      <c r="E226" s="71"/>
      <c r="F226" s="31"/>
      <c r="G226" s="32">
        <v>1.8640000000000001</v>
      </c>
      <c r="H226" s="32"/>
      <c r="I226" s="32"/>
      <c r="J226" s="33" t="str">
        <f t="shared" si="30"/>
        <v/>
      </c>
      <c r="K226" s="34"/>
      <c r="L226" s="35"/>
      <c r="M226" s="36" t="str">
        <f t="shared" si="31"/>
        <v/>
      </c>
      <c r="N226" s="37"/>
      <c r="O226" s="29"/>
      <c r="P226" s="38"/>
      <c r="Q226" s="28"/>
      <c r="R226" s="28" t="s">
        <v>3065</v>
      </c>
      <c r="S226" s="92" t="s">
        <v>21</v>
      </c>
      <c r="T226" s="46"/>
      <c r="U226" s="28" t="s">
        <v>31</v>
      </c>
    </row>
    <row r="227" spans="1:21" s="27" customFormat="1" x14ac:dyDescent="0.25">
      <c r="A227" s="28" t="s">
        <v>21</v>
      </c>
      <c r="B227" s="28" t="s">
        <v>3025</v>
      </c>
      <c r="C227" s="28" t="s">
        <v>21</v>
      </c>
      <c r="D227" s="31">
        <v>1</v>
      </c>
      <c r="E227" s="71">
        <v>54</v>
      </c>
      <c r="F227" s="45">
        <v>903</v>
      </c>
      <c r="G227" s="32">
        <v>1.8620000000000001</v>
      </c>
      <c r="H227" s="32">
        <v>5.5860000000000003</v>
      </c>
      <c r="I227" s="32">
        <v>5.5670000000000002</v>
      </c>
      <c r="J227" s="33">
        <f>IF(O227&lt;&gt;"",(H227-I227)/O227,"")</f>
        <v>6.3333333333333757E-3</v>
      </c>
      <c r="K227" s="34" t="str">
        <f t="shared" si="29"/>
        <v/>
      </c>
      <c r="L227" s="35">
        <f>F227/(O227*P227)</f>
        <v>7.5250000000000004</v>
      </c>
      <c r="M227" s="36" t="str">
        <f>IF(L227=0,"",IF(OR(L227&lt;7,L227&gt;7.8),"X",""))</f>
        <v/>
      </c>
      <c r="N227" s="37" t="s">
        <v>23</v>
      </c>
      <c r="O227" s="29">
        <v>3</v>
      </c>
      <c r="P227" s="38">
        <v>40</v>
      </c>
      <c r="Q227" s="28"/>
      <c r="R227" s="28" t="s">
        <v>3067</v>
      </c>
      <c r="S227" s="92" t="s">
        <v>21</v>
      </c>
      <c r="T227" s="46"/>
      <c r="U227" s="28" t="s">
        <v>31</v>
      </c>
    </row>
    <row r="228" spans="1:21" s="27" customFormat="1" x14ac:dyDescent="0.25">
      <c r="A228" s="28" t="s">
        <v>21</v>
      </c>
      <c r="B228" s="28" t="s">
        <v>21</v>
      </c>
      <c r="C228" s="28" t="s">
        <v>21</v>
      </c>
      <c r="D228" s="31">
        <v>1</v>
      </c>
      <c r="E228" s="71"/>
      <c r="F228" s="31"/>
      <c r="G228" s="32">
        <v>1.86</v>
      </c>
      <c r="H228" s="32"/>
      <c r="I228" s="32"/>
      <c r="J228" s="33" t="str">
        <f t="shared" si="30"/>
        <v/>
      </c>
      <c r="K228" s="34"/>
      <c r="L228" s="35"/>
      <c r="M228" s="36" t="str">
        <f t="shared" si="31"/>
        <v/>
      </c>
      <c r="N228" s="37"/>
      <c r="O228" s="29"/>
      <c r="P228" s="38"/>
      <c r="Q228" s="28"/>
      <c r="R228" s="28" t="s">
        <v>3068</v>
      </c>
      <c r="S228" s="92" t="s">
        <v>21</v>
      </c>
      <c r="T228" s="46"/>
      <c r="U228" s="28" t="s">
        <v>31</v>
      </c>
    </row>
    <row r="229" spans="1:21" s="27" customFormat="1" ht="14.25" customHeight="1" x14ac:dyDescent="0.25">
      <c r="A229" s="28" t="s">
        <v>21</v>
      </c>
      <c r="B229" s="28" t="s">
        <v>21</v>
      </c>
      <c r="C229" s="28" t="s">
        <v>21</v>
      </c>
      <c r="D229" s="31">
        <v>1</v>
      </c>
      <c r="E229" s="71"/>
      <c r="F229" s="31"/>
      <c r="G229" s="32">
        <v>1.8660000000000001</v>
      </c>
      <c r="H229" s="32"/>
      <c r="I229" s="32"/>
      <c r="J229" s="33" t="str">
        <f t="shared" si="30"/>
        <v/>
      </c>
      <c r="K229" s="34"/>
      <c r="L229" s="35"/>
      <c r="M229" s="36" t="str">
        <f t="shared" si="31"/>
        <v/>
      </c>
      <c r="N229" s="37"/>
      <c r="O229" s="29"/>
      <c r="P229" s="38"/>
      <c r="Q229" s="28"/>
      <c r="R229" s="28" t="s">
        <v>3066</v>
      </c>
      <c r="S229" s="92" t="s">
        <v>21</v>
      </c>
      <c r="T229" s="46"/>
      <c r="U229" s="28" t="s">
        <v>31</v>
      </c>
    </row>
    <row r="230" spans="1:21" s="27" customFormat="1" x14ac:dyDescent="0.25">
      <c r="A230" s="28" t="s">
        <v>21</v>
      </c>
      <c r="B230" s="28" t="s">
        <v>3026</v>
      </c>
      <c r="C230" s="28" t="s">
        <v>21</v>
      </c>
      <c r="D230" s="31">
        <v>1</v>
      </c>
      <c r="E230" s="71">
        <v>51</v>
      </c>
      <c r="F230" s="45">
        <v>902</v>
      </c>
      <c r="G230" s="32">
        <v>1.861</v>
      </c>
      <c r="H230" s="32">
        <v>5.5880000000000001</v>
      </c>
      <c r="I230" s="32">
        <v>5.57</v>
      </c>
      <c r="J230" s="33">
        <f>IF(O230&lt;&gt;"",(H230-I230)/O230,"")</f>
        <v>5.9999999999999316E-3</v>
      </c>
      <c r="K230" s="34" t="str">
        <f t="shared" si="29"/>
        <v/>
      </c>
      <c r="L230" s="35">
        <f>F230/(O230*P230)</f>
        <v>7.5166666666666666</v>
      </c>
      <c r="M230" s="36" t="str">
        <f>IF(L230=0,"",IF(OR(L230&lt;7,L230&gt;7.8),"X",""))</f>
        <v/>
      </c>
      <c r="N230" s="37" t="s">
        <v>23</v>
      </c>
      <c r="O230" s="29">
        <v>3</v>
      </c>
      <c r="P230" s="38">
        <v>40</v>
      </c>
      <c r="Q230" s="28"/>
      <c r="R230" s="28" t="s">
        <v>3069</v>
      </c>
      <c r="S230" s="92" t="s">
        <v>21</v>
      </c>
      <c r="T230" s="46"/>
      <c r="U230" s="28" t="s">
        <v>31</v>
      </c>
    </row>
    <row r="231" spans="1:21" s="27" customFormat="1" x14ac:dyDescent="0.25">
      <c r="A231" s="28" t="s">
        <v>21</v>
      </c>
      <c r="B231" s="28" t="s">
        <v>21</v>
      </c>
      <c r="C231" s="28" t="s">
        <v>21</v>
      </c>
      <c r="D231" s="31">
        <v>1</v>
      </c>
      <c r="E231" s="71"/>
      <c r="F231" s="31"/>
      <c r="G231" s="32">
        <v>1.8620000000000001</v>
      </c>
      <c r="H231" s="32"/>
      <c r="I231" s="32"/>
      <c r="J231" s="33" t="str">
        <f t="shared" si="30"/>
        <v/>
      </c>
      <c r="K231" s="34"/>
      <c r="L231" s="35"/>
      <c r="M231" s="36" t="str">
        <f t="shared" si="31"/>
        <v/>
      </c>
      <c r="N231" s="37"/>
      <c r="O231" s="29"/>
      <c r="P231" s="38"/>
      <c r="Q231" s="28"/>
      <c r="R231" s="28" t="s">
        <v>3070</v>
      </c>
      <c r="S231" s="92" t="s">
        <v>21</v>
      </c>
      <c r="T231" s="46"/>
      <c r="U231" s="28" t="s">
        <v>31</v>
      </c>
    </row>
    <row r="232" spans="1:21" s="27" customFormat="1" ht="14.25" customHeight="1" x14ac:dyDescent="0.25">
      <c r="A232" s="28" t="s">
        <v>21</v>
      </c>
      <c r="B232" s="28" t="s">
        <v>21</v>
      </c>
      <c r="C232" s="28" t="s">
        <v>21</v>
      </c>
      <c r="D232" s="31">
        <v>1</v>
      </c>
      <c r="E232" s="71"/>
      <c r="F232" s="31"/>
      <c r="G232" s="32">
        <v>1.8660000000000001</v>
      </c>
      <c r="H232" s="32"/>
      <c r="I232" s="32"/>
      <c r="J232" s="33" t="str">
        <f t="shared" si="30"/>
        <v/>
      </c>
      <c r="K232" s="34"/>
      <c r="L232" s="35"/>
      <c r="M232" s="36" t="str">
        <f t="shared" si="31"/>
        <v/>
      </c>
      <c r="N232" s="37"/>
      <c r="O232" s="29"/>
      <c r="P232" s="38"/>
      <c r="Q232" s="28"/>
      <c r="R232" s="28" t="s">
        <v>3071</v>
      </c>
      <c r="S232" s="92" t="s">
        <v>21</v>
      </c>
      <c r="T232" s="46"/>
      <c r="U232" s="28" t="s">
        <v>31</v>
      </c>
    </row>
    <row r="233" spans="1:21" s="27" customFormat="1" x14ac:dyDescent="0.25">
      <c r="A233" s="28" t="s">
        <v>3072</v>
      </c>
      <c r="B233" s="28" t="s">
        <v>3073</v>
      </c>
      <c r="C233" s="28">
        <v>786992</v>
      </c>
      <c r="D233" s="31">
        <v>1</v>
      </c>
      <c r="E233" s="71">
        <v>62</v>
      </c>
      <c r="F233" s="45">
        <v>602</v>
      </c>
      <c r="G233" s="32">
        <v>1.865</v>
      </c>
      <c r="H233" s="32">
        <v>3.7280000000000002</v>
      </c>
      <c r="I233" s="32">
        <v>3.7149999999999999</v>
      </c>
      <c r="J233" s="33">
        <f>IF(O233&lt;&gt;"",(H233-I233)/O233,"")</f>
        <v>6.5000000000001723E-3</v>
      </c>
      <c r="K233" s="34" t="str">
        <f t="shared" ref="K233:K272" si="32">IF(J233=0,"",IF(OR(J233&lt;0,J233&gt;0.03),"X",""))</f>
        <v/>
      </c>
      <c r="L233" s="35">
        <f>F233/(O233*P233)</f>
        <v>7.5250000000000004</v>
      </c>
      <c r="M233" s="36" t="str">
        <f>IF(L233=0,"",IF(OR(L233&lt;7,L233&gt;7.8),"X",""))</f>
        <v/>
      </c>
      <c r="N233" s="37" t="s">
        <v>20</v>
      </c>
      <c r="O233" s="29">
        <v>2</v>
      </c>
      <c r="P233" s="38">
        <v>40</v>
      </c>
      <c r="Q233" s="28"/>
      <c r="R233" s="28" t="s">
        <v>3093</v>
      </c>
      <c r="S233" s="91" t="s">
        <v>58</v>
      </c>
      <c r="T233" s="28"/>
      <c r="U233" s="28" t="s">
        <v>31</v>
      </c>
    </row>
    <row r="234" spans="1:21" s="27" customFormat="1" x14ac:dyDescent="0.25">
      <c r="A234" s="28" t="s">
        <v>21</v>
      </c>
      <c r="B234" s="28" t="s">
        <v>21</v>
      </c>
      <c r="C234" s="28" t="s">
        <v>21</v>
      </c>
      <c r="D234" s="31">
        <v>1</v>
      </c>
      <c r="E234" s="71"/>
      <c r="F234" s="31"/>
      <c r="G234" s="32">
        <v>1.863</v>
      </c>
      <c r="H234" s="32"/>
      <c r="I234" s="32"/>
      <c r="J234" s="33"/>
      <c r="K234" s="34" t="str">
        <f t="shared" si="32"/>
        <v/>
      </c>
      <c r="L234" s="35"/>
      <c r="M234" s="36" t="str">
        <f t="shared" ref="M234:M272" si="33">IF(L234=0,"",IF(OR(L234&lt;7.4,L234&gt;8),"X",""))</f>
        <v/>
      </c>
      <c r="N234" s="37"/>
      <c r="O234" s="29"/>
      <c r="P234" s="38"/>
      <c r="Q234" s="28"/>
      <c r="R234" s="28" t="s">
        <v>3094</v>
      </c>
      <c r="S234" s="91" t="s">
        <v>59</v>
      </c>
      <c r="T234" s="28"/>
      <c r="U234" s="28" t="s">
        <v>31</v>
      </c>
    </row>
    <row r="235" spans="1:21" s="27" customFormat="1" x14ac:dyDescent="0.25">
      <c r="A235" s="28" t="s">
        <v>21</v>
      </c>
      <c r="B235" s="28" t="s">
        <v>3074</v>
      </c>
      <c r="C235" s="28" t="s">
        <v>21</v>
      </c>
      <c r="D235" s="31">
        <v>1</v>
      </c>
      <c r="E235" s="71">
        <v>70</v>
      </c>
      <c r="F235" s="45">
        <v>604</v>
      </c>
      <c r="G235" s="32">
        <v>1.8660000000000001</v>
      </c>
      <c r="H235" s="32">
        <v>3.7250000000000001</v>
      </c>
      <c r="I235" s="32">
        <v>3.7130000000000001</v>
      </c>
      <c r="J235" s="33">
        <f>IF(O235&lt;&gt;"",(H235-I235)/O235,"")</f>
        <v>6.0000000000000053E-3</v>
      </c>
      <c r="K235" s="34" t="str">
        <f t="shared" si="32"/>
        <v/>
      </c>
      <c r="L235" s="35">
        <f>F235/(O235*P235)</f>
        <v>7.55</v>
      </c>
      <c r="M235" s="36" t="str">
        <f>IF(L235=0,"",IF(OR(L235&lt;7,L235&gt;7.8),"X",""))</f>
        <v/>
      </c>
      <c r="N235" s="37" t="s">
        <v>20</v>
      </c>
      <c r="O235" s="29">
        <v>2</v>
      </c>
      <c r="P235" s="38">
        <v>40</v>
      </c>
      <c r="Q235" s="28"/>
      <c r="R235" s="28" t="s">
        <v>3095</v>
      </c>
      <c r="S235" s="92" t="s">
        <v>21</v>
      </c>
      <c r="T235" s="28"/>
      <c r="U235" s="28" t="s">
        <v>31</v>
      </c>
    </row>
    <row r="236" spans="1:21" s="27" customFormat="1" x14ac:dyDescent="0.25">
      <c r="A236" s="28" t="s">
        <v>21</v>
      </c>
      <c r="B236" s="28" t="s">
        <v>21</v>
      </c>
      <c r="C236" s="28" t="s">
        <v>21</v>
      </c>
      <c r="D236" s="31">
        <v>1</v>
      </c>
      <c r="E236" s="71"/>
      <c r="F236" s="31"/>
      <c r="G236" s="32">
        <v>1.86</v>
      </c>
      <c r="H236" s="32"/>
      <c r="I236" s="32"/>
      <c r="J236" s="33"/>
      <c r="K236" s="34" t="str">
        <f t="shared" si="32"/>
        <v/>
      </c>
      <c r="L236" s="35"/>
      <c r="M236" s="36" t="str">
        <f t="shared" si="33"/>
        <v/>
      </c>
      <c r="N236" s="37"/>
      <c r="O236" s="29"/>
      <c r="P236" s="38"/>
      <c r="Q236" s="28"/>
      <c r="R236" s="28" t="s">
        <v>3096</v>
      </c>
      <c r="S236" s="92" t="s">
        <v>21</v>
      </c>
      <c r="T236" s="28"/>
      <c r="U236" s="28" t="s">
        <v>31</v>
      </c>
    </row>
    <row r="237" spans="1:21" s="27" customFormat="1" x14ac:dyDescent="0.25">
      <c r="A237" s="28" t="s">
        <v>21</v>
      </c>
      <c r="B237" s="28" t="s">
        <v>3075</v>
      </c>
      <c r="C237" s="28" t="s">
        <v>21</v>
      </c>
      <c r="D237" s="31">
        <v>1</v>
      </c>
      <c r="E237" s="71">
        <v>65</v>
      </c>
      <c r="F237" s="45">
        <v>605</v>
      </c>
      <c r="G237" s="32">
        <v>1.8660000000000001</v>
      </c>
      <c r="H237" s="32">
        <v>3.7280000000000002</v>
      </c>
      <c r="I237" s="32">
        <v>3.714</v>
      </c>
      <c r="J237" s="33">
        <f>IF(O237&lt;&gt;"",(H237-I237)/O237,"")</f>
        <v>7.0000000000001172E-3</v>
      </c>
      <c r="K237" s="34" t="str">
        <f t="shared" si="32"/>
        <v/>
      </c>
      <c r="L237" s="35">
        <f>F237/(O237*P237)</f>
        <v>7.5625</v>
      </c>
      <c r="M237" s="36" t="str">
        <f>IF(L237=0,"",IF(OR(L237&lt;7,L237&gt;7.8),"X",""))</f>
        <v/>
      </c>
      <c r="N237" s="37" t="s">
        <v>20</v>
      </c>
      <c r="O237" s="29">
        <v>2</v>
      </c>
      <c r="P237" s="38">
        <v>40</v>
      </c>
      <c r="Q237" s="28"/>
      <c r="R237" s="28" t="s">
        <v>3097</v>
      </c>
      <c r="S237" s="92" t="s">
        <v>21</v>
      </c>
      <c r="T237" s="28"/>
      <c r="U237" s="28" t="s">
        <v>31</v>
      </c>
    </row>
    <row r="238" spans="1:21" s="27" customFormat="1" x14ac:dyDescent="0.25">
      <c r="A238" s="28" t="s">
        <v>21</v>
      </c>
      <c r="B238" s="28" t="s">
        <v>21</v>
      </c>
      <c r="C238" s="28" t="s">
        <v>21</v>
      </c>
      <c r="D238" s="31">
        <v>1</v>
      </c>
      <c r="E238" s="71"/>
      <c r="F238" s="31"/>
      <c r="G238" s="32">
        <v>1.8620000000000001</v>
      </c>
      <c r="H238" s="32"/>
      <c r="I238" s="32"/>
      <c r="J238" s="33"/>
      <c r="K238" s="34" t="str">
        <f t="shared" si="32"/>
        <v/>
      </c>
      <c r="L238" s="35"/>
      <c r="M238" s="36" t="str">
        <f t="shared" si="33"/>
        <v/>
      </c>
      <c r="N238" s="37"/>
      <c r="O238" s="29"/>
      <c r="P238" s="38"/>
      <c r="Q238" s="28"/>
      <c r="R238" s="28" t="s">
        <v>3098</v>
      </c>
      <c r="S238" s="92" t="s">
        <v>21</v>
      </c>
      <c r="T238" s="28"/>
      <c r="U238" s="28" t="s">
        <v>31</v>
      </c>
    </row>
    <row r="239" spans="1:21" s="27" customFormat="1" x14ac:dyDescent="0.25">
      <c r="A239" s="28" t="s">
        <v>21</v>
      </c>
      <c r="B239" s="28" t="s">
        <v>3076</v>
      </c>
      <c r="C239" s="28" t="s">
        <v>21</v>
      </c>
      <c r="D239" s="31">
        <v>1</v>
      </c>
      <c r="E239" s="71">
        <v>70</v>
      </c>
      <c r="F239" s="45">
        <v>606</v>
      </c>
      <c r="G239" s="32">
        <v>1.863</v>
      </c>
      <c r="H239" s="32">
        <v>3.7229999999999999</v>
      </c>
      <c r="I239" s="32">
        <v>3.7120000000000002</v>
      </c>
      <c r="J239" s="33">
        <f>IF(O239&lt;&gt;"",(H239-I239)/O239,"")</f>
        <v>5.4999999999998384E-3</v>
      </c>
      <c r="K239" s="34" t="str">
        <f t="shared" si="32"/>
        <v/>
      </c>
      <c r="L239" s="35">
        <f>F239/(O239*P239)</f>
        <v>7.5750000000000002</v>
      </c>
      <c r="M239" s="36" t="str">
        <f>IF(L239=0,"",IF(OR(L239&lt;7,L239&gt;7.8),"X",""))</f>
        <v/>
      </c>
      <c r="N239" s="37" t="s">
        <v>20</v>
      </c>
      <c r="O239" s="29">
        <v>2</v>
      </c>
      <c r="P239" s="38">
        <v>40</v>
      </c>
      <c r="Q239" s="28"/>
      <c r="R239" s="28" t="s">
        <v>3100</v>
      </c>
      <c r="S239" s="92" t="s">
        <v>21</v>
      </c>
      <c r="T239" s="28"/>
      <c r="U239" s="28" t="s">
        <v>31</v>
      </c>
    </row>
    <row r="240" spans="1:21" s="27" customFormat="1" x14ac:dyDescent="0.25">
      <c r="A240" s="28" t="s">
        <v>21</v>
      </c>
      <c r="B240" s="28" t="s">
        <v>21</v>
      </c>
      <c r="C240" s="28">
        <v>786992</v>
      </c>
      <c r="D240" s="31">
        <v>1</v>
      </c>
      <c r="E240" s="71"/>
      <c r="F240" s="31"/>
      <c r="G240" s="32">
        <v>1.86</v>
      </c>
      <c r="H240" s="32"/>
      <c r="I240" s="32"/>
      <c r="J240" s="33"/>
      <c r="K240" s="34" t="str">
        <f t="shared" si="32"/>
        <v/>
      </c>
      <c r="L240" s="35"/>
      <c r="M240" s="36" t="str">
        <f t="shared" si="33"/>
        <v/>
      </c>
      <c r="N240" s="37"/>
      <c r="O240" s="29"/>
      <c r="P240" s="38"/>
      <c r="Q240" s="28"/>
      <c r="R240" s="28" t="s">
        <v>3101</v>
      </c>
      <c r="S240" s="92" t="s">
        <v>21</v>
      </c>
      <c r="T240" s="28"/>
      <c r="U240" s="28" t="s">
        <v>31</v>
      </c>
    </row>
    <row r="241" spans="1:21" s="27" customFormat="1" x14ac:dyDescent="0.25">
      <c r="A241" s="28" t="s">
        <v>21</v>
      </c>
      <c r="B241" s="28" t="s">
        <v>3077</v>
      </c>
      <c r="C241" s="28" t="s">
        <v>21</v>
      </c>
      <c r="D241" s="31">
        <v>1</v>
      </c>
      <c r="E241" s="71">
        <v>60</v>
      </c>
      <c r="F241" s="45">
        <v>608</v>
      </c>
      <c r="G241" s="32">
        <v>1.86</v>
      </c>
      <c r="H241" s="32">
        <v>3.718</v>
      </c>
      <c r="I241" s="32">
        <v>3.7029999999999998</v>
      </c>
      <c r="J241" s="33">
        <f>IF(O241&lt;&gt;"",(H241-I241)/O241,"")</f>
        <v>7.5000000000000622E-3</v>
      </c>
      <c r="K241" s="34" t="str">
        <f t="shared" si="32"/>
        <v/>
      </c>
      <c r="L241" s="35">
        <f>F241/(O241*P241)</f>
        <v>7.6</v>
      </c>
      <c r="M241" s="36" t="str">
        <f>IF(L241=0,"",IF(OR(L241&lt;7,L241&gt;7.8),"X",""))</f>
        <v/>
      </c>
      <c r="N241" s="37" t="s">
        <v>20</v>
      </c>
      <c r="O241" s="29">
        <v>2</v>
      </c>
      <c r="P241" s="38">
        <v>40</v>
      </c>
      <c r="Q241" s="28"/>
      <c r="R241" s="28" t="s">
        <v>3102</v>
      </c>
      <c r="S241" s="92" t="s">
        <v>21</v>
      </c>
      <c r="T241" s="28"/>
      <c r="U241" s="28" t="s">
        <v>31</v>
      </c>
    </row>
    <row r="242" spans="1:21" s="27" customFormat="1" x14ac:dyDescent="0.25">
      <c r="A242" s="28" t="s">
        <v>21</v>
      </c>
      <c r="B242" s="28" t="s">
        <v>21</v>
      </c>
      <c r="C242" s="28" t="s">
        <v>21</v>
      </c>
      <c r="D242" s="31">
        <v>1</v>
      </c>
      <c r="E242" s="71"/>
      <c r="F242" s="31"/>
      <c r="G242" s="32">
        <v>1.859</v>
      </c>
      <c r="H242" s="32"/>
      <c r="I242" s="32"/>
      <c r="J242" s="33"/>
      <c r="K242" s="34" t="str">
        <f t="shared" si="32"/>
        <v/>
      </c>
      <c r="L242" s="35"/>
      <c r="M242" s="36" t="str">
        <f t="shared" si="33"/>
        <v/>
      </c>
      <c r="N242" s="37"/>
      <c r="O242" s="29"/>
      <c r="P242" s="38"/>
      <c r="Q242" s="28"/>
      <c r="R242" s="28" t="s">
        <v>3099</v>
      </c>
      <c r="S242" s="92" t="s">
        <v>21</v>
      </c>
      <c r="T242" s="28"/>
      <c r="U242" s="28" t="s">
        <v>31</v>
      </c>
    </row>
    <row r="243" spans="1:21" s="27" customFormat="1" x14ac:dyDescent="0.25">
      <c r="A243" s="28" t="s">
        <v>21</v>
      </c>
      <c r="B243" s="28" t="s">
        <v>3078</v>
      </c>
      <c r="C243" s="28" t="s">
        <v>21</v>
      </c>
      <c r="D243" s="31">
        <v>1</v>
      </c>
      <c r="E243" s="71">
        <v>60</v>
      </c>
      <c r="F243" s="45">
        <v>605</v>
      </c>
      <c r="G243" s="32">
        <v>1.867</v>
      </c>
      <c r="H243" s="32">
        <v>3.7280000000000002</v>
      </c>
      <c r="I243" s="32">
        <v>3.7170000000000001</v>
      </c>
      <c r="J243" s="33">
        <f>IF(O243&lt;&gt;"",(H243-I243)/O243,"")</f>
        <v>5.5000000000000604E-3</v>
      </c>
      <c r="K243" s="34" t="str">
        <f t="shared" si="32"/>
        <v/>
      </c>
      <c r="L243" s="35">
        <f>F243/(O243*P243)</f>
        <v>7.5625</v>
      </c>
      <c r="M243" s="36" t="str">
        <f>IF(L243=0,"",IF(OR(L243&lt;7,L243&gt;7.8),"X",""))</f>
        <v/>
      </c>
      <c r="N243" s="37" t="s">
        <v>20</v>
      </c>
      <c r="O243" s="29">
        <v>2</v>
      </c>
      <c r="P243" s="38">
        <v>40</v>
      </c>
      <c r="Q243" s="28"/>
      <c r="R243" s="28" t="s">
        <v>3104</v>
      </c>
      <c r="S243" s="91" t="s">
        <v>103</v>
      </c>
      <c r="T243" s="28"/>
      <c r="U243" s="28" t="s">
        <v>31</v>
      </c>
    </row>
    <row r="244" spans="1:21" s="27" customFormat="1" x14ac:dyDescent="0.25">
      <c r="A244" s="28" t="s">
        <v>21</v>
      </c>
      <c r="B244" s="28" t="s">
        <v>21</v>
      </c>
      <c r="C244" s="28" t="s">
        <v>21</v>
      </c>
      <c r="D244" s="31">
        <v>1</v>
      </c>
      <c r="E244" s="71"/>
      <c r="F244" s="31"/>
      <c r="G244" s="32">
        <v>1.8620000000000001</v>
      </c>
      <c r="H244" s="32"/>
      <c r="I244" s="32"/>
      <c r="J244" s="33"/>
      <c r="K244" s="34" t="str">
        <f t="shared" si="32"/>
        <v/>
      </c>
      <c r="L244" s="35"/>
      <c r="M244" s="36" t="str">
        <f t="shared" si="33"/>
        <v/>
      </c>
      <c r="N244" s="37"/>
      <c r="O244" s="29"/>
      <c r="P244" s="38"/>
      <c r="Q244" s="28"/>
      <c r="R244" s="28" t="s">
        <v>3105</v>
      </c>
      <c r="S244" s="91" t="s">
        <v>59</v>
      </c>
      <c r="T244" s="28"/>
      <c r="U244" s="28" t="s">
        <v>31</v>
      </c>
    </row>
    <row r="245" spans="1:21" s="27" customFormat="1" x14ac:dyDescent="0.25">
      <c r="A245" s="28" t="s">
        <v>21</v>
      </c>
      <c r="B245" s="28" t="s">
        <v>3079</v>
      </c>
      <c r="C245" s="28" t="s">
        <v>21</v>
      </c>
      <c r="D245" s="31">
        <v>1</v>
      </c>
      <c r="E245" s="71">
        <v>54</v>
      </c>
      <c r="F245" s="45">
        <v>604</v>
      </c>
      <c r="G245" s="32">
        <v>1.8740000000000001</v>
      </c>
      <c r="H245" s="32">
        <v>3.7469999999999999</v>
      </c>
      <c r="I245" s="32">
        <v>3.7330000000000001</v>
      </c>
      <c r="J245" s="33">
        <f>IF(O245&lt;&gt;"",(H245-I245)/O245,"")</f>
        <v>6.9999999999998952E-3</v>
      </c>
      <c r="K245" s="34" t="str">
        <f t="shared" si="32"/>
        <v/>
      </c>
      <c r="L245" s="35">
        <f>F245/(O245*P245)</f>
        <v>7.55</v>
      </c>
      <c r="M245" s="36" t="str">
        <f>IF(L245=0,"",IF(OR(L245&lt;7,L245&gt;7.8),"X",""))</f>
        <v/>
      </c>
      <c r="N245" s="37" t="s">
        <v>20</v>
      </c>
      <c r="O245" s="29">
        <v>2</v>
      </c>
      <c r="P245" s="38">
        <v>40</v>
      </c>
      <c r="Q245" s="28"/>
      <c r="R245" s="28" t="s">
        <v>3107</v>
      </c>
      <c r="S245" s="92" t="s">
        <v>21</v>
      </c>
      <c r="T245" s="28"/>
      <c r="U245" s="28" t="s">
        <v>31</v>
      </c>
    </row>
    <row r="246" spans="1:21" s="27" customFormat="1" x14ac:dyDescent="0.25">
      <c r="A246" s="28" t="s">
        <v>21</v>
      </c>
      <c r="B246" s="28" t="s">
        <v>21</v>
      </c>
      <c r="C246" s="28" t="s">
        <v>21</v>
      </c>
      <c r="D246" s="31">
        <v>1</v>
      </c>
      <c r="E246" s="71"/>
      <c r="F246" s="31"/>
      <c r="G246" s="32">
        <v>1.8740000000000001</v>
      </c>
      <c r="H246" s="32"/>
      <c r="I246" s="32"/>
      <c r="J246" s="33"/>
      <c r="K246" s="34" t="str">
        <f t="shared" si="32"/>
        <v/>
      </c>
      <c r="L246" s="35"/>
      <c r="M246" s="36" t="str">
        <f t="shared" si="33"/>
        <v/>
      </c>
      <c r="N246" s="37"/>
      <c r="O246" s="29"/>
      <c r="P246" s="38"/>
      <c r="Q246" s="28"/>
      <c r="R246" s="28" t="s">
        <v>3103</v>
      </c>
      <c r="S246" s="92" t="s">
        <v>21</v>
      </c>
      <c r="T246" s="28"/>
      <c r="U246" s="28" t="s">
        <v>31</v>
      </c>
    </row>
    <row r="247" spans="1:21" s="27" customFormat="1" x14ac:dyDescent="0.25">
      <c r="A247" s="28" t="s">
        <v>21</v>
      </c>
      <c r="B247" s="28" t="s">
        <v>3080</v>
      </c>
      <c r="C247" s="28" t="s">
        <v>21</v>
      </c>
      <c r="D247" s="31">
        <v>1</v>
      </c>
      <c r="E247" s="71">
        <v>56</v>
      </c>
      <c r="F247" s="45">
        <v>604</v>
      </c>
      <c r="G247" s="32">
        <v>1.8720000000000001</v>
      </c>
      <c r="H247" s="32">
        <v>3.7429999999999999</v>
      </c>
      <c r="I247" s="32">
        <v>3.73</v>
      </c>
      <c r="J247" s="33">
        <f>IF(O247&lt;&gt;"",(H247-I247)/O247,"")</f>
        <v>6.4999999999999503E-3</v>
      </c>
      <c r="K247" s="34" t="str">
        <f t="shared" si="32"/>
        <v/>
      </c>
      <c r="L247" s="35">
        <f>F247/(O247*P247)</f>
        <v>7.55</v>
      </c>
      <c r="M247" s="36" t="str">
        <f>IF(L247=0,"",IF(OR(L247&lt;7,L247&gt;7.8),"X",""))</f>
        <v/>
      </c>
      <c r="N247" s="37" t="s">
        <v>20</v>
      </c>
      <c r="O247" s="29">
        <v>2</v>
      </c>
      <c r="P247" s="38">
        <v>40</v>
      </c>
      <c r="Q247" s="28"/>
      <c r="R247" s="28" t="s">
        <v>3108</v>
      </c>
      <c r="S247" s="92" t="s">
        <v>21</v>
      </c>
      <c r="T247" s="28"/>
      <c r="U247" s="28" t="s">
        <v>31</v>
      </c>
    </row>
    <row r="248" spans="1:21" s="27" customFormat="1" x14ac:dyDescent="0.25">
      <c r="A248" s="28" t="s">
        <v>21</v>
      </c>
      <c r="B248" s="28" t="s">
        <v>21</v>
      </c>
      <c r="C248" s="28" t="s">
        <v>21</v>
      </c>
      <c r="D248" s="31">
        <v>1</v>
      </c>
      <c r="E248" s="71"/>
      <c r="F248" s="31"/>
      <c r="G248" s="32">
        <v>1.8720000000000001</v>
      </c>
      <c r="H248" s="32"/>
      <c r="I248" s="32"/>
      <c r="J248" s="33"/>
      <c r="K248" s="34" t="str">
        <f t="shared" si="32"/>
        <v/>
      </c>
      <c r="L248" s="35"/>
      <c r="M248" s="36" t="str">
        <f t="shared" si="33"/>
        <v/>
      </c>
      <c r="N248" s="37"/>
      <c r="O248" s="29"/>
      <c r="P248" s="38"/>
      <c r="Q248" s="28"/>
      <c r="R248" s="28" t="s">
        <v>3109</v>
      </c>
      <c r="S248" s="92" t="s">
        <v>21</v>
      </c>
      <c r="T248" s="28"/>
      <c r="U248" s="28" t="s">
        <v>31</v>
      </c>
    </row>
    <row r="249" spans="1:21" s="27" customFormat="1" x14ac:dyDescent="0.25">
      <c r="A249" s="28" t="s">
        <v>21</v>
      </c>
      <c r="B249" s="28" t="s">
        <v>3081</v>
      </c>
      <c r="C249" s="28" t="s">
        <v>21</v>
      </c>
      <c r="D249" s="31">
        <v>1</v>
      </c>
      <c r="E249" s="71">
        <v>60</v>
      </c>
      <c r="F249" s="45">
        <v>603</v>
      </c>
      <c r="G249" s="32">
        <v>1.8779999999999999</v>
      </c>
      <c r="H249" s="32">
        <v>3.7469999999999999</v>
      </c>
      <c r="I249" s="32">
        <v>3.7370000000000001</v>
      </c>
      <c r="J249" s="33">
        <f>IF(O249&lt;&gt;"",(H249-I249)/O249,"")</f>
        <v>4.9999999999998934E-3</v>
      </c>
      <c r="K249" s="34" t="str">
        <f t="shared" si="32"/>
        <v/>
      </c>
      <c r="L249" s="35">
        <f>F249/(O249*P249)</f>
        <v>7.5374999999999996</v>
      </c>
      <c r="M249" s="36" t="str">
        <f>IF(L249=0,"",IF(OR(L249&lt;7,L249&gt;7.8),"X",""))</f>
        <v/>
      </c>
      <c r="N249" s="37" t="s">
        <v>20</v>
      </c>
      <c r="O249" s="29">
        <v>2</v>
      </c>
      <c r="P249" s="38">
        <v>40</v>
      </c>
      <c r="Q249" s="28"/>
      <c r="R249" s="28" t="s">
        <v>3106</v>
      </c>
      <c r="S249" s="92" t="s">
        <v>21</v>
      </c>
      <c r="T249" s="28"/>
      <c r="U249" s="28" t="s">
        <v>31</v>
      </c>
    </row>
    <row r="250" spans="1:21" s="27" customFormat="1" x14ac:dyDescent="0.25">
      <c r="A250" s="28" t="s">
        <v>21</v>
      </c>
      <c r="B250" s="28" t="s">
        <v>21</v>
      </c>
      <c r="C250" s="28" t="s">
        <v>21</v>
      </c>
      <c r="D250" s="31">
        <v>1</v>
      </c>
      <c r="E250" s="71"/>
      <c r="F250" s="31"/>
      <c r="G250" s="32">
        <v>1.87</v>
      </c>
      <c r="H250" s="32"/>
      <c r="I250" s="32"/>
      <c r="J250" s="33"/>
      <c r="K250" s="34" t="str">
        <f t="shared" si="32"/>
        <v/>
      </c>
      <c r="L250" s="35"/>
      <c r="M250" s="36" t="str">
        <f t="shared" si="33"/>
        <v/>
      </c>
      <c r="N250" s="37"/>
      <c r="O250" s="29"/>
      <c r="P250" s="38"/>
      <c r="Q250" s="28"/>
      <c r="R250" s="28" t="s">
        <v>3110</v>
      </c>
      <c r="S250" s="92" t="s">
        <v>21</v>
      </c>
      <c r="T250" s="28"/>
      <c r="U250" s="28" t="s">
        <v>31</v>
      </c>
    </row>
    <row r="251" spans="1:21" s="27" customFormat="1" x14ac:dyDescent="0.25">
      <c r="A251" s="28" t="s">
        <v>21</v>
      </c>
      <c r="B251" s="28" t="s">
        <v>3082</v>
      </c>
      <c r="C251" s="28" t="s">
        <v>21</v>
      </c>
      <c r="D251" s="31">
        <v>1</v>
      </c>
      <c r="E251" s="71">
        <v>51</v>
      </c>
      <c r="F251" s="45">
        <v>605</v>
      </c>
      <c r="G251" s="32">
        <v>1.873</v>
      </c>
      <c r="H251" s="32">
        <v>3.7549999999999999</v>
      </c>
      <c r="I251" s="32">
        <v>3.7440000000000002</v>
      </c>
      <c r="J251" s="33">
        <f>IF(O251&lt;&gt;"",(H251-I251)/O251,"")</f>
        <v>5.4999999999998384E-3</v>
      </c>
      <c r="K251" s="34" t="str">
        <f t="shared" si="32"/>
        <v/>
      </c>
      <c r="L251" s="35">
        <f>F251/(O251*P251)</f>
        <v>7.5625</v>
      </c>
      <c r="M251" s="36" t="str">
        <f>IF(L251=0,"",IF(OR(L251&lt;7,L251&gt;7.8),"X",""))</f>
        <v/>
      </c>
      <c r="N251" s="37" t="s">
        <v>20</v>
      </c>
      <c r="O251" s="29">
        <v>2</v>
      </c>
      <c r="P251" s="38">
        <v>40</v>
      </c>
      <c r="Q251" s="28"/>
      <c r="R251" s="28" t="s">
        <v>3111</v>
      </c>
      <c r="S251" s="92" t="s">
        <v>21</v>
      </c>
      <c r="T251" s="28"/>
      <c r="U251" s="28" t="s">
        <v>31</v>
      </c>
    </row>
    <row r="252" spans="1:21" s="27" customFormat="1" x14ac:dyDescent="0.25">
      <c r="A252" s="28" t="s">
        <v>21</v>
      </c>
      <c r="B252" s="28" t="s">
        <v>21</v>
      </c>
      <c r="C252" s="28" t="s">
        <v>21</v>
      </c>
      <c r="D252" s="31">
        <v>1</v>
      </c>
      <c r="E252" s="71"/>
      <c r="F252" s="31"/>
      <c r="G252" s="32">
        <v>1.8819999999999999</v>
      </c>
      <c r="H252" s="32"/>
      <c r="I252" s="32"/>
      <c r="J252" s="33"/>
      <c r="K252" s="34" t="str">
        <f t="shared" si="32"/>
        <v/>
      </c>
      <c r="L252" s="35"/>
      <c r="M252" s="36" t="str">
        <f t="shared" si="33"/>
        <v/>
      </c>
      <c r="N252" s="37"/>
      <c r="O252" s="29"/>
      <c r="P252" s="38"/>
      <c r="Q252" s="28"/>
      <c r="R252" s="28" t="s">
        <v>3116</v>
      </c>
      <c r="S252" s="92" t="s">
        <v>21</v>
      </c>
      <c r="T252" s="28"/>
      <c r="U252" s="28" t="s">
        <v>31</v>
      </c>
    </row>
    <row r="253" spans="1:21" s="27" customFormat="1" x14ac:dyDescent="0.25">
      <c r="A253" s="28" t="s">
        <v>21</v>
      </c>
      <c r="B253" s="28" t="s">
        <v>3083</v>
      </c>
      <c r="C253" s="28" t="s">
        <v>21</v>
      </c>
      <c r="D253" s="31">
        <v>1</v>
      </c>
      <c r="E253" s="71">
        <v>65</v>
      </c>
      <c r="F253" s="45">
        <v>603</v>
      </c>
      <c r="G253" s="32">
        <v>1.861</v>
      </c>
      <c r="H253" s="32">
        <v>3.7149999999999999</v>
      </c>
      <c r="I253" s="32">
        <v>3.7029999999999998</v>
      </c>
      <c r="J253" s="33">
        <f>IF(O253&lt;&gt;"",(H253-I253)/O253,"")</f>
        <v>6.0000000000000053E-3</v>
      </c>
      <c r="K253" s="34" t="str">
        <f t="shared" si="32"/>
        <v/>
      </c>
      <c r="L253" s="35">
        <f>F253/(O253*P253)</f>
        <v>7.5374999999999996</v>
      </c>
      <c r="M253" s="36" t="str">
        <f>IF(L253=0,"",IF(OR(L253&lt;7,L253&gt;7.8),"X",""))</f>
        <v/>
      </c>
      <c r="N253" s="37" t="s">
        <v>20</v>
      </c>
      <c r="O253" s="29">
        <v>2</v>
      </c>
      <c r="P253" s="38">
        <v>40</v>
      </c>
      <c r="Q253" s="28"/>
      <c r="R253" s="28" t="s">
        <v>3112</v>
      </c>
      <c r="S253" s="91" t="s">
        <v>58</v>
      </c>
      <c r="T253" s="28"/>
      <c r="U253" s="28" t="s">
        <v>31</v>
      </c>
    </row>
    <row r="254" spans="1:21" s="27" customFormat="1" x14ac:dyDescent="0.25">
      <c r="A254" s="28" t="s">
        <v>21</v>
      </c>
      <c r="B254" s="28" t="s">
        <v>21</v>
      </c>
      <c r="C254" s="28" t="s">
        <v>21</v>
      </c>
      <c r="D254" s="31">
        <v>1</v>
      </c>
      <c r="E254" s="71"/>
      <c r="F254" s="31"/>
      <c r="G254" s="32">
        <v>1.8540000000000001</v>
      </c>
      <c r="H254" s="32"/>
      <c r="I254" s="32"/>
      <c r="J254" s="33"/>
      <c r="K254" s="34" t="str">
        <f t="shared" si="32"/>
        <v/>
      </c>
      <c r="L254" s="35"/>
      <c r="M254" s="36" t="str">
        <f t="shared" si="33"/>
        <v/>
      </c>
      <c r="N254" s="37"/>
      <c r="O254" s="29"/>
      <c r="P254" s="38"/>
      <c r="Q254" s="28"/>
      <c r="R254" s="28" t="s">
        <v>3113</v>
      </c>
      <c r="S254" s="91" t="s">
        <v>59</v>
      </c>
      <c r="T254" s="28"/>
      <c r="U254" s="28" t="s">
        <v>31</v>
      </c>
    </row>
    <row r="255" spans="1:21" s="27" customFormat="1" x14ac:dyDescent="0.25">
      <c r="A255" s="28" t="s">
        <v>21</v>
      </c>
      <c r="B255" s="28" t="s">
        <v>3084</v>
      </c>
      <c r="C255" s="28" t="s">
        <v>21</v>
      </c>
      <c r="D255" s="31">
        <v>1</v>
      </c>
      <c r="E255" s="71">
        <v>61</v>
      </c>
      <c r="F255" s="45">
        <v>605</v>
      </c>
      <c r="G255" s="32">
        <v>1.87</v>
      </c>
      <c r="H255" s="32">
        <v>3.7370000000000001</v>
      </c>
      <c r="I255" s="32">
        <v>3.722</v>
      </c>
      <c r="J255" s="33">
        <f>IF(O255&lt;&gt;"",(H255-I255)/O255,"")</f>
        <v>7.5000000000000622E-3</v>
      </c>
      <c r="K255" s="34" t="str">
        <f t="shared" si="32"/>
        <v/>
      </c>
      <c r="L255" s="35">
        <f>F255/(O255*P255)</f>
        <v>7.5625</v>
      </c>
      <c r="M255" s="36" t="str">
        <f>IF(L255=0,"",IF(OR(L255&lt;7,L255&gt;7.8),"X",""))</f>
        <v/>
      </c>
      <c r="N255" s="37" t="s">
        <v>20</v>
      </c>
      <c r="O255" s="29">
        <v>2</v>
      </c>
      <c r="P255" s="38">
        <v>40</v>
      </c>
      <c r="Q255" s="28"/>
      <c r="R255" s="28" t="s">
        <v>3115</v>
      </c>
      <c r="S255" s="92" t="s">
        <v>21</v>
      </c>
      <c r="T255" s="28"/>
      <c r="U255" s="28" t="s">
        <v>31</v>
      </c>
    </row>
    <row r="256" spans="1:21" s="27" customFormat="1" x14ac:dyDescent="0.25">
      <c r="A256" s="28" t="s">
        <v>21</v>
      </c>
      <c r="B256" s="28" t="s">
        <v>21</v>
      </c>
      <c r="C256" s="28" t="s">
        <v>21</v>
      </c>
      <c r="D256" s="31">
        <v>1</v>
      </c>
      <c r="E256" s="71"/>
      <c r="F256" s="31"/>
      <c r="G256" s="32">
        <v>1.8660000000000001</v>
      </c>
      <c r="H256" s="32"/>
      <c r="I256" s="32"/>
      <c r="J256" s="33"/>
      <c r="K256" s="34" t="str">
        <f t="shared" si="32"/>
        <v/>
      </c>
      <c r="L256" s="35"/>
      <c r="M256" s="36" t="str">
        <f t="shared" si="33"/>
        <v/>
      </c>
      <c r="N256" s="37"/>
      <c r="O256" s="29"/>
      <c r="P256" s="38"/>
      <c r="Q256" s="28"/>
      <c r="R256" s="28" t="s">
        <v>3114</v>
      </c>
      <c r="S256" s="92" t="s">
        <v>21</v>
      </c>
      <c r="T256" s="28"/>
      <c r="U256" s="28" t="s">
        <v>31</v>
      </c>
    </row>
    <row r="257" spans="1:21" s="27" customFormat="1" x14ac:dyDescent="0.25">
      <c r="A257" s="28" t="s">
        <v>21</v>
      </c>
      <c r="B257" s="28" t="s">
        <v>3085</v>
      </c>
      <c r="C257" s="28" t="s">
        <v>21</v>
      </c>
      <c r="D257" s="31">
        <v>1</v>
      </c>
      <c r="E257" s="71">
        <v>59</v>
      </c>
      <c r="F257" s="45">
        <v>605</v>
      </c>
      <c r="G257" s="32">
        <v>1.8759999999999999</v>
      </c>
      <c r="H257" s="32">
        <v>3.746</v>
      </c>
      <c r="I257" s="32">
        <v>3.7320000000000002</v>
      </c>
      <c r="J257" s="33">
        <f>IF(O257&lt;&gt;"",(H257-I257)/O257,"")</f>
        <v>6.9999999999998952E-3</v>
      </c>
      <c r="K257" s="34" t="str">
        <f t="shared" si="32"/>
        <v/>
      </c>
      <c r="L257" s="35">
        <f>F257/(O257*P257)</f>
        <v>7.5625</v>
      </c>
      <c r="M257" s="36" t="str">
        <f>IF(L257=0,"",IF(OR(L257&lt;7,L257&gt;7.8),"X",""))</f>
        <v/>
      </c>
      <c r="N257" s="37" t="s">
        <v>20</v>
      </c>
      <c r="O257" s="29">
        <v>2</v>
      </c>
      <c r="P257" s="38">
        <v>40</v>
      </c>
      <c r="Q257" s="28"/>
      <c r="R257" s="28" t="s">
        <v>3117</v>
      </c>
      <c r="S257" s="92" t="s">
        <v>21</v>
      </c>
      <c r="T257" s="28"/>
      <c r="U257" s="28" t="s">
        <v>31</v>
      </c>
    </row>
    <row r="258" spans="1:21" s="27" customFormat="1" x14ac:dyDescent="0.25">
      <c r="A258" s="28" t="s">
        <v>21</v>
      </c>
      <c r="B258" s="28" t="s">
        <v>21</v>
      </c>
      <c r="C258" s="28">
        <v>786992</v>
      </c>
      <c r="D258" s="31">
        <v>1</v>
      </c>
      <c r="E258" s="71"/>
      <c r="F258" s="31"/>
      <c r="G258" s="32">
        <v>1.87</v>
      </c>
      <c r="H258" s="32"/>
      <c r="I258" s="32"/>
      <c r="J258" s="33"/>
      <c r="K258" s="34" t="str">
        <f t="shared" si="32"/>
        <v/>
      </c>
      <c r="L258" s="35"/>
      <c r="M258" s="36" t="str">
        <f t="shared" si="33"/>
        <v/>
      </c>
      <c r="N258" s="37"/>
      <c r="O258" s="29"/>
      <c r="P258" s="38"/>
      <c r="Q258" s="28"/>
      <c r="R258" s="28" t="s">
        <v>3118</v>
      </c>
      <c r="S258" s="92" t="s">
        <v>21</v>
      </c>
      <c r="T258" s="28"/>
      <c r="U258" s="28" t="s">
        <v>31</v>
      </c>
    </row>
    <row r="259" spans="1:21" s="27" customFormat="1" x14ac:dyDescent="0.25">
      <c r="A259" s="28" t="s">
        <v>21</v>
      </c>
      <c r="B259" s="28" t="s">
        <v>3086</v>
      </c>
      <c r="C259" s="28" t="s">
        <v>21</v>
      </c>
      <c r="D259" s="31">
        <v>1</v>
      </c>
      <c r="E259" s="71">
        <v>44</v>
      </c>
      <c r="F259" s="45">
        <v>607</v>
      </c>
      <c r="G259" s="32">
        <v>1.87</v>
      </c>
      <c r="H259" s="32">
        <v>3.7429999999999999</v>
      </c>
      <c r="I259" s="32">
        <v>3.7229999999999999</v>
      </c>
      <c r="J259" s="33">
        <f>IF(O259&lt;&gt;"",(H259-I259)/O259,"")</f>
        <v>1.0000000000000009E-2</v>
      </c>
      <c r="K259" s="34" t="str">
        <f t="shared" si="32"/>
        <v/>
      </c>
      <c r="L259" s="35">
        <f>F259/(O259*P259)</f>
        <v>7.5875000000000004</v>
      </c>
      <c r="M259" s="36" t="str">
        <f>IF(L259=0,"",IF(OR(L259&lt;7,L259&gt;7.8),"X",""))</f>
        <v/>
      </c>
      <c r="N259" s="37" t="s">
        <v>20</v>
      </c>
      <c r="O259" s="29">
        <v>2</v>
      </c>
      <c r="P259" s="38">
        <v>40</v>
      </c>
      <c r="Q259" s="28"/>
      <c r="R259" s="28" t="s">
        <v>3119</v>
      </c>
      <c r="S259" s="92" t="s">
        <v>21</v>
      </c>
      <c r="T259" s="28"/>
      <c r="U259" s="28" t="s">
        <v>31</v>
      </c>
    </row>
    <row r="260" spans="1:21" s="27" customFormat="1" x14ac:dyDescent="0.25">
      <c r="A260" s="28" t="s">
        <v>21</v>
      </c>
      <c r="B260" s="28" t="s">
        <v>21</v>
      </c>
      <c r="C260" s="28" t="s">
        <v>21</v>
      </c>
      <c r="D260" s="31">
        <v>1</v>
      </c>
      <c r="E260" s="71"/>
      <c r="F260" s="31"/>
      <c r="G260" s="32">
        <v>1.8740000000000001</v>
      </c>
      <c r="H260" s="32"/>
      <c r="I260" s="32"/>
      <c r="J260" s="33"/>
      <c r="K260" s="34" t="str">
        <f t="shared" si="32"/>
        <v/>
      </c>
      <c r="L260" s="35"/>
      <c r="M260" s="36" t="str">
        <f t="shared" si="33"/>
        <v/>
      </c>
      <c r="N260" s="37"/>
      <c r="O260" s="29"/>
      <c r="P260" s="38"/>
      <c r="Q260" s="28"/>
      <c r="R260" s="28" t="s">
        <v>3121</v>
      </c>
      <c r="S260" s="92" t="s">
        <v>21</v>
      </c>
      <c r="T260" s="28"/>
      <c r="U260" s="28" t="s">
        <v>31</v>
      </c>
    </row>
    <row r="261" spans="1:21" s="27" customFormat="1" x14ac:dyDescent="0.25">
      <c r="A261" s="28" t="s">
        <v>21</v>
      </c>
      <c r="B261" s="28" t="s">
        <v>3087</v>
      </c>
      <c r="C261" s="28" t="s">
        <v>21</v>
      </c>
      <c r="D261" s="31">
        <v>1</v>
      </c>
      <c r="E261" s="71">
        <v>45</v>
      </c>
      <c r="F261" s="45">
        <v>607</v>
      </c>
      <c r="G261" s="32">
        <v>1.8779999999999999</v>
      </c>
      <c r="H261" s="32">
        <v>3.7519999999999998</v>
      </c>
      <c r="I261" s="32">
        <v>3.734</v>
      </c>
      <c r="J261" s="33">
        <f>IF(O261&lt;&gt;"",(H261-I261)/O261,"")</f>
        <v>8.999999999999897E-3</v>
      </c>
      <c r="K261" s="34" t="str">
        <f t="shared" si="32"/>
        <v/>
      </c>
      <c r="L261" s="35">
        <f>F261/(O261*P261)</f>
        <v>7.5875000000000004</v>
      </c>
      <c r="M261" s="36" t="str">
        <f>IF(L261=0,"",IF(OR(L261&lt;7,L261&gt;7.8),"X",""))</f>
        <v/>
      </c>
      <c r="N261" s="37" t="s">
        <v>20</v>
      </c>
      <c r="O261" s="29">
        <v>2</v>
      </c>
      <c r="P261" s="38">
        <v>40</v>
      </c>
      <c r="Q261" s="28"/>
      <c r="R261" s="28" t="s">
        <v>3122</v>
      </c>
      <c r="S261" s="92" t="s">
        <v>21</v>
      </c>
      <c r="T261" s="28"/>
      <c r="U261" s="28" t="s">
        <v>31</v>
      </c>
    </row>
    <row r="262" spans="1:21" s="27" customFormat="1" x14ac:dyDescent="0.25">
      <c r="A262" s="28" t="s">
        <v>21</v>
      </c>
      <c r="B262" s="28" t="s">
        <v>21</v>
      </c>
      <c r="C262" s="28" t="s">
        <v>21</v>
      </c>
      <c r="D262" s="31">
        <v>1</v>
      </c>
      <c r="E262" s="71"/>
      <c r="F262" s="31"/>
      <c r="G262" s="32">
        <v>1.875</v>
      </c>
      <c r="H262" s="32"/>
      <c r="I262" s="32"/>
      <c r="J262" s="33"/>
      <c r="K262" s="34" t="str">
        <f t="shared" si="32"/>
        <v/>
      </c>
      <c r="L262" s="35"/>
      <c r="M262" s="36" t="str">
        <f t="shared" si="33"/>
        <v/>
      </c>
      <c r="N262" s="37"/>
      <c r="O262" s="29"/>
      <c r="P262" s="38"/>
      <c r="Q262" s="28"/>
      <c r="R262" s="28" t="s">
        <v>3120</v>
      </c>
      <c r="S262" s="92" t="s">
        <v>21</v>
      </c>
      <c r="T262" s="28"/>
      <c r="U262" s="28" t="s">
        <v>31</v>
      </c>
    </row>
    <row r="263" spans="1:21" s="27" customFormat="1" x14ac:dyDescent="0.25">
      <c r="A263" s="28" t="s">
        <v>21</v>
      </c>
      <c r="B263" s="28" t="s">
        <v>3088</v>
      </c>
      <c r="C263" s="28" t="s">
        <v>21</v>
      </c>
      <c r="D263" s="31">
        <v>1</v>
      </c>
      <c r="E263" s="71">
        <v>43</v>
      </c>
      <c r="F263" s="45">
        <v>607</v>
      </c>
      <c r="G263" s="32">
        <v>1.8380000000000001</v>
      </c>
      <c r="H263" s="32">
        <v>3.6579999999999999</v>
      </c>
      <c r="I263" s="32">
        <v>3.641</v>
      </c>
      <c r="J263" s="33">
        <f>IF(O263&lt;&gt;"",(H263-I263)/O263,"")</f>
        <v>8.499999999999952E-3</v>
      </c>
      <c r="K263" s="34" t="str">
        <f t="shared" si="32"/>
        <v/>
      </c>
      <c r="L263" s="35">
        <f>F263/(O263*P263)</f>
        <v>7.5875000000000004</v>
      </c>
      <c r="M263" s="36" t="str">
        <f>IF(L263=0,"",IF(OR(L263&lt;7,L263&gt;7.8),"X",""))</f>
        <v/>
      </c>
      <c r="N263" s="37" t="s">
        <v>20</v>
      </c>
      <c r="O263" s="29">
        <v>2</v>
      </c>
      <c r="P263" s="38">
        <v>40</v>
      </c>
      <c r="Q263" s="28"/>
      <c r="R263" s="28" t="s">
        <v>3123</v>
      </c>
      <c r="S263" s="91" t="s">
        <v>58</v>
      </c>
      <c r="T263" s="28"/>
      <c r="U263" s="28" t="s">
        <v>31</v>
      </c>
    </row>
    <row r="264" spans="1:21" s="27" customFormat="1" x14ac:dyDescent="0.25">
      <c r="A264" s="28" t="s">
        <v>21</v>
      </c>
      <c r="B264" s="28" t="s">
        <v>21</v>
      </c>
      <c r="C264" s="28" t="s">
        <v>21</v>
      </c>
      <c r="D264" s="31">
        <v>1</v>
      </c>
      <c r="E264" s="71"/>
      <c r="F264" s="31"/>
      <c r="G264" s="32">
        <v>1.821</v>
      </c>
      <c r="H264" s="32"/>
      <c r="I264" s="32"/>
      <c r="J264" s="33"/>
      <c r="K264" s="34" t="str">
        <f t="shared" si="32"/>
        <v/>
      </c>
      <c r="L264" s="35"/>
      <c r="M264" s="36" t="str">
        <f t="shared" si="33"/>
        <v/>
      </c>
      <c r="N264" s="37"/>
      <c r="O264" s="29"/>
      <c r="P264" s="38"/>
      <c r="Q264" s="28"/>
      <c r="R264" s="28" t="s">
        <v>3125</v>
      </c>
      <c r="S264" s="91" t="s">
        <v>59</v>
      </c>
      <c r="T264" s="28"/>
      <c r="U264" s="28" t="s">
        <v>31</v>
      </c>
    </row>
    <row r="265" spans="1:21" s="27" customFormat="1" x14ac:dyDescent="0.25">
      <c r="A265" s="28" t="s">
        <v>21</v>
      </c>
      <c r="B265" s="28" t="s">
        <v>3089</v>
      </c>
      <c r="C265" s="28" t="s">
        <v>21</v>
      </c>
      <c r="D265" s="31">
        <v>1</v>
      </c>
      <c r="E265" s="71">
        <v>56</v>
      </c>
      <c r="F265" s="45">
        <v>606</v>
      </c>
      <c r="G265" s="32">
        <v>1.8640000000000001</v>
      </c>
      <c r="H265" s="32">
        <v>3.7240000000000002</v>
      </c>
      <c r="I265" s="32">
        <v>3.7109999999999999</v>
      </c>
      <c r="J265" s="33">
        <f>IF(O265&lt;&gt;"",(H265-I265)/O265,"")</f>
        <v>6.5000000000001723E-3</v>
      </c>
      <c r="K265" s="34" t="str">
        <f t="shared" si="32"/>
        <v/>
      </c>
      <c r="L265" s="35">
        <f>F265/(O265*P265)</f>
        <v>7.5750000000000002</v>
      </c>
      <c r="M265" s="36" t="str">
        <f>IF(L265=0,"",IF(OR(L265&lt;7,L265&gt;7.8),"X",""))</f>
        <v/>
      </c>
      <c r="N265" s="37" t="s">
        <v>20</v>
      </c>
      <c r="O265" s="29">
        <v>2</v>
      </c>
      <c r="P265" s="38">
        <v>40</v>
      </c>
      <c r="Q265" s="28"/>
      <c r="R265" s="28" t="s">
        <v>3124</v>
      </c>
      <c r="S265" s="92" t="s">
        <v>21</v>
      </c>
      <c r="T265" s="28"/>
      <c r="U265" s="28" t="s">
        <v>31</v>
      </c>
    </row>
    <row r="266" spans="1:21" s="27" customFormat="1" x14ac:dyDescent="0.25">
      <c r="A266" s="28" t="s">
        <v>21</v>
      </c>
      <c r="B266" s="28" t="s">
        <v>21</v>
      </c>
      <c r="C266" s="28" t="s">
        <v>21</v>
      </c>
      <c r="D266" s="31">
        <v>1</v>
      </c>
      <c r="E266" s="71"/>
      <c r="F266" s="31"/>
      <c r="G266" s="32">
        <v>1.8620000000000001</v>
      </c>
      <c r="H266" s="32"/>
      <c r="I266" s="32"/>
      <c r="J266" s="33"/>
      <c r="K266" s="34" t="str">
        <f t="shared" si="32"/>
        <v/>
      </c>
      <c r="L266" s="35"/>
      <c r="M266" s="36" t="str">
        <f t="shared" si="33"/>
        <v/>
      </c>
      <c r="N266" s="37"/>
      <c r="O266" s="29"/>
      <c r="P266" s="38"/>
      <c r="Q266" s="28"/>
      <c r="R266" s="28" t="s">
        <v>3126</v>
      </c>
      <c r="S266" s="92" t="s">
        <v>21</v>
      </c>
      <c r="T266" s="28"/>
      <c r="U266" s="28" t="s">
        <v>31</v>
      </c>
    </row>
    <row r="267" spans="1:21" s="27" customFormat="1" x14ac:dyDescent="0.25">
      <c r="A267" s="28" t="s">
        <v>21</v>
      </c>
      <c r="B267" s="28" t="s">
        <v>3090</v>
      </c>
      <c r="C267" s="28" t="s">
        <v>21</v>
      </c>
      <c r="D267" s="31">
        <v>1</v>
      </c>
      <c r="E267" s="71">
        <v>44</v>
      </c>
      <c r="F267" s="45">
        <v>608</v>
      </c>
      <c r="G267" s="32">
        <v>1.867</v>
      </c>
      <c r="H267" s="32">
        <v>3.7320000000000002</v>
      </c>
      <c r="I267" s="32">
        <v>3.71</v>
      </c>
      <c r="J267" s="33">
        <f>IF(O267&lt;&gt;"",(H267-I267)/O267,"")</f>
        <v>1.1000000000000121E-2</v>
      </c>
      <c r="K267" s="34" t="str">
        <f t="shared" si="32"/>
        <v/>
      </c>
      <c r="L267" s="35">
        <f>F267/(O267*P267)</f>
        <v>7.6</v>
      </c>
      <c r="M267" s="36" t="str">
        <f>IF(L267=0,"",IF(OR(L267&lt;7,L267&gt;7.8),"X",""))</f>
        <v/>
      </c>
      <c r="N267" s="37" t="s">
        <v>20</v>
      </c>
      <c r="O267" s="29">
        <v>2</v>
      </c>
      <c r="P267" s="38">
        <v>40</v>
      </c>
      <c r="Q267" s="28"/>
      <c r="R267" s="28" t="s">
        <v>3127</v>
      </c>
      <c r="S267" s="92" t="s">
        <v>21</v>
      </c>
      <c r="T267" s="28"/>
      <c r="U267" s="28" t="s">
        <v>31</v>
      </c>
    </row>
    <row r="268" spans="1:21" s="27" customFormat="1" x14ac:dyDescent="0.25">
      <c r="A268" s="28" t="s">
        <v>21</v>
      </c>
      <c r="B268" s="28" t="s">
        <v>21</v>
      </c>
      <c r="C268" s="28" t="s">
        <v>21</v>
      </c>
      <c r="D268" s="31">
        <v>1</v>
      </c>
      <c r="E268" s="71"/>
      <c r="F268" s="31"/>
      <c r="G268" s="32">
        <v>1.8660000000000001</v>
      </c>
      <c r="H268" s="32"/>
      <c r="I268" s="32"/>
      <c r="J268" s="33"/>
      <c r="K268" s="34" t="str">
        <f t="shared" si="32"/>
        <v/>
      </c>
      <c r="L268" s="35"/>
      <c r="M268" s="36" t="str">
        <f t="shared" si="33"/>
        <v/>
      </c>
      <c r="N268" s="37"/>
      <c r="O268" s="29"/>
      <c r="P268" s="38"/>
      <c r="Q268" s="28"/>
      <c r="R268" s="28" t="s">
        <v>3128</v>
      </c>
      <c r="S268" s="92" t="s">
        <v>21</v>
      </c>
      <c r="T268" s="28"/>
      <c r="U268" s="28" t="s">
        <v>31</v>
      </c>
    </row>
    <row r="269" spans="1:21" s="27" customFormat="1" x14ac:dyDescent="0.25">
      <c r="A269" s="28" t="s">
        <v>21</v>
      </c>
      <c r="B269" s="28" t="s">
        <v>3091</v>
      </c>
      <c r="C269" s="28" t="s">
        <v>21</v>
      </c>
      <c r="D269" s="31">
        <v>1</v>
      </c>
      <c r="E269" s="71">
        <v>50</v>
      </c>
      <c r="F269" s="45">
        <v>608</v>
      </c>
      <c r="G269" s="32">
        <v>1.879</v>
      </c>
      <c r="H269" s="32">
        <v>3.746</v>
      </c>
      <c r="I269" s="32">
        <v>3.7330000000000001</v>
      </c>
      <c r="J269" s="33">
        <f>IF(O269&lt;&gt;"",(H269-I269)/O269,"")</f>
        <v>6.4999999999999503E-3</v>
      </c>
      <c r="K269" s="34" t="str">
        <f t="shared" si="32"/>
        <v/>
      </c>
      <c r="L269" s="35">
        <f>F269/(O269*P269)</f>
        <v>7.6</v>
      </c>
      <c r="M269" s="36" t="str">
        <f>IF(L269=0,"",IF(OR(L269&lt;7,L269&gt;7.8),"X",""))</f>
        <v/>
      </c>
      <c r="N269" s="37" t="s">
        <v>20</v>
      </c>
      <c r="O269" s="29">
        <v>2</v>
      </c>
      <c r="P269" s="38">
        <v>40</v>
      </c>
      <c r="Q269" s="28"/>
      <c r="R269" s="28" t="s">
        <v>3129</v>
      </c>
      <c r="S269" s="92" t="s">
        <v>21</v>
      </c>
      <c r="T269" s="28"/>
      <c r="U269" s="28" t="s">
        <v>31</v>
      </c>
    </row>
    <row r="270" spans="1:21" s="27" customFormat="1" x14ac:dyDescent="0.25">
      <c r="A270" s="28" t="s">
        <v>21</v>
      </c>
      <c r="B270" s="28" t="s">
        <v>21</v>
      </c>
      <c r="C270" s="28" t="s">
        <v>21</v>
      </c>
      <c r="D270" s="31">
        <v>1</v>
      </c>
      <c r="E270" s="71"/>
      <c r="F270" s="31"/>
      <c r="G270" s="32">
        <v>1.8680000000000001</v>
      </c>
      <c r="H270" s="32"/>
      <c r="I270" s="32"/>
      <c r="J270" s="33"/>
      <c r="K270" s="34" t="str">
        <f t="shared" si="32"/>
        <v/>
      </c>
      <c r="L270" s="35"/>
      <c r="M270" s="36" t="str">
        <f t="shared" si="33"/>
        <v/>
      </c>
      <c r="N270" s="37"/>
      <c r="O270" s="29"/>
      <c r="P270" s="38"/>
      <c r="Q270" s="28"/>
      <c r="R270" s="28" t="s">
        <v>3130</v>
      </c>
      <c r="S270" s="92" t="s">
        <v>21</v>
      </c>
      <c r="T270" s="28"/>
      <c r="U270" s="28" t="s">
        <v>31</v>
      </c>
    </row>
    <row r="271" spans="1:21" s="27" customFormat="1" x14ac:dyDescent="0.25">
      <c r="A271" s="28" t="s">
        <v>21</v>
      </c>
      <c r="B271" s="28" t="s">
        <v>3092</v>
      </c>
      <c r="C271" s="28" t="s">
        <v>21</v>
      </c>
      <c r="D271" s="31">
        <v>1</v>
      </c>
      <c r="E271" s="71">
        <v>53</v>
      </c>
      <c r="F271" s="45">
        <v>607</v>
      </c>
      <c r="G271" s="32">
        <v>1.875</v>
      </c>
      <c r="H271" s="32">
        <v>3.7509999999999999</v>
      </c>
      <c r="I271" s="32">
        <v>3.7330000000000001</v>
      </c>
      <c r="J271" s="33">
        <f>IF(O271&lt;&gt;"",(H271-I271)/O271,"")</f>
        <v>8.999999999999897E-3</v>
      </c>
      <c r="K271" s="34" t="str">
        <f t="shared" si="32"/>
        <v/>
      </c>
      <c r="L271" s="35">
        <f>F271/(O271*P271)</f>
        <v>7.5875000000000004</v>
      </c>
      <c r="M271" s="36" t="str">
        <f>IF(L271=0,"",IF(OR(L271&lt;7,L271&gt;7.8),"X",""))</f>
        <v/>
      </c>
      <c r="N271" s="37" t="s">
        <v>20</v>
      </c>
      <c r="O271" s="29">
        <v>2</v>
      </c>
      <c r="P271" s="38">
        <v>40</v>
      </c>
      <c r="Q271" s="28"/>
      <c r="R271" s="28" t="s">
        <v>3131</v>
      </c>
      <c r="S271" s="92" t="s">
        <v>21</v>
      </c>
      <c r="T271" s="28"/>
      <c r="U271" s="28" t="s">
        <v>31</v>
      </c>
    </row>
    <row r="272" spans="1:21" s="27" customFormat="1" x14ac:dyDescent="0.25">
      <c r="A272" s="28" t="s">
        <v>21</v>
      </c>
      <c r="B272" s="28" t="s">
        <v>21</v>
      </c>
      <c r="C272" s="28" t="s">
        <v>21</v>
      </c>
      <c r="D272" s="31">
        <v>1</v>
      </c>
      <c r="E272" s="71"/>
      <c r="F272" s="31"/>
      <c r="G272" s="32">
        <v>1.8779999999999999</v>
      </c>
      <c r="H272" s="32"/>
      <c r="I272" s="32"/>
      <c r="J272" s="33"/>
      <c r="K272" s="34" t="str">
        <f t="shared" si="32"/>
        <v/>
      </c>
      <c r="L272" s="35"/>
      <c r="M272" s="36" t="str">
        <f t="shared" si="33"/>
        <v/>
      </c>
      <c r="N272" s="37"/>
      <c r="O272" s="29"/>
      <c r="P272" s="38"/>
      <c r="Q272" s="28"/>
      <c r="R272" s="28" t="s">
        <v>3132</v>
      </c>
      <c r="S272" s="92" t="s">
        <v>21</v>
      </c>
      <c r="T272" s="28"/>
      <c r="U272" s="28" t="s">
        <v>31</v>
      </c>
    </row>
    <row r="292" spans="1:21" ht="15.75" thickBot="1" x14ac:dyDescent="0.3"/>
    <row r="293" spans="1:21" s="27" customFormat="1" ht="16.5" thickBot="1" x14ac:dyDescent="0.3">
      <c r="A293" s="115" t="s">
        <v>30</v>
      </c>
      <c r="B293" s="77"/>
      <c r="C293" s="77"/>
      <c r="D293" s="56"/>
      <c r="E293" s="51"/>
      <c r="F293" s="50"/>
      <c r="G293" s="53"/>
      <c r="H293" s="53"/>
      <c r="I293" s="59"/>
      <c r="J293" s="60"/>
      <c r="K293" s="22"/>
      <c r="L293" s="61"/>
      <c r="M293" s="62"/>
      <c r="N293" s="63"/>
      <c r="O293" s="64"/>
      <c r="P293" s="65"/>
      <c r="Q293" s="58"/>
      <c r="R293" s="58"/>
      <c r="S293" s="58"/>
      <c r="T293" s="58"/>
      <c r="U293" s="58"/>
    </row>
    <row r="294" spans="1:21" s="27" customFormat="1" x14ac:dyDescent="0.25">
      <c r="A294" s="28" t="s">
        <v>2856</v>
      </c>
      <c r="B294" s="28" t="s">
        <v>2857</v>
      </c>
      <c r="C294" s="28"/>
      <c r="D294" s="31">
        <v>1</v>
      </c>
      <c r="E294" s="73">
        <v>10</v>
      </c>
      <c r="F294" s="45">
        <v>1012</v>
      </c>
      <c r="G294" s="32">
        <v>1.869</v>
      </c>
      <c r="H294" s="32">
        <v>8</v>
      </c>
      <c r="I294" s="32">
        <v>7.09</v>
      </c>
      <c r="J294" s="33">
        <f>IF(O294&lt;&gt;"",(H294-I294)/O294,"")</f>
        <v>0.22750000000000004</v>
      </c>
      <c r="K294" s="34" t="str">
        <f t="shared" ref="K294" si="34">IF(J294=0,"",IF(OR(J294&lt;0,J294&gt;0.03),"X",""))</f>
        <v>X</v>
      </c>
      <c r="L294" s="35">
        <f>F294/(O294*P294)</f>
        <v>6.3250000000000002</v>
      </c>
      <c r="M294" s="36" t="str">
        <f>IF(L294=0,"",IF(OR(L294&lt;7,L294&gt;7.8),"X",""))</f>
        <v>X</v>
      </c>
      <c r="N294" s="37" t="s">
        <v>24</v>
      </c>
      <c r="O294" s="29">
        <v>4</v>
      </c>
      <c r="P294" s="38">
        <v>40</v>
      </c>
      <c r="Q294" s="28"/>
      <c r="R294" s="28"/>
      <c r="S294" s="47"/>
      <c r="T294" s="28"/>
      <c r="U294" s="28" t="s">
        <v>31</v>
      </c>
    </row>
    <row r="295" spans="1:21" s="27" customFormat="1" x14ac:dyDescent="0.25">
      <c r="A295" s="28" t="s">
        <v>21</v>
      </c>
      <c r="B295" s="28" t="s">
        <v>21</v>
      </c>
      <c r="C295" s="28"/>
      <c r="D295" s="31"/>
      <c r="E295" s="73"/>
      <c r="F295" s="31"/>
      <c r="G295" s="32">
        <v>2.15</v>
      </c>
      <c r="H295" s="32"/>
      <c r="I295" s="32"/>
      <c r="J295" s="33" t="str">
        <f t="shared" ref="J295:J297" si="35">IF(O295&lt;&gt;"",(H295-I295)/O295,"")</f>
        <v/>
      </c>
      <c r="K295" s="34"/>
      <c r="L295" s="35"/>
      <c r="M295" s="36" t="str">
        <f t="shared" ref="M295:M297" si="36">IF(L295=0,"",IF(OR(L295&lt;7.4,L295&gt;8),"X",""))</f>
        <v/>
      </c>
      <c r="N295" s="37"/>
      <c r="O295" s="29"/>
      <c r="P295" s="38"/>
      <c r="Q295" s="28"/>
      <c r="R295" s="28"/>
      <c r="S295" s="47"/>
      <c r="T295" s="28"/>
      <c r="U295" s="28" t="s">
        <v>31</v>
      </c>
    </row>
    <row r="296" spans="1:21" s="27" customFormat="1" x14ac:dyDescent="0.25">
      <c r="A296" s="28" t="s">
        <v>21</v>
      </c>
      <c r="B296" s="28" t="s">
        <v>21</v>
      </c>
      <c r="C296" s="28"/>
      <c r="D296" s="31"/>
      <c r="E296" s="73"/>
      <c r="F296" s="31"/>
      <c r="G296" s="32">
        <v>2.024</v>
      </c>
      <c r="H296" s="32"/>
      <c r="I296" s="32"/>
      <c r="J296" s="33" t="str">
        <f t="shared" si="35"/>
        <v/>
      </c>
      <c r="K296" s="34"/>
      <c r="L296" s="35"/>
      <c r="M296" s="36" t="str">
        <f t="shared" si="36"/>
        <v/>
      </c>
      <c r="N296" s="37"/>
      <c r="O296" s="29"/>
      <c r="P296" s="38"/>
      <c r="Q296" s="28"/>
      <c r="R296" s="28"/>
      <c r="S296" s="47"/>
      <c r="T296" s="28"/>
      <c r="U296" s="28" t="s">
        <v>31</v>
      </c>
    </row>
    <row r="297" spans="1:21" s="27" customFormat="1" x14ac:dyDescent="0.25">
      <c r="A297" s="28" t="s">
        <v>21</v>
      </c>
      <c r="B297" s="28" t="s">
        <v>21</v>
      </c>
      <c r="C297" s="28"/>
      <c r="D297" s="31"/>
      <c r="E297" s="73"/>
      <c r="F297" s="31"/>
      <c r="G297" s="32">
        <v>1.9770000000000001</v>
      </c>
      <c r="H297" s="32"/>
      <c r="I297" s="32"/>
      <c r="J297" s="33" t="str">
        <f t="shared" si="35"/>
        <v/>
      </c>
      <c r="K297" s="34"/>
      <c r="L297" s="35"/>
      <c r="M297" s="36" t="str">
        <f t="shared" si="36"/>
        <v/>
      </c>
      <c r="N297" s="37"/>
      <c r="O297" s="29"/>
      <c r="P297" s="38"/>
      <c r="Q297" s="28"/>
      <c r="R297" s="28"/>
      <c r="S297" s="47"/>
      <c r="T297" s="28"/>
      <c r="U297" s="28" t="s">
        <v>31</v>
      </c>
    </row>
    <row r="298" spans="1:21" s="27" customFormat="1" x14ac:dyDescent="0.25">
      <c r="A298" s="28" t="s">
        <v>3008</v>
      </c>
      <c r="B298" s="28" t="s">
        <v>3009</v>
      </c>
      <c r="C298" s="28"/>
      <c r="D298" s="31" t="s">
        <v>3010</v>
      </c>
      <c r="E298" s="73">
        <v>0</v>
      </c>
      <c r="F298" s="45">
        <v>160</v>
      </c>
      <c r="G298" s="32"/>
      <c r="H298" s="32">
        <v>1.79</v>
      </c>
      <c r="I298" s="32">
        <v>1.7809999999999999</v>
      </c>
      <c r="J298" s="33">
        <f>IF(O298&lt;&gt;"",(H298-I298)/O298,"")</f>
        <v>9.000000000000119E-3</v>
      </c>
      <c r="K298" s="34" t="str">
        <f t="shared" ref="K298" si="37">IF(J298=0,"",IF(OR(J298&lt;0,J298&gt;0.03),"X",""))</f>
        <v/>
      </c>
      <c r="L298" s="35">
        <f>F298/(O298*P298)</f>
        <v>4</v>
      </c>
      <c r="M298" s="36" t="str">
        <f>IF(L298=0,"",IF(OR(L298&lt;7,L298&gt;7.8),"X",""))</f>
        <v>X</v>
      </c>
      <c r="N298" s="37" t="s">
        <v>18</v>
      </c>
      <c r="O298" s="29">
        <v>1</v>
      </c>
      <c r="P298" s="38">
        <v>40</v>
      </c>
      <c r="Q298" s="46"/>
      <c r="R298" s="28"/>
      <c r="S298" s="47"/>
      <c r="T298" s="46"/>
      <c r="U298" s="28" t="s">
        <v>31</v>
      </c>
    </row>
    <row r="299" spans="1:21" s="27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s="27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s="27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s="27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</sheetData>
  <customSheetViews>
    <customSheetView guid="{C2C34B0E-C0A2-4B0B-812E-0757ABB9DC2E}">
      <pane ySplit="1" topLeftCell="A260" activePane="bottomLeft" state="frozen"/>
      <selection pane="bottomLeft" activeCell="R269" sqref="R269"/>
      <pageMargins left="0.7" right="0.7" top="0.78740157499999996" bottom="0.78740157499999996" header="0.3" footer="0.3"/>
    </customSheetView>
    <customSheetView guid="{E2377352-22A7-452B-BFAD-18D3D497CC88}">
      <pane ySplit="1" topLeftCell="A2" activePane="bottomLeft" state="frozen"/>
      <selection pane="bottomLeft" activeCell="A32" sqref="A32:R43"/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80"/>
  <sheetViews>
    <sheetView tabSelected="1" workbookViewId="0">
      <pane ySplit="1" topLeftCell="A209" activePane="bottomLeft" state="frozen"/>
      <selection pane="bottomLeft" activeCell="C200" sqref="C200"/>
    </sheetView>
  </sheetViews>
  <sheetFormatPr baseColWidth="10" defaultRowHeight="15" x14ac:dyDescent="0.25"/>
  <cols>
    <col min="1" max="1" width="13.28515625" customWidth="1"/>
    <col min="2" max="2" width="15.5703125" customWidth="1"/>
    <col min="3" max="3" width="12.140625" customWidth="1"/>
    <col min="4" max="4" width="8.5703125" customWidth="1"/>
    <col min="5" max="5" width="9" customWidth="1"/>
    <col min="10" max="10" width="10.5703125" customWidth="1"/>
    <col min="11" max="11" width="2" customWidth="1"/>
    <col min="12" max="12" width="10.140625" customWidth="1"/>
    <col min="13" max="13" width="2" customWidth="1"/>
    <col min="14" max="14" width="11.140625" customWidth="1"/>
    <col min="15" max="15" width="7.85546875" customWidth="1"/>
    <col min="17" max="17" width="2.5703125" customWidth="1"/>
    <col min="18" max="18" width="36.140625" customWidth="1"/>
    <col min="19" max="19" width="50.28515625" customWidth="1"/>
    <col min="20" max="20" width="1.140625" customWidth="1"/>
    <col min="21" max="21" width="6.8554687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1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1" t="s">
        <v>14</v>
      </c>
      <c r="S1" s="1" t="s">
        <v>14</v>
      </c>
      <c r="T1" s="1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3133</v>
      </c>
      <c r="B2" s="28" t="s">
        <v>3134</v>
      </c>
      <c r="C2" s="28">
        <v>698231</v>
      </c>
      <c r="D2" s="29">
        <v>1</v>
      </c>
      <c r="E2" s="71">
        <v>26</v>
      </c>
      <c r="F2" s="31">
        <v>191</v>
      </c>
      <c r="G2" s="32"/>
      <c r="H2" s="32">
        <v>1.8620000000000001</v>
      </c>
      <c r="I2" s="32">
        <v>1.8520000000000001</v>
      </c>
      <c r="J2" s="33">
        <f t="shared" ref="J2:J31" si="0">IF(O2&lt;&gt;"",(H2-I2)/O2,"")</f>
        <v>1.0000000000000009E-2</v>
      </c>
      <c r="K2" s="34" t="str">
        <f t="shared" ref="K2:K65" si="1">IF(J2=0,"",IF(OR(J2&lt;0,J2&gt;0.03),"X",""))</f>
        <v/>
      </c>
      <c r="L2" s="35">
        <f t="shared" ref="L2:L31" si="2">F2/(O2*P2)</f>
        <v>7.64</v>
      </c>
      <c r="M2" s="36" t="str">
        <f t="shared" ref="M2:M31" si="3">IF(L2=0,"",IF(OR(L2&lt;7,L2&gt;7.8),"X",""))</f>
        <v/>
      </c>
      <c r="N2" s="37" t="s">
        <v>16</v>
      </c>
      <c r="O2" s="29">
        <v>1</v>
      </c>
      <c r="P2" s="38">
        <v>25</v>
      </c>
      <c r="Q2" s="28"/>
      <c r="R2" s="28" t="s">
        <v>3164</v>
      </c>
      <c r="S2" s="91" t="s">
        <v>58</v>
      </c>
      <c r="T2" s="28"/>
      <c r="U2" s="28" t="s">
        <v>31</v>
      </c>
    </row>
    <row r="3" spans="1:54" s="27" customFormat="1" x14ac:dyDescent="0.25">
      <c r="A3" s="28" t="s">
        <v>21</v>
      </c>
      <c r="B3" s="28" t="s">
        <v>3135</v>
      </c>
      <c r="C3" s="28" t="s">
        <v>21</v>
      </c>
      <c r="D3" s="29">
        <v>1</v>
      </c>
      <c r="E3" s="71">
        <v>41</v>
      </c>
      <c r="F3" s="31">
        <v>190</v>
      </c>
      <c r="G3" s="32"/>
      <c r="H3" s="32">
        <v>1.8660000000000001</v>
      </c>
      <c r="I3" s="32">
        <v>1.857</v>
      </c>
      <c r="J3" s="33">
        <f t="shared" si="0"/>
        <v>9.000000000000119E-3</v>
      </c>
      <c r="K3" s="34" t="str">
        <f t="shared" si="1"/>
        <v/>
      </c>
      <c r="L3" s="35">
        <f t="shared" si="2"/>
        <v>7.6</v>
      </c>
      <c r="M3" s="36" t="str">
        <f t="shared" si="3"/>
        <v/>
      </c>
      <c r="N3" s="37" t="s">
        <v>16</v>
      </c>
      <c r="O3" s="29">
        <v>1</v>
      </c>
      <c r="P3" s="38">
        <v>25</v>
      </c>
      <c r="Q3" s="28"/>
      <c r="R3" s="28" t="s">
        <v>3165</v>
      </c>
      <c r="S3" s="91" t="s">
        <v>59</v>
      </c>
      <c r="T3" s="28"/>
      <c r="U3" s="28" t="s">
        <v>31</v>
      </c>
    </row>
    <row r="4" spans="1:54" s="27" customFormat="1" x14ac:dyDescent="0.25">
      <c r="A4" s="28" t="s">
        <v>21</v>
      </c>
      <c r="B4" s="28" t="s">
        <v>3136</v>
      </c>
      <c r="C4" s="28" t="s">
        <v>21</v>
      </c>
      <c r="D4" s="29">
        <v>1</v>
      </c>
      <c r="E4" s="71">
        <v>41</v>
      </c>
      <c r="F4" s="31">
        <v>190</v>
      </c>
      <c r="G4" s="32"/>
      <c r="H4" s="32">
        <v>1.847</v>
      </c>
      <c r="I4" s="32">
        <v>1.8380000000000001</v>
      </c>
      <c r="J4" s="33">
        <f t="shared" si="0"/>
        <v>8.999999999999897E-3</v>
      </c>
      <c r="K4" s="34" t="str">
        <f t="shared" si="1"/>
        <v/>
      </c>
      <c r="L4" s="35">
        <f t="shared" si="2"/>
        <v>7.6</v>
      </c>
      <c r="M4" s="36" t="str">
        <f t="shared" si="3"/>
        <v/>
      </c>
      <c r="N4" s="37" t="s">
        <v>16</v>
      </c>
      <c r="O4" s="29">
        <v>1</v>
      </c>
      <c r="P4" s="38">
        <v>25</v>
      </c>
      <c r="Q4" s="28"/>
      <c r="R4" s="28" t="s">
        <v>3166</v>
      </c>
      <c r="S4" s="92" t="s">
        <v>21</v>
      </c>
      <c r="T4" s="28"/>
      <c r="U4" s="28" t="s">
        <v>31</v>
      </c>
    </row>
    <row r="5" spans="1:54" s="27" customFormat="1" x14ac:dyDescent="0.25">
      <c r="A5" s="28" t="s">
        <v>21</v>
      </c>
      <c r="B5" s="28" t="s">
        <v>3137</v>
      </c>
      <c r="C5" s="28" t="s">
        <v>21</v>
      </c>
      <c r="D5" s="29">
        <v>1</v>
      </c>
      <c r="E5" s="71">
        <v>43</v>
      </c>
      <c r="F5" s="31">
        <v>187</v>
      </c>
      <c r="G5" s="32"/>
      <c r="H5" s="32">
        <v>1.849</v>
      </c>
      <c r="I5" s="32">
        <v>1.84</v>
      </c>
      <c r="J5" s="33">
        <f t="shared" si="0"/>
        <v>8.999999999999897E-3</v>
      </c>
      <c r="K5" s="34" t="str">
        <f t="shared" si="1"/>
        <v/>
      </c>
      <c r="L5" s="35">
        <f t="shared" si="2"/>
        <v>7.48</v>
      </c>
      <c r="M5" s="36" t="str">
        <f t="shared" si="3"/>
        <v/>
      </c>
      <c r="N5" s="37" t="s">
        <v>16</v>
      </c>
      <c r="O5" s="29">
        <v>1</v>
      </c>
      <c r="P5" s="38">
        <v>25</v>
      </c>
      <c r="Q5" s="28"/>
      <c r="R5" s="28" t="s">
        <v>3167</v>
      </c>
      <c r="S5" s="92" t="s">
        <v>21</v>
      </c>
      <c r="T5" s="28"/>
      <c r="U5" s="28" t="s">
        <v>31</v>
      </c>
    </row>
    <row r="6" spans="1:54" s="27" customFormat="1" x14ac:dyDescent="0.25">
      <c r="A6" s="28" t="s">
        <v>21</v>
      </c>
      <c r="B6" s="28" t="s">
        <v>3138</v>
      </c>
      <c r="C6" s="28">
        <v>698231</v>
      </c>
      <c r="D6" s="29">
        <v>1</v>
      </c>
      <c r="E6" s="71">
        <v>50</v>
      </c>
      <c r="F6" s="31">
        <v>186</v>
      </c>
      <c r="G6" s="32"/>
      <c r="H6" s="32">
        <v>1.841</v>
      </c>
      <c r="I6" s="32">
        <v>1.833</v>
      </c>
      <c r="J6" s="33">
        <f t="shared" si="0"/>
        <v>8.0000000000000071E-3</v>
      </c>
      <c r="K6" s="34" t="str">
        <f t="shared" si="1"/>
        <v/>
      </c>
      <c r="L6" s="35">
        <f t="shared" si="2"/>
        <v>7.44</v>
      </c>
      <c r="M6" s="36" t="str">
        <f t="shared" si="3"/>
        <v/>
      </c>
      <c r="N6" s="37" t="s">
        <v>16</v>
      </c>
      <c r="O6" s="29">
        <v>1</v>
      </c>
      <c r="P6" s="38">
        <v>25</v>
      </c>
      <c r="Q6" s="28"/>
      <c r="R6" s="28" t="s">
        <v>3168</v>
      </c>
      <c r="S6" s="92" t="s">
        <v>21</v>
      </c>
      <c r="T6" s="28"/>
      <c r="U6" s="28" t="s">
        <v>31</v>
      </c>
    </row>
    <row r="7" spans="1:54" s="27" customFormat="1" x14ac:dyDescent="0.25">
      <c r="A7" s="28" t="s">
        <v>21</v>
      </c>
      <c r="B7" s="28" t="s">
        <v>3139</v>
      </c>
      <c r="C7" s="28" t="s">
        <v>21</v>
      </c>
      <c r="D7" s="29">
        <v>1</v>
      </c>
      <c r="E7" s="71">
        <v>38</v>
      </c>
      <c r="F7" s="31">
        <v>191</v>
      </c>
      <c r="G7" s="32"/>
      <c r="H7" s="32">
        <v>1.879</v>
      </c>
      <c r="I7" s="32">
        <v>1.871</v>
      </c>
      <c r="J7" s="33">
        <f t="shared" si="0"/>
        <v>8.0000000000000071E-3</v>
      </c>
      <c r="K7" s="34" t="str">
        <f t="shared" si="1"/>
        <v/>
      </c>
      <c r="L7" s="35">
        <f t="shared" si="2"/>
        <v>7.64</v>
      </c>
      <c r="M7" s="36" t="str">
        <f t="shared" si="3"/>
        <v/>
      </c>
      <c r="N7" s="37" t="s">
        <v>16</v>
      </c>
      <c r="O7" s="29">
        <v>1</v>
      </c>
      <c r="P7" s="38">
        <v>25</v>
      </c>
      <c r="Q7" s="28"/>
      <c r="R7" s="28" t="s">
        <v>3169</v>
      </c>
      <c r="S7" s="91" t="s">
        <v>103</v>
      </c>
      <c r="T7" s="28"/>
      <c r="U7" s="28" t="s">
        <v>31</v>
      </c>
    </row>
    <row r="8" spans="1:54" s="27" customFormat="1" x14ac:dyDescent="0.25">
      <c r="A8" s="28" t="s">
        <v>21</v>
      </c>
      <c r="B8" s="28" t="s">
        <v>3140</v>
      </c>
      <c r="C8" s="28" t="s">
        <v>21</v>
      </c>
      <c r="D8" s="29">
        <v>1</v>
      </c>
      <c r="E8" s="71">
        <v>36</v>
      </c>
      <c r="F8" s="31">
        <v>190</v>
      </c>
      <c r="G8" s="32"/>
      <c r="H8" s="32">
        <v>1.8779999999999999</v>
      </c>
      <c r="I8" s="32">
        <v>1.869</v>
      </c>
      <c r="J8" s="33">
        <f t="shared" si="0"/>
        <v>8.999999999999897E-3</v>
      </c>
      <c r="K8" s="34" t="str">
        <f t="shared" si="1"/>
        <v/>
      </c>
      <c r="L8" s="35">
        <f t="shared" si="2"/>
        <v>7.6</v>
      </c>
      <c r="M8" s="36" t="str">
        <f t="shared" si="3"/>
        <v/>
      </c>
      <c r="N8" s="37" t="s">
        <v>16</v>
      </c>
      <c r="O8" s="29">
        <v>1</v>
      </c>
      <c r="P8" s="38">
        <v>25</v>
      </c>
      <c r="Q8" s="28"/>
      <c r="R8" s="28" t="s">
        <v>3170</v>
      </c>
      <c r="S8" s="91" t="s">
        <v>59</v>
      </c>
      <c r="T8" s="28"/>
      <c r="U8" s="28" t="s">
        <v>31</v>
      </c>
    </row>
    <row r="9" spans="1:54" s="27" customFormat="1" x14ac:dyDescent="0.25">
      <c r="A9" s="28" t="s">
        <v>21</v>
      </c>
      <c r="B9" s="28" t="s">
        <v>3141</v>
      </c>
      <c r="C9" s="28" t="s">
        <v>21</v>
      </c>
      <c r="D9" s="29">
        <v>1</v>
      </c>
      <c r="E9" s="71">
        <v>36</v>
      </c>
      <c r="F9" s="31">
        <v>189</v>
      </c>
      <c r="G9" s="32"/>
      <c r="H9" s="32">
        <v>1.873</v>
      </c>
      <c r="I9" s="32">
        <v>1.8660000000000001</v>
      </c>
      <c r="J9" s="33">
        <f t="shared" si="0"/>
        <v>6.9999999999998952E-3</v>
      </c>
      <c r="K9" s="34" t="str">
        <f t="shared" si="1"/>
        <v/>
      </c>
      <c r="L9" s="35">
        <f t="shared" si="2"/>
        <v>7.56</v>
      </c>
      <c r="M9" s="36" t="str">
        <f t="shared" si="3"/>
        <v/>
      </c>
      <c r="N9" s="37" t="s">
        <v>16</v>
      </c>
      <c r="O9" s="29">
        <v>1</v>
      </c>
      <c r="P9" s="38">
        <v>25</v>
      </c>
      <c r="Q9" s="28"/>
      <c r="R9" s="28" t="s">
        <v>3172</v>
      </c>
      <c r="S9" s="92" t="s">
        <v>21</v>
      </c>
      <c r="T9" s="28"/>
      <c r="U9" s="28" t="s">
        <v>31</v>
      </c>
    </row>
    <row r="10" spans="1:54" s="27" customFormat="1" x14ac:dyDescent="0.25">
      <c r="A10" s="28" t="s">
        <v>21</v>
      </c>
      <c r="B10" s="28" t="s">
        <v>3142</v>
      </c>
      <c r="C10" s="28" t="s">
        <v>21</v>
      </c>
      <c r="D10" s="29">
        <v>1</v>
      </c>
      <c r="E10" s="71">
        <v>35</v>
      </c>
      <c r="F10" s="31">
        <v>190</v>
      </c>
      <c r="G10" s="32"/>
      <c r="H10" s="32">
        <v>1.865</v>
      </c>
      <c r="I10" s="32">
        <v>1.8560000000000001</v>
      </c>
      <c r="J10" s="33">
        <f t="shared" si="0"/>
        <v>8.999999999999897E-3</v>
      </c>
      <c r="K10" s="34" t="str">
        <f t="shared" si="1"/>
        <v/>
      </c>
      <c r="L10" s="35">
        <f t="shared" si="2"/>
        <v>7.6</v>
      </c>
      <c r="M10" s="36" t="str">
        <f t="shared" si="3"/>
        <v/>
      </c>
      <c r="N10" s="37" t="s">
        <v>16</v>
      </c>
      <c r="O10" s="29">
        <v>1</v>
      </c>
      <c r="P10" s="38">
        <v>25</v>
      </c>
      <c r="Q10" s="28"/>
      <c r="R10" s="28" t="s">
        <v>3171</v>
      </c>
      <c r="S10" s="92" t="s">
        <v>21</v>
      </c>
      <c r="T10" s="28"/>
      <c r="U10" s="28" t="s">
        <v>31</v>
      </c>
    </row>
    <row r="11" spans="1:54" s="27" customFormat="1" x14ac:dyDescent="0.25">
      <c r="A11" s="28" t="s">
        <v>21</v>
      </c>
      <c r="B11" s="28" t="s">
        <v>3143</v>
      </c>
      <c r="C11" s="28" t="s">
        <v>21</v>
      </c>
      <c r="D11" s="29">
        <v>1</v>
      </c>
      <c r="E11" s="71">
        <v>42</v>
      </c>
      <c r="F11" s="31">
        <v>190</v>
      </c>
      <c r="G11" s="32"/>
      <c r="H11" s="32">
        <v>1.87</v>
      </c>
      <c r="I11" s="32">
        <v>1.8620000000000001</v>
      </c>
      <c r="J11" s="33">
        <f t="shared" si="0"/>
        <v>8.0000000000000071E-3</v>
      </c>
      <c r="K11" s="34" t="str">
        <f t="shared" si="1"/>
        <v/>
      </c>
      <c r="L11" s="35">
        <f t="shared" si="2"/>
        <v>7.6</v>
      </c>
      <c r="M11" s="36" t="str">
        <f t="shared" si="3"/>
        <v/>
      </c>
      <c r="N11" s="37" t="s">
        <v>16</v>
      </c>
      <c r="O11" s="29">
        <v>1</v>
      </c>
      <c r="P11" s="38">
        <v>25</v>
      </c>
      <c r="Q11" s="28"/>
      <c r="R11" s="28" t="s">
        <v>3173</v>
      </c>
      <c r="S11" s="92" t="s">
        <v>21</v>
      </c>
      <c r="T11" s="28"/>
      <c r="U11" s="28" t="s">
        <v>31</v>
      </c>
    </row>
    <row r="12" spans="1:54" s="27" customFormat="1" x14ac:dyDescent="0.25">
      <c r="A12" s="28" t="s">
        <v>21</v>
      </c>
      <c r="B12" s="28" t="s">
        <v>3144</v>
      </c>
      <c r="C12" s="28" t="s">
        <v>21</v>
      </c>
      <c r="D12" s="29">
        <v>1</v>
      </c>
      <c r="E12" s="71">
        <v>33</v>
      </c>
      <c r="F12" s="31">
        <v>190</v>
      </c>
      <c r="G12" s="32"/>
      <c r="H12" s="32">
        <v>1.8740000000000001</v>
      </c>
      <c r="I12" s="32">
        <v>1.865</v>
      </c>
      <c r="J12" s="33">
        <f t="shared" si="0"/>
        <v>9.000000000000119E-3</v>
      </c>
      <c r="K12" s="34" t="str">
        <f t="shared" si="1"/>
        <v/>
      </c>
      <c r="L12" s="35">
        <f t="shared" si="2"/>
        <v>7.6</v>
      </c>
      <c r="M12" s="36" t="str">
        <f t="shared" si="3"/>
        <v/>
      </c>
      <c r="N12" s="37" t="s">
        <v>16</v>
      </c>
      <c r="O12" s="29">
        <v>1</v>
      </c>
      <c r="P12" s="38">
        <v>25</v>
      </c>
      <c r="Q12" s="28"/>
      <c r="R12" s="28" t="s">
        <v>3174</v>
      </c>
      <c r="S12" s="91" t="s">
        <v>58</v>
      </c>
      <c r="T12" s="28"/>
      <c r="U12" s="28" t="s">
        <v>31</v>
      </c>
    </row>
    <row r="13" spans="1:54" s="27" customFormat="1" x14ac:dyDescent="0.25">
      <c r="A13" s="28" t="s">
        <v>21</v>
      </c>
      <c r="B13" s="28" t="s">
        <v>3145</v>
      </c>
      <c r="C13" s="28" t="s">
        <v>21</v>
      </c>
      <c r="D13" s="29">
        <v>1</v>
      </c>
      <c r="E13" s="71">
        <v>47</v>
      </c>
      <c r="F13" s="31">
        <v>191</v>
      </c>
      <c r="G13" s="32"/>
      <c r="H13" s="32">
        <v>1.87</v>
      </c>
      <c r="I13" s="32">
        <v>1.8640000000000001</v>
      </c>
      <c r="J13" s="33">
        <f t="shared" si="0"/>
        <v>6.0000000000000053E-3</v>
      </c>
      <c r="K13" s="34" t="str">
        <f t="shared" si="1"/>
        <v/>
      </c>
      <c r="L13" s="35">
        <f t="shared" si="2"/>
        <v>7.64</v>
      </c>
      <c r="M13" s="36" t="str">
        <f t="shared" si="3"/>
        <v/>
      </c>
      <c r="N13" s="37" t="s">
        <v>16</v>
      </c>
      <c r="O13" s="29">
        <v>1</v>
      </c>
      <c r="P13" s="38">
        <v>25</v>
      </c>
      <c r="Q13" s="28"/>
      <c r="R13" s="28" t="s">
        <v>3176</v>
      </c>
      <c r="S13" s="91" t="s">
        <v>59</v>
      </c>
      <c r="T13" s="28"/>
      <c r="U13" s="28" t="s">
        <v>31</v>
      </c>
    </row>
    <row r="14" spans="1:54" s="27" customFormat="1" x14ac:dyDescent="0.25">
      <c r="A14" s="28" t="s">
        <v>21</v>
      </c>
      <c r="B14" s="28" t="s">
        <v>3146</v>
      </c>
      <c r="C14" s="28" t="s">
        <v>21</v>
      </c>
      <c r="D14" s="29">
        <v>1</v>
      </c>
      <c r="E14" s="71">
        <v>37</v>
      </c>
      <c r="F14" s="31">
        <v>191</v>
      </c>
      <c r="G14" s="32"/>
      <c r="H14" s="32">
        <v>1.8520000000000001</v>
      </c>
      <c r="I14" s="32">
        <v>1.843</v>
      </c>
      <c r="J14" s="33">
        <f t="shared" si="0"/>
        <v>9.000000000000119E-3</v>
      </c>
      <c r="K14" s="34" t="str">
        <f t="shared" si="1"/>
        <v/>
      </c>
      <c r="L14" s="35">
        <f t="shared" si="2"/>
        <v>7.64</v>
      </c>
      <c r="M14" s="36" t="str">
        <f t="shared" si="3"/>
        <v/>
      </c>
      <c r="N14" s="37" t="s">
        <v>16</v>
      </c>
      <c r="O14" s="29">
        <v>1</v>
      </c>
      <c r="P14" s="38">
        <v>25</v>
      </c>
      <c r="Q14" s="28"/>
      <c r="R14" s="28" t="s">
        <v>3177</v>
      </c>
      <c r="S14" s="92" t="s">
        <v>21</v>
      </c>
      <c r="T14" s="28"/>
      <c r="U14" s="28" t="s">
        <v>31</v>
      </c>
    </row>
    <row r="15" spans="1:54" s="27" customFormat="1" x14ac:dyDescent="0.25">
      <c r="A15" s="28" t="s">
        <v>21</v>
      </c>
      <c r="B15" s="28" t="s">
        <v>3147</v>
      </c>
      <c r="C15" s="28" t="s">
        <v>21</v>
      </c>
      <c r="D15" s="29">
        <v>1</v>
      </c>
      <c r="E15" s="71">
        <v>33</v>
      </c>
      <c r="F15" s="31">
        <v>190</v>
      </c>
      <c r="G15" s="32"/>
      <c r="H15" s="32">
        <v>1.8520000000000001</v>
      </c>
      <c r="I15" s="32">
        <v>1.843</v>
      </c>
      <c r="J15" s="33">
        <f t="shared" si="0"/>
        <v>9.000000000000119E-3</v>
      </c>
      <c r="K15" s="34" t="str">
        <f t="shared" si="1"/>
        <v/>
      </c>
      <c r="L15" s="35">
        <f t="shared" si="2"/>
        <v>7.6</v>
      </c>
      <c r="M15" s="36" t="str">
        <f t="shared" si="3"/>
        <v/>
      </c>
      <c r="N15" s="37" t="s">
        <v>16</v>
      </c>
      <c r="O15" s="29">
        <v>1</v>
      </c>
      <c r="P15" s="38">
        <v>25</v>
      </c>
      <c r="Q15" s="28"/>
      <c r="R15" s="28" t="s">
        <v>3175</v>
      </c>
      <c r="S15" s="92" t="s">
        <v>21</v>
      </c>
      <c r="T15" s="28"/>
      <c r="U15" s="28" t="s">
        <v>31</v>
      </c>
    </row>
    <row r="16" spans="1:54" s="27" customFormat="1" x14ac:dyDescent="0.25">
      <c r="A16" s="28" t="s">
        <v>21</v>
      </c>
      <c r="B16" s="28" t="s">
        <v>3148</v>
      </c>
      <c r="C16" s="28" t="s">
        <v>21</v>
      </c>
      <c r="D16" s="29">
        <v>1</v>
      </c>
      <c r="E16" s="71">
        <v>59</v>
      </c>
      <c r="F16" s="31">
        <v>190</v>
      </c>
      <c r="G16" s="32"/>
      <c r="H16" s="32">
        <v>1.845</v>
      </c>
      <c r="I16" s="32">
        <v>1.839</v>
      </c>
      <c r="J16" s="33">
        <f t="shared" si="0"/>
        <v>6.0000000000000053E-3</v>
      </c>
      <c r="K16" s="34" t="str">
        <f t="shared" si="1"/>
        <v/>
      </c>
      <c r="L16" s="35">
        <f t="shared" si="2"/>
        <v>7.6</v>
      </c>
      <c r="M16" s="36" t="str">
        <f t="shared" si="3"/>
        <v/>
      </c>
      <c r="N16" s="37" t="s">
        <v>16</v>
      </c>
      <c r="O16" s="29">
        <v>1</v>
      </c>
      <c r="P16" s="38">
        <v>25</v>
      </c>
      <c r="Q16" s="28"/>
      <c r="R16" s="28" t="s">
        <v>3179</v>
      </c>
      <c r="S16" s="92" t="s">
        <v>21</v>
      </c>
      <c r="T16" s="28"/>
      <c r="U16" s="28" t="s">
        <v>31</v>
      </c>
    </row>
    <row r="17" spans="1:21" s="27" customFormat="1" x14ac:dyDescent="0.25">
      <c r="A17" s="28" t="s">
        <v>21</v>
      </c>
      <c r="B17" s="28" t="s">
        <v>3149</v>
      </c>
      <c r="C17" s="28" t="s">
        <v>21</v>
      </c>
      <c r="D17" s="29">
        <v>1</v>
      </c>
      <c r="E17" s="71">
        <v>44</v>
      </c>
      <c r="F17" s="31">
        <v>190</v>
      </c>
      <c r="G17" s="32"/>
      <c r="H17" s="32">
        <v>1.873</v>
      </c>
      <c r="I17" s="32">
        <v>1.8660000000000001</v>
      </c>
      <c r="J17" s="33">
        <f t="shared" si="0"/>
        <v>6.9999999999998952E-3</v>
      </c>
      <c r="K17" s="34" t="str">
        <f t="shared" si="1"/>
        <v/>
      </c>
      <c r="L17" s="35">
        <f t="shared" si="2"/>
        <v>7.6</v>
      </c>
      <c r="M17" s="36" t="str">
        <f t="shared" si="3"/>
        <v/>
      </c>
      <c r="N17" s="37" t="s">
        <v>16</v>
      </c>
      <c r="O17" s="29">
        <v>1</v>
      </c>
      <c r="P17" s="38">
        <v>25</v>
      </c>
      <c r="Q17" s="28"/>
      <c r="R17" s="28" t="s">
        <v>3181</v>
      </c>
      <c r="S17" s="91" t="s">
        <v>103</v>
      </c>
      <c r="T17" s="28"/>
      <c r="U17" s="28" t="s">
        <v>31</v>
      </c>
    </row>
    <row r="18" spans="1:21" s="27" customFormat="1" x14ac:dyDescent="0.25">
      <c r="A18" s="28" t="s">
        <v>21</v>
      </c>
      <c r="B18" s="28" t="s">
        <v>3150</v>
      </c>
      <c r="C18" s="28" t="s">
        <v>21</v>
      </c>
      <c r="D18" s="29">
        <v>1</v>
      </c>
      <c r="E18" s="71">
        <v>23</v>
      </c>
      <c r="F18" s="31">
        <v>190</v>
      </c>
      <c r="G18" s="32"/>
      <c r="H18" s="32">
        <v>1.865</v>
      </c>
      <c r="I18" s="32">
        <v>1.8560000000000001</v>
      </c>
      <c r="J18" s="33">
        <f t="shared" si="0"/>
        <v>8.999999999999897E-3</v>
      </c>
      <c r="K18" s="34" t="str">
        <f t="shared" si="1"/>
        <v/>
      </c>
      <c r="L18" s="35">
        <f t="shared" si="2"/>
        <v>7.6</v>
      </c>
      <c r="M18" s="36" t="str">
        <f t="shared" si="3"/>
        <v/>
      </c>
      <c r="N18" s="37" t="s">
        <v>16</v>
      </c>
      <c r="O18" s="29">
        <v>1</v>
      </c>
      <c r="P18" s="38">
        <v>25</v>
      </c>
      <c r="Q18" s="28"/>
      <c r="R18" s="28" t="s">
        <v>3178</v>
      </c>
      <c r="S18" s="91" t="s">
        <v>59</v>
      </c>
      <c r="T18" s="28"/>
      <c r="U18" s="28" t="s">
        <v>31</v>
      </c>
    </row>
    <row r="19" spans="1:21" s="27" customFormat="1" x14ac:dyDescent="0.25">
      <c r="A19" s="28" t="s">
        <v>21</v>
      </c>
      <c r="B19" s="28" t="s">
        <v>3151</v>
      </c>
      <c r="C19" s="28" t="s">
        <v>21</v>
      </c>
      <c r="D19" s="29">
        <v>1</v>
      </c>
      <c r="E19" s="71">
        <v>30</v>
      </c>
      <c r="F19" s="31">
        <v>191</v>
      </c>
      <c r="G19" s="32"/>
      <c r="H19" s="32">
        <v>1.875</v>
      </c>
      <c r="I19" s="32">
        <v>1.8660000000000001</v>
      </c>
      <c r="J19" s="33">
        <f t="shared" si="0"/>
        <v>8.999999999999897E-3</v>
      </c>
      <c r="K19" s="34" t="str">
        <f t="shared" si="1"/>
        <v/>
      </c>
      <c r="L19" s="35">
        <f t="shared" si="2"/>
        <v>7.64</v>
      </c>
      <c r="M19" s="36" t="str">
        <f t="shared" si="3"/>
        <v/>
      </c>
      <c r="N19" s="37" t="s">
        <v>16</v>
      </c>
      <c r="O19" s="29">
        <v>1</v>
      </c>
      <c r="P19" s="38">
        <v>25</v>
      </c>
      <c r="Q19" s="28"/>
      <c r="R19" s="28" t="s">
        <v>3182</v>
      </c>
      <c r="S19" s="92" t="s">
        <v>21</v>
      </c>
      <c r="T19" s="28"/>
      <c r="U19" s="28" t="s">
        <v>31</v>
      </c>
    </row>
    <row r="20" spans="1:21" s="27" customFormat="1" x14ac:dyDescent="0.25">
      <c r="A20" s="28" t="s">
        <v>21</v>
      </c>
      <c r="B20" s="28" t="s">
        <v>3152</v>
      </c>
      <c r="C20" s="28" t="s">
        <v>21</v>
      </c>
      <c r="D20" s="29">
        <v>1</v>
      </c>
      <c r="E20" s="71">
        <v>42</v>
      </c>
      <c r="F20" s="31">
        <v>189</v>
      </c>
      <c r="G20" s="32"/>
      <c r="H20" s="32">
        <v>1.879</v>
      </c>
      <c r="I20" s="32">
        <v>1.873</v>
      </c>
      <c r="J20" s="33">
        <f t="shared" si="0"/>
        <v>6.0000000000000053E-3</v>
      </c>
      <c r="K20" s="34" t="str">
        <f t="shared" si="1"/>
        <v/>
      </c>
      <c r="L20" s="35">
        <f t="shared" si="2"/>
        <v>7.56</v>
      </c>
      <c r="M20" s="36" t="str">
        <f t="shared" si="3"/>
        <v/>
      </c>
      <c r="N20" s="37" t="s">
        <v>16</v>
      </c>
      <c r="O20" s="29">
        <v>1</v>
      </c>
      <c r="P20" s="38">
        <v>25</v>
      </c>
      <c r="Q20" s="28"/>
      <c r="R20" s="28" t="s">
        <v>3180</v>
      </c>
      <c r="S20" s="92" t="s">
        <v>21</v>
      </c>
      <c r="T20" s="28"/>
      <c r="U20" s="28" t="s">
        <v>31</v>
      </c>
    </row>
    <row r="21" spans="1:21" s="27" customFormat="1" x14ac:dyDescent="0.25">
      <c r="A21" s="28" t="s">
        <v>21</v>
      </c>
      <c r="B21" s="28" t="s">
        <v>3153</v>
      </c>
      <c r="C21" s="28" t="s">
        <v>21</v>
      </c>
      <c r="D21" s="29">
        <v>1</v>
      </c>
      <c r="E21" s="71">
        <v>24</v>
      </c>
      <c r="F21" s="31">
        <v>189</v>
      </c>
      <c r="G21" s="32"/>
      <c r="H21" s="32">
        <v>1.8720000000000001</v>
      </c>
      <c r="I21" s="32">
        <v>1.863</v>
      </c>
      <c r="J21" s="33">
        <f t="shared" si="0"/>
        <v>9.000000000000119E-3</v>
      </c>
      <c r="K21" s="34" t="str">
        <f t="shared" si="1"/>
        <v/>
      </c>
      <c r="L21" s="35">
        <f t="shared" si="2"/>
        <v>7.56</v>
      </c>
      <c r="M21" s="36" t="str">
        <f t="shared" si="3"/>
        <v/>
      </c>
      <c r="N21" s="37" t="s">
        <v>16</v>
      </c>
      <c r="O21" s="29">
        <v>1</v>
      </c>
      <c r="P21" s="38">
        <v>25</v>
      </c>
      <c r="Q21" s="28"/>
      <c r="R21" s="28" t="s">
        <v>3183</v>
      </c>
      <c r="S21" s="92" t="s">
        <v>21</v>
      </c>
      <c r="T21" s="28"/>
      <c r="U21" s="28" t="s">
        <v>31</v>
      </c>
    </row>
    <row r="22" spans="1:21" s="27" customFormat="1" x14ac:dyDescent="0.25">
      <c r="A22" s="28" t="s">
        <v>21</v>
      </c>
      <c r="B22" s="28" t="s">
        <v>3154</v>
      </c>
      <c r="C22" s="28" t="s">
        <v>21</v>
      </c>
      <c r="D22" s="29">
        <v>1</v>
      </c>
      <c r="E22" s="71">
        <v>68</v>
      </c>
      <c r="F22" s="31">
        <v>187</v>
      </c>
      <c r="G22" s="32"/>
      <c r="H22" s="32">
        <v>1.8560000000000001</v>
      </c>
      <c r="I22" s="32">
        <v>1.85</v>
      </c>
      <c r="J22" s="33">
        <f t="shared" si="0"/>
        <v>6.0000000000000053E-3</v>
      </c>
      <c r="K22" s="34" t="str">
        <f t="shared" si="1"/>
        <v/>
      </c>
      <c r="L22" s="35">
        <f t="shared" si="2"/>
        <v>7.48</v>
      </c>
      <c r="M22" s="36" t="str">
        <f t="shared" si="3"/>
        <v/>
      </c>
      <c r="N22" s="37" t="s">
        <v>16</v>
      </c>
      <c r="O22" s="29">
        <v>1</v>
      </c>
      <c r="P22" s="38">
        <v>25</v>
      </c>
      <c r="Q22" s="28"/>
      <c r="R22" s="28" t="s">
        <v>3184</v>
      </c>
      <c r="S22" s="91" t="s">
        <v>58</v>
      </c>
      <c r="T22" s="28"/>
      <c r="U22" s="28" t="s">
        <v>31</v>
      </c>
    </row>
    <row r="23" spans="1:21" s="27" customFormat="1" x14ac:dyDescent="0.25">
      <c r="A23" s="28" t="s">
        <v>21</v>
      </c>
      <c r="B23" s="28" t="s">
        <v>3155</v>
      </c>
      <c r="C23" s="28" t="s">
        <v>21</v>
      </c>
      <c r="D23" s="29">
        <v>1</v>
      </c>
      <c r="E23" s="71">
        <v>39</v>
      </c>
      <c r="F23" s="31">
        <v>187</v>
      </c>
      <c r="G23" s="32"/>
      <c r="H23" s="32">
        <v>1.8580000000000001</v>
      </c>
      <c r="I23" s="32">
        <v>1.849</v>
      </c>
      <c r="J23" s="33">
        <f t="shared" si="0"/>
        <v>9.000000000000119E-3</v>
      </c>
      <c r="K23" s="34" t="str">
        <f t="shared" si="1"/>
        <v/>
      </c>
      <c r="L23" s="35">
        <f t="shared" si="2"/>
        <v>7.48</v>
      </c>
      <c r="M23" s="36" t="str">
        <f t="shared" si="3"/>
        <v/>
      </c>
      <c r="N23" s="37" t="s">
        <v>16</v>
      </c>
      <c r="O23" s="29">
        <v>1</v>
      </c>
      <c r="P23" s="38">
        <v>25</v>
      </c>
      <c r="Q23" s="28"/>
      <c r="R23" s="28" t="s">
        <v>3185</v>
      </c>
      <c r="S23" s="91" t="s">
        <v>59</v>
      </c>
      <c r="T23" s="28"/>
      <c r="U23" s="28" t="s">
        <v>31</v>
      </c>
    </row>
    <row r="24" spans="1:21" s="27" customFormat="1" x14ac:dyDescent="0.25">
      <c r="A24" s="28" t="s">
        <v>21</v>
      </c>
      <c r="B24" s="28" t="s">
        <v>3156</v>
      </c>
      <c r="C24" s="28" t="s">
        <v>21</v>
      </c>
      <c r="D24" s="29">
        <v>1</v>
      </c>
      <c r="E24" s="71">
        <v>37</v>
      </c>
      <c r="F24" s="31">
        <v>188</v>
      </c>
      <c r="G24" s="32"/>
      <c r="H24" s="32">
        <v>1.8460000000000001</v>
      </c>
      <c r="I24" s="32">
        <v>1.8380000000000001</v>
      </c>
      <c r="J24" s="33">
        <f t="shared" si="0"/>
        <v>8.0000000000000071E-3</v>
      </c>
      <c r="K24" s="34" t="str">
        <f t="shared" si="1"/>
        <v/>
      </c>
      <c r="L24" s="35">
        <f t="shared" si="2"/>
        <v>7.52</v>
      </c>
      <c r="M24" s="36" t="str">
        <f t="shared" si="3"/>
        <v/>
      </c>
      <c r="N24" s="37" t="s">
        <v>16</v>
      </c>
      <c r="O24" s="29">
        <v>1</v>
      </c>
      <c r="P24" s="38">
        <v>25</v>
      </c>
      <c r="Q24" s="28"/>
      <c r="R24" s="28" t="s">
        <v>3186</v>
      </c>
      <c r="S24" s="92" t="s">
        <v>21</v>
      </c>
      <c r="T24" s="28"/>
      <c r="U24" s="28" t="s">
        <v>31</v>
      </c>
    </row>
    <row r="25" spans="1:21" s="27" customFormat="1" x14ac:dyDescent="0.25">
      <c r="A25" s="28" t="s">
        <v>21</v>
      </c>
      <c r="B25" s="28" t="s">
        <v>3157</v>
      </c>
      <c r="C25" s="28" t="s">
        <v>21</v>
      </c>
      <c r="D25" s="29">
        <v>1</v>
      </c>
      <c r="E25" s="71">
        <v>46</v>
      </c>
      <c r="F25" s="31">
        <v>189</v>
      </c>
      <c r="G25" s="32"/>
      <c r="H25" s="32">
        <v>1.87</v>
      </c>
      <c r="I25" s="32">
        <v>1.8620000000000001</v>
      </c>
      <c r="J25" s="33">
        <f t="shared" si="0"/>
        <v>8.0000000000000071E-3</v>
      </c>
      <c r="K25" s="34" t="str">
        <f t="shared" si="1"/>
        <v/>
      </c>
      <c r="L25" s="35">
        <f t="shared" si="2"/>
        <v>7.56</v>
      </c>
      <c r="M25" s="36" t="str">
        <f t="shared" si="3"/>
        <v/>
      </c>
      <c r="N25" s="37" t="s">
        <v>16</v>
      </c>
      <c r="O25" s="29">
        <v>1</v>
      </c>
      <c r="P25" s="38">
        <v>25</v>
      </c>
      <c r="Q25" s="28"/>
      <c r="R25" s="28" t="s">
        <v>3187</v>
      </c>
      <c r="S25" s="92" t="s">
        <v>21</v>
      </c>
      <c r="T25" s="28"/>
      <c r="U25" s="28" t="s">
        <v>31</v>
      </c>
    </row>
    <row r="26" spans="1:21" s="27" customFormat="1" x14ac:dyDescent="0.25">
      <c r="A26" s="28" t="s">
        <v>21</v>
      </c>
      <c r="B26" s="28" t="s">
        <v>3158</v>
      </c>
      <c r="C26" s="28">
        <v>740799</v>
      </c>
      <c r="D26" s="29">
        <v>1</v>
      </c>
      <c r="E26" s="71">
        <v>37</v>
      </c>
      <c r="F26" s="31">
        <v>188</v>
      </c>
      <c r="G26" s="32"/>
      <c r="H26" s="32">
        <v>1.875</v>
      </c>
      <c r="I26" s="32">
        <v>1.867</v>
      </c>
      <c r="J26" s="33">
        <f t="shared" si="0"/>
        <v>8.0000000000000071E-3</v>
      </c>
      <c r="K26" s="34" t="str">
        <f t="shared" si="1"/>
        <v/>
      </c>
      <c r="L26" s="35">
        <f t="shared" si="2"/>
        <v>7.52</v>
      </c>
      <c r="M26" s="36" t="str">
        <f t="shared" si="3"/>
        <v/>
      </c>
      <c r="N26" s="37" t="s">
        <v>16</v>
      </c>
      <c r="O26" s="29">
        <v>1</v>
      </c>
      <c r="P26" s="38">
        <v>25</v>
      </c>
      <c r="Q26" s="28"/>
      <c r="R26" s="28" t="s">
        <v>3188</v>
      </c>
      <c r="S26" s="92" t="s">
        <v>21</v>
      </c>
      <c r="T26" s="28"/>
      <c r="U26" s="28" t="s">
        <v>31</v>
      </c>
    </row>
    <row r="27" spans="1:21" s="27" customFormat="1" x14ac:dyDescent="0.25">
      <c r="A27" s="28" t="s">
        <v>21</v>
      </c>
      <c r="B27" s="28" t="s">
        <v>3159</v>
      </c>
      <c r="C27" s="28" t="s">
        <v>21</v>
      </c>
      <c r="D27" s="29">
        <v>1</v>
      </c>
      <c r="E27" s="71">
        <v>40</v>
      </c>
      <c r="F27" s="31">
        <v>188</v>
      </c>
      <c r="G27" s="32"/>
      <c r="H27" s="32">
        <v>1.877</v>
      </c>
      <c r="I27" s="32">
        <v>1.87</v>
      </c>
      <c r="J27" s="33">
        <f t="shared" si="0"/>
        <v>6.9999999999998952E-3</v>
      </c>
      <c r="K27" s="34" t="str">
        <f t="shared" si="1"/>
        <v/>
      </c>
      <c r="L27" s="35">
        <f t="shared" si="2"/>
        <v>7.52</v>
      </c>
      <c r="M27" s="36" t="str">
        <f t="shared" si="3"/>
        <v/>
      </c>
      <c r="N27" s="37" t="s">
        <v>16</v>
      </c>
      <c r="O27" s="29">
        <v>1</v>
      </c>
      <c r="P27" s="38">
        <v>25</v>
      </c>
      <c r="Q27" s="28"/>
      <c r="R27" s="28" t="s">
        <v>3189</v>
      </c>
      <c r="S27" s="91" t="s">
        <v>103</v>
      </c>
      <c r="T27" s="28"/>
      <c r="U27" s="28" t="s">
        <v>31</v>
      </c>
    </row>
    <row r="28" spans="1:21" s="27" customFormat="1" x14ac:dyDescent="0.25">
      <c r="A28" s="28" t="s">
        <v>21</v>
      </c>
      <c r="B28" s="28" t="s">
        <v>3160</v>
      </c>
      <c r="C28" s="28" t="s">
        <v>21</v>
      </c>
      <c r="D28" s="29">
        <v>1</v>
      </c>
      <c r="E28" s="71">
        <v>33</v>
      </c>
      <c r="F28" s="31">
        <v>190</v>
      </c>
      <c r="G28" s="32"/>
      <c r="H28" s="32">
        <v>1.903</v>
      </c>
      <c r="I28" s="32">
        <v>1.8939999999999999</v>
      </c>
      <c r="J28" s="33">
        <f t="shared" si="0"/>
        <v>9.000000000000119E-3</v>
      </c>
      <c r="K28" s="34" t="str">
        <f t="shared" si="1"/>
        <v/>
      </c>
      <c r="L28" s="35">
        <f t="shared" si="2"/>
        <v>7.6</v>
      </c>
      <c r="M28" s="36" t="str">
        <f t="shared" si="3"/>
        <v/>
      </c>
      <c r="N28" s="37" t="s">
        <v>16</v>
      </c>
      <c r="O28" s="29">
        <v>1</v>
      </c>
      <c r="P28" s="38">
        <v>25</v>
      </c>
      <c r="Q28" s="28"/>
      <c r="R28" s="28" t="s">
        <v>3190</v>
      </c>
      <c r="S28" s="91" t="s">
        <v>59</v>
      </c>
      <c r="T28" s="28"/>
      <c r="U28" s="28" t="s">
        <v>31</v>
      </c>
    </row>
    <row r="29" spans="1:21" s="27" customFormat="1" x14ac:dyDescent="0.25">
      <c r="A29" s="28" t="s">
        <v>21</v>
      </c>
      <c r="B29" s="28" t="s">
        <v>3161</v>
      </c>
      <c r="C29" s="28" t="s">
        <v>21</v>
      </c>
      <c r="D29" s="29">
        <v>1</v>
      </c>
      <c r="E29" s="71">
        <v>31</v>
      </c>
      <c r="F29" s="31">
        <v>190</v>
      </c>
      <c r="G29" s="32"/>
      <c r="H29" s="32">
        <v>1.887</v>
      </c>
      <c r="I29" s="32">
        <v>1.879</v>
      </c>
      <c r="J29" s="33">
        <f t="shared" si="0"/>
        <v>8.0000000000000071E-3</v>
      </c>
      <c r="K29" s="34" t="str">
        <f t="shared" si="1"/>
        <v/>
      </c>
      <c r="L29" s="35">
        <f t="shared" si="2"/>
        <v>7.6</v>
      </c>
      <c r="M29" s="36" t="str">
        <f t="shared" si="3"/>
        <v/>
      </c>
      <c r="N29" s="37" t="s">
        <v>16</v>
      </c>
      <c r="O29" s="29">
        <v>1</v>
      </c>
      <c r="P29" s="38">
        <v>25</v>
      </c>
      <c r="Q29" s="28"/>
      <c r="R29" s="28" t="s">
        <v>3191</v>
      </c>
      <c r="S29" s="92" t="s">
        <v>21</v>
      </c>
      <c r="T29" s="28"/>
      <c r="U29" s="28" t="s">
        <v>31</v>
      </c>
    </row>
    <row r="30" spans="1:21" s="27" customFormat="1" x14ac:dyDescent="0.25">
      <c r="A30" s="28" t="s">
        <v>21</v>
      </c>
      <c r="B30" s="28" t="s">
        <v>3162</v>
      </c>
      <c r="C30" s="28" t="s">
        <v>21</v>
      </c>
      <c r="D30" s="29">
        <v>1</v>
      </c>
      <c r="E30" s="71">
        <v>35</v>
      </c>
      <c r="F30" s="31">
        <v>189</v>
      </c>
      <c r="G30" s="32"/>
      <c r="H30" s="32">
        <v>1.891</v>
      </c>
      <c r="I30" s="32">
        <v>1.8819999999999999</v>
      </c>
      <c r="J30" s="33">
        <f t="shared" si="0"/>
        <v>9.000000000000119E-3</v>
      </c>
      <c r="K30" s="34" t="str">
        <f t="shared" si="1"/>
        <v/>
      </c>
      <c r="L30" s="35">
        <f t="shared" si="2"/>
        <v>7.56</v>
      </c>
      <c r="M30" s="36" t="str">
        <f t="shared" si="3"/>
        <v/>
      </c>
      <c r="N30" s="37" t="s">
        <v>16</v>
      </c>
      <c r="O30" s="29">
        <v>1</v>
      </c>
      <c r="P30" s="38">
        <v>25</v>
      </c>
      <c r="Q30" s="28"/>
      <c r="R30" s="28" t="s">
        <v>3192</v>
      </c>
      <c r="S30" s="92" t="s">
        <v>21</v>
      </c>
      <c r="T30" s="28"/>
      <c r="U30" s="28" t="s">
        <v>31</v>
      </c>
    </row>
    <row r="31" spans="1:21" s="27" customFormat="1" x14ac:dyDescent="0.25">
      <c r="A31" s="28" t="s">
        <v>21</v>
      </c>
      <c r="B31" s="28" t="s">
        <v>3163</v>
      </c>
      <c r="C31" s="28" t="s">
        <v>21</v>
      </c>
      <c r="D31" s="29">
        <v>1</v>
      </c>
      <c r="E31" s="71">
        <v>30</v>
      </c>
      <c r="F31" s="31">
        <v>190</v>
      </c>
      <c r="G31" s="32"/>
      <c r="H31" s="32">
        <v>1.885</v>
      </c>
      <c r="I31" s="32">
        <v>1.8779999999999999</v>
      </c>
      <c r="J31" s="33">
        <f t="shared" si="0"/>
        <v>7.0000000000001172E-3</v>
      </c>
      <c r="K31" s="34" t="str">
        <f t="shared" si="1"/>
        <v/>
      </c>
      <c r="L31" s="35">
        <f t="shared" si="2"/>
        <v>7.6</v>
      </c>
      <c r="M31" s="36" t="str">
        <f t="shared" si="3"/>
        <v/>
      </c>
      <c r="N31" s="37" t="s">
        <v>16</v>
      </c>
      <c r="O31" s="29">
        <v>1</v>
      </c>
      <c r="P31" s="38">
        <v>25</v>
      </c>
      <c r="Q31" s="28"/>
      <c r="R31" s="28" t="s">
        <v>3193</v>
      </c>
      <c r="S31" s="92" t="s">
        <v>21</v>
      </c>
      <c r="T31" s="28"/>
      <c r="U31" s="28" t="s">
        <v>31</v>
      </c>
    </row>
    <row r="32" spans="1:21" s="27" customFormat="1" x14ac:dyDescent="0.25">
      <c r="A32" s="28" t="s">
        <v>3194</v>
      </c>
      <c r="B32" s="28" t="s">
        <v>3195</v>
      </c>
      <c r="C32" s="28">
        <v>786992</v>
      </c>
      <c r="D32" s="29">
        <v>1</v>
      </c>
      <c r="E32" s="71">
        <v>79</v>
      </c>
      <c r="F32" s="45">
        <v>900</v>
      </c>
      <c r="G32" s="32">
        <v>1.8460000000000001</v>
      </c>
      <c r="H32" s="32">
        <v>5.5469999999999997</v>
      </c>
      <c r="I32" s="32">
        <v>5.5279999999999996</v>
      </c>
      <c r="J32" s="33">
        <f>IF(O32&lt;&gt;"",(H32-I32)/O32,"")</f>
        <v>6.3333333333333757E-3</v>
      </c>
      <c r="K32" s="34" t="str">
        <f t="shared" si="1"/>
        <v/>
      </c>
      <c r="L32" s="35">
        <f>F32/(O32*P32)</f>
        <v>7.5</v>
      </c>
      <c r="M32" s="36" t="str">
        <f>IF(L32=0,"",IF(OR(L32&lt;7,L32&gt;7.8),"X",""))</f>
        <v/>
      </c>
      <c r="N32" s="37" t="s">
        <v>23</v>
      </c>
      <c r="O32" s="29">
        <v>3</v>
      </c>
      <c r="P32" s="38">
        <v>40</v>
      </c>
      <c r="Q32" s="28"/>
      <c r="R32" s="28" t="s">
        <v>3210</v>
      </c>
      <c r="S32" s="91" t="s">
        <v>58</v>
      </c>
      <c r="T32" s="46"/>
      <c r="U32" s="28" t="s">
        <v>31</v>
      </c>
    </row>
    <row r="33" spans="1:21" s="27" customFormat="1" x14ac:dyDescent="0.25">
      <c r="A33" s="28" t="s">
        <v>21</v>
      </c>
      <c r="B33" s="28" t="s">
        <v>21</v>
      </c>
      <c r="C33" s="28" t="s">
        <v>21</v>
      </c>
      <c r="D33" s="29">
        <v>1</v>
      </c>
      <c r="E33" s="71"/>
      <c r="F33" s="31"/>
      <c r="G33" s="32">
        <v>1.851</v>
      </c>
      <c r="H33" s="32"/>
      <c r="I33" s="32"/>
      <c r="J33" s="33" t="str">
        <f t="shared" ref="J33:J76" si="4">IF(O33&lt;&gt;"",(H33-I33)/O33,"")</f>
        <v/>
      </c>
      <c r="K33" s="34"/>
      <c r="L33" s="35"/>
      <c r="M33" s="36" t="str">
        <f t="shared" ref="M33:M76" si="5">IF(L33=0,"",IF(OR(L33&lt;7.4,L33&gt;8),"X",""))</f>
        <v/>
      </c>
      <c r="N33" s="37"/>
      <c r="O33" s="29"/>
      <c r="P33" s="38"/>
      <c r="Q33" s="28"/>
      <c r="R33" s="28" t="s">
        <v>3211</v>
      </c>
      <c r="S33" s="91" t="s">
        <v>59</v>
      </c>
      <c r="T33" s="46"/>
      <c r="U33" s="28" t="s">
        <v>31</v>
      </c>
    </row>
    <row r="34" spans="1:21" s="27" customFormat="1" ht="14.25" customHeight="1" x14ac:dyDescent="0.25">
      <c r="A34" s="28" t="s">
        <v>21</v>
      </c>
      <c r="B34" s="28" t="s">
        <v>21</v>
      </c>
      <c r="C34" s="28" t="s">
        <v>21</v>
      </c>
      <c r="D34" s="29">
        <v>1</v>
      </c>
      <c r="E34" s="71"/>
      <c r="F34" s="31"/>
      <c r="G34" s="32">
        <v>1.8480000000000001</v>
      </c>
      <c r="H34" s="32"/>
      <c r="I34" s="32"/>
      <c r="J34" s="33" t="str">
        <f t="shared" si="4"/>
        <v/>
      </c>
      <c r="K34" s="34"/>
      <c r="L34" s="35"/>
      <c r="M34" s="36" t="str">
        <f t="shared" si="5"/>
        <v/>
      </c>
      <c r="N34" s="37"/>
      <c r="O34" s="29"/>
      <c r="P34" s="38"/>
      <c r="Q34" s="28"/>
      <c r="R34" s="28" t="s">
        <v>3212</v>
      </c>
      <c r="S34" s="92" t="s">
        <v>21</v>
      </c>
      <c r="T34" s="46"/>
      <c r="U34" s="28" t="s">
        <v>31</v>
      </c>
    </row>
    <row r="35" spans="1:21" s="27" customFormat="1" x14ac:dyDescent="0.25">
      <c r="A35" s="28" t="s">
        <v>21</v>
      </c>
      <c r="B35" s="28" t="s">
        <v>3196</v>
      </c>
      <c r="C35" s="28" t="s">
        <v>21</v>
      </c>
      <c r="D35" s="29">
        <v>1</v>
      </c>
      <c r="E35" s="71">
        <v>70</v>
      </c>
      <c r="F35" s="45">
        <v>901</v>
      </c>
      <c r="G35" s="32">
        <v>1.853</v>
      </c>
      <c r="H35" s="32">
        <v>5.5469999999999997</v>
      </c>
      <c r="I35" s="32">
        <v>5.5259999999999998</v>
      </c>
      <c r="J35" s="33">
        <f>IF(O35&lt;&gt;"",(H35-I35)/O35,"")</f>
        <v>6.9999999999999689E-3</v>
      </c>
      <c r="K35" s="34" t="str">
        <f t="shared" si="1"/>
        <v/>
      </c>
      <c r="L35" s="35">
        <f>F35/(O35*P35)</f>
        <v>7.5083333333333337</v>
      </c>
      <c r="M35" s="36" t="str">
        <f>IF(L35=0,"",IF(OR(L35&lt;7,L35&gt;7.8),"X",""))</f>
        <v/>
      </c>
      <c r="N35" s="37" t="s">
        <v>23</v>
      </c>
      <c r="O35" s="29">
        <v>3</v>
      </c>
      <c r="P35" s="38">
        <v>40</v>
      </c>
      <c r="Q35" s="28"/>
      <c r="R35" s="28" t="s">
        <v>3213</v>
      </c>
      <c r="S35" s="92" t="s">
        <v>21</v>
      </c>
      <c r="T35" s="46"/>
      <c r="U35" s="28" t="s">
        <v>31</v>
      </c>
    </row>
    <row r="36" spans="1:21" s="27" customFormat="1" x14ac:dyDescent="0.25">
      <c r="A36" s="28" t="s">
        <v>21</v>
      </c>
      <c r="B36" s="28" t="s">
        <v>21</v>
      </c>
      <c r="C36" s="28" t="s">
        <v>21</v>
      </c>
      <c r="D36" s="29">
        <v>1</v>
      </c>
      <c r="E36" s="71"/>
      <c r="F36" s="31"/>
      <c r="G36" s="32">
        <v>1.847</v>
      </c>
      <c r="H36" s="32"/>
      <c r="I36" s="32"/>
      <c r="J36" s="33" t="str">
        <f t="shared" si="4"/>
        <v/>
      </c>
      <c r="K36" s="34"/>
      <c r="L36" s="35"/>
      <c r="M36" s="36" t="str">
        <f t="shared" si="5"/>
        <v/>
      </c>
      <c r="N36" s="37"/>
      <c r="O36" s="29"/>
      <c r="P36" s="38"/>
      <c r="Q36" s="28"/>
      <c r="R36" s="28" t="s">
        <v>3214</v>
      </c>
      <c r="S36" s="92" t="s">
        <v>21</v>
      </c>
      <c r="T36" s="46"/>
      <c r="U36" s="28" t="s">
        <v>31</v>
      </c>
    </row>
    <row r="37" spans="1:21" s="27" customFormat="1" ht="14.25" customHeight="1" x14ac:dyDescent="0.25">
      <c r="A37" s="28" t="s">
        <v>21</v>
      </c>
      <c r="B37" s="28" t="s">
        <v>21</v>
      </c>
      <c r="C37" s="28">
        <v>786993</v>
      </c>
      <c r="D37" s="29">
        <v>1</v>
      </c>
      <c r="E37" s="71"/>
      <c r="F37" s="31"/>
      <c r="G37" s="32">
        <v>1.8460000000000001</v>
      </c>
      <c r="H37" s="32"/>
      <c r="I37" s="32"/>
      <c r="J37" s="33" t="str">
        <f t="shared" si="4"/>
        <v/>
      </c>
      <c r="K37" s="34"/>
      <c r="L37" s="35"/>
      <c r="M37" s="36" t="str">
        <f t="shared" si="5"/>
        <v/>
      </c>
      <c r="N37" s="37"/>
      <c r="O37" s="29"/>
      <c r="P37" s="38"/>
      <c r="Q37" s="28"/>
      <c r="R37" s="28" t="s">
        <v>3215</v>
      </c>
      <c r="S37" s="92" t="s">
        <v>21</v>
      </c>
      <c r="T37" s="46"/>
      <c r="U37" s="28" t="s">
        <v>31</v>
      </c>
    </row>
    <row r="38" spans="1:21" s="27" customFormat="1" x14ac:dyDescent="0.25">
      <c r="A38" s="28" t="s">
        <v>21</v>
      </c>
      <c r="B38" s="28" t="s">
        <v>3197</v>
      </c>
      <c r="C38" s="28" t="s">
        <v>21</v>
      </c>
      <c r="D38" s="29">
        <v>1</v>
      </c>
      <c r="E38" s="71">
        <v>71</v>
      </c>
      <c r="F38" s="45">
        <v>894</v>
      </c>
      <c r="G38" s="32">
        <v>1.849</v>
      </c>
      <c r="H38" s="32">
        <v>5.5579999999999998</v>
      </c>
      <c r="I38" s="32">
        <v>5.5380000000000003</v>
      </c>
      <c r="J38" s="33">
        <f>IF(O38&lt;&gt;"",(H38-I38)/O38,"")</f>
        <v>6.6666666666665248E-3</v>
      </c>
      <c r="K38" s="34" t="str">
        <f t="shared" si="1"/>
        <v/>
      </c>
      <c r="L38" s="35">
        <f>F38/(O38*P38)</f>
        <v>7.45</v>
      </c>
      <c r="M38" s="36" t="str">
        <f>IF(L38=0,"",IF(OR(L38&lt;7,L38&gt;7.8),"X",""))</f>
        <v/>
      </c>
      <c r="N38" s="37" t="s">
        <v>23</v>
      </c>
      <c r="O38" s="29">
        <v>3</v>
      </c>
      <c r="P38" s="38">
        <v>40</v>
      </c>
      <c r="Q38" s="28"/>
      <c r="R38" s="28" t="s">
        <v>3217</v>
      </c>
      <c r="S38" s="92" t="s">
        <v>21</v>
      </c>
      <c r="T38" s="46"/>
      <c r="U38" s="28" t="s">
        <v>31</v>
      </c>
    </row>
    <row r="39" spans="1:21" s="27" customFormat="1" x14ac:dyDescent="0.25">
      <c r="A39" s="28" t="s">
        <v>21</v>
      </c>
      <c r="B39" s="28" t="s">
        <v>21</v>
      </c>
      <c r="C39" s="28" t="s">
        <v>21</v>
      </c>
      <c r="D39" s="29">
        <v>1</v>
      </c>
      <c r="E39" s="71"/>
      <c r="F39" s="31"/>
      <c r="G39" s="32">
        <v>1.855</v>
      </c>
      <c r="H39" s="32"/>
      <c r="I39" s="32"/>
      <c r="J39" s="33" t="str">
        <f t="shared" si="4"/>
        <v/>
      </c>
      <c r="K39" s="34"/>
      <c r="L39" s="35"/>
      <c r="M39" s="36" t="str">
        <f t="shared" si="5"/>
        <v/>
      </c>
      <c r="N39" s="37"/>
      <c r="O39" s="29"/>
      <c r="P39" s="38"/>
      <c r="Q39" s="28"/>
      <c r="R39" s="28" t="s">
        <v>3219</v>
      </c>
      <c r="S39" s="92" t="s">
        <v>21</v>
      </c>
      <c r="T39" s="46"/>
      <c r="U39" s="28" t="s">
        <v>31</v>
      </c>
    </row>
    <row r="40" spans="1:21" s="27" customFormat="1" ht="14.25" customHeight="1" x14ac:dyDescent="0.25">
      <c r="A40" s="28" t="s">
        <v>21</v>
      </c>
      <c r="B40" s="28" t="s">
        <v>21</v>
      </c>
      <c r="C40" s="28" t="s">
        <v>21</v>
      </c>
      <c r="D40" s="29">
        <v>1</v>
      </c>
      <c r="E40" s="71"/>
      <c r="F40" s="31"/>
      <c r="G40" s="32">
        <v>1.8540000000000001</v>
      </c>
      <c r="H40" s="32"/>
      <c r="I40" s="32"/>
      <c r="J40" s="33" t="str">
        <f t="shared" si="4"/>
        <v/>
      </c>
      <c r="K40" s="34"/>
      <c r="L40" s="35"/>
      <c r="M40" s="36" t="str">
        <f t="shared" si="5"/>
        <v/>
      </c>
      <c r="N40" s="37"/>
      <c r="O40" s="29"/>
      <c r="P40" s="38"/>
      <c r="Q40" s="28"/>
      <c r="R40" s="28" t="s">
        <v>3216</v>
      </c>
      <c r="S40" s="92" t="s">
        <v>21</v>
      </c>
      <c r="T40" s="46"/>
      <c r="U40" s="28" t="s">
        <v>31</v>
      </c>
    </row>
    <row r="41" spans="1:21" s="27" customFormat="1" x14ac:dyDescent="0.25">
      <c r="A41" s="28" t="s">
        <v>21</v>
      </c>
      <c r="B41" s="28" t="s">
        <v>3198</v>
      </c>
      <c r="C41" s="28" t="s">
        <v>21</v>
      </c>
      <c r="D41" s="29">
        <v>1</v>
      </c>
      <c r="E41" s="71">
        <v>73</v>
      </c>
      <c r="F41" s="45">
        <v>897</v>
      </c>
      <c r="G41" s="32">
        <v>1.8480000000000001</v>
      </c>
      <c r="H41" s="32">
        <v>5.5460000000000003</v>
      </c>
      <c r="I41" s="32">
        <v>5.5279999999999996</v>
      </c>
      <c r="J41" s="33">
        <f>IF(O41&lt;&gt;"",(H41-I41)/O41,"")</f>
        <v>6.0000000000002274E-3</v>
      </c>
      <c r="K41" s="34" t="str">
        <f t="shared" si="1"/>
        <v/>
      </c>
      <c r="L41" s="35">
        <f>F41/(O41*P41)</f>
        <v>7.4749999999999996</v>
      </c>
      <c r="M41" s="36" t="str">
        <f>IF(L41=0,"",IF(OR(L41&lt;7,L41&gt;7.8),"X",""))</f>
        <v/>
      </c>
      <c r="N41" s="37" t="s">
        <v>23</v>
      </c>
      <c r="O41" s="29">
        <v>3</v>
      </c>
      <c r="P41" s="38">
        <v>40</v>
      </c>
      <c r="Q41" s="28"/>
      <c r="R41" s="28" t="s">
        <v>3221</v>
      </c>
      <c r="S41" s="92" t="s">
        <v>21</v>
      </c>
      <c r="T41" s="46"/>
      <c r="U41" s="28" t="s">
        <v>31</v>
      </c>
    </row>
    <row r="42" spans="1:21" s="27" customFormat="1" x14ac:dyDescent="0.25">
      <c r="A42" s="28" t="s">
        <v>21</v>
      </c>
      <c r="B42" s="28" t="s">
        <v>21</v>
      </c>
      <c r="C42" s="28" t="s">
        <v>21</v>
      </c>
      <c r="D42" s="29">
        <v>1</v>
      </c>
      <c r="E42" s="71"/>
      <c r="F42" s="31"/>
      <c r="G42" s="32">
        <v>1.847</v>
      </c>
      <c r="H42" s="32"/>
      <c r="I42" s="32"/>
      <c r="J42" s="33" t="str">
        <f t="shared" si="4"/>
        <v/>
      </c>
      <c r="K42" s="34"/>
      <c r="L42" s="35"/>
      <c r="M42" s="36" t="str">
        <f t="shared" si="5"/>
        <v/>
      </c>
      <c r="N42" s="37"/>
      <c r="O42" s="29"/>
      <c r="P42" s="38"/>
      <c r="Q42" s="28"/>
      <c r="R42" s="28" t="s">
        <v>3218</v>
      </c>
      <c r="S42" s="92" t="s">
        <v>21</v>
      </c>
      <c r="T42" s="46"/>
      <c r="U42" s="28" t="s">
        <v>31</v>
      </c>
    </row>
    <row r="43" spans="1:21" s="27" customFormat="1" ht="14.25" customHeight="1" x14ac:dyDescent="0.25">
      <c r="A43" s="28" t="s">
        <v>21</v>
      </c>
      <c r="B43" s="28" t="s">
        <v>21</v>
      </c>
      <c r="C43" s="28" t="s">
        <v>21</v>
      </c>
      <c r="D43" s="29">
        <v>1</v>
      </c>
      <c r="E43" s="71"/>
      <c r="F43" s="31"/>
      <c r="G43" s="32">
        <v>1.849</v>
      </c>
      <c r="H43" s="32"/>
      <c r="I43" s="32"/>
      <c r="J43" s="33" t="str">
        <f t="shared" si="4"/>
        <v/>
      </c>
      <c r="K43" s="34"/>
      <c r="L43" s="35"/>
      <c r="M43" s="36" t="str">
        <f t="shared" si="5"/>
        <v/>
      </c>
      <c r="N43" s="37"/>
      <c r="O43" s="29"/>
      <c r="P43" s="38"/>
      <c r="Q43" s="28"/>
      <c r="R43" s="28" t="s">
        <v>3220</v>
      </c>
      <c r="S43" s="92" t="s">
        <v>21</v>
      </c>
      <c r="T43" s="46"/>
      <c r="U43" s="28" t="s">
        <v>31</v>
      </c>
    </row>
    <row r="44" spans="1:21" s="27" customFormat="1" x14ac:dyDescent="0.25">
      <c r="A44" s="28" t="s">
        <v>21</v>
      </c>
      <c r="B44" s="28" t="s">
        <v>3199</v>
      </c>
      <c r="C44" s="28" t="s">
        <v>21</v>
      </c>
      <c r="D44" s="29">
        <v>1</v>
      </c>
      <c r="E44" s="71">
        <v>70</v>
      </c>
      <c r="F44" s="45">
        <v>894</v>
      </c>
      <c r="G44" s="32">
        <v>1.871</v>
      </c>
      <c r="H44" s="32">
        <v>5.6109999999999998</v>
      </c>
      <c r="I44" s="32">
        <v>5.5919999999999996</v>
      </c>
      <c r="J44" s="33">
        <f>IF(O44&lt;&gt;"",(H44-I44)/O44,"")</f>
        <v>6.3333333333333757E-3</v>
      </c>
      <c r="K44" s="34" t="str">
        <f t="shared" si="1"/>
        <v/>
      </c>
      <c r="L44" s="35">
        <f>F44/(O44*P44)</f>
        <v>7.45</v>
      </c>
      <c r="M44" s="36" t="str">
        <f>IF(L44=0,"",IF(OR(L44&lt;7,L44&gt;7.8),"X",""))</f>
        <v/>
      </c>
      <c r="N44" s="37" t="s">
        <v>23</v>
      </c>
      <c r="O44" s="29">
        <v>3</v>
      </c>
      <c r="P44" s="38">
        <v>40</v>
      </c>
      <c r="Q44" s="28"/>
      <c r="R44" s="28" t="s">
        <v>3223</v>
      </c>
      <c r="S44" s="92" t="s">
        <v>21</v>
      </c>
      <c r="T44" s="46"/>
      <c r="U44" s="28" t="s">
        <v>31</v>
      </c>
    </row>
    <row r="45" spans="1:21" s="27" customFormat="1" x14ac:dyDescent="0.25">
      <c r="A45" s="28" t="s">
        <v>21</v>
      </c>
      <c r="B45" s="28" t="s">
        <v>21</v>
      </c>
      <c r="C45" s="28" t="s">
        <v>21</v>
      </c>
      <c r="D45" s="29">
        <v>1</v>
      </c>
      <c r="E45" s="71"/>
      <c r="F45" s="31"/>
      <c r="G45" s="32">
        <v>1.863</v>
      </c>
      <c r="H45" s="32"/>
      <c r="I45" s="32"/>
      <c r="J45" s="33" t="str">
        <f t="shared" si="4"/>
        <v/>
      </c>
      <c r="K45" s="34"/>
      <c r="L45" s="35"/>
      <c r="M45" s="36" t="str">
        <f t="shared" si="5"/>
        <v/>
      </c>
      <c r="N45" s="37"/>
      <c r="O45" s="29"/>
      <c r="P45" s="38"/>
      <c r="Q45" s="28"/>
      <c r="R45" s="28" t="s">
        <v>3222</v>
      </c>
      <c r="S45" s="92" t="s">
        <v>21</v>
      </c>
      <c r="T45" s="46"/>
      <c r="U45" s="28" t="s">
        <v>31</v>
      </c>
    </row>
    <row r="46" spans="1:21" s="27" customFormat="1" ht="14.25" customHeight="1" x14ac:dyDescent="0.25">
      <c r="A46" s="28" t="s">
        <v>21</v>
      </c>
      <c r="B46" s="28" t="s">
        <v>21</v>
      </c>
      <c r="C46" s="28" t="s">
        <v>21</v>
      </c>
      <c r="D46" s="29">
        <v>1</v>
      </c>
      <c r="E46" s="71"/>
      <c r="F46" s="31"/>
      <c r="G46" s="32">
        <v>1.8779999999999999</v>
      </c>
      <c r="H46" s="32"/>
      <c r="I46" s="32"/>
      <c r="J46" s="33" t="str">
        <f t="shared" si="4"/>
        <v/>
      </c>
      <c r="K46" s="34"/>
      <c r="L46" s="35"/>
      <c r="M46" s="36" t="str">
        <f t="shared" si="5"/>
        <v/>
      </c>
      <c r="N46" s="37"/>
      <c r="O46" s="29"/>
      <c r="P46" s="38"/>
      <c r="Q46" s="28"/>
      <c r="R46" s="28" t="s">
        <v>3224</v>
      </c>
      <c r="S46" s="92" t="s">
        <v>21</v>
      </c>
      <c r="T46" s="46"/>
      <c r="U46" s="28" t="s">
        <v>31</v>
      </c>
    </row>
    <row r="47" spans="1:21" s="27" customFormat="1" x14ac:dyDescent="0.25">
      <c r="A47" s="28" t="s">
        <v>21</v>
      </c>
      <c r="B47" s="28" t="s">
        <v>3200</v>
      </c>
      <c r="C47" s="28" t="s">
        <v>21</v>
      </c>
      <c r="D47" s="29">
        <v>1</v>
      </c>
      <c r="E47" s="71">
        <v>58</v>
      </c>
      <c r="F47" s="45">
        <v>905</v>
      </c>
      <c r="G47" s="32">
        <v>1.855</v>
      </c>
      <c r="H47" s="32">
        <v>5.593</v>
      </c>
      <c r="I47" s="32">
        <v>5.5750000000000002</v>
      </c>
      <c r="J47" s="33">
        <f>IF(O47&lt;&gt;"",(H47-I47)/O47,"")</f>
        <v>5.9999999999999316E-3</v>
      </c>
      <c r="K47" s="34" t="str">
        <f t="shared" si="1"/>
        <v/>
      </c>
      <c r="L47" s="35">
        <f>F47/(O47*P47)</f>
        <v>7.541666666666667</v>
      </c>
      <c r="M47" s="36" t="str">
        <f>IF(L47=0,"",IF(OR(L47&lt;7,L47&gt;7.8),"X",""))</f>
        <v/>
      </c>
      <c r="N47" s="37" t="s">
        <v>23</v>
      </c>
      <c r="O47" s="29">
        <v>3</v>
      </c>
      <c r="P47" s="38">
        <v>40</v>
      </c>
      <c r="Q47" s="28"/>
      <c r="R47" s="28" t="s">
        <v>3230</v>
      </c>
      <c r="S47" s="91" t="s">
        <v>58</v>
      </c>
      <c r="T47" s="46"/>
      <c r="U47" s="28" t="s">
        <v>31</v>
      </c>
    </row>
    <row r="48" spans="1:21" s="27" customFormat="1" x14ac:dyDescent="0.25">
      <c r="A48" s="28" t="s">
        <v>21</v>
      </c>
      <c r="B48" s="28" t="s">
        <v>21</v>
      </c>
      <c r="C48" s="28" t="s">
        <v>21</v>
      </c>
      <c r="D48" s="29">
        <v>1</v>
      </c>
      <c r="E48" s="71"/>
      <c r="F48" s="31"/>
      <c r="G48" s="32">
        <v>1.869</v>
      </c>
      <c r="H48" s="32"/>
      <c r="I48" s="32"/>
      <c r="J48" s="33" t="str">
        <f t="shared" si="4"/>
        <v/>
      </c>
      <c r="K48" s="34"/>
      <c r="L48" s="35"/>
      <c r="M48" s="36" t="str">
        <f t="shared" si="5"/>
        <v/>
      </c>
      <c r="N48" s="37"/>
      <c r="O48" s="29"/>
      <c r="P48" s="38"/>
      <c r="Q48" s="28"/>
      <c r="R48" s="28" t="s">
        <v>3231</v>
      </c>
      <c r="S48" s="91" t="s">
        <v>59</v>
      </c>
      <c r="T48" s="46"/>
      <c r="U48" s="28" t="s">
        <v>31</v>
      </c>
    </row>
    <row r="49" spans="1:21" s="27" customFormat="1" ht="14.25" customHeight="1" x14ac:dyDescent="0.25">
      <c r="A49" s="28" t="s">
        <v>21</v>
      </c>
      <c r="B49" s="28" t="s">
        <v>21</v>
      </c>
      <c r="C49" s="28" t="s">
        <v>21</v>
      </c>
      <c r="D49" s="29">
        <v>1</v>
      </c>
      <c r="E49" s="71"/>
      <c r="F49" s="31"/>
      <c r="G49" s="32">
        <v>1.867</v>
      </c>
      <c r="H49" s="32"/>
      <c r="I49" s="32"/>
      <c r="J49" s="33" t="str">
        <f t="shared" si="4"/>
        <v/>
      </c>
      <c r="K49" s="34"/>
      <c r="L49" s="35"/>
      <c r="M49" s="36" t="str">
        <f t="shared" si="5"/>
        <v/>
      </c>
      <c r="N49" s="37"/>
      <c r="O49" s="29"/>
      <c r="P49" s="38"/>
      <c r="Q49" s="28"/>
      <c r="R49" s="28" t="s">
        <v>3233</v>
      </c>
      <c r="S49" s="92" t="s">
        <v>21</v>
      </c>
      <c r="T49" s="46"/>
      <c r="U49" s="28" t="s">
        <v>31</v>
      </c>
    </row>
    <row r="50" spans="1:21" s="27" customFormat="1" x14ac:dyDescent="0.25">
      <c r="A50" s="28" t="s">
        <v>21</v>
      </c>
      <c r="B50" s="28" t="s">
        <v>3201</v>
      </c>
      <c r="C50" s="28" t="s">
        <v>21</v>
      </c>
      <c r="D50" s="29">
        <v>1</v>
      </c>
      <c r="E50" s="71">
        <v>56</v>
      </c>
      <c r="F50" s="45">
        <v>905</v>
      </c>
      <c r="G50" s="32">
        <v>1.8580000000000001</v>
      </c>
      <c r="H50" s="32">
        <v>5.6020000000000003</v>
      </c>
      <c r="I50" s="32">
        <v>5.5839999999999996</v>
      </c>
      <c r="J50" s="33">
        <f>IF(O50&lt;&gt;"",(H50-I50)/O50,"")</f>
        <v>6.0000000000002274E-3</v>
      </c>
      <c r="K50" s="34" t="str">
        <f t="shared" si="1"/>
        <v/>
      </c>
      <c r="L50" s="35">
        <f>F50/(O50*P50)</f>
        <v>7.541666666666667</v>
      </c>
      <c r="M50" s="36" t="str">
        <f>IF(L50=0,"",IF(OR(L50&lt;7,L50&gt;7.8),"X",""))</f>
        <v/>
      </c>
      <c r="N50" s="37" t="s">
        <v>23</v>
      </c>
      <c r="O50" s="29">
        <v>3</v>
      </c>
      <c r="P50" s="38">
        <v>40</v>
      </c>
      <c r="Q50" s="28"/>
      <c r="R50" s="28" t="s">
        <v>3234</v>
      </c>
      <c r="S50" s="92" t="s">
        <v>21</v>
      </c>
      <c r="T50" s="46"/>
      <c r="U50" s="28" t="s">
        <v>31</v>
      </c>
    </row>
    <row r="51" spans="1:21" s="27" customFormat="1" x14ac:dyDescent="0.25">
      <c r="A51" s="28" t="s">
        <v>21</v>
      </c>
      <c r="B51" s="28" t="s">
        <v>21</v>
      </c>
      <c r="C51" s="28" t="s">
        <v>21</v>
      </c>
      <c r="D51" s="29">
        <v>1</v>
      </c>
      <c r="E51" s="71"/>
      <c r="F51" s="31"/>
      <c r="G51" s="32">
        <v>1.875</v>
      </c>
      <c r="H51" s="32"/>
      <c r="I51" s="32"/>
      <c r="J51" s="33" t="str">
        <f t="shared" si="4"/>
        <v/>
      </c>
      <c r="K51" s="34"/>
      <c r="L51" s="35"/>
      <c r="M51" s="36" t="str">
        <f t="shared" si="5"/>
        <v/>
      </c>
      <c r="N51" s="37"/>
      <c r="O51" s="29"/>
      <c r="P51" s="38"/>
      <c r="Q51" s="28"/>
      <c r="R51" s="28" t="s">
        <v>3235</v>
      </c>
      <c r="S51" s="92" t="s">
        <v>21</v>
      </c>
      <c r="T51" s="46"/>
      <c r="U51" s="28" t="s">
        <v>31</v>
      </c>
    </row>
    <row r="52" spans="1:21" s="27" customFormat="1" ht="14.25" customHeight="1" x14ac:dyDescent="0.25">
      <c r="A52" s="28" t="s">
        <v>21</v>
      </c>
      <c r="B52" s="28" t="s">
        <v>21</v>
      </c>
      <c r="C52" s="28" t="s">
        <v>21</v>
      </c>
      <c r="D52" s="29">
        <v>1</v>
      </c>
      <c r="E52" s="71"/>
      <c r="F52" s="31"/>
      <c r="G52" s="32">
        <v>1.869</v>
      </c>
      <c r="H52" s="32"/>
      <c r="I52" s="32"/>
      <c r="J52" s="33" t="str">
        <f t="shared" si="4"/>
        <v/>
      </c>
      <c r="K52" s="34"/>
      <c r="L52" s="35"/>
      <c r="M52" s="36" t="str">
        <f t="shared" si="5"/>
        <v/>
      </c>
      <c r="N52" s="37"/>
      <c r="O52" s="29"/>
      <c r="P52" s="38"/>
      <c r="Q52" s="28"/>
      <c r="R52" s="28" t="s">
        <v>3236</v>
      </c>
      <c r="S52" s="92" t="s">
        <v>21</v>
      </c>
      <c r="T52" s="46"/>
      <c r="U52" s="28" t="s">
        <v>31</v>
      </c>
    </row>
    <row r="53" spans="1:21" s="27" customFormat="1" x14ac:dyDescent="0.25">
      <c r="A53" s="28" t="s">
        <v>21</v>
      </c>
      <c r="B53" s="28" t="s">
        <v>3202</v>
      </c>
      <c r="C53" s="28" t="s">
        <v>21</v>
      </c>
      <c r="D53" s="29">
        <v>1</v>
      </c>
      <c r="E53" s="71">
        <v>66</v>
      </c>
      <c r="F53" s="45">
        <v>901</v>
      </c>
      <c r="G53" s="32">
        <v>1.8620000000000001</v>
      </c>
      <c r="H53" s="32">
        <v>5.57</v>
      </c>
      <c r="I53" s="32">
        <v>5.5519999999999996</v>
      </c>
      <c r="J53" s="33">
        <f>IF(O53&lt;&gt;"",(H53-I53)/O53,"")</f>
        <v>6.0000000000002274E-3</v>
      </c>
      <c r="K53" s="34" t="str">
        <f t="shared" si="1"/>
        <v/>
      </c>
      <c r="L53" s="35">
        <f>F53/(O53*P53)</f>
        <v>7.5083333333333337</v>
      </c>
      <c r="M53" s="36" t="str">
        <f>IF(L53=0,"",IF(OR(L53&lt;7,L53&gt;7.8),"X",""))</f>
        <v/>
      </c>
      <c r="N53" s="37" t="s">
        <v>23</v>
      </c>
      <c r="O53" s="29">
        <v>3</v>
      </c>
      <c r="P53" s="38">
        <v>40</v>
      </c>
      <c r="Q53" s="28"/>
      <c r="R53" s="28" t="s">
        <v>3237</v>
      </c>
      <c r="S53" s="92" t="s">
        <v>21</v>
      </c>
      <c r="T53" s="46"/>
      <c r="U53" s="28" t="s">
        <v>31</v>
      </c>
    </row>
    <row r="54" spans="1:21" s="27" customFormat="1" x14ac:dyDescent="0.25">
      <c r="A54" s="28" t="s">
        <v>21</v>
      </c>
      <c r="B54" s="28" t="s">
        <v>21</v>
      </c>
      <c r="C54" s="28" t="s">
        <v>21</v>
      </c>
      <c r="D54" s="29">
        <v>1</v>
      </c>
      <c r="E54" s="71"/>
      <c r="F54" s="31"/>
      <c r="G54" s="32">
        <v>1.853</v>
      </c>
      <c r="H54" s="32"/>
      <c r="I54" s="32"/>
      <c r="J54" s="33" t="str">
        <f t="shared" si="4"/>
        <v/>
      </c>
      <c r="K54" s="34"/>
      <c r="L54" s="35"/>
      <c r="M54" s="36" t="str">
        <f t="shared" si="5"/>
        <v/>
      </c>
      <c r="N54" s="37"/>
      <c r="O54" s="29"/>
      <c r="P54" s="38"/>
      <c r="Q54" s="28"/>
      <c r="R54" s="28" t="s">
        <v>3238</v>
      </c>
      <c r="S54" s="92" t="s">
        <v>21</v>
      </c>
      <c r="T54" s="46"/>
      <c r="U54" s="28" t="s">
        <v>31</v>
      </c>
    </row>
    <row r="55" spans="1:21" s="27" customFormat="1" ht="14.25" customHeight="1" x14ac:dyDescent="0.25">
      <c r="A55" s="28" t="s">
        <v>21</v>
      </c>
      <c r="B55" s="28" t="s">
        <v>21</v>
      </c>
      <c r="C55" s="28" t="s">
        <v>21</v>
      </c>
      <c r="D55" s="29">
        <v>1</v>
      </c>
      <c r="E55" s="71"/>
      <c r="F55" s="31"/>
      <c r="G55" s="32">
        <v>1.855</v>
      </c>
      <c r="H55" s="32"/>
      <c r="I55" s="32"/>
      <c r="J55" s="33" t="str">
        <f t="shared" si="4"/>
        <v/>
      </c>
      <c r="K55" s="34"/>
      <c r="L55" s="35"/>
      <c r="M55" s="36" t="str">
        <f t="shared" si="5"/>
        <v/>
      </c>
      <c r="N55" s="37"/>
      <c r="O55" s="29"/>
      <c r="P55" s="38"/>
      <c r="Q55" s="28"/>
      <c r="R55" s="28" t="s">
        <v>3232</v>
      </c>
      <c r="S55" s="92" t="s">
        <v>21</v>
      </c>
      <c r="T55" s="46"/>
      <c r="U55" s="28" t="s">
        <v>31</v>
      </c>
    </row>
    <row r="56" spans="1:21" s="27" customFormat="1" x14ac:dyDescent="0.25">
      <c r="A56" s="28" t="s">
        <v>21</v>
      </c>
      <c r="B56" s="28" t="s">
        <v>3203</v>
      </c>
      <c r="C56" s="28" t="s">
        <v>21</v>
      </c>
      <c r="D56" s="29">
        <v>1</v>
      </c>
      <c r="E56" s="71">
        <v>64</v>
      </c>
      <c r="F56" s="45">
        <v>903</v>
      </c>
      <c r="G56" s="32">
        <v>1.867</v>
      </c>
      <c r="H56" s="32">
        <v>5.57</v>
      </c>
      <c r="I56" s="32">
        <v>5.5490000000000004</v>
      </c>
      <c r="J56" s="33">
        <f>IF(O56&lt;&gt;"",(H56-I56)/O56,"")</f>
        <v>6.9999999999999689E-3</v>
      </c>
      <c r="K56" s="34" t="str">
        <f t="shared" si="1"/>
        <v/>
      </c>
      <c r="L56" s="35">
        <f>F56/(O56*P56)</f>
        <v>7.5250000000000004</v>
      </c>
      <c r="M56" s="36" t="str">
        <f>IF(L56=0,"",IF(OR(L56&lt;7,L56&gt;7.8),"X",""))</f>
        <v/>
      </c>
      <c r="N56" s="37" t="s">
        <v>23</v>
      </c>
      <c r="O56" s="29">
        <v>3</v>
      </c>
      <c r="P56" s="38">
        <v>40</v>
      </c>
      <c r="Q56" s="28"/>
      <c r="R56" s="28" t="s">
        <v>3239</v>
      </c>
      <c r="S56" s="92" t="s">
        <v>21</v>
      </c>
      <c r="T56" s="46"/>
      <c r="U56" s="28" t="s">
        <v>31</v>
      </c>
    </row>
    <row r="57" spans="1:21" s="27" customFormat="1" x14ac:dyDescent="0.25">
      <c r="A57" s="28" t="s">
        <v>21</v>
      </c>
      <c r="B57" s="28" t="s">
        <v>21</v>
      </c>
      <c r="C57" s="28">
        <v>786993</v>
      </c>
      <c r="D57" s="29">
        <v>1</v>
      </c>
      <c r="E57" s="71"/>
      <c r="F57" s="31"/>
      <c r="G57" s="32">
        <v>1.8520000000000001</v>
      </c>
      <c r="H57" s="32"/>
      <c r="I57" s="32"/>
      <c r="J57" s="33" t="str">
        <f t="shared" si="4"/>
        <v/>
      </c>
      <c r="K57" s="34"/>
      <c r="L57" s="35"/>
      <c r="M57" s="36" t="str">
        <f t="shared" si="5"/>
        <v/>
      </c>
      <c r="N57" s="37"/>
      <c r="O57" s="29"/>
      <c r="P57" s="38"/>
      <c r="Q57" s="28"/>
      <c r="R57" s="28" t="s">
        <v>3240</v>
      </c>
      <c r="S57" s="92" t="s">
        <v>21</v>
      </c>
      <c r="T57" s="46"/>
      <c r="U57" s="28" t="s">
        <v>31</v>
      </c>
    </row>
    <row r="58" spans="1:21" s="27" customFormat="1" ht="14.25" customHeight="1" x14ac:dyDescent="0.25">
      <c r="A58" s="28" t="s">
        <v>21</v>
      </c>
      <c r="B58" s="28" t="s">
        <v>21</v>
      </c>
      <c r="C58" s="28" t="s">
        <v>21</v>
      </c>
      <c r="D58" s="29">
        <v>1</v>
      </c>
      <c r="E58" s="71"/>
      <c r="F58" s="31"/>
      <c r="G58" s="32">
        <v>1.85</v>
      </c>
      <c r="H58" s="32"/>
      <c r="I58" s="32"/>
      <c r="J58" s="33" t="str">
        <f t="shared" si="4"/>
        <v/>
      </c>
      <c r="K58" s="34"/>
      <c r="L58" s="35"/>
      <c r="M58" s="36" t="str">
        <f t="shared" si="5"/>
        <v/>
      </c>
      <c r="N58" s="37"/>
      <c r="O58" s="29"/>
      <c r="P58" s="38"/>
      <c r="Q58" s="28"/>
      <c r="R58" s="28" t="s">
        <v>3241</v>
      </c>
      <c r="S58" s="92" t="s">
        <v>21</v>
      </c>
      <c r="T58" s="46"/>
      <c r="U58" s="28" t="s">
        <v>31</v>
      </c>
    </row>
    <row r="59" spans="1:21" s="27" customFormat="1" x14ac:dyDescent="0.25">
      <c r="A59" s="28" t="s">
        <v>21</v>
      </c>
      <c r="B59" s="28" t="s">
        <v>3204</v>
      </c>
      <c r="C59" s="28" t="s">
        <v>21</v>
      </c>
      <c r="D59" s="29">
        <v>1</v>
      </c>
      <c r="E59" s="71">
        <v>60</v>
      </c>
      <c r="F59" s="45">
        <v>903</v>
      </c>
      <c r="G59" s="32">
        <v>1.851</v>
      </c>
      <c r="H59" s="32">
        <v>5.5570000000000004</v>
      </c>
      <c r="I59" s="32">
        <v>5.5359999999999996</v>
      </c>
      <c r="J59" s="33">
        <f>IF(O59&lt;&gt;"",(H59-I59)/O59,"")</f>
        <v>7.0000000000002656E-3</v>
      </c>
      <c r="K59" s="34" t="str">
        <f t="shared" si="1"/>
        <v/>
      </c>
      <c r="L59" s="35">
        <f>F59/(O59*P59)</f>
        <v>7.5250000000000004</v>
      </c>
      <c r="M59" s="36" t="str">
        <f>IF(L59=0,"",IF(OR(L59&lt;7,L59&gt;7.8),"X",""))</f>
        <v/>
      </c>
      <c r="N59" s="37" t="s">
        <v>23</v>
      </c>
      <c r="O59" s="29">
        <v>3</v>
      </c>
      <c r="P59" s="38">
        <v>40</v>
      </c>
      <c r="Q59" s="28"/>
      <c r="R59" s="28" t="s">
        <v>3243</v>
      </c>
      <c r="S59" s="92" t="s">
        <v>21</v>
      </c>
      <c r="T59" s="46"/>
      <c r="U59" s="28" t="s">
        <v>31</v>
      </c>
    </row>
    <row r="60" spans="1:21" s="27" customFormat="1" x14ac:dyDescent="0.25">
      <c r="A60" s="28" t="s">
        <v>21</v>
      </c>
      <c r="B60" s="28" t="s">
        <v>21</v>
      </c>
      <c r="C60" s="28" t="s">
        <v>21</v>
      </c>
      <c r="D60" s="29">
        <v>1</v>
      </c>
      <c r="E60" s="71"/>
      <c r="F60" s="31"/>
      <c r="G60" s="32">
        <v>1.8480000000000001</v>
      </c>
      <c r="H60" s="32"/>
      <c r="I60" s="32"/>
      <c r="J60" s="33" t="str">
        <f t="shared" si="4"/>
        <v/>
      </c>
      <c r="K60" s="34"/>
      <c r="L60" s="35"/>
      <c r="M60" s="36" t="str">
        <f t="shared" si="5"/>
        <v/>
      </c>
      <c r="N60" s="37"/>
      <c r="O60" s="29"/>
      <c r="P60" s="38"/>
      <c r="Q60" s="28"/>
      <c r="R60" s="28" t="s">
        <v>3244</v>
      </c>
      <c r="S60" s="92" t="s">
        <v>21</v>
      </c>
      <c r="T60" s="46"/>
      <c r="U60" s="28" t="s">
        <v>31</v>
      </c>
    </row>
    <row r="61" spans="1:21" s="27" customFormat="1" ht="14.25" customHeight="1" x14ac:dyDescent="0.25">
      <c r="A61" s="28" t="s">
        <v>21</v>
      </c>
      <c r="B61" s="28" t="s">
        <v>21</v>
      </c>
      <c r="C61" s="28" t="s">
        <v>21</v>
      </c>
      <c r="D61" s="29">
        <v>1</v>
      </c>
      <c r="E61" s="71"/>
      <c r="F61" s="31"/>
      <c r="G61" s="32">
        <v>1.8560000000000001</v>
      </c>
      <c r="H61" s="32"/>
      <c r="I61" s="32"/>
      <c r="J61" s="33" t="str">
        <f t="shared" si="4"/>
        <v/>
      </c>
      <c r="K61" s="34"/>
      <c r="L61" s="35"/>
      <c r="M61" s="36" t="str">
        <f t="shared" si="5"/>
        <v/>
      </c>
      <c r="N61" s="37"/>
      <c r="O61" s="29"/>
      <c r="P61" s="38"/>
      <c r="Q61" s="28"/>
      <c r="R61" s="28" t="s">
        <v>3242</v>
      </c>
      <c r="S61" s="92" t="s">
        <v>21</v>
      </c>
      <c r="T61" s="46"/>
      <c r="U61" s="28" t="s">
        <v>31</v>
      </c>
    </row>
    <row r="62" spans="1:21" s="27" customFormat="1" x14ac:dyDescent="0.25">
      <c r="A62" s="28" t="s">
        <v>21</v>
      </c>
      <c r="B62" s="28" t="s">
        <v>3205</v>
      </c>
      <c r="C62" s="28" t="s">
        <v>21</v>
      </c>
      <c r="D62" s="29">
        <v>1</v>
      </c>
      <c r="E62" s="71">
        <v>57</v>
      </c>
      <c r="F62" s="45">
        <v>906</v>
      </c>
      <c r="G62" s="32">
        <v>1.857</v>
      </c>
      <c r="H62" s="32">
        <v>5.5609999999999999</v>
      </c>
      <c r="I62" s="32">
        <v>5.54</v>
      </c>
      <c r="J62" s="33">
        <f>IF(O62&lt;&gt;"",(H62-I62)/O62,"")</f>
        <v>6.9999999999999689E-3</v>
      </c>
      <c r="K62" s="34" t="str">
        <f t="shared" si="1"/>
        <v/>
      </c>
      <c r="L62" s="35">
        <f>F62/(O62*P62)</f>
        <v>7.55</v>
      </c>
      <c r="M62" s="36" t="str">
        <f>IF(L62=0,"",IF(OR(L62&lt;7,L62&gt;7.8),"X",""))</f>
        <v/>
      </c>
      <c r="N62" s="37" t="s">
        <v>23</v>
      </c>
      <c r="O62" s="29">
        <v>3</v>
      </c>
      <c r="P62" s="38">
        <v>40</v>
      </c>
      <c r="Q62" s="28"/>
      <c r="R62" s="28" t="s">
        <v>3248</v>
      </c>
      <c r="S62" s="91" t="s">
        <v>58</v>
      </c>
      <c r="T62" s="46"/>
      <c r="U62" s="28" t="s">
        <v>31</v>
      </c>
    </row>
    <row r="63" spans="1:21" s="27" customFormat="1" x14ac:dyDescent="0.25">
      <c r="A63" s="28" t="s">
        <v>21</v>
      </c>
      <c r="B63" s="28" t="s">
        <v>21</v>
      </c>
      <c r="C63" s="28" t="s">
        <v>21</v>
      </c>
      <c r="D63" s="29">
        <v>1</v>
      </c>
      <c r="E63" s="71"/>
      <c r="F63" s="31"/>
      <c r="G63" s="32">
        <v>1.849</v>
      </c>
      <c r="H63" s="32"/>
      <c r="I63" s="32"/>
      <c r="J63" s="33" t="str">
        <f t="shared" si="4"/>
        <v/>
      </c>
      <c r="K63" s="34"/>
      <c r="L63" s="35"/>
      <c r="M63" s="36" t="str">
        <f t="shared" si="5"/>
        <v/>
      </c>
      <c r="N63" s="37"/>
      <c r="O63" s="29"/>
      <c r="P63" s="38"/>
      <c r="Q63" s="28"/>
      <c r="R63" s="28" t="s">
        <v>3249</v>
      </c>
      <c r="S63" s="91" t="s">
        <v>59</v>
      </c>
      <c r="T63" s="46"/>
      <c r="U63" s="28" t="s">
        <v>31</v>
      </c>
    </row>
    <row r="64" spans="1:21" s="27" customFormat="1" ht="14.25" customHeight="1" x14ac:dyDescent="0.25">
      <c r="A64" s="28" t="s">
        <v>21</v>
      </c>
      <c r="B64" s="28" t="s">
        <v>21</v>
      </c>
      <c r="C64" s="28" t="s">
        <v>21</v>
      </c>
      <c r="D64" s="29">
        <v>1</v>
      </c>
      <c r="E64" s="71"/>
      <c r="F64" s="31"/>
      <c r="G64" s="32">
        <v>1.8560000000000001</v>
      </c>
      <c r="H64" s="32"/>
      <c r="I64" s="32"/>
      <c r="J64" s="33" t="str">
        <f t="shared" si="4"/>
        <v/>
      </c>
      <c r="K64" s="34"/>
      <c r="L64" s="35"/>
      <c r="M64" s="36" t="str">
        <f t="shared" si="5"/>
        <v/>
      </c>
      <c r="N64" s="37"/>
      <c r="O64" s="29"/>
      <c r="P64" s="38"/>
      <c r="Q64" s="28"/>
      <c r="R64" s="28" t="s">
        <v>3250</v>
      </c>
      <c r="S64" s="92" t="s">
        <v>21</v>
      </c>
      <c r="T64" s="46"/>
      <c r="U64" s="28" t="s">
        <v>31</v>
      </c>
    </row>
    <row r="65" spans="1:21" s="27" customFormat="1" x14ac:dyDescent="0.25">
      <c r="A65" s="28" t="s">
        <v>21</v>
      </c>
      <c r="B65" s="28" t="s">
        <v>3206</v>
      </c>
      <c r="C65" s="28" t="s">
        <v>21</v>
      </c>
      <c r="D65" s="29">
        <v>1</v>
      </c>
      <c r="E65" s="71">
        <v>69</v>
      </c>
      <c r="F65" s="45">
        <v>902</v>
      </c>
      <c r="G65" s="32">
        <v>1.8580000000000001</v>
      </c>
      <c r="H65" s="32">
        <v>5.55</v>
      </c>
      <c r="I65" s="32">
        <v>5.532</v>
      </c>
      <c r="J65" s="33">
        <f>IF(O65&lt;&gt;"",(H65-I65)/O65,"")</f>
        <v>5.9999999999999316E-3</v>
      </c>
      <c r="K65" s="34" t="str">
        <f t="shared" si="1"/>
        <v/>
      </c>
      <c r="L65" s="35">
        <f>F65/(O65*P65)</f>
        <v>7.5166666666666666</v>
      </c>
      <c r="M65" s="36" t="str">
        <f>IF(L65=0,"",IF(OR(L65&lt;7,L65&gt;7.8),"X",""))</f>
        <v/>
      </c>
      <c r="N65" s="37" t="s">
        <v>23</v>
      </c>
      <c r="O65" s="29">
        <v>3</v>
      </c>
      <c r="P65" s="38">
        <v>40</v>
      </c>
      <c r="Q65" s="28"/>
      <c r="R65" s="28" t="s">
        <v>3251</v>
      </c>
      <c r="S65" s="92" t="s">
        <v>21</v>
      </c>
      <c r="T65" s="46"/>
      <c r="U65" s="28" t="s">
        <v>31</v>
      </c>
    </row>
    <row r="66" spans="1:21" s="27" customFormat="1" x14ac:dyDescent="0.25">
      <c r="A66" s="28" t="s">
        <v>21</v>
      </c>
      <c r="B66" s="28" t="s">
        <v>21</v>
      </c>
      <c r="C66" s="28" t="s">
        <v>21</v>
      </c>
      <c r="D66" s="29">
        <v>1</v>
      </c>
      <c r="E66" s="71"/>
      <c r="F66" s="31"/>
      <c r="G66" s="32">
        <v>1.847</v>
      </c>
      <c r="H66" s="32"/>
      <c r="I66" s="32"/>
      <c r="J66" s="33" t="str">
        <f t="shared" si="4"/>
        <v/>
      </c>
      <c r="K66" s="34"/>
      <c r="L66" s="35"/>
      <c r="M66" s="36" t="str">
        <f t="shared" si="5"/>
        <v/>
      </c>
      <c r="N66" s="37"/>
      <c r="O66" s="29"/>
      <c r="P66" s="38"/>
      <c r="Q66" s="28"/>
      <c r="R66" s="28" t="s">
        <v>3253</v>
      </c>
      <c r="S66" s="92" t="s">
        <v>21</v>
      </c>
      <c r="T66" s="46"/>
      <c r="U66" s="28" t="s">
        <v>31</v>
      </c>
    </row>
    <row r="67" spans="1:21" s="27" customFormat="1" ht="14.25" customHeight="1" x14ac:dyDescent="0.25">
      <c r="A67" s="28" t="s">
        <v>21</v>
      </c>
      <c r="B67" s="28" t="s">
        <v>21</v>
      </c>
      <c r="C67" s="28" t="s">
        <v>21</v>
      </c>
      <c r="D67" s="29">
        <v>1</v>
      </c>
      <c r="E67" s="71"/>
      <c r="F67" s="31"/>
      <c r="G67" s="32">
        <v>1.845</v>
      </c>
      <c r="H67" s="32"/>
      <c r="I67" s="32"/>
      <c r="J67" s="33" t="str">
        <f t="shared" si="4"/>
        <v/>
      </c>
      <c r="K67" s="34"/>
      <c r="L67" s="35"/>
      <c r="M67" s="36" t="str">
        <f t="shared" si="5"/>
        <v/>
      </c>
      <c r="N67" s="37"/>
      <c r="O67" s="29"/>
      <c r="P67" s="38"/>
      <c r="Q67" s="28"/>
      <c r="R67" s="28" t="s">
        <v>3255</v>
      </c>
      <c r="S67" s="92" t="s">
        <v>21</v>
      </c>
      <c r="T67" s="46"/>
      <c r="U67" s="28" t="s">
        <v>31</v>
      </c>
    </row>
    <row r="68" spans="1:21" s="27" customFormat="1" x14ac:dyDescent="0.25">
      <c r="A68" s="28" t="s">
        <v>21</v>
      </c>
      <c r="B68" s="28" t="s">
        <v>3207</v>
      </c>
      <c r="C68" s="28" t="s">
        <v>21</v>
      </c>
      <c r="D68" s="29">
        <v>1</v>
      </c>
      <c r="E68" s="71">
        <v>71</v>
      </c>
      <c r="F68" s="45">
        <v>902</v>
      </c>
      <c r="G68" s="32">
        <v>1.8580000000000001</v>
      </c>
      <c r="H68" s="32">
        <v>5.5519999999999996</v>
      </c>
      <c r="I68" s="32">
        <v>5.5330000000000004</v>
      </c>
      <c r="J68" s="33">
        <f>IF(O68&lt;&gt;"",(H68-I68)/O68,"")</f>
        <v>6.3333333333330799E-3</v>
      </c>
      <c r="K68" s="34" t="str">
        <f t="shared" ref="K68:K74" si="6">IF(J68=0,"",IF(OR(J68&lt;0,J68&gt;0.03),"X",""))</f>
        <v/>
      </c>
      <c r="L68" s="35">
        <f>F68/(O68*P68)</f>
        <v>7.5166666666666666</v>
      </c>
      <c r="M68" s="36" t="str">
        <f>IF(L68=0,"",IF(OR(L68&lt;7,L68&gt;7.8),"X",""))</f>
        <v/>
      </c>
      <c r="N68" s="37" t="s">
        <v>23</v>
      </c>
      <c r="O68" s="29">
        <v>3</v>
      </c>
      <c r="P68" s="38">
        <v>40</v>
      </c>
      <c r="Q68" s="28"/>
      <c r="R68" s="28" t="s">
        <v>3252</v>
      </c>
      <c r="S68" s="92" t="s">
        <v>21</v>
      </c>
      <c r="T68" s="46"/>
      <c r="U68" s="28" t="s">
        <v>31</v>
      </c>
    </row>
    <row r="69" spans="1:21" s="27" customFormat="1" x14ac:dyDescent="0.25">
      <c r="A69" s="28" t="s">
        <v>21</v>
      </c>
      <c r="B69" s="28" t="s">
        <v>21</v>
      </c>
      <c r="C69" s="28" t="s">
        <v>21</v>
      </c>
      <c r="D69" s="29">
        <v>1</v>
      </c>
      <c r="E69" s="71"/>
      <c r="F69" s="31"/>
      <c r="G69" s="32">
        <v>1.843</v>
      </c>
      <c r="H69" s="32"/>
      <c r="I69" s="32"/>
      <c r="J69" s="33" t="str">
        <f t="shared" si="4"/>
        <v/>
      </c>
      <c r="K69" s="34"/>
      <c r="L69" s="35"/>
      <c r="M69" s="36" t="str">
        <f t="shared" si="5"/>
        <v/>
      </c>
      <c r="N69" s="37"/>
      <c r="O69" s="29"/>
      <c r="P69" s="38"/>
      <c r="Q69" s="28"/>
      <c r="R69" s="28" t="s">
        <v>3254</v>
      </c>
      <c r="S69" s="92" t="s">
        <v>21</v>
      </c>
      <c r="T69" s="46"/>
      <c r="U69" s="28" t="s">
        <v>31</v>
      </c>
    </row>
    <row r="70" spans="1:21" s="27" customFormat="1" ht="14.25" customHeight="1" x14ac:dyDescent="0.25">
      <c r="A70" s="28" t="s">
        <v>21</v>
      </c>
      <c r="B70" s="28" t="s">
        <v>21</v>
      </c>
      <c r="C70" s="28" t="s">
        <v>21</v>
      </c>
      <c r="D70" s="29">
        <v>1</v>
      </c>
      <c r="E70" s="71"/>
      <c r="F70" s="31"/>
      <c r="G70" s="32">
        <v>1.85</v>
      </c>
      <c r="H70" s="32"/>
      <c r="I70" s="32"/>
      <c r="J70" s="33" t="str">
        <f t="shared" si="4"/>
        <v/>
      </c>
      <c r="K70" s="34"/>
      <c r="L70" s="35"/>
      <c r="M70" s="36" t="str">
        <f t="shared" si="5"/>
        <v/>
      </c>
      <c r="N70" s="37"/>
      <c r="O70" s="29"/>
      <c r="P70" s="38"/>
      <c r="Q70" s="28"/>
      <c r="R70" s="28" t="s">
        <v>3256</v>
      </c>
      <c r="S70" s="92" t="s">
        <v>21</v>
      </c>
      <c r="T70" s="46"/>
      <c r="U70" s="28" t="s">
        <v>31</v>
      </c>
    </row>
    <row r="71" spans="1:21" s="27" customFormat="1" x14ac:dyDescent="0.25">
      <c r="A71" s="28" t="s">
        <v>21</v>
      </c>
      <c r="B71" s="28" t="s">
        <v>3208</v>
      </c>
      <c r="C71" s="28" t="s">
        <v>21</v>
      </c>
      <c r="D71" s="29">
        <v>1</v>
      </c>
      <c r="E71" s="71">
        <v>68</v>
      </c>
      <c r="F71" s="45">
        <v>899</v>
      </c>
      <c r="G71" s="32">
        <v>1.851</v>
      </c>
      <c r="H71" s="32">
        <v>5.5549999999999997</v>
      </c>
      <c r="I71" s="32">
        <v>5.5359999999999996</v>
      </c>
      <c r="J71" s="33">
        <f>IF(O71&lt;&gt;"",(H71-I71)/O71,"")</f>
        <v>6.3333333333333757E-3</v>
      </c>
      <c r="K71" s="34" t="str">
        <f t="shared" si="6"/>
        <v/>
      </c>
      <c r="L71" s="35">
        <f>F71/(O71*P71)</f>
        <v>7.4916666666666663</v>
      </c>
      <c r="M71" s="36" t="str">
        <f>IF(L71=0,"",IF(OR(L71&lt;7,L71&gt;7.8),"X",""))</f>
        <v/>
      </c>
      <c r="N71" s="37" t="s">
        <v>23</v>
      </c>
      <c r="O71" s="29">
        <v>3</v>
      </c>
      <c r="P71" s="38">
        <v>40</v>
      </c>
      <c r="Q71" s="28"/>
      <c r="R71" s="28" t="s">
        <v>3257</v>
      </c>
      <c r="S71" s="92" t="s">
        <v>21</v>
      </c>
      <c r="T71" s="46"/>
      <c r="U71" s="28" t="s">
        <v>31</v>
      </c>
    </row>
    <row r="72" spans="1:21" s="27" customFormat="1" x14ac:dyDescent="0.25">
      <c r="A72" s="28" t="s">
        <v>21</v>
      </c>
      <c r="B72" s="28" t="s">
        <v>21</v>
      </c>
      <c r="C72" s="28" t="s">
        <v>21</v>
      </c>
      <c r="D72" s="29">
        <v>1</v>
      </c>
      <c r="E72" s="71"/>
      <c r="F72" s="31"/>
      <c r="G72" s="32">
        <v>1.8520000000000001</v>
      </c>
      <c r="H72" s="32"/>
      <c r="I72" s="32"/>
      <c r="J72" s="33" t="str">
        <f t="shared" si="4"/>
        <v/>
      </c>
      <c r="K72" s="34"/>
      <c r="L72" s="35"/>
      <c r="M72" s="36" t="str">
        <f t="shared" si="5"/>
        <v/>
      </c>
      <c r="N72" s="37"/>
      <c r="O72" s="29"/>
      <c r="P72" s="38"/>
      <c r="Q72" s="28"/>
      <c r="R72" s="28" t="s">
        <v>3258</v>
      </c>
      <c r="S72" s="92" t="s">
        <v>21</v>
      </c>
      <c r="T72" s="46"/>
      <c r="U72" s="28" t="s">
        <v>31</v>
      </c>
    </row>
    <row r="73" spans="1:21" s="27" customFormat="1" ht="14.25" customHeight="1" x14ac:dyDescent="0.25">
      <c r="A73" s="28" t="s">
        <v>21</v>
      </c>
      <c r="B73" s="28" t="s">
        <v>21</v>
      </c>
      <c r="C73" s="28" t="s">
        <v>21</v>
      </c>
      <c r="D73" s="29">
        <v>1</v>
      </c>
      <c r="E73" s="71"/>
      <c r="F73" s="31"/>
      <c r="G73" s="32">
        <v>1.8520000000000001</v>
      </c>
      <c r="H73" s="32"/>
      <c r="I73" s="32"/>
      <c r="J73" s="33" t="str">
        <f t="shared" si="4"/>
        <v/>
      </c>
      <c r="K73" s="34"/>
      <c r="L73" s="35"/>
      <c r="M73" s="36" t="str">
        <f t="shared" si="5"/>
        <v/>
      </c>
      <c r="N73" s="37"/>
      <c r="O73" s="29"/>
      <c r="P73" s="38"/>
      <c r="Q73" s="28"/>
      <c r="R73" s="28" t="s">
        <v>3260</v>
      </c>
      <c r="S73" s="92" t="s">
        <v>21</v>
      </c>
      <c r="T73" s="46"/>
      <c r="U73" s="28" t="s">
        <v>31</v>
      </c>
    </row>
    <row r="74" spans="1:21" s="27" customFormat="1" x14ac:dyDescent="0.25">
      <c r="A74" s="28" t="s">
        <v>21</v>
      </c>
      <c r="B74" s="28" t="s">
        <v>3209</v>
      </c>
      <c r="C74" s="28" t="s">
        <v>21</v>
      </c>
      <c r="D74" s="29">
        <v>1</v>
      </c>
      <c r="E74" s="71">
        <v>74</v>
      </c>
      <c r="F74" s="45">
        <v>902</v>
      </c>
      <c r="G74" s="32">
        <v>1.849</v>
      </c>
      <c r="H74" s="32">
        <v>5.556</v>
      </c>
      <c r="I74" s="32">
        <v>5.5389999999999997</v>
      </c>
      <c r="J74" s="33">
        <f>IF(O74&lt;&gt;"",(H74-I74)/O74,"")</f>
        <v>5.6666666666667824E-3</v>
      </c>
      <c r="K74" s="34" t="str">
        <f t="shared" si="6"/>
        <v/>
      </c>
      <c r="L74" s="35">
        <f>F74/(O74*P74)</f>
        <v>7.5166666666666666</v>
      </c>
      <c r="M74" s="36" t="str">
        <f>IF(L74=0,"",IF(OR(L74&lt;7,L74&gt;7.8),"X",""))</f>
        <v/>
      </c>
      <c r="N74" s="37" t="s">
        <v>23</v>
      </c>
      <c r="O74" s="29">
        <v>3</v>
      </c>
      <c r="P74" s="38">
        <v>40</v>
      </c>
      <c r="Q74" s="28"/>
      <c r="R74" s="28" t="s">
        <v>3259</v>
      </c>
      <c r="S74" s="92" t="s">
        <v>21</v>
      </c>
      <c r="T74" s="46"/>
      <c r="U74" s="28" t="s">
        <v>31</v>
      </c>
    </row>
    <row r="75" spans="1:21" s="27" customFormat="1" x14ac:dyDescent="0.25">
      <c r="A75" s="28" t="s">
        <v>21</v>
      </c>
      <c r="B75" s="28" t="s">
        <v>21</v>
      </c>
      <c r="C75" s="28">
        <v>786992</v>
      </c>
      <c r="D75" s="29">
        <v>1</v>
      </c>
      <c r="E75" s="71"/>
      <c r="F75" s="31"/>
      <c r="G75" s="32">
        <v>1.851</v>
      </c>
      <c r="H75" s="32"/>
      <c r="I75" s="32"/>
      <c r="J75" s="33" t="str">
        <f t="shared" si="4"/>
        <v/>
      </c>
      <c r="K75" s="34"/>
      <c r="L75" s="35"/>
      <c r="M75" s="36" t="str">
        <f t="shared" si="5"/>
        <v/>
      </c>
      <c r="N75" s="37"/>
      <c r="O75" s="29"/>
      <c r="P75" s="38"/>
      <c r="Q75" s="28"/>
      <c r="R75" s="28" t="s">
        <v>3261</v>
      </c>
      <c r="S75" s="92" t="s">
        <v>21</v>
      </c>
      <c r="T75" s="46"/>
      <c r="U75" s="28" t="s">
        <v>31</v>
      </c>
    </row>
    <row r="76" spans="1:21" s="27" customFormat="1" ht="14.25" customHeight="1" x14ac:dyDescent="0.25">
      <c r="A76" s="28" t="s">
        <v>21</v>
      </c>
      <c r="B76" s="28" t="s">
        <v>21</v>
      </c>
      <c r="C76" s="28" t="s">
        <v>21</v>
      </c>
      <c r="D76" s="29">
        <v>1</v>
      </c>
      <c r="E76" s="71"/>
      <c r="F76" s="31"/>
      <c r="G76" s="32">
        <v>1.855</v>
      </c>
      <c r="H76" s="32"/>
      <c r="I76" s="32"/>
      <c r="J76" s="33" t="str">
        <f t="shared" si="4"/>
        <v/>
      </c>
      <c r="K76" s="34"/>
      <c r="L76" s="35"/>
      <c r="M76" s="36" t="str">
        <f t="shared" si="5"/>
        <v/>
      </c>
      <c r="N76" s="37"/>
      <c r="O76" s="29"/>
      <c r="P76" s="38"/>
      <c r="Q76" s="28"/>
      <c r="R76" s="28" t="s">
        <v>3262</v>
      </c>
      <c r="S76" s="92" t="s">
        <v>21</v>
      </c>
      <c r="T76" s="46"/>
      <c r="U76" s="28" t="s">
        <v>31</v>
      </c>
    </row>
    <row r="77" spans="1:21" s="27" customFormat="1" x14ac:dyDescent="0.25">
      <c r="A77" s="28" t="s">
        <v>3225</v>
      </c>
      <c r="B77" s="28" t="s">
        <v>3226</v>
      </c>
      <c r="C77" s="28">
        <v>786993</v>
      </c>
      <c r="D77" s="29">
        <v>1</v>
      </c>
      <c r="E77" s="73">
        <v>9</v>
      </c>
      <c r="F77" s="45">
        <v>301</v>
      </c>
      <c r="G77" s="32"/>
      <c r="H77" s="32">
        <v>1.827</v>
      </c>
      <c r="I77" s="32">
        <v>1.819</v>
      </c>
      <c r="J77" s="33">
        <f>IF(O77&lt;&gt;"",(H77-I77)/O77,"")</f>
        <v>8.0000000000000071E-3</v>
      </c>
      <c r="K77" s="34" t="str">
        <f t="shared" ref="K77:K115" si="7">IF(J77=0,"",IF(OR(J77&lt;0,J77&gt;0.03),"X",""))</f>
        <v/>
      </c>
      <c r="L77" s="35">
        <f>F77/(O77*P77)</f>
        <v>7.5250000000000004</v>
      </c>
      <c r="M77" s="36" t="str">
        <f>IF(L77=0,"",IF(OR(L77&lt;7,L77&gt;7.8),"X",""))</f>
        <v/>
      </c>
      <c r="N77" s="37" t="s">
        <v>18</v>
      </c>
      <c r="O77" s="29">
        <v>1</v>
      </c>
      <c r="P77" s="38">
        <v>40</v>
      </c>
      <c r="Q77" s="46"/>
      <c r="R77" s="28" t="s">
        <v>3246</v>
      </c>
      <c r="S77" s="47"/>
      <c r="T77" s="46"/>
      <c r="U77" s="28" t="s">
        <v>31</v>
      </c>
    </row>
    <row r="78" spans="1:21" s="27" customFormat="1" x14ac:dyDescent="0.25">
      <c r="A78" s="28" t="s">
        <v>21</v>
      </c>
      <c r="B78" s="28" t="s">
        <v>3227</v>
      </c>
      <c r="C78" s="28" t="s">
        <v>21</v>
      </c>
      <c r="D78" s="29">
        <v>1</v>
      </c>
      <c r="E78" s="73">
        <v>12</v>
      </c>
      <c r="F78" s="45">
        <v>303</v>
      </c>
      <c r="G78" s="32"/>
      <c r="H78" s="32">
        <v>1.831</v>
      </c>
      <c r="I78" s="32">
        <v>1.8240000000000001</v>
      </c>
      <c r="J78" s="33">
        <f>IF(O78&lt;&gt;"",(H78-I78)/O78,"")</f>
        <v>6.9999999999998952E-3</v>
      </c>
      <c r="K78" s="34" t="str">
        <f t="shared" si="7"/>
        <v/>
      </c>
      <c r="L78" s="35">
        <f>F78/(O78*P78)</f>
        <v>7.5750000000000002</v>
      </c>
      <c r="M78" s="36" t="str">
        <f>IF(L78=0,"",IF(OR(L78&lt;7,L78&gt;7.8),"X",""))</f>
        <v/>
      </c>
      <c r="N78" s="37" t="s">
        <v>18</v>
      </c>
      <c r="O78" s="29">
        <v>1</v>
      </c>
      <c r="P78" s="38">
        <v>40</v>
      </c>
      <c r="Q78" s="46"/>
      <c r="R78" s="28" t="s">
        <v>3247</v>
      </c>
      <c r="S78" s="47"/>
      <c r="T78" s="46"/>
      <c r="U78" s="28" t="s">
        <v>31</v>
      </c>
    </row>
    <row r="79" spans="1:21" s="27" customFormat="1" x14ac:dyDescent="0.25">
      <c r="A79" s="28" t="s">
        <v>3263</v>
      </c>
      <c r="B79" s="28" t="s">
        <v>3264</v>
      </c>
      <c r="C79" s="28">
        <v>786992</v>
      </c>
      <c r="D79" s="29">
        <v>1</v>
      </c>
      <c r="E79" s="71">
        <v>71</v>
      </c>
      <c r="F79" s="45">
        <v>1203</v>
      </c>
      <c r="G79" s="32">
        <v>1.8440000000000001</v>
      </c>
      <c r="H79" s="32">
        <v>7.37</v>
      </c>
      <c r="I79" s="32">
        <v>7.35</v>
      </c>
      <c r="J79" s="33">
        <f>IF(O79&lt;&gt;"",(H79-I79)/O79,"")</f>
        <v>5.0000000000001155E-3</v>
      </c>
      <c r="K79" s="34" t="str">
        <f t="shared" si="7"/>
        <v/>
      </c>
      <c r="L79" s="35">
        <f>F79/(O79*P79)</f>
        <v>7.5187499999999998</v>
      </c>
      <c r="M79" s="36" t="str">
        <f>IF(L79=0,"",IF(OR(L79&lt;7,L79&gt;7.8),"X",""))</f>
        <v/>
      </c>
      <c r="N79" s="37" t="s">
        <v>24</v>
      </c>
      <c r="O79" s="29">
        <v>4</v>
      </c>
      <c r="P79" s="38">
        <v>40</v>
      </c>
      <c r="Q79" s="28"/>
      <c r="R79" s="28" t="s">
        <v>3274</v>
      </c>
      <c r="S79" s="91" t="s">
        <v>103</v>
      </c>
      <c r="T79" s="28"/>
      <c r="U79" s="28" t="s">
        <v>31</v>
      </c>
    </row>
    <row r="80" spans="1:21" s="27" customFormat="1" x14ac:dyDescent="0.25">
      <c r="A80" s="28" t="s">
        <v>21</v>
      </c>
      <c r="B80" s="28" t="s">
        <v>21</v>
      </c>
      <c r="C80" s="28" t="s">
        <v>21</v>
      </c>
      <c r="D80" s="29">
        <v>1</v>
      </c>
      <c r="E80" s="71"/>
      <c r="F80" s="31"/>
      <c r="G80" s="32">
        <v>1.845</v>
      </c>
      <c r="H80" s="32"/>
      <c r="I80" s="32"/>
      <c r="J80" s="33" t="str">
        <f t="shared" ref="J80:J118" si="8">IF(O80&lt;&gt;"",(H80-I80)/O80,"")</f>
        <v/>
      </c>
      <c r="K80" s="34"/>
      <c r="L80" s="35"/>
      <c r="M80" s="36" t="str">
        <f t="shared" ref="M80:M118" si="9">IF(L80=0,"",IF(OR(L80&lt;7.4,L80&gt;8),"X",""))</f>
        <v/>
      </c>
      <c r="N80" s="37"/>
      <c r="O80" s="29"/>
      <c r="P80" s="38"/>
      <c r="Q80" s="28"/>
      <c r="R80" s="28" t="s">
        <v>3275</v>
      </c>
      <c r="S80" s="91" t="s">
        <v>59</v>
      </c>
      <c r="T80" s="28"/>
      <c r="U80" s="28" t="s">
        <v>31</v>
      </c>
    </row>
    <row r="81" spans="1:21" s="27" customFormat="1" x14ac:dyDescent="0.25">
      <c r="A81" s="28" t="s">
        <v>21</v>
      </c>
      <c r="B81" s="28" t="s">
        <v>21</v>
      </c>
      <c r="C81" s="28" t="s">
        <v>21</v>
      </c>
      <c r="D81" s="29">
        <v>1</v>
      </c>
      <c r="E81" s="71"/>
      <c r="F81" s="31"/>
      <c r="G81" s="32">
        <v>1.839</v>
      </c>
      <c r="H81" s="32"/>
      <c r="I81" s="32"/>
      <c r="J81" s="33" t="str">
        <f t="shared" si="8"/>
        <v/>
      </c>
      <c r="K81" s="34"/>
      <c r="L81" s="35"/>
      <c r="M81" s="36" t="str">
        <f t="shared" si="9"/>
        <v/>
      </c>
      <c r="N81" s="37"/>
      <c r="O81" s="29"/>
      <c r="P81" s="38"/>
      <c r="Q81" s="28"/>
      <c r="R81" s="28" t="s">
        <v>3276</v>
      </c>
      <c r="S81" s="92" t="s">
        <v>21</v>
      </c>
      <c r="T81" s="28"/>
      <c r="U81" s="28" t="s">
        <v>31</v>
      </c>
    </row>
    <row r="82" spans="1:21" s="27" customFormat="1" x14ac:dyDescent="0.25">
      <c r="A82" s="28" t="s">
        <v>21</v>
      </c>
      <c r="B82" s="28" t="s">
        <v>21</v>
      </c>
      <c r="C82" s="28" t="s">
        <v>21</v>
      </c>
      <c r="D82" s="29">
        <v>1</v>
      </c>
      <c r="E82" s="71"/>
      <c r="F82" s="31"/>
      <c r="G82" s="32">
        <v>1.843</v>
      </c>
      <c r="H82" s="32"/>
      <c r="I82" s="32"/>
      <c r="J82" s="33" t="str">
        <f t="shared" si="8"/>
        <v/>
      </c>
      <c r="K82" s="34"/>
      <c r="L82" s="35"/>
      <c r="M82" s="36" t="str">
        <f t="shared" si="9"/>
        <v/>
      </c>
      <c r="N82" s="37"/>
      <c r="O82" s="29"/>
      <c r="P82" s="38"/>
      <c r="Q82" s="28"/>
      <c r="R82" s="28" t="s">
        <v>3277</v>
      </c>
      <c r="S82" s="92" t="s">
        <v>21</v>
      </c>
      <c r="T82" s="28"/>
      <c r="U82" s="28" t="s">
        <v>31</v>
      </c>
    </row>
    <row r="83" spans="1:21" s="27" customFormat="1" x14ac:dyDescent="0.25">
      <c r="A83" s="28" t="s">
        <v>21</v>
      </c>
      <c r="B83" s="28" t="s">
        <v>3265</v>
      </c>
      <c r="C83" s="28" t="s">
        <v>21</v>
      </c>
      <c r="D83" s="29">
        <v>1</v>
      </c>
      <c r="E83" s="71">
        <v>69</v>
      </c>
      <c r="F83" s="45">
        <v>1204</v>
      </c>
      <c r="G83" s="32">
        <v>1.855</v>
      </c>
      <c r="H83" s="32">
        <v>7.39</v>
      </c>
      <c r="I83" s="32">
        <v>7.36</v>
      </c>
      <c r="J83" s="33">
        <f>IF(O83&lt;&gt;"",(H83-I83)/O83,"")</f>
        <v>7.4999999999998401E-3</v>
      </c>
      <c r="K83" s="34" t="str">
        <f t="shared" si="7"/>
        <v/>
      </c>
      <c r="L83" s="35">
        <f>F83/(O83*P83)</f>
        <v>7.5250000000000004</v>
      </c>
      <c r="M83" s="36" t="str">
        <f>IF(L83=0,"",IF(OR(L83&lt;7,L83&gt;7.8),"X",""))</f>
        <v/>
      </c>
      <c r="N83" s="37" t="s">
        <v>24</v>
      </c>
      <c r="O83" s="29">
        <v>4</v>
      </c>
      <c r="P83" s="38">
        <v>40</v>
      </c>
      <c r="Q83" s="28"/>
      <c r="R83" s="28" t="s">
        <v>3279</v>
      </c>
      <c r="S83" s="92" t="s">
        <v>21</v>
      </c>
      <c r="T83" s="28"/>
      <c r="U83" s="28" t="s">
        <v>31</v>
      </c>
    </row>
    <row r="84" spans="1:21" s="27" customFormat="1" x14ac:dyDescent="0.25">
      <c r="A84" s="28" t="s">
        <v>21</v>
      </c>
      <c r="B84" s="28" t="s">
        <v>21</v>
      </c>
      <c r="C84" s="28" t="s">
        <v>21</v>
      </c>
      <c r="D84" s="29">
        <v>1</v>
      </c>
      <c r="E84" s="71"/>
      <c r="F84" s="31"/>
      <c r="G84" s="32">
        <v>1.8420000000000001</v>
      </c>
      <c r="H84" s="32"/>
      <c r="I84" s="32"/>
      <c r="J84" s="33" t="str">
        <f t="shared" si="8"/>
        <v/>
      </c>
      <c r="K84" s="34"/>
      <c r="L84" s="35"/>
      <c r="M84" s="36" t="str">
        <f t="shared" si="9"/>
        <v/>
      </c>
      <c r="N84" s="37"/>
      <c r="O84" s="29"/>
      <c r="P84" s="38"/>
      <c r="Q84" s="28"/>
      <c r="R84" s="28" t="s">
        <v>3281</v>
      </c>
      <c r="S84" s="92" t="s">
        <v>21</v>
      </c>
      <c r="T84" s="28"/>
      <c r="U84" s="28" t="s">
        <v>31</v>
      </c>
    </row>
    <row r="85" spans="1:21" s="27" customFormat="1" x14ac:dyDescent="0.25">
      <c r="A85" s="28" t="s">
        <v>21</v>
      </c>
      <c r="B85" s="28" t="s">
        <v>21</v>
      </c>
      <c r="C85" s="28" t="s">
        <v>21</v>
      </c>
      <c r="D85" s="29">
        <v>1</v>
      </c>
      <c r="E85" s="71"/>
      <c r="F85" s="31"/>
      <c r="G85" s="32">
        <v>1.8440000000000001</v>
      </c>
      <c r="H85" s="32"/>
      <c r="I85" s="32"/>
      <c r="J85" s="33" t="str">
        <f t="shared" si="8"/>
        <v/>
      </c>
      <c r="K85" s="34"/>
      <c r="L85" s="35"/>
      <c r="M85" s="36" t="str">
        <f t="shared" si="9"/>
        <v/>
      </c>
      <c r="N85" s="37"/>
      <c r="O85" s="29"/>
      <c r="P85" s="38"/>
      <c r="Q85" s="28"/>
      <c r="R85" s="28" t="s">
        <v>3282</v>
      </c>
      <c r="S85" s="92" t="s">
        <v>21</v>
      </c>
      <c r="T85" s="28"/>
      <c r="U85" s="28" t="s">
        <v>31</v>
      </c>
    </row>
    <row r="86" spans="1:21" s="27" customFormat="1" x14ac:dyDescent="0.25">
      <c r="A86" s="28" t="s">
        <v>21</v>
      </c>
      <c r="B86" s="28" t="s">
        <v>21</v>
      </c>
      <c r="C86" s="28" t="s">
        <v>21</v>
      </c>
      <c r="D86" s="29">
        <v>1</v>
      </c>
      <c r="E86" s="71"/>
      <c r="F86" s="31"/>
      <c r="G86" s="32">
        <v>1.845</v>
      </c>
      <c r="H86" s="32"/>
      <c r="I86" s="32"/>
      <c r="J86" s="33" t="str">
        <f t="shared" si="8"/>
        <v/>
      </c>
      <c r="K86" s="34"/>
      <c r="L86" s="35"/>
      <c r="M86" s="36" t="str">
        <f t="shared" si="9"/>
        <v/>
      </c>
      <c r="N86" s="37"/>
      <c r="O86" s="29"/>
      <c r="P86" s="38"/>
      <c r="Q86" s="28"/>
      <c r="R86" s="28" t="s">
        <v>3283</v>
      </c>
      <c r="S86" s="92" t="s">
        <v>21</v>
      </c>
      <c r="T86" s="28"/>
      <c r="U86" s="28" t="s">
        <v>31</v>
      </c>
    </row>
    <row r="87" spans="1:21" s="27" customFormat="1" x14ac:dyDescent="0.25">
      <c r="A87" s="28" t="s">
        <v>21</v>
      </c>
      <c r="B87" s="28" t="s">
        <v>3266</v>
      </c>
      <c r="C87" s="28" t="s">
        <v>21</v>
      </c>
      <c r="D87" s="29">
        <v>1</v>
      </c>
      <c r="E87" s="71">
        <v>82</v>
      </c>
      <c r="F87" s="45">
        <v>1201</v>
      </c>
      <c r="G87" s="32">
        <v>1.8360000000000001</v>
      </c>
      <c r="H87" s="32">
        <v>7.33</v>
      </c>
      <c r="I87" s="32">
        <v>7.3</v>
      </c>
      <c r="J87" s="33">
        <f>IF(O87&lt;&gt;"",(H87-I87)/O87,"")</f>
        <v>7.5000000000000622E-3</v>
      </c>
      <c r="K87" s="34" t="str">
        <f t="shared" si="7"/>
        <v/>
      </c>
      <c r="L87" s="35">
        <f>F87/(O87*P87)</f>
        <v>7.5062499999999996</v>
      </c>
      <c r="M87" s="36" t="str">
        <f>IF(L87=0,"",IF(OR(L87&lt;7,L87&gt;7.8),"X",""))</f>
        <v/>
      </c>
      <c r="N87" s="37" t="s">
        <v>24</v>
      </c>
      <c r="O87" s="29">
        <v>4</v>
      </c>
      <c r="P87" s="38">
        <v>40</v>
      </c>
      <c r="Q87" s="28"/>
      <c r="R87" s="28" t="s">
        <v>3284</v>
      </c>
      <c r="S87" s="92" t="s">
        <v>21</v>
      </c>
      <c r="T87" s="28"/>
      <c r="U87" s="28" t="s">
        <v>31</v>
      </c>
    </row>
    <row r="88" spans="1:21" s="27" customFormat="1" x14ac:dyDescent="0.25">
      <c r="A88" s="28" t="s">
        <v>21</v>
      </c>
      <c r="B88" s="28" t="s">
        <v>21</v>
      </c>
      <c r="C88" s="28" t="s">
        <v>21</v>
      </c>
      <c r="D88" s="29">
        <v>1</v>
      </c>
      <c r="E88" s="71"/>
      <c r="F88" s="31"/>
      <c r="G88" s="32">
        <v>1.8260000000000001</v>
      </c>
      <c r="H88" s="32"/>
      <c r="I88" s="32"/>
      <c r="J88" s="33" t="str">
        <f t="shared" si="8"/>
        <v/>
      </c>
      <c r="K88" s="34"/>
      <c r="L88" s="35"/>
      <c r="M88" s="36" t="str">
        <f t="shared" si="9"/>
        <v/>
      </c>
      <c r="N88" s="37"/>
      <c r="O88" s="29"/>
      <c r="P88" s="38"/>
      <c r="Q88" s="28"/>
      <c r="R88" s="28" t="s">
        <v>3285</v>
      </c>
      <c r="S88" s="92" t="s">
        <v>21</v>
      </c>
      <c r="T88" s="28"/>
      <c r="U88" s="28" t="s">
        <v>31</v>
      </c>
    </row>
    <row r="89" spans="1:21" s="27" customFormat="1" x14ac:dyDescent="0.25">
      <c r="A89" s="28" t="s">
        <v>21</v>
      </c>
      <c r="B89" s="28" t="s">
        <v>21</v>
      </c>
      <c r="C89" s="28" t="s">
        <v>21</v>
      </c>
      <c r="D89" s="29">
        <v>1</v>
      </c>
      <c r="E89" s="71"/>
      <c r="F89" s="31"/>
      <c r="G89" s="32">
        <v>1.829</v>
      </c>
      <c r="H89" s="32"/>
      <c r="I89" s="32"/>
      <c r="J89" s="33" t="str">
        <f t="shared" si="8"/>
        <v/>
      </c>
      <c r="K89" s="34"/>
      <c r="L89" s="35"/>
      <c r="M89" s="36" t="str">
        <f t="shared" si="9"/>
        <v/>
      </c>
      <c r="N89" s="37"/>
      <c r="O89" s="29"/>
      <c r="P89" s="38"/>
      <c r="Q89" s="28"/>
      <c r="R89" s="28" t="s">
        <v>3286</v>
      </c>
      <c r="S89" s="92" t="s">
        <v>21</v>
      </c>
      <c r="T89" s="28"/>
      <c r="U89" s="28" t="s">
        <v>31</v>
      </c>
    </row>
    <row r="90" spans="1:21" s="27" customFormat="1" x14ac:dyDescent="0.25">
      <c r="A90" s="28" t="s">
        <v>21</v>
      </c>
      <c r="B90" s="28" t="s">
        <v>21</v>
      </c>
      <c r="C90" s="28" t="s">
        <v>21</v>
      </c>
      <c r="D90" s="29">
        <v>1</v>
      </c>
      <c r="E90" s="71"/>
      <c r="F90" s="31"/>
      <c r="G90" s="32">
        <v>1.831</v>
      </c>
      <c r="H90" s="32"/>
      <c r="I90" s="32"/>
      <c r="J90" s="33" t="str">
        <f t="shared" si="8"/>
        <v/>
      </c>
      <c r="K90" s="34"/>
      <c r="L90" s="35"/>
      <c r="M90" s="36" t="str">
        <f t="shared" si="9"/>
        <v/>
      </c>
      <c r="N90" s="37"/>
      <c r="O90" s="29"/>
      <c r="P90" s="38"/>
      <c r="Q90" s="28"/>
      <c r="R90" s="28" t="s">
        <v>3287</v>
      </c>
      <c r="S90" s="92" t="s">
        <v>21</v>
      </c>
      <c r="T90" s="28"/>
      <c r="U90" s="28" t="s">
        <v>31</v>
      </c>
    </row>
    <row r="91" spans="1:21" s="27" customFormat="1" x14ac:dyDescent="0.25">
      <c r="A91" s="28" t="s">
        <v>21</v>
      </c>
      <c r="B91" s="28" t="s">
        <v>3267</v>
      </c>
      <c r="C91" s="28" t="s">
        <v>21</v>
      </c>
      <c r="D91" s="29">
        <v>1</v>
      </c>
      <c r="E91" s="73">
        <v>20</v>
      </c>
      <c r="F91" s="45">
        <v>1204</v>
      </c>
      <c r="G91" s="32">
        <v>1.8340000000000001</v>
      </c>
      <c r="H91" s="32">
        <v>7.34</v>
      </c>
      <c r="I91" s="32">
        <v>7.31</v>
      </c>
      <c r="J91" s="33">
        <f>IF(O91&lt;&gt;"",(H91-I91)/O91,"")</f>
        <v>7.5000000000000622E-3</v>
      </c>
      <c r="K91" s="34" t="str">
        <f t="shared" si="7"/>
        <v/>
      </c>
      <c r="L91" s="35">
        <f>F91/(O91*P91)</f>
        <v>7.5250000000000004</v>
      </c>
      <c r="M91" s="36" t="str">
        <f>IF(L91=0,"",IF(OR(L91&lt;7,L91&gt;7.8),"X",""))</f>
        <v/>
      </c>
      <c r="N91" s="37" t="s">
        <v>24</v>
      </c>
      <c r="O91" s="29">
        <v>4</v>
      </c>
      <c r="P91" s="38">
        <v>40</v>
      </c>
      <c r="Q91" s="28"/>
      <c r="R91" s="28" t="s">
        <v>3288</v>
      </c>
      <c r="S91" s="47"/>
      <c r="T91" s="28"/>
      <c r="U91" s="28" t="s">
        <v>31</v>
      </c>
    </row>
    <row r="92" spans="1:21" s="27" customFormat="1" x14ac:dyDescent="0.25">
      <c r="A92" s="28" t="s">
        <v>21</v>
      </c>
      <c r="B92" s="28" t="s">
        <v>21</v>
      </c>
      <c r="C92" s="28" t="s">
        <v>21</v>
      </c>
      <c r="D92" s="29">
        <v>1</v>
      </c>
      <c r="E92" s="73"/>
      <c r="F92" s="31"/>
      <c r="G92" s="32">
        <v>1.839</v>
      </c>
      <c r="H92" s="32"/>
      <c r="I92" s="32"/>
      <c r="J92" s="33" t="str">
        <f t="shared" si="8"/>
        <v/>
      </c>
      <c r="K92" s="34"/>
      <c r="L92" s="35"/>
      <c r="M92" s="36" t="str">
        <f t="shared" si="9"/>
        <v/>
      </c>
      <c r="N92" s="37"/>
      <c r="O92" s="29"/>
      <c r="P92" s="38"/>
      <c r="Q92" s="28"/>
      <c r="R92" s="28" t="s">
        <v>3278</v>
      </c>
      <c r="S92" s="47"/>
      <c r="T92" s="28"/>
      <c r="U92" s="28" t="s">
        <v>31</v>
      </c>
    </row>
    <row r="93" spans="1:21" s="27" customFormat="1" x14ac:dyDescent="0.25">
      <c r="A93" s="28" t="s">
        <v>21</v>
      </c>
      <c r="B93" s="28" t="s">
        <v>21</v>
      </c>
      <c r="C93" s="28" t="s">
        <v>21</v>
      </c>
      <c r="D93" s="29">
        <v>1</v>
      </c>
      <c r="E93" s="73"/>
      <c r="F93" s="31"/>
      <c r="G93" s="32">
        <v>1.835</v>
      </c>
      <c r="H93" s="32"/>
      <c r="I93" s="32"/>
      <c r="J93" s="33" t="str">
        <f t="shared" si="8"/>
        <v/>
      </c>
      <c r="K93" s="34"/>
      <c r="L93" s="35"/>
      <c r="M93" s="36" t="str">
        <f t="shared" si="9"/>
        <v/>
      </c>
      <c r="N93" s="37"/>
      <c r="O93" s="29"/>
      <c r="P93" s="38"/>
      <c r="Q93" s="28"/>
      <c r="R93" s="28" t="s">
        <v>3289</v>
      </c>
      <c r="S93" s="47"/>
      <c r="T93" s="28"/>
      <c r="U93" s="28" t="s">
        <v>31</v>
      </c>
    </row>
    <row r="94" spans="1:21" s="27" customFormat="1" x14ac:dyDescent="0.25">
      <c r="A94" s="28" t="s">
        <v>21</v>
      </c>
      <c r="B94" s="28" t="s">
        <v>21</v>
      </c>
      <c r="C94" s="28" t="s">
        <v>21</v>
      </c>
      <c r="D94" s="29">
        <v>1</v>
      </c>
      <c r="E94" s="73"/>
      <c r="F94" s="31"/>
      <c r="G94" s="32">
        <v>1.8320000000000001</v>
      </c>
      <c r="H94" s="32"/>
      <c r="I94" s="32"/>
      <c r="J94" s="33" t="str">
        <f t="shared" si="8"/>
        <v/>
      </c>
      <c r="K94" s="34"/>
      <c r="L94" s="35"/>
      <c r="M94" s="36" t="str">
        <f t="shared" si="9"/>
        <v/>
      </c>
      <c r="N94" s="37"/>
      <c r="O94" s="29"/>
      <c r="P94" s="38"/>
      <c r="Q94" s="28"/>
      <c r="R94" s="28" t="s">
        <v>3290</v>
      </c>
      <c r="S94" s="47"/>
      <c r="T94" s="28"/>
      <c r="U94" s="28" t="s">
        <v>31</v>
      </c>
    </row>
    <row r="95" spans="1:21" s="27" customFormat="1" x14ac:dyDescent="0.25">
      <c r="A95" s="28" t="s">
        <v>21</v>
      </c>
      <c r="B95" s="28" t="s">
        <v>3268</v>
      </c>
      <c r="C95" s="28" t="s">
        <v>21</v>
      </c>
      <c r="D95" s="29">
        <v>1</v>
      </c>
      <c r="E95" s="73">
        <v>12</v>
      </c>
      <c r="F95" s="45">
        <v>1208</v>
      </c>
      <c r="G95" s="32">
        <v>1.8420000000000001</v>
      </c>
      <c r="H95" s="32">
        <v>7.32</v>
      </c>
      <c r="I95" s="32">
        <v>7.29</v>
      </c>
      <c r="J95" s="33">
        <f>IF(O95&lt;&gt;"",(H95-I95)/O95,"")</f>
        <v>7.5000000000000622E-3</v>
      </c>
      <c r="K95" s="34" t="str">
        <f t="shared" si="7"/>
        <v/>
      </c>
      <c r="L95" s="35">
        <f>F95/(O95*P95)</f>
        <v>7.55</v>
      </c>
      <c r="M95" s="36" t="str">
        <f>IF(L95=0,"",IF(OR(L95&lt;7,L95&gt;7.8),"X",""))</f>
        <v/>
      </c>
      <c r="N95" s="37" t="s">
        <v>24</v>
      </c>
      <c r="O95" s="29">
        <v>4</v>
      </c>
      <c r="P95" s="38">
        <v>40</v>
      </c>
      <c r="Q95" s="28"/>
      <c r="R95" s="28" t="s">
        <v>3280</v>
      </c>
      <c r="S95" s="47"/>
      <c r="T95" s="28"/>
      <c r="U95" s="28" t="s">
        <v>31</v>
      </c>
    </row>
    <row r="96" spans="1:21" s="27" customFormat="1" x14ac:dyDescent="0.25">
      <c r="A96" s="28" t="s">
        <v>21</v>
      </c>
      <c r="B96" s="28" t="s">
        <v>21</v>
      </c>
      <c r="C96" s="28" t="s">
        <v>21</v>
      </c>
      <c r="D96" s="29">
        <v>1</v>
      </c>
      <c r="E96" s="73"/>
      <c r="F96" s="31"/>
      <c r="G96" s="32">
        <v>1.839</v>
      </c>
      <c r="H96" s="32"/>
      <c r="I96" s="32"/>
      <c r="J96" s="33" t="str">
        <f t="shared" si="8"/>
        <v/>
      </c>
      <c r="K96" s="34"/>
      <c r="L96" s="35"/>
      <c r="M96" s="36" t="str">
        <f t="shared" si="9"/>
        <v/>
      </c>
      <c r="N96" s="37"/>
      <c r="O96" s="29"/>
      <c r="P96" s="38"/>
      <c r="Q96" s="28"/>
      <c r="R96" s="28" t="s">
        <v>3291</v>
      </c>
      <c r="S96" s="47"/>
      <c r="T96" s="28"/>
      <c r="U96" s="28" t="s">
        <v>31</v>
      </c>
    </row>
    <row r="97" spans="1:21" s="27" customFormat="1" x14ac:dyDescent="0.25">
      <c r="A97" s="28" t="s">
        <v>21</v>
      </c>
      <c r="B97" s="28" t="s">
        <v>21</v>
      </c>
      <c r="C97" s="28">
        <v>786992</v>
      </c>
      <c r="D97" s="29">
        <v>1</v>
      </c>
      <c r="E97" s="73"/>
      <c r="F97" s="31"/>
      <c r="G97" s="32">
        <v>1.8220000000000001</v>
      </c>
      <c r="H97" s="32"/>
      <c r="I97" s="32"/>
      <c r="J97" s="33" t="str">
        <f t="shared" si="8"/>
        <v/>
      </c>
      <c r="K97" s="34"/>
      <c r="L97" s="35"/>
      <c r="M97" s="36" t="str">
        <f t="shared" si="9"/>
        <v/>
      </c>
      <c r="N97" s="37"/>
      <c r="O97" s="29"/>
      <c r="P97" s="38"/>
      <c r="Q97" s="28"/>
      <c r="R97" s="28" t="s">
        <v>3292</v>
      </c>
      <c r="S97" s="47"/>
      <c r="T97" s="28"/>
      <c r="U97" s="28" t="s">
        <v>31</v>
      </c>
    </row>
    <row r="98" spans="1:21" s="27" customFormat="1" x14ac:dyDescent="0.25">
      <c r="A98" s="28" t="s">
        <v>21</v>
      </c>
      <c r="B98" s="28" t="s">
        <v>21</v>
      </c>
      <c r="C98" s="28" t="s">
        <v>21</v>
      </c>
      <c r="D98" s="29">
        <v>1</v>
      </c>
      <c r="E98" s="73"/>
      <c r="F98" s="31"/>
      <c r="G98" s="32">
        <v>1.819</v>
      </c>
      <c r="H98" s="32"/>
      <c r="I98" s="32"/>
      <c r="J98" s="33" t="str">
        <f t="shared" si="8"/>
        <v/>
      </c>
      <c r="K98" s="34"/>
      <c r="L98" s="35"/>
      <c r="M98" s="36" t="str">
        <f t="shared" si="9"/>
        <v/>
      </c>
      <c r="N98" s="37"/>
      <c r="O98" s="29"/>
      <c r="P98" s="38"/>
      <c r="Q98" s="28"/>
      <c r="R98" s="28" t="s">
        <v>3293</v>
      </c>
      <c r="S98" s="47"/>
      <c r="T98" s="28"/>
      <c r="U98" s="28" t="s">
        <v>31</v>
      </c>
    </row>
    <row r="99" spans="1:21" s="27" customFormat="1" x14ac:dyDescent="0.25">
      <c r="A99" s="28" t="s">
        <v>21</v>
      </c>
      <c r="B99" s="28" t="s">
        <v>3269</v>
      </c>
      <c r="C99" s="28" t="s">
        <v>21</v>
      </c>
      <c r="D99" s="29">
        <v>1</v>
      </c>
      <c r="E99" s="71">
        <v>68</v>
      </c>
      <c r="F99" s="45">
        <v>1204</v>
      </c>
      <c r="G99" s="32">
        <v>1.849</v>
      </c>
      <c r="H99" s="32">
        <v>7.39</v>
      </c>
      <c r="I99" s="32">
        <v>7.36</v>
      </c>
      <c r="J99" s="33">
        <f>IF(O99&lt;&gt;"",(H99-I99)/O99,"")</f>
        <v>7.4999999999998401E-3</v>
      </c>
      <c r="K99" s="34" t="str">
        <f t="shared" si="7"/>
        <v/>
      </c>
      <c r="L99" s="35">
        <f>F99/(O99*P99)</f>
        <v>7.5250000000000004</v>
      </c>
      <c r="M99" s="36" t="str">
        <f>IF(L99=0,"",IF(OR(L99&lt;7,L99&gt;7.8),"X",""))</f>
        <v/>
      </c>
      <c r="N99" s="37" t="s">
        <v>24</v>
      </c>
      <c r="O99" s="29">
        <v>4</v>
      </c>
      <c r="P99" s="38">
        <v>40</v>
      </c>
      <c r="Q99" s="28"/>
      <c r="R99" s="28" t="s">
        <v>3294</v>
      </c>
      <c r="S99" s="91" t="s">
        <v>103</v>
      </c>
      <c r="T99" s="28"/>
      <c r="U99" s="28" t="s">
        <v>31</v>
      </c>
    </row>
    <row r="100" spans="1:21" s="27" customFormat="1" x14ac:dyDescent="0.25">
      <c r="A100" s="28" t="s">
        <v>21</v>
      </c>
      <c r="B100" s="28" t="s">
        <v>21</v>
      </c>
      <c r="C100" s="28" t="s">
        <v>21</v>
      </c>
      <c r="D100" s="29">
        <v>1</v>
      </c>
      <c r="E100" s="71"/>
      <c r="F100" s="31"/>
      <c r="G100" s="32">
        <v>1.845</v>
      </c>
      <c r="H100" s="32"/>
      <c r="I100" s="32"/>
      <c r="J100" s="33" t="str">
        <f t="shared" si="8"/>
        <v/>
      </c>
      <c r="K100" s="34"/>
      <c r="L100" s="35"/>
      <c r="M100" s="36" t="str">
        <f t="shared" si="9"/>
        <v/>
      </c>
      <c r="N100" s="37"/>
      <c r="O100" s="29"/>
      <c r="P100" s="38"/>
      <c r="Q100" s="28"/>
      <c r="R100" s="28" t="s">
        <v>3295</v>
      </c>
      <c r="S100" s="91" t="s">
        <v>59</v>
      </c>
      <c r="T100" s="28"/>
      <c r="U100" s="28" t="s">
        <v>31</v>
      </c>
    </row>
    <row r="101" spans="1:21" s="27" customFormat="1" x14ac:dyDescent="0.25">
      <c r="A101" s="28" t="s">
        <v>21</v>
      </c>
      <c r="B101" s="28" t="s">
        <v>21</v>
      </c>
      <c r="C101" s="28" t="s">
        <v>21</v>
      </c>
      <c r="D101" s="29">
        <v>1</v>
      </c>
      <c r="E101" s="71"/>
      <c r="F101" s="31"/>
      <c r="G101" s="32">
        <v>1.851</v>
      </c>
      <c r="H101" s="32"/>
      <c r="I101" s="32"/>
      <c r="J101" s="33" t="str">
        <f t="shared" si="8"/>
        <v/>
      </c>
      <c r="K101" s="34"/>
      <c r="L101" s="35"/>
      <c r="M101" s="36" t="str">
        <f t="shared" si="9"/>
        <v/>
      </c>
      <c r="N101" s="37"/>
      <c r="O101" s="29"/>
      <c r="P101" s="38"/>
      <c r="Q101" s="28"/>
      <c r="R101" s="28" t="s">
        <v>3296</v>
      </c>
      <c r="S101" s="92" t="s">
        <v>21</v>
      </c>
      <c r="T101" s="28"/>
      <c r="U101" s="28" t="s">
        <v>31</v>
      </c>
    </row>
    <row r="102" spans="1:21" s="27" customFormat="1" x14ac:dyDescent="0.25">
      <c r="A102" s="28" t="s">
        <v>21</v>
      </c>
      <c r="B102" s="28" t="s">
        <v>21</v>
      </c>
      <c r="C102" s="28" t="s">
        <v>21</v>
      </c>
      <c r="D102" s="29">
        <v>1</v>
      </c>
      <c r="E102" s="71"/>
      <c r="F102" s="31"/>
      <c r="G102" s="32">
        <v>1.8420000000000001</v>
      </c>
      <c r="H102" s="32"/>
      <c r="I102" s="32"/>
      <c r="J102" s="33" t="str">
        <f t="shared" si="8"/>
        <v/>
      </c>
      <c r="K102" s="34"/>
      <c r="L102" s="35"/>
      <c r="M102" s="36" t="str">
        <f t="shared" si="9"/>
        <v/>
      </c>
      <c r="N102" s="37"/>
      <c r="O102" s="29"/>
      <c r="P102" s="38"/>
      <c r="Q102" s="28"/>
      <c r="R102" s="28" t="s">
        <v>3298</v>
      </c>
      <c r="S102" s="92" t="s">
        <v>21</v>
      </c>
      <c r="T102" s="28"/>
      <c r="U102" s="28" t="s">
        <v>31</v>
      </c>
    </row>
    <row r="103" spans="1:21" s="27" customFormat="1" x14ac:dyDescent="0.25">
      <c r="A103" s="28" t="s">
        <v>21</v>
      </c>
      <c r="B103" s="28" t="s">
        <v>3270</v>
      </c>
      <c r="C103" s="28" t="s">
        <v>21</v>
      </c>
      <c r="D103" s="29">
        <v>1</v>
      </c>
      <c r="E103" s="71">
        <v>58</v>
      </c>
      <c r="F103" s="45">
        <v>1207</v>
      </c>
      <c r="G103" s="32">
        <v>1.8380000000000001</v>
      </c>
      <c r="H103" s="32">
        <v>7.34</v>
      </c>
      <c r="I103" s="32">
        <v>7.31</v>
      </c>
      <c r="J103" s="33">
        <f>IF(O103&lt;&gt;"",(H103-I103)/O103,"")</f>
        <v>7.5000000000000622E-3</v>
      </c>
      <c r="K103" s="34" t="str">
        <f t="shared" si="7"/>
        <v/>
      </c>
      <c r="L103" s="35">
        <f>F103/(O103*P103)</f>
        <v>7.5437500000000002</v>
      </c>
      <c r="M103" s="36" t="str">
        <f>IF(L103=0,"",IF(OR(L103&lt;7,L103&gt;7.8),"X",""))</f>
        <v/>
      </c>
      <c r="N103" s="37" t="s">
        <v>24</v>
      </c>
      <c r="O103" s="29">
        <v>4</v>
      </c>
      <c r="P103" s="38">
        <v>40</v>
      </c>
      <c r="Q103" s="28"/>
      <c r="R103" s="28" t="s">
        <v>3297</v>
      </c>
      <c r="S103" s="92" t="s">
        <v>21</v>
      </c>
      <c r="T103" s="28"/>
      <c r="U103" s="28" t="s">
        <v>31</v>
      </c>
    </row>
    <row r="104" spans="1:21" s="27" customFormat="1" x14ac:dyDescent="0.25">
      <c r="A104" s="28" t="s">
        <v>21</v>
      </c>
      <c r="B104" s="28" t="s">
        <v>21</v>
      </c>
      <c r="C104" s="28" t="s">
        <v>21</v>
      </c>
      <c r="D104" s="29">
        <v>1</v>
      </c>
      <c r="E104" s="71"/>
      <c r="F104" s="31"/>
      <c r="G104" s="32">
        <v>1.833</v>
      </c>
      <c r="H104" s="32"/>
      <c r="I104" s="32"/>
      <c r="J104" s="33" t="str">
        <f t="shared" si="8"/>
        <v/>
      </c>
      <c r="K104" s="34"/>
      <c r="L104" s="35"/>
      <c r="M104" s="36" t="str">
        <f t="shared" si="9"/>
        <v/>
      </c>
      <c r="N104" s="37"/>
      <c r="O104" s="29"/>
      <c r="P104" s="38"/>
      <c r="Q104" s="28"/>
      <c r="R104" s="28" t="s">
        <v>3300</v>
      </c>
      <c r="S104" s="92" t="s">
        <v>21</v>
      </c>
      <c r="T104" s="28"/>
      <c r="U104" s="28" t="s">
        <v>31</v>
      </c>
    </row>
    <row r="105" spans="1:21" s="27" customFormat="1" x14ac:dyDescent="0.25">
      <c r="A105" s="28" t="s">
        <v>21</v>
      </c>
      <c r="B105" s="28" t="s">
        <v>21</v>
      </c>
      <c r="C105" s="28" t="s">
        <v>21</v>
      </c>
      <c r="D105" s="29">
        <v>1</v>
      </c>
      <c r="E105" s="71"/>
      <c r="F105" s="31"/>
      <c r="G105" s="32">
        <v>1.8360000000000001</v>
      </c>
      <c r="H105" s="32"/>
      <c r="I105" s="32"/>
      <c r="J105" s="33" t="str">
        <f t="shared" si="8"/>
        <v/>
      </c>
      <c r="K105" s="34"/>
      <c r="L105" s="35"/>
      <c r="M105" s="36" t="str">
        <f t="shared" si="9"/>
        <v/>
      </c>
      <c r="N105" s="37"/>
      <c r="O105" s="29"/>
      <c r="P105" s="38"/>
      <c r="Q105" s="28"/>
      <c r="R105" s="28" t="s">
        <v>3299</v>
      </c>
      <c r="S105" s="92" t="s">
        <v>21</v>
      </c>
      <c r="T105" s="28"/>
      <c r="U105" s="28" t="s">
        <v>31</v>
      </c>
    </row>
    <row r="106" spans="1:21" s="27" customFormat="1" x14ac:dyDescent="0.25">
      <c r="A106" s="28" t="s">
        <v>21</v>
      </c>
      <c r="B106" s="28" t="s">
        <v>21</v>
      </c>
      <c r="C106" s="28" t="s">
        <v>21</v>
      </c>
      <c r="D106" s="29">
        <v>1</v>
      </c>
      <c r="E106" s="71"/>
      <c r="F106" s="31"/>
      <c r="G106" s="32">
        <v>1.8340000000000001</v>
      </c>
      <c r="H106" s="32"/>
      <c r="I106" s="32"/>
      <c r="J106" s="33" t="str">
        <f t="shared" si="8"/>
        <v/>
      </c>
      <c r="K106" s="34"/>
      <c r="L106" s="35"/>
      <c r="M106" s="36" t="str">
        <f t="shared" si="9"/>
        <v/>
      </c>
      <c r="N106" s="37"/>
      <c r="O106" s="29"/>
      <c r="P106" s="38"/>
      <c r="Q106" s="28"/>
      <c r="R106" s="28" t="s">
        <v>3301</v>
      </c>
      <c r="S106" s="92" t="s">
        <v>21</v>
      </c>
      <c r="T106" s="28"/>
      <c r="U106" s="28" t="s">
        <v>31</v>
      </c>
    </row>
    <row r="107" spans="1:21" s="27" customFormat="1" x14ac:dyDescent="0.25">
      <c r="A107" s="28" t="s">
        <v>21</v>
      </c>
      <c r="B107" s="28" t="s">
        <v>3271</v>
      </c>
      <c r="C107" s="28">
        <v>786992</v>
      </c>
      <c r="D107" s="29">
        <v>1</v>
      </c>
      <c r="E107" s="71">
        <v>51</v>
      </c>
      <c r="F107" s="45">
        <v>1206</v>
      </c>
      <c r="G107" s="32">
        <v>1.8260000000000001</v>
      </c>
      <c r="H107" s="32">
        <v>7.31</v>
      </c>
      <c r="I107" s="32">
        <v>7.28</v>
      </c>
      <c r="J107" s="33">
        <f>IF(O107&lt;&gt;"",(H107-I107)/O107,"")</f>
        <v>7.4999999999998401E-3</v>
      </c>
      <c r="K107" s="34" t="str">
        <f t="shared" si="7"/>
        <v/>
      </c>
      <c r="L107" s="35">
        <f>F107/(O107*P107)</f>
        <v>7.5374999999999996</v>
      </c>
      <c r="M107" s="36" t="str">
        <f>IF(L107=0,"",IF(OR(L107&lt;7,L107&gt;7.8),"X",""))</f>
        <v/>
      </c>
      <c r="N107" s="37" t="s">
        <v>24</v>
      </c>
      <c r="O107" s="29">
        <v>4</v>
      </c>
      <c r="P107" s="38">
        <v>40</v>
      </c>
      <c r="Q107" s="28"/>
      <c r="R107" s="28" t="s">
        <v>3302</v>
      </c>
      <c r="S107" s="92" t="s">
        <v>21</v>
      </c>
      <c r="T107" s="28"/>
      <c r="U107" s="28" t="s">
        <v>31</v>
      </c>
    </row>
    <row r="108" spans="1:21" s="27" customFormat="1" x14ac:dyDescent="0.25">
      <c r="A108" s="28" t="s">
        <v>21</v>
      </c>
      <c r="B108" s="28" t="s">
        <v>21</v>
      </c>
      <c r="C108" s="28" t="s">
        <v>21</v>
      </c>
      <c r="D108" s="29">
        <v>1</v>
      </c>
      <c r="E108" s="71"/>
      <c r="F108" s="31"/>
      <c r="G108" s="32">
        <v>1.825</v>
      </c>
      <c r="H108" s="32"/>
      <c r="I108" s="32"/>
      <c r="J108" s="33" t="str">
        <f t="shared" si="8"/>
        <v/>
      </c>
      <c r="K108" s="34"/>
      <c r="L108" s="35"/>
      <c r="M108" s="36" t="str">
        <f t="shared" si="9"/>
        <v/>
      </c>
      <c r="N108" s="37"/>
      <c r="O108" s="29"/>
      <c r="P108" s="38"/>
      <c r="Q108" s="28"/>
      <c r="R108" s="28" t="s">
        <v>3303</v>
      </c>
      <c r="S108" s="92" t="s">
        <v>21</v>
      </c>
      <c r="T108" s="28"/>
      <c r="U108" s="28" t="s">
        <v>31</v>
      </c>
    </row>
    <row r="109" spans="1:21" s="27" customFormat="1" x14ac:dyDescent="0.25">
      <c r="A109" s="28" t="s">
        <v>21</v>
      </c>
      <c r="B109" s="28" t="s">
        <v>21</v>
      </c>
      <c r="C109" s="28" t="s">
        <v>21</v>
      </c>
      <c r="D109" s="29">
        <v>1</v>
      </c>
      <c r="E109" s="71"/>
      <c r="F109" s="31"/>
      <c r="G109" s="32">
        <v>1.829</v>
      </c>
      <c r="H109" s="32"/>
      <c r="I109" s="32"/>
      <c r="J109" s="33" t="str">
        <f t="shared" si="8"/>
        <v/>
      </c>
      <c r="K109" s="34"/>
      <c r="L109" s="35"/>
      <c r="M109" s="36" t="str">
        <f t="shared" si="9"/>
        <v/>
      </c>
      <c r="N109" s="37"/>
      <c r="O109" s="29"/>
      <c r="P109" s="38"/>
      <c r="Q109" s="28"/>
      <c r="R109" s="28" t="s">
        <v>3304</v>
      </c>
      <c r="S109" s="92" t="s">
        <v>21</v>
      </c>
      <c r="T109" s="28"/>
      <c r="U109" s="28" t="s">
        <v>31</v>
      </c>
    </row>
    <row r="110" spans="1:21" s="27" customFormat="1" x14ac:dyDescent="0.25">
      <c r="A110" s="28" t="s">
        <v>21</v>
      </c>
      <c r="B110" s="28" t="s">
        <v>21</v>
      </c>
      <c r="C110" s="28" t="s">
        <v>21</v>
      </c>
      <c r="D110" s="29">
        <v>1</v>
      </c>
      <c r="E110" s="71"/>
      <c r="F110" s="31"/>
      <c r="G110" s="32">
        <v>1.831</v>
      </c>
      <c r="H110" s="32"/>
      <c r="I110" s="32"/>
      <c r="J110" s="33" t="str">
        <f t="shared" si="8"/>
        <v/>
      </c>
      <c r="K110" s="34"/>
      <c r="L110" s="35"/>
      <c r="M110" s="36" t="str">
        <f t="shared" si="9"/>
        <v/>
      </c>
      <c r="N110" s="37"/>
      <c r="O110" s="29"/>
      <c r="P110" s="38"/>
      <c r="Q110" s="28"/>
      <c r="R110" s="28" t="s">
        <v>3306</v>
      </c>
      <c r="S110" s="92" t="s">
        <v>21</v>
      </c>
      <c r="T110" s="28"/>
      <c r="U110" s="28" t="s">
        <v>31</v>
      </c>
    </row>
    <row r="111" spans="1:21" s="27" customFormat="1" x14ac:dyDescent="0.25">
      <c r="A111" s="28" t="s">
        <v>21</v>
      </c>
      <c r="B111" s="28" t="s">
        <v>3272</v>
      </c>
      <c r="C111" s="28" t="s">
        <v>21</v>
      </c>
      <c r="D111" s="29">
        <v>1</v>
      </c>
      <c r="E111" s="73">
        <v>15</v>
      </c>
      <c r="F111" s="45">
        <v>1205</v>
      </c>
      <c r="G111" s="32">
        <v>1.831</v>
      </c>
      <c r="H111" s="32">
        <v>7.33</v>
      </c>
      <c r="I111" s="32">
        <v>7.3</v>
      </c>
      <c r="J111" s="33">
        <f>IF(O111&lt;&gt;"",(H111-I111)/O111,"")</f>
        <v>7.5000000000000622E-3</v>
      </c>
      <c r="K111" s="34" t="str">
        <f t="shared" si="7"/>
        <v/>
      </c>
      <c r="L111" s="35">
        <f>F111/(O111*P111)</f>
        <v>7.53125</v>
      </c>
      <c r="M111" s="36" t="str">
        <f>IF(L111=0,"",IF(OR(L111&lt;7,L111&gt;7.8),"X",""))</f>
        <v/>
      </c>
      <c r="N111" s="37" t="s">
        <v>24</v>
      </c>
      <c r="O111" s="29">
        <v>4</v>
      </c>
      <c r="P111" s="38">
        <v>40</v>
      </c>
      <c r="Q111" s="28"/>
      <c r="R111" s="28" t="s">
        <v>3305</v>
      </c>
      <c r="S111" s="47"/>
      <c r="T111" s="28"/>
      <c r="U111" s="28" t="s">
        <v>31</v>
      </c>
    </row>
    <row r="112" spans="1:21" s="27" customFormat="1" x14ac:dyDescent="0.25">
      <c r="A112" s="28" t="s">
        <v>21</v>
      </c>
      <c r="B112" s="28" t="s">
        <v>21</v>
      </c>
      <c r="C112" s="28" t="s">
        <v>21</v>
      </c>
      <c r="D112" s="29">
        <v>1</v>
      </c>
      <c r="E112" s="73"/>
      <c r="F112" s="31"/>
      <c r="G112" s="32">
        <v>1.8340000000000001</v>
      </c>
      <c r="H112" s="32"/>
      <c r="I112" s="32"/>
      <c r="J112" s="33" t="str">
        <f t="shared" si="8"/>
        <v/>
      </c>
      <c r="K112" s="34"/>
      <c r="L112" s="35"/>
      <c r="M112" s="36" t="str">
        <f t="shared" si="9"/>
        <v/>
      </c>
      <c r="N112" s="37"/>
      <c r="O112" s="29"/>
      <c r="P112" s="38"/>
      <c r="Q112" s="28"/>
      <c r="R112" s="28" t="s">
        <v>3308</v>
      </c>
      <c r="S112" s="47"/>
      <c r="T112" s="28"/>
      <c r="U112" s="28" t="s">
        <v>31</v>
      </c>
    </row>
    <row r="113" spans="1:21" s="27" customFormat="1" x14ac:dyDescent="0.25">
      <c r="A113" s="28" t="s">
        <v>21</v>
      </c>
      <c r="B113" s="28" t="s">
        <v>21</v>
      </c>
      <c r="C113" s="28" t="s">
        <v>21</v>
      </c>
      <c r="D113" s="29">
        <v>1</v>
      </c>
      <c r="E113" s="73"/>
      <c r="F113" s="31"/>
      <c r="G113" s="32">
        <v>1.83</v>
      </c>
      <c r="H113" s="32"/>
      <c r="I113" s="32"/>
      <c r="J113" s="33" t="str">
        <f t="shared" si="8"/>
        <v/>
      </c>
      <c r="K113" s="34"/>
      <c r="L113" s="35"/>
      <c r="M113" s="36" t="str">
        <f t="shared" si="9"/>
        <v/>
      </c>
      <c r="N113" s="37"/>
      <c r="O113" s="29"/>
      <c r="P113" s="38"/>
      <c r="Q113" s="28"/>
      <c r="R113" s="28" t="s">
        <v>3307</v>
      </c>
      <c r="S113" s="47"/>
      <c r="T113" s="28"/>
      <c r="U113" s="28" t="s">
        <v>31</v>
      </c>
    </row>
    <row r="114" spans="1:21" s="27" customFormat="1" x14ac:dyDescent="0.25">
      <c r="A114" s="28" t="s">
        <v>21</v>
      </c>
      <c r="B114" s="28" t="s">
        <v>21</v>
      </c>
      <c r="C114" s="28" t="s">
        <v>21</v>
      </c>
      <c r="D114" s="29">
        <v>1</v>
      </c>
      <c r="E114" s="73"/>
      <c r="F114" s="31"/>
      <c r="G114" s="32">
        <v>1.8320000000000001</v>
      </c>
      <c r="H114" s="32"/>
      <c r="I114" s="32"/>
      <c r="J114" s="33" t="str">
        <f t="shared" si="8"/>
        <v/>
      </c>
      <c r="K114" s="34"/>
      <c r="L114" s="35"/>
      <c r="M114" s="36" t="str">
        <f t="shared" si="9"/>
        <v/>
      </c>
      <c r="N114" s="37"/>
      <c r="O114" s="29"/>
      <c r="P114" s="38"/>
      <c r="Q114" s="28"/>
      <c r="R114" s="28" t="s">
        <v>3309</v>
      </c>
      <c r="S114" s="47"/>
      <c r="T114" s="28"/>
      <c r="U114" s="28" t="s">
        <v>31</v>
      </c>
    </row>
    <row r="115" spans="1:21" s="27" customFormat="1" x14ac:dyDescent="0.25">
      <c r="A115" s="28" t="s">
        <v>21</v>
      </c>
      <c r="B115" s="28" t="s">
        <v>3273</v>
      </c>
      <c r="C115" s="28" t="s">
        <v>21</v>
      </c>
      <c r="D115" s="29">
        <v>1</v>
      </c>
      <c r="E115" s="73">
        <v>16</v>
      </c>
      <c r="F115" s="45">
        <v>1204</v>
      </c>
      <c r="G115" s="32">
        <v>1.835</v>
      </c>
      <c r="H115" s="32">
        <v>7.36</v>
      </c>
      <c r="I115" s="32">
        <v>7.33</v>
      </c>
      <c r="J115" s="33">
        <f>IF(O115&lt;&gt;"",(H115-I115)/O115,"")</f>
        <v>7.5000000000000622E-3</v>
      </c>
      <c r="K115" s="34" t="str">
        <f t="shared" si="7"/>
        <v/>
      </c>
      <c r="L115" s="35">
        <f>F115/(O115*P115)</f>
        <v>7.5250000000000004</v>
      </c>
      <c r="M115" s="36" t="str">
        <f>IF(L115=0,"",IF(OR(L115&lt;7,L115&gt;7.8),"X",""))</f>
        <v/>
      </c>
      <c r="N115" s="37" t="s">
        <v>24</v>
      </c>
      <c r="O115" s="29">
        <v>4</v>
      </c>
      <c r="P115" s="38">
        <v>40</v>
      </c>
      <c r="Q115" s="28"/>
      <c r="R115" s="28" t="s">
        <v>3311</v>
      </c>
      <c r="S115" s="47"/>
      <c r="T115" s="28"/>
      <c r="U115" s="28" t="s">
        <v>31</v>
      </c>
    </row>
    <row r="116" spans="1:21" s="27" customFormat="1" x14ac:dyDescent="0.25">
      <c r="A116" s="28" t="s">
        <v>21</v>
      </c>
      <c r="B116" s="28" t="s">
        <v>21</v>
      </c>
      <c r="C116" s="28" t="s">
        <v>21</v>
      </c>
      <c r="D116" s="29">
        <v>1</v>
      </c>
      <c r="E116" s="73"/>
      <c r="F116" s="31"/>
      <c r="G116" s="32">
        <v>1.8280000000000001</v>
      </c>
      <c r="H116" s="32"/>
      <c r="I116" s="32"/>
      <c r="J116" s="33" t="str">
        <f t="shared" si="8"/>
        <v/>
      </c>
      <c r="K116" s="34"/>
      <c r="L116" s="35"/>
      <c r="M116" s="36" t="str">
        <f t="shared" si="9"/>
        <v/>
      </c>
      <c r="N116" s="37"/>
      <c r="O116" s="29"/>
      <c r="P116" s="38"/>
      <c r="Q116" s="28"/>
      <c r="R116" s="28" t="s">
        <v>3310</v>
      </c>
      <c r="S116" s="47"/>
      <c r="T116" s="28"/>
      <c r="U116" s="28" t="s">
        <v>31</v>
      </c>
    </row>
    <row r="117" spans="1:21" s="27" customFormat="1" x14ac:dyDescent="0.25">
      <c r="A117" s="28" t="s">
        <v>21</v>
      </c>
      <c r="B117" s="28" t="s">
        <v>21</v>
      </c>
      <c r="C117" s="28">
        <v>786993</v>
      </c>
      <c r="D117" s="29">
        <v>1</v>
      </c>
      <c r="E117" s="73"/>
      <c r="F117" s="31"/>
      <c r="G117" s="32">
        <v>1.839</v>
      </c>
      <c r="H117" s="32"/>
      <c r="I117" s="32"/>
      <c r="J117" s="33" t="str">
        <f t="shared" si="8"/>
        <v/>
      </c>
      <c r="K117" s="34"/>
      <c r="L117" s="35"/>
      <c r="M117" s="36" t="str">
        <f t="shared" si="9"/>
        <v/>
      </c>
      <c r="N117" s="37"/>
      <c r="O117" s="29"/>
      <c r="P117" s="38"/>
      <c r="Q117" s="28"/>
      <c r="R117" s="28" t="s">
        <v>3312</v>
      </c>
      <c r="S117" s="47"/>
      <c r="T117" s="28"/>
      <c r="U117" s="28" t="s">
        <v>31</v>
      </c>
    </row>
    <row r="118" spans="1:21" s="27" customFormat="1" x14ac:dyDescent="0.25">
      <c r="A118" s="28" t="s">
        <v>21</v>
      </c>
      <c r="B118" s="28" t="s">
        <v>21</v>
      </c>
      <c r="C118" s="28" t="s">
        <v>21</v>
      </c>
      <c r="D118" s="29">
        <v>1</v>
      </c>
      <c r="E118" s="73"/>
      <c r="F118" s="31"/>
      <c r="G118" s="32">
        <v>1.8280000000000001</v>
      </c>
      <c r="H118" s="32"/>
      <c r="I118" s="32"/>
      <c r="J118" s="33" t="str">
        <f t="shared" si="8"/>
        <v/>
      </c>
      <c r="K118" s="34"/>
      <c r="L118" s="35"/>
      <c r="M118" s="36" t="str">
        <f t="shared" si="9"/>
        <v/>
      </c>
      <c r="N118" s="37"/>
      <c r="O118" s="29"/>
      <c r="P118" s="38"/>
      <c r="Q118" s="28"/>
      <c r="R118" s="28" t="s">
        <v>3313</v>
      </c>
      <c r="S118" s="47"/>
      <c r="T118" s="28"/>
      <c r="U118" s="28" t="s">
        <v>31</v>
      </c>
    </row>
    <row r="119" spans="1:21" s="27" customFormat="1" x14ac:dyDescent="0.25">
      <c r="A119" s="28" t="s">
        <v>3316</v>
      </c>
      <c r="B119" s="28" t="s">
        <v>3317</v>
      </c>
      <c r="C119" s="28">
        <v>740799</v>
      </c>
      <c r="D119" s="29">
        <v>1</v>
      </c>
      <c r="E119" s="71">
        <v>43</v>
      </c>
      <c r="F119" s="31">
        <v>186</v>
      </c>
      <c r="G119" s="32"/>
      <c r="H119" s="32">
        <v>1.895</v>
      </c>
      <c r="I119" s="32">
        <v>1.8879999999999999</v>
      </c>
      <c r="J119" s="33">
        <f t="shared" ref="J119:J153" si="10">IF(O119&lt;&gt;"",(H119-I119)/O119,"")</f>
        <v>7.0000000000001172E-3</v>
      </c>
      <c r="K119" s="34" t="str">
        <f t="shared" ref="K119:K182" si="11">IF(J119=0,"",IF(OR(J119&lt;0,J119&gt;0.03),"X",""))</f>
        <v/>
      </c>
      <c r="L119" s="35">
        <f t="shared" ref="L119:L153" si="12">F119/(O119*P119)</f>
        <v>7.44</v>
      </c>
      <c r="M119" s="36" t="str">
        <f t="shared" ref="M119:M153" si="13">IF(L119=0,"",IF(OR(L119&lt;7,L119&gt;7.8),"X",""))</f>
        <v/>
      </c>
      <c r="N119" s="37" t="s">
        <v>16</v>
      </c>
      <c r="O119" s="29">
        <v>1</v>
      </c>
      <c r="P119" s="38">
        <v>25</v>
      </c>
      <c r="Q119" s="28"/>
      <c r="R119" s="28" t="s">
        <v>3315</v>
      </c>
      <c r="S119" s="91" t="s">
        <v>103</v>
      </c>
      <c r="T119" s="28"/>
      <c r="U119" s="28" t="s">
        <v>31</v>
      </c>
    </row>
    <row r="120" spans="1:21" s="27" customFormat="1" x14ac:dyDescent="0.25">
      <c r="A120" s="28" t="s">
        <v>21</v>
      </c>
      <c r="B120" s="28" t="s">
        <v>3320</v>
      </c>
      <c r="C120" s="28" t="s">
        <v>21</v>
      </c>
      <c r="D120" s="29">
        <v>1</v>
      </c>
      <c r="E120" s="71">
        <v>39</v>
      </c>
      <c r="F120" s="31">
        <v>186</v>
      </c>
      <c r="G120" s="32"/>
      <c r="H120" s="32">
        <v>1.9139999999999999</v>
      </c>
      <c r="I120" s="32">
        <v>1.909</v>
      </c>
      <c r="J120" s="33">
        <f t="shared" si="10"/>
        <v>4.9999999999998934E-3</v>
      </c>
      <c r="K120" s="34" t="str">
        <f t="shared" si="11"/>
        <v/>
      </c>
      <c r="L120" s="35">
        <f t="shared" si="12"/>
        <v>7.44</v>
      </c>
      <c r="M120" s="36" t="str">
        <f t="shared" si="13"/>
        <v/>
      </c>
      <c r="N120" s="37" t="s">
        <v>16</v>
      </c>
      <c r="O120" s="29">
        <v>1</v>
      </c>
      <c r="P120" s="38">
        <v>25</v>
      </c>
      <c r="Q120" s="28"/>
      <c r="R120" s="28" t="s">
        <v>3319</v>
      </c>
      <c r="S120" s="91" t="s">
        <v>59</v>
      </c>
      <c r="T120" s="28"/>
      <c r="U120" s="28" t="s">
        <v>31</v>
      </c>
    </row>
    <row r="121" spans="1:21" s="27" customFormat="1" x14ac:dyDescent="0.25">
      <c r="A121" s="28" t="s">
        <v>21</v>
      </c>
      <c r="B121" s="28" t="s">
        <v>3321</v>
      </c>
      <c r="C121" s="28" t="s">
        <v>21</v>
      </c>
      <c r="D121" s="29">
        <v>1</v>
      </c>
      <c r="E121" s="71">
        <v>53</v>
      </c>
      <c r="F121" s="31">
        <v>186</v>
      </c>
      <c r="G121" s="32"/>
      <c r="H121" s="32">
        <v>1.885</v>
      </c>
      <c r="I121" s="32">
        <v>1.879</v>
      </c>
      <c r="J121" s="33">
        <f t="shared" si="10"/>
        <v>6.0000000000000053E-3</v>
      </c>
      <c r="K121" s="34" t="str">
        <f t="shared" si="11"/>
        <v/>
      </c>
      <c r="L121" s="35">
        <f t="shared" si="12"/>
        <v>7.44</v>
      </c>
      <c r="M121" s="36" t="str">
        <f t="shared" si="13"/>
        <v/>
      </c>
      <c r="N121" s="37" t="s">
        <v>16</v>
      </c>
      <c r="O121" s="29">
        <v>1</v>
      </c>
      <c r="P121" s="38">
        <v>25</v>
      </c>
      <c r="Q121" s="28"/>
      <c r="R121" s="28" t="s">
        <v>3322</v>
      </c>
      <c r="S121" s="92" t="s">
        <v>21</v>
      </c>
      <c r="T121" s="28"/>
      <c r="U121" s="28" t="s">
        <v>31</v>
      </c>
    </row>
    <row r="122" spans="1:21" s="27" customFormat="1" x14ac:dyDescent="0.25">
      <c r="A122" s="28" t="s">
        <v>21</v>
      </c>
      <c r="B122" s="28" t="s">
        <v>3324</v>
      </c>
      <c r="C122" s="28" t="s">
        <v>21</v>
      </c>
      <c r="D122" s="29">
        <v>1</v>
      </c>
      <c r="E122" s="71">
        <v>51</v>
      </c>
      <c r="F122" s="31">
        <v>186</v>
      </c>
      <c r="G122" s="32"/>
      <c r="H122" s="32">
        <v>1.877</v>
      </c>
      <c r="I122" s="32">
        <v>1.87</v>
      </c>
      <c r="J122" s="33">
        <f t="shared" si="10"/>
        <v>6.9999999999998952E-3</v>
      </c>
      <c r="K122" s="34" t="str">
        <f t="shared" si="11"/>
        <v/>
      </c>
      <c r="L122" s="35">
        <f t="shared" si="12"/>
        <v>7.44</v>
      </c>
      <c r="M122" s="36" t="str">
        <f t="shared" si="13"/>
        <v/>
      </c>
      <c r="N122" s="37" t="s">
        <v>16</v>
      </c>
      <c r="O122" s="29">
        <v>1</v>
      </c>
      <c r="P122" s="38">
        <v>25</v>
      </c>
      <c r="Q122" s="28"/>
      <c r="R122" s="28" t="s">
        <v>3323</v>
      </c>
      <c r="S122" s="92" t="s">
        <v>21</v>
      </c>
      <c r="T122" s="28"/>
      <c r="U122" s="28" t="s">
        <v>31</v>
      </c>
    </row>
    <row r="123" spans="1:21" s="27" customFormat="1" x14ac:dyDescent="0.25">
      <c r="A123" s="28" t="s">
        <v>21</v>
      </c>
      <c r="B123" s="28" t="s">
        <v>3325</v>
      </c>
      <c r="C123" s="28" t="s">
        <v>21</v>
      </c>
      <c r="D123" s="29">
        <v>1</v>
      </c>
      <c r="E123" s="71">
        <v>48</v>
      </c>
      <c r="F123" s="31">
        <v>188</v>
      </c>
      <c r="G123" s="32"/>
      <c r="H123" s="32">
        <v>1.9</v>
      </c>
      <c r="I123" s="32">
        <v>1.893</v>
      </c>
      <c r="J123" s="33">
        <f t="shared" si="10"/>
        <v>6.9999999999998952E-3</v>
      </c>
      <c r="K123" s="34" t="str">
        <f t="shared" si="11"/>
        <v/>
      </c>
      <c r="L123" s="35">
        <f t="shared" si="12"/>
        <v>7.52</v>
      </c>
      <c r="M123" s="36" t="str">
        <f t="shared" si="13"/>
        <v/>
      </c>
      <c r="N123" s="37" t="s">
        <v>16</v>
      </c>
      <c r="O123" s="29">
        <v>1</v>
      </c>
      <c r="P123" s="38">
        <v>25</v>
      </c>
      <c r="Q123" s="28"/>
      <c r="R123" s="28" t="s">
        <v>3318</v>
      </c>
      <c r="S123" s="92" t="s">
        <v>21</v>
      </c>
      <c r="T123" s="28"/>
      <c r="U123" s="28" t="s">
        <v>31</v>
      </c>
    </row>
    <row r="124" spans="1:21" s="27" customFormat="1" x14ac:dyDescent="0.25">
      <c r="A124" s="28" t="s">
        <v>3326</v>
      </c>
      <c r="B124" s="28" t="s">
        <v>3327</v>
      </c>
      <c r="C124" s="28">
        <v>786993</v>
      </c>
      <c r="D124" s="29">
        <v>1</v>
      </c>
      <c r="E124" s="71">
        <v>41</v>
      </c>
      <c r="F124" s="45">
        <v>301</v>
      </c>
      <c r="G124" s="32"/>
      <c r="H124" s="32">
        <v>1.865</v>
      </c>
      <c r="I124" s="32">
        <v>1.859</v>
      </c>
      <c r="J124" s="33">
        <f t="shared" si="10"/>
        <v>6.0000000000000053E-3</v>
      </c>
      <c r="K124" s="34" t="str">
        <f t="shared" si="11"/>
        <v/>
      </c>
      <c r="L124" s="35">
        <f t="shared" si="12"/>
        <v>7.5250000000000004</v>
      </c>
      <c r="M124" s="36" t="str">
        <f t="shared" si="13"/>
        <v/>
      </c>
      <c r="N124" s="37" t="s">
        <v>18</v>
      </c>
      <c r="O124" s="29">
        <v>1</v>
      </c>
      <c r="P124" s="38">
        <v>40</v>
      </c>
      <c r="Q124" s="46"/>
      <c r="R124" s="28" t="s">
        <v>3314</v>
      </c>
      <c r="S124" s="91" t="s">
        <v>58</v>
      </c>
      <c r="T124" s="46"/>
      <c r="U124" s="28" t="s">
        <v>31</v>
      </c>
    </row>
    <row r="125" spans="1:21" s="27" customFormat="1" x14ac:dyDescent="0.25">
      <c r="A125" s="28" t="s">
        <v>21</v>
      </c>
      <c r="B125" s="28" t="s">
        <v>3328</v>
      </c>
      <c r="C125" s="28" t="s">
        <v>21</v>
      </c>
      <c r="D125" s="29">
        <v>1</v>
      </c>
      <c r="E125" s="71">
        <v>37</v>
      </c>
      <c r="F125" s="45">
        <v>303</v>
      </c>
      <c r="G125" s="32"/>
      <c r="H125" s="32">
        <v>1.86</v>
      </c>
      <c r="I125" s="32">
        <v>1.853</v>
      </c>
      <c r="J125" s="33">
        <f t="shared" si="10"/>
        <v>7.0000000000001172E-3</v>
      </c>
      <c r="K125" s="34" t="str">
        <f t="shared" si="11"/>
        <v/>
      </c>
      <c r="L125" s="35">
        <f t="shared" si="12"/>
        <v>7.5750000000000002</v>
      </c>
      <c r="M125" s="36" t="str">
        <f t="shared" si="13"/>
        <v/>
      </c>
      <c r="N125" s="37" t="s">
        <v>18</v>
      </c>
      <c r="O125" s="29">
        <v>1</v>
      </c>
      <c r="P125" s="38">
        <v>40</v>
      </c>
      <c r="Q125" s="46"/>
      <c r="R125" s="28" t="s">
        <v>3357</v>
      </c>
      <c r="S125" s="91" t="s">
        <v>59</v>
      </c>
      <c r="T125" s="46"/>
      <c r="U125" s="28" t="s">
        <v>31</v>
      </c>
    </row>
    <row r="126" spans="1:21" s="27" customFormat="1" x14ac:dyDescent="0.25">
      <c r="A126" s="28" t="s">
        <v>21</v>
      </c>
      <c r="B126" s="28" t="s">
        <v>3329</v>
      </c>
      <c r="C126" s="28" t="s">
        <v>21</v>
      </c>
      <c r="D126" s="29">
        <v>1</v>
      </c>
      <c r="E126" s="71">
        <v>43</v>
      </c>
      <c r="F126" s="45">
        <v>302</v>
      </c>
      <c r="G126" s="32"/>
      <c r="H126" s="32">
        <v>1.8620000000000001</v>
      </c>
      <c r="I126" s="32">
        <v>1.855</v>
      </c>
      <c r="J126" s="33">
        <f t="shared" si="10"/>
        <v>7.0000000000001172E-3</v>
      </c>
      <c r="K126" s="34" t="str">
        <f t="shared" si="11"/>
        <v/>
      </c>
      <c r="L126" s="35">
        <f t="shared" si="12"/>
        <v>7.55</v>
      </c>
      <c r="M126" s="36" t="str">
        <f t="shared" si="13"/>
        <v/>
      </c>
      <c r="N126" s="37" t="s">
        <v>18</v>
      </c>
      <c r="O126" s="29">
        <v>1</v>
      </c>
      <c r="P126" s="38">
        <v>40</v>
      </c>
      <c r="Q126" s="46"/>
      <c r="R126" s="28" t="s">
        <v>3358</v>
      </c>
      <c r="S126" s="92" t="s">
        <v>21</v>
      </c>
      <c r="T126" s="46"/>
      <c r="U126" s="28" t="s">
        <v>31</v>
      </c>
    </row>
    <row r="127" spans="1:21" s="27" customFormat="1" x14ac:dyDescent="0.25">
      <c r="A127" s="28" t="s">
        <v>21</v>
      </c>
      <c r="B127" s="28" t="s">
        <v>3330</v>
      </c>
      <c r="C127" s="28" t="s">
        <v>21</v>
      </c>
      <c r="D127" s="29">
        <v>1</v>
      </c>
      <c r="E127" s="71">
        <v>38</v>
      </c>
      <c r="F127" s="45">
        <v>301</v>
      </c>
      <c r="G127" s="32"/>
      <c r="H127" s="32">
        <v>1.861</v>
      </c>
      <c r="I127" s="32">
        <v>1.8540000000000001</v>
      </c>
      <c r="J127" s="33">
        <f t="shared" si="10"/>
        <v>6.9999999999998952E-3</v>
      </c>
      <c r="K127" s="34" t="str">
        <f t="shared" si="11"/>
        <v/>
      </c>
      <c r="L127" s="35">
        <f t="shared" si="12"/>
        <v>7.5250000000000004</v>
      </c>
      <c r="M127" s="36" t="str">
        <f t="shared" si="13"/>
        <v/>
      </c>
      <c r="N127" s="37" t="s">
        <v>18</v>
      </c>
      <c r="O127" s="29">
        <v>1</v>
      </c>
      <c r="P127" s="38">
        <v>40</v>
      </c>
      <c r="Q127" s="46"/>
      <c r="R127" s="28" t="s">
        <v>3359</v>
      </c>
      <c r="S127" s="92" t="s">
        <v>21</v>
      </c>
      <c r="T127" s="46"/>
      <c r="U127" s="28" t="s">
        <v>31</v>
      </c>
    </row>
    <row r="128" spans="1:21" s="27" customFormat="1" x14ac:dyDescent="0.25">
      <c r="A128" s="28" t="s">
        <v>21</v>
      </c>
      <c r="B128" s="28" t="s">
        <v>3331</v>
      </c>
      <c r="C128" s="28" t="s">
        <v>21</v>
      </c>
      <c r="D128" s="29">
        <v>1</v>
      </c>
      <c r="E128" s="71">
        <v>31</v>
      </c>
      <c r="F128" s="45">
        <v>303</v>
      </c>
      <c r="G128" s="32"/>
      <c r="H128" s="32">
        <v>1.855</v>
      </c>
      <c r="I128" s="32">
        <v>1.847</v>
      </c>
      <c r="J128" s="33">
        <f t="shared" si="10"/>
        <v>8.0000000000000071E-3</v>
      </c>
      <c r="K128" s="34" t="str">
        <f t="shared" si="11"/>
        <v/>
      </c>
      <c r="L128" s="35">
        <f t="shared" si="12"/>
        <v>7.5750000000000002</v>
      </c>
      <c r="M128" s="36" t="str">
        <f t="shared" si="13"/>
        <v/>
      </c>
      <c r="N128" s="37" t="s">
        <v>18</v>
      </c>
      <c r="O128" s="29">
        <v>1</v>
      </c>
      <c r="P128" s="38">
        <v>40</v>
      </c>
      <c r="Q128" s="46"/>
      <c r="R128" s="28" t="s">
        <v>3360</v>
      </c>
      <c r="S128" s="92" t="s">
        <v>21</v>
      </c>
      <c r="T128" s="46"/>
      <c r="U128" s="28" t="s">
        <v>31</v>
      </c>
    </row>
    <row r="129" spans="1:21" s="27" customFormat="1" x14ac:dyDescent="0.25">
      <c r="A129" s="28" t="s">
        <v>21</v>
      </c>
      <c r="B129" s="28" t="s">
        <v>3332</v>
      </c>
      <c r="C129" s="28" t="s">
        <v>21</v>
      </c>
      <c r="D129" s="29">
        <v>1</v>
      </c>
      <c r="E129" s="71">
        <v>44</v>
      </c>
      <c r="F129" s="45">
        <v>300</v>
      </c>
      <c r="G129" s="32"/>
      <c r="H129" s="32">
        <v>1.855</v>
      </c>
      <c r="I129" s="32">
        <v>1.8480000000000001</v>
      </c>
      <c r="J129" s="33">
        <f t="shared" si="10"/>
        <v>6.9999999999998952E-3</v>
      </c>
      <c r="K129" s="34" t="str">
        <f t="shared" si="11"/>
        <v/>
      </c>
      <c r="L129" s="35">
        <f t="shared" si="12"/>
        <v>7.5</v>
      </c>
      <c r="M129" s="36" t="str">
        <f t="shared" si="13"/>
        <v/>
      </c>
      <c r="N129" s="37" t="s">
        <v>18</v>
      </c>
      <c r="O129" s="29">
        <v>1</v>
      </c>
      <c r="P129" s="38">
        <v>40</v>
      </c>
      <c r="Q129" s="46"/>
      <c r="R129" s="28" t="s">
        <v>3361</v>
      </c>
      <c r="S129" s="92" t="s">
        <v>21</v>
      </c>
      <c r="T129" s="46"/>
      <c r="U129" s="28" t="s">
        <v>31</v>
      </c>
    </row>
    <row r="130" spans="1:21" s="27" customFormat="1" x14ac:dyDescent="0.25">
      <c r="A130" s="28" t="s">
        <v>21</v>
      </c>
      <c r="B130" s="28" t="s">
        <v>3333</v>
      </c>
      <c r="C130" s="28" t="s">
        <v>21</v>
      </c>
      <c r="D130" s="29">
        <v>1</v>
      </c>
      <c r="E130" s="71">
        <v>39</v>
      </c>
      <c r="F130" s="45">
        <v>301</v>
      </c>
      <c r="G130" s="32"/>
      <c r="H130" s="32">
        <v>1.8580000000000001</v>
      </c>
      <c r="I130" s="32">
        <v>1.8520000000000001</v>
      </c>
      <c r="J130" s="33">
        <f t="shared" si="10"/>
        <v>6.0000000000000053E-3</v>
      </c>
      <c r="K130" s="34" t="str">
        <f t="shared" si="11"/>
        <v/>
      </c>
      <c r="L130" s="35">
        <f t="shared" si="12"/>
        <v>7.5250000000000004</v>
      </c>
      <c r="M130" s="36" t="str">
        <f t="shared" si="13"/>
        <v/>
      </c>
      <c r="N130" s="37" t="s">
        <v>18</v>
      </c>
      <c r="O130" s="29">
        <v>1</v>
      </c>
      <c r="P130" s="38">
        <v>40</v>
      </c>
      <c r="Q130" s="46"/>
      <c r="R130" s="28" t="s">
        <v>3362</v>
      </c>
      <c r="S130" s="92" t="s">
        <v>21</v>
      </c>
      <c r="T130" s="46"/>
      <c r="U130" s="28" t="s">
        <v>31</v>
      </c>
    </row>
    <row r="131" spans="1:21" s="27" customFormat="1" x14ac:dyDescent="0.25">
      <c r="A131" s="28" t="s">
        <v>21</v>
      </c>
      <c r="B131" s="28" t="s">
        <v>3334</v>
      </c>
      <c r="C131" s="28" t="s">
        <v>21</v>
      </c>
      <c r="D131" s="29">
        <v>1</v>
      </c>
      <c r="E131" s="71">
        <v>39</v>
      </c>
      <c r="F131" s="45">
        <v>302</v>
      </c>
      <c r="G131" s="32"/>
      <c r="H131" s="32">
        <v>1.8460000000000001</v>
      </c>
      <c r="I131" s="32">
        <v>1.837</v>
      </c>
      <c r="J131" s="33">
        <f t="shared" si="10"/>
        <v>9.000000000000119E-3</v>
      </c>
      <c r="K131" s="34" t="str">
        <f t="shared" si="11"/>
        <v/>
      </c>
      <c r="L131" s="35">
        <f t="shared" si="12"/>
        <v>7.55</v>
      </c>
      <c r="M131" s="36" t="str">
        <f t="shared" si="13"/>
        <v/>
      </c>
      <c r="N131" s="37" t="s">
        <v>18</v>
      </c>
      <c r="O131" s="29">
        <v>1</v>
      </c>
      <c r="P131" s="38">
        <v>40</v>
      </c>
      <c r="Q131" s="46"/>
      <c r="R131" s="28" t="s">
        <v>3363</v>
      </c>
      <c r="S131" s="92" t="s">
        <v>21</v>
      </c>
      <c r="T131" s="46"/>
      <c r="U131" s="28" t="s">
        <v>31</v>
      </c>
    </row>
    <row r="132" spans="1:21" s="27" customFormat="1" x14ac:dyDescent="0.25">
      <c r="A132" s="28" t="s">
        <v>21</v>
      </c>
      <c r="B132" s="28" t="s">
        <v>3335</v>
      </c>
      <c r="C132" s="28" t="s">
        <v>21</v>
      </c>
      <c r="D132" s="29">
        <v>1</v>
      </c>
      <c r="E132" s="71">
        <v>34</v>
      </c>
      <c r="F132" s="45">
        <v>303</v>
      </c>
      <c r="G132" s="32"/>
      <c r="H132" s="32">
        <v>1.843</v>
      </c>
      <c r="I132" s="32">
        <v>1.8320000000000001</v>
      </c>
      <c r="J132" s="33">
        <f t="shared" si="10"/>
        <v>1.0999999999999899E-2</v>
      </c>
      <c r="K132" s="34" t="str">
        <f t="shared" si="11"/>
        <v/>
      </c>
      <c r="L132" s="35">
        <f t="shared" si="12"/>
        <v>7.5750000000000002</v>
      </c>
      <c r="M132" s="36" t="str">
        <f t="shared" si="13"/>
        <v/>
      </c>
      <c r="N132" s="37" t="s">
        <v>18</v>
      </c>
      <c r="O132" s="29">
        <v>1</v>
      </c>
      <c r="P132" s="38">
        <v>40</v>
      </c>
      <c r="Q132" s="46"/>
      <c r="R132" s="28" t="s">
        <v>3364</v>
      </c>
      <c r="S132" s="92" t="s">
        <v>21</v>
      </c>
      <c r="T132" s="46"/>
      <c r="U132" s="28" t="s">
        <v>31</v>
      </c>
    </row>
    <row r="133" spans="1:21" s="27" customFormat="1" x14ac:dyDescent="0.25">
      <c r="A133" s="28" t="s">
        <v>21</v>
      </c>
      <c r="B133" s="28" t="s">
        <v>3336</v>
      </c>
      <c r="C133" s="28" t="s">
        <v>21</v>
      </c>
      <c r="D133" s="29">
        <v>1</v>
      </c>
      <c r="E133" s="71">
        <v>32</v>
      </c>
      <c r="F133" s="45">
        <v>296</v>
      </c>
      <c r="G133" s="32"/>
      <c r="H133" s="32">
        <v>1.8360000000000001</v>
      </c>
      <c r="I133" s="32">
        <v>1.827</v>
      </c>
      <c r="J133" s="33">
        <f t="shared" si="10"/>
        <v>9.000000000000119E-3</v>
      </c>
      <c r="K133" s="34" t="str">
        <f t="shared" si="11"/>
        <v/>
      </c>
      <c r="L133" s="35">
        <f t="shared" si="12"/>
        <v>7.4</v>
      </c>
      <c r="M133" s="36" t="str">
        <f t="shared" si="13"/>
        <v/>
      </c>
      <c r="N133" s="37" t="s">
        <v>18</v>
      </c>
      <c r="O133" s="29">
        <v>1</v>
      </c>
      <c r="P133" s="38">
        <v>40</v>
      </c>
      <c r="Q133" s="46"/>
      <c r="R133" s="28" t="s">
        <v>3365</v>
      </c>
      <c r="S133" s="92" t="s">
        <v>21</v>
      </c>
      <c r="T133" s="46"/>
      <c r="U133" s="28" t="s">
        <v>31</v>
      </c>
    </row>
    <row r="134" spans="1:21" s="27" customFormat="1" x14ac:dyDescent="0.25">
      <c r="A134" s="28" t="s">
        <v>21</v>
      </c>
      <c r="B134" s="28" t="s">
        <v>3337</v>
      </c>
      <c r="C134" s="28" t="s">
        <v>21</v>
      </c>
      <c r="D134" s="29">
        <v>1</v>
      </c>
      <c r="E134" s="71">
        <v>43</v>
      </c>
      <c r="F134" s="45">
        <v>301</v>
      </c>
      <c r="G134" s="32"/>
      <c r="H134" s="32">
        <v>1.869</v>
      </c>
      <c r="I134" s="32">
        <v>1.863</v>
      </c>
      <c r="J134" s="33">
        <f t="shared" si="10"/>
        <v>6.0000000000000053E-3</v>
      </c>
      <c r="K134" s="34" t="str">
        <f t="shared" si="11"/>
        <v/>
      </c>
      <c r="L134" s="35">
        <f t="shared" si="12"/>
        <v>7.5250000000000004</v>
      </c>
      <c r="M134" s="36" t="str">
        <f t="shared" si="13"/>
        <v/>
      </c>
      <c r="N134" s="37" t="s">
        <v>18</v>
      </c>
      <c r="O134" s="29">
        <v>1</v>
      </c>
      <c r="P134" s="38">
        <v>40</v>
      </c>
      <c r="Q134" s="46"/>
      <c r="R134" s="28" t="s">
        <v>3366</v>
      </c>
      <c r="S134" s="91" t="s">
        <v>103</v>
      </c>
      <c r="T134" s="46"/>
      <c r="U134" s="28" t="s">
        <v>31</v>
      </c>
    </row>
    <row r="135" spans="1:21" s="27" customFormat="1" x14ac:dyDescent="0.25">
      <c r="A135" s="28" t="s">
        <v>21</v>
      </c>
      <c r="B135" s="28" t="s">
        <v>3338</v>
      </c>
      <c r="C135" s="28" t="s">
        <v>21</v>
      </c>
      <c r="D135" s="29">
        <v>1</v>
      </c>
      <c r="E135" s="71">
        <v>31</v>
      </c>
      <c r="F135" s="45">
        <v>302</v>
      </c>
      <c r="G135" s="32"/>
      <c r="H135" s="32">
        <v>1.865</v>
      </c>
      <c r="I135" s="32">
        <v>1.8580000000000001</v>
      </c>
      <c r="J135" s="33">
        <f t="shared" si="10"/>
        <v>6.9999999999998952E-3</v>
      </c>
      <c r="K135" s="34" t="str">
        <f t="shared" si="11"/>
        <v/>
      </c>
      <c r="L135" s="35">
        <f t="shared" si="12"/>
        <v>7.55</v>
      </c>
      <c r="M135" s="36" t="str">
        <f t="shared" si="13"/>
        <v/>
      </c>
      <c r="N135" s="37" t="s">
        <v>18</v>
      </c>
      <c r="O135" s="29">
        <v>1</v>
      </c>
      <c r="P135" s="38">
        <v>40</v>
      </c>
      <c r="Q135" s="46"/>
      <c r="R135" s="28" t="s">
        <v>3368</v>
      </c>
      <c r="S135" s="91" t="s">
        <v>59</v>
      </c>
      <c r="T135" s="46"/>
      <c r="U135" s="28" t="s">
        <v>31</v>
      </c>
    </row>
    <row r="136" spans="1:21" s="27" customFormat="1" x14ac:dyDescent="0.25">
      <c r="A136" s="28" t="s">
        <v>21</v>
      </c>
      <c r="B136" s="28" t="s">
        <v>3339</v>
      </c>
      <c r="C136" s="28" t="s">
        <v>21</v>
      </c>
      <c r="D136" s="29">
        <v>1</v>
      </c>
      <c r="E136" s="71">
        <v>30</v>
      </c>
      <c r="F136" s="45">
        <v>303</v>
      </c>
      <c r="G136" s="32"/>
      <c r="H136" s="32">
        <v>1.855</v>
      </c>
      <c r="I136" s="32">
        <v>1.8480000000000001</v>
      </c>
      <c r="J136" s="33">
        <f t="shared" si="10"/>
        <v>6.9999999999998952E-3</v>
      </c>
      <c r="K136" s="34" t="str">
        <f t="shared" si="11"/>
        <v/>
      </c>
      <c r="L136" s="35">
        <f t="shared" si="12"/>
        <v>7.5750000000000002</v>
      </c>
      <c r="M136" s="36" t="str">
        <f t="shared" si="13"/>
        <v/>
      </c>
      <c r="N136" s="37" t="s">
        <v>18</v>
      </c>
      <c r="O136" s="29">
        <v>1</v>
      </c>
      <c r="P136" s="38">
        <v>40</v>
      </c>
      <c r="Q136" s="46"/>
      <c r="R136" s="28" t="s">
        <v>3369</v>
      </c>
      <c r="S136" s="92" t="s">
        <v>21</v>
      </c>
      <c r="T136" s="46"/>
      <c r="U136" s="28" t="s">
        <v>31</v>
      </c>
    </row>
    <row r="137" spans="1:21" s="27" customFormat="1" x14ac:dyDescent="0.25">
      <c r="A137" s="28" t="s">
        <v>21</v>
      </c>
      <c r="B137" s="28" t="s">
        <v>3340</v>
      </c>
      <c r="C137" s="28" t="s">
        <v>21</v>
      </c>
      <c r="D137" s="29">
        <v>1</v>
      </c>
      <c r="E137" s="71">
        <v>29</v>
      </c>
      <c r="F137" s="45">
        <v>302</v>
      </c>
      <c r="G137" s="32"/>
      <c r="H137" s="32">
        <v>1.857</v>
      </c>
      <c r="I137" s="32">
        <v>1.85</v>
      </c>
      <c r="J137" s="33">
        <f t="shared" si="10"/>
        <v>6.9999999999998952E-3</v>
      </c>
      <c r="K137" s="34" t="str">
        <f t="shared" si="11"/>
        <v/>
      </c>
      <c r="L137" s="35">
        <f t="shared" si="12"/>
        <v>7.55</v>
      </c>
      <c r="M137" s="36" t="str">
        <f t="shared" si="13"/>
        <v/>
      </c>
      <c r="N137" s="37" t="s">
        <v>18</v>
      </c>
      <c r="O137" s="29">
        <v>1</v>
      </c>
      <c r="P137" s="38">
        <v>40</v>
      </c>
      <c r="Q137" s="46"/>
      <c r="R137" s="28" t="s">
        <v>3367</v>
      </c>
      <c r="S137" s="92" t="s">
        <v>21</v>
      </c>
      <c r="T137" s="46"/>
      <c r="U137" s="28" t="s">
        <v>31</v>
      </c>
    </row>
    <row r="138" spans="1:21" s="27" customFormat="1" x14ac:dyDescent="0.25">
      <c r="A138" s="28" t="s">
        <v>21</v>
      </c>
      <c r="B138" s="28" t="s">
        <v>3341</v>
      </c>
      <c r="C138" s="28" t="s">
        <v>21</v>
      </c>
      <c r="D138" s="29">
        <v>1</v>
      </c>
      <c r="E138" s="71">
        <v>29</v>
      </c>
      <c r="F138" s="45">
        <v>302</v>
      </c>
      <c r="G138" s="32"/>
      <c r="H138" s="32">
        <v>1.867</v>
      </c>
      <c r="I138" s="32">
        <v>1.86</v>
      </c>
      <c r="J138" s="33">
        <f t="shared" si="10"/>
        <v>6.9999999999998952E-3</v>
      </c>
      <c r="K138" s="34" t="str">
        <f t="shared" si="11"/>
        <v/>
      </c>
      <c r="L138" s="35">
        <f t="shared" si="12"/>
        <v>7.55</v>
      </c>
      <c r="M138" s="36" t="str">
        <f t="shared" si="13"/>
        <v/>
      </c>
      <c r="N138" s="37" t="s">
        <v>18</v>
      </c>
      <c r="O138" s="29">
        <v>1</v>
      </c>
      <c r="P138" s="38">
        <v>40</v>
      </c>
      <c r="Q138" s="46"/>
      <c r="R138" s="28" t="s">
        <v>3371</v>
      </c>
      <c r="S138" s="92" t="s">
        <v>21</v>
      </c>
      <c r="T138" s="46"/>
      <c r="U138" s="28" t="s">
        <v>31</v>
      </c>
    </row>
    <row r="139" spans="1:21" s="27" customFormat="1" x14ac:dyDescent="0.25">
      <c r="A139" s="28" t="s">
        <v>21</v>
      </c>
      <c r="B139" s="28" t="s">
        <v>3342</v>
      </c>
      <c r="C139" s="28" t="s">
        <v>21</v>
      </c>
      <c r="D139" s="29">
        <v>1</v>
      </c>
      <c r="E139" s="73">
        <v>12</v>
      </c>
      <c r="F139" s="45">
        <v>304</v>
      </c>
      <c r="G139" s="32"/>
      <c r="H139" s="32">
        <v>1.8320000000000001</v>
      </c>
      <c r="I139" s="32">
        <v>1.823</v>
      </c>
      <c r="J139" s="33">
        <f t="shared" si="10"/>
        <v>9.000000000000119E-3</v>
      </c>
      <c r="K139" s="34" t="str">
        <f t="shared" si="11"/>
        <v/>
      </c>
      <c r="L139" s="35">
        <f t="shared" si="12"/>
        <v>7.6</v>
      </c>
      <c r="M139" s="36" t="str">
        <f t="shared" si="13"/>
        <v/>
      </c>
      <c r="N139" s="37" t="s">
        <v>18</v>
      </c>
      <c r="O139" s="29">
        <v>1</v>
      </c>
      <c r="P139" s="38">
        <v>40</v>
      </c>
      <c r="Q139" s="46"/>
      <c r="R139" s="28" t="s">
        <v>3372</v>
      </c>
      <c r="S139" s="47"/>
      <c r="T139" s="46"/>
      <c r="U139" s="28" t="s">
        <v>31</v>
      </c>
    </row>
    <row r="140" spans="1:21" s="27" customFormat="1" x14ac:dyDescent="0.25">
      <c r="A140" s="28" t="s">
        <v>21</v>
      </c>
      <c r="B140" s="28" t="s">
        <v>3343</v>
      </c>
      <c r="C140" s="28" t="s">
        <v>21</v>
      </c>
      <c r="D140" s="29">
        <v>1</v>
      </c>
      <c r="E140" s="73">
        <v>21</v>
      </c>
      <c r="F140" s="45">
        <v>304</v>
      </c>
      <c r="G140" s="32"/>
      <c r="H140" s="32">
        <v>1.8460000000000001</v>
      </c>
      <c r="I140" s="32">
        <v>1.839</v>
      </c>
      <c r="J140" s="33">
        <f t="shared" si="10"/>
        <v>7.0000000000001172E-3</v>
      </c>
      <c r="K140" s="34" t="str">
        <f t="shared" si="11"/>
        <v/>
      </c>
      <c r="L140" s="35">
        <f t="shared" si="12"/>
        <v>7.6</v>
      </c>
      <c r="M140" s="36" t="str">
        <f t="shared" si="13"/>
        <v/>
      </c>
      <c r="N140" s="37" t="s">
        <v>18</v>
      </c>
      <c r="O140" s="29">
        <v>1</v>
      </c>
      <c r="P140" s="38">
        <v>40</v>
      </c>
      <c r="Q140" s="46"/>
      <c r="R140" s="28" t="s">
        <v>3370</v>
      </c>
      <c r="S140" s="47"/>
      <c r="T140" s="46"/>
      <c r="U140" s="28" t="s">
        <v>31</v>
      </c>
    </row>
    <row r="141" spans="1:21" s="27" customFormat="1" x14ac:dyDescent="0.25">
      <c r="A141" s="28" t="s">
        <v>21</v>
      </c>
      <c r="B141" s="28" t="s">
        <v>3344</v>
      </c>
      <c r="C141" s="28" t="s">
        <v>21</v>
      </c>
      <c r="D141" s="29">
        <v>1</v>
      </c>
      <c r="E141" s="73">
        <v>12</v>
      </c>
      <c r="F141" s="45">
        <v>303</v>
      </c>
      <c r="G141" s="32"/>
      <c r="H141" s="32">
        <v>1.851</v>
      </c>
      <c r="I141" s="32">
        <v>1.8420000000000001</v>
      </c>
      <c r="J141" s="33">
        <f t="shared" si="10"/>
        <v>8.999999999999897E-3</v>
      </c>
      <c r="K141" s="34" t="str">
        <f t="shared" si="11"/>
        <v/>
      </c>
      <c r="L141" s="35">
        <f t="shared" si="12"/>
        <v>7.5750000000000002</v>
      </c>
      <c r="M141" s="36" t="str">
        <f t="shared" si="13"/>
        <v/>
      </c>
      <c r="N141" s="37" t="s">
        <v>18</v>
      </c>
      <c r="O141" s="29">
        <v>1</v>
      </c>
      <c r="P141" s="38">
        <v>40</v>
      </c>
      <c r="Q141" s="46"/>
      <c r="R141" s="28" t="s">
        <v>3373</v>
      </c>
      <c r="S141" s="47"/>
      <c r="T141" s="46"/>
      <c r="U141" s="28" t="s">
        <v>31</v>
      </c>
    </row>
    <row r="142" spans="1:21" s="27" customFormat="1" x14ac:dyDescent="0.25">
      <c r="A142" s="28" t="s">
        <v>21</v>
      </c>
      <c r="B142" s="28" t="s">
        <v>3345</v>
      </c>
      <c r="C142" s="28" t="s">
        <v>21</v>
      </c>
      <c r="D142" s="29">
        <v>1</v>
      </c>
      <c r="E142" s="73">
        <v>14</v>
      </c>
      <c r="F142" s="45">
        <v>303</v>
      </c>
      <c r="G142" s="32"/>
      <c r="H142" s="32">
        <v>1.85</v>
      </c>
      <c r="I142" s="32">
        <v>1.8420000000000001</v>
      </c>
      <c r="J142" s="33">
        <f t="shared" si="10"/>
        <v>8.0000000000000071E-3</v>
      </c>
      <c r="K142" s="34" t="str">
        <f t="shared" si="11"/>
        <v/>
      </c>
      <c r="L142" s="35">
        <f t="shared" si="12"/>
        <v>7.5750000000000002</v>
      </c>
      <c r="M142" s="36" t="str">
        <f t="shared" si="13"/>
        <v/>
      </c>
      <c r="N142" s="37" t="s">
        <v>18</v>
      </c>
      <c r="O142" s="29">
        <v>1</v>
      </c>
      <c r="P142" s="38">
        <v>40</v>
      </c>
      <c r="Q142" s="46"/>
      <c r="R142" s="28" t="s">
        <v>3374</v>
      </c>
      <c r="S142" s="47"/>
      <c r="T142" s="46"/>
      <c r="U142" s="28" t="s">
        <v>31</v>
      </c>
    </row>
    <row r="143" spans="1:21" s="27" customFormat="1" x14ac:dyDescent="0.25">
      <c r="A143" s="28" t="s">
        <v>21</v>
      </c>
      <c r="B143" s="28" t="s">
        <v>3346</v>
      </c>
      <c r="C143" s="28" t="s">
        <v>21</v>
      </c>
      <c r="D143" s="29">
        <v>1</v>
      </c>
      <c r="E143" s="73">
        <v>13</v>
      </c>
      <c r="F143" s="45">
        <v>303</v>
      </c>
      <c r="G143" s="32"/>
      <c r="H143" s="32">
        <v>1.851</v>
      </c>
      <c r="I143" s="32">
        <v>1.843</v>
      </c>
      <c r="J143" s="33">
        <f t="shared" si="10"/>
        <v>8.0000000000000071E-3</v>
      </c>
      <c r="K143" s="34" t="str">
        <f t="shared" si="11"/>
        <v/>
      </c>
      <c r="L143" s="35">
        <f t="shared" si="12"/>
        <v>7.5750000000000002</v>
      </c>
      <c r="M143" s="36" t="str">
        <f t="shared" si="13"/>
        <v/>
      </c>
      <c r="N143" s="37" t="s">
        <v>18</v>
      </c>
      <c r="O143" s="29">
        <v>1</v>
      </c>
      <c r="P143" s="38">
        <v>40</v>
      </c>
      <c r="Q143" s="46"/>
      <c r="R143" s="28" t="s">
        <v>3375</v>
      </c>
      <c r="S143" s="47"/>
      <c r="T143" s="46"/>
      <c r="U143" s="28" t="s">
        <v>31</v>
      </c>
    </row>
    <row r="144" spans="1:21" s="27" customFormat="1" x14ac:dyDescent="0.25">
      <c r="A144" s="28" t="s">
        <v>21</v>
      </c>
      <c r="B144" s="28" t="s">
        <v>3347</v>
      </c>
      <c r="C144" s="28" t="s">
        <v>21</v>
      </c>
      <c r="D144" s="29">
        <v>1</v>
      </c>
      <c r="E144" s="71">
        <v>40</v>
      </c>
      <c r="F144" s="45">
        <v>301</v>
      </c>
      <c r="G144" s="32"/>
      <c r="H144" s="32">
        <v>1.863</v>
      </c>
      <c r="I144" s="32">
        <v>1.8560000000000001</v>
      </c>
      <c r="J144" s="33">
        <f t="shared" si="10"/>
        <v>6.9999999999998952E-3</v>
      </c>
      <c r="K144" s="34" t="str">
        <f t="shared" si="11"/>
        <v/>
      </c>
      <c r="L144" s="35">
        <f t="shared" si="12"/>
        <v>7.5250000000000004</v>
      </c>
      <c r="M144" s="36" t="str">
        <f t="shared" si="13"/>
        <v/>
      </c>
      <c r="N144" s="37" t="s">
        <v>18</v>
      </c>
      <c r="O144" s="29">
        <v>1</v>
      </c>
      <c r="P144" s="38">
        <v>40</v>
      </c>
      <c r="Q144" s="46"/>
      <c r="R144" s="28" t="s">
        <v>3376</v>
      </c>
      <c r="S144" s="91" t="s">
        <v>58</v>
      </c>
      <c r="T144" s="46"/>
      <c r="U144" s="28" t="s">
        <v>31</v>
      </c>
    </row>
    <row r="145" spans="1:21" s="27" customFormat="1" x14ac:dyDescent="0.25">
      <c r="A145" s="28" t="s">
        <v>21</v>
      </c>
      <c r="B145" s="28" t="s">
        <v>3348</v>
      </c>
      <c r="C145" s="28" t="s">
        <v>21</v>
      </c>
      <c r="D145" s="29">
        <v>1</v>
      </c>
      <c r="E145" s="71">
        <v>45</v>
      </c>
      <c r="F145" s="45">
        <v>300</v>
      </c>
      <c r="G145" s="32"/>
      <c r="H145" s="32">
        <v>1.8620000000000001</v>
      </c>
      <c r="I145" s="32">
        <v>1.8560000000000001</v>
      </c>
      <c r="J145" s="33">
        <f t="shared" si="10"/>
        <v>6.0000000000000053E-3</v>
      </c>
      <c r="K145" s="34" t="str">
        <f t="shared" si="11"/>
        <v/>
      </c>
      <c r="L145" s="35">
        <f t="shared" si="12"/>
        <v>7.5</v>
      </c>
      <c r="M145" s="36" t="str">
        <f t="shared" si="13"/>
        <v/>
      </c>
      <c r="N145" s="37" t="s">
        <v>18</v>
      </c>
      <c r="O145" s="29">
        <v>1</v>
      </c>
      <c r="P145" s="38">
        <v>40</v>
      </c>
      <c r="Q145" s="46"/>
      <c r="R145" s="28" t="s">
        <v>3377</v>
      </c>
      <c r="S145" s="91" t="s">
        <v>59</v>
      </c>
      <c r="T145" s="46"/>
      <c r="U145" s="28" t="s">
        <v>31</v>
      </c>
    </row>
    <row r="146" spans="1:21" s="27" customFormat="1" x14ac:dyDescent="0.25">
      <c r="A146" s="28" t="s">
        <v>21</v>
      </c>
      <c r="B146" s="28" t="s">
        <v>3349</v>
      </c>
      <c r="C146" s="28" t="s">
        <v>21</v>
      </c>
      <c r="D146" s="29">
        <v>1</v>
      </c>
      <c r="E146" s="71">
        <v>46</v>
      </c>
      <c r="F146" s="45">
        <v>300</v>
      </c>
      <c r="G146" s="32"/>
      <c r="H146" s="32">
        <v>1.863</v>
      </c>
      <c r="I146" s="32">
        <v>1.8580000000000001</v>
      </c>
      <c r="J146" s="33">
        <f t="shared" si="10"/>
        <v>4.9999999999998934E-3</v>
      </c>
      <c r="K146" s="34" t="str">
        <f t="shared" si="11"/>
        <v/>
      </c>
      <c r="L146" s="35">
        <f t="shared" si="12"/>
        <v>7.5</v>
      </c>
      <c r="M146" s="36" t="str">
        <f t="shared" si="13"/>
        <v/>
      </c>
      <c r="N146" s="37" t="s">
        <v>18</v>
      </c>
      <c r="O146" s="29">
        <v>1</v>
      </c>
      <c r="P146" s="38">
        <v>40</v>
      </c>
      <c r="Q146" s="46"/>
      <c r="R146" s="28" t="s">
        <v>3378</v>
      </c>
      <c r="S146" s="92" t="s">
        <v>21</v>
      </c>
      <c r="T146" s="46"/>
      <c r="U146" s="28" t="s">
        <v>31</v>
      </c>
    </row>
    <row r="147" spans="1:21" s="27" customFormat="1" x14ac:dyDescent="0.25">
      <c r="A147" s="28" t="s">
        <v>21</v>
      </c>
      <c r="B147" s="28" t="s">
        <v>3350</v>
      </c>
      <c r="C147" s="28" t="s">
        <v>21</v>
      </c>
      <c r="D147" s="29">
        <v>1</v>
      </c>
      <c r="E147" s="71">
        <v>44</v>
      </c>
      <c r="F147" s="45">
        <v>302</v>
      </c>
      <c r="G147" s="32"/>
      <c r="H147" s="32">
        <v>1.8660000000000001</v>
      </c>
      <c r="I147" s="32">
        <v>1.86</v>
      </c>
      <c r="J147" s="33">
        <f t="shared" si="10"/>
        <v>6.0000000000000053E-3</v>
      </c>
      <c r="K147" s="34" t="str">
        <f t="shared" si="11"/>
        <v/>
      </c>
      <c r="L147" s="35">
        <f t="shared" si="12"/>
        <v>7.55</v>
      </c>
      <c r="M147" s="36" t="str">
        <f t="shared" si="13"/>
        <v/>
      </c>
      <c r="N147" s="37" t="s">
        <v>18</v>
      </c>
      <c r="O147" s="29">
        <v>1</v>
      </c>
      <c r="P147" s="38">
        <v>40</v>
      </c>
      <c r="Q147" s="46"/>
      <c r="R147" s="28" t="s">
        <v>3379</v>
      </c>
      <c r="S147" s="92" t="s">
        <v>21</v>
      </c>
      <c r="T147" s="46"/>
      <c r="U147" s="28" t="s">
        <v>31</v>
      </c>
    </row>
    <row r="148" spans="1:21" s="27" customFormat="1" x14ac:dyDescent="0.25">
      <c r="A148" s="28" t="s">
        <v>21</v>
      </c>
      <c r="B148" s="28" t="s">
        <v>3351</v>
      </c>
      <c r="C148" s="28" t="s">
        <v>21</v>
      </c>
      <c r="D148" s="29">
        <v>1</v>
      </c>
      <c r="E148" s="71">
        <v>42</v>
      </c>
      <c r="F148" s="45">
        <v>300</v>
      </c>
      <c r="G148" s="32"/>
      <c r="H148" s="32">
        <v>1.857</v>
      </c>
      <c r="I148" s="32">
        <v>1.851</v>
      </c>
      <c r="J148" s="33">
        <f t="shared" si="10"/>
        <v>6.0000000000000053E-3</v>
      </c>
      <c r="K148" s="34" t="str">
        <f t="shared" si="11"/>
        <v/>
      </c>
      <c r="L148" s="35">
        <f t="shared" si="12"/>
        <v>7.5</v>
      </c>
      <c r="M148" s="36" t="str">
        <f t="shared" si="13"/>
        <v/>
      </c>
      <c r="N148" s="37" t="s">
        <v>18</v>
      </c>
      <c r="O148" s="29">
        <v>1</v>
      </c>
      <c r="P148" s="38">
        <v>40</v>
      </c>
      <c r="Q148" s="46"/>
      <c r="R148" s="28" t="s">
        <v>3380</v>
      </c>
      <c r="S148" s="92" t="s">
        <v>21</v>
      </c>
      <c r="T148" s="46"/>
      <c r="U148" s="28" t="s">
        <v>31</v>
      </c>
    </row>
    <row r="149" spans="1:21" s="27" customFormat="1" x14ac:dyDescent="0.25">
      <c r="A149" s="28" t="s">
        <v>21</v>
      </c>
      <c r="B149" s="28" t="s">
        <v>3352</v>
      </c>
      <c r="C149" s="28" t="s">
        <v>21</v>
      </c>
      <c r="D149" s="29">
        <v>1</v>
      </c>
      <c r="E149" s="71">
        <v>45</v>
      </c>
      <c r="F149" s="45">
        <v>301</v>
      </c>
      <c r="G149" s="32"/>
      <c r="H149" s="32">
        <v>1.857</v>
      </c>
      <c r="I149" s="32">
        <v>1.851</v>
      </c>
      <c r="J149" s="33">
        <f t="shared" si="10"/>
        <v>6.0000000000000053E-3</v>
      </c>
      <c r="K149" s="34" t="str">
        <f t="shared" si="11"/>
        <v/>
      </c>
      <c r="L149" s="35">
        <f t="shared" si="12"/>
        <v>7.5250000000000004</v>
      </c>
      <c r="M149" s="36" t="str">
        <f t="shared" si="13"/>
        <v/>
      </c>
      <c r="N149" s="37" t="s">
        <v>18</v>
      </c>
      <c r="O149" s="29">
        <v>1</v>
      </c>
      <c r="P149" s="38">
        <v>40</v>
      </c>
      <c r="Q149" s="46"/>
      <c r="R149" s="28" t="s">
        <v>3381</v>
      </c>
      <c r="S149" s="92" t="s">
        <v>21</v>
      </c>
      <c r="T149" s="46"/>
      <c r="U149" s="28" t="s">
        <v>31</v>
      </c>
    </row>
    <row r="150" spans="1:21" s="27" customFormat="1" x14ac:dyDescent="0.25">
      <c r="A150" s="28" t="s">
        <v>21</v>
      </c>
      <c r="B150" s="28" t="s">
        <v>3353</v>
      </c>
      <c r="C150" s="28" t="s">
        <v>21</v>
      </c>
      <c r="D150" s="29">
        <v>1</v>
      </c>
      <c r="E150" s="71">
        <v>58</v>
      </c>
      <c r="F150" s="45">
        <v>300</v>
      </c>
      <c r="G150" s="32"/>
      <c r="H150" s="32">
        <v>1.857</v>
      </c>
      <c r="I150" s="32">
        <v>1.8520000000000001</v>
      </c>
      <c r="J150" s="33">
        <f t="shared" si="10"/>
        <v>4.9999999999998934E-3</v>
      </c>
      <c r="K150" s="34" t="str">
        <f t="shared" si="11"/>
        <v/>
      </c>
      <c r="L150" s="35">
        <f t="shared" si="12"/>
        <v>7.5</v>
      </c>
      <c r="M150" s="36" t="str">
        <f t="shared" si="13"/>
        <v/>
      </c>
      <c r="N150" s="37" t="s">
        <v>18</v>
      </c>
      <c r="O150" s="29">
        <v>1</v>
      </c>
      <c r="P150" s="38">
        <v>40</v>
      </c>
      <c r="Q150" s="46"/>
      <c r="R150" s="28" t="s">
        <v>3382</v>
      </c>
      <c r="S150" s="92" t="s">
        <v>21</v>
      </c>
      <c r="T150" s="46"/>
      <c r="U150" s="28" t="s">
        <v>31</v>
      </c>
    </row>
    <row r="151" spans="1:21" s="27" customFormat="1" x14ac:dyDescent="0.25">
      <c r="A151" s="28" t="s">
        <v>21</v>
      </c>
      <c r="B151" s="28" t="s">
        <v>3354</v>
      </c>
      <c r="C151" s="28" t="s">
        <v>21</v>
      </c>
      <c r="D151" s="29">
        <v>1</v>
      </c>
      <c r="E151" s="71">
        <v>50</v>
      </c>
      <c r="F151" s="45">
        <v>300</v>
      </c>
      <c r="G151" s="32"/>
      <c r="H151" s="32">
        <v>1.863</v>
      </c>
      <c r="I151" s="32">
        <v>1.857</v>
      </c>
      <c r="J151" s="33">
        <f t="shared" si="10"/>
        <v>6.0000000000000053E-3</v>
      </c>
      <c r="K151" s="34" t="str">
        <f t="shared" si="11"/>
        <v/>
      </c>
      <c r="L151" s="35">
        <f t="shared" si="12"/>
        <v>7.5</v>
      </c>
      <c r="M151" s="36" t="str">
        <f t="shared" si="13"/>
        <v/>
      </c>
      <c r="N151" s="37" t="s">
        <v>18</v>
      </c>
      <c r="O151" s="29">
        <v>1</v>
      </c>
      <c r="P151" s="38">
        <v>40</v>
      </c>
      <c r="Q151" s="46"/>
      <c r="R151" s="28" t="s">
        <v>3383</v>
      </c>
      <c r="S151" s="92" t="s">
        <v>21</v>
      </c>
      <c r="T151" s="46"/>
      <c r="U151" s="28" t="s">
        <v>31</v>
      </c>
    </row>
    <row r="152" spans="1:21" s="27" customFormat="1" x14ac:dyDescent="0.25">
      <c r="A152" s="28" t="s">
        <v>21</v>
      </c>
      <c r="B152" s="28" t="s">
        <v>3355</v>
      </c>
      <c r="C152" s="28" t="s">
        <v>21</v>
      </c>
      <c r="D152" s="29">
        <v>1</v>
      </c>
      <c r="E152" s="71">
        <v>42</v>
      </c>
      <c r="F152" s="45">
        <v>303</v>
      </c>
      <c r="G152" s="32"/>
      <c r="H152" s="32">
        <v>1.863</v>
      </c>
      <c r="I152" s="32">
        <v>1.857</v>
      </c>
      <c r="J152" s="33">
        <f t="shared" si="10"/>
        <v>6.0000000000000053E-3</v>
      </c>
      <c r="K152" s="34" t="str">
        <f t="shared" si="11"/>
        <v/>
      </c>
      <c r="L152" s="35">
        <f t="shared" si="12"/>
        <v>7.5750000000000002</v>
      </c>
      <c r="M152" s="36" t="str">
        <f t="shared" si="13"/>
        <v/>
      </c>
      <c r="N152" s="37" t="s">
        <v>18</v>
      </c>
      <c r="O152" s="29">
        <v>1</v>
      </c>
      <c r="P152" s="38">
        <v>40</v>
      </c>
      <c r="Q152" s="46"/>
      <c r="R152" s="28" t="s">
        <v>3384</v>
      </c>
      <c r="S152" s="92" t="s">
        <v>21</v>
      </c>
      <c r="T152" s="46"/>
      <c r="U152" s="28" t="s">
        <v>31</v>
      </c>
    </row>
    <row r="153" spans="1:21" s="27" customFormat="1" x14ac:dyDescent="0.25">
      <c r="A153" s="28" t="s">
        <v>21</v>
      </c>
      <c r="B153" s="28" t="s">
        <v>3356</v>
      </c>
      <c r="C153" s="28" t="s">
        <v>21</v>
      </c>
      <c r="D153" s="29">
        <v>1</v>
      </c>
      <c r="E153" s="71">
        <v>47</v>
      </c>
      <c r="F153" s="45">
        <v>302</v>
      </c>
      <c r="G153" s="32"/>
      <c r="H153" s="32">
        <v>1.86</v>
      </c>
      <c r="I153" s="32">
        <v>1.8540000000000001</v>
      </c>
      <c r="J153" s="33">
        <f t="shared" si="10"/>
        <v>6.0000000000000053E-3</v>
      </c>
      <c r="K153" s="34" t="str">
        <f t="shared" si="11"/>
        <v/>
      </c>
      <c r="L153" s="35">
        <f t="shared" si="12"/>
        <v>7.55</v>
      </c>
      <c r="M153" s="36" t="str">
        <f t="shared" si="13"/>
        <v/>
      </c>
      <c r="N153" s="37" t="s">
        <v>18</v>
      </c>
      <c r="O153" s="29">
        <v>1</v>
      </c>
      <c r="P153" s="38">
        <v>40</v>
      </c>
      <c r="Q153" s="46"/>
      <c r="R153" s="28" t="s">
        <v>3385</v>
      </c>
      <c r="S153" s="92" t="s">
        <v>21</v>
      </c>
      <c r="T153" s="46"/>
      <c r="U153" s="28" t="s">
        <v>31</v>
      </c>
    </row>
    <row r="154" spans="1:21" s="27" customFormat="1" x14ac:dyDescent="0.25">
      <c r="A154" s="28" t="s">
        <v>3386</v>
      </c>
      <c r="B154" s="28" t="s">
        <v>3387</v>
      </c>
      <c r="C154" s="28">
        <v>786993</v>
      </c>
      <c r="D154" s="29">
        <v>1</v>
      </c>
      <c r="E154" s="73">
        <v>70</v>
      </c>
      <c r="F154" s="45">
        <v>1206</v>
      </c>
      <c r="G154" s="32">
        <v>1.8520000000000001</v>
      </c>
      <c r="H154" s="32">
        <v>7.41</v>
      </c>
      <c r="I154" s="32">
        <v>7.38</v>
      </c>
      <c r="J154" s="33">
        <f>IF(O154&lt;&gt;"",(H154-I154)/O154,"")</f>
        <v>7.5000000000000622E-3</v>
      </c>
      <c r="K154" s="34" t="str">
        <f t="shared" si="11"/>
        <v/>
      </c>
      <c r="L154" s="35">
        <f>F154/(O154*P154)</f>
        <v>7.5374999999999996</v>
      </c>
      <c r="M154" s="36" t="str">
        <f>IF(L154=0,"",IF(OR(L154&lt;7,L154&gt;7.8),"X",""))</f>
        <v/>
      </c>
      <c r="N154" s="37" t="s">
        <v>24</v>
      </c>
      <c r="O154" s="29">
        <v>4</v>
      </c>
      <c r="P154" s="38">
        <v>40</v>
      </c>
      <c r="Q154" s="28"/>
      <c r="R154" s="28" t="s">
        <v>3397</v>
      </c>
      <c r="S154" s="47"/>
      <c r="T154" s="28"/>
      <c r="U154" s="28" t="s">
        <v>31</v>
      </c>
    </row>
    <row r="155" spans="1:21" s="27" customFormat="1" x14ac:dyDescent="0.25">
      <c r="A155" s="28" t="s">
        <v>21</v>
      </c>
      <c r="B155" s="28" t="s">
        <v>21</v>
      </c>
      <c r="C155" s="28" t="s">
        <v>21</v>
      </c>
      <c r="D155" s="29">
        <v>1</v>
      </c>
      <c r="E155" s="73"/>
      <c r="F155" s="31"/>
      <c r="G155" s="32">
        <v>1.851</v>
      </c>
      <c r="H155" s="32"/>
      <c r="I155" s="32"/>
      <c r="J155" s="33" t="str">
        <f t="shared" ref="J155:J193" si="14">IF(O155&lt;&gt;"",(H155-I155)/O155,"")</f>
        <v/>
      </c>
      <c r="K155" s="34"/>
      <c r="L155" s="35"/>
      <c r="M155" s="36" t="str">
        <f t="shared" ref="M155:M193" si="15">IF(L155=0,"",IF(OR(L155&lt;7.4,L155&gt;8),"X",""))</f>
        <v/>
      </c>
      <c r="N155" s="37"/>
      <c r="O155" s="29"/>
      <c r="P155" s="38"/>
      <c r="Q155" s="28"/>
      <c r="R155" s="28" t="s">
        <v>3399</v>
      </c>
      <c r="S155" s="47"/>
      <c r="T155" s="28"/>
      <c r="U155" s="28" t="s">
        <v>31</v>
      </c>
    </row>
    <row r="156" spans="1:21" s="27" customFormat="1" x14ac:dyDescent="0.25">
      <c r="A156" s="28" t="s">
        <v>21</v>
      </c>
      <c r="B156" s="28" t="s">
        <v>21</v>
      </c>
      <c r="C156" s="28" t="s">
        <v>21</v>
      </c>
      <c r="D156" s="29">
        <v>1</v>
      </c>
      <c r="E156" s="73"/>
      <c r="F156" s="31"/>
      <c r="G156" s="32">
        <v>1.857</v>
      </c>
      <c r="H156" s="32"/>
      <c r="I156" s="32"/>
      <c r="J156" s="33" t="str">
        <f t="shared" si="14"/>
        <v/>
      </c>
      <c r="K156" s="34"/>
      <c r="L156" s="35"/>
      <c r="M156" s="36" t="str">
        <f t="shared" si="15"/>
        <v/>
      </c>
      <c r="N156" s="37"/>
      <c r="O156" s="29"/>
      <c r="P156" s="38"/>
      <c r="Q156" s="28"/>
      <c r="R156" s="28" t="s">
        <v>3400</v>
      </c>
      <c r="S156" s="47"/>
      <c r="T156" s="28"/>
      <c r="U156" s="28" t="s">
        <v>31</v>
      </c>
    </row>
    <row r="157" spans="1:21" s="27" customFormat="1" x14ac:dyDescent="0.25">
      <c r="A157" s="28" t="s">
        <v>21</v>
      </c>
      <c r="B157" s="28" t="s">
        <v>21</v>
      </c>
      <c r="C157" s="28" t="s">
        <v>21</v>
      </c>
      <c r="D157" s="29">
        <v>1</v>
      </c>
      <c r="E157" s="73"/>
      <c r="F157" s="31"/>
      <c r="G157" s="32">
        <v>1.847</v>
      </c>
      <c r="H157" s="32"/>
      <c r="I157" s="32"/>
      <c r="J157" s="33" t="str">
        <f t="shared" si="14"/>
        <v/>
      </c>
      <c r="K157" s="34"/>
      <c r="L157" s="35"/>
      <c r="M157" s="36" t="str">
        <f t="shared" si="15"/>
        <v/>
      </c>
      <c r="N157" s="37"/>
      <c r="O157" s="29"/>
      <c r="P157" s="38"/>
      <c r="Q157" s="28"/>
      <c r="R157" s="28" t="s">
        <v>3398</v>
      </c>
      <c r="S157" s="47"/>
      <c r="T157" s="28"/>
      <c r="U157" s="28" t="s">
        <v>31</v>
      </c>
    </row>
    <row r="158" spans="1:21" s="27" customFormat="1" x14ac:dyDescent="0.25">
      <c r="A158" s="28" t="s">
        <v>21</v>
      </c>
      <c r="B158" s="28" t="s">
        <v>3388</v>
      </c>
      <c r="C158" s="28" t="s">
        <v>21</v>
      </c>
      <c r="D158" s="29">
        <v>1</v>
      </c>
      <c r="E158" s="73">
        <v>70</v>
      </c>
      <c r="F158" s="45">
        <v>1204</v>
      </c>
      <c r="G158" s="32">
        <v>1.8540000000000001</v>
      </c>
      <c r="H158" s="32">
        <v>7.42</v>
      </c>
      <c r="I158" s="32">
        <v>7.39</v>
      </c>
      <c r="J158" s="33">
        <f>IF(O158&lt;&gt;"",(H158-I158)/O158,"")</f>
        <v>7.5000000000000622E-3</v>
      </c>
      <c r="K158" s="34" t="str">
        <f t="shared" si="11"/>
        <v/>
      </c>
      <c r="L158" s="35">
        <f>F158/(O158*P158)</f>
        <v>7.5250000000000004</v>
      </c>
      <c r="M158" s="36" t="str">
        <f>IF(L158=0,"",IF(OR(L158&lt;7,L158&gt;7.8),"X",""))</f>
        <v/>
      </c>
      <c r="N158" s="37" t="s">
        <v>24</v>
      </c>
      <c r="O158" s="29">
        <v>4</v>
      </c>
      <c r="P158" s="38">
        <v>40</v>
      </c>
      <c r="Q158" s="28"/>
      <c r="R158" s="28" t="s">
        <v>3401</v>
      </c>
      <c r="S158" s="47"/>
      <c r="T158" s="28"/>
      <c r="U158" s="28" t="s">
        <v>31</v>
      </c>
    </row>
    <row r="159" spans="1:21" s="27" customFormat="1" x14ac:dyDescent="0.25">
      <c r="A159" s="28" t="s">
        <v>21</v>
      </c>
      <c r="B159" s="28" t="s">
        <v>21</v>
      </c>
      <c r="C159" s="28" t="s">
        <v>21</v>
      </c>
      <c r="D159" s="29">
        <v>1</v>
      </c>
      <c r="E159" s="73"/>
      <c r="F159" s="31"/>
      <c r="G159" s="32">
        <v>1.853</v>
      </c>
      <c r="H159" s="32"/>
      <c r="I159" s="32"/>
      <c r="J159" s="33" t="str">
        <f t="shared" si="14"/>
        <v/>
      </c>
      <c r="K159" s="34"/>
      <c r="L159" s="35"/>
      <c r="M159" s="36" t="str">
        <f t="shared" si="15"/>
        <v/>
      </c>
      <c r="N159" s="37"/>
      <c r="O159" s="29"/>
      <c r="P159" s="38"/>
      <c r="Q159" s="28"/>
      <c r="R159" s="28" t="s">
        <v>3402</v>
      </c>
      <c r="S159" s="47"/>
      <c r="T159" s="28"/>
      <c r="U159" s="28" t="s">
        <v>31</v>
      </c>
    </row>
    <row r="160" spans="1:21" s="27" customFormat="1" x14ac:dyDescent="0.25">
      <c r="A160" s="28" t="s">
        <v>21</v>
      </c>
      <c r="B160" s="28" t="s">
        <v>21</v>
      </c>
      <c r="C160" s="28" t="s">
        <v>21</v>
      </c>
      <c r="D160" s="29">
        <v>1</v>
      </c>
      <c r="E160" s="73"/>
      <c r="F160" s="31"/>
      <c r="G160" s="32">
        <v>1.855</v>
      </c>
      <c r="H160" s="32"/>
      <c r="I160" s="32"/>
      <c r="J160" s="33" t="str">
        <f t="shared" si="14"/>
        <v/>
      </c>
      <c r="K160" s="34"/>
      <c r="L160" s="35"/>
      <c r="M160" s="36" t="str">
        <f t="shared" si="15"/>
        <v/>
      </c>
      <c r="N160" s="37"/>
      <c r="O160" s="29"/>
      <c r="P160" s="38"/>
      <c r="Q160" s="28"/>
      <c r="R160" s="28" t="s">
        <v>3403</v>
      </c>
      <c r="S160" s="47"/>
      <c r="T160" s="28"/>
      <c r="U160" s="28" t="s">
        <v>31</v>
      </c>
    </row>
    <row r="161" spans="1:21" s="27" customFormat="1" x14ac:dyDescent="0.25">
      <c r="A161" s="28" t="s">
        <v>21</v>
      </c>
      <c r="B161" s="28" t="s">
        <v>21</v>
      </c>
      <c r="C161" s="28" t="s">
        <v>21</v>
      </c>
      <c r="D161" s="29">
        <v>1</v>
      </c>
      <c r="E161" s="73"/>
      <c r="F161" s="31"/>
      <c r="G161" s="32">
        <v>1.85</v>
      </c>
      <c r="H161" s="32"/>
      <c r="I161" s="32"/>
      <c r="J161" s="33" t="str">
        <f t="shared" si="14"/>
        <v/>
      </c>
      <c r="K161" s="34"/>
      <c r="L161" s="35"/>
      <c r="M161" s="36" t="str">
        <f t="shared" si="15"/>
        <v/>
      </c>
      <c r="N161" s="37"/>
      <c r="O161" s="29"/>
      <c r="P161" s="38"/>
      <c r="Q161" s="28"/>
      <c r="R161" s="28" t="s">
        <v>3404</v>
      </c>
      <c r="S161" s="47"/>
      <c r="T161" s="28"/>
      <c r="U161" s="28" t="s">
        <v>31</v>
      </c>
    </row>
    <row r="162" spans="1:21" s="27" customFormat="1" x14ac:dyDescent="0.25">
      <c r="A162" s="28" t="s">
        <v>21</v>
      </c>
      <c r="B162" s="28" t="s">
        <v>3389</v>
      </c>
      <c r="C162" s="28">
        <v>794416</v>
      </c>
      <c r="D162" s="29">
        <v>1</v>
      </c>
      <c r="E162" s="73">
        <v>67</v>
      </c>
      <c r="F162" s="45">
        <v>1206</v>
      </c>
      <c r="G162" s="32">
        <v>1.8560000000000001</v>
      </c>
      <c r="H162" s="32">
        <v>7.39</v>
      </c>
      <c r="I162" s="32">
        <v>7.36</v>
      </c>
      <c r="J162" s="33">
        <f>IF(O162&lt;&gt;"",(H162-I162)/O162,"")</f>
        <v>7.4999999999998401E-3</v>
      </c>
      <c r="K162" s="34" t="str">
        <f t="shared" si="11"/>
        <v/>
      </c>
      <c r="L162" s="35">
        <f>F162/(O162*P162)</f>
        <v>7.5374999999999996</v>
      </c>
      <c r="M162" s="36" t="str">
        <f>IF(L162=0,"",IF(OR(L162&lt;7,L162&gt;7.8),"X",""))</f>
        <v/>
      </c>
      <c r="N162" s="37" t="s">
        <v>24</v>
      </c>
      <c r="O162" s="29">
        <v>4</v>
      </c>
      <c r="P162" s="38">
        <v>40</v>
      </c>
      <c r="Q162" s="28"/>
      <c r="R162" s="28" t="s">
        <v>3405</v>
      </c>
      <c r="S162" s="47"/>
      <c r="T162" s="28"/>
      <c r="U162" s="28" t="s">
        <v>31</v>
      </c>
    </row>
    <row r="163" spans="1:21" s="27" customFormat="1" x14ac:dyDescent="0.25">
      <c r="A163" s="28" t="s">
        <v>21</v>
      </c>
      <c r="B163" s="28" t="s">
        <v>21</v>
      </c>
      <c r="C163" s="28" t="s">
        <v>21</v>
      </c>
      <c r="D163" s="29">
        <v>1</v>
      </c>
      <c r="E163" s="73"/>
      <c r="F163" s="31"/>
      <c r="G163" s="32">
        <v>1.847</v>
      </c>
      <c r="H163" s="32"/>
      <c r="I163" s="32"/>
      <c r="J163" s="33" t="str">
        <f t="shared" si="14"/>
        <v/>
      </c>
      <c r="K163" s="34"/>
      <c r="L163" s="35"/>
      <c r="M163" s="36" t="str">
        <f t="shared" si="15"/>
        <v/>
      </c>
      <c r="N163" s="37"/>
      <c r="O163" s="29"/>
      <c r="P163" s="38"/>
      <c r="Q163" s="28"/>
      <c r="R163" s="28" t="s">
        <v>3406</v>
      </c>
      <c r="S163" s="47"/>
      <c r="T163" s="28"/>
      <c r="U163" s="28" t="s">
        <v>31</v>
      </c>
    </row>
    <row r="164" spans="1:21" s="27" customFormat="1" x14ac:dyDescent="0.25">
      <c r="A164" s="28" t="s">
        <v>21</v>
      </c>
      <c r="B164" s="28" t="s">
        <v>21</v>
      </c>
      <c r="C164" s="28" t="s">
        <v>21</v>
      </c>
      <c r="D164" s="29">
        <v>1</v>
      </c>
      <c r="E164" s="73"/>
      <c r="F164" s="31"/>
      <c r="G164" s="32">
        <v>1.839</v>
      </c>
      <c r="H164" s="32"/>
      <c r="I164" s="32"/>
      <c r="J164" s="33" t="str">
        <f t="shared" si="14"/>
        <v/>
      </c>
      <c r="K164" s="34"/>
      <c r="L164" s="35"/>
      <c r="M164" s="36" t="str">
        <f t="shared" si="15"/>
        <v/>
      </c>
      <c r="N164" s="37"/>
      <c r="O164" s="29"/>
      <c r="P164" s="38"/>
      <c r="Q164" s="28"/>
      <c r="R164" s="28" t="s">
        <v>3407</v>
      </c>
      <c r="S164" s="47"/>
      <c r="T164" s="28"/>
      <c r="U164" s="28" t="s">
        <v>31</v>
      </c>
    </row>
    <row r="165" spans="1:21" s="27" customFormat="1" x14ac:dyDescent="0.25">
      <c r="A165" s="28" t="s">
        <v>21</v>
      </c>
      <c r="B165" s="28" t="s">
        <v>21</v>
      </c>
      <c r="C165" s="28" t="s">
        <v>21</v>
      </c>
      <c r="D165" s="29">
        <v>1</v>
      </c>
      <c r="E165" s="73"/>
      <c r="F165" s="31"/>
      <c r="G165" s="32">
        <v>1.845</v>
      </c>
      <c r="H165" s="32"/>
      <c r="I165" s="32"/>
      <c r="J165" s="33" t="str">
        <f t="shared" si="14"/>
        <v/>
      </c>
      <c r="K165" s="34"/>
      <c r="L165" s="35"/>
      <c r="M165" s="36" t="str">
        <f t="shared" si="15"/>
        <v/>
      </c>
      <c r="N165" s="37"/>
      <c r="O165" s="29"/>
      <c r="P165" s="38"/>
      <c r="Q165" s="28"/>
      <c r="R165" s="28" t="s">
        <v>3408</v>
      </c>
      <c r="S165" s="47"/>
      <c r="T165" s="28"/>
      <c r="U165" s="28" t="s">
        <v>31</v>
      </c>
    </row>
    <row r="166" spans="1:21" s="27" customFormat="1" x14ac:dyDescent="0.25">
      <c r="A166" s="28" t="s">
        <v>21</v>
      </c>
      <c r="B166" s="28" t="s">
        <v>3390</v>
      </c>
      <c r="C166" s="28" t="s">
        <v>21</v>
      </c>
      <c r="D166" s="29">
        <v>1</v>
      </c>
      <c r="E166" s="71">
        <v>73</v>
      </c>
      <c r="F166" s="45">
        <v>1203</v>
      </c>
      <c r="G166" s="32">
        <v>1.837</v>
      </c>
      <c r="H166" s="32">
        <v>7.36</v>
      </c>
      <c r="I166" s="32">
        <v>7.33</v>
      </c>
      <c r="J166" s="33">
        <f>IF(O166&lt;&gt;"",(H166-I166)/O166,"")</f>
        <v>7.5000000000000622E-3</v>
      </c>
      <c r="K166" s="34" t="str">
        <f t="shared" si="11"/>
        <v/>
      </c>
      <c r="L166" s="35">
        <f>F166/(O166*P166)</f>
        <v>7.5187499999999998</v>
      </c>
      <c r="M166" s="36" t="str">
        <f>IF(L166=0,"",IF(OR(L166&lt;7,L166&gt;7.8),"X",""))</f>
        <v/>
      </c>
      <c r="N166" s="37" t="s">
        <v>24</v>
      </c>
      <c r="O166" s="29">
        <v>4</v>
      </c>
      <c r="P166" s="38">
        <v>40</v>
      </c>
      <c r="Q166" s="28"/>
      <c r="R166" s="28" t="s">
        <v>3409</v>
      </c>
      <c r="S166" s="91" t="s">
        <v>58</v>
      </c>
      <c r="T166" s="28"/>
      <c r="U166" s="28" t="s">
        <v>31</v>
      </c>
    </row>
    <row r="167" spans="1:21" s="27" customFormat="1" x14ac:dyDescent="0.25">
      <c r="A167" s="28" t="s">
        <v>21</v>
      </c>
      <c r="B167" s="28" t="s">
        <v>21</v>
      </c>
      <c r="C167" s="28" t="s">
        <v>21</v>
      </c>
      <c r="D167" s="29">
        <v>1</v>
      </c>
      <c r="E167" s="71"/>
      <c r="F167" s="31"/>
      <c r="G167" s="32">
        <v>1.835</v>
      </c>
      <c r="H167" s="32"/>
      <c r="I167" s="32"/>
      <c r="J167" s="33" t="str">
        <f t="shared" si="14"/>
        <v/>
      </c>
      <c r="K167" s="34"/>
      <c r="L167" s="35"/>
      <c r="M167" s="36" t="str">
        <f t="shared" si="15"/>
        <v/>
      </c>
      <c r="N167" s="37"/>
      <c r="O167" s="29"/>
      <c r="P167" s="38"/>
      <c r="Q167" s="28"/>
      <c r="R167" s="28" t="s">
        <v>3411</v>
      </c>
      <c r="S167" s="91" t="s">
        <v>59</v>
      </c>
      <c r="T167" s="28"/>
      <c r="U167" s="28" t="s">
        <v>31</v>
      </c>
    </row>
    <row r="168" spans="1:21" s="27" customFormat="1" x14ac:dyDescent="0.25">
      <c r="A168" s="28" t="s">
        <v>21</v>
      </c>
      <c r="B168" s="28" t="s">
        <v>21</v>
      </c>
      <c r="C168" s="28" t="s">
        <v>21</v>
      </c>
      <c r="D168" s="29">
        <v>1</v>
      </c>
      <c r="E168" s="71"/>
      <c r="F168" s="31"/>
      <c r="G168" s="32">
        <v>1.845</v>
      </c>
      <c r="H168" s="32"/>
      <c r="I168" s="32"/>
      <c r="J168" s="33" t="str">
        <f t="shared" si="14"/>
        <v/>
      </c>
      <c r="K168" s="34"/>
      <c r="L168" s="35"/>
      <c r="M168" s="36" t="str">
        <f t="shared" si="15"/>
        <v/>
      </c>
      <c r="N168" s="37"/>
      <c r="O168" s="29"/>
      <c r="P168" s="38"/>
      <c r="Q168" s="28"/>
      <c r="R168" s="28" t="s">
        <v>3410</v>
      </c>
      <c r="S168" s="92" t="s">
        <v>21</v>
      </c>
      <c r="T168" s="28"/>
      <c r="U168" s="28" t="s">
        <v>31</v>
      </c>
    </row>
    <row r="169" spans="1:21" s="27" customFormat="1" x14ac:dyDescent="0.25">
      <c r="A169" s="28" t="s">
        <v>21</v>
      </c>
      <c r="B169" s="28" t="s">
        <v>21</v>
      </c>
      <c r="C169" s="28" t="s">
        <v>21</v>
      </c>
      <c r="D169" s="29">
        <v>1</v>
      </c>
      <c r="E169" s="71"/>
      <c r="F169" s="31"/>
      <c r="G169" s="32">
        <v>1.8440000000000001</v>
      </c>
      <c r="H169" s="32"/>
      <c r="I169" s="32"/>
      <c r="J169" s="33" t="str">
        <f t="shared" si="14"/>
        <v/>
      </c>
      <c r="K169" s="34"/>
      <c r="L169" s="35"/>
      <c r="M169" s="36" t="str">
        <f t="shared" si="15"/>
        <v/>
      </c>
      <c r="N169" s="37"/>
      <c r="O169" s="29"/>
      <c r="P169" s="38"/>
      <c r="Q169" s="28"/>
      <c r="R169" s="28" t="s">
        <v>3412</v>
      </c>
      <c r="S169" s="92" t="s">
        <v>21</v>
      </c>
      <c r="T169" s="28"/>
      <c r="U169" s="28" t="s">
        <v>31</v>
      </c>
    </row>
    <row r="170" spans="1:21" s="27" customFormat="1" x14ac:dyDescent="0.25">
      <c r="A170" s="28" t="s">
        <v>21</v>
      </c>
      <c r="B170" s="28" t="s">
        <v>3391</v>
      </c>
      <c r="C170" s="28" t="s">
        <v>21</v>
      </c>
      <c r="D170" s="29">
        <v>1</v>
      </c>
      <c r="E170" s="71">
        <v>71</v>
      </c>
      <c r="F170" s="45">
        <v>1204</v>
      </c>
      <c r="G170" s="32">
        <v>1.847</v>
      </c>
      <c r="H170" s="32">
        <v>7.4</v>
      </c>
      <c r="I170" s="32">
        <v>7.37</v>
      </c>
      <c r="J170" s="33">
        <f>IF(O170&lt;&gt;"",(H170-I170)/O170,"")</f>
        <v>7.5000000000000622E-3</v>
      </c>
      <c r="K170" s="34" t="str">
        <f t="shared" si="11"/>
        <v/>
      </c>
      <c r="L170" s="35">
        <f>F170/(O170*P170)</f>
        <v>7.5250000000000004</v>
      </c>
      <c r="M170" s="36" t="str">
        <f>IF(L170=0,"",IF(OR(L170&lt;7,L170&gt;7.8),"X",""))</f>
        <v/>
      </c>
      <c r="N170" s="37" t="s">
        <v>24</v>
      </c>
      <c r="O170" s="29">
        <v>4</v>
      </c>
      <c r="P170" s="38">
        <v>40</v>
      </c>
      <c r="Q170" s="28"/>
      <c r="R170" s="28" t="s">
        <v>3414</v>
      </c>
      <c r="S170" s="92" t="s">
        <v>21</v>
      </c>
      <c r="T170" s="28"/>
      <c r="U170" s="28" t="s">
        <v>31</v>
      </c>
    </row>
    <row r="171" spans="1:21" s="27" customFormat="1" x14ac:dyDescent="0.25">
      <c r="A171" s="28" t="s">
        <v>21</v>
      </c>
      <c r="B171" s="28" t="s">
        <v>21</v>
      </c>
      <c r="C171" s="28" t="s">
        <v>21</v>
      </c>
      <c r="D171" s="29">
        <v>1</v>
      </c>
      <c r="E171" s="71"/>
      <c r="F171" s="31"/>
      <c r="G171" s="32">
        <v>1.8540000000000001</v>
      </c>
      <c r="H171" s="32"/>
      <c r="I171" s="32"/>
      <c r="J171" s="33" t="str">
        <f t="shared" si="14"/>
        <v/>
      </c>
      <c r="K171" s="34"/>
      <c r="L171" s="35"/>
      <c r="M171" s="36" t="str">
        <f t="shared" si="15"/>
        <v/>
      </c>
      <c r="N171" s="37"/>
      <c r="O171" s="29"/>
      <c r="P171" s="38"/>
      <c r="Q171" s="28"/>
      <c r="R171" s="28" t="s">
        <v>3413</v>
      </c>
      <c r="S171" s="92" t="s">
        <v>21</v>
      </c>
      <c r="T171" s="28"/>
      <c r="U171" s="28" t="s">
        <v>31</v>
      </c>
    </row>
    <row r="172" spans="1:21" s="27" customFormat="1" x14ac:dyDescent="0.25">
      <c r="A172" s="28" t="s">
        <v>21</v>
      </c>
      <c r="B172" s="28" t="s">
        <v>21</v>
      </c>
      <c r="C172" s="28" t="s">
        <v>21</v>
      </c>
      <c r="D172" s="29">
        <v>1</v>
      </c>
      <c r="E172" s="71"/>
      <c r="F172" s="31"/>
      <c r="G172" s="32">
        <v>1.849</v>
      </c>
      <c r="H172" s="32"/>
      <c r="I172" s="32"/>
      <c r="J172" s="33" t="str">
        <f t="shared" si="14"/>
        <v/>
      </c>
      <c r="K172" s="34"/>
      <c r="L172" s="35"/>
      <c r="M172" s="36" t="str">
        <f t="shared" si="15"/>
        <v/>
      </c>
      <c r="N172" s="37"/>
      <c r="O172" s="29"/>
      <c r="P172" s="38"/>
      <c r="Q172" s="28"/>
      <c r="R172" s="28" t="s">
        <v>3416</v>
      </c>
      <c r="S172" s="92" t="s">
        <v>21</v>
      </c>
      <c r="T172" s="28"/>
      <c r="U172" s="28" t="s">
        <v>31</v>
      </c>
    </row>
    <row r="173" spans="1:21" s="27" customFormat="1" x14ac:dyDescent="0.25">
      <c r="A173" s="28" t="s">
        <v>21</v>
      </c>
      <c r="B173" s="28" t="s">
        <v>21</v>
      </c>
      <c r="C173" s="28" t="s">
        <v>21</v>
      </c>
      <c r="D173" s="29">
        <v>1</v>
      </c>
      <c r="E173" s="71"/>
      <c r="F173" s="31"/>
      <c r="G173" s="32">
        <v>1.847</v>
      </c>
      <c r="H173" s="32"/>
      <c r="I173" s="32"/>
      <c r="J173" s="33" t="str">
        <f t="shared" si="14"/>
        <v/>
      </c>
      <c r="K173" s="34"/>
      <c r="L173" s="35"/>
      <c r="M173" s="36" t="str">
        <f t="shared" si="15"/>
        <v/>
      </c>
      <c r="N173" s="37"/>
      <c r="O173" s="29"/>
      <c r="P173" s="38"/>
      <c r="Q173" s="28"/>
      <c r="R173" s="28" t="s">
        <v>3415</v>
      </c>
      <c r="S173" s="92" t="s">
        <v>21</v>
      </c>
      <c r="T173" s="28"/>
      <c r="U173" s="28" t="s">
        <v>31</v>
      </c>
    </row>
    <row r="174" spans="1:21" s="27" customFormat="1" x14ac:dyDescent="0.25">
      <c r="A174" s="28" t="s">
        <v>21</v>
      </c>
      <c r="B174" s="28" t="s">
        <v>3392</v>
      </c>
      <c r="C174" s="28" t="s">
        <v>21</v>
      </c>
      <c r="D174" s="29">
        <v>1</v>
      </c>
      <c r="E174" s="71">
        <v>71</v>
      </c>
      <c r="F174" s="45">
        <v>1203</v>
      </c>
      <c r="G174" s="32">
        <v>1.827</v>
      </c>
      <c r="H174" s="32">
        <v>7.34</v>
      </c>
      <c r="I174" s="32">
        <v>7.31</v>
      </c>
      <c r="J174" s="33">
        <f>IF(O174&lt;&gt;"",(H174-I174)/O174,"")</f>
        <v>7.5000000000000622E-3</v>
      </c>
      <c r="K174" s="34" t="str">
        <f t="shared" si="11"/>
        <v/>
      </c>
      <c r="L174" s="35">
        <f>F174/(O174*P174)</f>
        <v>7.5187499999999998</v>
      </c>
      <c r="M174" s="36" t="str">
        <f>IF(L174=0,"",IF(OR(L174&lt;7,L174&gt;7.8),"X",""))</f>
        <v/>
      </c>
      <c r="N174" s="37" t="s">
        <v>24</v>
      </c>
      <c r="O174" s="29">
        <v>4</v>
      </c>
      <c r="P174" s="38">
        <v>40</v>
      </c>
      <c r="Q174" s="28"/>
      <c r="R174" s="28" t="s">
        <v>3418</v>
      </c>
      <c r="S174" s="92" t="s">
        <v>21</v>
      </c>
      <c r="T174" s="28"/>
      <c r="U174" s="28" t="s">
        <v>31</v>
      </c>
    </row>
    <row r="175" spans="1:21" s="27" customFormat="1" x14ac:dyDescent="0.25">
      <c r="A175" s="28" t="s">
        <v>21</v>
      </c>
      <c r="B175" s="28" t="s">
        <v>21</v>
      </c>
      <c r="C175" s="28" t="s">
        <v>21</v>
      </c>
      <c r="D175" s="29">
        <v>1</v>
      </c>
      <c r="E175" s="71"/>
      <c r="F175" s="31"/>
      <c r="G175" s="32">
        <v>1.84</v>
      </c>
      <c r="H175" s="32"/>
      <c r="I175" s="32"/>
      <c r="J175" s="33" t="str">
        <f t="shared" si="14"/>
        <v/>
      </c>
      <c r="K175" s="34"/>
      <c r="L175" s="35"/>
      <c r="M175" s="36" t="str">
        <f t="shared" si="15"/>
        <v/>
      </c>
      <c r="N175" s="37"/>
      <c r="O175" s="29"/>
      <c r="P175" s="38"/>
      <c r="Q175" s="28"/>
      <c r="R175" s="28" t="s">
        <v>3417</v>
      </c>
      <c r="S175" s="92" t="s">
        <v>21</v>
      </c>
      <c r="T175" s="28"/>
      <c r="U175" s="28" t="s">
        <v>31</v>
      </c>
    </row>
    <row r="176" spans="1:21" s="27" customFormat="1" x14ac:dyDescent="0.25">
      <c r="A176" s="28" t="s">
        <v>21</v>
      </c>
      <c r="B176" s="28" t="s">
        <v>21</v>
      </c>
      <c r="C176" s="28" t="s">
        <v>21</v>
      </c>
      <c r="D176" s="29">
        <v>1</v>
      </c>
      <c r="E176" s="71"/>
      <c r="F176" s="31"/>
      <c r="G176" s="32">
        <v>1.8360000000000001</v>
      </c>
      <c r="H176" s="32"/>
      <c r="I176" s="32"/>
      <c r="J176" s="33" t="str">
        <f t="shared" si="14"/>
        <v/>
      </c>
      <c r="K176" s="34"/>
      <c r="L176" s="35"/>
      <c r="M176" s="36" t="str">
        <f t="shared" si="15"/>
        <v/>
      </c>
      <c r="N176" s="37"/>
      <c r="O176" s="29"/>
      <c r="P176" s="38"/>
      <c r="Q176" s="28"/>
      <c r="R176" s="28" t="s">
        <v>3419</v>
      </c>
      <c r="S176" s="92" t="s">
        <v>21</v>
      </c>
      <c r="T176" s="28"/>
      <c r="U176" s="28" t="s">
        <v>31</v>
      </c>
    </row>
    <row r="177" spans="1:21" s="27" customFormat="1" x14ac:dyDescent="0.25">
      <c r="A177" s="28" t="s">
        <v>21</v>
      </c>
      <c r="B177" s="28" t="s">
        <v>21</v>
      </c>
      <c r="C177" s="28" t="s">
        <v>21</v>
      </c>
      <c r="D177" s="29">
        <v>1</v>
      </c>
      <c r="E177" s="71"/>
      <c r="F177" s="31"/>
      <c r="G177" s="32">
        <v>1.8380000000000001</v>
      </c>
      <c r="H177" s="32"/>
      <c r="I177" s="32"/>
      <c r="J177" s="33" t="str">
        <f t="shared" si="14"/>
        <v/>
      </c>
      <c r="K177" s="34"/>
      <c r="L177" s="35"/>
      <c r="M177" s="36" t="str">
        <f t="shared" si="15"/>
        <v/>
      </c>
      <c r="N177" s="37"/>
      <c r="O177" s="29"/>
      <c r="P177" s="38"/>
      <c r="Q177" s="28"/>
      <c r="R177" s="28" t="s">
        <v>3420</v>
      </c>
      <c r="S177" s="92" t="s">
        <v>21</v>
      </c>
      <c r="T177" s="28"/>
      <c r="U177" s="28" t="s">
        <v>31</v>
      </c>
    </row>
    <row r="178" spans="1:21" s="27" customFormat="1" x14ac:dyDescent="0.25">
      <c r="A178" s="28" t="s">
        <v>21</v>
      </c>
      <c r="B178" s="28" t="s">
        <v>3393</v>
      </c>
      <c r="C178" s="28" t="s">
        <v>21</v>
      </c>
      <c r="D178" s="29">
        <v>1</v>
      </c>
      <c r="E178" s="71">
        <v>57</v>
      </c>
      <c r="F178" s="45">
        <v>1204</v>
      </c>
      <c r="G178" s="32">
        <v>1.847</v>
      </c>
      <c r="H178" s="32">
        <v>7.4</v>
      </c>
      <c r="I178" s="32">
        <v>7.38</v>
      </c>
      <c r="J178" s="33">
        <f>IF(O178&lt;&gt;"",(H178-I178)/O178,"")</f>
        <v>5.0000000000001155E-3</v>
      </c>
      <c r="K178" s="34" t="str">
        <f t="shared" si="11"/>
        <v/>
      </c>
      <c r="L178" s="35">
        <f>F178/(O178*P178)</f>
        <v>7.5250000000000004</v>
      </c>
      <c r="M178" s="36" t="str">
        <f>IF(L178=0,"",IF(OR(L178&lt;7,L178&gt;7.8),"X",""))</f>
        <v/>
      </c>
      <c r="N178" s="37" t="s">
        <v>24</v>
      </c>
      <c r="O178" s="29">
        <v>4</v>
      </c>
      <c r="P178" s="38">
        <v>40</v>
      </c>
      <c r="Q178" s="28"/>
      <c r="R178" s="28" t="s">
        <v>3421</v>
      </c>
      <c r="S178" s="91" t="s">
        <v>103</v>
      </c>
      <c r="T178" s="28"/>
      <c r="U178" s="28" t="s">
        <v>31</v>
      </c>
    </row>
    <row r="179" spans="1:21" s="27" customFormat="1" x14ac:dyDescent="0.25">
      <c r="A179" s="28" t="s">
        <v>21</v>
      </c>
      <c r="B179" s="28" t="s">
        <v>21</v>
      </c>
      <c r="C179" s="28" t="s">
        <v>21</v>
      </c>
      <c r="D179" s="29">
        <v>1</v>
      </c>
      <c r="E179" s="71"/>
      <c r="F179" s="31"/>
      <c r="G179" s="32">
        <v>1.8540000000000001</v>
      </c>
      <c r="H179" s="32"/>
      <c r="I179" s="32"/>
      <c r="J179" s="33" t="str">
        <f t="shared" si="14"/>
        <v/>
      </c>
      <c r="K179" s="34"/>
      <c r="L179" s="35"/>
      <c r="M179" s="36" t="str">
        <f t="shared" si="15"/>
        <v/>
      </c>
      <c r="N179" s="37"/>
      <c r="O179" s="29"/>
      <c r="P179" s="38"/>
      <c r="Q179" s="28"/>
      <c r="R179" s="28" t="s">
        <v>3422</v>
      </c>
      <c r="S179" s="91" t="s">
        <v>59</v>
      </c>
      <c r="T179" s="28"/>
      <c r="U179" s="28" t="s">
        <v>31</v>
      </c>
    </row>
    <row r="180" spans="1:21" s="27" customFormat="1" x14ac:dyDescent="0.25">
      <c r="A180" s="28" t="s">
        <v>21</v>
      </c>
      <c r="B180" s="28" t="s">
        <v>21</v>
      </c>
      <c r="C180" s="28" t="s">
        <v>21</v>
      </c>
      <c r="D180" s="29">
        <v>1</v>
      </c>
      <c r="E180" s="71"/>
      <c r="F180" s="31"/>
      <c r="G180" s="32">
        <v>1.8520000000000001</v>
      </c>
      <c r="H180" s="32"/>
      <c r="I180" s="32"/>
      <c r="J180" s="33" t="str">
        <f t="shared" si="14"/>
        <v/>
      </c>
      <c r="K180" s="34"/>
      <c r="L180" s="35"/>
      <c r="M180" s="36" t="str">
        <f t="shared" si="15"/>
        <v/>
      </c>
      <c r="N180" s="37"/>
      <c r="O180" s="29"/>
      <c r="P180" s="38"/>
      <c r="Q180" s="28"/>
      <c r="R180" s="28" t="s">
        <v>3423</v>
      </c>
      <c r="S180" s="92" t="s">
        <v>21</v>
      </c>
      <c r="T180" s="28"/>
      <c r="U180" s="28" t="s">
        <v>31</v>
      </c>
    </row>
    <row r="181" spans="1:21" s="27" customFormat="1" x14ac:dyDescent="0.25">
      <c r="A181" s="28" t="s">
        <v>21</v>
      </c>
      <c r="B181" s="28" t="s">
        <v>21</v>
      </c>
      <c r="C181" s="28" t="s">
        <v>21</v>
      </c>
      <c r="D181" s="29">
        <v>1</v>
      </c>
      <c r="E181" s="71"/>
      <c r="F181" s="31"/>
      <c r="G181" s="32">
        <v>1.85</v>
      </c>
      <c r="H181" s="32"/>
      <c r="I181" s="32"/>
      <c r="J181" s="33" t="str">
        <f t="shared" si="14"/>
        <v/>
      </c>
      <c r="K181" s="34"/>
      <c r="L181" s="35"/>
      <c r="M181" s="36" t="str">
        <f t="shared" si="15"/>
        <v/>
      </c>
      <c r="N181" s="37"/>
      <c r="O181" s="29"/>
      <c r="P181" s="38"/>
      <c r="Q181" s="28"/>
      <c r="R181" s="28" t="s">
        <v>3424</v>
      </c>
      <c r="S181" s="92" t="s">
        <v>21</v>
      </c>
      <c r="T181" s="28"/>
      <c r="U181" s="28" t="s">
        <v>31</v>
      </c>
    </row>
    <row r="182" spans="1:21" s="27" customFormat="1" x14ac:dyDescent="0.25">
      <c r="A182" s="28" t="s">
        <v>21</v>
      </c>
      <c r="B182" s="28" t="s">
        <v>3394</v>
      </c>
      <c r="C182" s="28" t="s">
        <v>21</v>
      </c>
      <c r="D182" s="29">
        <v>1</v>
      </c>
      <c r="E182" s="71">
        <v>37</v>
      </c>
      <c r="F182" s="45">
        <v>1207</v>
      </c>
      <c r="G182" s="32">
        <v>1.861</v>
      </c>
      <c r="H182" s="32">
        <v>7.44</v>
      </c>
      <c r="I182" s="32">
        <v>7.41</v>
      </c>
      <c r="J182" s="33">
        <f>IF(O182&lt;&gt;"",(H182-I182)/O182,"")</f>
        <v>7.5000000000000622E-3</v>
      </c>
      <c r="K182" s="34" t="str">
        <f t="shared" si="11"/>
        <v/>
      </c>
      <c r="L182" s="35">
        <f>F182/(O182*P182)</f>
        <v>7.5437500000000002</v>
      </c>
      <c r="M182" s="36" t="str">
        <f>IF(L182=0,"",IF(OR(L182&lt;7,L182&gt;7.8),"X",""))</f>
        <v/>
      </c>
      <c r="N182" s="37" t="s">
        <v>24</v>
      </c>
      <c r="O182" s="29">
        <v>4</v>
      </c>
      <c r="P182" s="38">
        <v>40</v>
      </c>
      <c r="Q182" s="28"/>
      <c r="R182" s="28" t="s">
        <v>3425</v>
      </c>
      <c r="S182" s="92" t="s">
        <v>21</v>
      </c>
      <c r="T182" s="28"/>
      <c r="U182" s="28" t="s">
        <v>31</v>
      </c>
    </row>
    <row r="183" spans="1:21" s="27" customFormat="1" x14ac:dyDescent="0.25">
      <c r="A183" s="28" t="s">
        <v>21</v>
      </c>
      <c r="B183" s="28" t="s">
        <v>21</v>
      </c>
      <c r="C183" s="28">
        <v>794416</v>
      </c>
      <c r="D183" s="29">
        <v>1</v>
      </c>
      <c r="E183" s="71"/>
      <c r="F183" s="31"/>
      <c r="G183" s="32">
        <v>1.8580000000000001</v>
      </c>
      <c r="H183" s="32"/>
      <c r="I183" s="32"/>
      <c r="J183" s="33" t="str">
        <f t="shared" si="14"/>
        <v/>
      </c>
      <c r="K183" s="34"/>
      <c r="L183" s="35"/>
      <c r="M183" s="36" t="str">
        <f t="shared" si="15"/>
        <v/>
      </c>
      <c r="N183" s="37"/>
      <c r="O183" s="29"/>
      <c r="P183" s="38"/>
      <c r="Q183" s="28"/>
      <c r="R183" s="28" t="s">
        <v>3426</v>
      </c>
      <c r="S183" s="92" t="s">
        <v>21</v>
      </c>
      <c r="T183" s="28"/>
      <c r="U183" s="28" t="s">
        <v>31</v>
      </c>
    </row>
    <row r="184" spans="1:21" s="27" customFormat="1" x14ac:dyDescent="0.25">
      <c r="A184" s="28" t="s">
        <v>21</v>
      </c>
      <c r="B184" s="28" t="s">
        <v>21</v>
      </c>
      <c r="C184" s="28" t="s">
        <v>21</v>
      </c>
      <c r="D184" s="29">
        <v>1</v>
      </c>
      <c r="E184" s="71"/>
      <c r="F184" s="31"/>
      <c r="G184" s="32">
        <v>1.863</v>
      </c>
      <c r="H184" s="32"/>
      <c r="I184" s="32"/>
      <c r="J184" s="33" t="str">
        <f t="shared" si="14"/>
        <v/>
      </c>
      <c r="K184" s="34"/>
      <c r="L184" s="35"/>
      <c r="M184" s="36" t="str">
        <f t="shared" si="15"/>
        <v/>
      </c>
      <c r="N184" s="37"/>
      <c r="O184" s="29"/>
      <c r="P184" s="38"/>
      <c r="Q184" s="28"/>
      <c r="R184" s="28" t="s">
        <v>3427</v>
      </c>
      <c r="S184" s="92" t="s">
        <v>21</v>
      </c>
      <c r="T184" s="28"/>
      <c r="U184" s="28" t="s">
        <v>31</v>
      </c>
    </row>
    <row r="185" spans="1:21" s="27" customFormat="1" x14ac:dyDescent="0.25">
      <c r="A185" s="28" t="s">
        <v>21</v>
      </c>
      <c r="B185" s="28" t="s">
        <v>21</v>
      </c>
      <c r="C185" s="28" t="s">
        <v>21</v>
      </c>
      <c r="D185" s="29">
        <v>1</v>
      </c>
      <c r="E185" s="71"/>
      <c r="F185" s="31"/>
      <c r="G185" s="32">
        <v>1.859</v>
      </c>
      <c r="H185" s="32"/>
      <c r="I185" s="32"/>
      <c r="J185" s="33" t="str">
        <f t="shared" si="14"/>
        <v/>
      </c>
      <c r="K185" s="34"/>
      <c r="L185" s="35"/>
      <c r="M185" s="36" t="str">
        <f t="shared" si="15"/>
        <v/>
      </c>
      <c r="N185" s="37"/>
      <c r="O185" s="29"/>
      <c r="P185" s="38"/>
      <c r="Q185" s="28"/>
      <c r="R185" s="28" t="s">
        <v>3428</v>
      </c>
      <c r="S185" s="92" t="s">
        <v>21</v>
      </c>
      <c r="T185" s="28"/>
      <c r="U185" s="28" t="s">
        <v>31</v>
      </c>
    </row>
    <row r="186" spans="1:21" s="27" customFormat="1" x14ac:dyDescent="0.25">
      <c r="A186" s="28" t="s">
        <v>21</v>
      </c>
      <c r="B186" s="28" t="s">
        <v>3395</v>
      </c>
      <c r="C186" s="28" t="s">
        <v>21</v>
      </c>
      <c r="D186" s="29">
        <v>1</v>
      </c>
      <c r="E186" s="73">
        <v>8</v>
      </c>
      <c r="F186" s="45">
        <v>1211</v>
      </c>
      <c r="G186" s="32">
        <v>1.857</v>
      </c>
      <c r="H186" s="32">
        <v>7.41</v>
      </c>
      <c r="I186" s="32">
        <v>7.38</v>
      </c>
      <c r="J186" s="33">
        <f>IF(O186&lt;&gt;"",(H186-I186)/O186,"")</f>
        <v>7.5000000000000622E-3</v>
      </c>
      <c r="K186" s="34" t="str">
        <f t="shared" ref="K186:K190" si="16">IF(J186=0,"",IF(OR(J186&lt;0,J186&gt;0.03),"X",""))</f>
        <v/>
      </c>
      <c r="L186" s="35">
        <f>F186/(O186*P186)</f>
        <v>7.5687499999999996</v>
      </c>
      <c r="M186" s="36" t="str">
        <f>IF(L186=0,"",IF(OR(L186&lt;7,L186&gt;7.8),"X",""))</f>
        <v/>
      </c>
      <c r="N186" s="37" t="s">
        <v>24</v>
      </c>
      <c r="O186" s="29">
        <v>4</v>
      </c>
      <c r="P186" s="38">
        <v>40</v>
      </c>
      <c r="Q186" s="28"/>
      <c r="R186" s="28" t="s">
        <v>3429</v>
      </c>
      <c r="S186" s="47"/>
      <c r="T186" s="28"/>
      <c r="U186" s="28" t="s">
        <v>31</v>
      </c>
    </row>
    <row r="187" spans="1:21" s="27" customFormat="1" x14ac:dyDescent="0.25">
      <c r="A187" s="28" t="s">
        <v>21</v>
      </c>
      <c r="B187" s="28" t="s">
        <v>21</v>
      </c>
      <c r="C187" s="28" t="s">
        <v>21</v>
      </c>
      <c r="D187" s="29">
        <v>1</v>
      </c>
      <c r="E187" s="73"/>
      <c r="F187" s="31"/>
      <c r="G187" s="32">
        <v>1.843</v>
      </c>
      <c r="H187" s="32"/>
      <c r="I187" s="32"/>
      <c r="J187" s="33" t="str">
        <f t="shared" si="14"/>
        <v/>
      </c>
      <c r="K187" s="34"/>
      <c r="L187" s="35"/>
      <c r="M187" s="36" t="str">
        <f t="shared" si="15"/>
        <v/>
      </c>
      <c r="N187" s="37"/>
      <c r="O187" s="29"/>
      <c r="P187" s="38"/>
      <c r="Q187" s="28"/>
      <c r="R187" s="28" t="s">
        <v>3430</v>
      </c>
      <c r="S187" s="47"/>
      <c r="T187" s="28"/>
      <c r="U187" s="28" t="s">
        <v>31</v>
      </c>
    </row>
    <row r="188" spans="1:21" s="27" customFormat="1" x14ac:dyDescent="0.25">
      <c r="A188" s="28" t="s">
        <v>21</v>
      </c>
      <c r="B188" s="28" t="s">
        <v>21</v>
      </c>
      <c r="C188" s="28" t="s">
        <v>21</v>
      </c>
      <c r="D188" s="29">
        <v>1</v>
      </c>
      <c r="E188" s="73"/>
      <c r="F188" s="31"/>
      <c r="G188" s="32">
        <v>1.8480000000000001</v>
      </c>
      <c r="H188" s="32"/>
      <c r="I188" s="32"/>
      <c r="J188" s="33" t="str">
        <f t="shared" si="14"/>
        <v/>
      </c>
      <c r="K188" s="34"/>
      <c r="L188" s="35"/>
      <c r="M188" s="36" t="str">
        <f t="shared" si="15"/>
        <v/>
      </c>
      <c r="N188" s="37"/>
      <c r="O188" s="29"/>
      <c r="P188" s="38"/>
      <c r="Q188" s="28"/>
      <c r="R188" s="28" t="s">
        <v>3432</v>
      </c>
      <c r="S188" s="47"/>
      <c r="T188" s="28"/>
      <c r="U188" s="28" t="s">
        <v>31</v>
      </c>
    </row>
    <row r="189" spans="1:21" s="27" customFormat="1" x14ac:dyDescent="0.25">
      <c r="A189" s="28" t="s">
        <v>21</v>
      </c>
      <c r="B189" s="28" t="s">
        <v>21</v>
      </c>
      <c r="C189" s="28" t="s">
        <v>21</v>
      </c>
      <c r="D189" s="29">
        <v>1</v>
      </c>
      <c r="E189" s="73"/>
      <c r="F189" s="31"/>
      <c r="G189" s="32">
        <v>1.8620000000000001</v>
      </c>
      <c r="H189" s="32"/>
      <c r="I189" s="32"/>
      <c r="J189" s="33" t="str">
        <f t="shared" si="14"/>
        <v/>
      </c>
      <c r="K189" s="34"/>
      <c r="L189" s="35"/>
      <c r="M189" s="36" t="str">
        <f t="shared" si="15"/>
        <v/>
      </c>
      <c r="N189" s="37"/>
      <c r="O189" s="29"/>
      <c r="P189" s="38"/>
      <c r="Q189" s="28"/>
      <c r="R189" s="28" t="s">
        <v>3431</v>
      </c>
      <c r="S189" s="47"/>
      <c r="T189" s="28"/>
      <c r="U189" s="28" t="s">
        <v>31</v>
      </c>
    </row>
    <row r="190" spans="1:21" s="27" customFormat="1" x14ac:dyDescent="0.25">
      <c r="A190" s="28" t="s">
        <v>21</v>
      </c>
      <c r="B190" s="28" t="s">
        <v>3396</v>
      </c>
      <c r="C190" s="28" t="s">
        <v>21</v>
      </c>
      <c r="D190" s="29">
        <v>1</v>
      </c>
      <c r="E190" s="73">
        <v>5</v>
      </c>
      <c r="F190" s="45">
        <v>1210</v>
      </c>
      <c r="G190" s="32">
        <v>1.86</v>
      </c>
      <c r="H190" s="32">
        <v>7.44</v>
      </c>
      <c r="I190" s="32">
        <v>7.41</v>
      </c>
      <c r="J190" s="33">
        <f>IF(O190&lt;&gt;"",(H190-I190)/O190,"")</f>
        <v>7.5000000000000622E-3</v>
      </c>
      <c r="K190" s="34" t="str">
        <f t="shared" si="16"/>
        <v/>
      </c>
      <c r="L190" s="35">
        <f>F190/(O190*P190)</f>
        <v>7.5625</v>
      </c>
      <c r="M190" s="36" t="str">
        <f>IF(L190=0,"",IF(OR(L190&lt;7,L190&gt;7.8),"X",""))</f>
        <v/>
      </c>
      <c r="N190" s="37" t="s">
        <v>24</v>
      </c>
      <c r="O190" s="29">
        <v>4</v>
      </c>
      <c r="P190" s="38">
        <v>40</v>
      </c>
      <c r="Q190" s="28"/>
      <c r="R190" s="28" t="s">
        <v>3433</v>
      </c>
      <c r="S190" s="47"/>
      <c r="T190" s="28"/>
      <c r="U190" s="28" t="s">
        <v>31</v>
      </c>
    </row>
    <row r="191" spans="1:21" s="27" customFormat="1" x14ac:dyDescent="0.25">
      <c r="A191" s="28" t="s">
        <v>21</v>
      </c>
      <c r="B191" s="28" t="s">
        <v>21</v>
      </c>
      <c r="C191" s="28" t="s">
        <v>21</v>
      </c>
      <c r="D191" s="29">
        <v>1</v>
      </c>
      <c r="E191" s="73"/>
      <c r="F191" s="31"/>
      <c r="G191" s="32">
        <v>1.8560000000000001</v>
      </c>
      <c r="H191" s="32"/>
      <c r="I191" s="32"/>
      <c r="J191" s="33" t="str">
        <f t="shared" si="14"/>
        <v/>
      </c>
      <c r="K191" s="34"/>
      <c r="L191" s="35"/>
      <c r="M191" s="36" t="str">
        <f t="shared" si="15"/>
        <v/>
      </c>
      <c r="N191" s="37"/>
      <c r="O191" s="29"/>
      <c r="P191" s="38"/>
      <c r="Q191" s="28"/>
      <c r="R191" s="28" t="s">
        <v>3434</v>
      </c>
      <c r="S191" s="47"/>
      <c r="T191" s="28"/>
      <c r="U191" s="28" t="s">
        <v>31</v>
      </c>
    </row>
    <row r="192" spans="1:21" s="27" customFormat="1" x14ac:dyDescent="0.25">
      <c r="A192" s="28" t="s">
        <v>21</v>
      </c>
      <c r="B192" s="28" t="s">
        <v>21</v>
      </c>
      <c r="C192" s="28" t="s">
        <v>21</v>
      </c>
      <c r="D192" s="29">
        <v>1</v>
      </c>
      <c r="E192" s="73"/>
      <c r="F192" s="31"/>
      <c r="G192" s="32">
        <v>1.8680000000000001</v>
      </c>
      <c r="H192" s="32"/>
      <c r="I192" s="32"/>
      <c r="J192" s="33" t="str">
        <f t="shared" si="14"/>
        <v/>
      </c>
      <c r="K192" s="34"/>
      <c r="L192" s="35"/>
      <c r="M192" s="36" t="str">
        <f t="shared" si="15"/>
        <v/>
      </c>
      <c r="N192" s="37"/>
      <c r="O192" s="29"/>
      <c r="P192" s="38"/>
      <c r="Q192" s="28"/>
      <c r="R192" s="28" t="s">
        <v>3435</v>
      </c>
      <c r="S192" s="47"/>
      <c r="T192" s="28"/>
      <c r="U192" s="28" t="s">
        <v>31</v>
      </c>
    </row>
    <row r="193" spans="1:21" s="27" customFormat="1" x14ac:dyDescent="0.25">
      <c r="A193" s="28" t="s">
        <v>21</v>
      </c>
      <c r="B193" s="28" t="s">
        <v>21</v>
      </c>
      <c r="C193" s="28" t="s">
        <v>21</v>
      </c>
      <c r="D193" s="29">
        <v>1</v>
      </c>
      <c r="E193" s="73"/>
      <c r="F193" s="31"/>
      <c r="G193" s="32">
        <v>1.859</v>
      </c>
      <c r="H193" s="32"/>
      <c r="I193" s="32"/>
      <c r="J193" s="33" t="str">
        <f t="shared" si="14"/>
        <v/>
      </c>
      <c r="K193" s="34"/>
      <c r="L193" s="35"/>
      <c r="M193" s="36" t="str">
        <f t="shared" si="15"/>
        <v/>
      </c>
      <c r="N193" s="37"/>
      <c r="O193" s="29"/>
      <c r="P193" s="38"/>
      <c r="Q193" s="28"/>
      <c r="R193" s="28" t="s">
        <v>3436</v>
      </c>
      <c r="S193" s="47"/>
      <c r="T193" s="28"/>
      <c r="U193" s="28" t="s">
        <v>31</v>
      </c>
    </row>
    <row r="194" spans="1:21" s="27" customFormat="1" x14ac:dyDescent="0.25">
      <c r="A194" s="28" t="s">
        <v>3462</v>
      </c>
      <c r="B194" s="28" t="s">
        <v>3437</v>
      </c>
      <c r="C194" s="28">
        <v>794416</v>
      </c>
      <c r="D194" s="29">
        <v>1</v>
      </c>
      <c r="E194" s="71">
        <v>52</v>
      </c>
      <c r="F194" s="45">
        <v>605</v>
      </c>
      <c r="G194" s="32">
        <v>1.8640000000000001</v>
      </c>
      <c r="H194" s="32">
        <v>3.7320000000000002</v>
      </c>
      <c r="I194" s="32">
        <v>3.718</v>
      </c>
      <c r="J194" s="33">
        <f>IF(O194&lt;&gt;"",(H194-I194)/O194,"")</f>
        <v>7.0000000000001172E-3</v>
      </c>
      <c r="K194" s="34" t="str">
        <f t="shared" ref="K194:K243" si="17">IF(J194=0,"",IF(OR(J194&lt;0,J194&gt;0.03),"X",""))</f>
        <v/>
      </c>
      <c r="L194" s="35">
        <f>F194/(O194*P194)</f>
        <v>7.5625</v>
      </c>
      <c r="M194" s="36" t="str">
        <f>IF(L194=0,"",IF(OR(L194&lt;7,L194&gt;7.8),"X",""))</f>
        <v/>
      </c>
      <c r="N194" s="37" t="s">
        <v>20</v>
      </c>
      <c r="O194" s="29">
        <v>2</v>
      </c>
      <c r="P194" s="38">
        <v>40</v>
      </c>
      <c r="Q194" s="28"/>
      <c r="R194" s="28" t="s">
        <v>3463</v>
      </c>
      <c r="S194" s="91" t="s">
        <v>58</v>
      </c>
      <c r="T194" s="28"/>
      <c r="U194" s="28" t="s">
        <v>31</v>
      </c>
    </row>
    <row r="195" spans="1:21" s="27" customFormat="1" x14ac:dyDescent="0.25">
      <c r="A195" s="28" t="s">
        <v>21</v>
      </c>
      <c r="B195" s="28" t="s">
        <v>21</v>
      </c>
      <c r="C195" s="28" t="s">
        <v>21</v>
      </c>
      <c r="D195" s="29">
        <v>1</v>
      </c>
      <c r="E195" s="71"/>
      <c r="F195" s="31"/>
      <c r="G195" s="32">
        <v>1.8680000000000001</v>
      </c>
      <c r="H195" s="32"/>
      <c r="I195" s="32"/>
      <c r="J195" s="33"/>
      <c r="K195" s="34" t="str">
        <f t="shared" si="17"/>
        <v/>
      </c>
      <c r="L195" s="35"/>
      <c r="M195" s="36" t="str">
        <f t="shared" ref="M195:M243" si="18">IF(L195=0,"",IF(OR(L195&lt;7.4,L195&gt;8),"X",""))</f>
        <v/>
      </c>
      <c r="N195" s="37"/>
      <c r="O195" s="29"/>
      <c r="P195" s="38"/>
      <c r="Q195" s="28"/>
      <c r="R195" s="28" t="s">
        <v>3465</v>
      </c>
      <c r="S195" s="91" t="s">
        <v>59</v>
      </c>
      <c r="T195" s="28"/>
      <c r="U195" s="28" t="s">
        <v>31</v>
      </c>
    </row>
    <row r="196" spans="1:21" s="27" customFormat="1" x14ac:dyDescent="0.25">
      <c r="A196" s="28" t="s">
        <v>21</v>
      </c>
      <c r="B196" s="28" t="s">
        <v>3438</v>
      </c>
      <c r="C196" s="28" t="s">
        <v>21</v>
      </c>
      <c r="D196" s="29">
        <v>1</v>
      </c>
      <c r="E196" s="71">
        <v>60</v>
      </c>
      <c r="F196" s="45">
        <v>603</v>
      </c>
      <c r="G196" s="32">
        <v>1.8660000000000001</v>
      </c>
      <c r="H196" s="32">
        <v>3.7349999999999999</v>
      </c>
      <c r="I196" s="32">
        <v>3.7210000000000001</v>
      </c>
      <c r="J196" s="33">
        <f>IF(O196&lt;&gt;"",(H196-I196)/O196,"")</f>
        <v>6.9999999999998952E-3</v>
      </c>
      <c r="K196" s="34" t="str">
        <f t="shared" si="17"/>
        <v/>
      </c>
      <c r="L196" s="35">
        <f>F196/(O196*P196)</f>
        <v>7.5374999999999996</v>
      </c>
      <c r="M196" s="36" t="str">
        <f>IF(L196=0,"",IF(OR(L196&lt;7,L196&gt;7.8),"X",""))</f>
        <v/>
      </c>
      <c r="N196" s="37" t="s">
        <v>20</v>
      </c>
      <c r="O196" s="29">
        <v>2</v>
      </c>
      <c r="P196" s="38">
        <v>40</v>
      </c>
      <c r="Q196" s="28"/>
      <c r="R196" s="28" t="s">
        <v>3467</v>
      </c>
      <c r="S196" s="92" t="s">
        <v>21</v>
      </c>
      <c r="T196" s="28"/>
      <c r="U196" s="28" t="s">
        <v>31</v>
      </c>
    </row>
    <row r="197" spans="1:21" s="27" customFormat="1" x14ac:dyDescent="0.25">
      <c r="A197" s="28" t="s">
        <v>21</v>
      </c>
      <c r="B197" s="28" t="s">
        <v>21</v>
      </c>
      <c r="C197" s="28" t="s">
        <v>21</v>
      </c>
      <c r="D197" s="29">
        <v>1</v>
      </c>
      <c r="E197" s="71"/>
      <c r="F197" s="31"/>
      <c r="G197" s="32">
        <v>1.869</v>
      </c>
      <c r="H197" s="32"/>
      <c r="I197" s="32"/>
      <c r="J197" s="33"/>
      <c r="K197" s="34" t="str">
        <f t="shared" si="17"/>
        <v/>
      </c>
      <c r="L197" s="35"/>
      <c r="M197" s="36" t="str">
        <f t="shared" si="18"/>
        <v/>
      </c>
      <c r="N197" s="37"/>
      <c r="O197" s="29"/>
      <c r="P197" s="38"/>
      <c r="Q197" s="28"/>
      <c r="R197" s="28" t="s">
        <v>3464</v>
      </c>
      <c r="S197" s="92" t="s">
        <v>21</v>
      </c>
      <c r="T197" s="28"/>
      <c r="U197" s="28" t="s">
        <v>31</v>
      </c>
    </row>
    <row r="198" spans="1:21" s="27" customFormat="1" x14ac:dyDescent="0.25">
      <c r="A198" s="28" t="s">
        <v>21</v>
      </c>
      <c r="B198" s="28" t="s">
        <v>3439</v>
      </c>
      <c r="C198" s="28" t="s">
        <v>21</v>
      </c>
      <c r="D198" s="29">
        <v>1</v>
      </c>
      <c r="E198" s="71">
        <v>63</v>
      </c>
      <c r="F198" s="45">
        <v>604</v>
      </c>
      <c r="G198" s="32">
        <v>1.863</v>
      </c>
      <c r="H198" s="32">
        <v>3.7189999999999999</v>
      </c>
      <c r="I198" s="32">
        <v>3.7040000000000002</v>
      </c>
      <c r="J198" s="33">
        <f>IF(O198&lt;&gt;"",(H198-I198)/O198,"")</f>
        <v>7.4999999999998401E-3</v>
      </c>
      <c r="K198" s="34" t="str">
        <f t="shared" si="17"/>
        <v/>
      </c>
      <c r="L198" s="35">
        <f>F198/(O198*P198)</f>
        <v>7.55</v>
      </c>
      <c r="M198" s="36" t="str">
        <f>IF(L198=0,"",IF(OR(L198&lt;7,L198&gt;7.8),"X",""))</f>
        <v/>
      </c>
      <c r="N198" s="37" t="s">
        <v>20</v>
      </c>
      <c r="O198" s="29">
        <v>2</v>
      </c>
      <c r="P198" s="38">
        <v>40</v>
      </c>
      <c r="Q198" s="28"/>
      <c r="R198" s="28" t="s">
        <v>3475</v>
      </c>
      <c r="S198" s="92" t="s">
        <v>21</v>
      </c>
      <c r="T198" s="28"/>
      <c r="U198" s="28" t="s">
        <v>31</v>
      </c>
    </row>
    <row r="199" spans="1:21" s="27" customFormat="1" x14ac:dyDescent="0.25">
      <c r="A199" s="28" t="s">
        <v>21</v>
      </c>
      <c r="B199" s="28" t="s">
        <v>21</v>
      </c>
      <c r="C199" s="28" t="s">
        <v>21</v>
      </c>
      <c r="D199" s="29">
        <v>1</v>
      </c>
      <c r="E199" s="71"/>
      <c r="F199" s="31"/>
      <c r="G199" s="32">
        <v>1.857</v>
      </c>
      <c r="H199" s="32"/>
      <c r="I199" s="32"/>
      <c r="J199" s="33"/>
      <c r="K199" s="34" t="str">
        <f t="shared" si="17"/>
        <v/>
      </c>
      <c r="L199" s="35"/>
      <c r="M199" s="36" t="str">
        <f t="shared" si="18"/>
        <v/>
      </c>
      <c r="N199" s="37"/>
      <c r="O199" s="29"/>
      <c r="P199" s="38"/>
      <c r="Q199" s="28"/>
      <c r="R199" s="28" t="s">
        <v>3472</v>
      </c>
      <c r="S199" s="92" t="s">
        <v>21</v>
      </c>
      <c r="T199" s="28"/>
      <c r="U199" s="28" t="s">
        <v>31</v>
      </c>
    </row>
    <row r="200" spans="1:21" s="27" customFormat="1" x14ac:dyDescent="0.25">
      <c r="A200" s="28" t="s">
        <v>21</v>
      </c>
      <c r="B200" s="28" t="s">
        <v>3440</v>
      </c>
      <c r="C200" s="28" t="s">
        <v>21</v>
      </c>
      <c r="D200" s="29">
        <v>1</v>
      </c>
      <c r="E200" s="71">
        <v>62</v>
      </c>
      <c r="F200" s="45">
        <v>604</v>
      </c>
      <c r="G200" s="32">
        <v>1.865</v>
      </c>
      <c r="H200" s="32">
        <v>3.7360000000000002</v>
      </c>
      <c r="I200" s="32">
        <v>3.7210000000000001</v>
      </c>
      <c r="J200" s="33">
        <f>IF(O200&lt;&gt;"",(H200-I200)/O200,"")</f>
        <v>7.5000000000000622E-3</v>
      </c>
      <c r="K200" s="34" t="str">
        <f t="shared" si="17"/>
        <v/>
      </c>
      <c r="L200" s="35">
        <f>F200/(O200*P200)</f>
        <v>7.55</v>
      </c>
      <c r="M200" s="36" t="str">
        <f>IF(L200=0,"",IF(OR(L200&lt;7,L200&gt;7.8),"X",""))</f>
        <v/>
      </c>
      <c r="N200" s="37" t="s">
        <v>20</v>
      </c>
      <c r="O200" s="29">
        <v>2</v>
      </c>
      <c r="P200" s="38">
        <v>40</v>
      </c>
      <c r="Q200" s="28"/>
      <c r="R200" s="28" t="s">
        <v>3466</v>
      </c>
      <c r="S200" s="92" t="s">
        <v>21</v>
      </c>
      <c r="T200" s="28"/>
      <c r="U200" s="28" t="s">
        <v>31</v>
      </c>
    </row>
    <row r="201" spans="1:21" s="27" customFormat="1" x14ac:dyDescent="0.25">
      <c r="A201" s="28" t="s">
        <v>21</v>
      </c>
      <c r="B201" s="28" t="s">
        <v>21</v>
      </c>
      <c r="C201" s="28" t="s">
        <v>21</v>
      </c>
      <c r="D201" s="29">
        <v>1</v>
      </c>
      <c r="E201" s="71"/>
      <c r="F201" s="31"/>
      <c r="G201" s="32">
        <v>1.869</v>
      </c>
      <c r="H201" s="32"/>
      <c r="I201" s="32"/>
      <c r="J201" s="33"/>
      <c r="K201" s="34" t="str">
        <f t="shared" si="17"/>
        <v/>
      </c>
      <c r="L201" s="35"/>
      <c r="M201" s="36" t="str">
        <f t="shared" si="18"/>
        <v/>
      </c>
      <c r="N201" s="37"/>
      <c r="O201" s="29"/>
      <c r="P201" s="38"/>
      <c r="Q201" s="28"/>
      <c r="R201" s="28" t="s">
        <v>3476</v>
      </c>
      <c r="S201" s="92" t="s">
        <v>21</v>
      </c>
      <c r="T201" s="28"/>
      <c r="U201" s="28" t="s">
        <v>31</v>
      </c>
    </row>
    <row r="202" spans="1:21" s="27" customFormat="1" x14ac:dyDescent="0.25">
      <c r="A202" s="28" t="s">
        <v>21</v>
      </c>
      <c r="B202" s="28" t="s">
        <v>3441</v>
      </c>
      <c r="C202" s="28" t="s">
        <v>21</v>
      </c>
      <c r="D202" s="29">
        <v>1</v>
      </c>
      <c r="E202" s="71">
        <v>59</v>
      </c>
      <c r="F202" s="45">
        <v>604</v>
      </c>
      <c r="G202" s="32">
        <v>1.8460000000000001</v>
      </c>
      <c r="H202" s="32">
        <v>3.7</v>
      </c>
      <c r="I202" s="32">
        <v>3.6840000000000002</v>
      </c>
      <c r="J202" s="33">
        <f>IF(O202&lt;&gt;"",(H202-I202)/O202,"")</f>
        <v>8.0000000000000071E-3</v>
      </c>
      <c r="K202" s="34" t="str">
        <f t="shared" si="17"/>
        <v/>
      </c>
      <c r="L202" s="35">
        <f>F202/(O202*P202)</f>
        <v>7.55</v>
      </c>
      <c r="M202" s="36" t="str">
        <f>IF(L202=0,"",IF(OR(L202&lt;7,L202&gt;7.8),"X",""))</f>
        <v/>
      </c>
      <c r="N202" s="37" t="s">
        <v>20</v>
      </c>
      <c r="O202" s="29">
        <v>2</v>
      </c>
      <c r="P202" s="38">
        <v>40</v>
      </c>
      <c r="Q202" s="28"/>
      <c r="R202" s="28" t="s">
        <v>3479</v>
      </c>
      <c r="S202" s="92" t="s">
        <v>21</v>
      </c>
      <c r="T202" s="28"/>
      <c r="U202" s="28" t="s">
        <v>31</v>
      </c>
    </row>
    <row r="203" spans="1:21" s="27" customFormat="1" x14ac:dyDescent="0.25">
      <c r="A203" s="28" t="s">
        <v>21</v>
      </c>
      <c r="B203" s="28" t="s">
        <v>21</v>
      </c>
      <c r="C203" s="28" t="s">
        <v>21</v>
      </c>
      <c r="D203" s="29">
        <v>1</v>
      </c>
      <c r="E203" s="71"/>
      <c r="F203" s="31"/>
      <c r="G203" s="32">
        <v>1.8540000000000001</v>
      </c>
      <c r="H203" s="32"/>
      <c r="I203" s="32"/>
      <c r="J203" s="33"/>
      <c r="K203" s="34" t="str">
        <f t="shared" si="17"/>
        <v/>
      </c>
      <c r="L203" s="35"/>
      <c r="M203" s="36" t="str">
        <f t="shared" si="18"/>
        <v/>
      </c>
      <c r="N203" s="37"/>
      <c r="O203" s="29"/>
      <c r="P203" s="38"/>
      <c r="Q203" s="28"/>
      <c r="R203" s="28" t="s">
        <v>3481</v>
      </c>
      <c r="S203" s="92" t="s">
        <v>21</v>
      </c>
      <c r="T203" s="28"/>
      <c r="U203" s="28" t="s">
        <v>31</v>
      </c>
    </row>
    <row r="204" spans="1:21" s="27" customFormat="1" x14ac:dyDescent="0.25">
      <c r="A204" s="28" t="s">
        <v>21</v>
      </c>
      <c r="B204" s="28" t="s">
        <v>3442</v>
      </c>
      <c r="C204" s="28" t="s">
        <v>21</v>
      </c>
      <c r="D204" s="29">
        <v>1</v>
      </c>
      <c r="E204" s="71">
        <v>69</v>
      </c>
      <c r="F204" s="45">
        <v>601</v>
      </c>
      <c r="G204" s="32">
        <v>1.8420000000000001</v>
      </c>
      <c r="H204" s="32">
        <v>3.6850000000000001</v>
      </c>
      <c r="I204" s="32">
        <v>3.6720000000000002</v>
      </c>
      <c r="J204" s="33">
        <f>IF(O204&lt;&gt;"",(H204-I204)/O204,"")</f>
        <v>6.4999999999999503E-3</v>
      </c>
      <c r="K204" s="34" t="str">
        <f t="shared" si="17"/>
        <v/>
      </c>
      <c r="L204" s="35">
        <f>F204/(O204*P204)</f>
        <v>7.5125000000000002</v>
      </c>
      <c r="M204" s="36" t="str">
        <f>IF(L204=0,"",IF(OR(L204&lt;7,L204&gt;7.8),"X",""))</f>
        <v/>
      </c>
      <c r="N204" s="37" t="s">
        <v>20</v>
      </c>
      <c r="O204" s="29">
        <v>2</v>
      </c>
      <c r="P204" s="38">
        <v>40</v>
      </c>
      <c r="Q204" s="28"/>
      <c r="R204" s="28" t="s">
        <v>3483</v>
      </c>
      <c r="S204" s="92" t="s">
        <v>21</v>
      </c>
      <c r="T204" s="28"/>
      <c r="U204" s="28" t="s">
        <v>31</v>
      </c>
    </row>
    <row r="205" spans="1:21" s="27" customFormat="1" x14ac:dyDescent="0.25">
      <c r="A205" s="28" t="s">
        <v>21</v>
      </c>
      <c r="B205" s="28" t="s">
        <v>21</v>
      </c>
      <c r="C205" s="28" t="s">
        <v>21</v>
      </c>
      <c r="D205" s="29">
        <v>1</v>
      </c>
      <c r="E205" s="71"/>
      <c r="F205" s="31"/>
      <c r="G205" s="32">
        <v>1.8420000000000001</v>
      </c>
      <c r="H205" s="32"/>
      <c r="I205" s="32"/>
      <c r="J205" s="33"/>
      <c r="K205" s="34" t="str">
        <f t="shared" si="17"/>
        <v/>
      </c>
      <c r="L205" s="35"/>
      <c r="M205" s="36" t="str">
        <f t="shared" si="18"/>
        <v/>
      </c>
      <c r="N205" s="37"/>
      <c r="O205" s="29"/>
      <c r="P205" s="38"/>
      <c r="Q205" s="28"/>
      <c r="R205" s="28" t="s">
        <v>3480</v>
      </c>
      <c r="S205" s="92" t="s">
        <v>21</v>
      </c>
      <c r="T205" s="28"/>
      <c r="U205" s="28" t="s">
        <v>31</v>
      </c>
    </row>
    <row r="206" spans="1:21" s="27" customFormat="1" x14ac:dyDescent="0.25">
      <c r="A206" s="28" t="s">
        <v>21</v>
      </c>
      <c r="B206" s="28" t="s">
        <v>3443</v>
      </c>
      <c r="C206" s="28" t="s">
        <v>21</v>
      </c>
      <c r="D206" s="29">
        <v>1</v>
      </c>
      <c r="E206" s="71">
        <v>48</v>
      </c>
      <c r="F206" s="45">
        <v>602</v>
      </c>
      <c r="G206" s="32">
        <v>1.8440000000000001</v>
      </c>
      <c r="H206" s="32">
        <v>3.6909999999999998</v>
      </c>
      <c r="I206" s="32">
        <v>3.6760000000000002</v>
      </c>
      <c r="J206" s="33">
        <f>IF(O206&lt;&gt;"",(H206-I206)/O206,"")</f>
        <v>7.4999999999998401E-3</v>
      </c>
      <c r="K206" s="34" t="str">
        <f t="shared" si="17"/>
        <v/>
      </c>
      <c r="L206" s="35">
        <f>F206/(O206*P206)</f>
        <v>7.5250000000000004</v>
      </c>
      <c r="M206" s="36" t="str">
        <f>IF(L206=0,"",IF(OR(L206&lt;7,L206&gt;7.8),"X",""))</f>
        <v/>
      </c>
      <c r="N206" s="37" t="s">
        <v>20</v>
      </c>
      <c r="O206" s="29">
        <v>2</v>
      </c>
      <c r="P206" s="38">
        <v>40</v>
      </c>
      <c r="Q206" s="28"/>
      <c r="R206" s="28" t="s">
        <v>3485</v>
      </c>
      <c r="S206" s="92" t="s">
        <v>21</v>
      </c>
      <c r="T206" s="28"/>
      <c r="U206" s="28" t="s">
        <v>31</v>
      </c>
    </row>
    <row r="207" spans="1:21" s="27" customFormat="1" x14ac:dyDescent="0.25">
      <c r="A207" s="28" t="s">
        <v>21</v>
      </c>
      <c r="B207" s="28" t="s">
        <v>21</v>
      </c>
      <c r="C207" s="28" t="s">
        <v>21</v>
      </c>
      <c r="D207" s="29">
        <v>1</v>
      </c>
      <c r="E207" s="71"/>
      <c r="F207" s="31"/>
      <c r="G207" s="32">
        <v>1.847</v>
      </c>
      <c r="H207" s="32"/>
      <c r="I207" s="32"/>
      <c r="J207" s="33"/>
      <c r="K207" s="34" t="str">
        <f t="shared" si="17"/>
        <v/>
      </c>
      <c r="L207" s="35"/>
      <c r="M207" s="36" t="str">
        <f t="shared" si="18"/>
        <v/>
      </c>
      <c r="N207" s="37"/>
      <c r="O207" s="29"/>
      <c r="P207" s="38"/>
      <c r="Q207" s="28"/>
      <c r="R207" s="28" t="s">
        <v>3486</v>
      </c>
      <c r="S207" s="92" t="s">
        <v>21</v>
      </c>
      <c r="T207" s="28"/>
      <c r="U207" s="28" t="s">
        <v>31</v>
      </c>
    </row>
    <row r="208" spans="1:21" s="27" customFormat="1" x14ac:dyDescent="0.25">
      <c r="A208" s="28" t="s">
        <v>21</v>
      </c>
      <c r="B208" s="28" t="s">
        <v>3444</v>
      </c>
      <c r="C208" s="28" t="s">
        <v>21</v>
      </c>
      <c r="D208" s="29">
        <v>1</v>
      </c>
      <c r="E208" s="71">
        <v>63</v>
      </c>
      <c r="F208" s="45">
        <v>606</v>
      </c>
      <c r="G208" s="32">
        <v>1.8759999999999999</v>
      </c>
      <c r="H208" s="32">
        <v>3.7480000000000002</v>
      </c>
      <c r="I208" s="32">
        <v>3.7360000000000002</v>
      </c>
      <c r="J208" s="33">
        <f>IF(O208&lt;&gt;"",(H208-I208)/O208,"")</f>
        <v>6.0000000000000053E-3</v>
      </c>
      <c r="K208" s="34" t="str">
        <f t="shared" si="17"/>
        <v/>
      </c>
      <c r="L208" s="35">
        <f>F208/(O208*P208)</f>
        <v>7.5750000000000002</v>
      </c>
      <c r="M208" s="36" t="str">
        <f>IF(L208=0,"",IF(OR(L208&lt;7,L208&gt;7.8),"X",""))</f>
        <v/>
      </c>
      <c r="N208" s="37" t="s">
        <v>20</v>
      </c>
      <c r="O208" s="29">
        <v>2</v>
      </c>
      <c r="P208" s="38">
        <v>40</v>
      </c>
      <c r="Q208" s="28"/>
      <c r="R208" s="28" t="s">
        <v>3492</v>
      </c>
      <c r="S208" s="91" t="s">
        <v>103</v>
      </c>
      <c r="T208" s="28"/>
      <c r="U208" s="28" t="s">
        <v>31</v>
      </c>
    </row>
    <row r="209" spans="1:21" s="27" customFormat="1" x14ac:dyDescent="0.25">
      <c r="A209" s="28" t="s">
        <v>21</v>
      </c>
      <c r="B209" s="28" t="s">
        <v>21</v>
      </c>
      <c r="C209" s="28" t="s">
        <v>21</v>
      </c>
      <c r="D209" s="29">
        <v>1</v>
      </c>
      <c r="E209" s="71"/>
      <c r="F209" s="31"/>
      <c r="G209" s="32">
        <v>1.871</v>
      </c>
      <c r="H209" s="32"/>
      <c r="I209" s="32"/>
      <c r="J209" s="33"/>
      <c r="K209" s="34" t="str">
        <f t="shared" si="17"/>
        <v/>
      </c>
      <c r="L209" s="35"/>
      <c r="M209" s="36" t="str">
        <f t="shared" si="18"/>
        <v/>
      </c>
      <c r="N209" s="37"/>
      <c r="O209" s="29"/>
      <c r="P209" s="38"/>
      <c r="Q209" s="28"/>
      <c r="R209" s="28" t="s">
        <v>3484</v>
      </c>
      <c r="S209" s="91" t="s">
        <v>59</v>
      </c>
      <c r="T209" s="28"/>
      <c r="U209" s="28" t="s">
        <v>31</v>
      </c>
    </row>
    <row r="210" spans="1:21" s="27" customFormat="1" x14ac:dyDescent="0.25">
      <c r="A210" s="28" t="s">
        <v>21</v>
      </c>
      <c r="B210" s="28" t="s">
        <v>3445</v>
      </c>
      <c r="C210" s="28" t="s">
        <v>21</v>
      </c>
      <c r="D210" s="29">
        <v>1</v>
      </c>
      <c r="E210" s="71">
        <v>63</v>
      </c>
      <c r="F210" s="45">
        <v>606</v>
      </c>
      <c r="G210" s="32">
        <v>1.88</v>
      </c>
      <c r="H210" s="32">
        <v>3.7589999999999999</v>
      </c>
      <c r="I210" s="32">
        <v>3.7410000000000001</v>
      </c>
      <c r="J210" s="33">
        <f>IF(O210&lt;&gt;"",(H210-I210)/O210,"")</f>
        <v>8.999999999999897E-3</v>
      </c>
      <c r="K210" s="34" t="str">
        <f t="shared" si="17"/>
        <v/>
      </c>
      <c r="L210" s="35">
        <f>F210/(O210*P210)</f>
        <v>7.5750000000000002</v>
      </c>
      <c r="M210" s="36" t="str">
        <f>IF(L210=0,"",IF(OR(L210&lt;7,L210&gt;7.8),"X",""))</f>
        <v/>
      </c>
      <c r="N210" s="37" t="s">
        <v>20</v>
      </c>
      <c r="O210" s="29">
        <v>2</v>
      </c>
      <c r="P210" s="38">
        <v>40</v>
      </c>
      <c r="Q210" s="28"/>
      <c r="R210" s="28" t="s">
        <v>3482</v>
      </c>
      <c r="S210" s="92" t="s">
        <v>21</v>
      </c>
      <c r="T210" s="28"/>
      <c r="U210" s="28" t="s">
        <v>31</v>
      </c>
    </row>
    <row r="211" spans="1:21" s="27" customFormat="1" x14ac:dyDescent="0.25">
      <c r="A211" s="28" t="s">
        <v>21</v>
      </c>
      <c r="B211" s="28" t="s">
        <v>21</v>
      </c>
      <c r="C211" s="28" t="s">
        <v>21</v>
      </c>
      <c r="D211" s="29">
        <v>1</v>
      </c>
      <c r="E211" s="71"/>
      <c r="F211" s="31"/>
      <c r="G211" s="32">
        <v>1.88</v>
      </c>
      <c r="H211" s="32"/>
      <c r="I211" s="32"/>
      <c r="J211" s="33"/>
      <c r="K211" s="34" t="str">
        <f t="shared" si="17"/>
        <v/>
      </c>
      <c r="L211" s="35"/>
      <c r="M211" s="36" t="str">
        <f t="shared" si="18"/>
        <v/>
      </c>
      <c r="N211" s="37"/>
      <c r="O211" s="29"/>
      <c r="P211" s="38"/>
      <c r="Q211" s="28"/>
      <c r="R211" s="28" t="s">
        <v>3497</v>
      </c>
      <c r="S211" s="92" t="s">
        <v>21</v>
      </c>
      <c r="T211" s="28"/>
      <c r="U211" s="28" t="s">
        <v>31</v>
      </c>
    </row>
    <row r="212" spans="1:21" s="27" customFormat="1" x14ac:dyDescent="0.25">
      <c r="A212" s="28" t="s">
        <v>21</v>
      </c>
      <c r="B212" s="28" t="s">
        <v>3446</v>
      </c>
      <c r="C212" s="28" t="s">
        <v>21</v>
      </c>
      <c r="D212" s="29">
        <v>1</v>
      </c>
      <c r="E212" s="71">
        <v>60</v>
      </c>
      <c r="F212" s="45">
        <v>602</v>
      </c>
      <c r="G212" s="32">
        <v>1.877</v>
      </c>
      <c r="H212" s="32">
        <v>3.7730000000000001</v>
      </c>
      <c r="I212" s="32">
        <v>3.7330000000000001</v>
      </c>
      <c r="J212" s="33">
        <f>IF(O212&lt;&gt;"",(H212-I212)/O212,"")</f>
        <v>2.0000000000000018E-2</v>
      </c>
      <c r="K212" s="34" t="str">
        <f t="shared" si="17"/>
        <v/>
      </c>
      <c r="L212" s="35">
        <f>F212/(O212*P212)</f>
        <v>7.5250000000000004</v>
      </c>
      <c r="M212" s="36" t="str">
        <f>IF(L212=0,"",IF(OR(L212&lt;7,L212&gt;7.8),"X",""))</f>
        <v/>
      </c>
      <c r="N212" s="37" t="s">
        <v>20</v>
      </c>
      <c r="O212" s="29">
        <v>2</v>
      </c>
      <c r="P212" s="38">
        <v>40</v>
      </c>
      <c r="Q212" s="28"/>
      <c r="R212" s="28" t="s">
        <v>3498</v>
      </c>
      <c r="S212" s="92" t="s">
        <v>21</v>
      </c>
      <c r="T212" s="28"/>
      <c r="U212" s="28" t="s">
        <v>31</v>
      </c>
    </row>
    <row r="213" spans="1:21" s="27" customFormat="1" x14ac:dyDescent="0.25">
      <c r="A213" s="28" t="s">
        <v>21</v>
      </c>
      <c r="B213" s="28" t="s">
        <v>21</v>
      </c>
      <c r="C213" s="28" t="s">
        <v>21</v>
      </c>
      <c r="D213" s="29">
        <v>1</v>
      </c>
      <c r="E213" s="71"/>
      <c r="F213" s="31"/>
      <c r="G213" s="32">
        <v>1.897</v>
      </c>
      <c r="H213" s="32"/>
      <c r="I213" s="32"/>
      <c r="J213" s="33"/>
      <c r="K213" s="34" t="str">
        <f t="shared" si="17"/>
        <v/>
      </c>
      <c r="L213" s="35"/>
      <c r="M213" s="36" t="str">
        <f t="shared" si="18"/>
        <v/>
      </c>
      <c r="N213" s="37"/>
      <c r="O213" s="29"/>
      <c r="P213" s="38"/>
      <c r="Q213" s="28"/>
      <c r="R213" s="28" t="s">
        <v>3499</v>
      </c>
      <c r="S213" s="92" t="s">
        <v>21</v>
      </c>
      <c r="T213" s="28"/>
      <c r="U213" s="28" t="s">
        <v>31</v>
      </c>
    </row>
    <row r="214" spans="1:21" s="27" customFormat="1" x14ac:dyDescent="0.25">
      <c r="A214" s="28" t="s">
        <v>21</v>
      </c>
      <c r="B214" s="28" t="s">
        <v>3447</v>
      </c>
      <c r="C214" s="28" t="s">
        <v>21</v>
      </c>
      <c r="D214" s="29">
        <v>1</v>
      </c>
      <c r="E214" s="71">
        <v>38</v>
      </c>
      <c r="F214" s="45">
        <v>608</v>
      </c>
      <c r="G214" s="32">
        <v>1.869</v>
      </c>
      <c r="H214" s="32">
        <v>3.7360000000000002</v>
      </c>
      <c r="I214" s="32">
        <v>3.7210000000000001</v>
      </c>
      <c r="J214" s="33">
        <f>IF(O214&lt;&gt;"",(H214-I214)/O214,"")</f>
        <v>7.5000000000000622E-3</v>
      </c>
      <c r="K214" s="34" t="str">
        <f t="shared" si="17"/>
        <v/>
      </c>
      <c r="L214" s="35">
        <f>F214/(O214*P214)</f>
        <v>7.6</v>
      </c>
      <c r="M214" s="36" t="str">
        <f>IF(L214=0,"",IF(OR(L214&lt;7,L214&gt;7.8),"X",""))</f>
        <v/>
      </c>
      <c r="N214" s="37" t="s">
        <v>20</v>
      </c>
      <c r="O214" s="29">
        <v>2</v>
      </c>
      <c r="P214" s="38">
        <v>40</v>
      </c>
      <c r="Q214" s="28"/>
      <c r="R214" s="28" t="s">
        <v>3504</v>
      </c>
      <c r="S214" s="91" t="s">
        <v>103</v>
      </c>
      <c r="T214" s="28"/>
      <c r="U214" s="28" t="s">
        <v>31</v>
      </c>
    </row>
    <row r="215" spans="1:21" s="27" customFormat="1" x14ac:dyDescent="0.25">
      <c r="A215" s="28" t="s">
        <v>21</v>
      </c>
      <c r="B215" s="28" t="s">
        <v>21</v>
      </c>
      <c r="C215" s="28" t="s">
        <v>21</v>
      </c>
      <c r="D215" s="29">
        <v>1</v>
      </c>
      <c r="E215" s="71"/>
      <c r="F215" s="31"/>
      <c r="G215" s="32">
        <v>1.8680000000000001</v>
      </c>
      <c r="H215" s="32"/>
      <c r="I215" s="32"/>
      <c r="J215" s="33"/>
      <c r="K215" s="34" t="str">
        <f t="shared" si="17"/>
        <v/>
      </c>
      <c r="L215" s="35"/>
      <c r="M215" s="36" t="str">
        <f t="shared" si="18"/>
        <v/>
      </c>
      <c r="N215" s="37"/>
      <c r="O215" s="29"/>
      <c r="P215" s="38"/>
      <c r="Q215" s="28"/>
      <c r="R215" s="28" t="s">
        <v>3506</v>
      </c>
      <c r="S215" s="91" t="s">
        <v>59</v>
      </c>
      <c r="T215" s="28"/>
      <c r="U215" s="28" t="s">
        <v>31</v>
      </c>
    </row>
    <row r="216" spans="1:21" s="27" customFormat="1" x14ac:dyDescent="0.25">
      <c r="A216" s="28" t="s">
        <v>21</v>
      </c>
      <c r="B216" s="28" t="s">
        <v>3448</v>
      </c>
      <c r="C216" s="28" t="s">
        <v>21</v>
      </c>
      <c r="D216" s="29">
        <v>1</v>
      </c>
      <c r="E216" s="71">
        <v>41</v>
      </c>
      <c r="F216" s="45">
        <v>606</v>
      </c>
      <c r="G216" s="32">
        <v>1.869</v>
      </c>
      <c r="H216" s="32">
        <v>3.742</v>
      </c>
      <c r="I216" s="32">
        <v>3.7240000000000002</v>
      </c>
      <c r="J216" s="33">
        <f>IF(O216&lt;&gt;"",(H216-I216)/O216,"")</f>
        <v>8.999999999999897E-3</v>
      </c>
      <c r="K216" s="34" t="str">
        <f t="shared" si="17"/>
        <v/>
      </c>
      <c r="L216" s="35">
        <f>F216/(O216*P216)</f>
        <v>7.5750000000000002</v>
      </c>
      <c r="M216" s="36" t="str">
        <f>IF(L216=0,"",IF(OR(L216&lt;7,L216&gt;7.8),"X",""))</f>
        <v/>
      </c>
      <c r="N216" s="37" t="s">
        <v>20</v>
      </c>
      <c r="O216" s="29">
        <v>2</v>
      </c>
      <c r="P216" s="38">
        <v>40</v>
      </c>
      <c r="Q216" s="28"/>
      <c r="R216" s="28" t="s">
        <v>3507</v>
      </c>
      <c r="S216" s="92" t="s">
        <v>21</v>
      </c>
      <c r="T216" s="28"/>
      <c r="U216" s="28" t="s">
        <v>31</v>
      </c>
    </row>
    <row r="217" spans="1:21" s="27" customFormat="1" x14ac:dyDescent="0.25">
      <c r="A217" s="28" t="s">
        <v>21</v>
      </c>
      <c r="B217" s="28" t="s">
        <v>21</v>
      </c>
      <c r="C217" s="28" t="s">
        <v>21</v>
      </c>
      <c r="D217" s="29">
        <v>1</v>
      </c>
      <c r="E217" s="71"/>
      <c r="F217" s="31"/>
      <c r="G217" s="32">
        <v>1.873</v>
      </c>
      <c r="H217" s="32"/>
      <c r="I217" s="32"/>
      <c r="J217" s="33"/>
      <c r="K217" s="34" t="str">
        <f t="shared" si="17"/>
        <v/>
      </c>
      <c r="L217" s="35"/>
      <c r="M217" s="36" t="str">
        <f t="shared" si="18"/>
        <v/>
      </c>
      <c r="N217" s="37"/>
      <c r="O217" s="29"/>
      <c r="P217" s="38"/>
      <c r="Q217" s="28"/>
      <c r="R217" s="28" t="s">
        <v>3509</v>
      </c>
      <c r="S217" s="92" t="s">
        <v>21</v>
      </c>
      <c r="T217" s="28"/>
      <c r="U217" s="28" t="s">
        <v>31</v>
      </c>
    </row>
    <row r="218" spans="1:21" s="27" customFormat="1" x14ac:dyDescent="0.25">
      <c r="A218" s="28" t="s">
        <v>21</v>
      </c>
      <c r="B218" s="28" t="s">
        <v>3449</v>
      </c>
      <c r="C218" s="28" t="s">
        <v>21</v>
      </c>
      <c r="D218" s="29">
        <v>1</v>
      </c>
      <c r="E218" s="71">
        <v>32</v>
      </c>
      <c r="F218" s="45">
        <v>606</v>
      </c>
      <c r="G218" s="32">
        <v>1.885</v>
      </c>
      <c r="H218" s="32">
        <v>3.786</v>
      </c>
      <c r="I218" s="32">
        <v>3.734</v>
      </c>
      <c r="J218" s="33">
        <f>IF(O218&lt;&gt;"",(H218-I218)/O218,"")</f>
        <v>2.6000000000000023E-2</v>
      </c>
      <c r="K218" s="34" t="str">
        <f t="shared" si="17"/>
        <v/>
      </c>
      <c r="L218" s="35">
        <f>F218/(O218*P218)</f>
        <v>7.5750000000000002</v>
      </c>
      <c r="M218" s="36" t="str">
        <f>IF(L218=0,"",IF(OR(L218&lt;7,L218&gt;7.8),"X",""))</f>
        <v/>
      </c>
      <c r="N218" s="37" t="s">
        <v>20</v>
      </c>
      <c r="O218" s="29">
        <v>2</v>
      </c>
      <c r="P218" s="38">
        <v>40</v>
      </c>
      <c r="Q218" s="28"/>
      <c r="R218" s="28" t="s">
        <v>3510</v>
      </c>
      <c r="S218" s="92" t="s">
        <v>21</v>
      </c>
      <c r="T218" s="28"/>
      <c r="U218" s="28" t="s">
        <v>31</v>
      </c>
    </row>
    <row r="219" spans="1:21" s="27" customFormat="1" x14ac:dyDescent="0.25">
      <c r="A219" s="28" t="s">
        <v>21</v>
      </c>
      <c r="B219" s="28" t="s">
        <v>21</v>
      </c>
      <c r="C219" s="28" t="s">
        <v>21</v>
      </c>
      <c r="D219" s="29">
        <v>1</v>
      </c>
      <c r="E219" s="71"/>
      <c r="F219" s="31"/>
      <c r="G219" s="32">
        <v>1.9019999999999999</v>
      </c>
      <c r="H219" s="32"/>
      <c r="I219" s="32"/>
      <c r="J219" s="33"/>
      <c r="K219" s="34" t="str">
        <f t="shared" si="17"/>
        <v/>
      </c>
      <c r="L219" s="35"/>
      <c r="M219" s="36" t="str">
        <f t="shared" si="18"/>
        <v/>
      </c>
      <c r="N219" s="37"/>
      <c r="O219" s="29"/>
      <c r="P219" s="38"/>
      <c r="Q219" s="28"/>
      <c r="R219" s="28" t="s">
        <v>3508</v>
      </c>
      <c r="S219" s="92" t="s">
        <v>21</v>
      </c>
      <c r="T219" s="28"/>
      <c r="U219" s="28" t="s">
        <v>31</v>
      </c>
    </row>
    <row r="220" spans="1:21" s="27" customFormat="1" x14ac:dyDescent="0.25">
      <c r="A220" s="28" t="s">
        <v>21</v>
      </c>
      <c r="B220" s="28" t="s">
        <v>3450</v>
      </c>
      <c r="C220" s="28" t="s">
        <v>21</v>
      </c>
      <c r="D220" s="29">
        <v>1</v>
      </c>
      <c r="E220" s="71">
        <v>44</v>
      </c>
      <c r="F220" s="45">
        <v>607</v>
      </c>
      <c r="G220" s="32">
        <v>1.857</v>
      </c>
      <c r="H220" s="32">
        <v>3.7160000000000002</v>
      </c>
      <c r="I220" s="32">
        <v>3.6970000000000001</v>
      </c>
      <c r="J220" s="33">
        <f>IF(O220&lt;&gt;"",(H220-I220)/O220,"")</f>
        <v>9.5000000000000639E-3</v>
      </c>
      <c r="K220" s="34" t="str">
        <f t="shared" si="17"/>
        <v/>
      </c>
      <c r="L220" s="35">
        <f>F220/(O220*P220)</f>
        <v>7.5875000000000004</v>
      </c>
      <c r="M220" s="36" t="str">
        <f>IF(L220=0,"",IF(OR(L220&lt;7,L220&gt;7.8),"X",""))</f>
        <v/>
      </c>
      <c r="N220" s="37" t="s">
        <v>20</v>
      </c>
      <c r="O220" s="29">
        <v>2</v>
      </c>
      <c r="P220" s="38">
        <v>40</v>
      </c>
      <c r="Q220" s="28"/>
      <c r="R220" s="28" t="s">
        <v>3511</v>
      </c>
      <c r="S220" s="92" t="s">
        <v>21</v>
      </c>
      <c r="T220" s="28"/>
      <c r="U220" s="28" t="s">
        <v>31</v>
      </c>
    </row>
    <row r="221" spans="1:21" s="27" customFormat="1" x14ac:dyDescent="0.25">
      <c r="A221" s="28" t="s">
        <v>21</v>
      </c>
      <c r="B221" s="28" t="s">
        <v>21</v>
      </c>
      <c r="C221" s="28" t="s">
        <v>21</v>
      </c>
      <c r="D221" s="29">
        <v>1</v>
      </c>
      <c r="E221" s="71"/>
      <c r="F221" s="31"/>
      <c r="G221" s="32">
        <v>1.86</v>
      </c>
      <c r="H221" s="32"/>
      <c r="I221" s="32"/>
      <c r="J221" s="33"/>
      <c r="K221" s="34" t="str">
        <f t="shared" si="17"/>
        <v/>
      </c>
      <c r="L221" s="35"/>
      <c r="M221" s="36" t="str">
        <f t="shared" si="18"/>
        <v/>
      </c>
      <c r="N221" s="37"/>
      <c r="O221" s="29"/>
      <c r="P221" s="38"/>
      <c r="Q221" s="28"/>
      <c r="R221" s="28" t="s">
        <v>3505</v>
      </c>
      <c r="S221" s="92" t="s">
        <v>21</v>
      </c>
      <c r="T221" s="28"/>
      <c r="U221" s="28" t="s">
        <v>31</v>
      </c>
    </row>
    <row r="222" spans="1:21" s="27" customFormat="1" x14ac:dyDescent="0.25">
      <c r="A222" s="28" t="s">
        <v>21</v>
      </c>
      <c r="B222" s="28" t="s">
        <v>3451</v>
      </c>
      <c r="C222" s="28">
        <v>798520</v>
      </c>
      <c r="D222" s="29">
        <v>1</v>
      </c>
      <c r="E222" s="71">
        <v>54</v>
      </c>
      <c r="F222" s="45">
        <v>606</v>
      </c>
      <c r="G222" s="32">
        <v>1.857</v>
      </c>
      <c r="H222" s="32">
        <v>3.7090000000000001</v>
      </c>
      <c r="I222" s="32">
        <v>3.6909999999999998</v>
      </c>
      <c r="J222" s="33">
        <f>IF(O222&lt;&gt;"",(H222-I222)/O222,"")</f>
        <v>9.000000000000119E-3</v>
      </c>
      <c r="K222" s="34" t="str">
        <f t="shared" si="17"/>
        <v/>
      </c>
      <c r="L222" s="35">
        <f>F222/(O222*P222)</f>
        <v>7.5750000000000002</v>
      </c>
      <c r="M222" s="36" t="str">
        <f>IF(L222=0,"",IF(OR(L222&lt;7,L222&gt;7.8),"X",""))</f>
        <v/>
      </c>
      <c r="N222" s="37" t="s">
        <v>20</v>
      </c>
      <c r="O222" s="29">
        <v>2</v>
      </c>
      <c r="P222" s="38">
        <v>40</v>
      </c>
      <c r="Q222" s="28"/>
      <c r="R222" s="28" t="s">
        <v>3546</v>
      </c>
      <c r="S222" s="92" t="s">
        <v>21</v>
      </c>
      <c r="T222" s="28"/>
      <c r="U222" s="28" t="s">
        <v>31</v>
      </c>
    </row>
    <row r="223" spans="1:21" s="27" customFormat="1" x14ac:dyDescent="0.25">
      <c r="A223" s="28" t="s">
        <v>21</v>
      </c>
      <c r="B223" s="28" t="s">
        <v>21</v>
      </c>
      <c r="C223" s="28" t="s">
        <v>21</v>
      </c>
      <c r="D223" s="29">
        <v>1</v>
      </c>
      <c r="E223" s="71"/>
      <c r="F223" s="31"/>
      <c r="G223" s="32">
        <v>1.853</v>
      </c>
      <c r="H223" s="32"/>
      <c r="I223" s="32"/>
      <c r="J223" s="33"/>
      <c r="K223" s="34" t="str">
        <f t="shared" si="17"/>
        <v/>
      </c>
      <c r="L223" s="35"/>
      <c r="M223" s="36" t="str">
        <f t="shared" si="18"/>
        <v/>
      </c>
      <c r="N223" s="37"/>
      <c r="O223" s="29"/>
      <c r="P223" s="38"/>
      <c r="Q223" s="28"/>
      <c r="R223" s="28" t="s">
        <v>3547</v>
      </c>
      <c r="S223" s="92" t="s">
        <v>21</v>
      </c>
      <c r="T223" s="28"/>
      <c r="U223" s="28" t="s">
        <v>31</v>
      </c>
    </row>
    <row r="224" spans="1:21" s="27" customFormat="1" x14ac:dyDescent="0.25">
      <c r="A224" s="28" t="s">
        <v>21</v>
      </c>
      <c r="B224" s="28" t="s">
        <v>3452</v>
      </c>
      <c r="C224" s="28">
        <v>794416</v>
      </c>
      <c r="D224" s="29">
        <v>1</v>
      </c>
      <c r="E224" s="73">
        <v>9</v>
      </c>
      <c r="F224" s="45">
        <v>608</v>
      </c>
      <c r="G224" s="32">
        <v>1.87</v>
      </c>
      <c r="H224" s="32">
        <v>3.734</v>
      </c>
      <c r="I224" s="32">
        <v>3.7210000000000001</v>
      </c>
      <c r="J224" s="33">
        <f>IF(O224&lt;&gt;"",(H224-I224)/O224,"")</f>
        <v>6.4999999999999503E-3</v>
      </c>
      <c r="K224" s="34" t="str">
        <f t="shared" si="17"/>
        <v/>
      </c>
      <c r="L224" s="35">
        <f>F224/(O224*P224)</f>
        <v>7.6</v>
      </c>
      <c r="M224" s="36" t="str">
        <f>IF(L224=0,"",IF(OR(L224&lt;7,L224&gt;7.8),"X",""))</f>
        <v/>
      </c>
      <c r="N224" s="37" t="s">
        <v>20</v>
      </c>
      <c r="O224" s="29">
        <v>2</v>
      </c>
      <c r="P224" s="38">
        <v>40</v>
      </c>
      <c r="Q224" s="28"/>
      <c r="R224" s="28" t="s">
        <v>3468</v>
      </c>
      <c r="S224" s="47"/>
      <c r="T224" s="28"/>
      <c r="U224" s="28" t="s">
        <v>3491</v>
      </c>
    </row>
    <row r="225" spans="1:21" s="27" customFormat="1" x14ac:dyDescent="0.25">
      <c r="A225" s="28" t="s">
        <v>21</v>
      </c>
      <c r="B225" s="28" t="s">
        <v>21</v>
      </c>
      <c r="C225" s="28" t="s">
        <v>21</v>
      </c>
      <c r="D225" s="29">
        <v>1</v>
      </c>
      <c r="E225" s="73"/>
      <c r="F225" s="31"/>
      <c r="G225" s="32">
        <v>1.865</v>
      </c>
      <c r="H225" s="32"/>
      <c r="I225" s="32"/>
      <c r="J225" s="33"/>
      <c r="K225" s="34" t="str">
        <f t="shared" si="17"/>
        <v/>
      </c>
      <c r="L225" s="35"/>
      <c r="M225" s="36" t="str">
        <f t="shared" si="18"/>
        <v/>
      </c>
      <c r="N225" s="37"/>
      <c r="O225" s="29"/>
      <c r="P225" s="38"/>
      <c r="Q225" s="28"/>
      <c r="R225" s="28" t="s">
        <v>3469</v>
      </c>
      <c r="S225" s="47"/>
      <c r="T225" s="28"/>
      <c r="U225" s="28" t="s">
        <v>3491</v>
      </c>
    </row>
    <row r="226" spans="1:21" s="27" customFormat="1" x14ac:dyDescent="0.25">
      <c r="A226" s="28" t="s">
        <v>21</v>
      </c>
      <c r="B226" s="28" t="s">
        <v>3453</v>
      </c>
      <c r="C226" s="28" t="s">
        <v>21</v>
      </c>
      <c r="D226" s="29">
        <v>1</v>
      </c>
      <c r="E226" s="73">
        <v>11</v>
      </c>
      <c r="F226" s="45">
        <v>608</v>
      </c>
      <c r="G226" s="32">
        <v>1.863</v>
      </c>
      <c r="H226" s="32">
        <v>3.7280000000000002</v>
      </c>
      <c r="I226" s="32">
        <v>3.7120000000000002</v>
      </c>
      <c r="J226" s="33">
        <f>IF(O226&lt;&gt;"",(H226-I226)/O226,"")</f>
        <v>8.0000000000000071E-3</v>
      </c>
      <c r="K226" s="34" t="str">
        <f t="shared" si="17"/>
        <v/>
      </c>
      <c r="L226" s="35">
        <f>F226/(O226*P226)</f>
        <v>7.6</v>
      </c>
      <c r="M226" s="36" t="str">
        <f>IF(L226=0,"",IF(OR(L226&lt;7,L226&gt;7.8),"X",""))</f>
        <v/>
      </c>
      <c r="N226" s="37" t="s">
        <v>20</v>
      </c>
      <c r="O226" s="29">
        <v>2</v>
      </c>
      <c r="P226" s="38">
        <v>40</v>
      </c>
      <c r="Q226" s="28"/>
      <c r="R226" s="28" t="s">
        <v>3470</v>
      </c>
      <c r="S226" s="47"/>
      <c r="T226" s="28"/>
      <c r="U226" s="28" t="s">
        <v>3491</v>
      </c>
    </row>
    <row r="227" spans="1:21" s="27" customFormat="1" x14ac:dyDescent="0.25">
      <c r="A227" s="28" t="s">
        <v>21</v>
      </c>
      <c r="B227" s="28" t="s">
        <v>21</v>
      </c>
      <c r="C227" s="28" t="s">
        <v>21</v>
      </c>
      <c r="D227" s="29">
        <v>1</v>
      </c>
      <c r="E227" s="73"/>
      <c r="F227" s="31"/>
      <c r="G227" s="32">
        <v>1.8660000000000001</v>
      </c>
      <c r="H227" s="32"/>
      <c r="I227" s="32"/>
      <c r="J227" s="33"/>
      <c r="K227" s="34" t="str">
        <f t="shared" si="17"/>
        <v/>
      </c>
      <c r="L227" s="35"/>
      <c r="M227" s="36" t="str">
        <f t="shared" si="18"/>
        <v/>
      </c>
      <c r="N227" s="37"/>
      <c r="O227" s="29"/>
      <c r="P227" s="38"/>
      <c r="Q227" s="28"/>
      <c r="R227" s="28" t="s">
        <v>3471</v>
      </c>
      <c r="S227" s="47"/>
      <c r="T227" s="28"/>
      <c r="U227" s="28" t="s">
        <v>3491</v>
      </c>
    </row>
    <row r="228" spans="1:21" s="27" customFormat="1" x14ac:dyDescent="0.25">
      <c r="A228" s="28" t="s">
        <v>21</v>
      </c>
      <c r="B228" s="28" t="s">
        <v>3454</v>
      </c>
      <c r="C228" s="28" t="s">
        <v>21</v>
      </c>
      <c r="D228" s="29">
        <v>1</v>
      </c>
      <c r="E228" s="73">
        <v>2</v>
      </c>
      <c r="F228" s="45">
        <v>605</v>
      </c>
      <c r="G228" s="32">
        <v>1.871</v>
      </c>
      <c r="H228" s="32">
        <v>3.7370000000000001</v>
      </c>
      <c r="I228" s="32">
        <v>3.7229999999999999</v>
      </c>
      <c r="J228" s="33">
        <f>IF(O228&lt;&gt;"",(H228-I228)/O228,"")</f>
        <v>7.0000000000001172E-3</v>
      </c>
      <c r="K228" s="34" t="str">
        <f t="shared" si="17"/>
        <v/>
      </c>
      <c r="L228" s="35">
        <f>F228/(O228*P228)</f>
        <v>7.5625</v>
      </c>
      <c r="M228" s="36" t="str">
        <f>IF(L228=0,"",IF(OR(L228&lt;7,L228&gt;7.8),"X",""))</f>
        <v/>
      </c>
      <c r="N228" s="37" t="s">
        <v>20</v>
      </c>
      <c r="O228" s="29">
        <v>2</v>
      </c>
      <c r="P228" s="38">
        <v>40</v>
      </c>
      <c r="Q228" s="28"/>
      <c r="R228" s="28" t="s">
        <v>3473</v>
      </c>
      <c r="S228" s="47"/>
      <c r="T228" s="28"/>
      <c r="U228" s="28" t="s">
        <v>3491</v>
      </c>
    </row>
    <row r="229" spans="1:21" s="27" customFormat="1" x14ac:dyDescent="0.25">
      <c r="A229" s="28" t="s">
        <v>21</v>
      </c>
      <c r="B229" s="28" t="s">
        <v>21</v>
      </c>
      <c r="C229" s="28" t="s">
        <v>21</v>
      </c>
      <c r="D229" s="29">
        <v>1</v>
      </c>
      <c r="E229" s="73"/>
      <c r="F229" s="31"/>
      <c r="G229" s="32">
        <v>1.867</v>
      </c>
      <c r="H229" s="32"/>
      <c r="I229" s="32"/>
      <c r="J229" s="33"/>
      <c r="K229" s="34" t="str">
        <f t="shared" si="17"/>
        <v/>
      </c>
      <c r="L229" s="35"/>
      <c r="M229" s="36" t="str">
        <f t="shared" si="18"/>
        <v/>
      </c>
      <c r="N229" s="37"/>
      <c r="O229" s="29"/>
      <c r="P229" s="38"/>
      <c r="Q229" s="28"/>
      <c r="R229" s="28" t="s">
        <v>3474</v>
      </c>
      <c r="S229" s="47"/>
      <c r="T229" s="28"/>
      <c r="U229" s="28" t="s">
        <v>3491</v>
      </c>
    </row>
    <row r="230" spans="1:21" s="27" customFormat="1" x14ac:dyDescent="0.25">
      <c r="A230" s="28" t="s">
        <v>21</v>
      </c>
      <c r="B230" s="28" t="s">
        <v>3455</v>
      </c>
      <c r="C230" s="28" t="s">
        <v>21</v>
      </c>
      <c r="D230" s="29">
        <v>1</v>
      </c>
      <c r="E230" s="73">
        <v>7</v>
      </c>
      <c r="F230" s="45">
        <v>605</v>
      </c>
      <c r="G230" s="32">
        <v>1.8680000000000001</v>
      </c>
      <c r="H230" s="32">
        <v>3.7280000000000002</v>
      </c>
      <c r="I230" s="32">
        <v>3.714</v>
      </c>
      <c r="J230" s="33">
        <f>IF(O230&lt;&gt;"",(H230-I230)/O230,"")</f>
        <v>7.0000000000001172E-3</v>
      </c>
      <c r="K230" s="34" t="str">
        <f t="shared" si="17"/>
        <v/>
      </c>
      <c r="L230" s="35">
        <f>F230/(O230*P230)</f>
        <v>7.5625</v>
      </c>
      <c r="M230" s="36" t="str">
        <f>IF(L230=0,"",IF(OR(L230&lt;7,L230&gt;7.8),"X",""))</f>
        <v/>
      </c>
      <c r="N230" s="37" t="s">
        <v>20</v>
      </c>
      <c r="O230" s="29">
        <v>2</v>
      </c>
      <c r="P230" s="38">
        <v>40</v>
      </c>
      <c r="Q230" s="28"/>
      <c r="R230" s="28" t="s">
        <v>3477</v>
      </c>
      <c r="S230" s="47"/>
      <c r="T230" s="28"/>
      <c r="U230" s="28" t="s">
        <v>3491</v>
      </c>
    </row>
    <row r="231" spans="1:21" s="27" customFormat="1" x14ac:dyDescent="0.25">
      <c r="A231" s="28" t="s">
        <v>21</v>
      </c>
      <c r="B231" s="28" t="s">
        <v>21</v>
      </c>
      <c r="C231" s="28" t="s">
        <v>21</v>
      </c>
      <c r="D231" s="29">
        <v>1</v>
      </c>
      <c r="E231" s="73"/>
      <c r="F231" s="31"/>
      <c r="G231" s="32">
        <v>1.861</v>
      </c>
      <c r="H231" s="32"/>
      <c r="I231" s="32"/>
      <c r="J231" s="33"/>
      <c r="K231" s="34" t="str">
        <f t="shared" si="17"/>
        <v/>
      </c>
      <c r="L231" s="35"/>
      <c r="M231" s="36" t="str">
        <f t="shared" si="18"/>
        <v/>
      </c>
      <c r="N231" s="37"/>
      <c r="O231" s="29"/>
      <c r="P231" s="38"/>
      <c r="Q231" s="28"/>
      <c r="R231" s="28" t="s">
        <v>3478</v>
      </c>
      <c r="S231" s="47"/>
      <c r="T231" s="28"/>
      <c r="U231" s="28" t="s">
        <v>3491</v>
      </c>
    </row>
    <row r="232" spans="1:21" s="27" customFormat="1" x14ac:dyDescent="0.25">
      <c r="A232" s="28" t="s">
        <v>21</v>
      </c>
      <c r="B232" s="28" t="s">
        <v>3456</v>
      </c>
      <c r="C232" s="28" t="s">
        <v>21</v>
      </c>
      <c r="D232" s="29">
        <v>1</v>
      </c>
      <c r="E232" s="73">
        <v>15</v>
      </c>
      <c r="F232" s="45">
        <v>607</v>
      </c>
      <c r="G232" s="32">
        <v>1.86</v>
      </c>
      <c r="H232" s="32">
        <v>3.7240000000000002</v>
      </c>
      <c r="I232" s="32">
        <v>3.7080000000000002</v>
      </c>
      <c r="J232" s="33">
        <f>IF(O232&lt;&gt;"",(H232-I232)/O232,"")</f>
        <v>8.0000000000000071E-3</v>
      </c>
      <c r="K232" s="34" t="str">
        <f t="shared" si="17"/>
        <v/>
      </c>
      <c r="L232" s="35">
        <f>F232/(O232*P232)</f>
        <v>7.5875000000000004</v>
      </c>
      <c r="M232" s="36" t="str">
        <f>IF(L232=0,"",IF(OR(L232&lt;7,L232&gt;7.8),"X",""))</f>
        <v/>
      </c>
      <c r="N232" s="37" t="s">
        <v>20</v>
      </c>
      <c r="O232" s="29">
        <v>2</v>
      </c>
      <c r="P232" s="38">
        <v>40</v>
      </c>
      <c r="Q232" s="28"/>
      <c r="R232" s="28" t="s">
        <v>3487</v>
      </c>
      <c r="S232" s="47"/>
      <c r="T232" s="28"/>
      <c r="U232" s="28" t="s">
        <v>3491</v>
      </c>
    </row>
    <row r="233" spans="1:21" s="27" customFormat="1" x14ac:dyDescent="0.25">
      <c r="A233" s="28" t="s">
        <v>21</v>
      </c>
      <c r="B233" s="28" t="s">
        <v>21</v>
      </c>
      <c r="C233" s="28" t="s">
        <v>21</v>
      </c>
      <c r="D233" s="29">
        <v>1</v>
      </c>
      <c r="E233" s="73"/>
      <c r="F233" s="31"/>
      <c r="G233" s="32">
        <v>1.865</v>
      </c>
      <c r="H233" s="32"/>
      <c r="I233" s="32"/>
      <c r="J233" s="33"/>
      <c r="K233" s="34" t="str">
        <f t="shared" si="17"/>
        <v/>
      </c>
      <c r="L233" s="35"/>
      <c r="M233" s="36" t="str">
        <f t="shared" si="18"/>
        <v/>
      </c>
      <c r="N233" s="37"/>
      <c r="O233" s="29"/>
      <c r="P233" s="38"/>
      <c r="Q233" s="28"/>
      <c r="R233" s="28" t="s">
        <v>3488</v>
      </c>
      <c r="S233" s="47"/>
      <c r="T233" s="28"/>
      <c r="U233" s="28" t="s">
        <v>3491</v>
      </c>
    </row>
    <row r="234" spans="1:21" s="27" customFormat="1" x14ac:dyDescent="0.25">
      <c r="A234" s="28" t="s">
        <v>21</v>
      </c>
      <c r="B234" s="28" t="s">
        <v>3457</v>
      </c>
      <c r="C234" s="28" t="s">
        <v>21</v>
      </c>
      <c r="D234" s="29">
        <v>1</v>
      </c>
      <c r="E234" s="71">
        <v>70</v>
      </c>
      <c r="F234" s="45">
        <v>605</v>
      </c>
      <c r="G234" s="32">
        <v>1.8979999999999999</v>
      </c>
      <c r="H234" s="32">
        <v>3.7970000000000002</v>
      </c>
      <c r="I234" s="32">
        <v>3.7850000000000001</v>
      </c>
      <c r="J234" s="33">
        <f>IF(O234&lt;&gt;"",(H234-I234)/O234,"")</f>
        <v>6.0000000000000053E-3</v>
      </c>
      <c r="K234" s="34" t="str">
        <f t="shared" si="17"/>
        <v/>
      </c>
      <c r="L234" s="35">
        <f>F234/(O234*P234)</f>
        <v>7.5625</v>
      </c>
      <c r="M234" s="36" t="str">
        <f>IF(L234=0,"",IF(OR(L234&lt;7,L234&gt;7.8),"X",""))</f>
        <v/>
      </c>
      <c r="N234" s="37" t="s">
        <v>20</v>
      </c>
      <c r="O234" s="29">
        <v>2</v>
      </c>
      <c r="P234" s="38">
        <v>40</v>
      </c>
      <c r="Q234" s="28"/>
      <c r="R234" s="28" t="s">
        <v>3489</v>
      </c>
      <c r="S234" s="91" t="s">
        <v>103</v>
      </c>
      <c r="T234" s="28"/>
      <c r="U234" s="28" t="s">
        <v>3491</v>
      </c>
    </row>
    <row r="235" spans="1:21" s="27" customFormat="1" x14ac:dyDescent="0.25">
      <c r="A235" s="28" t="s">
        <v>21</v>
      </c>
      <c r="B235" s="28" t="s">
        <v>21</v>
      </c>
      <c r="C235" s="28" t="s">
        <v>21</v>
      </c>
      <c r="D235" s="29">
        <v>1</v>
      </c>
      <c r="E235" s="71"/>
      <c r="F235" s="31"/>
      <c r="G235" s="32">
        <v>1.901</v>
      </c>
      <c r="H235" s="32"/>
      <c r="I235" s="32"/>
      <c r="J235" s="33"/>
      <c r="K235" s="34" t="str">
        <f t="shared" si="17"/>
        <v/>
      </c>
      <c r="L235" s="35"/>
      <c r="M235" s="36" t="str">
        <f t="shared" si="18"/>
        <v/>
      </c>
      <c r="N235" s="37"/>
      <c r="O235" s="29"/>
      <c r="P235" s="38"/>
      <c r="Q235" s="28"/>
      <c r="R235" s="28" t="s">
        <v>3490</v>
      </c>
      <c r="S235" s="91" t="s">
        <v>59</v>
      </c>
      <c r="T235" s="28"/>
      <c r="U235" s="28" t="s">
        <v>3491</v>
      </c>
    </row>
    <row r="236" spans="1:21" s="27" customFormat="1" x14ac:dyDescent="0.25">
      <c r="A236" s="28" t="s">
        <v>21</v>
      </c>
      <c r="B236" s="28" t="s">
        <v>3458</v>
      </c>
      <c r="C236" s="28" t="s">
        <v>21</v>
      </c>
      <c r="D236" s="29">
        <v>1</v>
      </c>
      <c r="E236" s="71">
        <v>71</v>
      </c>
      <c r="F236" s="45">
        <v>603</v>
      </c>
      <c r="G236" s="32">
        <v>1.891</v>
      </c>
      <c r="H236" s="32">
        <v>3.7829999999999999</v>
      </c>
      <c r="I236" s="32">
        <v>3.774</v>
      </c>
      <c r="J236" s="33">
        <f>IF(O236&lt;&gt;"",(H236-I236)/O236,"")</f>
        <v>4.4999999999999485E-3</v>
      </c>
      <c r="K236" s="34" t="str">
        <f t="shared" si="17"/>
        <v/>
      </c>
      <c r="L236" s="35">
        <f>F236/(O236*P236)</f>
        <v>7.5374999999999996</v>
      </c>
      <c r="M236" s="36" t="str">
        <f>IF(L236=0,"",IF(OR(L236&lt;7,L236&gt;7.8),"X",""))</f>
        <v/>
      </c>
      <c r="N236" s="37" t="s">
        <v>20</v>
      </c>
      <c r="O236" s="29">
        <v>2</v>
      </c>
      <c r="P236" s="38">
        <v>40</v>
      </c>
      <c r="Q236" s="28"/>
      <c r="R236" s="28" t="s">
        <v>3493</v>
      </c>
      <c r="S236" s="92" t="s">
        <v>21</v>
      </c>
      <c r="T236" s="28"/>
      <c r="U236" s="28" t="s">
        <v>3491</v>
      </c>
    </row>
    <row r="237" spans="1:21" s="27" customFormat="1" x14ac:dyDescent="0.25">
      <c r="A237" s="28" t="s">
        <v>21</v>
      </c>
      <c r="B237" s="28" t="s">
        <v>21</v>
      </c>
      <c r="C237" s="28" t="s">
        <v>21</v>
      </c>
      <c r="D237" s="29">
        <v>1</v>
      </c>
      <c r="E237" s="71"/>
      <c r="F237" s="31"/>
      <c r="G237" s="32">
        <v>1.893</v>
      </c>
      <c r="H237" s="32"/>
      <c r="I237" s="32"/>
      <c r="J237" s="33"/>
      <c r="K237" s="34" t="str">
        <f t="shared" si="17"/>
        <v/>
      </c>
      <c r="L237" s="35"/>
      <c r="M237" s="36" t="str">
        <f t="shared" si="18"/>
        <v/>
      </c>
      <c r="N237" s="37"/>
      <c r="O237" s="29"/>
      <c r="P237" s="38"/>
      <c r="Q237" s="28"/>
      <c r="R237" s="28" t="s">
        <v>3494</v>
      </c>
      <c r="S237" s="92" t="s">
        <v>21</v>
      </c>
      <c r="T237" s="28"/>
      <c r="U237" s="28" t="s">
        <v>3491</v>
      </c>
    </row>
    <row r="238" spans="1:21" s="27" customFormat="1" x14ac:dyDescent="0.25">
      <c r="A238" s="28" t="s">
        <v>21</v>
      </c>
      <c r="B238" s="28" t="s">
        <v>3459</v>
      </c>
      <c r="C238" s="28" t="s">
        <v>21</v>
      </c>
      <c r="D238" s="29">
        <v>1</v>
      </c>
      <c r="E238" s="71">
        <v>69</v>
      </c>
      <c r="F238" s="45">
        <v>604</v>
      </c>
      <c r="G238" s="32">
        <v>1.9</v>
      </c>
      <c r="H238" s="32">
        <v>3.7879999999999998</v>
      </c>
      <c r="I238" s="32">
        <v>3.7759999999999998</v>
      </c>
      <c r="J238" s="33">
        <f>IF(O238&lt;&gt;"",(H238-I238)/O238,"")</f>
        <v>6.0000000000000053E-3</v>
      </c>
      <c r="K238" s="34" t="str">
        <f t="shared" si="17"/>
        <v/>
      </c>
      <c r="L238" s="35">
        <f>F238/(O238*P238)</f>
        <v>7.55</v>
      </c>
      <c r="M238" s="36" t="str">
        <f>IF(L238=0,"",IF(OR(L238&lt;7,L238&gt;7.8),"X",""))</f>
        <v/>
      </c>
      <c r="N238" s="37" t="s">
        <v>20</v>
      </c>
      <c r="O238" s="29">
        <v>2</v>
      </c>
      <c r="P238" s="38">
        <v>40</v>
      </c>
      <c r="Q238" s="28"/>
      <c r="R238" s="28" t="s">
        <v>3495</v>
      </c>
      <c r="S238" s="92" t="s">
        <v>21</v>
      </c>
      <c r="T238" s="28"/>
      <c r="U238" s="28" t="s">
        <v>3491</v>
      </c>
    </row>
    <row r="239" spans="1:21" s="27" customFormat="1" x14ac:dyDescent="0.25">
      <c r="A239" s="28" t="s">
        <v>21</v>
      </c>
      <c r="B239" s="28" t="s">
        <v>21</v>
      </c>
      <c r="C239" s="28" t="s">
        <v>21</v>
      </c>
      <c r="D239" s="29">
        <v>1</v>
      </c>
      <c r="E239" s="71"/>
      <c r="F239" s="31"/>
      <c r="G239" s="32">
        <v>1.889</v>
      </c>
      <c r="H239" s="32"/>
      <c r="I239" s="32"/>
      <c r="J239" s="33"/>
      <c r="K239" s="34" t="str">
        <f t="shared" si="17"/>
        <v/>
      </c>
      <c r="L239" s="35"/>
      <c r="M239" s="36" t="str">
        <f t="shared" si="18"/>
        <v/>
      </c>
      <c r="N239" s="37"/>
      <c r="O239" s="29"/>
      <c r="P239" s="38"/>
      <c r="Q239" s="28"/>
      <c r="R239" s="28" t="s">
        <v>3496</v>
      </c>
      <c r="S239" s="92" t="s">
        <v>21</v>
      </c>
      <c r="T239" s="28"/>
      <c r="U239" s="28" t="s">
        <v>3491</v>
      </c>
    </row>
    <row r="240" spans="1:21" s="27" customFormat="1" x14ac:dyDescent="0.25">
      <c r="A240" s="28" t="s">
        <v>21</v>
      </c>
      <c r="B240" s="28" t="s">
        <v>3460</v>
      </c>
      <c r="C240" s="28" t="s">
        <v>21</v>
      </c>
      <c r="D240" s="29">
        <v>1</v>
      </c>
      <c r="E240" s="71">
        <v>71</v>
      </c>
      <c r="F240" s="45">
        <v>603</v>
      </c>
      <c r="G240" s="32">
        <v>1.8859999999999999</v>
      </c>
      <c r="H240" s="32">
        <v>3.7629999999999999</v>
      </c>
      <c r="I240" s="32">
        <v>3.754</v>
      </c>
      <c r="J240" s="33">
        <f>IF(O240&lt;&gt;"",(H240-I240)/O240,"")</f>
        <v>4.4999999999999485E-3</v>
      </c>
      <c r="K240" s="34" t="str">
        <f t="shared" si="17"/>
        <v/>
      </c>
      <c r="L240" s="35">
        <f>F240/(O240*P240)</f>
        <v>7.5374999999999996</v>
      </c>
      <c r="M240" s="36" t="str">
        <f>IF(L240=0,"",IF(OR(L240&lt;7,L240&gt;7.8),"X",""))</f>
        <v/>
      </c>
      <c r="N240" s="37" t="s">
        <v>20</v>
      </c>
      <c r="O240" s="29">
        <v>2</v>
      </c>
      <c r="P240" s="38">
        <v>40</v>
      </c>
      <c r="Q240" s="28"/>
      <c r="R240" s="28" t="s">
        <v>3500</v>
      </c>
      <c r="S240" s="92" t="s">
        <v>21</v>
      </c>
      <c r="T240" s="28"/>
      <c r="U240" s="28" t="s">
        <v>3491</v>
      </c>
    </row>
    <row r="241" spans="1:21" s="27" customFormat="1" x14ac:dyDescent="0.25">
      <c r="A241" s="28" t="s">
        <v>21</v>
      </c>
      <c r="B241" s="28" t="s">
        <v>21</v>
      </c>
      <c r="C241" s="28" t="s">
        <v>21</v>
      </c>
      <c r="D241" s="29">
        <v>1</v>
      </c>
      <c r="E241" s="71"/>
      <c r="F241" s="31"/>
      <c r="G241" s="32">
        <v>1.879</v>
      </c>
      <c r="H241" s="32"/>
      <c r="I241" s="32"/>
      <c r="J241" s="33"/>
      <c r="K241" s="34" t="str">
        <f t="shared" si="17"/>
        <v/>
      </c>
      <c r="L241" s="35"/>
      <c r="M241" s="36" t="str">
        <f t="shared" si="18"/>
        <v/>
      </c>
      <c r="N241" s="37"/>
      <c r="O241" s="29"/>
      <c r="P241" s="38"/>
      <c r="Q241" s="28"/>
      <c r="R241" s="28" t="s">
        <v>3501</v>
      </c>
      <c r="S241" s="92" t="s">
        <v>21</v>
      </c>
      <c r="T241" s="28"/>
      <c r="U241" s="28" t="s">
        <v>3491</v>
      </c>
    </row>
    <row r="242" spans="1:21" s="27" customFormat="1" x14ac:dyDescent="0.25">
      <c r="A242" s="28" t="s">
        <v>21</v>
      </c>
      <c r="B242" s="28" t="s">
        <v>3461</v>
      </c>
      <c r="C242" s="28" t="s">
        <v>21</v>
      </c>
      <c r="D242" s="29">
        <v>1</v>
      </c>
      <c r="E242" s="73">
        <v>4</v>
      </c>
      <c r="F242" s="45">
        <v>606</v>
      </c>
      <c r="G242" s="32">
        <v>1.8939999999999999</v>
      </c>
      <c r="H242" s="32">
        <v>3.7770000000000001</v>
      </c>
      <c r="I242" s="32">
        <v>3.7610000000000001</v>
      </c>
      <c r="J242" s="33">
        <f>IF(O242&lt;&gt;"",(H242-I242)/O242,"")</f>
        <v>8.0000000000000071E-3</v>
      </c>
      <c r="K242" s="34" t="str">
        <f t="shared" si="17"/>
        <v/>
      </c>
      <c r="L242" s="35">
        <f>F242/(O242*P242)</f>
        <v>7.5750000000000002</v>
      </c>
      <c r="M242" s="36" t="str">
        <f>IF(L242=0,"",IF(OR(L242&lt;7,L242&gt;7.8),"X",""))</f>
        <v/>
      </c>
      <c r="N242" s="37" t="s">
        <v>20</v>
      </c>
      <c r="O242" s="29">
        <v>2</v>
      </c>
      <c r="P242" s="38">
        <v>40</v>
      </c>
      <c r="Q242" s="28"/>
      <c r="R242" s="28" t="s">
        <v>3502</v>
      </c>
      <c r="S242" s="47"/>
      <c r="T242" s="28"/>
      <c r="U242" s="28" t="s">
        <v>3491</v>
      </c>
    </row>
    <row r="243" spans="1:21" s="27" customFormat="1" x14ac:dyDescent="0.25">
      <c r="A243" s="28" t="s">
        <v>21</v>
      </c>
      <c r="B243" s="28" t="s">
        <v>21</v>
      </c>
      <c r="C243" s="28" t="s">
        <v>21</v>
      </c>
      <c r="D243" s="29">
        <v>1</v>
      </c>
      <c r="E243" s="73"/>
      <c r="F243" s="31"/>
      <c r="G243" s="32">
        <v>1.8839999999999999</v>
      </c>
      <c r="H243" s="32"/>
      <c r="I243" s="32"/>
      <c r="J243" s="33"/>
      <c r="K243" s="34" t="str">
        <f t="shared" si="17"/>
        <v/>
      </c>
      <c r="L243" s="35"/>
      <c r="M243" s="36" t="str">
        <f t="shared" si="18"/>
        <v/>
      </c>
      <c r="N243" s="37"/>
      <c r="O243" s="29"/>
      <c r="P243" s="38"/>
      <c r="Q243" s="28"/>
      <c r="R243" s="28" t="s">
        <v>3503</v>
      </c>
      <c r="S243" s="47"/>
      <c r="T243" s="28"/>
      <c r="U243" s="28" t="s">
        <v>3491</v>
      </c>
    </row>
    <row r="277" spans="1:21" ht="15.75" thickBot="1" x14ac:dyDescent="0.3"/>
    <row r="278" spans="1:21" s="27" customFormat="1" ht="16.5" thickBot="1" x14ac:dyDescent="0.3">
      <c r="A278" s="78" t="s">
        <v>30</v>
      </c>
      <c r="B278" s="77"/>
      <c r="D278" s="56"/>
      <c r="E278" s="51"/>
      <c r="F278" s="50"/>
      <c r="G278" s="53"/>
      <c r="H278" s="53"/>
      <c r="I278" s="59"/>
      <c r="J278" s="58"/>
      <c r="K278" s="58"/>
      <c r="L278" s="50"/>
      <c r="M278" s="51"/>
      <c r="N278" s="50"/>
      <c r="O278" s="64"/>
      <c r="P278" s="65"/>
      <c r="Q278" s="58"/>
      <c r="R278" s="58"/>
      <c r="S278" s="58"/>
      <c r="T278" s="58"/>
      <c r="U278" s="58"/>
    </row>
    <row r="279" spans="1:21" s="27" customFormat="1" x14ac:dyDescent="0.25">
      <c r="A279" s="28" t="s">
        <v>3225</v>
      </c>
      <c r="B279" s="28" t="s">
        <v>3226</v>
      </c>
      <c r="C279" s="28" t="s">
        <v>3228</v>
      </c>
      <c r="D279" s="31">
        <v>1</v>
      </c>
      <c r="E279" s="73">
        <v>5</v>
      </c>
      <c r="F279" s="45">
        <v>301</v>
      </c>
      <c r="G279" s="32"/>
      <c r="H279" s="32">
        <v>2.907</v>
      </c>
      <c r="I279" s="32">
        <v>2.8180000000000001</v>
      </c>
      <c r="J279" s="33">
        <f>IF(O279&lt;&gt;"",(H279-I279)/O279,"")</f>
        <v>8.8999999999999968E-2</v>
      </c>
      <c r="K279" s="34" t="str">
        <f t="shared" ref="K279:K280" si="19">IF(J279=0,"",IF(OR(J279&lt;0,J279&gt;0.03),"X",""))</f>
        <v>X</v>
      </c>
      <c r="L279" s="35">
        <f>F279/(O279*P279)</f>
        <v>7.5250000000000004</v>
      </c>
      <c r="M279" s="36" t="str">
        <f>IF(L279=0,"",IF(OR(L279&lt;7,L279&gt;7.8),"X",""))</f>
        <v/>
      </c>
      <c r="N279" s="37" t="s">
        <v>18</v>
      </c>
      <c r="O279" s="29">
        <v>1</v>
      </c>
      <c r="P279" s="38">
        <v>40</v>
      </c>
      <c r="Q279" s="46"/>
      <c r="R279" s="28" t="s">
        <v>3229</v>
      </c>
      <c r="S279" s="28" t="s">
        <v>3245</v>
      </c>
      <c r="T279" s="46"/>
      <c r="U279" s="28" t="s">
        <v>31</v>
      </c>
    </row>
    <row r="280" spans="1:21" s="27" customFormat="1" x14ac:dyDescent="0.25">
      <c r="A280" s="28" t="s">
        <v>21</v>
      </c>
      <c r="B280" s="28" t="s">
        <v>3227</v>
      </c>
      <c r="C280" s="28" t="s">
        <v>21</v>
      </c>
      <c r="D280" s="31">
        <v>1</v>
      </c>
      <c r="E280" s="73">
        <v>5</v>
      </c>
      <c r="F280" s="45">
        <v>300</v>
      </c>
      <c r="G280" s="32"/>
      <c r="H280" s="32">
        <v>2.9820000000000002</v>
      </c>
      <c r="I280" s="32">
        <v>2.8639999999999999</v>
      </c>
      <c r="J280" s="33">
        <f>IF(O280&lt;&gt;"",(H280-I280)/O280,"")</f>
        <v>0.11800000000000033</v>
      </c>
      <c r="K280" s="34" t="str">
        <f t="shared" si="19"/>
        <v>X</v>
      </c>
      <c r="L280" s="35">
        <f>F280/(O280*P280)</f>
        <v>7.5</v>
      </c>
      <c r="M280" s="36" t="str">
        <f>IF(L280=0,"",IF(OR(L280&lt;7,L280&gt;7.8),"X",""))</f>
        <v/>
      </c>
      <c r="N280" s="37" t="s">
        <v>18</v>
      </c>
      <c r="O280" s="29">
        <v>1</v>
      </c>
      <c r="P280" s="38">
        <v>40</v>
      </c>
      <c r="Q280" s="46"/>
      <c r="R280" s="28" t="s">
        <v>3229</v>
      </c>
      <c r="S280" s="28" t="s">
        <v>3245</v>
      </c>
      <c r="T280" s="46"/>
      <c r="U280" s="28" t="s">
        <v>31</v>
      </c>
    </row>
  </sheetData>
  <customSheetViews>
    <customSheetView guid="{C2C34B0E-C0A2-4B0B-812E-0757ABB9DC2E}">
      <pane ySplit="1" topLeftCell="A149" activePane="bottomLeft" state="frozen"/>
      <selection pane="bottomLeft" activeCell="R156" sqref="R156"/>
      <pageMargins left="0.7" right="0.7" top="0.78740157499999996" bottom="0.78740157499999996" header="0.3" footer="0.3"/>
    </customSheetView>
    <customSheetView guid="{E2377352-22A7-452B-BFAD-18D3D497CC88}" topLeftCell="A28"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64"/>
  <sheetViews>
    <sheetView workbookViewId="0">
      <pane ySplit="1" topLeftCell="A131" activePane="bottomLeft" state="frozen"/>
      <selection pane="bottomLeft" activeCell="G166" sqref="G166"/>
    </sheetView>
  </sheetViews>
  <sheetFormatPr baseColWidth="10" defaultRowHeight="15" x14ac:dyDescent="0.25"/>
  <cols>
    <col min="1" max="1" width="13.5703125" customWidth="1"/>
    <col min="2" max="2" width="16" customWidth="1"/>
    <col min="3" max="3" width="11.28515625" customWidth="1"/>
    <col min="4" max="4" width="8.28515625" customWidth="1"/>
    <col min="5" max="5" width="8" customWidth="1"/>
    <col min="6" max="6" width="9.7109375" customWidth="1"/>
    <col min="7" max="7" width="11.85546875" customWidth="1"/>
    <col min="10" max="10" width="10.42578125" customWidth="1"/>
    <col min="11" max="11" width="2.5703125" customWidth="1"/>
    <col min="12" max="12" width="9.42578125" customWidth="1"/>
    <col min="13" max="13" width="2.28515625" customWidth="1"/>
    <col min="14" max="14" width="11.28515625" customWidth="1"/>
    <col min="15" max="15" width="8.140625" customWidth="1"/>
    <col min="17" max="17" width="2.28515625" customWidth="1"/>
    <col min="18" max="18" width="36.85546875" customWidth="1"/>
    <col min="19" max="19" width="47" customWidth="1"/>
    <col min="20" max="20" width="1.5703125" customWidth="1"/>
    <col min="21" max="21" width="9.7109375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x14ac:dyDescent="0.25">
      <c r="A2" s="28" t="s">
        <v>3549</v>
      </c>
      <c r="B2" s="28" t="s">
        <v>3512</v>
      </c>
      <c r="C2" s="28">
        <v>798520</v>
      </c>
      <c r="D2" s="31">
        <v>1</v>
      </c>
      <c r="E2" s="71">
        <v>50</v>
      </c>
      <c r="F2" s="45">
        <v>306</v>
      </c>
      <c r="G2" s="32"/>
      <c r="H2" s="32">
        <v>1.879</v>
      </c>
      <c r="I2" s="32">
        <v>1.873</v>
      </c>
      <c r="J2" s="33">
        <f t="shared" ref="J2:J33" si="0">IF(O2&lt;&gt;"",(H2-I2)/O2,"")</f>
        <v>6.0000000000000053E-3</v>
      </c>
      <c r="K2" s="34" t="str">
        <f t="shared" ref="K2:K65" si="1">IF(J2=0,"",IF(OR(J2&lt;0,J2&gt;0.03),"X",""))</f>
        <v/>
      </c>
      <c r="L2" s="35">
        <f t="shared" ref="L2:L33" si="2">F2/(O2*P2)</f>
        <v>7.65</v>
      </c>
      <c r="M2" s="36" t="str">
        <f t="shared" ref="M2:M33" si="3">IF(L2=0,"",IF(OR(L2&lt;7,L2&gt;7.8),"X",""))</f>
        <v/>
      </c>
      <c r="N2" s="37" t="s">
        <v>18</v>
      </c>
      <c r="O2" s="29">
        <v>1</v>
      </c>
      <c r="P2" s="38">
        <v>40</v>
      </c>
      <c r="Q2" s="46"/>
      <c r="R2" s="28" t="s">
        <v>3542</v>
      </c>
      <c r="S2" s="91" t="s">
        <v>58</v>
      </c>
      <c r="T2" s="46"/>
      <c r="U2" s="28" t="s">
        <v>31</v>
      </c>
    </row>
    <row r="3" spans="1:54" s="27" customFormat="1" x14ac:dyDescent="0.25">
      <c r="A3" s="28" t="s">
        <v>21</v>
      </c>
      <c r="B3" s="28" t="s">
        <v>3513</v>
      </c>
      <c r="C3" s="28" t="s">
        <v>21</v>
      </c>
      <c r="D3" s="31">
        <v>1</v>
      </c>
      <c r="E3" s="71">
        <v>43</v>
      </c>
      <c r="F3" s="45">
        <v>302</v>
      </c>
      <c r="G3" s="32"/>
      <c r="H3" s="32">
        <v>1.885</v>
      </c>
      <c r="I3" s="32">
        <v>1.8779999999999999</v>
      </c>
      <c r="J3" s="33">
        <f t="shared" si="0"/>
        <v>7.0000000000001172E-3</v>
      </c>
      <c r="K3" s="34" t="str">
        <f t="shared" si="1"/>
        <v/>
      </c>
      <c r="L3" s="35">
        <f t="shared" si="2"/>
        <v>7.55</v>
      </c>
      <c r="M3" s="36" t="str">
        <f t="shared" si="3"/>
        <v/>
      </c>
      <c r="N3" s="37" t="s">
        <v>18</v>
      </c>
      <c r="O3" s="29">
        <v>1</v>
      </c>
      <c r="P3" s="38">
        <v>40</v>
      </c>
      <c r="Q3" s="46"/>
      <c r="R3" s="28" t="s">
        <v>3543</v>
      </c>
      <c r="S3" s="91" t="s">
        <v>59</v>
      </c>
      <c r="T3" s="46"/>
      <c r="U3" s="28" t="s">
        <v>31</v>
      </c>
    </row>
    <row r="4" spans="1:54" s="27" customFormat="1" x14ac:dyDescent="0.25">
      <c r="A4" s="28" t="s">
        <v>21</v>
      </c>
      <c r="B4" s="28" t="s">
        <v>3514</v>
      </c>
      <c r="C4" s="28" t="s">
        <v>21</v>
      </c>
      <c r="D4" s="31">
        <v>1</v>
      </c>
      <c r="E4" s="71">
        <v>46</v>
      </c>
      <c r="F4" s="45">
        <v>302</v>
      </c>
      <c r="G4" s="32"/>
      <c r="H4" s="32">
        <v>1.8720000000000001</v>
      </c>
      <c r="I4" s="32">
        <v>1.8640000000000001</v>
      </c>
      <c r="J4" s="33">
        <f t="shared" si="0"/>
        <v>8.0000000000000071E-3</v>
      </c>
      <c r="K4" s="34" t="str">
        <f t="shared" si="1"/>
        <v/>
      </c>
      <c r="L4" s="35">
        <f t="shared" si="2"/>
        <v>7.55</v>
      </c>
      <c r="M4" s="36" t="str">
        <f t="shared" si="3"/>
        <v/>
      </c>
      <c r="N4" s="37" t="s">
        <v>18</v>
      </c>
      <c r="O4" s="29">
        <v>1</v>
      </c>
      <c r="P4" s="38">
        <v>40</v>
      </c>
      <c r="Q4" s="46"/>
      <c r="R4" s="28" t="s">
        <v>3544</v>
      </c>
      <c r="S4" s="92" t="s">
        <v>21</v>
      </c>
      <c r="T4" s="46"/>
      <c r="U4" s="28" t="s">
        <v>31</v>
      </c>
    </row>
    <row r="5" spans="1:54" s="27" customFormat="1" x14ac:dyDescent="0.25">
      <c r="A5" s="28" t="s">
        <v>21</v>
      </c>
      <c r="B5" s="28" t="s">
        <v>3515</v>
      </c>
      <c r="C5" s="28" t="s">
        <v>21</v>
      </c>
      <c r="D5" s="31">
        <v>1</v>
      </c>
      <c r="E5" s="71">
        <v>44</v>
      </c>
      <c r="F5" s="45">
        <v>302</v>
      </c>
      <c r="G5" s="32"/>
      <c r="H5" s="32">
        <v>1.8720000000000001</v>
      </c>
      <c r="I5" s="32">
        <v>1.865</v>
      </c>
      <c r="J5" s="33">
        <f t="shared" si="0"/>
        <v>7.0000000000001172E-3</v>
      </c>
      <c r="K5" s="34" t="str">
        <f t="shared" si="1"/>
        <v/>
      </c>
      <c r="L5" s="35">
        <f t="shared" si="2"/>
        <v>7.55</v>
      </c>
      <c r="M5" s="36" t="str">
        <f t="shared" si="3"/>
        <v/>
      </c>
      <c r="N5" s="37" t="s">
        <v>18</v>
      </c>
      <c r="O5" s="29">
        <v>1</v>
      </c>
      <c r="P5" s="38">
        <v>40</v>
      </c>
      <c r="Q5" s="46"/>
      <c r="R5" s="28" t="s">
        <v>3545</v>
      </c>
      <c r="S5" s="92" t="s">
        <v>21</v>
      </c>
      <c r="T5" s="46"/>
      <c r="U5" s="28" t="s">
        <v>31</v>
      </c>
    </row>
    <row r="6" spans="1:54" s="27" customFormat="1" x14ac:dyDescent="0.25">
      <c r="A6" s="28" t="s">
        <v>21</v>
      </c>
      <c r="B6" s="28" t="s">
        <v>3516</v>
      </c>
      <c r="C6" s="28" t="s">
        <v>21</v>
      </c>
      <c r="D6" s="31">
        <v>1</v>
      </c>
      <c r="E6" s="71">
        <v>36</v>
      </c>
      <c r="F6" s="45">
        <v>302</v>
      </c>
      <c r="G6" s="32"/>
      <c r="H6" s="32">
        <v>1.875</v>
      </c>
      <c r="I6" s="32">
        <v>1.8680000000000001</v>
      </c>
      <c r="J6" s="33">
        <f t="shared" si="0"/>
        <v>6.9999999999998952E-3</v>
      </c>
      <c r="K6" s="34" t="str">
        <f t="shared" si="1"/>
        <v/>
      </c>
      <c r="L6" s="35">
        <f t="shared" si="2"/>
        <v>7.55</v>
      </c>
      <c r="M6" s="36" t="str">
        <f t="shared" si="3"/>
        <v/>
      </c>
      <c r="N6" s="37" t="s">
        <v>18</v>
      </c>
      <c r="O6" s="29">
        <v>1</v>
      </c>
      <c r="P6" s="38">
        <v>40</v>
      </c>
      <c r="Q6" s="46"/>
      <c r="R6" s="28" t="s">
        <v>3548</v>
      </c>
      <c r="S6" s="92" t="s">
        <v>21</v>
      </c>
      <c r="T6" s="46"/>
      <c r="U6" s="28" t="s">
        <v>31</v>
      </c>
    </row>
    <row r="7" spans="1:54" s="27" customFormat="1" x14ac:dyDescent="0.25">
      <c r="A7" s="28" t="s">
        <v>21</v>
      </c>
      <c r="B7" s="28" t="s">
        <v>3517</v>
      </c>
      <c r="C7" s="28" t="s">
        <v>21</v>
      </c>
      <c r="D7" s="31">
        <v>1</v>
      </c>
      <c r="E7" s="73">
        <v>5</v>
      </c>
      <c r="F7" s="45">
        <v>301</v>
      </c>
      <c r="G7" s="32"/>
      <c r="H7" s="32">
        <v>1.8420000000000001</v>
      </c>
      <c r="I7" s="32">
        <v>1.8320000000000001</v>
      </c>
      <c r="J7" s="33">
        <f t="shared" si="0"/>
        <v>1.0000000000000009E-2</v>
      </c>
      <c r="K7" s="34" t="str">
        <f t="shared" si="1"/>
        <v/>
      </c>
      <c r="L7" s="35">
        <f t="shared" si="2"/>
        <v>7.5250000000000004</v>
      </c>
      <c r="M7" s="36" t="str">
        <f t="shared" si="3"/>
        <v/>
      </c>
      <c r="N7" s="37" t="s">
        <v>18</v>
      </c>
      <c r="O7" s="29">
        <v>1</v>
      </c>
      <c r="P7" s="38">
        <v>40</v>
      </c>
      <c r="Q7" s="46"/>
      <c r="R7" s="28" t="s">
        <v>3601</v>
      </c>
      <c r="S7" s="47"/>
      <c r="T7" s="46"/>
      <c r="U7" s="28" t="s">
        <v>31</v>
      </c>
    </row>
    <row r="8" spans="1:54" s="27" customFormat="1" x14ac:dyDescent="0.25">
      <c r="A8" s="28" t="s">
        <v>21</v>
      </c>
      <c r="B8" s="28" t="s">
        <v>3518</v>
      </c>
      <c r="C8" s="28" t="s">
        <v>21</v>
      </c>
      <c r="D8" s="31">
        <v>1</v>
      </c>
      <c r="E8" s="73">
        <v>12</v>
      </c>
      <c r="F8" s="45">
        <v>302</v>
      </c>
      <c r="G8" s="32"/>
      <c r="H8" s="32">
        <v>1.839</v>
      </c>
      <c r="I8" s="32">
        <v>1.83</v>
      </c>
      <c r="J8" s="33">
        <f t="shared" si="0"/>
        <v>8.999999999999897E-3</v>
      </c>
      <c r="K8" s="34" t="str">
        <f t="shared" si="1"/>
        <v/>
      </c>
      <c r="L8" s="35">
        <f t="shared" si="2"/>
        <v>7.55</v>
      </c>
      <c r="M8" s="36" t="str">
        <f t="shared" si="3"/>
        <v/>
      </c>
      <c r="N8" s="37" t="s">
        <v>18</v>
      </c>
      <c r="O8" s="29">
        <v>1</v>
      </c>
      <c r="P8" s="38">
        <v>40</v>
      </c>
      <c r="Q8" s="46"/>
      <c r="R8" s="28" t="s">
        <v>3602</v>
      </c>
      <c r="S8" s="47"/>
      <c r="T8" s="46"/>
      <c r="U8" s="28" t="s">
        <v>31</v>
      </c>
    </row>
    <row r="9" spans="1:54" s="27" customFormat="1" x14ac:dyDescent="0.25">
      <c r="A9" s="28" t="s">
        <v>21</v>
      </c>
      <c r="B9" s="28" t="s">
        <v>3519</v>
      </c>
      <c r="C9" s="28" t="s">
        <v>21</v>
      </c>
      <c r="D9" s="31">
        <v>1</v>
      </c>
      <c r="E9" s="73">
        <v>24</v>
      </c>
      <c r="F9" s="45">
        <v>301</v>
      </c>
      <c r="G9" s="32"/>
      <c r="H9" s="32">
        <v>1.8420000000000001</v>
      </c>
      <c r="I9" s="32">
        <v>1.835</v>
      </c>
      <c r="J9" s="33">
        <f t="shared" si="0"/>
        <v>7.0000000000001172E-3</v>
      </c>
      <c r="K9" s="34" t="str">
        <f t="shared" si="1"/>
        <v/>
      </c>
      <c r="L9" s="35">
        <f t="shared" si="2"/>
        <v>7.5250000000000004</v>
      </c>
      <c r="M9" s="36" t="str">
        <f t="shared" si="3"/>
        <v/>
      </c>
      <c r="N9" s="37" t="s">
        <v>18</v>
      </c>
      <c r="O9" s="29">
        <v>1</v>
      </c>
      <c r="P9" s="38">
        <v>40</v>
      </c>
      <c r="Q9" s="46"/>
      <c r="R9" s="28" t="s">
        <v>3603</v>
      </c>
      <c r="S9" s="47"/>
      <c r="T9" s="46"/>
      <c r="U9" s="28" t="s">
        <v>31</v>
      </c>
    </row>
    <row r="10" spans="1:54" s="27" customFormat="1" x14ac:dyDescent="0.25">
      <c r="A10" s="28" t="s">
        <v>21</v>
      </c>
      <c r="B10" s="28" t="s">
        <v>3520</v>
      </c>
      <c r="C10" s="28">
        <v>798520</v>
      </c>
      <c r="D10" s="31">
        <v>1</v>
      </c>
      <c r="E10" s="73">
        <v>11</v>
      </c>
      <c r="F10" s="45">
        <v>303</v>
      </c>
      <c r="G10" s="32"/>
      <c r="H10" s="32">
        <v>1.833</v>
      </c>
      <c r="I10" s="32">
        <v>1.8240000000000001</v>
      </c>
      <c r="J10" s="33">
        <f t="shared" si="0"/>
        <v>8.999999999999897E-3</v>
      </c>
      <c r="K10" s="34" t="str">
        <f t="shared" si="1"/>
        <v/>
      </c>
      <c r="L10" s="35">
        <f t="shared" si="2"/>
        <v>7.5750000000000002</v>
      </c>
      <c r="M10" s="36" t="str">
        <f t="shared" si="3"/>
        <v/>
      </c>
      <c r="N10" s="37" t="s">
        <v>18</v>
      </c>
      <c r="O10" s="29">
        <v>1</v>
      </c>
      <c r="P10" s="38">
        <v>40</v>
      </c>
      <c r="Q10" s="46"/>
      <c r="R10" s="28" t="s">
        <v>3614</v>
      </c>
      <c r="S10" s="47"/>
      <c r="T10" s="46"/>
      <c r="U10" s="28" t="s">
        <v>31</v>
      </c>
    </row>
    <row r="11" spans="1:54" s="27" customFormat="1" x14ac:dyDescent="0.25">
      <c r="A11" s="28" t="s">
        <v>21</v>
      </c>
      <c r="B11" s="28" t="s">
        <v>3521</v>
      </c>
      <c r="C11" s="28" t="s">
        <v>21</v>
      </c>
      <c r="D11" s="31">
        <v>1</v>
      </c>
      <c r="E11" s="73">
        <v>16</v>
      </c>
      <c r="F11" s="45">
        <v>303</v>
      </c>
      <c r="G11" s="32"/>
      <c r="H11" s="32">
        <v>1.8220000000000001</v>
      </c>
      <c r="I11" s="32">
        <v>1.8120000000000001</v>
      </c>
      <c r="J11" s="33">
        <f t="shared" si="0"/>
        <v>1.0000000000000009E-2</v>
      </c>
      <c r="K11" s="34" t="str">
        <f t="shared" si="1"/>
        <v/>
      </c>
      <c r="L11" s="35">
        <f t="shared" si="2"/>
        <v>7.5750000000000002</v>
      </c>
      <c r="M11" s="36" t="str">
        <f t="shared" si="3"/>
        <v/>
      </c>
      <c r="N11" s="37" t="s">
        <v>18</v>
      </c>
      <c r="O11" s="29">
        <v>1</v>
      </c>
      <c r="P11" s="38">
        <v>40</v>
      </c>
      <c r="Q11" s="46"/>
      <c r="R11" s="28" t="s">
        <v>3615</v>
      </c>
      <c r="S11" s="47"/>
      <c r="T11" s="46"/>
      <c r="U11" s="28" t="s">
        <v>31</v>
      </c>
    </row>
    <row r="12" spans="1:54" s="27" customFormat="1" x14ac:dyDescent="0.25">
      <c r="A12" s="28" t="s">
        <v>21</v>
      </c>
      <c r="B12" s="28" t="s">
        <v>3522</v>
      </c>
      <c r="C12" s="28" t="s">
        <v>21</v>
      </c>
      <c r="D12" s="31">
        <v>1</v>
      </c>
      <c r="E12" s="73">
        <v>21</v>
      </c>
      <c r="F12" s="45">
        <v>304</v>
      </c>
      <c r="G12" s="32"/>
      <c r="H12" s="32">
        <v>1.8680000000000001</v>
      </c>
      <c r="I12" s="32">
        <v>1.86</v>
      </c>
      <c r="J12" s="33">
        <f t="shared" si="0"/>
        <v>8.0000000000000071E-3</v>
      </c>
      <c r="K12" s="34" t="str">
        <f t="shared" si="1"/>
        <v/>
      </c>
      <c r="L12" s="35">
        <f t="shared" si="2"/>
        <v>7.6</v>
      </c>
      <c r="M12" s="36" t="str">
        <f t="shared" si="3"/>
        <v/>
      </c>
      <c r="N12" s="37" t="s">
        <v>18</v>
      </c>
      <c r="O12" s="29">
        <v>1</v>
      </c>
      <c r="P12" s="38">
        <v>40</v>
      </c>
      <c r="Q12" s="46"/>
      <c r="R12" s="28" t="s">
        <v>3640</v>
      </c>
      <c r="S12" s="47"/>
      <c r="T12" s="46"/>
      <c r="U12" s="28" t="s">
        <v>31</v>
      </c>
    </row>
    <row r="13" spans="1:54" s="27" customFormat="1" x14ac:dyDescent="0.25">
      <c r="A13" s="28" t="s">
        <v>21</v>
      </c>
      <c r="B13" s="28" t="s">
        <v>3523</v>
      </c>
      <c r="C13" s="28" t="s">
        <v>21</v>
      </c>
      <c r="D13" s="31">
        <v>1</v>
      </c>
      <c r="E13" s="73">
        <v>17</v>
      </c>
      <c r="F13" s="45">
        <v>303</v>
      </c>
      <c r="G13" s="32"/>
      <c r="H13" s="32">
        <v>1.8620000000000001</v>
      </c>
      <c r="I13" s="32">
        <v>1.853</v>
      </c>
      <c r="J13" s="33">
        <f t="shared" si="0"/>
        <v>9.000000000000119E-3</v>
      </c>
      <c r="K13" s="34" t="str">
        <f t="shared" si="1"/>
        <v/>
      </c>
      <c r="L13" s="35">
        <f t="shared" si="2"/>
        <v>7.5750000000000002</v>
      </c>
      <c r="M13" s="36" t="str">
        <f t="shared" si="3"/>
        <v/>
      </c>
      <c r="N13" s="37" t="s">
        <v>18</v>
      </c>
      <c r="O13" s="29">
        <v>1</v>
      </c>
      <c r="P13" s="38">
        <v>40</v>
      </c>
      <c r="Q13" s="46"/>
      <c r="R13" s="28" t="s">
        <v>3641</v>
      </c>
      <c r="S13" s="47"/>
      <c r="T13" s="46"/>
      <c r="U13" s="28" t="s">
        <v>31</v>
      </c>
    </row>
    <row r="14" spans="1:54" s="27" customFormat="1" x14ac:dyDescent="0.25">
      <c r="A14" s="28" t="s">
        <v>21</v>
      </c>
      <c r="B14" s="28" t="s">
        <v>3524</v>
      </c>
      <c r="C14" s="28" t="s">
        <v>21</v>
      </c>
      <c r="D14" s="31">
        <v>1</v>
      </c>
      <c r="E14" s="73">
        <v>14</v>
      </c>
      <c r="F14" s="45">
        <v>303</v>
      </c>
      <c r="G14" s="32"/>
      <c r="H14" s="32">
        <v>1.863</v>
      </c>
      <c r="I14" s="32">
        <v>1.853</v>
      </c>
      <c r="J14" s="33">
        <f t="shared" si="0"/>
        <v>1.0000000000000009E-2</v>
      </c>
      <c r="K14" s="34" t="str">
        <f t="shared" si="1"/>
        <v/>
      </c>
      <c r="L14" s="35">
        <f t="shared" si="2"/>
        <v>7.5750000000000002</v>
      </c>
      <c r="M14" s="36" t="str">
        <f t="shared" si="3"/>
        <v/>
      </c>
      <c r="N14" s="37" t="s">
        <v>18</v>
      </c>
      <c r="O14" s="29">
        <v>1</v>
      </c>
      <c r="P14" s="38">
        <v>40</v>
      </c>
      <c r="Q14" s="46"/>
      <c r="R14" s="28" t="s">
        <v>3639</v>
      </c>
      <c r="S14" s="47"/>
      <c r="T14" s="46"/>
      <c r="U14" s="28" t="s">
        <v>31</v>
      </c>
    </row>
    <row r="15" spans="1:54" s="27" customFormat="1" x14ac:dyDescent="0.25">
      <c r="A15" s="28" t="s">
        <v>21</v>
      </c>
      <c r="B15" s="28" t="s">
        <v>3525</v>
      </c>
      <c r="C15" s="28" t="s">
        <v>21</v>
      </c>
      <c r="D15" s="31">
        <v>1</v>
      </c>
      <c r="E15" s="73">
        <v>11</v>
      </c>
      <c r="F15" s="45">
        <v>303</v>
      </c>
      <c r="G15" s="32"/>
      <c r="H15" s="32">
        <v>1.8660000000000001</v>
      </c>
      <c r="I15" s="32">
        <v>1.855</v>
      </c>
      <c r="J15" s="33">
        <f t="shared" si="0"/>
        <v>1.1000000000000121E-2</v>
      </c>
      <c r="K15" s="34" t="str">
        <f t="shared" si="1"/>
        <v/>
      </c>
      <c r="L15" s="35">
        <f t="shared" si="2"/>
        <v>7.5750000000000002</v>
      </c>
      <c r="M15" s="36" t="str">
        <f t="shared" si="3"/>
        <v/>
      </c>
      <c r="N15" s="37" t="s">
        <v>18</v>
      </c>
      <c r="O15" s="29">
        <v>1</v>
      </c>
      <c r="P15" s="38">
        <v>40</v>
      </c>
      <c r="Q15" s="46"/>
      <c r="R15" s="28" t="s">
        <v>3645</v>
      </c>
      <c r="S15" s="47"/>
      <c r="T15" s="46"/>
      <c r="U15" s="28" t="s">
        <v>31</v>
      </c>
    </row>
    <row r="16" spans="1:54" s="27" customFormat="1" x14ac:dyDescent="0.25">
      <c r="A16" s="28" t="s">
        <v>21</v>
      </c>
      <c r="B16" s="28" t="s">
        <v>3526</v>
      </c>
      <c r="C16" s="28" t="s">
        <v>21</v>
      </c>
      <c r="D16" s="31">
        <v>1</v>
      </c>
      <c r="E16" s="73">
        <v>23</v>
      </c>
      <c r="F16" s="45">
        <v>304</v>
      </c>
      <c r="G16" s="32"/>
      <c r="H16" s="32">
        <v>1.869</v>
      </c>
      <c r="I16" s="32">
        <v>1.86</v>
      </c>
      <c r="J16" s="33">
        <f t="shared" si="0"/>
        <v>8.999999999999897E-3</v>
      </c>
      <c r="K16" s="34" t="str">
        <f t="shared" si="1"/>
        <v/>
      </c>
      <c r="L16" s="35">
        <f t="shared" si="2"/>
        <v>7.6</v>
      </c>
      <c r="M16" s="36" t="str">
        <f t="shared" si="3"/>
        <v/>
      </c>
      <c r="N16" s="37" t="s">
        <v>18</v>
      </c>
      <c r="O16" s="29">
        <v>1</v>
      </c>
      <c r="P16" s="38">
        <v>40</v>
      </c>
      <c r="Q16" s="46"/>
      <c r="R16" s="28" t="s">
        <v>3646</v>
      </c>
      <c r="S16" s="47"/>
      <c r="T16" s="46"/>
      <c r="U16" s="28" t="s">
        <v>31</v>
      </c>
    </row>
    <row r="17" spans="1:21" s="27" customFormat="1" x14ac:dyDescent="0.25">
      <c r="A17" s="28" t="s">
        <v>21</v>
      </c>
      <c r="B17" s="28" t="s">
        <v>3527</v>
      </c>
      <c r="C17" s="28" t="s">
        <v>21</v>
      </c>
      <c r="D17" s="31">
        <v>1</v>
      </c>
      <c r="E17" s="71">
        <v>14</v>
      </c>
      <c r="F17" s="45">
        <v>300</v>
      </c>
      <c r="G17" s="32"/>
      <c r="H17" s="32">
        <v>1.8680000000000001</v>
      </c>
      <c r="I17" s="32">
        <v>1.859</v>
      </c>
      <c r="J17" s="33">
        <f t="shared" si="0"/>
        <v>9.000000000000119E-3</v>
      </c>
      <c r="K17" s="34" t="str">
        <f t="shared" si="1"/>
        <v/>
      </c>
      <c r="L17" s="35">
        <f t="shared" si="2"/>
        <v>7.5</v>
      </c>
      <c r="M17" s="36" t="str">
        <f t="shared" si="3"/>
        <v/>
      </c>
      <c r="N17" s="37" t="s">
        <v>18</v>
      </c>
      <c r="O17" s="29">
        <v>1</v>
      </c>
      <c r="P17" s="38">
        <v>40</v>
      </c>
      <c r="Q17" s="46"/>
      <c r="R17" s="28" t="s">
        <v>3648</v>
      </c>
      <c r="S17" s="91" t="s">
        <v>58</v>
      </c>
      <c r="T17" s="46"/>
      <c r="U17" s="28" t="s">
        <v>31</v>
      </c>
    </row>
    <row r="18" spans="1:21" s="27" customFormat="1" x14ac:dyDescent="0.25">
      <c r="A18" s="28" t="s">
        <v>21</v>
      </c>
      <c r="B18" s="28" t="s">
        <v>3528</v>
      </c>
      <c r="C18" s="28" t="s">
        <v>21</v>
      </c>
      <c r="D18" s="31">
        <v>1</v>
      </c>
      <c r="E18" s="71">
        <v>36</v>
      </c>
      <c r="F18" s="45">
        <v>299</v>
      </c>
      <c r="G18" s="32"/>
      <c r="H18" s="32">
        <v>1.869</v>
      </c>
      <c r="I18" s="32">
        <v>1.861</v>
      </c>
      <c r="J18" s="33">
        <f t="shared" si="0"/>
        <v>8.0000000000000071E-3</v>
      </c>
      <c r="K18" s="34" t="str">
        <f t="shared" si="1"/>
        <v/>
      </c>
      <c r="L18" s="35">
        <f t="shared" si="2"/>
        <v>7.4749999999999996</v>
      </c>
      <c r="M18" s="36" t="str">
        <f t="shared" si="3"/>
        <v/>
      </c>
      <c r="N18" s="37" t="s">
        <v>18</v>
      </c>
      <c r="O18" s="29">
        <v>1</v>
      </c>
      <c r="P18" s="38">
        <v>40</v>
      </c>
      <c r="Q18" s="46"/>
      <c r="R18" s="28" t="s">
        <v>3649</v>
      </c>
      <c r="S18" s="91" t="s">
        <v>59</v>
      </c>
      <c r="T18" s="46"/>
      <c r="U18" s="28" t="s">
        <v>31</v>
      </c>
    </row>
    <row r="19" spans="1:21" s="27" customFormat="1" x14ac:dyDescent="0.25">
      <c r="A19" s="28" t="s">
        <v>21</v>
      </c>
      <c r="B19" s="28" t="s">
        <v>3529</v>
      </c>
      <c r="C19" s="28" t="s">
        <v>21</v>
      </c>
      <c r="D19" s="31">
        <v>1</v>
      </c>
      <c r="E19" s="71">
        <v>19</v>
      </c>
      <c r="F19" s="45">
        <v>300</v>
      </c>
      <c r="G19" s="32"/>
      <c r="H19" s="32">
        <v>1.871</v>
      </c>
      <c r="I19" s="32">
        <v>1.863</v>
      </c>
      <c r="J19" s="33">
        <f t="shared" si="0"/>
        <v>8.0000000000000071E-3</v>
      </c>
      <c r="K19" s="34" t="str">
        <f t="shared" si="1"/>
        <v/>
      </c>
      <c r="L19" s="35">
        <f t="shared" si="2"/>
        <v>7.5</v>
      </c>
      <c r="M19" s="36" t="str">
        <f t="shared" si="3"/>
        <v/>
      </c>
      <c r="N19" s="37" t="s">
        <v>18</v>
      </c>
      <c r="O19" s="29">
        <v>1</v>
      </c>
      <c r="P19" s="38">
        <v>40</v>
      </c>
      <c r="Q19" s="46"/>
      <c r="R19" s="28" t="s">
        <v>3647</v>
      </c>
      <c r="S19" s="92" t="s">
        <v>21</v>
      </c>
      <c r="T19" s="46"/>
      <c r="U19" s="28" t="s">
        <v>31</v>
      </c>
    </row>
    <row r="20" spans="1:21" s="27" customFormat="1" x14ac:dyDescent="0.25">
      <c r="A20" s="28" t="s">
        <v>21</v>
      </c>
      <c r="B20" s="28" t="s">
        <v>3530</v>
      </c>
      <c r="C20" s="28" t="s">
        <v>21</v>
      </c>
      <c r="D20" s="31">
        <v>1</v>
      </c>
      <c r="E20" s="71">
        <v>31</v>
      </c>
      <c r="F20" s="45">
        <v>299</v>
      </c>
      <c r="G20" s="32"/>
      <c r="H20" s="32">
        <v>1.889</v>
      </c>
      <c r="I20" s="32">
        <v>1.883</v>
      </c>
      <c r="J20" s="33">
        <f t="shared" si="0"/>
        <v>6.0000000000000053E-3</v>
      </c>
      <c r="K20" s="34" t="str">
        <f t="shared" si="1"/>
        <v/>
      </c>
      <c r="L20" s="35">
        <f t="shared" si="2"/>
        <v>7.4749999999999996</v>
      </c>
      <c r="M20" s="36" t="str">
        <f t="shared" si="3"/>
        <v/>
      </c>
      <c r="N20" s="37" t="s">
        <v>18</v>
      </c>
      <c r="O20" s="29">
        <v>1</v>
      </c>
      <c r="P20" s="38">
        <v>40</v>
      </c>
      <c r="Q20" s="46"/>
      <c r="R20" s="28" t="s">
        <v>3650</v>
      </c>
      <c r="S20" s="92" t="s">
        <v>21</v>
      </c>
      <c r="T20" s="46"/>
      <c r="U20" s="28" t="s">
        <v>31</v>
      </c>
    </row>
    <row r="21" spans="1:21" s="27" customFormat="1" x14ac:dyDescent="0.25">
      <c r="A21" s="28" t="s">
        <v>21</v>
      </c>
      <c r="B21" s="28" t="s">
        <v>3531</v>
      </c>
      <c r="C21" s="28" t="s">
        <v>21</v>
      </c>
      <c r="D21" s="31">
        <v>1</v>
      </c>
      <c r="E21" s="71">
        <v>29</v>
      </c>
      <c r="F21" s="45">
        <v>299</v>
      </c>
      <c r="G21" s="32"/>
      <c r="H21" s="32">
        <v>1.889</v>
      </c>
      <c r="I21" s="32">
        <v>1.8819999999999999</v>
      </c>
      <c r="J21" s="33">
        <f t="shared" si="0"/>
        <v>7.0000000000001172E-3</v>
      </c>
      <c r="K21" s="34" t="str">
        <f t="shared" si="1"/>
        <v/>
      </c>
      <c r="L21" s="35">
        <f t="shared" si="2"/>
        <v>7.4749999999999996</v>
      </c>
      <c r="M21" s="36" t="str">
        <f t="shared" si="3"/>
        <v/>
      </c>
      <c r="N21" s="37" t="s">
        <v>18</v>
      </c>
      <c r="O21" s="29">
        <v>1</v>
      </c>
      <c r="P21" s="38">
        <v>40</v>
      </c>
      <c r="Q21" s="46"/>
      <c r="R21" s="28" t="s">
        <v>3652</v>
      </c>
      <c r="S21" s="92" t="s">
        <v>21</v>
      </c>
      <c r="T21" s="46"/>
      <c r="U21" s="28" t="s">
        <v>31</v>
      </c>
    </row>
    <row r="22" spans="1:21" s="27" customFormat="1" x14ac:dyDescent="0.25">
      <c r="A22" s="28" t="s">
        <v>21</v>
      </c>
      <c r="B22" s="28" t="s">
        <v>3532</v>
      </c>
      <c r="C22" s="28" t="s">
        <v>21</v>
      </c>
      <c r="D22" s="31">
        <v>1</v>
      </c>
      <c r="E22" s="71">
        <v>22</v>
      </c>
      <c r="F22" s="45">
        <v>299</v>
      </c>
      <c r="G22" s="32"/>
      <c r="H22" s="32">
        <v>1.877</v>
      </c>
      <c r="I22" s="32">
        <v>1.87</v>
      </c>
      <c r="J22" s="33">
        <f t="shared" si="0"/>
        <v>6.9999999999998952E-3</v>
      </c>
      <c r="K22" s="34" t="str">
        <f t="shared" si="1"/>
        <v/>
      </c>
      <c r="L22" s="35">
        <f t="shared" si="2"/>
        <v>7.4749999999999996</v>
      </c>
      <c r="M22" s="36" t="str">
        <f t="shared" si="3"/>
        <v/>
      </c>
      <c r="N22" s="37" t="s">
        <v>18</v>
      </c>
      <c r="O22" s="29">
        <v>1</v>
      </c>
      <c r="P22" s="38">
        <v>40</v>
      </c>
      <c r="Q22" s="46"/>
      <c r="R22" s="28" t="s">
        <v>3653</v>
      </c>
      <c r="S22" s="92" t="s">
        <v>21</v>
      </c>
      <c r="T22" s="46"/>
      <c r="U22" s="28" t="s">
        <v>31</v>
      </c>
    </row>
    <row r="23" spans="1:21" s="27" customFormat="1" x14ac:dyDescent="0.25">
      <c r="A23" s="28" t="s">
        <v>21</v>
      </c>
      <c r="B23" s="28" t="s">
        <v>3533</v>
      </c>
      <c r="C23" s="28" t="s">
        <v>21</v>
      </c>
      <c r="D23" s="31">
        <v>1</v>
      </c>
      <c r="E23" s="71">
        <v>25</v>
      </c>
      <c r="F23" s="45">
        <v>298</v>
      </c>
      <c r="G23" s="32"/>
      <c r="H23" s="32">
        <v>1.88</v>
      </c>
      <c r="I23" s="32">
        <v>1.8740000000000001</v>
      </c>
      <c r="J23" s="33">
        <f t="shared" si="0"/>
        <v>5.9999999999997833E-3</v>
      </c>
      <c r="K23" s="34" t="str">
        <f t="shared" si="1"/>
        <v/>
      </c>
      <c r="L23" s="35">
        <f t="shared" si="2"/>
        <v>7.45</v>
      </c>
      <c r="M23" s="36" t="str">
        <f t="shared" si="3"/>
        <v/>
      </c>
      <c r="N23" s="37" t="s">
        <v>18</v>
      </c>
      <c r="O23" s="29">
        <v>1</v>
      </c>
      <c r="P23" s="38">
        <v>40</v>
      </c>
      <c r="Q23" s="46"/>
      <c r="R23" s="28" t="s">
        <v>3655</v>
      </c>
      <c r="S23" s="92" t="s">
        <v>21</v>
      </c>
      <c r="T23" s="46"/>
      <c r="U23" s="28" t="s">
        <v>31</v>
      </c>
    </row>
    <row r="24" spans="1:21" s="27" customFormat="1" x14ac:dyDescent="0.25">
      <c r="A24" s="28" t="s">
        <v>21</v>
      </c>
      <c r="B24" s="28" t="s">
        <v>3534</v>
      </c>
      <c r="C24" s="28" t="s">
        <v>21</v>
      </c>
      <c r="D24" s="31">
        <v>1</v>
      </c>
      <c r="E24" s="71">
        <v>22</v>
      </c>
      <c r="F24" s="45">
        <v>300</v>
      </c>
      <c r="G24" s="32"/>
      <c r="H24" s="32">
        <v>1.875</v>
      </c>
      <c r="I24" s="32">
        <v>1.8680000000000001</v>
      </c>
      <c r="J24" s="33">
        <f t="shared" si="0"/>
        <v>6.9999999999998952E-3</v>
      </c>
      <c r="K24" s="34" t="str">
        <f t="shared" si="1"/>
        <v/>
      </c>
      <c r="L24" s="35">
        <f t="shared" si="2"/>
        <v>7.5</v>
      </c>
      <c r="M24" s="36" t="str">
        <f t="shared" si="3"/>
        <v/>
      </c>
      <c r="N24" s="37" t="s">
        <v>18</v>
      </c>
      <c r="O24" s="29">
        <v>1</v>
      </c>
      <c r="P24" s="38">
        <v>40</v>
      </c>
      <c r="Q24" s="46"/>
      <c r="R24" s="28" t="s">
        <v>3656</v>
      </c>
      <c r="S24" s="92" t="s">
        <v>21</v>
      </c>
      <c r="T24" s="46"/>
      <c r="U24" s="28" t="s">
        <v>31</v>
      </c>
    </row>
    <row r="25" spans="1:21" s="27" customFormat="1" x14ac:dyDescent="0.25">
      <c r="A25" s="28" t="s">
        <v>21</v>
      </c>
      <c r="B25" s="28" t="s">
        <v>3535</v>
      </c>
      <c r="C25" s="28" t="s">
        <v>21</v>
      </c>
      <c r="D25" s="31">
        <v>1</v>
      </c>
      <c r="E25" s="71">
        <v>32</v>
      </c>
      <c r="F25" s="45">
        <v>298</v>
      </c>
      <c r="G25" s="32"/>
      <c r="H25" s="32">
        <v>1.879</v>
      </c>
      <c r="I25" s="32">
        <v>1.873</v>
      </c>
      <c r="J25" s="33">
        <f t="shared" si="0"/>
        <v>6.0000000000000053E-3</v>
      </c>
      <c r="K25" s="34" t="str">
        <f t="shared" si="1"/>
        <v/>
      </c>
      <c r="L25" s="35">
        <f t="shared" si="2"/>
        <v>7.45</v>
      </c>
      <c r="M25" s="36" t="str">
        <f t="shared" si="3"/>
        <v/>
      </c>
      <c r="N25" s="37" t="s">
        <v>18</v>
      </c>
      <c r="O25" s="29">
        <v>1</v>
      </c>
      <c r="P25" s="38">
        <v>40</v>
      </c>
      <c r="Q25" s="46"/>
      <c r="R25" s="28" t="s">
        <v>3654</v>
      </c>
      <c r="S25" s="92" t="s">
        <v>21</v>
      </c>
      <c r="T25" s="46"/>
      <c r="U25" s="28" t="s">
        <v>31</v>
      </c>
    </row>
    <row r="26" spans="1:21" s="27" customFormat="1" x14ac:dyDescent="0.25">
      <c r="A26" s="28" t="s">
        <v>21</v>
      </c>
      <c r="B26" s="28" t="s">
        <v>3536</v>
      </c>
      <c r="C26" s="28" t="s">
        <v>21</v>
      </c>
      <c r="D26" s="31">
        <v>1</v>
      </c>
      <c r="E26" s="71">
        <v>24</v>
      </c>
      <c r="F26" s="45">
        <v>299</v>
      </c>
      <c r="G26" s="32"/>
      <c r="H26" s="32">
        <v>1.875</v>
      </c>
      <c r="I26" s="32">
        <v>1.869</v>
      </c>
      <c r="J26" s="33">
        <f t="shared" si="0"/>
        <v>6.0000000000000053E-3</v>
      </c>
      <c r="K26" s="34" t="str">
        <f t="shared" si="1"/>
        <v/>
      </c>
      <c r="L26" s="35">
        <f t="shared" si="2"/>
        <v>7.4749999999999996</v>
      </c>
      <c r="M26" s="36" t="str">
        <f t="shared" si="3"/>
        <v/>
      </c>
      <c r="N26" s="37" t="s">
        <v>18</v>
      </c>
      <c r="O26" s="29">
        <v>1</v>
      </c>
      <c r="P26" s="38">
        <v>40</v>
      </c>
      <c r="Q26" s="46"/>
      <c r="R26" s="28" t="s">
        <v>3657</v>
      </c>
      <c r="S26" s="92" t="s">
        <v>21</v>
      </c>
      <c r="T26" s="46"/>
      <c r="U26" s="28" t="s">
        <v>31</v>
      </c>
    </row>
    <row r="27" spans="1:21" s="27" customFormat="1" x14ac:dyDescent="0.25">
      <c r="A27" s="28" t="s">
        <v>21</v>
      </c>
      <c r="B27" s="28" t="s">
        <v>3537</v>
      </c>
      <c r="C27" s="28" t="s">
        <v>21</v>
      </c>
      <c r="D27" s="31">
        <v>1</v>
      </c>
      <c r="E27" s="71">
        <v>48</v>
      </c>
      <c r="F27" s="45">
        <v>300</v>
      </c>
      <c r="G27" s="32"/>
      <c r="H27" s="32">
        <v>1.8720000000000001</v>
      </c>
      <c r="I27" s="32">
        <v>1.8660000000000001</v>
      </c>
      <c r="J27" s="33">
        <f t="shared" si="0"/>
        <v>6.0000000000000053E-3</v>
      </c>
      <c r="K27" s="34" t="str">
        <f t="shared" si="1"/>
        <v/>
      </c>
      <c r="L27" s="35">
        <f t="shared" si="2"/>
        <v>7.5</v>
      </c>
      <c r="M27" s="36" t="str">
        <f t="shared" si="3"/>
        <v/>
      </c>
      <c r="N27" s="37" t="s">
        <v>18</v>
      </c>
      <c r="O27" s="29">
        <v>1</v>
      </c>
      <c r="P27" s="38">
        <v>40</v>
      </c>
      <c r="Q27" s="46"/>
      <c r="R27" s="28" t="s">
        <v>3658</v>
      </c>
      <c r="S27" s="91" t="s">
        <v>103</v>
      </c>
      <c r="T27" s="46"/>
      <c r="U27" s="28" t="s">
        <v>31</v>
      </c>
    </row>
    <row r="28" spans="1:21" s="27" customFormat="1" x14ac:dyDescent="0.25">
      <c r="A28" s="28" t="s">
        <v>21</v>
      </c>
      <c r="B28" s="28" t="s">
        <v>3538</v>
      </c>
      <c r="C28" s="28" t="s">
        <v>21</v>
      </c>
      <c r="D28" s="31">
        <v>1</v>
      </c>
      <c r="E28" s="71">
        <v>52</v>
      </c>
      <c r="F28" s="45">
        <v>300</v>
      </c>
      <c r="G28" s="32"/>
      <c r="H28" s="32">
        <v>1.879</v>
      </c>
      <c r="I28" s="32">
        <v>1.873</v>
      </c>
      <c r="J28" s="33">
        <f t="shared" si="0"/>
        <v>6.0000000000000053E-3</v>
      </c>
      <c r="K28" s="34" t="str">
        <f t="shared" si="1"/>
        <v/>
      </c>
      <c r="L28" s="35">
        <f t="shared" si="2"/>
        <v>7.5</v>
      </c>
      <c r="M28" s="36" t="str">
        <f t="shared" si="3"/>
        <v/>
      </c>
      <c r="N28" s="37" t="s">
        <v>18</v>
      </c>
      <c r="O28" s="29">
        <v>1</v>
      </c>
      <c r="P28" s="38">
        <v>40</v>
      </c>
      <c r="Q28" s="46"/>
      <c r="R28" s="28" t="s">
        <v>3659</v>
      </c>
      <c r="S28" s="91" t="s">
        <v>59</v>
      </c>
      <c r="T28" s="46"/>
      <c r="U28" s="28" t="s">
        <v>31</v>
      </c>
    </row>
    <row r="29" spans="1:21" s="27" customFormat="1" x14ac:dyDescent="0.25">
      <c r="A29" s="28" t="s">
        <v>21</v>
      </c>
      <c r="B29" s="28" t="s">
        <v>3539</v>
      </c>
      <c r="C29" s="28" t="s">
        <v>21</v>
      </c>
      <c r="D29" s="31">
        <v>1</v>
      </c>
      <c r="E29" s="71">
        <v>56</v>
      </c>
      <c r="F29" s="45">
        <v>300</v>
      </c>
      <c r="G29" s="32"/>
      <c r="H29" s="32">
        <v>1.8740000000000001</v>
      </c>
      <c r="I29" s="32">
        <v>1.8680000000000001</v>
      </c>
      <c r="J29" s="33">
        <f t="shared" si="0"/>
        <v>6.0000000000000053E-3</v>
      </c>
      <c r="K29" s="34" t="str">
        <f t="shared" si="1"/>
        <v/>
      </c>
      <c r="L29" s="35">
        <f t="shared" si="2"/>
        <v>7.5</v>
      </c>
      <c r="M29" s="36" t="str">
        <f t="shared" si="3"/>
        <v/>
      </c>
      <c r="N29" s="37" t="s">
        <v>18</v>
      </c>
      <c r="O29" s="29">
        <v>1</v>
      </c>
      <c r="P29" s="38">
        <v>40</v>
      </c>
      <c r="Q29" s="46"/>
      <c r="R29" s="28" t="s">
        <v>3651</v>
      </c>
      <c r="S29" s="92" t="s">
        <v>21</v>
      </c>
      <c r="T29" s="46"/>
      <c r="U29" s="28" t="s">
        <v>31</v>
      </c>
    </row>
    <row r="30" spans="1:21" s="27" customFormat="1" x14ac:dyDescent="0.25">
      <c r="A30" s="28" t="s">
        <v>21</v>
      </c>
      <c r="B30" s="28" t="s">
        <v>3540</v>
      </c>
      <c r="C30" s="28" t="s">
        <v>21</v>
      </c>
      <c r="D30" s="31">
        <v>1</v>
      </c>
      <c r="E30" s="71">
        <v>48</v>
      </c>
      <c r="F30" s="45">
        <v>299</v>
      </c>
      <c r="G30" s="32"/>
      <c r="H30" s="32">
        <v>1.8879999999999999</v>
      </c>
      <c r="I30" s="32">
        <v>1.8819999999999999</v>
      </c>
      <c r="J30" s="33">
        <f t="shared" si="0"/>
        <v>6.0000000000000053E-3</v>
      </c>
      <c r="K30" s="34" t="str">
        <f t="shared" si="1"/>
        <v/>
      </c>
      <c r="L30" s="35">
        <f t="shared" si="2"/>
        <v>7.4749999999999996</v>
      </c>
      <c r="M30" s="36" t="str">
        <f t="shared" si="3"/>
        <v/>
      </c>
      <c r="N30" s="37" t="s">
        <v>18</v>
      </c>
      <c r="O30" s="29">
        <v>1</v>
      </c>
      <c r="P30" s="38">
        <v>40</v>
      </c>
      <c r="Q30" s="46"/>
      <c r="R30" s="28" t="s">
        <v>3660</v>
      </c>
      <c r="S30" s="92" t="s">
        <v>21</v>
      </c>
      <c r="T30" s="46"/>
      <c r="U30" s="28" t="s">
        <v>31</v>
      </c>
    </row>
    <row r="31" spans="1:21" s="27" customFormat="1" x14ac:dyDescent="0.25">
      <c r="A31" s="28" t="s">
        <v>21</v>
      </c>
      <c r="B31" s="28" t="s">
        <v>3541</v>
      </c>
      <c r="C31" s="28" t="s">
        <v>21</v>
      </c>
      <c r="D31" s="31">
        <v>1</v>
      </c>
      <c r="E31" s="71">
        <v>44</v>
      </c>
      <c r="F31" s="45">
        <v>300</v>
      </c>
      <c r="G31" s="32"/>
      <c r="H31" s="32">
        <v>1.8819999999999999</v>
      </c>
      <c r="I31" s="32">
        <v>1.8759999999999999</v>
      </c>
      <c r="J31" s="33">
        <f t="shared" si="0"/>
        <v>6.0000000000000053E-3</v>
      </c>
      <c r="K31" s="34" t="str">
        <f t="shared" si="1"/>
        <v/>
      </c>
      <c r="L31" s="35">
        <f t="shared" si="2"/>
        <v>7.5</v>
      </c>
      <c r="M31" s="36" t="str">
        <f t="shared" si="3"/>
        <v/>
      </c>
      <c r="N31" s="37" t="s">
        <v>18</v>
      </c>
      <c r="O31" s="29">
        <v>1</v>
      </c>
      <c r="P31" s="38">
        <v>40</v>
      </c>
      <c r="Q31" s="46"/>
      <c r="R31" s="28" t="s">
        <v>3661</v>
      </c>
      <c r="S31" s="92" t="s">
        <v>21</v>
      </c>
      <c r="T31" s="46"/>
      <c r="U31" s="28" t="s">
        <v>31</v>
      </c>
    </row>
    <row r="32" spans="1:21" s="27" customFormat="1" x14ac:dyDescent="0.25">
      <c r="A32" s="28" t="s">
        <v>3550</v>
      </c>
      <c r="B32" s="28" t="s">
        <v>3551</v>
      </c>
      <c r="C32" s="28">
        <v>740799</v>
      </c>
      <c r="D32" s="29">
        <v>1</v>
      </c>
      <c r="E32" s="71">
        <v>22</v>
      </c>
      <c r="F32" s="31">
        <v>186</v>
      </c>
      <c r="G32" s="32"/>
      <c r="H32" s="32">
        <v>1.879</v>
      </c>
      <c r="I32" s="32">
        <v>1.873</v>
      </c>
      <c r="J32" s="33">
        <f t="shared" si="0"/>
        <v>6.0000000000000053E-3</v>
      </c>
      <c r="K32" s="34" t="str">
        <f t="shared" si="1"/>
        <v/>
      </c>
      <c r="L32" s="35">
        <f t="shared" si="2"/>
        <v>7.44</v>
      </c>
      <c r="M32" s="36" t="str">
        <f t="shared" si="3"/>
        <v/>
      </c>
      <c r="N32" s="37" t="s">
        <v>16</v>
      </c>
      <c r="O32" s="29">
        <v>1</v>
      </c>
      <c r="P32" s="38">
        <v>25</v>
      </c>
      <c r="Q32" s="28"/>
      <c r="R32" s="28" t="s">
        <v>3604</v>
      </c>
      <c r="S32" s="91" t="s">
        <v>58</v>
      </c>
      <c r="T32" s="28"/>
      <c r="U32" s="28" t="s">
        <v>135</v>
      </c>
    </row>
    <row r="33" spans="1:21" s="27" customFormat="1" x14ac:dyDescent="0.25">
      <c r="A33" s="28" t="s">
        <v>21</v>
      </c>
      <c r="B33" s="28" t="s">
        <v>3552</v>
      </c>
      <c r="C33" s="28" t="s">
        <v>21</v>
      </c>
      <c r="D33" s="29">
        <v>1</v>
      </c>
      <c r="E33" s="71">
        <v>33</v>
      </c>
      <c r="F33" s="31">
        <v>187</v>
      </c>
      <c r="G33" s="32"/>
      <c r="H33" s="32">
        <v>1.8759999999999999</v>
      </c>
      <c r="I33" s="32">
        <v>1.87</v>
      </c>
      <c r="J33" s="33">
        <f t="shared" si="0"/>
        <v>5.9999999999997833E-3</v>
      </c>
      <c r="K33" s="34" t="str">
        <f t="shared" si="1"/>
        <v/>
      </c>
      <c r="L33" s="35">
        <f t="shared" si="2"/>
        <v>7.48</v>
      </c>
      <c r="M33" s="36" t="str">
        <f t="shared" si="3"/>
        <v/>
      </c>
      <c r="N33" s="37" t="s">
        <v>16</v>
      </c>
      <c r="O33" s="29">
        <v>1</v>
      </c>
      <c r="P33" s="38">
        <v>25</v>
      </c>
      <c r="Q33" s="28"/>
      <c r="R33" s="28" t="s">
        <v>3605</v>
      </c>
      <c r="S33" s="91" t="s">
        <v>59</v>
      </c>
      <c r="T33" s="28"/>
      <c r="U33" s="28" t="s">
        <v>135</v>
      </c>
    </row>
    <row r="34" spans="1:21" s="27" customFormat="1" x14ac:dyDescent="0.25">
      <c r="A34" s="28" t="s">
        <v>21</v>
      </c>
      <c r="B34" s="28" t="s">
        <v>3553</v>
      </c>
      <c r="C34" s="28" t="s">
        <v>21</v>
      </c>
      <c r="D34" s="29">
        <v>1</v>
      </c>
      <c r="E34" s="71">
        <v>21</v>
      </c>
      <c r="F34" s="31">
        <v>187</v>
      </c>
      <c r="G34" s="32"/>
      <c r="H34" s="32">
        <v>1.877</v>
      </c>
      <c r="I34" s="32">
        <v>1.87</v>
      </c>
      <c r="J34" s="33">
        <f t="shared" ref="J34:J65" si="4">IF(O34&lt;&gt;"",(H34-I34)/O34,"")</f>
        <v>6.9999999999998952E-3</v>
      </c>
      <c r="K34" s="34" t="str">
        <f t="shared" si="1"/>
        <v/>
      </c>
      <c r="L34" s="35">
        <f t="shared" ref="L34:L65" si="5">F34/(O34*P34)</f>
        <v>7.48</v>
      </c>
      <c r="M34" s="36" t="str">
        <f t="shared" ref="M34:M65" si="6">IF(L34=0,"",IF(OR(L34&lt;7,L34&gt;7.8),"X",""))</f>
        <v/>
      </c>
      <c r="N34" s="37" t="s">
        <v>16</v>
      </c>
      <c r="O34" s="29">
        <v>1</v>
      </c>
      <c r="P34" s="38">
        <v>25</v>
      </c>
      <c r="Q34" s="28"/>
      <c r="R34" s="28" t="s">
        <v>3606</v>
      </c>
      <c r="S34" s="92" t="s">
        <v>21</v>
      </c>
      <c r="T34" s="28"/>
      <c r="U34" s="28" t="s">
        <v>135</v>
      </c>
    </row>
    <row r="35" spans="1:21" s="27" customFormat="1" x14ac:dyDescent="0.25">
      <c r="A35" s="28" t="s">
        <v>21</v>
      </c>
      <c r="B35" s="28" t="s">
        <v>3554</v>
      </c>
      <c r="C35" s="28" t="s">
        <v>21</v>
      </c>
      <c r="D35" s="29">
        <v>1</v>
      </c>
      <c r="E35" s="71">
        <v>8</v>
      </c>
      <c r="F35" s="31">
        <v>187</v>
      </c>
      <c r="G35" s="32"/>
      <c r="H35" s="32">
        <v>1.87</v>
      </c>
      <c r="I35" s="32">
        <v>1.859</v>
      </c>
      <c r="J35" s="33">
        <f t="shared" si="4"/>
        <v>1.1000000000000121E-2</v>
      </c>
      <c r="K35" s="34" t="str">
        <f t="shared" si="1"/>
        <v/>
      </c>
      <c r="L35" s="35">
        <f t="shared" si="5"/>
        <v>7.48</v>
      </c>
      <c r="M35" s="36" t="str">
        <f t="shared" si="6"/>
        <v/>
      </c>
      <c r="N35" s="37" t="s">
        <v>16</v>
      </c>
      <c r="O35" s="29">
        <v>1</v>
      </c>
      <c r="P35" s="38">
        <v>25</v>
      </c>
      <c r="Q35" s="28"/>
      <c r="R35" s="28" t="s">
        <v>3607</v>
      </c>
      <c r="S35" s="92" t="s">
        <v>21</v>
      </c>
      <c r="T35" s="28"/>
      <c r="U35" s="28" t="s">
        <v>135</v>
      </c>
    </row>
    <row r="36" spans="1:21" s="27" customFormat="1" x14ac:dyDescent="0.25">
      <c r="A36" s="28" t="s">
        <v>21</v>
      </c>
      <c r="B36" s="28" t="s">
        <v>3555</v>
      </c>
      <c r="C36" s="28" t="s">
        <v>21</v>
      </c>
      <c r="D36" s="29">
        <v>1</v>
      </c>
      <c r="E36" s="71">
        <v>16</v>
      </c>
      <c r="F36" s="31">
        <v>187</v>
      </c>
      <c r="G36" s="32"/>
      <c r="H36" s="32">
        <v>1.881</v>
      </c>
      <c r="I36" s="32">
        <v>1.873</v>
      </c>
      <c r="J36" s="33">
        <f t="shared" si="4"/>
        <v>8.0000000000000071E-3</v>
      </c>
      <c r="K36" s="34" t="str">
        <f t="shared" si="1"/>
        <v/>
      </c>
      <c r="L36" s="35">
        <f t="shared" si="5"/>
        <v>7.48</v>
      </c>
      <c r="M36" s="36" t="str">
        <f t="shared" si="6"/>
        <v/>
      </c>
      <c r="N36" s="37" t="s">
        <v>16</v>
      </c>
      <c r="O36" s="29">
        <v>1</v>
      </c>
      <c r="P36" s="38">
        <v>25</v>
      </c>
      <c r="Q36" s="28"/>
      <c r="R36" s="28" t="s">
        <v>3608</v>
      </c>
      <c r="S36" s="92" t="s">
        <v>21</v>
      </c>
      <c r="T36" s="28"/>
      <c r="U36" s="28" t="s">
        <v>135</v>
      </c>
    </row>
    <row r="37" spans="1:21" s="27" customFormat="1" x14ac:dyDescent="0.25">
      <c r="A37" s="28" t="s">
        <v>21</v>
      </c>
      <c r="B37" s="28" t="s">
        <v>3556</v>
      </c>
      <c r="C37" s="28" t="s">
        <v>21</v>
      </c>
      <c r="D37" s="29">
        <v>1</v>
      </c>
      <c r="E37" s="71">
        <v>25</v>
      </c>
      <c r="F37" s="31">
        <v>187</v>
      </c>
      <c r="G37" s="32"/>
      <c r="H37" s="32">
        <v>1.8879999999999999</v>
      </c>
      <c r="I37" s="32">
        <v>1.8819999999999999</v>
      </c>
      <c r="J37" s="33">
        <f t="shared" si="4"/>
        <v>6.0000000000000053E-3</v>
      </c>
      <c r="K37" s="34" t="str">
        <f t="shared" si="1"/>
        <v/>
      </c>
      <c r="L37" s="35">
        <f t="shared" si="5"/>
        <v>7.48</v>
      </c>
      <c r="M37" s="36" t="str">
        <f t="shared" si="6"/>
        <v/>
      </c>
      <c r="N37" s="37" t="s">
        <v>16</v>
      </c>
      <c r="O37" s="29">
        <v>1</v>
      </c>
      <c r="P37" s="38">
        <v>25</v>
      </c>
      <c r="Q37" s="28"/>
      <c r="R37" s="28" t="s">
        <v>3609</v>
      </c>
      <c r="S37" s="92" t="s">
        <v>21</v>
      </c>
      <c r="T37" s="28"/>
      <c r="U37" s="28" t="s">
        <v>135</v>
      </c>
    </row>
    <row r="38" spans="1:21" s="27" customFormat="1" x14ac:dyDescent="0.25">
      <c r="A38" s="28" t="s">
        <v>21</v>
      </c>
      <c r="B38" s="28" t="s">
        <v>3557</v>
      </c>
      <c r="C38" s="28" t="s">
        <v>21</v>
      </c>
      <c r="D38" s="29">
        <v>1</v>
      </c>
      <c r="E38" s="71">
        <v>13</v>
      </c>
      <c r="F38" s="31">
        <v>187</v>
      </c>
      <c r="G38" s="32"/>
      <c r="H38" s="32">
        <v>1.89</v>
      </c>
      <c r="I38" s="32">
        <v>1.883</v>
      </c>
      <c r="J38" s="33">
        <f t="shared" si="4"/>
        <v>6.9999999999998952E-3</v>
      </c>
      <c r="K38" s="34" t="str">
        <f t="shared" si="1"/>
        <v/>
      </c>
      <c r="L38" s="35">
        <f t="shared" si="5"/>
        <v>7.48</v>
      </c>
      <c r="M38" s="36" t="str">
        <f t="shared" si="6"/>
        <v/>
      </c>
      <c r="N38" s="37" t="s">
        <v>16</v>
      </c>
      <c r="O38" s="29">
        <v>1</v>
      </c>
      <c r="P38" s="38">
        <v>25</v>
      </c>
      <c r="Q38" s="28"/>
      <c r="R38" s="28" t="s">
        <v>3610</v>
      </c>
      <c r="S38" s="92" t="s">
        <v>21</v>
      </c>
      <c r="T38" s="28"/>
      <c r="U38" s="28" t="s">
        <v>135</v>
      </c>
    </row>
    <row r="39" spans="1:21" s="27" customFormat="1" x14ac:dyDescent="0.25">
      <c r="A39" s="28" t="s">
        <v>21</v>
      </c>
      <c r="B39" s="28" t="s">
        <v>3558</v>
      </c>
      <c r="C39" s="28" t="s">
        <v>21</v>
      </c>
      <c r="D39" s="29">
        <v>1</v>
      </c>
      <c r="E39" s="71">
        <v>22</v>
      </c>
      <c r="F39" s="31">
        <v>188</v>
      </c>
      <c r="G39" s="32"/>
      <c r="H39" s="32">
        <v>1.889</v>
      </c>
      <c r="I39" s="32">
        <v>1.8819999999999999</v>
      </c>
      <c r="J39" s="33">
        <f t="shared" si="4"/>
        <v>7.0000000000001172E-3</v>
      </c>
      <c r="K39" s="34" t="str">
        <f t="shared" si="1"/>
        <v/>
      </c>
      <c r="L39" s="35">
        <f t="shared" si="5"/>
        <v>7.52</v>
      </c>
      <c r="M39" s="36" t="str">
        <f t="shared" si="6"/>
        <v/>
      </c>
      <c r="N39" s="37" t="s">
        <v>16</v>
      </c>
      <c r="O39" s="29">
        <v>1</v>
      </c>
      <c r="P39" s="38">
        <v>25</v>
      </c>
      <c r="Q39" s="28"/>
      <c r="R39" s="28" t="s">
        <v>3611</v>
      </c>
      <c r="S39" s="92" t="s">
        <v>21</v>
      </c>
      <c r="T39" s="28"/>
      <c r="U39" s="28" t="s">
        <v>135</v>
      </c>
    </row>
    <row r="40" spans="1:21" s="27" customFormat="1" x14ac:dyDescent="0.25">
      <c r="A40" s="28" t="s">
        <v>21</v>
      </c>
      <c r="B40" s="28" t="s">
        <v>3559</v>
      </c>
      <c r="C40" s="28" t="s">
        <v>21</v>
      </c>
      <c r="D40" s="29">
        <v>1</v>
      </c>
      <c r="E40" s="71">
        <v>27</v>
      </c>
      <c r="F40" s="31">
        <v>186</v>
      </c>
      <c r="G40" s="32"/>
      <c r="H40" s="32">
        <v>1.8740000000000001</v>
      </c>
      <c r="I40" s="32">
        <v>1.867</v>
      </c>
      <c r="J40" s="33">
        <f t="shared" si="4"/>
        <v>7.0000000000001172E-3</v>
      </c>
      <c r="K40" s="34" t="str">
        <f t="shared" si="1"/>
        <v/>
      </c>
      <c r="L40" s="35">
        <f t="shared" si="5"/>
        <v>7.44</v>
      </c>
      <c r="M40" s="36" t="str">
        <f t="shared" si="6"/>
        <v/>
      </c>
      <c r="N40" s="37" t="s">
        <v>16</v>
      </c>
      <c r="O40" s="29">
        <v>1</v>
      </c>
      <c r="P40" s="38">
        <v>25</v>
      </c>
      <c r="Q40" s="28"/>
      <c r="R40" s="28" t="s">
        <v>3612</v>
      </c>
      <c r="S40" s="92" t="s">
        <v>21</v>
      </c>
      <c r="T40" s="28"/>
      <c r="U40" s="28" t="s">
        <v>135</v>
      </c>
    </row>
    <row r="41" spans="1:21" s="27" customFormat="1" x14ac:dyDescent="0.25">
      <c r="A41" s="28" t="s">
        <v>21</v>
      </c>
      <c r="B41" s="28" t="s">
        <v>3560</v>
      </c>
      <c r="C41" s="28" t="s">
        <v>21</v>
      </c>
      <c r="D41" s="29">
        <v>1</v>
      </c>
      <c r="E41" s="71">
        <v>34</v>
      </c>
      <c r="F41" s="31">
        <v>186</v>
      </c>
      <c r="G41" s="32"/>
      <c r="H41" s="32">
        <v>1.877</v>
      </c>
      <c r="I41" s="32">
        <v>1.873</v>
      </c>
      <c r="J41" s="33">
        <f t="shared" si="4"/>
        <v>4.0000000000000036E-3</v>
      </c>
      <c r="K41" s="34" t="str">
        <f t="shared" si="1"/>
        <v/>
      </c>
      <c r="L41" s="35">
        <f t="shared" si="5"/>
        <v>7.44</v>
      </c>
      <c r="M41" s="36" t="str">
        <f t="shared" si="6"/>
        <v/>
      </c>
      <c r="N41" s="37" t="s">
        <v>16</v>
      </c>
      <c r="O41" s="29">
        <v>1</v>
      </c>
      <c r="P41" s="38">
        <v>25</v>
      </c>
      <c r="Q41" s="28"/>
      <c r="R41" s="28" t="s">
        <v>3613</v>
      </c>
      <c r="S41" s="92" t="s">
        <v>21</v>
      </c>
      <c r="T41" s="28"/>
      <c r="U41" s="28" t="s">
        <v>135</v>
      </c>
    </row>
    <row r="42" spans="1:21" s="27" customFormat="1" x14ac:dyDescent="0.25">
      <c r="A42" s="28" t="s">
        <v>21</v>
      </c>
      <c r="B42" s="28" t="s">
        <v>3561</v>
      </c>
      <c r="C42" s="28" t="s">
        <v>21</v>
      </c>
      <c r="D42" s="29">
        <v>1</v>
      </c>
      <c r="E42" s="71">
        <v>17</v>
      </c>
      <c r="F42" s="31">
        <v>188</v>
      </c>
      <c r="G42" s="32"/>
      <c r="H42" s="32">
        <v>1.899</v>
      </c>
      <c r="I42" s="32">
        <v>1.893</v>
      </c>
      <c r="J42" s="33">
        <f t="shared" si="4"/>
        <v>6.0000000000000053E-3</v>
      </c>
      <c r="K42" s="34" t="str">
        <f t="shared" si="1"/>
        <v/>
      </c>
      <c r="L42" s="35">
        <f t="shared" si="5"/>
        <v>7.52</v>
      </c>
      <c r="M42" s="36" t="str">
        <f t="shared" si="6"/>
        <v/>
      </c>
      <c r="N42" s="37" t="s">
        <v>16</v>
      </c>
      <c r="O42" s="29">
        <v>1</v>
      </c>
      <c r="P42" s="38">
        <v>25</v>
      </c>
      <c r="Q42" s="28"/>
      <c r="R42" s="28" t="s">
        <v>3616</v>
      </c>
      <c r="S42" s="91" t="s">
        <v>103</v>
      </c>
      <c r="T42" s="28"/>
      <c r="U42" s="28" t="s">
        <v>135</v>
      </c>
    </row>
    <row r="43" spans="1:21" s="27" customFormat="1" x14ac:dyDescent="0.25">
      <c r="A43" s="28" t="s">
        <v>21</v>
      </c>
      <c r="B43" s="28" t="s">
        <v>3562</v>
      </c>
      <c r="C43" s="28" t="s">
        <v>21</v>
      </c>
      <c r="D43" s="29">
        <v>1</v>
      </c>
      <c r="E43" s="71">
        <v>17</v>
      </c>
      <c r="F43" s="31">
        <v>188</v>
      </c>
      <c r="G43" s="32"/>
      <c r="H43" s="32">
        <v>1.8879999999999999</v>
      </c>
      <c r="I43" s="32">
        <v>1.881</v>
      </c>
      <c r="J43" s="33">
        <f t="shared" si="4"/>
        <v>6.9999999999998952E-3</v>
      </c>
      <c r="K43" s="34" t="str">
        <f t="shared" si="1"/>
        <v/>
      </c>
      <c r="L43" s="35">
        <f t="shared" si="5"/>
        <v>7.52</v>
      </c>
      <c r="M43" s="36" t="str">
        <f t="shared" si="6"/>
        <v/>
      </c>
      <c r="N43" s="37" t="s">
        <v>16</v>
      </c>
      <c r="O43" s="29">
        <v>1</v>
      </c>
      <c r="P43" s="38">
        <v>25</v>
      </c>
      <c r="Q43" s="28"/>
      <c r="R43" s="28" t="s">
        <v>3617</v>
      </c>
      <c r="S43" s="91" t="s">
        <v>59</v>
      </c>
      <c r="T43" s="28"/>
      <c r="U43" s="28" t="s">
        <v>135</v>
      </c>
    </row>
    <row r="44" spans="1:21" s="27" customFormat="1" x14ac:dyDescent="0.25">
      <c r="A44" s="28" t="s">
        <v>21</v>
      </c>
      <c r="B44" s="28" t="s">
        <v>3563</v>
      </c>
      <c r="C44" s="28" t="s">
        <v>21</v>
      </c>
      <c r="D44" s="29">
        <v>1</v>
      </c>
      <c r="E44" s="71">
        <v>14</v>
      </c>
      <c r="F44" s="31">
        <v>187</v>
      </c>
      <c r="G44" s="32"/>
      <c r="H44" s="32">
        <v>1.885</v>
      </c>
      <c r="I44" s="32">
        <v>1.8779999999999999</v>
      </c>
      <c r="J44" s="33">
        <f t="shared" si="4"/>
        <v>7.0000000000001172E-3</v>
      </c>
      <c r="K44" s="34" t="str">
        <f t="shared" si="1"/>
        <v/>
      </c>
      <c r="L44" s="35">
        <f t="shared" si="5"/>
        <v>7.48</v>
      </c>
      <c r="M44" s="36" t="str">
        <f t="shared" si="6"/>
        <v/>
      </c>
      <c r="N44" s="37" t="s">
        <v>16</v>
      </c>
      <c r="O44" s="29">
        <v>1</v>
      </c>
      <c r="P44" s="38">
        <v>25</v>
      </c>
      <c r="Q44" s="28"/>
      <c r="R44" s="28" t="s">
        <v>3618</v>
      </c>
      <c r="S44" s="92" t="s">
        <v>21</v>
      </c>
      <c r="T44" s="28"/>
      <c r="U44" s="28" t="s">
        <v>135</v>
      </c>
    </row>
    <row r="45" spans="1:21" s="27" customFormat="1" x14ac:dyDescent="0.25">
      <c r="A45" s="28" t="s">
        <v>21</v>
      </c>
      <c r="B45" s="28" t="s">
        <v>3564</v>
      </c>
      <c r="C45" s="28" t="s">
        <v>21</v>
      </c>
      <c r="D45" s="29">
        <v>1</v>
      </c>
      <c r="E45" s="71">
        <v>9</v>
      </c>
      <c r="F45" s="31">
        <v>187</v>
      </c>
      <c r="G45" s="32"/>
      <c r="H45" s="32">
        <v>1.881</v>
      </c>
      <c r="I45" s="32">
        <v>1.8740000000000001</v>
      </c>
      <c r="J45" s="33">
        <f t="shared" si="4"/>
        <v>6.9999999999998952E-3</v>
      </c>
      <c r="K45" s="34" t="str">
        <f t="shared" si="1"/>
        <v/>
      </c>
      <c r="L45" s="35">
        <f t="shared" si="5"/>
        <v>7.48</v>
      </c>
      <c r="M45" s="36" t="str">
        <f t="shared" si="6"/>
        <v/>
      </c>
      <c r="N45" s="37" t="s">
        <v>16</v>
      </c>
      <c r="O45" s="29">
        <v>1</v>
      </c>
      <c r="P45" s="38">
        <v>25</v>
      </c>
      <c r="Q45" s="28"/>
      <c r="R45" s="28" t="s">
        <v>3619</v>
      </c>
      <c r="S45" s="92" t="s">
        <v>21</v>
      </c>
      <c r="T45" s="28"/>
      <c r="U45" s="28" t="s">
        <v>135</v>
      </c>
    </row>
    <row r="46" spans="1:21" s="27" customFormat="1" x14ac:dyDescent="0.25">
      <c r="A46" s="28" t="s">
        <v>21</v>
      </c>
      <c r="B46" s="28" t="s">
        <v>3565</v>
      </c>
      <c r="C46" s="28" t="s">
        <v>21</v>
      </c>
      <c r="D46" s="29">
        <v>1</v>
      </c>
      <c r="E46" s="71">
        <v>11</v>
      </c>
      <c r="F46" s="31">
        <v>187</v>
      </c>
      <c r="G46" s="32"/>
      <c r="H46" s="32">
        <v>1.8720000000000001</v>
      </c>
      <c r="I46" s="32">
        <v>1.8640000000000001</v>
      </c>
      <c r="J46" s="33">
        <f t="shared" si="4"/>
        <v>8.0000000000000071E-3</v>
      </c>
      <c r="K46" s="34" t="str">
        <f t="shared" si="1"/>
        <v/>
      </c>
      <c r="L46" s="35">
        <f t="shared" si="5"/>
        <v>7.48</v>
      </c>
      <c r="M46" s="36" t="str">
        <f t="shared" si="6"/>
        <v/>
      </c>
      <c r="N46" s="37" t="s">
        <v>16</v>
      </c>
      <c r="O46" s="29">
        <v>1</v>
      </c>
      <c r="P46" s="38">
        <v>25</v>
      </c>
      <c r="Q46" s="28"/>
      <c r="R46" s="28" t="s">
        <v>3620</v>
      </c>
      <c r="S46" s="92" t="s">
        <v>21</v>
      </c>
      <c r="T46" s="28"/>
      <c r="U46" s="28" t="s">
        <v>135</v>
      </c>
    </row>
    <row r="47" spans="1:21" s="27" customFormat="1" x14ac:dyDescent="0.25">
      <c r="A47" s="28" t="s">
        <v>21</v>
      </c>
      <c r="B47" s="28" t="s">
        <v>3566</v>
      </c>
      <c r="C47" s="28" t="s">
        <v>21</v>
      </c>
      <c r="D47" s="29">
        <v>1</v>
      </c>
      <c r="E47" s="73">
        <v>17</v>
      </c>
      <c r="F47" s="31">
        <v>187</v>
      </c>
      <c r="G47" s="32"/>
      <c r="H47" s="32">
        <v>1.8640000000000001</v>
      </c>
      <c r="I47" s="32">
        <v>1.857</v>
      </c>
      <c r="J47" s="33">
        <f t="shared" si="4"/>
        <v>7.0000000000001172E-3</v>
      </c>
      <c r="K47" s="34" t="str">
        <f t="shared" si="1"/>
        <v/>
      </c>
      <c r="L47" s="35">
        <f t="shared" si="5"/>
        <v>7.48</v>
      </c>
      <c r="M47" s="36" t="str">
        <f t="shared" si="6"/>
        <v/>
      </c>
      <c r="N47" s="37" t="s">
        <v>16</v>
      </c>
      <c r="O47" s="29">
        <v>1</v>
      </c>
      <c r="P47" s="38">
        <v>25</v>
      </c>
      <c r="Q47" s="28"/>
      <c r="R47" s="28" t="s">
        <v>3621</v>
      </c>
      <c r="S47" s="39"/>
      <c r="T47" s="28"/>
      <c r="U47" s="28" t="s">
        <v>135</v>
      </c>
    </row>
    <row r="48" spans="1:21" s="27" customFormat="1" x14ac:dyDescent="0.25">
      <c r="A48" s="28" t="s">
        <v>21</v>
      </c>
      <c r="B48" s="28" t="s">
        <v>3567</v>
      </c>
      <c r="C48" s="28" t="s">
        <v>21</v>
      </c>
      <c r="D48" s="29">
        <v>1</v>
      </c>
      <c r="E48" s="73">
        <v>13</v>
      </c>
      <c r="F48" s="31">
        <v>187</v>
      </c>
      <c r="G48" s="32"/>
      <c r="H48" s="32">
        <v>1.8620000000000001</v>
      </c>
      <c r="I48" s="32">
        <v>1.853</v>
      </c>
      <c r="J48" s="33">
        <f t="shared" si="4"/>
        <v>9.000000000000119E-3</v>
      </c>
      <c r="K48" s="34" t="str">
        <f t="shared" si="1"/>
        <v/>
      </c>
      <c r="L48" s="35">
        <f t="shared" si="5"/>
        <v>7.48</v>
      </c>
      <c r="M48" s="36" t="str">
        <f t="shared" si="6"/>
        <v/>
      </c>
      <c r="N48" s="37" t="s">
        <v>16</v>
      </c>
      <c r="O48" s="29">
        <v>1</v>
      </c>
      <c r="P48" s="38">
        <v>25</v>
      </c>
      <c r="Q48" s="28"/>
      <c r="R48" s="28" t="s">
        <v>3622</v>
      </c>
      <c r="S48" s="39"/>
      <c r="T48" s="28"/>
      <c r="U48" s="28" t="s">
        <v>135</v>
      </c>
    </row>
    <row r="49" spans="1:21" s="27" customFormat="1" x14ac:dyDescent="0.25">
      <c r="A49" s="28" t="s">
        <v>21</v>
      </c>
      <c r="B49" s="28" t="s">
        <v>3568</v>
      </c>
      <c r="C49" s="28" t="s">
        <v>21</v>
      </c>
      <c r="D49" s="29">
        <v>1</v>
      </c>
      <c r="E49" s="73">
        <v>2</v>
      </c>
      <c r="F49" s="31">
        <v>187</v>
      </c>
      <c r="G49" s="32"/>
      <c r="H49" s="32">
        <v>1.8520000000000001</v>
      </c>
      <c r="I49" s="32">
        <v>1.84</v>
      </c>
      <c r="J49" s="33">
        <f t="shared" si="4"/>
        <v>1.2000000000000011E-2</v>
      </c>
      <c r="K49" s="34" t="str">
        <f t="shared" si="1"/>
        <v/>
      </c>
      <c r="L49" s="35">
        <f t="shared" si="5"/>
        <v>7.48</v>
      </c>
      <c r="M49" s="36" t="str">
        <f t="shared" si="6"/>
        <v/>
      </c>
      <c r="N49" s="37" t="s">
        <v>16</v>
      </c>
      <c r="O49" s="29">
        <v>1</v>
      </c>
      <c r="P49" s="38">
        <v>25</v>
      </c>
      <c r="Q49" s="28"/>
      <c r="R49" s="28" t="s">
        <v>3623</v>
      </c>
      <c r="S49" s="39"/>
      <c r="T49" s="28"/>
      <c r="U49" s="28" t="s">
        <v>135</v>
      </c>
    </row>
    <row r="50" spans="1:21" s="27" customFormat="1" x14ac:dyDescent="0.25">
      <c r="A50" s="28" t="s">
        <v>21</v>
      </c>
      <c r="B50" s="28" t="s">
        <v>3569</v>
      </c>
      <c r="C50" s="28" t="s">
        <v>21</v>
      </c>
      <c r="D50" s="29">
        <v>1</v>
      </c>
      <c r="E50" s="73">
        <v>8</v>
      </c>
      <c r="F50" s="31">
        <v>186</v>
      </c>
      <c r="G50" s="32"/>
      <c r="H50" s="32">
        <v>1.859</v>
      </c>
      <c r="I50" s="32">
        <v>1.85</v>
      </c>
      <c r="J50" s="33">
        <f t="shared" si="4"/>
        <v>8.999999999999897E-3</v>
      </c>
      <c r="K50" s="34" t="str">
        <f t="shared" si="1"/>
        <v/>
      </c>
      <c r="L50" s="35">
        <f t="shared" si="5"/>
        <v>7.44</v>
      </c>
      <c r="M50" s="36" t="str">
        <f t="shared" si="6"/>
        <v/>
      </c>
      <c r="N50" s="37" t="s">
        <v>16</v>
      </c>
      <c r="O50" s="29">
        <v>1</v>
      </c>
      <c r="P50" s="38">
        <v>25</v>
      </c>
      <c r="Q50" s="28"/>
      <c r="R50" s="28" t="s">
        <v>3624</v>
      </c>
      <c r="S50" s="39"/>
      <c r="T50" s="28"/>
      <c r="U50" s="28" t="s">
        <v>135</v>
      </c>
    </row>
    <row r="51" spans="1:21" s="27" customFormat="1" x14ac:dyDescent="0.25">
      <c r="A51" s="28" t="s">
        <v>21</v>
      </c>
      <c r="B51" s="28" t="s">
        <v>3570</v>
      </c>
      <c r="C51" s="28" t="s">
        <v>21</v>
      </c>
      <c r="D51" s="29">
        <v>1</v>
      </c>
      <c r="E51" s="73">
        <v>8</v>
      </c>
      <c r="F51" s="31">
        <v>187</v>
      </c>
      <c r="G51" s="32"/>
      <c r="H51" s="32">
        <v>1.847</v>
      </c>
      <c r="I51" s="32">
        <v>1.839</v>
      </c>
      <c r="J51" s="33">
        <f t="shared" si="4"/>
        <v>8.0000000000000071E-3</v>
      </c>
      <c r="K51" s="34" t="str">
        <f t="shared" si="1"/>
        <v/>
      </c>
      <c r="L51" s="35">
        <f t="shared" si="5"/>
        <v>7.48</v>
      </c>
      <c r="M51" s="36" t="str">
        <f t="shared" si="6"/>
        <v/>
      </c>
      <c r="N51" s="37" t="s">
        <v>16</v>
      </c>
      <c r="O51" s="29">
        <v>1</v>
      </c>
      <c r="P51" s="38">
        <v>25</v>
      </c>
      <c r="Q51" s="28"/>
      <c r="R51" s="28" t="s">
        <v>3625</v>
      </c>
      <c r="S51" s="39"/>
      <c r="T51" s="28"/>
      <c r="U51" s="28" t="s">
        <v>135</v>
      </c>
    </row>
    <row r="52" spans="1:21" s="27" customFormat="1" x14ac:dyDescent="0.25">
      <c r="A52" s="28" t="s">
        <v>21</v>
      </c>
      <c r="B52" s="28" t="s">
        <v>3571</v>
      </c>
      <c r="C52" s="28" t="s">
        <v>21</v>
      </c>
      <c r="D52" s="29">
        <v>1</v>
      </c>
      <c r="E52" s="71">
        <v>15</v>
      </c>
      <c r="F52" s="31">
        <v>189</v>
      </c>
      <c r="G52" s="32"/>
      <c r="H52" s="32">
        <v>1.875</v>
      </c>
      <c r="I52" s="32">
        <v>1.8640000000000001</v>
      </c>
      <c r="J52" s="33">
        <f t="shared" si="4"/>
        <v>1.0999999999999899E-2</v>
      </c>
      <c r="K52" s="34" t="str">
        <f t="shared" si="1"/>
        <v/>
      </c>
      <c r="L52" s="35">
        <f t="shared" si="5"/>
        <v>7.56</v>
      </c>
      <c r="M52" s="36" t="str">
        <f t="shared" si="6"/>
        <v/>
      </c>
      <c r="N52" s="37" t="s">
        <v>16</v>
      </c>
      <c r="O52" s="29">
        <v>1</v>
      </c>
      <c r="P52" s="38">
        <v>25</v>
      </c>
      <c r="Q52" s="28"/>
      <c r="R52" s="28" t="s">
        <v>3626</v>
      </c>
      <c r="S52" s="91" t="s">
        <v>58</v>
      </c>
      <c r="T52" s="28"/>
      <c r="U52" s="28" t="s">
        <v>135</v>
      </c>
    </row>
    <row r="53" spans="1:21" s="27" customFormat="1" x14ac:dyDescent="0.25">
      <c r="A53" s="28" t="s">
        <v>21</v>
      </c>
      <c r="B53" s="28" t="s">
        <v>3572</v>
      </c>
      <c r="C53" s="28" t="s">
        <v>21</v>
      </c>
      <c r="D53" s="29">
        <v>1</v>
      </c>
      <c r="E53" s="71">
        <v>19</v>
      </c>
      <c r="F53" s="31">
        <v>188</v>
      </c>
      <c r="G53" s="32"/>
      <c r="H53" s="32">
        <v>1.899</v>
      </c>
      <c r="I53" s="32">
        <v>1.89</v>
      </c>
      <c r="J53" s="33">
        <f t="shared" si="4"/>
        <v>9.000000000000119E-3</v>
      </c>
      <c r="K53" s="34" t="str">
        <f t="shared" si="1"/>
        <v/>
      </c>
      <c r="L53" s="35">
        <f t="shared" si="5"/>
        <v>7.52</v>
      </c>
      <c r="M53" s="36" t="str">
        <f t="shared" si="6"/>
        <v/>
      </c>
      <c r="N53" s="37" t="s">
        <v>16</v>
      </c>
      <c r="O53" s="29">
        <v>1</v>
      </c>
      <c r="P53" s="38">
        <v>25</v>
      </c>
      <c r="Q53" s="28"/>
      <c r="R53" s="28" t="s">
        <v>3627</v>
      </c>
      <c r="S53" s="91" t="s">
        <v>59</v>
      </c>
      <c r="T53" s="28"/>
      <c r="U53" s="28" t="s">
        <v>135</v>
      </c>
    </row>
    <row r="54" spans="1:21" s="27" customFormat="1" x14ac:dyDescent="0.25">
      <c r="A54" s="28" t="s">
        <v>21</v>
      </c>
      <c r="B54" s="28" t="s">
        <v>3573</v>
      </c>
      <c r="C54" s="28" t="s">
        <v>21</v>
      </c>
      <c r="D54" s="29">
        <v>1</v>
      </c>
      <c r="E54" s="71">
        <v>14</v>
      </c>
      <c r="F54" s="31">
        <v>190</v>
      </c>
      <c r="G54" s="32"/>
      <c r="H54" s="32">
        <v>1.8979999999999999</v>
      </c>
      <c r="I54" s="32">
        <v>1.889</v>
      </c>
      <c r="J54" s="33">
        <f t="shared" si="4"/>
        <v>8.999999999999897E-3</v>
      </c>
      <c r="K54" s="34" t="str">
        <f t="shared" si="1"/>
        <v/>
      </c>
      <c r="L54" s="35">
        <f t="shared" si="5"/>
        <v>7.6</v>
      </c>
      <c r="M54" s="36" t="str">
        <f t="shared" si="6"/>
        <v/>
      </c>
      <c r="N54" s="37" t="s">
        <v>16</v>
      </c>
      <c r="O54" s="29">
        <v>1</v>
      </c>
      <c r="P54" s="38">
        <v>25</v>
      </c>
      <c r="Q54" s="28"/>
      <c r="R54" s="28" t="s">
        <v>3628</v>
      </c>
      <c r="S54" s="92" t="s">
        <v>21</v>
      </c>
      <c r="T54" s="28"/>
      <c r="U54" s="28" t="s">
        <v>135</v>
      </c>
    </row>
    <row r="55" spans="1:21" s="27" customFormat="1" x14ac:dyDescent="0.25">
      <c r="A55" s="28" t="s">
        <v>21</v>
      </c>
      <c r="B55" s="28" t="s">
        <v>3574</v>
      </c>
      <c r="C55" s="28" t="s">
        <v>21</v>
      </c>
      <c r="D55" s="29">
        <v>1</v>
      </c>
      <c r="E55" s="71">
        <v>38</v>
      </c>
      <c r="F55" s="31">
        <v>188</v>
      </c>
      <c r="G55" s="32"/>
      <c r="H55" s="32">
        <v>1.893</v>
      </c>
      <c r="I55" s="32">
        <v>1.8859999999999999</v>
      </c>
      <c r="J55" s="33">
        <f t="shared" si="4"/>
        <v>7.0000000000001172E-3</v>
      </c>
      <c r="K55" s="34" t="str">
        <f t="shared" si="1"/>
        <v/>
      </c>
      <c r="L55" s="35">
        <f t="shared" si="5"/>
        <v>7.52</v>
      </c>
      <c r="M55" s="36" t="str">
        <f t="shared" si="6"/>
        <v/>
      </c>
      <c r="N55" s="37" t="s">
        <v>16</v>
      </c>
      <c r="O55" s="29">
        <v>1</v>
      </c>
      <c r="P55" s="38">
        <v>25</v>
      </c>
      <c r="Q55" s="28"/>
      <c r="R55" s="28" t="s">
        <v>3629</v>
      </c>
      <c r="S55" s="92" t="s">
        <v>21</v>
      </c>
      <c r="T55" s="28"/>
      <c r="U55" s="28" t="s">
        <v>135</v>
      </c>
    </row>
    <row r="56" spans="1:21" s="27" customFormat="1" x14ac:dyDescent="0.25">
      <c r="A56" s="28" t="s">
        <v>21</v>
      </c>
      <c r="B56" s="28" t="s">
        <v>3575</v>
      </c>
      <c r="C56" s="28" t="s">
        <v>21</v>
      </c>
      <c r="D56" s="29">
        <v>1</v>
      </c>
      <c r="E56" s="71">
        <v>30</v>
      </c>
      <c r="F56" s="31">
        <v>188</v>
      </c>
      <c r="G56" s="32"/>
      <c r="H56" s="32">
        <v>1.907</v>
      </c>
      <c r="I56" s="32">
        <v>1.9019999999999999</v>
      </c>
      <c r="J56" s="33">
        <f t="shared" si="4"/>
        <v>5.0000000000001155E-3</v>
      </c>
      <c r="K56" s="34" t="str">
        <f t="shared" si="1"/>
        <v/>
      </c>
      <c r="L56" s="35">
        <f t="shared" si="5"/>
        <v>7.52</v>
      </c>
      <c r="M56" s="36" t="str">
        <f t="shared" si="6"/>
        <v/>
      </c>
      <c r="N56" s="37" t="s">
        <v>16</v>
      </c>
      <c r="O56" s="29">
        <v>1</v>
      </c>
      <c r="P56" s="38">
        <v>25</v>
      </c>
      <c r="Q56" s="28"/>
      <c r="R56" s="28" t="s">
        <v>3630</v>
      </c>
      <c r="S56" s="92" t="s">
        <v>21</v>
      </c>
      <c r="T56" s="28"/>
      <c r="U56" s="28" t="s">
        <v>135</v>
      </c>
    </row>
    <row r="57" spans="1:21" s="27" customFormat="1" x14ac:dyDescent="0.25">
      <c r="A57" s="28" t="s">
        <v>21</v>
      </c>
      <c r="B57" s="28" t="s">
        <v>3576</v>
      </c>
      <c r="C57" s="28" t="s">
        <v>21</v>
      </c>
      <c r="D57" s="29">
        <v>1</v>
      </c>
      <c r="E57" s="71">
        <v>26</v>
      </c>
      <c r="F57" s="31">
        <v>188</v>
      </c>
      <c r="G57" s="32"/>
      <c r="H57" s="32">
        <v>1.899</v>
      </c>
      <c r="I57" s="32">
        <v>1.8919999999999999</v>
      </c>
      <c r="J57" s="33">
        <f t="shared" si="4"/>
        <v>7.0000000000001172E-3</v>
      </c>
      <c r="K57" s="34" t="str">
        <f t="shared" si="1"/>
        <v/>
      </c>
      <c r="L57" s="35">
        <f t="shared" si="5"/>
        <v>7.52</v>
      </c>
      <c r="M57" s="36" t="str">
        <f t="shared" si="6"/>
        <v/>
      </c>
      <c r="N57" s="37" t="s">
        <v>16</v>
      </c>
      <c r="O57" s="29">
        <v>1</v>
      </c>
      <c r="P57" s="38">
        <v>25</v>
      </c>
      <c r="Q57" s="28"/>
      <c r="R57" s="28" t="s">
        <v>3631</v>
      </c>
      <c r="S57" s="92" t="s">
        <v>21</v>
      </c>
      <c r="T57" s="28"/>
      <c r="U57" s="28" t="s">
        <v>135</v>
      </c>
    </row>
    <row r="58" spans="1:21" s="27" customFormat="1" x14ac:dyDescent="0.25">
      <c r="A58" s="28" t="s">
        <v>21</v>
      </c>
      <c r="B58" s="28" t="s">
        <v>3577</v>
      </c>
      <c r="C58" s="28" t="s">
        <v>21</v>
      </c>
      <c r="D58" s="29">
        <v>1</v>
      </c>
      <c r="E58" s="71">
        <v>23</v>
      </c>
      <c r="F58" s="31">
        <v>189</v>
      </c>
      <c r="G58" s="32"/>
      <c r="H58" s="32">
        <v>1.9119999999999999</v>
      </c>
      <c r="I58" s="32">
        <v>1.9059999999999999</v>
      </c>
      <c r="J58" s="33">
        <f t="shared" si="4"/>
        <v>6.0000000000000053E-3</v>
      </c>
      <c r="K58" s="34" t="str">
        <f t="shared" si="1"/>
        <v/>
      </c>
      <c r="L58" s="35">
        <f t="shared" si="5"/>
        <v>7.56</v>
      </c>
      <c r="M58" s="36" t="str">
        <f t="shared" si="6"/>
        <v/>
      </c>
      <c r="N58" s="37" t="s">
        <v>16</v>
      </c>
      <c r="O58" s="29">
        <v>1</v>
      </c>
      <c r="P58" s="38">
        <v>25</v>
      </c>
      <c r="Q58" s="28"/>
      <c r="R58" s="28" t="s">
        <v>3632</v>
      </c>
      <c r="S58" s="92" t="s">
        <v>21</v>
      </c>
      <c r="T58" s="28"/>
      <c r="U58" s="28" t="s">
        <v>135</v>
      </c>
    </row>
    <row r="59" spans="1:21" s="27" customFormat="1" x14ac:dyDescent="0.25">
      <c r="A59" s="28" t="s">
        <v>21</v>
      </c>
      <c r="B59" s="28" t="s">
        <v>3578</v>
      </c>
      <c r="C59" s="28" t="s">
        <v>21</v>
      </c>
      <c r="D59" s="29">
        <v>1</v>
      </c>
      <c r="E59" s="71">
        <v>34</v>
      </c>
      <c r="F59" s="31">
        <v>188</v>
      </c>
      <c r="G59" s="32"/>
      <c r="H59" s="32">
        <v>1.889</v>
      </c>
      <c r="I59" s="32">
        <v>1.8819999999999999</v>
      </c>
      <c r="J59" s="33">
        <f t="shared" si="4"/>
        <v>7.0000000000001172E-3</v>
      </c>
      <c r="K59" s="34" t="str">
        <f t="shared" si="1"/>
        <v/>
      </c>
      <c r="L59" s="35">
        <f t="shared" si="5"/>
        <v>7.52</v>
      </c>
      <c r="M59" s="36" t="str">
        <f t="shared" si="6"/>
        <v/>
      </c>
      <c r="N59" s="37" t="s">
        <v>16</v>
      </c>
      <c r="O59" s="29">
        <v>1</v>
      </c>
      <c r="P59" s="38">
        <v>25</v>
      </c>
      <c r="Q59" s="28"/>
      <c r="R59" s="28" t="s">
        <v>3633</v>
      </c>
      <c r="S59" s="92" t="s">
        <v>21</v>
      </c>
      <c r="T59" s="28"/>
      <c r="U59" s="28" t="s">
        <v>135</v>
      </c>
    </row>
    <row r="60" spans="1:21" s="27" customFormat="1" x14ac:dyDescent="0.25">
      <c r="A60" s="28" t="s">
        <v>21</v>
      </c>
      <c r="B60" s="28" t="s">
        <v>3579</v>
      </c>
      <c r="C60" s="28" t="s">
        <v>21</v>
      </c>
      <c r="D60" s="29">
        <v>1</v>
      </c>
      <c r="E60" s="71">
        <v>14</v>
      </c>
      <c r="F60" s="31">
        <v>188</v>
      </c>
      <c r="G60" s="32"/>
      <c r="H60" s="32">
        <v>1.889</v>
      </c>
      <c r="I60" s="32">
        <v>1.879</v>
      </c>
      <c r="J60" s="33">
        <f t="shared" si="4"/>
        <v>1.0000000000000009E-2</v>
      </c>
      <c r="K60" s="34" t="str">
        <f t="shared" si="1"/>
        <v/>
      </c>
      <c r="L60" s="35">
        <f t="shared" si="5"/>
        <v>7.52</v>
      </c>
      <c r="M60" s="36" t="str">
        <f t="shared" si="6"/>
        <v/>
      </c>
      <c r="N60" s="37" t="s">
        <v>16</v>
      </c>
      <c r="O60" s="29">
        <v>1</v>
      </c>
      <c r="P60" s="38">
        <v>25</v>
      </c>
      <c r="Q60" s="28"/>
      <c r="R60" s="28" t="s">
        <v>3634</v>
      </c>
      <c r="S60" s="92" t="s">
        <v>21</v>
      </c>
      <c r="T60" s="28"/>
      <c r="U60" s="28" t="s">
        <v>135</v>
      </c>
    </row>
    <row r="61" spans="1:21" s="27" customFormat="1" x14ac:dyDescent="0.25">
      <c r="A61" s="28" t="s">
        <v>21</v>
      </c>
      <c r="B61" s="28" t="s">
        <v>3580</v>
      </c>
      <c r="C61" s="28" t="s">
        <v>21</v>
      </c>
      <c r="D61" s="29">
        <v>1</v>
      </c>
      <c r="E61" s="71">
        <v>22</v>
      </c>
      <c r="F61" s="31">
        <v>188</v>
      </c>
      <c r="G61" s="32"/>
      <c r="H61" s="32">
        <v>1.883</v>
      </c>
      <c r="I61" s="32">
        <v>1.8740000000000001</v>
      </c>
      <c r="J61" s="33">
        <f t="shared" si="4"/>
        <v>8.999999999999897E-3</v>
      </c>
      <c r="K61" s="34" t="str">
        <f t="shared" si="1"/>
        <v/>
      </c>
      <c r="L61" s="35">
        <f t="shared" si="5"/>
        <v>7.52</v>
      </c>
      <c r="M61" s="36" t="str">
        <f t="shared" si="6"/>
        <v/>
      </c>
      <c r="N61" s="37" t="s">
        <v>16</v>
      </c>
      <c r="O61" s="29">
        <v>1</v>
      </c>
      <c r="P61" s="38">
        <v>25</v>
      </c>
      <c r="Q61" s="28"/>
      <c r="R61" s="28" t="s">
        <v>3635</v>
      </c>
      <c r="S61" s="92" t="s">
        <v>21</v>
      </c>
      <c r="T61" s="28"/>
      <c r="U61" s="28" t="s">
        <v>135</v>
      </c>
    </row>
    <row r="62" spans="1:21" s="27" customFormat="1" x14ac:dyDescent="0.25">
      <c r="A62" s="28" t="s">
        <v>21</v>
      </c>
      <c r="B62" s="28" t="s">
        <v>3581</v>
      </c>
      <c r="C62" s="28" t="s">
        <v>21</v>
      </c>
      <c r="D62" s="29">
        <v>1</v>
      </c>
      <c r="E62" s="71">
        <v>42</v>
      </c>
      <c r="F62" s="31">
        <v>187</v>
      </c>
      <c r="G62" s="32"/>
      <c r="H62" s="32">
        <v>1.8779999999999999</v>
      </c>
      <c r="I62" s="32">
        <v>1.871</v>
      </c>
      <c r="J62" s="33">
        <f t="shared" si="4"/>
        <v>6.9999999999998952E-3</v>
      </c>
      <c r="K62" s="34" t="str">
        <f t="shared" si="1"/>
        <v/>
      </c>
      <c r="L62" s="35">
        <f t="shared" si="5"/>
        <v>7.48</v>
      </c>
      <c r="M62" s="36" t="str">
        <f t="shared" si="6"/>
        <v/>
      </c>
      <c r="N62" s="37" t="s">
        <v>16</v>
      </c>
      <c r="O62" s="29">
        <v>1</v>
      </c>
      <c r="P62" s="38">
        <v>25</v>
      </c>
      <c r="Q62" s="28"/>
      <c r="R62" s="28" t="s">
        <v>3636</v>
      </c>
      <c r="S62" s="91" t="s">
        <v>103</v>
      </c>
      <c r="T62" s="28"/>
      <c r="U62" s="28" t="s">
        <v>135</v>
      </c>
    </row>
    <row r="63" spans="1:21" s="27" customFormat="1" x14ac:dyDescent="0.25">
      <c r="A63" s="28" t="s">
        <v>21</v>
      </c>
      <c r="B63" s="28" t="s">
        <v>3582</v>
      </c>
      <c r="C63" s="28" t="s">
        <v>21</v>
      </c>
      <c r="D63" s="29">
        <v>1</v>
      </c>
      <c r="E63" s="71">
        <v>40</v>
      </c>
      <c r="F63" s="31">
        <v>189</v>
      </c>
      <c r="G63" s="32"/>
      <c r="H63" s="32">
        <v>1.88</v>
      </c>
      <c r="I63" s="32">
        <v>1.8720000000000001</v>
      </c>
      <c r="J63" s="33">
        <f t="shared" si="4"/>
        <v>7.9999999999997851E-3</v>
      </c>
      <c r="K63" s="34" t="str">
        <f t="shared" si="1"/>
        <v/>
      </c>
      <c r="L63" s="35">
        <f t="shared" si="5"/>
        <v>7.56</v>
      </c>
      <c r="M63" s="36" t="str">
        <f t="shared" si="6"/>
        <v/>
      </c>
      <c r="N63" s="37" t="s">
        <v>16</v>
      </c>
      <c r="O63" s="29">
        <v>1</v>
      </c>
      <c r="P63" s="38">
        <v>25</v>
      </c>
      <c r="Q63" s="28"/>
      <c r="R63" s="28" t="s">
        <v>3637</v>
      </c>
      <c r="S63" s="91" t="s">
        <v>59</v>
      </c>
      <c r="T63" s="28"/>
      <c r="U63" s="28" t="s">
        <v>135</v>
      </c>
    </row>
    <row r="64" spans="1:21" s="27" customFormat="1" x14ac:dyDescent="0.25">
      <c r="A64" s="28" t="s">
        <v>21</v>
      </c>
      <c r="B64" s="28" t="s">
        <v>3583</v>
      </c>
      <c r="C64" s="28" t="s">
        <v>21</v>
      </c>
      <c r="D64" s="29">
        <v>1</v>
      </c>
      <c r="E64" s="71">
        <v>43</v>
      </c>
      <c r="F64" s="31">
        <v>188</v>
      </c>
      <c r="G64" s="32"/>
      <c r="H64" s="32">
        <v>1.895</v>
      </c>
      <c r="I64" s="32">
        <v>1.8879999999999999</v>
      </c>
      <c r="J64" s="33">
        <f t="shared" si="4"/>
        <v>7.0000000000001172E-3</v>
      </c>
      <c r="K64" s="34" t="str">
        <f t="shared" si="1"/>
        <v/>
      </c>
      <c r="L64" s="35">
        <f t="shared" si="5"/>
        <v>7.52</v>
      </c>
      <c r="M64" s="36" t="str">
        <f t="shared" si="6"/>
        <v/>
      </c>
      <c r="N64" s="37" t="s">
        <v>16</v>
      </c>
      <c r="O64" s="29">
        <v>1</v>
      </c>
      <c r="P64" s="38">
        <v>25</v>
      </c>
      <c r="Q64" s="28"/>
      <c r="R64" s="28" t="s">
        <v>3638</v>
      </c>
      <c r="S64" s="92" t="s">
        <v>21</v>
      </c>
      <c r="T64" s="28"/>
      <c r="U64" s="28" t="s">
        <v>135</v>
      </c>
    </row>
    <row r="65" spans="1:21" s="27" customFormat="1" x14ac:dyDescent="0.25">
      <c r="A65" s="28" t="s">
        <v>21</v>
      </c>
      <c r="B65" s="28" t="s">
        <v>3584</v>
      </c>
      <c r="C65" s="28" t="s">
        <v>21</v>
      </c>
      <c r="D65" s="29">
        <v>1</v>
      </c>
      <c r="E65" s="71">
        <v>55</v>
      </c>
      <c r="F65" s="31">
        <v>187</v>
      </c>
      <c r="G65" s="32"/>
      <c r="H65" s="32">
        <v>1.8779999999999999</v>
      </c>
      <c r="I65" s="32">
        <v>1.871</v>
      </c>
      <c r="J65" s="33">
        <f t="shared" si="4"/>
        <v>6.9999999999998952E-3</v>
      </c>
      <c r="K65" s="34" t="str">
        <f t="shared" si="1"/>
        <v/>
      </c>
      <c r="L65" s="35">
        <f t="shared" si="5"/>
        <v>7.48</v>
      </c>
      <c r="M65" s="36" t="str">
        <f t="shared" si="6"/>
        <v/>
      </c>
      <c r="N65" s="37" t="s">
        <v>16</v>
      </c>
      <c r="O65" s="29">
        <v>1</v>
      </c>
      <c r="P65" s="38">
        <v>25</v>
      </c>
      <c r="Q65" s="28"/>
      <c r="R65" s="28" t="s">
        <v>3604</v>
      </c>
      <c r="S65" s="92" t="s">
        <v>21</v>
      </c>
      <c r="T65" s="28"/>
      <c r="U65" s="28" t="s">
        <v>135</v>
      </c>
    </row>
    <row r="66" spans="1:21" s="27" customFormat="1" x14ac:dyDescent="0.25">
      <c r="A66" s="28" t="s">
        <v>21</v>
      </c>
      <c r="B66" s="28" t="s">
        <v>3585</v>
      </c>
      <c r="C66" s="28" t="s">
        <v>21</v>
      </c>
      <c r="D66" s="29">
        <v>1</v>
      </c>
      <c r="E66" s="71">
        <v>43</v>
      </c>
      <c r="F66" s="31">
        <v>188</v>
      </c>
      <c r="G66" s="32"/>
      <c r="H66" s="32">
        <v>1.873</v>
      </c>
      <c r="I66" s="32">
        <v>1.865</v>
      </c>
      <c r="J66" s="33">
        <f t="shared" ref="J66:J81" si="7">IF(O66&lt;&gt;"",(H66-I66)/O66,"")</f>
        <v>8.0000000000000071E-3</v>
      </c>
      <c r="K66" s="34" t="str">
        <f t="shared" ref="K66:K129" si="8">IF(J66=0,"",IF(OR(J66&lt;0,J66&gt;0.03),"X",""))</f>
        <v/>
      </c>
      <c r="L66" s="35">
        <f t="shared" ref="L66:L81" si="9">F66/(O66*P66)</f>
        <v>7.52</v>
      </c>
      <c r="M66" s="36" t="str">
        <f t="shared" ref="M66:M81" si="10">IF(L66=0,"",IF(OR(L66&lt;7,L66&gt;7.8),"X",""))</f>
        <v/>
      </c>
      <c r="N66" s="37" t="s">
        <v>16</v>
      </c>
      <c r="O66" s="29">
        <v>1</v>
      </c>
      <c r="P66" s="38">
        <v>25</v>
      </c>
      <c r="Q66" s="28"/>
      <c r="R66" s="28" t="s">
        <v>3189</v>
      </c>
      <c r="S66" s="92" t="s">
        <v>21</v>
      </c>
      <c r="T66" s="28"/>
      <c r="U66" s="28" t="s">
        <v>135</v>
      </c>
    </row>
    <row r="67" spans="1:21" s="27" customFormat="1" x14ac:dyDescent="0.25">
      <c r="A67" s="28" t="s">
        <v>21</v>
      </c>
      <c r="B67" s="28" t="s">
        <v>3586</v>
      </c>
      <c r="C67" s="28" t="s">
        <v>21</v>
      </c>
      <c r="D67" s="29">
        <v>1</v>
      </c>
      <c r="E67" s="73">
        <v>13</v>
      </c>
      <c r="F67" s="31">
        <v>187</v>
      </c>
      <c r="G67" s="32"/>
      <c r="H67" s="32">
        <v>1.889</v>
      </c>
      <c r="I67" s="32">
        <v>1.8819999999999999</v>
      </c>
      <c r="J67" s="33">
        <f t="shared" si="7"/>
        <v>7.0000000000001172E-3</v>
      </c>
      <c r="K67" s="34" t="str">
        <f t="shared" si="8"/>
        <v/>
      </c>
      <c r="L67" s="35">
        <f t="shared" si="9"/>
        <v>7.48</v>
      </c>
      <c r="M67" s="36" t="str">
        <f t="shared" si="10"/>
        <v/>
      </c>
      <c r="N67" s="37" t="s">
        <v>16</v>
      </c>
      <c r="O67" s="29">
        <v>1</v>
      </c>
      <c r="P67" s="38">
        <v>25</v>
      </c>
      <c r="Q67" s="28"/>
      <c r="R67" s="28" t="s">
        <v>3193</v>
      </c>
      <c r="S67" s="39"/>
      <c r="T67" s="28"/>
      <c r="U67" s="28" t="s">
        <v>135</v>
      </c>
    </row>
    <row r="68" spans="1:21" s="27" customFormat="1" x14ac:dyDescent="0.25">
      <c r="A68" s="28" t="s">
        <v>21</v>
      </c>
      <c r="B68" s="28" t="s">
        <v>3587</v>
      </c>
      <c r="C68" s="28" t="s">
        <v>21</v>
      </c>
      <c r="D68" s="29">
        <v>1</v>
      </c>
      <c r="E68" s="73">
        <v>6</v>
      </c>
      <c r="F68" s="31">
        <v>189</v>
      </c>
      <c r="G68" s="32"/>
      <c r="H68" s="32">
        <v>1.89</v>
      </c>
      <c r="I68" s="32">
        <v>1.883</v>
      </c>
      <c r="J68" s="33">
        <f t="shared" si="7"/>
        <v>6.9999999999998952E-3</v>
      </c>
      <c r="K68" s="34" t="str">
        <f t="shared" si="8"/>
        <v/>
      </c>
      <c r="L68" s="35">
        <f t="shared" si="9"/>
        <v>7.56</v>
      </c>
      <c r="M68" s="36" t="str">
        <f t="shared" si="10"/>
        <v/>
      </c>
      <c r="N68" s="37" t="s">
        <v>16</v>
      </c>
      <c r="O68" s="29">
        <v>1</v>
      </c>
      <c r="P68" s="38">
        <v>25</v>
      </c>
      <c r="Q68" s="28"/>
      <c r="R68" s="28" t="s">
        <v>3642</v>
      </c>
      <c r="S68" s="39"/>
      <c r="T68" s="28"/>
      <c r="U68" s="28" t="s">
        <v>135</v>
      </c>
    </row>
    <row r="69" spans="1:21" s="27" customFormat="1" x14ac:dyDescent="0.25">
      <c r="A69" s="28" t="s">
        <v>21</v>
      </c>
      <c r="B69" s="28" t="s">
        <v>3588</v>
      </c>
      <c r="C69" s="28" t="s">
        <v>21</v>
      </c>
      <c r="D69" s="29">
        <v>1</v>
      </c>
      <c r="E69" s="73">
        <v>11</v>
      </c>
      <c r="F69" s="31">
        <v>188</v>
      </c>
      <c r="G69" s="32"/>
      <c r="H69" s="32">
        <v>1.8839999999999999</v>
      </c>
      <c r="I69" s="32">
        <v>1.877</v>
      </c>
      <c r="J69" s="33">
        <f t="shared" si="7"/>
        <v>6.9999999999998952E-3</v>
      </c>
      <c r="K69" s="34" t="str">
        <f t="shared" si="8"/>
        <v/>
      </c>
      <c r="L69" s="35">
        <f t="shared" si="9"/>
        <v>7.52</v>
      </c>
      <c r="M69" s="36" t="str">
        <f t="shared" si="10"/>
        <v/>
      </c>
      <c r="N69" s="37" t="s">
        <v>16</v>
      </c>
      <c r="O69" s="29">
        <v>1</v>
      </c>
      <c r="P69" s="38">
        <v>25</v>
      </c>
      <c r="Q69" s="28"/>
      <c r="R69" s="28" t="s">
        <v>3643</v>
      </c>
      <c r="S69" s="39"/>
      <c r="T69" s="28"/>
      <c r="U69" s="28" t="s">
        <v>135</v>
      </c>
    </row>
    <row r="70" spans="1:21" s="27" customFormat="1" x14ac:dyDescent="0.25">
      <c r="A70" s="28" t="s">
        <v>21</v>
      </c>
      <c r="B70" s="28" t="s">
        <v>3589</v>
      </c>
      <c r="C70" s="28" t="s">
        <v>21</v>
      </c>
      <c r="D70" s="29">
        <v>1</v>
      </c>
      <c r="E70" s="73">
        <v>10</v>
      </c>
      <c r="F70" s="31">
        <v>188</v>
      </c>
      <c r="G70" s="32"/>
      <c r="H70" s="32">
        <v>1.891</v>
      </c>
      <c r="I70" s="32">
        <v>1.8839999999999999</v>
      </c>
      <c r="J70" s="33">
        <f t="shared" si="7"/>
        <v>7.0000000000001172E-3</v>
      </c>
      <c r="K70" s="34" t="str">
        <f t="shared" si="8"/>
        <v/>
      </c>
      <c r="L70" s="35">
        <f t="shared" si="9"/>
        <v>7.52</v>
      </c>
      <c r="M70" s="36" t="str">
        <f t="shared" si="10"/>
        <v/>
      </c>
      <c r="N70" s="37" t="s">
        <v>16</v>
      </c>
      <c r="O70" s="29">
        <v>1</v>
      </c>
      <c r="P70" s="38">
        <v>25</v>
      </c>
      <c r="Q70" s="28"/>
      <c r="R70" s="28" t="s">
        <v>3192</v>
      </c>
      <c r="S70" s="39"/>
      <c r="T70" s="28"/>
      <c r="U70" s="28" t="s">
        <v>135</v>
      </c>
    </row>
    <row r="71" spans="1:21" s="27" customFormat="1" x14ac:dyDescent="0.25">
      <c r="A71" s="28" t="s">
        <v>21</v>
      </c>
      <c r="B71" s="28" t="s">
        <v>3590</v>
      </c>
      <c r="C71" s="28" t="s">
        <v>21</v>
      </c>
      <c r="D71" s="29">
        <v>1</v>
      </c>
      <c r="E71" s="73">
        <v>4</v>
      </c>
      <c r="F71" s="31">
        <v>188</v>
      </c>
      <c r="G71" s="32"/>
      <c r="H71" s="32">
        <v>1.887</v>
      </c>
      <c r="I71" s="32">
        <v>1.879</v>
      </c>
      <c r="J71" s="33">
        <f t="shared" si="7"/>
        <v>8.0000000000000071E-3</v>
      </c>
      <c r="K71" s="34" t="str">
        <f t="shared" si="8"/>
        <v/>
      </c>
      <c r="L71" s="35">
        <f t="shared" si="9"/>
        <v>7.52</v>
      </c>
      <c r="M71" s="36" t="str">
        <f t="shared" si="10"/>
        <v/>
      </c>
      <c r="N71" s="37" t="s">
        <v>16</v>
      </c>
      <c r="O71" s="29">
        <v>1</v>
      </c>
      <c r="P71" s="38">
        <v>25</v>
      </c>
      <c r="Q71" s="28"/>
      <c r="R71" s="28" t="s">
        <v>3644</v>
      </c>
      <c r="S71" s="39"/>
      <c r="T71" s="28"/>
      <c r="U71" s="28" t="s">
        <v>135</v>
      </c>
    </row>
    <row r="72" spans="1:21" s="27" customFormat="1" x14ac:dyDescent="0.25">
      <c r="A72" s="28" t="s">
        <v>21</v>
      </c>
      <c r="B72" s="28" t="s">
        <v>3591</v>
      </c>
      <c r="C72" s="28" t="s">
        <v>21</v>
      </c>
      <c r="D72" s="29">
        <v>1</v>
      </c>
      <c r="E72" s="71">
        <v>35</v>
      </c>
      <c r="F72" s="31">
        <v>188</v>
      </c>
      <c r="G72" s="32"/>
      <c r="H72" s="32">
        <v>1.905</v>
      </c>
      <c r="I72" s="32">
        <v>1.899</v>
      </c>
      <c r="J72" s="33">
        <f t="shared" si="7"/>
        <v>6.0000000000000053E-3</v>
      </c>
      <c r="K72" s="34" t="str">
        <f t="shared" si="8"/>
        <v/>
      </c>
      <c r="L72" s="35">
        <f t="shared" si="9"/>
        <v>7.52</v>
      </c>
      <c r="M72" s="36" t="str">
        <f t="shared" si="10"/>
        <v/>
      </c>
      <c r="N72" s="37" t="s">
        <v>16</v>
      </c>
      <c r="O72" s="29">
        <v>1</v>
      </c>
      <c r="P72" s="38">
        <v>25</v>
      </c>
      <c r="Q72" s="28"/>
      <c r="R72" s="28" t="s">
        <v>3605</v>
      </c>
      <c r="S72" s="91" t="s">
        <v>58</v>
      </c>
      <c r="T72" s="28"/>
      <c r="U72" s="28" t="s">
        <v>135</v>
      </c>
    </row>
    <row r="73" spans="1:21" s="27" customFormat="1" x14ac:dyDescent="0.25">
      <c r="A73" s="28" t="s">
        <v>21</v>
      </c>
      <c r="B73" s="28" t="s">
        <v>3592</v>
      </c>
      <c r="C73" s="28" t="s">
        <v>21</v>
      </c>
      <c r="D73" s="29">
        <v>1</v>
      </c>
      <c r="E73" s="71">
        <v>17</v>
      </c>
      <c r="F73" s="31">
        <v>190</v>
      </c>
      <c r="G73" s="32"/>
      <c r="H73" s="32">
        <v>1.891</v>
      </c>
      <c r="I73" s="32">
        <v>1.883</v>
      </c>
      <c r="J73" s="33">
        <f t="shared" si="7"/>
        <v>8.0000000000000071E-3</v>
      </c>
      <c r="K73" s="34" t="str">
        <f t="shared" si="8"/>
        <v/>
      </c>
      <c r="L73" s="35">
        <f t="shared" si="9"/>
        <v>7.6</v>
      </c>
      <c r="M73" s="36" t="str">
        <f t="shared" si="10"/>
        <v/>
      </c>
      <c r="N73" s="37" t="s">
        <v>16</v>
      </c>
      <c r="O73" s="29">
        <v>1</v>
      </c>
      <c r="P73" s="38">
        <v>25</v>
      </c>
      <c r="Q73" s="28"/>
      <c r="R73" s="28" t="s">
        <v>3191</v>
      </c>
      <c r="S73" s="91" t="s">
        <v>59</v>
      </c>
      <c r="T73" s="28"/>
      <c r="U73" s="28" t="s">
        <v>135</v>
      </c>
    </row>
    <row r="74" spans="1:21" s="27" customFormat="1" x14ac:dyDescent="0.25">
      <c r="A74" s="28" t="s">
        <v>21</v>
      </c>
      <c r="B74" s="28" t="s">
        <v>3593</v>
      </c>
      <c r="C74" s="28" t="s">
        <v>21</v>
      </c>
      <c r="D74" s="29">
        <v>1</v>
      </c>
      <c r="E74" s="71">
        <v>25</v>
      </c>
      <c r="F74" s="31">
        <v>189</v>
      </c>
      <c r="G74" s="32"/>
      <c r="H74" s="32">
        <v>1.8959999999999999</v>
      </c>
      <c r="I74" s="32">
        <v>1.889</v>
      </c>
      <c r="J74" s="33">
        <f t="shared" si="7"/>
        <v>6.9999999999998952E-3</v>
      </c>
      <c r="K74" s="34" t="str">
        <f t="shared" si="8"/>
        <v/>
      </c>
      <c r="L74" s="35">
        <f t="shared" si="9"/>
        <v>7.56</v>
      </c>
      <c r="M74" s="36" t="str">
        <f t="shared" si="10"/>
        <v/>
      </c>
      <c r="N74" s="37" t="s">
        <v>16</v>
      </c>
      <c r="O74" s="29">
        <v>1</v>
      </c>
      <c r="P74" s="38">
        <v>25</v>
      </c>
      <c r="Q74" s="28"/>
      <c r="R74" s="28" t="s">
        <v>3606</v>
      </c>
      <c r="S74" s="92" t="s">
        <v>21</v>
      </c>
      <c r="T74" s="28"/>
      <c r="U74" s="28" t="s">
        <v>135</v>
      </c>
    </row>
    <row r="75" spans="1:21" s="27" customFormat="1" x14ac:dyDescent="0.25">
      <c r="A75" s="28" t="s">
        <v>21</v>
      </c>
      <c r="B75" s="28" t="s">
        <v>3594</v>
      </c>
      <c r="C75" s="28" t="s">
        <v>21</v>
      </c>
      <c r="D75" s="29">
        <v>1</v>
      </c>
      <c r="E75" s="71">
        <v>19</v>
      </c>
      <c r="F75" s="31">
        <v>189</v>
      </c>
      <c r="G75" s="32"/>
      <c r="H75" s="32">
        <v>1.881</v>
      </c>
      <c r="I75" s="32">
        <v>1.875</v>
      </c>
      <c r="J75" s="33">
        <f t="shared" si="7"/>
        <v>6.0000000000000053E-3</v>
      </c>
      <c r="K75" s="34" t="str">
        <f t="shared" si="8"/>
        <v/>
      </c>
      <c r="L75" s="35">
        <f t="shared" si="9"/>
        <v>7.56</v>
      </c>
      <c r="M75" s="36" t="str">
        <f t="shared" si="10"/>
        <v/>
      </c>
      <c r="N75" s="37" t="s">
        <v>16</v>
      </c>
      <c r="O75" s="29">
        <v>1</v>
      </c>
      <c r="P75" s="38">
        <v>25</v>
      </c>
      <c r="Q75" s="28"/>
      <c r="R75" s="28" t="s">
        <v>3607</v>
      </c>
      <c r="S75" s="92" t="s">
        <v>21</v>
      </c>
      <c r="T75" s="28"/>
      <c r="U75" s="28" t="s">
        <v>135</v>
      </c>
    </row>
    <row r="76" spans="1:21" s="27" customFormat="1" x14ac:dyDescent="0.25">
      <c r="A76" s="28" t="s">
        <v>21</v>
      </c>
      <c r="B76" s="28" t="s">
        <v>3595</v>
      </c>
      <c r="C76" s="28" t="s">
        <v>21</v>
      </c>
      <c r="D76" s="29">
        <v>1</v>
      </c>
      <c r="E76" s="71">
        <v>22</v>
      </c>
      <c r="F76" s="31">
        <v>190</v>
      </c>
      <c r="G76" s="32"/>
      <c r="H76" s="32">
        <v>1.9039999999999999</v>
      </c>
      <c r="I76" s="32">
        <v>1.897</v>
      </c>
      <c r="J76" s="33">
        <f t="shared" si="7"/>
        <v>6.9999999999998952E-3</v>
      </c>
      <c r="K76" s="34" t="str">
        <f t="shared" si="8"/>
        <v/>
      </c>
      <c r="L76" s="35">
        <f t="shared" si="9"/>
        <v>7.6</v>
      </c>
      <c r="M76" s="36" t="str">
        <f t="shared" si="10"/>
        <v/>
      </c>
      <c r="N76" s="37" t="s">
        <v>16</v>
      </c>
      <c r="O76" s="29">
        <v>1</v>
      </c>
      <c r="P76" s="38">
        <v>25</v>
      </c>
      <c r="Q76" s="28"/>
      <c r="R76" s="28" t="s">
        <v>3608</v>
      </c>
      <c r="S76" s="92" t="s">
        <v>21</v>
      </c>
      <c r="T76" s="28"/>
      <c r="U76" s="28" t="s">
        <v>135</v>
      </c>
    </row>
    <row r="77" spans="1:21" s="27" customFormat="1" x14ac:dyDescent="0.25">
      <c r="A77" s="28" t="s">
        <v>21</v>
      </c>
      <c r="B77" s="28" t="s">
        <v>3596</v>
      </c>
      <c r="C77" s="28" t="s">
        <v>21</v>
      </c>
      <c r="D77" s="29">
        <v>1</v>
      </c>
      <c r="E77" s="71">
        <v>34</v>
      </c>
      <c r="F77" s="31">
        <v>189</v>
      </c>
      <c r="G77" s="32"/>
      <c r="H77" s="32">
        <v>1.9</v>
      </c>
      <c r="I77" s="32">
        <v>1.893</v>
      </c>
      <c r="J77" s="33">
        <f t="shared" si="7"/>
        <v>6.9999999999998952E-3</v>
      </c>
      <c r="K77" s="34" t="str">
        <f t="shared" si="8"/>
        <v/>
      </c>
      <c r="L77" s="35">
        <f t="shared" si="9"/>
        <v>7.56</v>
      </c>
      <c r="M77" s="36" t="str">
        <f t="shared" si="10"/>
        <v/>
      </c>
      <c r="N77" s="37" t="s">
        <v>16</v>
      </c>
      <c r="O77" s="29">
        <v>1</v>
      </c>
      <c r="P77" s="38">
        <v>25</v>
      </c>
      <c r="Q77" s="28"/>
      <c r="R77" s="28" t="s">
        <v>3609</v>
      </c>
      <c r="S77" s="92" t="s">
        <v>21</v>
      </c>
      <c r="T77" s="28"/>
      <c r="U77" s="28" t="s">
        <v>135</v>
      </c>
    </row>
    <row r="78" spans="1:21" s="27" customFormat="1" x14ac:dyDescent="0.25">
      <c r="A78" s="28" t="s">
        <v>21</v>
      </c>
      <c r="B78" s="28" t="s">
        <v>3597</v>
      </c>
      <c r="C78" s="28" t="s">
        <v>21</v>
      </c>
      <c r="D78" s="29">
        <v>1</v>
      </c>
      <c r="E78" s="71">
        <v>35</v>
      </c>
      <c r="F78" s="31">
        <v>187</v>
      </c>
      <c r="G78" s="32"/>
      <c r="H78" s="32">
        <v>1.887</v>
      </c>
      <c r="I78" s="32">
        <v>1.881</v>
      </c>
      <c r="J78" s="33">
        <f t="shared" si="7"/>
        <v>6.0000000000000053E-3</v>
      </c>
      <c r="K78" s="34" t="str">
        <f t="shared" si="8"/>
        <v/>
      </c>
      <c r="L78" s="35">
        <f t="shared" si="9"/>
        <v>7.48</v>
      </c>
      <c r="M78" s="36" t="str">
        <f t="shared" si="10"/>
        <v/>
      </c>
      <c r="N78" s="37" t="s">
        <v>16</v>
      </c>
      <c r="O78" s="29">
        <v>1</v>
      </c>
      <c r="P78" s="38">
        <v>25</v>
      </c>
      <c r="Q78" s="28"/>
      <c r="R78" s="28" t="s">
        <v>3610</v>
      </c>
      <c r="S78" s="92" t="s">
        <v>21</v>
      </c>
      <c r="T78" s="28"/>
      <c r="U78" s="28" t="s">
        <v>135</v>
      </c>
    </row>
    <row r="79" spans="1:21" s="27" customFormat="1" x14ac:dyDescent="0.25">
      <c r="A79" s="28" t="s">
        <v>21</v>
      </c>
      <c r="B79" s="28" t="s">
        <v>3598</v>
      </c>
      <c r="C79" s="28" t="s">
        <v>21</v>
      </c>
      <c r="D79" s="29">
        <v>1</v>
      </c>
      <c r="E79" s="71">
        <v>31</v>
      </c>
      <c r="F79" s="31">
        <v>188</v>
      </c>
      <c r="G79" s="32"/>
      <c r="H79" s="32">
        <v>1.879</v>
      </c>
      <c r="I79" s="32">
        <v>1.871</v>
      </c>
      <c r="J79" s="33">
        <f t="shared" si="7"/>
        <v>8.0000000000000071E-3</v>
      </c>
      <c r="K79" s="34" t="str">
        <f t="shared" si="8"/>
        <v/>
      </c>
      <c r="L79" s="35">
        <f t="shared" si="9"/>
        <v>7.52</v>
      </c>
      <c r="M79" s="36" t="str">
        <f t="shared" si="10"/>
        <v/>
      </c>
      <c r="N79" s="37" t="s">
        <v>16</v>
      </c>
      <c r="O79" s="29">
        <v>1</v>
      </c>
      <c r="P79" s="38">
        <v>25</v>
      </c>
      <c r="Q79" s="28"/>
      <c r="R79" s="28" t="s">
        <v>3190</v>
      </c>
      <c r="S79" s="92" t="s">
        <v>21</v>
      </c>
      <c r="T79" s="28"/>
      <c r="U79" s="28" t="s">
        <v>135</v>
      </c>
    </row>
    <row r="80" spans="1:21" s="27" customFormat="1" x14ac:dyDescent="0.25">
      <c r="A80" s="28" t="s">
        <v>21</v>
      </c>
      <c r="B80" s="28" t="s">
        <v>3599</v>
      </c>
      <c r="C80" s="28" t="s">
        <v>21</v>
      </c>
      <c r="D80" s="29">
        <v>1</v>
      </c>
      <c r="E80" s="71">
        <v>33</v>
      </c>
      <c r="F80" s="31">
        <v>187</v>
      </c>
      <c r="G80" s="32"/>
      <c r="H80" s="32">
        <v>1.8620000000000001</v>
      </c>
      <c r="I80" s="32">
        <v>1.8540000000000001</v>
      </c>
      <c r="J80" s="33">
        <f t="shared" si="7"/>
        <v>8.0000000000000071E-3</v>
      </c>
      <c r="K80" s="34" t="str">
        <f t="shared" si="8"/>
        <v/>
      </c>
      <c r="L80" s="35">
        <f t="shared" si="9"/>
        <v>7.48</v>
      </c>
      <c r="M80" s="36" t="str">
        <f t="shared" si="10"/>
        <v/>
      </c>
      <c r="N80" s="37" t="s">
        <v>16</v>
      </c>
      <c r="O80" s="29">
        <v>1</v>
      </c>
      <c r="P80" s="38">
        <v>25</v>
      </c>
      <c r="Q80" s="28"/>
      <c r="R80" s="28" t="s">
        <v>3611</v>
      </c>
      <c r="S80" s="92" t="s">
        <v>21</v>
      </c>
      <c r="T80" s="28"/>
      <c r="U80" s="28" t="s">
        <v>135</v>
      </c>
    </row>
    <row r="81" spans="1:21" s="27" customFormat="1" x14ac:dyDescent="0.25">
      <c r="A81" s="28" t="s">
        <v>21</v>
      </c>
      <c r="B81" s="28" t="s">
        <v>3600</v>
      </c>
      <c r="C81" s="28" t="s">
        <v>21</v>
      </c>
      <c r="D81" s="29">
        <v>1</v>
      </c>
      <c r="E81" s="71">
        <v>30</v>
      </c>
      <c r="F81" s="31">
        <v>188</v>
      </c>
      <c r="G81" s="32"/>
      <c r="H81" s="32">
        <v>1.845</v>
      </c>
      <c r="I81" s="32">
        <v>1.837</v>
      </c>
      <c r="J81" s="33">
        <f t="shared" si="7"/>
        <v>8.0000000000000071E-3</v>
      </c>
      <c r="K81" s="34" t="str">
        <f t="shared" si="8"/>
        <v/>
      </c>
      <c r="L81" s="35">
        <f t="shared" si="9"/>
        <v>7.52</v>
      </c>
      <c r="M81" s="36" t="str">
        <f t="shared" si="10"/>
        <v/>
      </c>
      <c r="N81" s="37" t="s">
        <v>16</v>
      </c>
      <c r="O81" s="29">
        <v>1</v>
      </c>
      <c r="P81" s="38">
        <v>25</v>
      </c>
      <c r="Q81" s="28"/>
      <c r="R81" s="28" t="s">
        <v>3612</v>
      </c>
      <c r="S81" s="92" t="s">
        <v>21</v>
      </c>
      <c r="T81" s="28"/>
      <c r="U81" s="28" t="s">
        <v>135</v>
      </c>
    </row>
    <row r="82" spans="1:21" s="27" customFormat="1" x14ac:dyDescent="0.25">
      <c r="A82" s="28" t="s">
        <v>3662</v>
      </c>
      <c r="B82" s="28" t="s">
        <v>3663</v>
      </c>
      <c r="C82" s="28">
        <v>798520</v>
      </c>
      <c r="D82" s="29">
        <v>1</v>
      </c>
      <c r="E82" s="73">
        <v>39</v>
      </c>
      <c r="F82" s="45">
        <v>301</v>
      </c>
      <c r="G82" s="32"/>
      <c r="H82" s="32">
        <v>1.867</v>
      </c>
      <c r="I82" s="32">
        <v>1.859</v>
      </c>
      <c r="J82" s="33">
        <f t="shared" ref="J82:J101" si="11">IF(O82&lt;&gt;"",(H82-I82)/O82,"")</f>
        <v>8.0000000000000071E-3</v>
      </c>
      <c r="K82" s="34" t="str">
        <f t="shared" si="8"/>
        <v/>
      </c>
      <c r="L82" s="35">
        <f t="shared" ref="L82:L101" si="12">F82/(O82*P82)</f>
        <v>7.5250000000000004</v>
      </c>
      <c r="M82" s="36" t="str">
        <f t="shared" ref="M82:M101" si="13">IF(L82=0,"",IF(OR(L82&lt;7,L82&gt;7.8),"X",""))</f>
        <v/>
      </c>
      <c r="N82" s="37" t="s">
        <v>18</v>
      </c>
      <c r="O82" s="29">
        <v>1</v>
      </c>
      <c r="P82" s="38">
        <v>40</v>
      </c>
      <c r="Q82" s="46"/>
      <c r="R82" s="28" t="s">
        <v>3682</v>
      </c>
      <c r="S82" s="47"/>
      <c r="T82" s="46"/>
      <c r="U82" s="28" t="s">
        <v>31</v>
      </c>
    </row>
    <row r="83" spans="1:21" s="27" customFormat="1" x14ac:dyDescent="0.25">
      <c r="A83" s="28" t="s">
        <v>21</v>
      </c>
      <c r="B83" s="28" t="s">
        <v>3664</v>
      </c>
      <c r="C83" s="28" t="s">
        <v>21</v>
      </c>
      <c r="D83" s="29">
        <v>1</v>
      </c>
      <c r="E83" s="73">
        <v>60</v>
      </c>
      <c r="F83" s="45">
        <v>300</v>
      </c>
      <c r="G83" s="32"/>
      <c r="H83" s="32">
        <v>1.865</v>
      </c>
      <c r="I83" s="32">
        <v>1.859</v>
      </c>
      <c r="J83" s="33">
        <f t="shared" si="11"/>
        <v>6.0000000000000053E-3</v>
      </c>
      <c r="K83" s="34" t="str">
        <f t="shared" si="8"/>
        <v/>
      </c>
      <c r="L83" s="35">
        <f t="shared" si="12"/>
        <v>7.5</v>
      </c>
      <c r="M83" s="36" t="str">
        <f t="shared" si="13"/>
        <v/>
      </c>
      <c r="N83" s="37" t="s">
        <v>18</v>
      </c>
      <c r="O83" s="29">
        <v>1</v>
      </c>
      <c r="P83" s="38">
        <v>40</v>
      </c>
      <c r="Q83" s="46"/>
      <c r="R83" s="28" t="s">
        <v>3683</v>
      </c>
      <c r="S83" s="47"/>
      <c r="T83" s="46"/>
      <c r="U83" s="28" t="s">
        <v>31</v>
      </c>
    </row>
    <row r="84" spans="1:21" s="27" customFormat="1" x14ac:dyDescent="0.25">
      <c r="A84" s="28" t="s">
        <v>21</v>
      </c>
      <c r="B84" s="28" t="s">
        <v>3665</v>
      </c>
      <c r="C84" s="28" t="s">
        <v>21</v>
      </c>
      <c r="D84" s="29">
        <v>1</v>
      </c>
      <c r="E84" s="73">
        <v>43</v>
      </c>
      <c r="F84" s="45">
        <v>301</v>
      </c>
      <c r="G84" s="32"/>
      <c r="H84" s="32">
        <v>1.863</v>
      </c>
      <c r="I84" s="32">
        <v>1.8560000000000001</v>
      </c>
      <c r="J84" s="33">
        <f t="shared" si="11"/>
        <v>6.9999999999998952E-3</v>
      </c>
      <c r="K84" s="34" t="str">
        <f t="shared" si="8"/>
        <v/>
      </c>
      <c r="L84" s="35">
        <f t="shared" si="12"/>
        <v>7.5250000000000004</v>
      </c>
      <c r="M84" s="36" t="str">
        <f t="shared" si="13"/>
        <v/>
      </c>
      <c r="N84" s="37" t="s">
        <v>18</v>
      </c>
      <c r="O84" s="29">
        <v>1</v>
      </c>
      <c r="P84" s="38">
        <v>40</v>
      </c>
      <c r="Q84" s="46"/>
      <c r="R84" s="28" t="s">
        <v>3685</v>
      </c>
      <c r="S84" s="47"/>
      <c r="T84" s="46"/>
      <c r="U84" s="28" t="s">
        <v>31</v>
      </c>
    </row>
    <row r="85" spans="1:21" s="27" customFormat="1" x14ac:dyDescent="0.25">
      <c r="A85" s="28" t="s">
        <v>21</v>
      </c>
      <c r="B85" s="28" t="s">
        <v>3666</v>
      </c>
      <c r="C85" s="28" t="s">
        <v>21</v>
      </c>
      <c r="D85" s="29">
        <v>1</v>
      </c>
      <c r="E85" s="73">
        <v>62</v>
      </c>
      <c r="F85" s="45">
        <v>303</v>
      </c>
      <c r="G85" s="32"/>
      <c r="H85" s="32">
        <v>1.855</v>
      </c>
      <c r="I85" s="32">
        <v>1.8480000000000001</v>
      </c>
      <c r="J85" s="33">
        <f t="shared" si="11"/>
        <v>6.9999999999998952E-3</v>
      </c>
      <c r="K85" s="34" t="str">
        <f t="shared" si="8"/>
        <v/>
      </c>
      <c r="L85" s="35">
        <f t="shared" si="12"/>
        <v>7.5750000000000002</v>
      </c>
      <c r="M85" s="36" t="str">
        <f t="shared" si="13"/>
        <v/>
      </c>
      <c r="N85" s="37" t="s">
        <v>18</v>
      </c>
      <c r="O85" s="29">
        <v>1</v>
      </c>
      <c r="P85" s="38">
        <v>40</v>
      </c>
      <c r="Q85" s="46"/>
      <c r="R85" s="28" t="s">
        <v>3684</v>
      </c>
      <c r="S85" s="47"/>
      <c r="T85" s="46"/>
      <c r="U85" s="28" t="s">
        <v>31</v>
      </c>
    </row>
    <row r="86" spans="1:21" s="27" customFormat="1" x14ac:dyDescent="0.25">
      <c r="A86" s="28" t="s">
        <v>21</v>
      </c>
      <c r="B86" s="28" t="s">
        <v>3667</v>
      </c>
      <c r="C86" s="28" t="s">
        <v>21</v>
      </c>
      <c r="D86" s="29">
        <v>1</v>
      </c>
      <c r="E86" s="73">
        <v>37</v>
      </c>
      <c r="F86" s="45">
        <v>303</v>
      </c>
      <c r="G86" s="32"/>
      <c r="H86" s="32">
        <v>1.8620000000000001</v>
      </c>
      <c r="I86" s="32">
        <v>1.853</v>
      </c>
      <c r="J86" s="33">
        <f t="shared" si="11"/>
        <v>9.000000000000119E-3</v>
      </c>
      <c r="K86" s="34" t="str">
        <f t="shared" si="8"/>
        <v/>
      </c>
      <c r="L86" s="35">
        <f t="shared" si="12"/>
        <v>7.5750000000000002</v>
      </c>
      <c r="M86" s="36" t="str">
        <f t="shared" si="13"/>
        <v/>
      </c>
      <c r="N86" s="37" t="s">
        <v>18</v>
      </c>
      <c r="O86" s="29">
        <v>1</v>
      </c>
      <c r="P86" s="38">
        <v>40</v>
      </c>
      <c r="Q86" s="46"/>
      <c r="R86" s="28" t="s">
        <v>3682</v>
      </c>
      <c r="S86" s="47"/>
      <c r="T86" s="46"/>
      <c r="U86" s="28" t="s">
        <v>31</v>
      </c>
    </row>
    <row r="87" spans="1:21" s="27" customFormat="1" x14ac:dyDescent="0.25">
      <c r="A87" s="28" t="s">
        <v>21</v>
      </c>
      <c r="B87" s="28" t="s">
        <v>3668</v>
      </c>
      <c r="C87" s="28" t="s">
        <v>21</v>
      </c>
      <c r="D87" s="29">
        <v>1</v>
      </c>
      <c r="E87" s="71">
        <v>64</v>
      </c>
      <c r="F87" s="45">
        <v>300</v>
      </c>
      <c r="G87" s="32"/>
      <c r="H87" s="32">
        <v>1.8779999999999999</v>
      </c>
      <c r="I87" s="32">
        <v>1.873</v>
      </c>
      <c r="J87" s="33">
        <f t="shared" si="11"/>
        <v>4.9999999999998934E-3</v>
      </c>
      <c r="K87" s="34" t="str">
        <f t="shared" si="8"/>
        <v/>
      </c>
      <c r="L87" s="35">
        <f t="shared" si="12"/>
        <v>7.5</v>
      </c>
      <c r="M87" s="36" t="str">
        <f t="shared" si="13"/>
        <v/>
      </c>
      <c r="N87" s="37" t="s">
        <v>18</v>
      </c>
      <c r="O87" s="29">
        <v>1</v>
      </c>
      <c r="P87" s="38">
        <v>40</v>
      </c>
      <c r="Q87" s="46"/>
      <c r="R87" s="28" t="s">
        <v>3686</v>
      </c>
      <c r="S87" s="91" t="s">
        <v>103</v>
      </c>
      <c r="T87" s="46"/>
      <c r="U87" s="28" t="s">
        <v>31</v>
      </c>
    </row>
    <row r="88" spans="1:21" s="27" customFormat="1" x14ac:dyDescent="0.25">
      <c r="A88" s="28" t="s">
        <v>21</v>
      </c>
      <c r="B88" s="28" t="s">
        <v>3669</v>
      </c>
      <c r="C88" s="28" t="s">
        <v>21</v>
      </c>
      <c r="D88" s="29">
        <v>1</v>
      </c>
      <c r="E88" s="71">
        <v>55</v>
      </c>
      <c r="F88" s="45">
        <v>300</v>
      </c>
      <c r="G88" s="32"/>
      <c r="H88" s="32">
        <v>1.875</v>
      </c>
      <c r="I88" s="32">
        <v>1.8680000000000001</v>
      </c>
      <c r="J88" s="33">
        <f t="shared" si="11"/>
        <v>6.9999999999998952E-3</v>
      </c>
      <c r="K88" s="34" t="str">
        <f t="shared" si="8"/>
        <v/>
      </c>
      <c r="L88" s="35">
        <f t="shared" si="12"/>
        <v>7.5</v>
      </c>
      <c r="M88" s="36" t="str">
        <f t="shared" si="13"/>
        <v/>
      </c>
      <c r="N88" s="37" t="s">
        <v>18</v>
      </c>
      <c r="O88" s="29">
        <v>1</v>
      </c>
      <c r="P88" s="38">
        <v>40</v>
      </c>
      <c r="Q88" s="46"/>
      <c r="R88" s="28" t="s">
        <v>3687</v>
      </c>
      <c r="S88" s="91" t="s">
        <v>59</v>
      </c>
      <c r="T88" s="46"/>
      <c r="U88" s="28" t="s">
        <v>31</v>
      </c>
    </row>
    <row r="89" spans="1:21" s="27" customFormat="1" x14ac:dyDescent="0.25">
      <c r="A89" s="28" t="s">
        <v>21</v>
      </c>
      <c r="B89" s="28" t="s">
        <v>3670</v>
      </c>
      <c r="C89" s="28" t="s">
        <v>21</v>
      </c>
      <c r="D89" s="29">
        <v>1</v>
      </c>
      <c r="E89" s="71">
        <v>57</v>
      </c>
      <c r="F89" s="45">
        <v>300</v>
      </c>
      <c r="G89" s="32"/>
      <c r="H89" s="32">
        <v>1.8779999999999999</v>
      </c>
      <c r="I89" s="32">
        <v>1.871</v>
      </c>
      <c r="J89" s="33">
        <f t="shared" si="11"/>
        <v>6.9999999999998952E-3</v>
      </c>
      <c r="K89" s="34" t="str">
        <f t="shared" si="8"/>
        <v/>
      </c>
      <c r="L89" s="35">
        <f t="shared" si="12"/>
        <v>7.5</v>
      </c>
      <c r="M89" s="36" t="str">
        <f t="shared" si="13"/>
        <v/>
      </c>
      <c r="N89" s="37" t="s">
        <v>18</v>
      </c>
      <c r="O89" s="29">
        <v>1</v>
      </c>
      <c r="P89" s="38">
        <v>40</v>
      </c>
      <c r="Q89" s="46"/>
      <c r="R89" s="28" t="s">
        <v>3688</v>
      </c>
      <c r="S89" s="92" t="s">
        <v>21</v>
      </c>
      <c r="T89" s="46"/>
      <c r="U89" s="28" t="s">
        <v>31</v>
      </c>
    </row>
    <row r="90" spans="1:21" s="27" customFormat="1" x14ac:dyDescent="0.25">
      <c r="A90" s="28" t="s">
        <v>21</v>
      </c>
      <c r="B90" s="28" t="s">
        <v>3671</v>
      </c>
      <c r="C90" s="28" t="s">
        <v>21</v>
      </c>
      <c r="D90" s="29">
        <v>1</v>
      </c>
      <c r="E90" s="71">
        <v>55</v>
      </c>
      <c r="F90" s="45">
        <v>299</v>
      </c>
      <c r="G90" s="32"/>
      <c r="H90" s="32">
        <v>1.889</v>
      </c>
      <c r="I90" s="32">
        <v>1.8819999999999999</v>
      </c>
      <c r="J90" s="33">
        <f t="shared" si="11"/>
        <v>7.0000000000001172E-3</v>
      </c>
      <c r="K90" s="34" t="str">
        <f t="shared" si="8"/>
        <v/>
      </c>
      <c r="L90" s="35">
        <f t="shared" si="12"/>
        <v>7.4749999999999996</v>
      </c>
      <c r="M90" s="36" t="str">
        <f t="shared" si="13"/>
        <v/>
      </c>
      <c r="N90" s="37" t="s">
        <v>18</v>
      </c>
      <c r="O90" s="29">
        <v>1</v>
      </c>
      <c r="P90" s="38">
        <v>40</v>
      </c>
      <c r="Q90" s="46"/>
      <c r="R90" s="28" t="s">
        <v>3690</v>
      </c>
      <c r="S90" s="92" t="s">
        <v>21</v>
      </c>
      <c r="T90" s="46"/>
      <c r="U90" s="28" t="s">
        <v>31</v>
      </c>
    </row>
    <row r="91" spans="1:21" s="27" customFormat="1" x14ac:dyDescent="0.25">
      <c r="A91" s="28" t="s">
        <v>21</v>
      </c>
      <c r="B91" s="28" t="s">
        <v>3672</v>
      </c>
      <c r="C91" s="28" t="s">
        <v>21</v>
      </c>
      <c r="D91" s="29">
        <v>1</v>
      </c>
      <c r="E91" s="71">
        <v>62</v>
      </c>
      <c r="F91" s="45">
        <v>301</v>
      </c>
      <c r="G91" s="32"/>
      <c r="H91" s="32">
        <v>1.873</v>
      </c>
      <c r="I91" s="32">
        <v>1.867</v>
      </c>
      <c r="J91" s="33">
        <f t="shared" si="11"/>
        <v>6.0000000000000053E-3</v>
      </c>
      <c r="K91" s="34" t="str">
        <f t="shared" si="8"/>
        <v/>
      </c>
      <c r="L91" s="35">
        <f t="shared" si="12"/>
        <v>7.5250000000000004</v>
      </c>
      <c r="M91" s="36" t="str">
        <f t="shared" si="13"/>
        <v/>
      </c>
      <c r="N91" s="37" t="s">
        <v>18</v>
      </c>
      <c r="O91" s="29">
        <v>1</v>
      </c>
      <c r="P91" s="38">
        <v>40</v>
      </c>
      <c r="Q91" s="46"/>
      <c r="R91" s="28" t="s">
        <v>3691</v>
      </c>
      <c r="S91" s="92" t="s">
        <v>21</v>
      </c>
      <c r="T91" s="46"/>
      <c r="U91" s="28" t="s">
        <v>31</v>
      </c>
    </row>
    <row r="92" spans="1:21" s="27" customFormat="1" x14ac:dyDescent="0.25">
      <c r="A92" s="28" t="s">
        <v>21</v>
      </c>
      <c r="B92" s="28" t="s">
        <v>3696</v>
      </c>
      <c r="C92" s="28" t="s">
        <v>21</v>
      </c>
      <c r="D92" s="29">
        <v>1</v>
      </c>
      <c r="E92" s="73">
        <v>40</v>
      </c>
      <c r="F92" s="45">
        <v>303</v>
      </c>
      <c r="G92" s="32"/>
      <c r="H92" s="32">
        <v>1.873</v>
      </c>
      <c r="I92" s="32">
        <v>1.865</v>
      </c>
      <c r="J92" s="33">
        <f t="shared" si="11"/>
        <v>8.0000000000000071E-3</v>
      </c>
      <c r="K92" s="34" t="str">
        <f t="shared" si="8"/>
        <v/>
      </c>
      <c r="L92" s="35">
        <f t="shared" si="12"/>
        <v>7.5750000000000002</v>
      </c>
      <c r="M92" s="36" t="str">
        <f t="shared" si="13"/>
        <v/>
      </c>
      <c r="N92" s="37" t="s">
        <v>18</v>
      </c>
      <c r="O92" s="29">
        <v>1</v>
      </c>
      <c r="P92" s="38">
        <v>40</v>
      </c>
      <c r="Q92" s="46"/>
      <c r="R92" s="28" t="s">
        <v>3689</v>
      </c>
      <c r="S92" s="47"/>
      <c r="T92" s="46"/>
      <c r="U92" s="28" t="s">
        <v>31</v>
      </c>
    </row>
    <row r="93" spans="1:21" s="27" customFormat="1" x14ac:dyDescent="0.25">
      <c r="A93" s="28" t="s">
        <v>21</v>
      </c>
      <c r="B93" s="28" t="s">
        <v>3673</v>
      </c>
      <c r="C93" s="28" t="s">
        <v>21</v>
      </c>
      <c r="D93" s="29">
        <v>1</v>
      </c>
      <c r="E93" s="73">
        <v>50</v>
      </c>
      <c r="F93" s="45">
        <v>302</v>
      </c>
      <c r="G93" s="32"/>
      <c r="H93" s="32">
        <v>1.87</v>
      </c>
      <c r="I93" s="32">
        <v>1.863</v>
      </c>
      <c r="J93" s="33">
        <f t="shared" si="11"/>
        <v>7.0000000000001172E-3</v>
      </c>
      <c r="K93" s="34" t="str">
        <f t="shared" si="8"/>
        <v/>
      </c>
      <c r="L93" s="35">
        <f t="shared" si="12"/>
        <v>7.55</v>
      </c>
      <c r="M93" s="36" t="str">
        <f t="shared" si="13"/>
        <v/>
      </c>
      <c r="N93" s="37" t="s">
        <v>18</v>
      </c>
      <c r="O93" s="29">
        <v>1</v>
      </c>
      <c r="P93" s="38">
        <v>40</v>
      </c>
      <c r="Q93" s="46"/>
      <c r="R93" s="28" t="s">
        <v>3692</v>
      </c>
      <c r="S93" s="47"/>
      <c r="T93" s="46"/>
      <c r="U93" s="28" t="s">
        <v>31</v>
      </c>
    </row>
    <row r="94" spans="1:21" s="27" customFormat="1" x14ac:dyDescent="0.25">
      <c r="A94" s="28" t="s">
        <v>21</v>
      </c>
      <c r="B94" s="28" t="s">
        <v>3674</v>
      </c>
      <c r="C94" s="28" t="s">
        <v>21</v>
      </c>
      <c r="D94" s="29">
        <v>1</v>
      </c>
      <c r="E94" s="73">
        <v>37</v>
      </c>
      <c r="F94" s="45">
        <v>305</v>
      </c>
      <c r="G94" s="32"/>
      <c r="H94" s="32">
        <v>1.865</v>
      </c>
      <c r="I94" s="32">
        <v>1.857</v>
      </c>
      <c r="J94" s="33">
        <f t="shared" si="11"/>
        <v>8.0000000000000071E-3</v>
      </c>
      <c r="K94" s="34" t="str">
        <f t="shared" si="8"/>
        <v/>
      </c>
      <c r="L94" s="35">
        <f t="shared" si="12"/>
        <v>7.625</v>
      </c>
      <c r="M94" s="36" t="str">
        <f t="shared" si="13"/>
        <v/>
      </c>
      <c r="N94" s="37" t="s">
        <v>18</v>
      </c>
      <c r="O94" s="29">
        <v>1</v>
      </c>
      <c r="P94" s="38">
        <v>40</v>
      </c>
      <c r="Q94" s="46"/>
      <c r="R94" s="28" t="s">
        <v>3694</v>
      </c>
      <c r="S94" s="47"/>
      <c r="T94" s="46"/>
      <c r="U94" s="28" t="s">
        <v>31</v>
      </c>
    </row>
    <row r="95" spans="1:21" s="27" customFormat="1" x14ac:dyDescent="0.25">
      <c r="A95" s="28" t="s">
        <v>21</v>
      </c>
      <c r="B95" s="28" t="s">
        <v>3675</v>
      </c>
      <c r="C95" s="28" t="s">
        <v>21</v>
      </c>
      <c r="D95" s="29">
        <v>1</v>
      </c>
      <c r="E95" s="73">
        <v>43</v>
      </c>
      <c r="F95" s="45">
        <v>303</v>
      </c>
      <c r="G95" s="32"/>
      <c r="H95" s="32">
        <v>1.871</v>
      </c>
      <c r="I95" s="32">
        <v>1.863</v>
      </c>
      <c r="J95" s="33">
        <f t="shared" si="11"/>
        <v>8.0000000000000071E-3</v>
      </c>
      <c r="K95" s="34" t="str">
        <f t="shared" si="8"/>
        <v/>
      </c>
      <c r="L95" s="35">
        <f t="shared" si="12"/>
        <v>7.5750000000000002</v>
      </c>
      <c r="M95" s="36" t="str">
        <f t="shared" si="13"/>
        <v/>
      </c>
      <c r="N95" s="37" t="s">
        <v>18</v>
      </c>
      <c r="O95" s="29">
        <v>1</v>
      </c>
      <c r="P95" s="38">
        <v>40</v>
      </c>
      <c r="Q95" s="46"/>
      <c r="R95" s="28" t="s">
        <v>3693</v>
      </c>
      <c r="S95" s="47"/>
      <c r="T95" s="46"/>
      <c r="U95" s="28" t="s">
        <v>31</v>
      </c>
    </row>
    <row r="96" spans="1:21" s="27" customFormat="1" x14ac:dyDescent="0.25">
      <c r="A96" s="28" t="s">
        <v>21</v>
      </c>
      <c r="B96" s="28" t="s">
        <v>3676</v>
      </c>
      <c r="C96" s="28" t="s">
        <v>21</v>
      </c>
      <c r="D96" s="29">
        <v>1</v>
      </c>
      <c r="E96" s="73">
        <v>42</v>
      </c>
      <c r="F96" s="45">
        <v>303</v>
      </c>
      <c r="G96" s="32"/>
      <c r="H96" s="32">
        <v>1.847</v>
      </c>
      <c r="I96" s="32">
        <v>1.8380000000000001</v>
      </c>
      <c r="J96" s="33">
        <f t="shared" si="11"/>
        <v>8.999999999999897E-3</v>
      </c>
      <c r="K96" s="34" t="str">
        <f t="shared" si="8"/>
        <v/>
      </c>
      <c r="L96" s="35">
        <f t="shared" si="12"/>
        <v>7.5750000000000002</v>
      </c>
      <c r="M96" s="36" t="str">
        <f t="shared" si="13"/>
        <v/>
      </c>
      <c r="N96" s="37" t="s">
        <v>18</v>
      </c>
      <c r="O96" s="29">
        <v>1</v>
      </c>
      <c r="P96" s="38">
        <v>40</v>
      </c>
      <c r="Q96" s="46"/>
      <c r="R96" s="28" t="s">
        <v>3695</v>
      </c>
      <c r="S96" s="47"/>
      <c r="T96" s="46"/>
      <c r="U96" s="28" t="s">
        <v>31</v>
      </c>
    </row>
    <row r="97" spans="1:21" s="27" customFormat="1" x14ac:dyDescent="0.25">
      <c r="A97" s="28" t="s">
        <v>21</v>
      </c>
      <c r="B97" s="28" t="s">
        <v>3677</v>
      </c>
      <c r="C97" s="28" t="s">
        <v>21</v>
      </c>
      <c r="D97" s="29">
        <v>1</v>
      </c>
      <c r="E97" s="71">
        <v>55</v>
      </c>
      <c r="F97" s="45">
        <v>302</v>
      </c>
      <c r="G97" s="32"/>
      <c r="H97" s="32">
        <v>1.881</v>
      </c>
      <c r="I97" s="32">
        <v>1.8740000000000001</v>
      </c>
      <c r="J97" s="33">
        <f t="shared" si="11"/>
        <v>6.9999999999998952E-3</v>
      </c>
      <c r="K97" s="34" t="str">
        <f t="shared" si="8"/>
        <v/>
      </c>
      <c r="L97" s="35">
        <f t="shared" si="12"/>
        <v>7.55</v>
      </c>
      <c r="M97" s="36" t="str">
        <f t="shared" si="13"/>
        <v/>
      </c>
      <c r="N97" s="37" t="s">
        <v>18</v>
      </c>
      <c r="O97" s="29">
        <v>1</v>
      </c>
      <c r="P97" s="38">
        <v>40</v>
      </c>
      <c r="Q97" s="46"/>
      <c r="R97" s="28" t="s">
        <v>3697</v>
      </c>
      <c r="S97" s="91" t="s">
        <v>103</v>
      </c>
      <c r="T97" s="46"/>
      <c r="U97" s="28" t="s">
        <v>31</v>
      </c>
    </row>
    <row r="98" spans="1:21" s="27" customFormat="1" x14ac:dyDescent="0.25">
      <c r="A98" s="28" t="s">
        <v>21</v>
      </c>
      <c r="B98" s="28" t="s">
        <v>3678</v>
      </c>
      <c r="C98" s="28" t="s">
        <v>21</v>
      </c>
      <c r="D98" s="29">
        <v>1</v>
      </c>
      <c r="E98" s="71">
        <v>62</v>
      </c>
      <c r="F98" s="45">
        <v>302</v>
      </c>
      <c r="G98" s="32"/>
      <c r="H98" s="32">
        <v>1.889</v>
      </c>
      <c r="I98" s="32">
        <v>1.8839999999999999</v>
      </c>
      <c r="J98" s="33">
        <f t="shared" si="11"/>
        <v>5.0000000000001155E-3</v>
      </c>
      <c r="K98" s="34" t="str">
        <f t="shared" si="8"/>
        <v/>
      </c>
      <c r="L98" s="35">
        <f t="shared" si="12"/>
        <v>7.55</v>
      </c>
      <c r="M98" s="36" t="str">
        <f t="shared" si="13"/>
        <v/>
      </c>
      <c r="N98" s="37" t="s">
        <v>18</v>
      </c>
      <c r="O98" s="29">
        <v>1</v>
      </c>
      <c r="P98" s="38">
        <v>40</v>
      </c>
      <c r="Q98" s="46"/>
      <c r="R98" s="28" t="s">
        <v>3698</v>
      </c>
      <c r="S98" s="91" t="s">
        <v>59</v>
      </c>
      <c r="T98" s="46"/>
      <c r="U98" s="28" t="s">
        <v>31</v>
      </c>
    </row>
    <row r="99" spans="1:21" s="27" customFormat="1" x14ac:dyDescent="0.25">
      <c r="A99" s="28" t="s">
        <v>21</v>
      </c>
      <c r="B99" s="28" t="s">
        <v>3679</v>
      </c>
      <c r="C99" s="28" t="s">
        <v>21</v>
      </c>
      <c r="D99" s="29">
        <v>1</v>
      </c>
      <c r="E99" s="71">
        <v>63</v>
      </c>
      <c r="F99" s="45">
        <v>301</v>
      </c>
      <c r="G99" s="32"/>
      <c r="H99" s="32">
        <v>1.879</v>
      </c>
      <c r="I99" s="32">
        <v>1.873</v>
      </c>
      <c r="J99" s="33">
        <f t="shared" si="11"/>
        <v>6.0000000000000053E-3</v>
      </c>
      <c r="K99" s="34" t="str">
        <f t="shared" si="8"/>
        <v/>
      </c>
      <c r="L99" s="35">
        <f t="shared" si="12"/>
        <v>7.5250000000000004</v>
      </c>
      <c r="M99" s="36" t="str">
        <f t="shared" si="13"/>
        <v/>
      </c>
      <c r="N99" s="37" t="s">
        <v>18</v>
      </c>
      <c r="O99" s="29">
        <v>1</v>
      </c>
      <c r="P99" s="38">
        <v>40</v>
      </c>
      <c r="Q99" s="46"/>
      <c r="R99" s="28" t="s">
        <v>3699</v>
      </c>
      <c r="S99" s="92" t="s">
        <v>21</v>
      </c>
      <c r="T99" s="46"/>
      <c r="U99" s="28" t="s">
        <v>31</v>
      </c>
    </row>
    <row r="100" spans="1:21" s="27" customFormat="1" x14ac:dyDescent="0.25">
      <c r="A100" s="28" t="s">
        <v>21</v>
      </c>
      <c r="B100" s="28" t="s">
        <v>3680</v>
      </c>
      <c r="C100" s="28" t="s">
        <v>21</v>
      </c>
      <c r="D100" s="29">
        <v>1</v>
      </c>
      <c r="E100" s="71">
        <v>63</v>
      </c>
      <c r="F100" s="45">
        <v>302</v>
      </c>
      <c r="G100" s="32"/>
      <c r="H100" s="32">
        <v>1.8779999999999999</v>
      </c>
      <c r="I100" s="32">
        <v>1.8720000000000001</v>
      </c>
      <c r="J100" s="33">
        <f t="shared" si="11"/>
        <v>5.9999999999997833E-3</v>
      </c>
      <c r="K100" s="34" t="str">
        <f t="shared" si="8"/>
        <v/>
      </c>
      <c r="L100" s="35">
        <f t="shared" si="12"/>
        <v>7.55</v>
      </c>
      <c r="M100" s="36" t="str">
        <f t="shared" si="13"/>
        <v/>
      </c>
      <c r="N100" s="37" t="s">
        <v>18</v>
      </c>
      <c r="O100" s="29">
        <v>1</v>
      </c>
      <c r="P100" s="38">
        <v>40</v>
      </c>
      <c r="Q100" s="46"/>
      <c r="R100" s="28" t="s">
        <v>3700</v>
      </c>
      <c r="S100" s="92" t="s">
        <v>21</v>
      </c>
      <c r="T100" s="46"/>
      <c r="U100" s="28" t="s">
        <v>31</v>
      </c>
    </row>
    <row r="101" spans="1:21" s="27" customFormat="1" x14ac:dyDescent="0.25">
      <c r="A101" s="28" t="s">
        <v>21</v>
      </c>
      <c r="B101" s="28" t="s">
        <v>3681</v>
      </c>
      <c r="C101" s="28" t="s">
        <v>21</v>
      </c>
      <c r="D101" s="29">
        <v>1</v>
      </c>
      <c r="E101" s="71">
        <v>60</v>
      </c>
      <c r="F101" s="45">
        <v>301</v>
      </c>
      <c r="G101" s="32"/>
      <c r="H101" s="32">
        <v>1.8720000000000001</v>
      </c>
      <c r="I101" s="32">
        <v>1.865</v>
      </c>
      <c r="J101" s="33">
        <f t="shared" si="11"/>
        <v>7.0000000000001172E-3</v>
      </c>
      <c r="K101" s="34" t="str">
        <f t="shared" si="8"/>
        <v/>
      </c>
      <c r="L101" s="35">
        <f t="shared" si="12"/>
        <v>7.5250000000000004</v>
      </c>
      <c r="M101" s="36" t="str">
        <f t="shared" si="13"/>
        <v/>
      </c>
      <c r="N101" s="37" t="s">
        <v>18</v>
      </c>
      <c r="O101" s="29">
        <v>1</v>
      </c>
      <c r="P101" s="38">
        <v>40</v>
      </c>
      <c r="Q101" s="46"/>
      <c r="R101" s="28" t="s">
        <v>3702</v>
      </c>
      <c r="S101" s="92" t="s">
        <v>21</v>
      </c>
      <c r="T101" s="46"/>
      <c r="U101" s="28" t="s">
        <v>31</v>
      </c>
    </row>
    <row r="102" spans="1:21" s="27" customFormat="1" x14ac:dyDescent="0.25">
      <c r="A102" s="28" t="s">
        <v>21</v>
      </c>
      <c r="B102" s="28" t="s">
        <v>3707</v>
      </c>
      <c r="C102" s="28" t="s">
        <v>21</v>
      </c>
      <c r="D102" s="29">
        <v>1</v>
      </c>
      <c r="E102" s="73">
        <v>68</v>
      </c>
      <c r="F102" s="45">
        <v>297</v>
      </c>
      <c r="G102" s="32"/>
      <c r="H102" s="32">
        <v>1.8420000000000001</v>
      </c>
      <c r="I102" s="32">
        <v>1.835</v>
      </c>
      <c r="J102" s="33">
        <f t="shared" ref="J102:J121" si="14">IF(O102&lt;&gt;"",(H102-I102)/O102,"")</f>
        <v>7.0000000000001172E-3</v>
      </c>
      <c r="K102" s="34" t="str">
        <f t="shared" si="8"/>
        <v/>
      </c>
      <c r="L102" s="35">
        <f t="shared" ref="L102:L121" si="15">F102/(O102*P102)</f>
        <v>7.4249999999999998</v>
      </c>
      <c r="M102" s="36" t="str">
        <f t="shared" ref="M102:M121" si="16">IF(L102=0,"",IF(OR(L102&lt;7,L102&gt;7.8),"X",""))</f>
        <v/>
      </c>
      <c r="N102" s="37" t="s">
        <v>18</v>
      </c>
      <c r="O102" s="29">
        <v>1</v>
      </c>
      <c r="P102" s="38">
        <v>40</v>
      </c>
      <c r="Q102" s="46"/>
      <c r="R102" s="28" t="s">
        <v>3701</v>
      </c>
      <c r="S102" s="47"/>
      <c r="T102" s="46"/>
      <c r="U102" s="28" t="s">
        <v>31</v>
      </c>
    </row>
    <row r="103" spans="1:21" s="27" customFormat="1" x14ac:dyDescent="0.25">
      <c r="A103" s="28" t="s">
        <v>21</v>
      </c>
      <c r="B103" s="28" t="s">
        <v>3708</v>
      </c>
      <c r="C103" s="28" t="s">
        <v>21</v>
      </c>
      <c r="D103" s="29">
        <v>1</v>
      </c>
      <c r="E103" s="73">
        <v>62</v>
      </c>
      <c r="F103" s="45">
        <v>300</v>
      </c>
      <c r="G103" s="32"/>
      <c r="H103" s="32">
        <v>1.8560000000000001</v>
      </c>
      <c r="I103" s="32">
        <v>1.8480000000000001</v>
      </c>
      <c r="J103" s="33">
        <f t="shared" si="14"/>
        <v>8.0000000000000071E-3</v>
      </c>
      <c r="K103" s="34" t="str">
        <f t="shared" si="8"/>
        <v/>
      </c>
      <c r="L103" s="35">
        <f t="shared" si="15"/>
        <v>7.5</v>
      </c>
      <c r="M103" s="36" t="str">
        <f t="shared" si="16"/>
        <v/>
      </c>
      <c r="N103" s="37" t="s">
        <v>18</v>
      </c>
      <c r="O103" s="29">
        <v>1</v>
      </c>
      <c r="P103" s="38">
        <v>40</v>
      </c>
      <c r="Q103" s="46"/>
      <c r="R103" s="28" t="s">
        <v>3705</v>
      </c>
      <c r="S103" s="47"/>
      <c r="T103" s="46"/>
      <c r="U103" s="28" t="s">
        <v>31</v>
      </c>
    </row>
    <row r="104" spans="1:21" s="27" customFormat="1" x14ac:dyDescent="0.25">
      <c r="A104" s="28" t="s">
        <v>21</v>
      </c>
      <c r="B104" s="28" t="s">
        <v>3709</v>
      </c>
      <c r="C104" s="28" t="s">
        <v>21</v>
      </c>
      <c r="D104" s="29">
        <v>1</v>
      </c>
      <c r="E104" s="73">
        <v>63</v>
      </c>
      <c r="F104" s="45">
        <v>301</v>
      </c>
      <c r="G104" s="32"/>
      <c r="H104" s="32">
        <v>1.8580000000000001</v>
      </c>
      <c r="I104" s="32">
        <v>1.851</v>
      </c>
      <c r="J104" s="33">
        <f t="shared" si="14"/>
        <v>7.0000000000001172E-3</v>
      </c>
      <c r="K104" s="34" t="str">
        <f t="shared" si="8"/>
        <v/>
      </c>
      <c r="L104" s="35">
        <f t="shared" si="15"/>
        <v>7.5250000000000004</v>
      </c>
      <c r="M104" s="36" t="str">
        <f t="shared" si="16"/>
        <v/>
      </c>
      <c r="N104" s="37" t="s">
        <v>18</v>
      </c>
      <c r="O104" s="29">
        <v>1</v>
      </c>
      <c r="P104" s="38">
        <v>40</v>
      </c>
      <c r="Q104" s="46"/>
      <c r="R104" s="28" t="s">
        <v>3703</v>
      </c>
      <c r="S104" s="47"/>
      <c r="T104" s="46"/>
      <c r="U104" s="28" t="s">
        <v>31</v>
      </c>
    </row>
    <row r="105" spans="1:21" s="27" customFormat="1" x14ac:dyDescent="0.25">
      <c r="A105" s="28" t="s">
        <v>21</v>
      </c>
      <c r="B105" s="28" t="s">
        <v>3710</v>
      </c>
      <c r="C105" s="28" t="s">
        <v>21</v>
      </c>
      <c r="D105" s="29">
        <v>1</v>
      </c>
      <c r="E105" s="73">
        <v>67</v>
      </c>
      <c r="F105" s="45">
        <v>301</v>
      </c>
      <c r="G105" s="32"/>
      <c r="H105" s="32">
        <v>1.8640000000000001</v>
      </c>
      <c r="I105" s="32">
        <v>1.857</v>
      </c>
      <c r="J105" s="33">
        <f t="shared" si="14"/>
        <v>7.0000000000001172E-3</v>
      </c>
      <c r="K105" s="34" t="str">
        <f t="shared" si="8"/>
        <v/>
      </c>
      <c r="L105" s="35">
        <f t="shared" si="15"/>
        <v>7.5250000000000004</v>
      </c>
      <c r="M105" s="36" t="str">
        <f t="shared" si="16"/>
        <v/>
      </c>
      <c r="N105" s="37" t="s">
        <v>18</v>
      </c>
      <c r="O105" s="29">
        <v>1</v>
      </c>
      <c r="P105" s="38">
        <v>40</v>
      </c>
      <c r="Q105" s="46"/>
      <c r="R105" s="28" t="s">
        <v>3704</v>
      </c>
      <c r="S105" s="47"/>
      <c r="T105" s="46"/>
      <c r="U105" s="28" t="s">
        <v>31</v>
      </c>
    </row>
    <row r="106" spans="1:21" s="27" customFormat="1" x14ac:dyDescent="0.25">
      <c r="A106" s="28" t="s">
        <v>21</v>
      </c>
      <c r="B106" s="28" t="s">
        <v>3711</v>
      </c>
      <c r="C106" s="28" t="s">
        <v>21</v>
      </c>
      <c r="D106" s="29">
        <v>1</v>
      </c>
      <c r="E106" s="73">
        <v>57</v>
      </c>
      <c r="F106" s="45">
        <v>301</v>
      </c>
      <c r="G106" s="32"/>
      <c r="H106" s="32">
        <v>1.861</v>
      </c>
      <c r="I106" s="32">
        <v>1.8540000000000001</v>
      </c>
      <c r="J106" s="33">
        <f t="shared" si="14"/>
        <v>6.9999999999998952E-3</v>
      </c>
      <c r="K106" s="34" t="str">
        <f t="shared" si="8"/>
        <v/>
      </c>
      <c r="L106" s="35">
        <f t="shared" si="15"/>
        <v>7.5250000000000004</v>
      </c>
      <c r="M106" s="36" t="str">
        <f t="shared" si="16"/>
        <v/>
      </c>
      <c r="N106" s="37" t="s">
        <v>18</v>
      </c>
      <c r="O106" s="29">
        <v>1</v>
      </c>
      <c r="P106" s="38">
        <v>40</v>
      </c>
      <c r="Q106" s="46"/>
      <c r="R106" s="28" t="s">
        <v>3706</v>
      </c>
      <c r="S106" s="47"/>
      <c r="T106" s="46"/>
      <c r="U106" s="28" t="s">
        <v>31</v>
      </c>
    </row>
    <row r="107" spans="1:21" s="27" customFormat="1" x14ac:dyDescent="0.25">
      <c r="A107" s="28" t="s">
        <v>21</v>
      </c>
      <c r="B107" s="28" t="s">
        <v>3712</v>
      </c>
      <c r="C107" s="28" t="s">
        <v>21</v>
      </c>
      <c r="D107" s="29">
        <v>1</v>
      </c>
      <c r="E107" s="71">
        <v>40</v>
      </c>
      <c r="F107" s="45">
        <v>302</v>
      </c>
      <c r="G107" s="32"/>
      <c r="H107" s="32">
        <v>1.85</v>
      </c>
      <c r="I107" s="32">
        <v>1.843</v>
      </c>
      <c r="J107" s="33">
        <f t="shared" si="14"/>
        <v>7.0000000000001172E-3</v>
      </c>
      <c r="K107" s="34" t="str">
        <f t="shared" si="8"/>
        <v/>
      </c>
      <c r="L107" s="35">
        <f t="shared" si="15"/>
        <v>7.55</v>
      </c>
      <c r="M107" s="36" t="str">
        <f t="shared" si="16"/>
        <v/>
      </c>
      <c r="N107" s="37" t="s">
        <v>18</v>
      </c>
      <c r="O107" s="29">
        <v>1</v>
      </c>
      <c r="P107" s="38">
        <v>40</v>
      </c>
      <c r="Q107" s="46"/>
      <c r="R107" s="28" t="s">
        <v>3727</v>
      </c>
      <c r="S107" s="91" t="s">
        <v>58</v>
      </c>
      <c r="T107" s="46"/>
      <c r="U107" s="28" t="s">
        <v>31</v>
      </c>
    </row>
    <row r="108" spans="1:21" s="27" customFormat="1" x14ac:dyDescent="0.25">
      <c r="A108" s="28" t="s">
        <v>21</v>
      </c>
      <c r="B108" s="28" t="s">
        <v>3713</v>
      </c>
      <c r="C108" s="28" t="s">
        <v>21</v>
      </c>
      <c r="D108" s="29">
        <v>1</v>
      </c>
      <c r="E108" s="71">
        <v>40</v>
      </c>
      <c r="F108" s="45">
        <v>301</v>
      </c>
      <c r="G108" s="32"/>
      <c r="H108" s="32">
        <v>1.86</v>
      </c>
      <c r="I108" s="32">
        <v>1.8540000000000001</v>
      </c>
      <c r="J108" s="33">
        <f t="shared" si="14"/>
        <v>6.0000000000000053E-3</v>
      </c>
      <c r="K108" s="34" t="str">
        <f t="shared" si="8"/>
        <v/>
      </c>
      <c r="L108" s="35">
        <f t="shared" si="15"/>
        <v>7.5250000000000004</v>
      </c>
      <c r="M108" s="36" t="str">
        <f t="shared" si="16"/>
        <v/>
      </c>
      <c r="N108" s="37" t="s">
        <v>18</v>
      </c>
      <c r="O108" s="29">
        <v>1</v>
      </c>
      <c r="P108" s="38">
        <v>40</v>
      </c>
      <c r="Q108" s="46"/>
      <c r="R108" s="28" t="s">
        <v>3728</v>
      </c>
      <c r="S108" s="91" t="s">
        <v>59</v>
      </c>
      <c r="T108" s="46"/>
      <c r="U108" s="28" t="s">
        <v>31</v>
      </c>
    </row>
    <row r="109" spans="1:21" s="27" customFormat="1" x14ac:dyDescent="0.25">
      <c r="A109" s="28" t="s">
        <v>21</v>
      </c>
      <c r="B109" s="28" t="s">
        <v>3714</v>
      </c>
      <c r="C109" s="28" t="s">
        <v>21</v>
      </c>
      <c r="D109" s="29">
        <v>1</v>
      </c>
      <c r="E109" s="71">
        <v>49</v>
      </c>
      <c r="F109" s="45">
        <v>301</v>
      </c>
      <c r="G109" s="32"/>
      <c r="H109" s="32">
        <v>1.8740000000000001</v>
      </c>
      <c r="I109" s="32">
        <v>1.867</v>
      </c>
      <c r="J109" s="33">
        <f t="shared" si="14"/>
        <v>7.0000000000001172E-3</v>
      </c>
      <c r="K109" s="34" t="str">
        <f t="shared" si="8"/>
        <v/>
      </c>
      <c r="L109" s="35">
        <f t="shared" si="15"/>
        <v>7.5250000000000004</v>
      </c>
      <c r="M109" s="36" t="str">
        <f t="shared" si="16"/>
        <v/>
      </c>
      <c r="N109" s="37" t="s">
        <v>18</v>
      </c>
      <c r="O109" s="29">
        <v>1</v>
      </c>
      <c r="P109" s="38">
        <v>40</v>
      </c>
      <c r="Q109" s="46"/>
      <c r="R109" s="28" t="s">
        <v>3729</v>
      </c>
      <c r="S109" s="92" t="s">
        <v>21</v>
      </c>
      <c r="T109" s="46"/>
      <c r="U109" s="28" t="s">
        <v>31</v>
      </c>
    </row>
    <row r="110" spans="1:21" s="27" customFormat="1" x14ac:dyDescent="0.25">
      <c r="A110" s="28" t="s">
        <v>21</v>
      </c>
      <c r="B110" s="28" t="s">
        <v>3715</v>
      </c>
      <c r="C110" s="28" t="s">
        <v>21</v>
      </c>
      <c r="D110" s="29">
        <v>1</v>
      </c>
      <c r="E110" s="71">
        <v>34</v>
      </c>
      <c r="F110" s="45">
        <v>302</v>
      </c>
      <c r="G110" s="32"/>
      <c r="H110" s="32">
        <v>1.8680000000000001</v>
      </c>
      <c r="I110" s="32">
        <v>1.861</v>
      </c>
      <c r="J110" s="33">
        <f t="shared" si="14"/>
        <v>7.0000000000001172E-3</v>
      </c>
      <c r="K110" s="34" t="str">
        <f t="shared" si="8"/>
        <v/>
      </c>
      <c r="L110" s="35">
        <f t="shared" si="15"/>
        <v>7.55</v>
      </c>
      <c r="M110" s="36" t="str">
        <f t="shared" si="16"/>
        <v/>
      </c>
      <c r="N110" s="37" t="s">
        <v>18</v>
      </c>
      <c r="O110" s="29">
        <v>1</v>
      </c>
      <c r="P110" s="38">
        <v>40</v>
      </c>
      <c r="Q110" s="46"/>
      <c r="R110" s="28" t="s">
        <v>3730</v>
      </c>
      <c r="S110" s="92" t="s">
        <v>21</v>
      </c>
      <c r="T110" s="46"/>
      <c r="U110" s="28" t="s">
        <v>31</v>
      </c>
    </row>
    <row r="111" spans="1:21" s="27" customFormat="1" x14ac:dyDescent="0.25">
      <c r="A111" s="28" t="s">
        <v>21</v>
      </c>
      <c r="B111" s="28" t="s">
        <v>3716</v>
      </c>
      <c r="C111" s="28" t="s">
        <v>21</v>
      </c>
      <c r="D111" s="29">
        <v>1</v>
      </c>
      <c r="E111" s="71">
        <v>40</v>
      </c>
      <c r="F111" s="45">
        <v>301</v>
      </c>
      <c r="G111" s="32"/>
      <c r="H111" s="32">
        <v>1.875</v>
      </c>
      <c r="I111" s="32">
        <v>1.869</v>
      </c>
      <c r="J111" s="33">
        <f t="shared" si="14"/>
        <v>6.0000000000000053E-3</v>
      </c>
      <c r="K111" s="34" t="str">
        <f t="shared" si="8"/>
        <v/>
      </c>
      <c r="L111" s="35">
        <f t="shared" si="15"/>
        <v>7.5250000000000004</v>
      </c>
      <c r="M111" s="36" t="str">
        <f t="shared" si="16"/>
        <v/>
      </c>
      <c r="N111" s="37" t="s">
        <v>18</v>
      </c>
      <c r="O111" s="29">
        <v>1</v>
      </c>
      <c r="P111" s="38">
        <v>40</v>
      </c>
      <c r="Q111" s="46"/>
      <c r="R111" s="28" t="s">
        <v>3731</v>
      </c>
      <c r="S111" s="92" t="s">
        <v>21</v>
      </c>
      <c r="T111" s="46"/>
      <c r="U111" s="28" t="s">
        <v>31</v>
      </c>
    </row>
    <row r="112" spans="1:21" s="27" customFormat="1" x14ac:dyDescent="0.25">
      <c r="A112" s="28" t="s">
        <v>21</v>
      </c>
      <c r="B112" s="28" t="s">
        <v>3717</v>
      </c>
      <c r="C112" s="28" t="s">
        <v>21</v>
      </c>
      <c r="D112" s="29">
        <v>1</v>
      </c>
      <c r="E112" s="71">
        <v>42</v>
      </c>
      <c r="F112" s="45">
        <v>303</v>
      </c>
      <c r="G112" s="32"/>
      <c r="H112" s="32">
        <v>1.877</v>
      </c>
      <c r="I112" s="32">
        <v>1.87</v>
      </c>
      <c r="J112" s="33">
        <f t="shared" si="14"/>
        <v>6.9999999999998952E-3</v>
      </c>
      <c r="K112" s="34" t="str">
        <f t="shared" si="8"/>
        <v/>
      </c>
      <c r="L112" s="35">
        <f t="shared" si="15"/>
        <v>7.5750000000000002</v>
      </c>
      <c r="M112" s="36" t="str">
        <f t="shared" si="16"/>
        <v/>
      </c>
      <c r="N112" s="37" t="s">
        <v>18</v>
      </c>
      <c r="O112" s="29">
        <v>1</v>
      </c>
      <c r="P112" s="38">
        <v>40</v>
      </c>
      <c r="Q112" s="46"/>
      <c r="R112" s="28" t="s">
        <v>3732</v>
      </c>
      <c r="S112" s="92" t="s">
        <v>21</v>
      </c>
      <c r="T112" s="46"/>
      <c r="U112" s="28" t="s">
        <v>31</v>
      </c>
    </row>
    <row r="113" spans="1:21" s="27" customFormat="1" x14ac:dyDescent="0.25">
      <c r="A113" s="28" t="s">
        <v>21</v>
      </c>
      <c r="B113" s="28" t="s">
        <v>3718</v>
      </c>
      <c r="C113" s="28" t="s">
        <v>21</v>
      </c>
      <c r="D113" s="29">
        <v>1</v>
      </c>
      <c r="E113" s="71">
        <v>50</v>
      </c>
      <c r="F113" s="45">
        <v>303</v>
      </c>
      <c r="G113" s="32"/>
      <c r="H113" s="32">
        <v>1.87</v>
      </c>
      <c r="I113" s="32">
        <v>1.8620000000000001</v>
      </c>
      <c r="J113" s="33">
        <f t="shared" si="14"/>
        <v>8.0000000000000071E-3</v>
      </c>
      <c r="K113" s="34" t="str">
        <f t="shared" si="8"/>
        <v/>
      </c>
      <c r="L113" s="35">
        <f t="shared" si="15"/>
        <v>7.5750000000000002</v>
      </c>
      <c r="M113" s="36" t="str">
        <f t="shared" si="16"/>
        <v/>
      </c>
      <c r="N113" s="37" t="s">
        <v>18</v>
      </c>
      <c r="O113" s="29">
        <v>1</v>
      </c>
      <c r="P113" s="38">
        <v>40</v>
      </c>
      <c r="Q113" s="46"/>
      <c r="R113" s="28" t="s">
        <v>3733</v>
      </c>
      <c r="S113" s="92" t="s">
        <v>21</v>
      </c>
      <c r="T113" s="46"/>
      <c r="U113" s="28" t="s">
        <v>31</v>
      </c>
    </row>
    <row r="114" spans="1:21" s="27" customFormat="1" x14ac:dyDescent="0.25">
      <c r="A114" s="28" t="s">
        <v>21</v>
      </c>
      <c r="B114" s="28" t="s">
        <v>3719</v>
      </c>
      <c r="C114" s="28" t="s">
        <v>21</v>
      </c>
      <c r="D114" s="29">
        <v>1</v>
      </c>
      <c r="E114" s="71">
        <v>58</v>
      </c>
      <c r="F114" s="45">
        <v>302</v>
      </c>
      <c r="G114" s="32"/>
      <c r="H114" s="32">
        <v>1.8779999999999999</v>
      </c>
      <c r="I114" s="32">
        <v>1.871</v>
      </c>
      <c r="J114" s="33">
        <f t="shared" si="14"/>
        <v>6.9999999999998952E-3</v>
      </c>
      <c r="K114" s="34" t="str">
        <f t="shared" si="8"/>
        <v/>
      </c>
      <c r="L114" s="35">
        <f t="shared" si="15"/>
        <v>7.55</v>
      </c>
      <c r="M114" s="36" t="str">
        <f t="shared" si="16"/>
        <v/>
      </c>
      <c r="N114" s="37" t="s">
        <v>18</v>
      </c>
      <c r="O114" s="29">
        <v>1</v>
      </c>
      <c r="P114" s="38">
        <v>40</v>
      </c>
      <c r="Q114" s="46"/>
      <c r="R114" s="28" t="s">
        <v>3734</v>
      </c>
      <c r="S114" s="92" t="s">
        <v>21</v>
      </c>
      <c r="T114" s="46"/>
      <c r="U114" s="28" t="s">
        <v>31</v>
      </c>
    </row>
    <row r="115" spans="1:21" s="27" customFormat="1" x14ac:dyDescent="0.25">
      <c r="A115" s="28" t="s">
        <v>21</v>
      </c>
      <c r="B115" s="28" t="s">
        <v>3720</v>
      </c>
      <c r="C115" s="28" t="s">
        <v>21</v>
      </c>
      <c r="D115" s="29">
        <v>1</v>
      </c>
      <c r="E115" s="71">
        <v>56</v>
      </c>
      <c r="F115" s="45">
        <v>301</v>
      </c>
      <c r="G115" s="32"/>
      <c r="H115" s="32">
        <v>1.88</v>
      </c>
      <c r="I115" s="32">
        <v>1.8720000000000001</v>
      </c>
      <c r="J115" s="33">
        <f t="shared" si="14"/>
        <v>7.9999999999997851E-3</v>
      </c>
      <c r="K115" s="34" t="str">
        <f t="shared" si="8"/>
        <v/>
      </c>
      <c r="L115" s="35">
        <f t="shared" si="15"/>
        <v>7.5250000000000004</v>
      </c>
      <c r="M115" s="36" t="str">
        <f t="shared" si="16"/>
        <v/>
      </c>
      <c r="N115" s="37" t="s">
        <v>18</v>
      </c>
      <c r="O115" s="29">
        <v>1</v>
      </c>
      <c r="P115" s="38">
        <v>40</v>
      </c>
      <c r="Q115" s="46"/>
      <c r="R115" s="28" t="s">
        <v>3735</v>
      </c>
      <c r="S115" s="92" t="s">
        <v>21</v>
      </c>
      <c r="T115" s="46"/>
      <c r="U115" s="28" t="s">
        <v>31</v>
      </c>
    </row>
    <row r="116" spans="1:21" s="27" customFormat="1" x14ac:dyDescent="0.25">
      <c r="A116" s="28" t="s">
        <v>21</v>
      </c>
      <c r="B116" s="28" t="s">
        <v>3721</v>
      </c>
      <c r="C116" s="28" t="s">
        <v>21</v>
      </c>
      <c r="D116" s="29">
        <v>1</v>
      </c>
      <c r="E116" s="71">
        <v>47</v>
      </c>
      <c r="F116" s="45">
        <v>304</v>
      </c>
      <c r="G116" s="32"/>
      <c r="H116" s="32">
        <v>1.89</v>
      </c>
      <c r="I116" s="32">
        <v>1.883</v>
      </c>
      <c r="J116" s="33">
        <f t="shared" si="14"/>
        <v>6.9999999999998952E-3</v>
      </c>
      <c r="K116" s="34" t="str">
        <f t="shared" si="8"/>
        <v/>
      </c>
      <c r="L116" s="35">
        <f t="shared" si="15"/>
        <v>7.6</v>
      </c>
      <c r="M116" s="36" t="str">
        <f t="shared" si="16"/>
        <v/>
      </c>
      <c r="N116" s="37" t="s">
        <v>18</v>
      </c>
      <c r="O116" s="29">
        <v>1</v>
      </c>
      <c r="P116" s="38">
        <v>40</v>
      </c>
      <c r="Q116" s="46"/>
      <c r="R116" s="28" t="s">
        <v>3737</v>
      </c>
      <c r="S116" s="92" t="s">
        <v>21</v>
      </c>
      <c r="T116" s="46"/>
      <c r="U116" s="28" t="s">
        <v>31</v>
      </c>
    </row>
    <row r="117" spans="1:21" s="27" customFormat="1" x14ac:dyDescent="0.25">
      <c r="A117" s="28" t="s">
        <v>21</v>
      </c>
      <c r="B117" s="28" t="s">
        <v>3722</v>
      </c>
      <c r="C117" s="28" t="s">
        <v>21</v>
      </c>
      <c r="D117" s="29">
        <v>1</v>
      </c>
      <c r="E117" s="71">
        <v>22</v>
      </c>
      <c r="F117" s="45">
        <v>303</v>
      </c>
      <c r="G117" s="32"/>
      <c r="H117" s="32">
        <v>1.8819999999999999</v>
      </c>
      <c r="I117" s="32">
        <v>1.875</v>
      </c>
      <c r="J117" s="33">
        <f t="shared" si="14"/>
        <v>6.9999999999998952E-3</v>
      </c>
      <c r="K117" s="34" t="str">
        <f t="shared" si="8"/>
        <v/>
      </c>
      <c r="L117" s="35">
        <f t="shared" si="15"/>
        <v>7.5750000000000002</v>
      </c>
      <c r="M117" s="36" t="str">
        <f t="shared" si="16"/>
        <v/>
      </c>
      <c r="N117" s="37" t="s">
        <v>18</v>
      </c>
      <c r="O117" s="29">
        <v>1</v>
      </c>
      <c r="P117" s="38">
        <v>40</v>
      </c>
      <c r="Q117" s="46"/>
      <c r="R117" s="28" t="s">
        <v>3736</v>
      </c>
      <c r="S117" s="91" t="s">
        <v>103</v>
      </c>
      <c r="T117" s="46"/>
      <c r="U117" s="28" t="s">
        <v>31</v>
      </c>
    </row>
    <row r="118" spans="1:21" s="27" customFormat="1" x14ac:dyDescent="0.25">
      <c r="A118" s="28" t="s">
        <v>21</v>
      </c>
      <c r="B118" s="28" t="s">
        <v>3723</v>
      </c>
      <c r="C118" s="28" t="s">
        <v>21</v>
      </c>
      <c r="D118" s="29">
        <v>1</v>
      </c>
      <c r="E118" s="71">
        <v>36</v>
      </c>
      <c r="F118" s="45">
        <v>301</v>
      </c>
      <c r="G118" s="32"/>
      <c r="H118" s="32">
        <v>1.889</v>
      </c>
      <c r="I118" s="32">
        <v>1.883</v>
      </c>
      <c r="J118" s="33">
        <f t="shared" si="14"/>
        <v>6.0000000000000053E-3</v>
      </c>
      <c r="K118" s="34" t="str">
        <f t="shared" si="8"/>
        <v/>
      </c>
      <c r="L118" s="35">
        <f t="shared" si="15"/>
        <v>7.5250000000000004</v>
      </c>
      <c r="M118" s="36" t="str">
        <f t="shared" si="16"/>
        <v/>
      </c>
      <c r="N118" s="37" t="s">
        <v>18</v>
      </c>
      <c r="O118" s="29">
        <v>1</v>
      </c>
      <c r="P118" s="38">
        <v>40</v>
      </c>
      <c r="Q118" s="46"/>
      <c r="R118" s="28" t="s">
        <v>3739</v>
      </c>
      <c r="S118" s="91" t="s">
        <v>59</v>
      </c>
      <c r="T118" s="46"/>
      <c r="U118" s="28" t="s">
        <v>31</v>
      </c>
    </row>
    <row r="119" spans="1:21" s="27" customFormat="1" x14ac:dyDescent="0.25">
      <c r="A119" s="28" t="s">
        <v>21</v>
      </c>
      <c r="B119" s="28" t="s">
        <v>3724</v>
      </c>
      <c r="C119" s="28" t="s">
        <v>21</v>
      </c>
      <c r="D119" s="29">
        <v>1</v>
      </c>
      <c r="E119" s="71">
        <v>34</v>
      </c>
      <c r="F119" s="45">
        <v>302</v>
      </c>
      <c r="G119" s="32"/>
      <c r="H119" s="32">
        <v>1.885</v>
      </c>
      <c r="I119" s="32">
        <v>1.879</v>
      </c>
      <c r="J119" s="33">
        <f t="shared" si="14"/>
        <v>6.0000000000000053E-3</v>
      </c>
      <c r="K119" s="34" t="str">
        <f t="shared" si="8"/>
        <v/>
      </c>
      <c r="L119" s="35">
        <f t="shared" si="15"/>
        <v>7.55</v>
      </c>
      <c r="M119" s="36" t="str">
        <f t="shared" si="16"/>
        <v/>
      </c>
      <c r="N119" s="37" t="s">
        <v>18</v>
      </c>
      <c r="O119" s="29">
        <v>1</v>
      </c>
      <c r="P119" s="38">
        <v>40</v>
      </c>
      <c r="Q119" s="46"/>
      <c r="R119" s="28" t="s">
        <v>3738</v>
      </c>
      <c r="S119" s="92" t="s">
        <v>21</v>
      </c>
      <c r="T119" s="46"/>
      <c r="U119" s="28" t="s">
        <v>31</v>
      </c>
    </row>
    <row r="120" spans="1:21" s="27" customFormat="1" x14ac:dyDescent="0.25">
      <c r="A120" s="28" t="s">
        <v>21</v>
      </c>
      <c r="B120" s="28" t="s">
        <v>3725</v>
      </c>
      <c r="C120" s="28" t="s">
        <v>21</v>
      </c>
      <c r="D120" s="29">
        <v>1</v>
      </c>
      <c r="E120" s="71">
        <v>35</v>
      </c>
      <c r="F120" s="45">
        <v>301</v>
      </c>
      <c r="G120" s="32"/>
      <c r="H120" s="32">
        <v>1.881</v>
      </c>
      <c r="I120" s="32">
        <v>1.875</v>
      </c>
      <c r="J120" s="33">
        <f t="shared" si="14"/>
        <v>6.0000000000000053E-3</v>
      </c>
      <c r="K120" s="34" t="str">
        <f t="shared" si="8"/>
        <v/>
      </c>
      <c r="L120" s="35">
        <f t="shared" si="15"/>
        <v>7.5250000000000004</v>
      </c>
      <c r="M120" s="36" t="str">
        <f t="shared" si="16"/>
        <v/>
      </c>
      <c r="N120" s="37" t="s">
        <v>18</v>
      </c>
      <c r="O120" s="29">
        <v>1</v>
      </c>
      <c r="P120" s="38">
        <v>40</v>
      </c>
      <c r="Q120" s="46"/>
      <c r="R120" s="28" t="s">
        <v>3740</v>
      </c>
      <c r="S120" s="92" t="s">
        <v>21</v>
      </c>
      <c r="T120" s="46"/>
      <c r="U120" s="28" t="s">
        <v>31</v>
      </c>
    </row>
    <row r="121" spans="1:21" s="27" customFormat="1" x14ac:dyDescent="0.25">
      <c r="A121" s="28" t="s">
        <v>21</v>
      </c>
      <c r="B121" s="28" t="s">
        <v>3726</v>
      </c>
      <c r="C121" s="28" t="s">
        <v>21</v>
      </c>
      <c r="D121" s="29">
        <v>1</v>
      </c>
      <c r="E121" s="71">
        <v>23</v>
      </c>
      <c r="F121" s="45">
        <v>303</v>
      </c>
      <c r="G121" s="32"/>
      <c r="H121" s="32">
        <v>1.8819999999999999</v>
      </c>
      <c r="I121" s="32">
        <v>1.875</v>
      </c>
      <c r="J121" s="33">
        <f t="shared" si="14"/>
        <v>6.9999999999998952E-3</v>
      </c>
      <c r="K121" s="34" t="str">
        <f t="shared" si="8"/>
        <v/>
      </c>
      <c r="L121" s="35">
        <f t="shared" si="15"/>
        <v>7.5750000000000002</v>
      </c>
      <c r="M121" s="36" t="str">
        <f t="shared" si="16"/>
        <v/>
      </c>
      <c r="N121" s="37" t="s">
        <v>18</v>
      </c>
      <c r="O121" s="29">
        <v>1</v>
      </c>
      <c r="P121" s="38">
        <v>40</v>
      </c>
      <c r="Q121" s="46"/>
      <c r="R121" s="28" t="s">
        <v>3741</v>
      </c>
      <c r="S121" s="92" t="s">
        <v>21</v>
      </c>
      <c r="T121" s="46"/>
      <c r="U121" s="28" t="s">
        <v>31</v>
      </c>
    </row>
    <row r="122" spans="1:21" s="27" customFormat="1" ht="15.75" customHeight="1" x14ac:dyDescent="0.25">
      <c r="A122" s="28" t="s">
        <v>3742</v>
      </c>
      <c r="B122" s="28" t="s">
        <v>3743</v>
      </c>
      <c r="C122" s="28">
        <v>798520</v>
      </c>
      <c r="D122" s="29">
        <v>1</v>
      </c>
      <c r="E122" s="71">
        <v>25</v>
      </c>
      <c r="F122" s="45">
        <v>300</v>
      </c>
      <c r="G122" s="32"/>
      <c r="H122" s="32">
        <v>1.877</v>
      </c>
      <c r="I122" s="32">
        <v>1.87</v>
      </c>
      <c r="J122" s="33">
        <f t="shared" ref="J122:J134" si="17">IF(O122&lt;&gt;"",(H122-I122)/O122,"")</f>
        <v>6.9999999999998952E-3</v>
      </c>
      <c r="K122" s="34" t="str">
        <f t="shared" si="8"/>
        <v/>
      </c>
      <c r="L122" s="35">
        <f t="shared" ref="L122:L134" si="18">F122/(O122*P122)</f>
        <v>7.5</v>
      </c>
      <c r="M122" s="36" t="str">
        <f t="shared" ref="M122:M134" si="19">IF(L122=0,"",IF(OR(L122&lt;7,L122&gt;7.8),"X",""))</f>
        <v/>
      </c>
      <c r="N122" s="37" t="s">
        <v>18</v>
      </c>
      <c r="O122" s="29">
        <v>1</v>
      </c>
      <c r="P122" s="38">
        <v>40</v>
      </c>
      <c r="Q122" s="46"/>
      <c r="R122" s="28" t="s">
        <v>3761</v>
      </c>
      <c r="S122" s="91" t="s">
        <v>58</v>
      </c>
      <c r="T122" s="46"/>
      <c r="U122" s="28" t="s">
        <v>135</v>
      </c>
    </row>
    <row r="123" spans="1:21" s="27" customFormat="1" x14ac:dyDescent="0.25">
      <c r="A123" s="28" t="s">
        <v>21</v>
      </c>
      <c r="B123" s="28" t="s">
        <v>3744</v>
      </c>
      <c r="C123" s="28" t="s">
        <v>21</v>
      </c>
      <c r="D123" s="29">
        <v>1</v>
      </c>
      <c r="E123" s="71">
        <v>34</v>
      </c>
      <c r="F123" s="45">
        <v>300</v>
      </c>
      <c r="G123" s="32"/>
      <c r="H123" s="32">
        <v>1.88</v>
      </c>
      <c r="I123" s="32">
        <v>1.8740000000000001</v>
      </c>
      <c r="J123" s="33">
        <f t="shared" si="17"/>
        <v>5.9999999999997833E-3</v>
      </c>
      <c r="K123" s="34" t="str">
        <f t="shared" si="8"/>
        <v/>
      </c>
      <c r="L123" s="35">
        <f t="shared" si="18"/>
        <v>7.5</v>
      </c>
      <c r="M123" s="36" t="str">
        <f t="shared" si="19"/>
        <v/>
      </c>
      <c r="N123" s="37" t="s">
        <v>18</v>
      </c>
      <c r="O123" s="29">
        <v>1</v>
      </c>
      <c r="P123" s="38">
        <v>40</v>
      </c>
      <c r="Q123" s="46"/>
      <c r="R123" s="28" t="s">
        <v>3762</v>
      </c>
      <c r="S123" s="91" t="s">
        <v>59</v>
      </c>
      <c r="T123" s="46"/>
      <c r="U123" s="28" t="s">
        <v>135</v>
      </c>
    </row>
    <row r="124" spans="1:21" s="27" customFormat="1" x14ac:dyDescent="0.25">
      <c r="A124" s="28" t="s">
        <v>21</v>
      </c>
      <c r="B124" s="28" t="s">
        <v>3745</v>
      </c>
      <c r="C124" s="28" t="s">
        <v>21</v>
      </c>
      <c r="D124" s="29">
        <v>1</v>
      </c>
      <c r="E124" s="71">
        <v>26</v>
      </c>
      <c r="F124" s="45">
        <v>300</v>
      </c>
      <c r="G124" s="32"/>
      <c r="H124" s="32">
        <v>1.8819999999999999</v>
      </c>
      <c r="I124" s="32">
        <v>1.875</v>
      </c>
      <c r="J124" s="33">
        <f t="shared" si="17"/>
        <v>6.9999999999998952E-3</v>
      </c>
      <c r="K124" s="34" t="str">
        <f t="shared" si="8"/>
        <v/>
      </c>
      <c r="L124" s="35">
        <f t="shared" si="18"/>
        <v>7.5</v>
      </c>
      <c r="M124" s="36" t="str">
        <f t="shared" si="19"/>
        <v/>
      </c>
      <c r="N124" s="37" t="s">
        <v>18</v>
      </c>
      <c r="O124" s="29">
        <v>1</v>
      </c>
      <c r="P124" s="38">
        <v>40</v>
      </c>
      <c r="Q124" s="46"/>
      <c r="R124" s="28" t="s">
        <v>3763</v>
      </c>
      <c r="S124" s="92" t="s">
        <v>21</v>
      </c>
      <c r="T124" s="46"/>
      <c r="U124" s="28" t="s">
        <v>135</v>
      </c>
    </row>
    <row r="125" spans="1:21" s="27" customFormat="1" x14ac:dyDescent="0.25">
      <c r="A125" s="28" t="s">
        <v>21</v>
      </c>
      <c r="B125" s="28" t="s">
        <v>3746</v>
      </c>
      <c r="C125" s="28" t="s">
        <v>21</v>
      </c>
      <c r="D125" s="29">
        <v>1</v>
      </c>
      <c r="E125" s="71">
        <v>49</v>
      </c>
      <c r="F125" s="45">
        <v>302</v>
      </c>
      <c r="G125" s="32"/>
      <c r="H125" s="32">
        <v>1.875</v>
      </c>
      <c r="I125" s="32">
        <v>1.869</v>
      </c>
      <c r="J125" s="33">
        <f t="shared" si="17"/>
        <v>6.0000000000000053E-3</v>
      </c>
      <c r="K125" s="34" t="str">
        <f t="shared" si="8"/>
        <v/>
      </c>
      <c r="L125" s="35">
        <f t="shared" si="18"/>
        <v>7.55</v>
      </c>
      <c r="M125" s="36" t="str">
        <f t="shared" si="19"/>
        <v/>
      </c>
      <c r="N125" s="37" t="s">
        <v>18</v>
      </c>
      <c r="O125" s="29">
        <v>1</v>
      </c>
      <c r="P125" s="38">
        <v>40</v>
      </c>
      <c r="Q125" s="46"/>
      <c r="R125" s="28" t="s">
        <v>3764</v>
      </c>
      <c r="S125" s="92" t="s">
        <v>21</v>
      </c>
      <c r="T125" s="46"/>
      <c r="U125" s="28" t="s">
        <v>135</v>
      </c>
    </row>
    <row r="126" spans="1:21" s="27" customFormat="1" x14ac:dyDescent="0.25">
      <c r="A126" s="28" t="s">
        <v>21</v>
      </c>
      <c r="B126" s="28" t="s">
        <v>3747</v>
      </c>
      <c r="C126" s="28" t="s">
        <v>21</v>
      </c>
      <c r="D126" s="29">
        <v>1</v>
      </c>
      <c r="E126" s="71">
        <v>56</v>
      </c>
      <c r="F126" s="45">
        <v>299</v>
      </c>
      <c r="G126" s="32"/>
      <c r="H126" s="32">
        <v>1.871</v>
      </c>
      <c r="I126" s="32">
        <v>1.865</v>
      </c>
      <c r="J126" s="33">
        <f t="shared" si="17"/>
        <v>6.0000000000000053E-3</v>
      </c>
      <c r="K126" s="34" t="str">
        <f t="shared" si="8"/>
        <v/>
      </c>
      <c r="L126" s="35">
        <f t="shared" si="18"/>
        <v>7.4749999999999996</v>
      </c>
      <c r="M126" s="36" t="str">
        <f t="shared" si="19"/>
        <v/>
      </c>
      <c r="N126" s="37" t="s">
        <v>18</v>
      </c>
      <c r="O126" s="29">
        <v>1</v>
      </c>
      <c r="P126" s="38">
        <v>40</v>
      </c>
      <c r="Q126" s="46"/>
      <c r="R126" s="28" t="s">
        <v>3765</v>
      </c>
      <c r="S126" s="92" t="s">
        <v>21</v>
      </c>
      <c r="T126" s="46"/>
      <c r="U126" s="28" t="s">
        <v>135</v>
      </c>
    </row>
    <row r="127" spans="1:21" s="27" customFormat="1" x14ac:dyDescent="0.25">
      <c r="A127" s="28" t="s">
        <v>21</v>
      </c>
      <c r="B127" s="28" t="s">
        <v>3748</v>
      </c>
      <c r="C127" s="28" t="s">
        <v>21</v>
      </c>
      <c r="D127" s="29">
        <v>1</v>
      </c>
      <c r="E127" s="71">
        <v>36</v>
      </c>
      <c r="F127" s="45">
        <v>302</v>
      </c>
      <c r="G127" s="32"/>
      <c r="H127" s="32">
        <v>1.871</v>
      </c>
      <c r="I127" s="32">
        <v>1.863</v>
      </c>
      <c r="J127" s="33">
        <f t="shared" si="17"/>
        <v>8.0000000000000071E-3</v>
      </c>
      <c r="K127" s="34" t="str">
        <f t="shared" si="8"/>
        <v/>
      </c>
      <c r="L127" s="35">
        <f t="shared" si="18"/>
        <v>7.55</v>
      </c>
      <c r="M127" s="36" t="str">
        <f t="shared" si="19"/>
        <v/>
      </c>
      <c r="N127" s="37" t="s">
        <v>18</v>
      </c>
      <c r="O127" s="29">
        <v>1</v>
      </c>
      <c r="P127" s="38">
        <v>40</v>
      </c>
      <c r="Q127" s="46"/>
      <c r="R127" s="28" t="s">
        <v>3766</v>
      </c>
      <c r="S127" s="92" t="s">
        <v>21</v>
      </c>
      <c r="T127" s="46"/>
      <c r="U127" s="28" t="s">
        <v>135</v>
      </c>
    </row>
    <row r="128" spans="1:21" s="27" customFormat="1" x14ac:dyDescent="0.25">
      <c r="A128" s="28" t="s">
        <v>21</v>
      </c>
      <c r="B128" s="28" t="s">
        <v>3749</v>
      </c>
      <c r="C128" s="28" t="s">
        <v>21</v>
      </c>
      <c r="D128" s="29">
        <v>1</v>
      </c>
      <c r="E128" s="71">
        <v>43</v>
      </c>
      <c r="F128" s="45">
        <v>301</v>
      </c>
      <c r="G128" s="32"/>
      <c r="H128" s="32">
        <v>1.8740000000000001</v>
      </c>
      <c r="I128" s="32">
        <v>1.867</v>
      </c>
      <c r="J128" s="33">
        <f t="shared" si="17"/>
        <v>7.0000000000001172E-3</v>
      </c>
      <c r="K128" s="34" t="str">
        <f t="shared" si="8"/>
        <v/>
      </c>
      <c r="L128" s="35">
        <f t="shared" si="18"/>
        <v>7.5250000000000004</v>
      </c>
      <c r="M128" s="36" t="str">
        <f t="shared" si="19"/>
        <v/>
      </c>
      <c r="N128" s="37" t="s">
        <v>18</v>
      </c>
      <c r="O128" s="29">
        <v>1</v>
      </c>
      <c r="P128" s="38">
        <v>40</v>
      </c>
      <c r="Q128" s="46"/>
      <c r="R128" s="28" t="s">
        <v>3767</v>
      </c>
      <c r="S128" s="92" t="s">
        <v>21</v>
      </c>
      <c r="T128" s="46"/>
      <c r="U128" s="28" t="s">
        <v>135</v>
      </c>
    </row>
    <row r="129" spans="1:21" s="27" customFormat="1" x14ac:dyDescent="0.25">
      <c r="A129" s="28" t="s">
        <v>21</v>
      </c>
      <c r="B129" s="28" t="s">
        <v>3750</v>
      </c>
      <c r="C129" s="28">
        <v>765170</v>
      </c>
      <c r="D129" s="29">
        <v>1</v>
      </c>
      <c r="E129" s="71">
        <v>47</v>
      </c>
      <c r="F129" s="45">
        <v>300</v>
      </c>
      <c r="G129" s="32"/>
      <c r="H129" s="32">
        <v>1.8819999999999999</v>
      </c>
      <c r="I129" s="32">
        <v>1.8759999999999999</v>
      </c>
      <c r="J129" s="33">
        <f t="shared" si="17"/>
        <v>6.0000000000000053E-3</v>
      </c>
      <c r="K129" s="34" t="str">
        <f t="shared" si="8"/>
        <v/>
      </c>
      <c r="L129" s="35">
        <f t="shared" si="18"/>
        <v>7.5</v>
      </c>
      <c r="M129" s="36" t="str">
        <f t="shared" si="19"/>
        <v/>
      </c>
      <c r="N129" s="37" t="s">
        <v>18</v>
      </c>
      <c r="O129" s="29">
        <v>1</v>
      </c>
      <c r="P129" s="38">
        <v>40</v>
      </c>
      <c r="Q129" s="46"/>
      <c r="R129" s="28" t="s">
        <v>3756</v>
      </c>
      <c r="S129" s="92" t="s">
        <v>21</v>
      </c>
      <c r="T129" s="46"/>
      <c r="U129" s="28" t="s">
        <v>135</v>
      </c>
    </row>
    <row r="130" spans="1:21" s="27" customFormat="1" x14ac:dyDescent="0.25">
      <c r="A130" s="28" t="s">
        <v>21</v>
      </c>
      <c r="B130" s="28" t="s">
        <v>3751</v>
      </c>
      <c r="C130" s="28" t="s">
        <v>21</v>
      </c>
      <c r="D130" s="29">
        <v>1</v>
      </c>
      <c r="E130" s="71">
        <v>46</v>
      </c>
      <c r="F130" s="45">
        <v>299</v>
      </c>
      <c r="G130" s="32"/>
      <c r="H130" s="32">
        <v>1.879</v>
      </c>
      <c r="I130" s="32">
        <v>1.8720000000000001</v>
      </c>
      <c r="J130" s="33">
        <f t="shared" si="17"/>
        <v>6.9999999999998952E-3</v>
      </c>
      <c r="K130" s="34" t="str">
        <f t="shared" ref="K130:K164" si="20">IF(J130=0,"",IF(OR(J130&lt;0,J130&gt;0.03),"X",""))</f>
        <v/>
      </c>
      <c r="L130" s="35">
        <f t="shared" si="18"/>
        <v>7.4749999999999996</v>
      </c>
      <c r="M130" s="36" t="str">
        <f t="shared" si="19"/>
        <v/>
      </c>
      <c r="N130" s="37" t="s">
        <v>18</v>
      </c>
      <c r="O130" s="29">
        <v>1</v>
      </c>
      <c r="P130" s="38">
        <v>40</v>
      </c>
      <c r="Q130" s="46"/>
      <c r="R130" s="28" t="s">
        <v>3757</v>
      </c>
      <c r="S130" s="92" t="s">
        <v>21</v>
      </c>
      <c r="T130" s="46"/>
      <c r="U130" s="28" t="s">
        <v>135</v>
      </c>
    </row>
    <row r="131" spans="1:21" s="27" customFormat="1" x14ac:dyDescent="0.25">
      <c r="A131" s="28" t="s">
        <v>21</v>
      </c>
      <c r="B131" s="28" t="s">
        <v>3752</v>
      </c>
      <c r="C131" s="28" t="s">
        <v>21</v>
      </c>
      <c r="D131" s="29">
        <v>1</v>
      </c>
      <c r="E131" s="71">
        <v>44</v>
      </c>
      <c r="F131" s="45">
        <v>299</v>
      </c>
      <c r="G131" s="32"/>
      <c r="H131" s="32">
        <v>1.891</v>
      </c>
      <c r="I131" s="32">
        <v>1.8859999999999999</v>
      </c>
      <c r="J131" s="33">
        <f t="shared" si="17"/>
        <v>5.0000000000001155E-3</v>
      </c>
      <c r="K131" s="34" t="str">
        <f t="shared" si="20"/>
        <v/>
      </c>
      <c r="L131" s="35">
        <f t="shared" si="18"/>
        <v>7.4749999999999996</v>
      </c>
      <c r="M131" s="36" t="str">
        <f t="shared" si="19"/>
        <v/>
      </c>
      <c r="N131" s="37" t="s">
        <v>18</v>
      </c>
      <c r="O131" s="29">
        <v>1</v>
      </c>
      <c r="P131" s="38">
        <v>40</v>
      </c>
      <c r="Q131" s="46"/>
      <c r="R131" s="28" t="s">
        <v>3758</v>
      </c>
      <c r="S131" s="92" t="s">
        <v>21</v>
      </c>
      <c r="T131" s="46"/>
      <c r="U131" s="28" t="s">
        <v>135</v>
      </c>
    </row>
    <row r="132" spans="1:21" s="27" customFormat="1" x14ac:dyDescent="0.25">
      <c r="A132" s="28" t="s">
        <v>21</v>
      </c>
      <c r="B132" s="28" t="s">
        <v>3753</v>
      </c>
      <c r="C132" s="28" t="s">
        <v>21</v>
      </c>
      <c r="D132" s="29">
        <v>1</v>
      </c>
      <c r="E132" s="71">
        <v>36</v>
      </c>
      <c r="F132" s="45">
        <v>300</v>
      </c>
      <c r="G132" s="32"/>
      <c r="H132" s="32">
        <v>1.8720000000000001</v>
      </c>
      <c r="I132" s="32">
        <v>1.8640000000000001</v>
      </c>
      <c r="J132" s="33">
        <f t="shared" si="17"/>
        <v>8.0000000000000071E-3</v>
      </c>
      <c r="K132" s="34" t="str">
        <f t="shared" si="20"/>
        <v/>
      </c>
      <c r="L132" s="35">
        <f t="shared" si="18"/>
        <v>7.5</v>
      </c>
      <c r="M132" s="36" t="str">
        <f t="shared" si="19"/>
        <v/>
      </c>
      <c r="N132" s="37" t="s">
        <v>18</v>
      </c>
      <c r="O132" s="29">
        <v>1</v>
      </c>
      <c r="P132" s="38">
        <v>40</v>
      </c>
      <c r="Q132" s="46"/>
      <c r="R132" s="28" t="s">
        <v>3759</v>
      </c>
      <c r="S132" s="91" t="s">
        <v>103</v>
      </c>
      <c r="T132" s="46"/>
      <c r="U132" s="28" t="s">
        <v>135</v>
      </c>
    </row>
    <row r="133" spans="1:21" s="27" customFormat="1" x14ac:dyDescent="0.25">
      <c r="A133" s="28" t="s">
        <v>21</v>
      </c>
      <c r="B133" s="28" t="s">
        <v>3754</v>
      </c>
      <c r="C133" s="28" t="s">
        <v>21</v>
      </c>
      <c r="D133" s="29">
        <v>1</v>
      </c>
      <c r="E133" s="71">
        <v>41</v>
      </c>
      <c r="F133" s="45">
        <v>299</v>
      </c>
      <c r="G133" s="32"/>
      <c r="H133" s="32">
        <v>1.881</v>
      </c>
      <c r="I133" s="32">
        <v>1.875</v>
      </c>
      <c r="J133" s="33">
        <f t="shared" si="17"/>
        <v>6.0000000000000053E-3</v>
      </c>
      <c r="K133" s="34" t="str">
        <f t="shared" si="20"/>
        <v/>
      </c>
      <c r="L133" s="35">
        <f t="shared" si="18"/>
        <v>7.4749999999999996</v>
      </c>
      <c r="M133" s="36" t="str">
        <f t="shared" si="19"/>
        <v/>
      </c>
      <c r="N133" s="37" t="s">
        <v>18</v>
      </c>
      <c r="O133" s="29">
        <v>1</v>
      </c>
      <c r="P133" s="38">
        <v>40</v>
      </c>
      <c r="Q133" s="46"/>
      <c r="R133" s="28" t="s">
        <v>3760</v>
      </c>
      <c r="S133" s="91" t="s">
        <v>59</v>
      </c>
      <c r="T133" s="46"/>
      <c r="U133" s="28" t="s">
        <v>135</v>
      </c>
    </row>
    <row r="134" spans="1:21" s="27" customFormat="1" x14ac:dyDescent="0.25">
      <c r="A134" s="28" t="s">
        <v>21</v>
      </c>
      <c r="B134" s="28" t="s">
        <v>3755</v>
      </c>
      <c r="C134" s="28" t="s">
        <v>21</v>
      </c>
      <c r="D134" s="29">
        <v>1</v>
      </c>
      <c r="E134" s="71">
        <v>47</v>
      </c>
      <c r="F134" s="45">
        <v>300</v>
      </c>
      <c r="G134" s="32"/>
      <c r="H134" s="32">
        <v>1.891</v>
      </c>
      <c r="I134" s="32">
        <v>1.885</v>
      </c>
      <c r="J134" s="33">
        <f t="shared" si="17"/>
        <v>6.0000000000000053E-3</v>
      </c>
      <c r="K134" s="34" t="str">
        <f t="shared" si="20"/>
        <v/>
      </c>
      <c r="L134" s="35">
        <f t="shared" si="18"/>
        <v>7.5</v>
      </c>
      <c r="M134" s="36" t="str">
        <f t="shared" si="19"/>
        <v/>
      </c>
      <c r="N134" s="37" t="s">
        <v>18</v>
      </c>
      <c r="O134" s="29">
        <v>1</v>
      </c>
      <c r="P134" s="38">
        <v>40</v>
      </c>
      <c r="Q134" s="46"/>
      <c r="R134" s="28" t="s">
        <v>3778</v>
      </c>
      <c r="S134" s="92" t="s">
        <v>21</v>
      </c>
      <c r="T134" s="46"/>
      <c r="U134" s="28" t="s">
        <v>135</v>
      </c>
    </row>
    <row r="135" spans="1:21" s="27" customFormat="1" x14ac:dyDescent="0.25">
      <c r="A135" s="28" t="s">
        <v>3662</v>
      </c>
      <c r="B135" s="28" t="s">
        <v>3768</v>
      </c>
      <c r="C135" s="28">
        <v>765170</v>
      </c>
      <c r="D135" s="29">
        <v>1</v>
      </c>
      <c r="E135" s="73">
        <v>50</v>
      </c>
      <c r="F135" s="45">
        <v>300</v>
      </c>
      <c r="G135" s="32"/>
      <c r="H135" s="32">
        <v>1.879</v>
      </c>
      <c r="I135" s="32">
        <v>1.873</v>
      </c>
      <c r="J135" s="33">
        <f t="shared" ref="J135:J144" si="21">IF(O135&lt;&gt;"",(H135-I135)/O135,"")</f>
        <v>6.0000000000000053E-3</v>
      </c>
      <c r="K135" s="34" t="str">
        <f t="shared" si="20"/>
        <v/>
      </c>
      <c r="L135" s="35">
        <f t="shared" ref="L135:L144" si="22">F135/(O135*P135)</f>
        <v>7.5</v>
      </c>
      <c r="M135" s="36" t="str">
        <f t="shared" ref="M135:M144" si="23">IF(L135=0,"",IF(OR(L135&lt;7,L135&gt;7.8),"X",""))</f>
        <v/>
      </c>
      <c r="N135" s="37" t="s">
        <v>18</v>
      </c>
      <c r="O135" s="29">
        <v>1</v>
      </c>
      <c r="P135" s="38">
        <v>40</v>
      </c>
      <c r="Q135" s="46"/>
      <c r="R135" s="28" t="s">
        <v>3779</v>
      </c>
      <c r="S135" s="47"/>
      <c r="T135" s="46"/>
      <c r="U135" s="28" t="s">
        <v>31</v>
      </c>
    </row>
    <row r="136" spans="1:21" s="27" customFormat="1" x14ac:dyDescent="0.25">
      <c r="A136" s="28" t="s">
        <v>21</v>
      </c>
      <c r="B136" s="28" t="s">
        <v>3769</v>
      </c>
      <c r="C136" s="28" t="s">
        <v>21</v>
      </c>
      <c r="D136" s="29">
        <v>1</v>
      </c>
      <c r="E136" s="73">
        <v>52</v>
      </c>
      <c r="F136" s="45">
        <v>301</v>
      </c>
      <c r="G136" s="32"/>
      <c r="H136" s="32">
        <v>1.87</v>
      </c>
      <c r="I136" s="32">
        <v>1.863</v>
      </c>
      <c r="J136" s="33">
        <f t="shared" si="21"/>
        <v>7.0000000000001172E-3</v>
      </c>
      <c r="K136" s="34" t="str">
        <f t="shared" si="20"/>
        <v/>
      </c>
      <c r="L136" s="35">
        <f t="shared" si="22"/>
        <v>7.5250000000000004</v>
      </c>
      <c r="M136" s="36" t="str">
        <f t="shared" si="23"/>
        <v/>
      </c>
      <c r="N136" s="37" t="s">
        <v>18</v>
      </c>
      <c r="O136" s="29">
        <v>1</v>
      </c>
      <c r="P136" s="38">
        <v>40</v>
      </c>
      <c r="Q136" s="46"/>
      <c r="R136" s="28" t="s">
        <v>3780</v>
      </c>
      <c r="S136" s="47"/>
      <c r="T136" s="46"/>
      <c r="U136" s="28" t="s">
        <v>31</v>
      </c>
    </row>
    <row r="137" spans="1:21" s="27" customFormat="1" x14ac:dyDescent="0.25">
      <c r="A137" s="28" t="s">
        <v>21</v>
      </c>
      <c r="B137" s="28" t="s">
        <v>3770</v>
      </c>
      <c r="C137" s="28" t="s">
        <v>21</v>
      </c>
      <c r="D137" s="29">
        <v>1</v>
      </c>
      <c r="E137" s="73">
        <v>67</v>
      </c>
      <c r="F137" s="45">
        <v>300</v>
      </c>
      <c r="G137" s="32"/>
      <c r="H137" s="32">
        <v>1.857</v>
      </c>
      <c r="I137" s="32">
        <v>1.851</v>
      </c>
      <c r="J137" s="33">
        <f t="shared" si="21"/>
        <v>6.0000000000000053E-3</v>
      </c>
      <c r="K137" s="34" t="str">
        <f t="shared" si="20"/>
        <v/>
      </c>
      <c r="L137" s="35">
        <f t="shared" si="22"/>
        <v>7.5</v>
      </c>
      <c r="M137" s="36" t="str">
        <f t="shared" si="23"/>
        <v/>
      </c>
      <c r="N137" s="37" t="s">
        <v>18</v>
      </c>
      <c r="O137" s="29">
        <v>1</v>
      </c>
      <c r="P137" s="38">
        <v>40</v>
      </c>
      <c r="Q137" s="46"/>
      <c r="R137" s="28" t="s">
        <v>3781</v>
      </c>
      <c r="S137" s="47"/>
      <c r="T137" s="46"/>
      <c r="U137" s="28" t="s">
        <v>31</v>
      </c>
    </row>
    <row r="138" spans="1:21" s="27" customFormat="1" x14ac:dyDescent="0.25">
      <c r="A138" s="28" t="s">
        <v>21</v>
      </c>
      <c r="B138" s="28" t="s">
        <v>3771</v>
      </c>
      <c r="C138" s="28" t="s">
        <v>21</v>
      </c>
      <c r="D138" s="29">
        <v>1</v>
      </c>
      <c r="E138" s="73">
        <v>57</v>
      </c>
      <c r="F138" s="45">
        <v>303</v>
      </c>
      <c r="G138" s="32"/>
      <c r="H138" s="32">
        <v>1.8560000000000001</v>
      </c>
      <c r="I138" s="32">
        <v>1.85</v>
      </c>
      <c r="J138" s="33">
        <f t="shared" si="21"/>
        <v>6.0000000000000053E-3</v>
      </c>
      <c r="K138" s="34" t="str">
        <f t="shared" si="20"/>
        <v/>
      </c>
      <c r="L138" s="35">
        <f t="shared" si="22"/>
        <v>7.5750000000000002</v>
      </c>
      <c r="M138" s="36" t="str">
        <f t="shared" si="23"/>
        <v/>
      </c>
      <c r="N138" s="37" t="s">
        <v>18</v>
      </c>
      <c r="O138" s="29">
        <v>1</v>
      </c>
      <c r="P138" s="38">
        <v>40</v>
      </c>
      <c r="Q138" s="46"/>
      <c r="R138" s="28" t="s">
        <v>3782</v>
      </c>
      <c r="S138" s="47"/>
      <c r="T138" s="46"/>
      <c r="U138" s="28" t="s">
        <v>31</v>
      </c>
    </row>
    <row r="139" spans="1:21" s="27" customFormat="1" x14ac:dyDescent="0.25">
      <c r="A139" s="28" t="s">
        <v>21</v>
      </c>
      <c r="B139" s="28" t="s">
        <v>3772</v>
      </c>
      <c r="C139" s="28" t="s">
        <v>21</v>
      </c>
      <c r="D139" s="29">
        <v>1</v>
      </c>
      <c r="E139" s="73">
        <v>72</v>
      </c>
      <c r="F139" s="45">
        <v>296</v>
      </c>
      <c r="G139" s="32"/>
      <c r="H139" s="32">
        <v>1.839</v>
      </c>
      <c r="I139" s="32">
        <v>1.833</v>
      </c>
      <c r="J139" s="33">
        <f t="shared" si="21"/>
        <v>6.0000000000000053E-3</v>
      </c>
      <c r="K139" s="34" t="str">
        <f t="shared" si="20"/>
        <v/>
      </c>
      <c r="L139" s="35">
        <f t="shared" si="22"/>
        <v>7.4</v>
      </c>
      <c r="M139" s="36" t="str">
        <f t="shared" si="23"/>
        <v/>
      </c>
      <c r="N139" s="37" t="s">
        <v>18</v>
      </c>
      <c r="O139" s="29">
        <v>1</v>
      </c>
      <c r="P139" s="38">
        <v>40</v>
      </c>
      <c r="Q139" s="46"/>
      <c r="R139" s="28" t="s">
        <v>3783</v>
      </c>
      <c r="S139" s="47"/>
      <c r="T139" s="46"/>
      <c r="U139" s="28" t="s">
        <v>31</v>
      </c>
    </row>
    <row r="140" spans="1:21" s="27" customFormat="1" x14ac:dyDescent="0.25">
      <c r="A140" s="28" t="s">
        <v>21</v>
      </c>
      <c r="B140" s="28" t="s">
        <v>3773</v>
      </c>
      <c r="C140" s="28" t="s">
        <v>21</v>
      </c>
      <c r="D140" s="29">
        <v>1</v>
      </c>
      <c r="E140" s="73">
        <v>36</v>
      </c>
      <c r="F140" s="45">
        <v>297</v>
      </c>
      <c r="G140" s="32"/>
      <c r="H140" s="32">
        <v>1.849</v>
      </c>
      <c r="I140" s="32">
        <v>1.8420000000000001</v>
      </c>
      <c r="J140" s="33">
        <f t="shared" si="21"/>
        <v>6.9999999999998952E-3</v>
      </c>
      <c r="K140" s="34" t="str">
        <f t="shared" si="20"/>
        <v/>
      </c>
      <c r="L140" s="35">
        <f t="shared" si="22"/>
        <v>7.4249999999999998</v>
      </c>
      <c r="M140" s="36" t="str">
        <f t="shared" si="23"/>
        <v/>
      </c>
      <c r="N140" s="37" t="s">
        <v>18</v>
      </c>
      <c r="O140" s="29">
        <v>1</v>
      </c>
      <c r="P140" s="38">
        <v>40</v>
      </c>
      <c r="Q140" s="46"/>
      <c r="R140" s="28" t="s">
        <v>3816</v>
      </c>
      <c r="S140" s="47"/>
      <c r="T140" s="46"/>
      <c r="U140" s="28" t="s">
        <v>31</v>
      </c>
    </row>
    <row r="141" spans="1:21" s="27" customFormat="1" x14ac:dyDescent="0.25">
      <c r="A141" s="28" t="s">
        <v>21</v>
      </c>
      <c r="B141" s="28" t="s">
        <v>3774</v>
      </c>
      <c r="C141" s="28" t="s">
        <v>21</v>
      </c>
      <c r="D141" s="29">
        <v>1</v>
      </c>
      <c r="E141" s="73">
        <v>23</v>
      </c>
      <c r="F141" s="45">
        <v>297</v>
      </c>
      <c r="G141" s="32"/>
      <c r="H141" s="32">
        <v>1.8520000000000001</v>
      </c>
      <c r="I141" s="32">
        <v>1.8460000000000001</v>
      </c>
      <c r="J141" s="33">
        <f t="shared" si="21"/>
        <v>6.0000000000000053E-3</v>
      </c>
      <c r="K141" s="34" t="str">
        <f t="shared" si="20"/>
        <v/>
      </c>
      <c r="L141" s="35">
        <f t="shared" si="22"/>
        <v>7.4249999999999998</v>
      </c>
      <c r="M141" s="36" t="str">
        <f t="shared" si="23"/>
        <v/>
      </c>
      <c r="N141" s="37" t="s">
        <v>18</v>
      </c>
      <c r="O141" s="29">
        <v>1</v>
      </c>
      <c r="P141" s="38">
        <v>40</v>
      </c>
      <c r="Q141" s="46"/>
      <c r="R141" s="28" t="s">
        <v>3815</v>
      </c>
      <c r="S141" s="47"/>
      <c r="T141" s="46"/>
      <c r="U141" s="28" t="s">
        <v>31</v>
      </c>
    </row>
    <row r="142" spans="1:21" s="27" customFormat="1" x14ac:dyDescent="0.25">
      <c r="A142" s="28" t="s">
        <v>21</v>
      </c>
      <c r="B142" s="28" t="s">
        <v>3775</v>
      </c>
      <c r="C142" s="28" t="s">
        <v>21</v>
      </c>
      <c r="D142" s="29">
        <v>1</v>
      </c>
      <c r="E142" s="73">
        <v>18</v>
      </c>
      <c r="F142" s="45">
        <v>301</v>
      </c>
      <c r="G142" s="32"/>
      <c r="H142" s="32">
        <v>1.8540000000000001</v>
      </c>
      <c r="I142" s="32">
        <v>1.8460000000000001</v>
      </c>
      <c r="J142" s="33">
        <f t="shared" si="21"/>
        <v>8.0000000000000071E-3</v>
      </c>
      <c r="K142" s="34" t="str">
        <f t="shared" si="20"/>
        <v/>
      </c>
      <c r="L142" s="35">
        <f t="shared" si="22"/>
        <v>7.5250000000000004</v>
      </c>
      <c r="M142" s="36" t="str">
        <f t="shared" si="23"/>
        <v/>
      </c>
      <c r="N142" s="37" t="s">
        <v>18</v>
      </c>
      <c r="O142" s="29">
        <v>1</v>
      </c>
      <c r="P142" s="38">
        <v>40</v>
      </c>
      <c r="Q142" s="46"/>
      <c r="R142" s="28" t="s">
        <v>3817</v>
      </c>
      <c r="S142" s="47"/>
      <c r="T142" s="46"/>
      <c r="U142" s="28" t="s">
        <v>31</v>
      </c>
    </row>
    <row r="143" spans="1:21" s="27" customFormat="1" x14ac:dyDescent="0.25">
      <c r="A143" s="28" t="s">
        <v>21</v>
      </c>
      <c r="B143" s="28" t="s">
        <v>3776</v>
      </c>
      <c r="C143" s="28" t="s">
        <v>21</v>
      </c>
      <c r="D143" s="29">
        <v>1</v>
      </c>
      <c r="E143" s="73">
        <v>24</v>
      </c>
      <c r="F143" s="45">
        <v>300</v>
      </c>
      <c r="G143" s="32"/>
      <c r="H143" s="32">
        <v>1.8540000000000001</v>
      </c>
      <c r="I143" s="32">
        <v>1.847</v>
      </c>
      <c r="J143" s="33">
        <f t="shared" si="21"/>
        <v>7.0000000000001172E-3</v>
      </c>
      <c r="K143" s="34" t="str">
        <f t="shared" si="20"/>
        <v/>
      </c>
      <c r="L143" s="35">
        <f t="shared" si="22"/>
        <v>7.5</v>
      </c>
      <c r="M143" s="36" t="str">
        <f t="shared" si="23"/>
        <v/>
      </c>
      <c r="N143" s="37" t="s">
        <v>18</v>
      </c>
      <c r="O143" s="29">
        <v>1</v>
      </c>
      <c r="P143" s="38">
        <v>40</v>
      </c>
      <c r="Q143" s="46"/>
      <c r="R143" s="28" t="s">
        <v>3828</v>
      </c>
      <c r="S143" s="47"/>
      <c r="T143" s="46"/>
      <c r="U143" s="28" t="s">
        <v>31</v>
      </c>
    </row>
    <row r="144" spans="1:21" s="27" customFormat="1" x14ac:dyDescent="0.25">
      <c r="A144" s="28" t="s">
        <v>21</v>
      </c>
      <c r="B144" s="28" t="s">
        <v>3777</v>
      </c>
      <c r="C144" s="28" t="s">
        <v>21</v>
      </c>
      <c r="D144" s="29">
        <v>1</v>
      </c>
      <c r="E144" s="73">
        <v>13</v>
      </c>
      <c r="F144" s="45">
        <v>301</v>
      </c>
      <c r="G144" s="32"/>
      <c r="H144" s="32">
        <v>1.8720000000000001</v>
      </c>
      <c r="I144" s="32">
        <v>1.867</v>
      </c>
      <c r="J144" s="33">
        <f t="shared" si="21"/>
        <v>5.0000000000001155E-3</v>
      </c>
      <c r="K144" s="34" t="str">
        <f t="shared" si="20"/>
        <v/>
      </c>
      <c r="L144" s="35">
        <f t="shared" si="22"/>
        <v>7.5250000000000004</v>
      </c>
      <c r="M144" s="36" t="str">
        <f t="shared" si="23"/>
        <v/>
      </c>
      <c r="N144" s="37" t="s">
        <v>18</v>
      </c>
      <c r="O144" s="29">
        <v>1</v>
      </c>
      <c r="P144" s="38">
        <v>40</v>
      </c>
      <c r="Q144" s="46"/>
      <c r="R144" s="28" t="s">
        <v>3829</v>
      </c>
      <c r="S144" s="47"/>
      <c r="T144" s="46"/>
      <c r="U144" s="28" t="s">
        <v>31</v>
      </c>
    </row>
    <row r="145" spans="1:21" s="27" customFormat="1" x14ac:dyDescent="0.25">
      <c r="A145" s="28" t="s">
        <v>3784</v>
      </c>
      <c r="B145" s="28" t="s">
        <v>3785</v>
      </c>
      <c r="C145" s="28">
        <v>765170</v>
      </c>
      <c r="D145" s="29">
        <v>1</v>
      </c>
      <c r="E145" s="73">
        <v>32</v>
      </c>
      <c r="F145" s="45">
        <v>301</v>
      </c>
      <c r="G145" s="32"/>
      <c r="H145" s="32">
        <v>1.8580000000000001</v>
      </c>
      <c r="I145" s="32">
        <v>1.8520000000000001</v>
      </c>
      <c r="J145" s="33">
        <f t="shared" ref="J145:J164" si="24">IF(O145&lt;&gt;"",(H145-I145)/O145,"")</f>
        <v>6.0000000000000053E-3</v>
      </c>
      <c r="K145" s="34" t="str">
        <f t="shared" si="20"/>
        <v/>
      </c>
      <c r="L145" s="35">
        <f t="shared" ref="L145:L164" si="25">F145/(O145*P145)</f>
        <v>7.5250000000000004</v>
      </c>
      <c r="M145" s="36" t="str">
        <f t="shared" ref="M145:M164" si="26">IF(L145=0,"",IF(OR(L145&lt;7,L145&gt;7.8),"X",""))</f>
        <v/>
      </c>
      <c r="N145" s="37" t="s">
        <v>18</v>
      </c>
      <c r="O145" s="29">
        <v>1</v>
      </c>
      <c r="P145" s="38">
        <v>40</v>
      </c>
      <c r="Q145" s="46"/>
      <c r="R145" s="28" t="s">
        <v>3805</v>
      </c>
      <c r="S145" s="47"/>
      <c r="T145" s="46"/>
      <c r="U145" s="28" t="s">
        <v>135</v>
      </c>
    </row>
    <row r="146" spans="1:21" s="27" customFormat="1" x14ac:dyDescent="0.25">
      <c r="A146" s="28" t="s">
        <v>21</v>
      </c>
      <c r="B146" s="28" t="s">
        <v>3786</v>
      </c>
      <c r="C146" s="28" t="s">
        <v>21</v>
      </c>
      <c r="D146" s="29">
        <v>1</v>
      </c>
      <c r="E146" s="73">
        <v>13</v>
      </c>
      <c r="F146" s="45">
        <v>301</v>
      </c>
      <c r="G146" s="32"/>
      <c r="H146" s="32">
        <v>1.8520000000000001</v>
      </c>
      <c r="I146" s="32">
        <v>1.845</v>
      </c>
      <c r="J146" s="33">
        <f t="shared" si="24"/>
        <v>7.0000000000001172E-3</v>
      </c>
      <c r="K146" s="34" t="str">
        <f t="shared" si="20"/>
        <v/>
      </c>
      <c r="L146" s="35">
        <f t="shared" si="25"/>
        <v>7.5250000000000004</v>
      </c>
      <c r="M146" s="36" t="str">
        <f t="shared" si="26"/>
        <v/>
      </c>
      <c r="N146" s="37" t="s">
        <v>18</v>
      </c>
      <c r="O146" s="29">
        <v>1</v>
      </c>
      <c r="P146" s="38">
        <v>40</v>
      </c>
      <c r="Q146" s="46"/>
      <c r="R146" s="28" t="s">
        <v>3806</v>
      </c>
      <c r="S146" s="47"/>
      <c r="T146" s="46"/>
      <c r="U146" s="28" t="s">
        <v>135</v>
      </c>
    </row>
    <row r="147" spans="1:21" s="27" customFormat="1" x14ac:dyDescent="0.25">
      <c r="A147" s="28" t="s">
        <v>21</v>
      </c>
      <c r="B147" s="28" t="s">
        <v>3787</v>
      </c>
      <c r="C147" s="28" t="s">
        <v>21</v>
      </c>
      <c r="D147" s="29">
        <v>1</v>
      </c>
      <c r="E147" s="73">
        <v>26</v>
      </c>
      <c r="F147" s="45">
        <v>302</v>
      </c>
      <c r="G147" s="32"/>
      <c r="H147" s="32">
        <v>1.8580000000000001</v>
      </c>
      <c r="I147" s="32">
        <v>1.851</v>
      </c>
      <c r="J147" s="33">
        <f t="shared" si="24"/>
        <v>7.0000000000001172E-3</v>
      </c>
      <c r="K147" s="34" t="str">
        <f t="shared" si="20"/>
        <v/>
      </c>
      <c r="L147" s="35">
        <f t="shared" si="25"/>
        <v>7.55</v>
      </c>
      <c r="M147" s="36" t="str">
        <f t="shared" si="26"/>
        <v/>
      </c>
      <c r="N147" s="37" t="s">
        <v>18</v>
      </c>
      <c r="O147" s="29">
        <v>1</v>
      </c>
      <c r="P147" s="38">
        <v>40</v>
      </c>
      <c r="Q147" s="46"/>
      <c r="R147" s="28" t="s">
        <v>3807</v>
      </c>
      <c r="S147" s="47"/>
      <c r="T147" s="46"/>
      <c r="U147" s="28" t="s">
        <v>135</v>
      </c>
    </row>
    <row r="148" spans="1:21" s="27" customFormat="1" x14ac:dyDescent="0.25">
      <c r="A148" s="28" t="s">
        <v>21</v>
      </c>
      <c r="B148" s="28" t="s">
        <v>3788</v>
      </c>
      <c r="C148" s="28" t="s">
        <v>21</v>
      </c>
      <c r="D148" s="29">
        <v>1</v>
      </c>
      <c r="E148" s="73">
        <v>22</v>
      </c>
      <c r="F148" s="45">
        <v>303</v>
      </c>
      <c r="G148" s="32"/>
      <c r="H148" s="32">
        <v>1.8640000000000001</v>
      </c>
      <c r="I148" s="32">
        <v>1.8580000000000001</v>
      </c>
      <c r="J148" s="33">
        <f t="shared" si="24"/>
        <v>6.0000000000000053E-3</v>
      </c>
      <c r="K148" s="34" t="str">
        <f t="shared" si="20"/>
        <v/>
      </c>
      <c r="L148" s="35">
        <f t="shared" si="25"/>
        <v>7.5750000000000002</v>
      </c>
      <c r="M148" s="36" t="str">
        <f t="shared" si="26"/>
        <v/>
      </c>
      <c r="N148" s="37" t="s">
        <v>18</v>
      </c>
      <c r="O148" s="29">
        <v>1</v>
      </c>
      <c r="P148" s="38">
        <v>40</v>
      </c>
      <c r="Q148" s="46"/>
      <c r="R148" s="28" t="s">
        <v>3808</v>
      </c>
      <c r="S148" s="47"/>
      <c r="T148" s="46"/>
      <c r="U148" s="28" t="s">
        <v>135</v>
      </c>
    </row>
    <row r="149" spans="1:21" s="27" customFormat="1" x14ac:dyDescent="0.25">
      <c r="A149" s="28" t="s">
        <v>21</v>
      </c>
      <c r="B149" s="28" t="s">
        <v>3789</v>
      </c>
      <c r="C149" s="28" t="s">
        <v>21</v>
      </c>
      <c r="D149" s="29">
        <v>1</v>
      </c>
      <c r="E149" s="73">
        <v>25</v>
      </c>
      <c r="F149" s="45">
        <v>300</v>
      </c>
      <c r="G149" s="32"/>
      <c r="H149" s="32">
        <v>1.865</v>
      </c>
      <c r="I149" s="32">
        <v>1.859</v>
      </c>
      <c r="J149" s="33">
        <f t="shared" si="24"/>
        <v>6.0000000000000053E-3</v>
      </c>
      <c r="K149" s="34" t="str">
        <f t="shared" si="20"/>
        <v/>
      </c>
      <c r="L149" s="35">
        <f t="shared" si="25"/>
        <v>7.5</v>
      </c>
      <c r="M149" s="36" t="str">
        <f t="shared" si="26"/>
        <v/>
      </c>
      <c r="N149" s="37" t="s">
        <v>18</v>
      </c>
      <c r="O149" s="29">
        <v>1</v>
      </c>
      <c r="P149" s="38">
        <v>40</v>
      </c>
      <c r="Q149" s="46"/>
      <c r="R149" s="28" t="s">
        <v>3809</v>
      </c>
      <c r="S149" s="47"/>
      <c r="T149" s="46"/>
      <c r="U149" s="28" t="s">
        <v>135</v>
      </c>
    </row>
    <row r="150" spans="1:21" s="27" customFormat="1" x14ac:dyDescent="0.25">
      <c r="A150" s="28" t="s">
        <v>21</v>
      </c>
      <c r="B150" s="28" t="s">
        <v>3790</v>
      </c>
      <c r="C150" s="28" t="s">
        <v>21</v>
      </c>
      <c r="D150" s="29">
        <v>1</v>
      </c>
      <c r="E150" s="71">
        <v>26</v>
      </c>
      <c r="F150" s="45">
        <v>303</v>
      </c>
      <c r="G150" s="32"/>
      <c r="H150" s="32">
        <v>1.875</v>
      </c>
      <c r="I150" s="32">
        <v>1.8680000000000001</v>
      </c>
      <c r="J150" s="33">
        <f t="shared" si="24"/>
        <v>6.9999999999998952E-3</v>
      </c>
      <c r="K150" s="34" t="str">
        <f t="shared" si="20"/>
        <v/>
      </c>
      <c r="L150" s="35">
        <f t="shared" si="25"/>
        <v>7.5750000000000002</v>
      </c>
      <c r="M150" s="36" t="str">
        <f t="shared" si="26"/>
        <v/>
      </c>
      <c r="N150" s="37" t="s">
        <v>18</v>
      </c>
      <c r="O150" s="29">
        <v>1</v>
      </c>
      <c r="P150" s="38">
        <v>40</v>
      </c>
      <c r="Q150" s="46"/>
      <c r="R150" s="28" t="s">
        <v>3810</v>
      </c>
      <c r="S150" s="91" t="s">
        <v>103</v>
      </c>
      <c r="T150" s="46"/>
      <c r="U150" s="28" t="s">
        <v>135</v>
      </c>
    </row>
    <row r="151" spans="1:21" s="27" customFormat="1" x14ac:dyDescent="0.25">
      <c r="A151" s="28" t="s">
        <v>21</v>
      </c>
      <c r="B151" s="28" t="s">
        <v>3791</v>
      </c>
      <c r="C151" s="28" t="s">
        <v>21</v>
      </c>
      <c r="D151" s="29">
        <v>1</v>
      </c>
      <c r="E151" s="71">
        <v>28</v>
      </c>
      <c r="F151" s="45">
        <v>300</v>
      </c>
      <c r="G151" s="32"/>
      <c r="H151" s="32">
        <v>1.8720000000000001</v>
      </c>
      <c r="I151" s="32">
        <v>1.8660000000000001</v>
      </c>
      <c r="J151" s="33">
        <f t="shared" si="24"/>
        <v>6.0000000000000053E-3</v>
      </c>
      <c r="K151" s="34" t="str">
        <f t="shared" si="20"/>
        <v/>
      </c>
      <c r="L151" s="35">
        <f t="shared" si="25"/>
        <v>7.5</v>
      </c>
      <c r="M151" s="36" t="str">
        <f t="shared" si="26"/>
        <v/>
      </c>
      <c r="N151" s="37" t="s">
        <v>18</v>
      </c>
      <c r="O151" s="29">
        <v>1</v>
      </c>
      <c r="P151" s="38">
        <v>40</v>
      </c>
      <c r="Q151" s="46"/>
      <c r="R151" s="28" t="s">
        <v>3811</v>
      </c>
      <c r="S151" s="91" t="s">
        <v>59</v>
      </c>
      <c r="T151" s="46"/>
      <c r="U151" s="28" t="s">
        <v>135</v>
      </c>
    </row>
    <row r="152" spans="1:21" s="27" customFormat="1" x14ac:dyDescent="0.25">
      <c r="A152" s="28" t="s">
        <v>21</v>
      </c>
      <c r="B152" s="28" t="s">
        <v>3792</v>
      </c>
      <c r="C152" s="28" t="s">
        <v>21</v>
      </c>
      <c r="D152" s="29">
        <v>1</v>
      </c>
      <c r="E152" s="71">
        <v>34</v>
      </c>
      <c r="F152" s="45">
        <v>304</v>
      </c>
      <c r="G152" s="32"/>
      <c r="H152" s="32">
        <v>1.8759999999999999</v>
      </c>
      <c r="I152" s="32">
        <v>1.87</v>
      </c>
      <c r="J152" s="33">
        <f t="shared" si="24"/>
        <v>5.9999999999997833E-3</v>
      </c>
      <c r="K152" s="34" t="str">
        <f t="shared" si="20"/>
        <v/>
      </c>
      <c r="L152" s="35">
        <f t="shared" si="25"/>
        <v>7.6</v>
      </c>
      <c r="M152" s="36" t="str">
        <f t="shared" si="26"/>
        <v/>
      </c>
      <c r="N152" s="37" t="s">
        <v>18</v>
      </c>
      <c r="O152" s="29">
        <v>1</v>
      </c>
      <c r="P152" s="38">
        <v>40</v>
      </c>
      <c r="Q152" s="46"/>
      <c r="R152" s="28" t="s">
        <v>3812</v>
      </c>
      <c r="S152" s="92" t="s">
        <v>21</v>
      </c>
      <c r="T152" s="46"/>
      <c r="U152" s="28" t="s">
        <v>135</v>
      </c>
    </row>
    <row r="153" spans="1:21" s="27" customFormat="1" x14ac:dyDescent="0.25">
      <c r="A153" s="28" t="s">
        <v>21</v>
      </c>
      <c r="B153" s="28" t="s">
        <v>3793</v>
      </c>
      <c r="C153" s="28" t="s">
        <v>21</v>
      </c>
      <c r="D153" s="29">
        <v>1</v>
      </c>
      <c r="E153" s="71">
        <v>54</v>
      </c>
      <c r="F153" s="45">
        <v>300</v>
      </c>
      <c r="G153" s="32"/>
      <c r="H153" s="32">
        <v>1.8839999999999999</v>
      </c>
      <c r="I153" s="32">
        <v>1.8779999999999999</v>
      </c>
      <c r="J153" s="33">
        <f t="shared" si="24"/>
        <v>6.0000000000000053E-3</v>
      </c>
      <c r="K153" s="34" t="str">
        <f t="shared" si="20"/>
        <v/>
      </c>
      <c r="L153" s="35">
        <f t="shared" si="25"/>
        <v>7.5</v>
      </c>
      <c r="M153" s="36" t="str">
        <f t="shared" si="26"/>
        <v/>
      </c>
      <c r="N153" s="37" t="s">
        <v>18</v>
      </c>
      <c r="O153" s="29">
        <v>1</v>
      </c>
      <c r="P153" s="38">
        <v>40</v>
      </c>
      <c r="Q153" s="46"/>
      <c r="R153" s="28" t="s">
        <v>3813</v>
      </c>
      <c r="S153" s="92" t="s">
        <v>21</v>
      </c>
      <c r="T153" s="46"/>
      <c r="U153" s="28" t="s">
        <v>135</v>
      </c>
    </row>
    <row r="154" spans="1:21" s="27" customFormat="1" x14ac:dyDescent="0.25">
      <c r="A154" s="28" t="s">
        <v>21</v>
      </c>
      <c r="B154" s="28" t="s">
        <v>3794</v>
      </c>
      <c r="C154" s="28" t="s">
        <v>21</v>
      </c>
      <c r="D154" s="29">
        <v>1</v>
      </c>
      <c r="E154" s="71">
        <v>49</v>
      </c>
      <c r="F154" s="45">
        <v>299</v>
      </c>
      <c r="G154" s="32"/>
      <c r="H154" s="32">
        <v>1.889</v>
      </c>
      <c r="I154" s="32">
        <v>1.883</v>
      </c>
      <c r="J154" s="33">
        <f t="shared" si="24"/>
        <v>6.0000000000000053E-3</v>
      </c>
      <c r="K154" s="34" t="str">
        <f t="shared" si="20"/>
        <v/>
      </c>
      <c r="L154" s="35">
        <f t="shared" si="25"/>
        <v>7.4749999999999996</v>
      </c>
      <c r="M154" s="36" t="str">
        <f t="shared" si="26"/>
        <v/>
      </c>
      <c r="N154" s="37" t="s">
        <v>18</v>
      </c>
      <c r="O154" s="29">
        <v>1</v>
      </c>
      <c r="P154" s="38">
        <v>40</v>
      </c>
      <c r="Q154" s="46"/>
      <c r="R154" s="28" t="s">
        <v>3814</v>
      </c>
      <c r="S154" s="92" t="s">
        <v>21</v>
      </c>
      <c r="T154" s="46"/>
      <c r="U154" s="28" t="s">
        <v>135</v>
      </c>
    </row>
    <row r="155" spans="1:21" s="27" customFormat="1" x14ac:dyDescent="0.25">
      <c r="A155" s="28" t="s">
        <v>21</v>
      </c>
      <c r="B155" s="28" t="s">
        <v>3795</v>
      </c>
      <c r="C155" s="28" t="s">
        <v>21</v>
      </c>
      <c r="D155" s="29">
        <v>1</v>
      </c>
      <c r="E155" s="71">
        <v>38</v>
      </c>
      <c r="F155" s="45">
        <v>301</v>
      </c>
      <c r="G155" s="32"/>
      <c r="H155" s="32">
        <v>1.8839999999999999</v>
      </c>
      <c r="I155" s="32">
        <v>1.877</v>
      </c>
      <c r="J155" s="33">
        <f t="shared" si="24"/>
        <v>6.9999999999998952E-3</v>
      </c>
      <c r="K155" s="34" t="str">
        <f t="shared" si="20"/>
        <v/>
      </c>
      <c r="L155" s="35">
        <f t="shared" si="25"/>
        <v>7.5250000000000004</v>
      </c>
      <c r="M155" s="36" t="str">
        <f t="shared" si="26"/>
        <v/>
      </c>
      <c r="N155" s="37" t="s">
        <v>18</v>
      </c>
      <c r="O155" s="29">
        <v>1</v>
      </c>
      <c r="P155" s="38">
        <v>40</v>
      </c>
      <c r="Q155" s="46"/>
      <c r="R155" s="28" t="s">
        <v>3818</v>
      </c>
      <c r="S155" s="91" t="s">
        <v>58</v>
      </c>
      <c r="T155" s="46"/>
      <c r="U155" s="28" t="s">
        <v>135</v>
      </c>
    </row>
    <row r="156" spans="1:21" s="27" customFormat="1" x14ac:dyDescent="0.25">
      <c r="A156" s="28" t="s">
        <v>21</v>
      </c>
      <c r="B156" s="28" t="s">
        <v>3796</v>
      </c>
      <c r="C156" s="28" t="s">
        <v>21</v>
      </c>
      <c r="D156" s="29">
        <v>1</v>
      </c>
      <c r="E156" s="71">
        <v>41</v>
      </c>
      <c r="F156" s="45">
        <v>301</v>
      </c>
      <c r="G156" s="32"/>
      <c r="H156" s="32">
        <v>1.865</v>
      </c>
      <c r="I156" s="32">
        <v>1.857</v>
      </c>
      <c r="J156" s="33">
        <f t="shared" si="24"/>
        <v>8.0000000000000071E-3</v>
      </c>
      <c r="K156" s="34" t="str">
        <f t="shared" si="20"/>
        <v/>
      </c>
      <c r="L156" s="35">
        <f t="shared" si="25"/>
        <v>7.5250000000000004</v>
      </c>
      <c r="M156" s="36" t="str">
        <f t="shared" si="26"/>
        <v/>
      </c>
      <c r="N156" s="37" t="s">
        <v>18</v>
      </c>
      <c r="O156" s="29">
        <v>1</v>
      </c>
      <c r="P156" s="38">
        <v>40</v>
      </c>
      <c r="Q156" s="46"/>
      <c r="R156" s="28" t="s">
        <v>3819</v>
      </c>
      <c r="S156" s="91" t="s">
        <v>59</v>
      </c>
      <c r="T156" s="46"/>
      <c r="U156" s="28" t="s">
        <v>135</v>
      </c>
    </row>
    <row r="157" spans="1:21" s="27" customFormat="1" x14ac:dyDescent="0.25">
      <c r="A157" s="28" t="s">
        <v>21</v>
      </c>
      <c r="B157" s="28" t="s">
        <v>3797</v>
      </c>
      <c r="C157" s="28" t="s">
        <v>21</v>
      </c>
      <c r="D157" s="29">
        <v>1</v>
      </c>
      <c r="E157" s="71">
        <v>50</v>
      </c>
      <c r="F157" s="45">
        <v>299</v>
      </c>
      <c r="G157" s="32"/>
      <c r="H157" s="32">
        <v>1.873</v>
      </c>
      <c r="I157" s="32">
        <v>1.867</v>
      </c>
      <c r="J157" s="33">
        <f t="shared" si="24"/>
        <v>6.0000000000000053E-3</v>
      </c>
      <c r="K157" s="34" t="str">
        <f t="shared" si="20"/>
        <v/>
      </c>
      <c r="L157" s="35">
        <f t="shared" si="25"/>
        <v>7.4749999999999996</v>
      </c>
      <c r="M157" s="36" t="str">
        <f t="shared" si="26"/>
        <v/>
      </c>
      <c r="N157" s="37" t="s">
        <v>18</v>
      </c>
      <c r="O157" s="29">
        <v>1</v>
      </c>
      <c r="P157" s="38">
        <v>40</v>
      </c>
      <c r="Q157" s="46"/>
      <c r="R157" s="28" t="s">
        <v>3820</v>
      </c>
      <c r="S157" s="92" t="s">
        <v>21</v>
      </c>
      <c r="T157" s="46"/>
      <c r="U157" s="28" t="s">
        <v>135</v>
      </c>
    </row>
    <row r="158" spans="1:21" s="27" customFormat="1" x14ac:dyDescent="0.25">
      <c r="A158" s="28" t="s">
        <v>21</v>
      </c>
      <c r="B158" s="28" t="s">
        <v>3798</v>
      </c>
      <c r="C158" s="28" t="s">
        <v>21</v>
      </c>
      <c r="D158" s="29">
        <v>1</v>
      </c>
      <c r="E158" s="71">
        <v>48</v>
      </c>
      <c r="F158" s="45">
        <v>299</v>
      </c>
      <c r="G158" s="32"/>
      <c r="H158" s="32">
        <v>1.871</v>
      </c>
      <c r="I158" s="32">
        <v>1.865</v>
      </c>
      <c r="J158" s="33">
        <f t="shared" si="24"/>
        <v>6.0000000000000053E-3</v>
      </c>
      <c r="K158" s="34" t="str">
        <f t="shared" si="20"/>
        <v/>
      </c>
      <c r="L158" s="35">
        <f t="shared" si="25"/>
        <v>7.4749999999999996</v>
      </c>
      <c r="M158" s="36" t="str">
        <f t="shared" si="26"/>
        <v/>
      </c>
      <c r="N158" s="37" t="s">
        <v>18</v>
      </c>
      <c r="O158" s="29">
        <v>1</v>
      </c>
      <c r="P158" s="38">
        <v>40</v>
      </c>
      <c r="Q158" s="46"/>
      <c r="R158" s="28" t="s">
        <v>3821</v>
      </c>
      <c r="S158" s="92" t="s">
        <v>21</v>
      </c>
      <c r="T158" s="46"/>
      <c r="U158" s="28" t="s">
        <v>135</v>
      </c>
    </row>
    <row r="159" spans="1:21" s="27" customFormat="1" x14ac:dyDescent="0.25">
      <c r="A159" s="28" t="s">
        <v>21</v>
      </c>
      <c r="B159" s="28" t="s">
        <v>3799</v>
      </c>
      <c r="C159" s="28" t="s">
        <v>21</v>
      </c>
      <c r="D159" s="29">
        <v>1</v>
      </c>
      <c r="E159" s="71">
        <v>43</v>
      </c>
      <c r="F159" s="45">
        <v>301</v>
      </c>
      <c r="G159" s="32"/>
      <c r="H159" s="32">
        <v>1.871</v>
      </c>
      <c r="I159" s="32">
        <v>1.8640000000000001</v>
      </c>
      <c r="J159" s="33">
        <f t="shared" si="24"/>
        <v>6.9999999999998952E-3</v>
      </c>
      <c r="K159" s="34" t="str">
        <f t="shared" si="20"/>
        <v/>
      </c>
      <c r="L159" s="35">
        <f t="shared" si="25"/>
        <v>7.5250000000000004</v>
      </c>
      <c r="M159" s="36" t="str">
        <f t="shared" si="26"/>
        <v/>
      </c>
      <c r="N159" s="37" t="s">
        <v>18</v>
      </c>
      <c r="O159" s="29">
        <v>1</v>
      </c>
      <c r="P159" s="38">
        <v>40</v>
      </c>
      <c r="Q159" s="46"/>
      <c r="R159" s="28" t="s">
        <v>3822</v>
      </c>
      <c r="S159" s="92" t="s">
        <v>21</v>
      </c>
      <c r="T159" s="46"/>
      <c r="U159" s="28" t="s">
        <v>135</v>
      </c>
    </row>
    <row r="160" spans="1:21" s="27" customFormat="1" x14ac:dyDescent="0.25">
      <c r="A160" s="28" t="s">
        <v>21</v>
      </c>
      <c r="B160" s="28" t="s">
        <v>3800</v>
      </c>
      <c r="C160" s="28" t="s">
        <v>21</v>
      </c>
      <c r="D160" s="29">
        <v>1</v>
      </c>
      <c r="E160" s="71">
        <v>51</v>
      </c>
      <c r="F160" s="45">
        <v>300</v>
      </c>
      <c r="G160" s="32"/>
      <c r="H160" s="32">
        <v>1.873</v>
      </c>
      <c r="I160" s="32">
        <v>1.867</v>
      </c>
      <c r="J160" s="33">
        <f t="shared" si="24"/>
        <v>6.0000000000000053E-3</v>
      </c>
      <c r="K160" s="34" t="str">
        <f t="shared" si="20"/>
        <v/>
      </c>
      <c r="L160" s="35">
        <f t="shared" si="25"/>
        <v>7.5</v>
      </c>
      <c r="M160" s="36" t="str">
        <f t="shared" si="26"/>
        <v/>
      </c>
      <c r="N160" s="37" t="s">
        <v>18</v>
      </c>
      <c r="O160" s="29">
        <v>1</v>
      </c>
      <c r="P160" s="38">
        <v>40</v>
      </c>
      <c r="Q160" s="46"/>
      <c r="R160" s="28" t="s">
        <v>3823</v>
      </c>
      <c r="S160" s="92" t="s">
        <v>21</v>
      </c>
      <c r="T160" s="46"/>
      <c r="U160" s="28" t="s">
        <v>135</v>
      </c>
    </row>
    <row r="161" spans="1:21" s="27" customFormat="1" x14ac:dyDescent="0.25">
      <c r="A161" s="28" t="s">
        <v>21</v>
      </c>
      <c r="B161" s="28" t="s">
        <v>3801</v>
      </c>
      <c r="C161" s="28" t="s">
        <v>21</v>
      </c>
      <c r="D161" s="29">
        <v>1</v>
      </c>
      <c r="E161" s="71">
        <v>47</v>
      </c>
      <c r="F161" s="45">
        <v>300</v>
      </c>
      <c r="G161" s="32"/>
      <c r="H161" s="32">
        <v>1.8740000000000001</v>
      </c>
      <c r="I161" s="32">
        <v>1.8680000000000001</v>
      </c>
      <c r="J161" s="33">
        <f t="shared" si="24"/>
        <v>6.0000000000000053E-3</v>
      </c>
      <c r="K161" s="34" t="str">
        <f t="shared" si="20"/>
        <v/>
      </c>
      <c r="L161" s="35">
        <f t="shared" si="25"/>
        <v>7.5</v>
      </c>
      <c r="M161" s="36" t="str">
        <f t="shared" si="26"/>
        <v/>
      </c>
      <c r="N161" s="37" t="s">
        <v>18</v>
      </c>
      <c r="O161" s="29">
        <v>1</v>
      </c>
      <c r="P161" s="38">
        <v>40</v>
      </c>
      <c r="Q161" s="46"/>
      <c r="R161" s="28" t="s">
        <v>3824</v>
      </c>
      <c r="S161" s="92" t="s">
        <v>21</v>
      </c>
      <c r="T161" s="46"/>
      <c r="U161" s="28" t="s">
        <v>135</v>
      </c>
    </row>
    <row r="162" spans="1:21" s="27" customFormat="1" x14ac:dyDescent="0.25">
      <c r="A162" s="28" t="s">
        <v>21</v>
      </c>
      <c r="B162" s="28" t="s">
        <v>3802</v>
      </c>
      <c r="C162" s="28" t="s">
        <v>21</v>
      </c>
      <c r="D162" s="29">
        <v>1</v>
      </c>
      <c r="E162" s="71">
        <v>48</v>
      </c>
      <c r="F162" s="45">
        <v>299</v>
      </c>
      <c r="G162" s="32"/>
      <c r="H162" s="32">
        <v>1.869</v>
      </c>
      <c r="I162" s="32">
        <v>1.8620000000000001</v>
      </c>
      <c r="J162" s="33">
        <f t="shared" si="24"/>
        <v>6.9999999999998952E-3</v>
      </c>
      <c r="K162" s="34" t="str">
        <f t="shared" si="20"/>
        <v/>
      </c>
      <c r="L162" s="35">
        <f t="shared" si="25"/>
        <v>7.4749999999999996</v>
      </c>
      <c r="M162" s="36" t="str">
        <f t="shared" si="26"/>
        <v/>
      </c>
      <c r="N162" s="37" t="s">
        <v>18</v>
      </c>
      <c r="O162" s="29">
        <v>1</v>
      </c>
      <c r="P162" s="38">
        <v>40</v>
      </c>
      <c r="Q162" s="46"/>
      <c r="R162" s="28" t="s">
        <v>3825</v>
      </c>
      <c r="S162" s="92" t="s">
        <v>21</v>
      </c>
      <c r="T162" s="46"/>
      <c r="U162" s="28" t="s">
        <v>135</v>
      </c>
    </row>
    <row r="163" spans="1:21" s="27" customFormat="1" x14ac:dyDescent="0.25">
      <c r="A163" s="28" t="s">
        <v>21</v>
      </c>
      <c r="B163" s="28" t="s">
        <v>3803</v>
      </c>
      <c r="C163" s="28" t="s">
        <v>21</v>
      </c>
      <c r="D163" s="29">
        <v>1</v>
      </c>
      <c r="E163" s="71">
        <v>32</v>
      </c>
      <c r="F163" s="45">
        <v>301</v>
      </c>
      <c r="G163" s="32"/>
      <c r="H163" s="32">
        <v>1.867</v>
      </c>
      <c r="I163" s="32">
        <v>1.8580000000000001</v>
      </c>
      <c r="J163" s="33">
        <f t="shared" si="24"/>
        <v>8.999999999999897E-3</v>
      </c>
      <c r="K163" s="34" t="str">
        <f t="shared" si="20"/>
        <v/>
      </c>
      <c r="L163" s="35">
        <f t="shared" si="25"/>
        <v>7.5250000000000004</v>
      </c>
      <c r="M163" s="36" t="str">
        <f t="shared" si="26"/>
        <v/>
      </c>
      <c r="N163" s="37" t="s">
        <v>18</v>
      </c>
      <c r="O163" s="29">
        <v>1</v>
      </c>
      <c r="P163" s="38">
        <v>40</v>
      </c>
      <c r="Q163" s="46"/>
      <c r="R163" s="28" t="s">
        <v>3826</v>
      </c>
      <c r="S163" s="92" t="s">
        <v>21</v>
      </c>
      <c r="T163" s="46"/>
      <c r="U163" s="28" t="s">
        <v>135</v>
      </c>
    </row>
    <row r="164" spans="1:21" s="27" customFormat="1" x14ac:dyDescent="0.25">
      <c r="A164" s="28" t="s">
        <v>21</v>
      </c>
      <c r="B164" s="28" t="s">
        <v>3804</v>
      </c>
      <c r="C164" s="28" t="s">
        <v>21</v>
      </c>
      <c r="D164" s="29">
        <v>1</v>
      </c>
      <c r="E164" s="71">
        <v>57</v>
      </c>
      <c r="F164" s="45">
        <v>299</v>
      </c>
      <c r="G164" s="32"/>
      <c r="H164" s="32">
        <v>1.873</v>
      </c>
      <c r="I164" s="32">
        <v>1.867</v>
      </c>
      <c r="J164" s="33">
        <f t="shared" si="24"/>
        <v>6.0000000000000053E-3</v>
      </c>
      <c r="K164" s="34" t="str">
        <f t="shared" si="20"/>
        <v/>
      </c>
      <c r="L164" s="35">
        <f t="shared" si="25"/>
        <v>7.4749999999999996</v>
      </c>
      <c r="M164" s="36" t="str">
        <f t="shared" si="26"/>
        <v/>
      </c>
      <c r="N164" s="37" t="s">
        <v>18</v>
      </c>
      <c r="O164" s="29">
        <v>1</v>
      </c>
      <c r="P164" s="38">
        <v>40</v>
      </c>
      <c r="Q164" s="46"/>
      <c r="R164" s="28" t="s">
        <v>3827</v>
      </c>
      <c r="S164" s="92" t="s">
        <v>21</v>
      </c>
      <c r="T164" s="46"/>
      <c r="U164" s="28" t="s">
        <v>135</v>
      </c>
    </row>
  </sheetData>
  <customSheetViews>
    <customSheetView guid="{C2C34B0E-C0A2-4B0B-812E-0757ABB9DC2E}">
      <pane ySplit="1" topLeftCell="A131" activePane="bottomLeft" state="frozen"/>
      <selection pane="bottomLeft" activeCell="G166" sqref="G166"/>
      <pageMargins left="0.7" right="0.7" top="0.78740157499999996" bottom="0.78740157499999996" header="0.3" footer="0.3"/>
    </customSheetView>
    <customSheetView guid="{E2377352-22A7-452B-BFAD-18D3D497CC88}"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customSheetViews>
    <customSheetView guid="{C2C34B0E-C0A2-4B0B-812E-0757ABB9DC2E}" state="hidden">
      <pageMargins left="0.7" right="0.7" top="0.78740157499999996" bottom="0.78740157499999996" header="0.3" footer="0.3"/>
    </customSheetView>
  </customSheetView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89"/>
  <sheetViews>
    <sheetView workbookViewId="0">
      <selection sqref="A1:XFD1048576"/>
    </sheetView>
  </sheetViews>
  <sheetFormatPr baseColWidth="10" defaultColWidth="9.140625" defaultRowHeight="15" x14ac:dyDescent="0.25"/>
  <cols>
    <col min="1" max="1" width="14" customWidth="1"/>
    <col min="2" max="2" width="14.7109375" customWidth="1"/>
    <col min="4" max="4" width="7.85546875" customWidth="1"/>
    <col min="5" max="5" width="9.140625" customWidth="1"/>
    <col min="7" max="7" width="10.5703125" customWidth="1"/>
    <col min="11" max="11" width="1.85546875" customWidth="1"/>
    <col min="13" max="13" width="2.85546875" customWidth="1"/>
    <col min="14" max="14" width="9.85546875" customWidth="1"/>
    <col min="17" max="17" width="3.28515625" customWidth="1"/>
    <col min="18" max="18" width="28.42578125" customWidth="1"/>
    <col min="19" max="19" width="31" customWidth="1"/>
    <col min="20" max="20" width="2" customWidth="1"/>
  </cols>
  <sheetData>
    <row r="1" spans="1:54" s="15" customFormat="1" ht="50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1350</v>
      </c>
      <c r="F1" s="5" t="s">
        <v>5</v>
      </c>
      <c r="G1" s="6" t="s">
        <v>6</v>
      </c>
      <c r="H1" s="1" t="s">
        <v>7</v>
      </c>
      <c r="I1" s="1" t="s">
        <v>8</v>
      </c>
      <c r="J1" s="7" t="s">
        <v>9</v>
      </c>
      <c r="K1" s="8"/>
      <c r="L1" s="9" t="s">
        <v>10</v>
      </c>
      <c r="M1" s="10"/>
      <c r="N1" s="11" t="s">
        <v>11</v>
      </c>
      <c r="O1" s="1" t="s">
        <v>12</v>
      </c>
      <c r="P1" s="1" t="s">
        <v>13</v>
      </c>
      <c r="Q1" s="1"/>
      <c r="R1" s="6" t="s">
        <v>14</v>
      </c>
      <c r="S1" s="6" t="s">
        <v>14</v>
      </c>
      <c r="T1" s="6"/>
      <c r="U1" s="2" t="s">
        <v>15</v>
      </c>
      <c r="V1" s="12"/>
      <c r="W1" s="13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7" customFormat="1" ht="42" customHeight="1" x14ac:dyDescent="0.25">
      <c r="A2" s="16" t="s">
        <v>16</v>
      </c>
      <c r="B2" s="17"/>
      <c r="C2" s="17"/>
      <c r="D2" s="18"/>
      <c r="E2" s="19"/>
      <c r="F2" s="20"/>
      <c r="G2" s="21"/>
      <c r="H2" s="21"/>
      <c r="I2" s="21"/>
      <c r="J2" s="21"/>
      <c r="K2" s="22" t="str">
        <f>IF(J2=0,"",IF(OR(J2&lt;0,J2&gt;0.03),"X",""))</f>
        <v/>
      </c>
      <c r="L2" s="23"/>
      <c r="M2" s="24" t="str">
        <f>IF(L2=0,"",IF(OR(L2&lt;7.4,L2&gt;8),"X",""))</f>
        <v/>
      </c>
      <c r="N2" s="25"/>
      <c r="O2" s="21"/>
      <c r="P2" s="21"/>
      <c r="Q2" s="21"/>
      <c r="R2" s="26"/>
      <c r="S2" s="26"/>
      <c r="T2" s="26"/>
      <c r="U2" s="17"/>
    </row>
    <row r="3" spans="1:54" s="27" customFormat="1" x14ac:dyDescent="0.25">
      <c r="A3" s="28"/>
      <c r="B3" s="28"/>
      <c r="C3" s="28"/>
      <c r="D3" s="29"/>
      <c r="E3" s="73"/>
      <c r="F3" s="31"/>
      <c r="G3" s="32"/>
      <c r="H3" s="32"/>
      <c r="I3" s="32"/>
      <c r="J3" s="33">
        <f>IF(O3&lt;&gt;"",(H3-I3)/O3,"")</f>
        <v>0</v>
      </c>
      <c r="K3" s="34" t="str">
        <f t="shared" ref="K3:K14" si="0">IF(J3=0,"",IF(OR(J3&lt;0,J3&gt;0.03),"X",""))</f>
        <v/>
      </c>
      <c r="L3" s="35">
        <f>F3/(O3*P3)</f>
        <v>0</v>
      </c>
      <c r="M3" s="36" t="str">
        <f>IF(L3=0,"",IF(OR(L3&lt;7,L3&gt;7.8),"X",""))</f>
        <v/>
      </c>
      <c r="N3" s="37" t="s">
        <v>16</v>
      </c>
      <c r="O3" s="29">
        <v>1</v>
      </c>
      <c r="P3" s="38">
        <v>25</v>
      </c>
      <c r="Q3" s="28"/>
      <c r="R3" s="28"/>
      <c r="S3" s="39"/>
      <c r="T3" s="28"/>
      <c r="U3" s="28"/>
    </row>
    <row r="4" spans="1:54" s="27" customFormat="1" ht="41.25" customHeight="1" x14ac:dyDescent="0.25">
      <c r="A4" s="40" t="s">
        <v>17</v>
      </c>
      <c r="B4" s="41"/>
      <c r="C4" s="41"/>
      <c r="D4" s="41"/>
      <c r="E4" s="41"/>
      <c r="F4" s="41"/>
      <c r="G4" s="41"/>
      <c r="H4" s="41"/>
      <c r="I4" s="41"/>
      <c r="J4" s="42"/>
      <c r="K4" s="22" t="str">
        <f t="shared" si="0"/>
        <v/>
      </c>
      <c r="L4" s="43"/>
      <c r="M4" s="24" t="str">
        <f t="shared" ref="M4:M31" si="1">IF(L4=0,"",IF(OR(L4&lt;7.4,L4&gt;8),"X",""))</f>
        <v/>
      </c>
      <c r="N4" s="25"/>
      <c r="O4" s="41"/>
      <c r="P4" s="41"/>
      <c r="Q4" s="41"/>
      <c r="R4" s="41"/>
      <c r="S4" s="41"/>
      <c r="T4" s="41"/>
      <c r="U4" s="41"/>
    </row>
    <row r="5" spans="1:54" s="27" customFormat="1" x14ac:dyDescent="0.25">
      <c r="A5" s="28" t="s">
        <v>3830</v>
      </c>
      <c r="B5" s="44"/>
      <c r="C5" s="28"/>
      <c r="D5" s="31"/>
      <c r="E5" s="73"/>
      <c r="F5" s="45"/>
      <c r="G5" s="32"/>
      <c r="H5" s="32"/>
      <c r="I5" s="32"/>
      <c r="J5" s="33">
        <f>IF(O5&lt;&gt;"",(H5-I5)/O5,"")</f>
        <v>0</v>
      </c>
      <c r="K5" s="34" t="str">
        <f t="shared" si="0"/>
        <v/>
      </c>
      <c r="L5" s="35">
        <f>F5/(O5*P5)</f>
        <v>0</v>
      </c>
      <c r="M5" s="36" t="str">
        <f>IF(L5=0,"",IF(OR(L5&lt;7,L5&gt;7.8),"X",""))</f>
        <v/>
      </c>
      <c r="N5" s="37" t="s">
        <v>18</v>
      </c>
      <c r="O5" s="29">
        <v>1</v>
      </c>
      <c r="P5" s="38">
        <v>40</v>
      </c>
      <c r="Q5" s="46"/>
      <c r="R5" s="28"/>
      <c r="S5" s="47"/>
      <c r="T5" s="46"/>
      <c r="U5" s="28"/>
    </row>
    <row r="6" spans="1:54" s="27" customFormat="1" ht="42" customHeight="1" x14ac:dyDescent="0.25">
      <c r="A6" s="40" t="s">
        <v>19</v>
      </c>
      <c r="B6" s="41"/>
      <c r="C6" s="41"/>
      <c r="D6" s="41"/>
      <c r="E6" s="41"/>
      <c r="F6" s="41"/>
      <c r="G6" s="41"/>
      <c r="H6" s="41"/>
      <c r="I6" s="41"/>
      <c r="J6" s="42"/>
      <c r="K6" s="22" t="str">
        <f t="shared" si="0"/>
        <v/>
      </c>
      <c r="L6" s="43"/>
      <c r="M6" s="24" t="str">
        <f t="shared" si="1"/>
        <v/>
      </c>
      <c r="N6" s="25"/>
      <c r="O6" s="41"/>
      <c r="P6" s="41"/>
      <c r="Q6" s="41"/>
      <c r="R6" s="41"/>
      <c r="S6" s="41"/>
      <c r="T6" s="41"/>
      <c r="U6" s="41"/>
    </row>
    <row r="7" spans="1:54" s="27" customFormat="1" x14ac:dyDescent="0.25">
      <c r="A7" s="28"/>
      <c r="B7" s="28"/>
      <c r="C7" s="28"/>
      <c r="D7" s="31"/>
      <c r="E7" s="73"/>
      <c r="F7" s="45"/>
      <c r="G7" s="32"/>
      <c r="H7" s="32"/>
      <c r="I7" s="32"/>
      <c r="J7" s="33">
        <f>IF(O7&lt;&gt;"",(H7-I7)/O7,"")</f>
        <v>0</v>
      </c>
      <c r="K7" s="34" t="str">
        <f t="shared" si="0"/>
        <v/>
      </c>
      <c r="L7" s="35">
        <f>F7/(O7*P7)</f>
        <v>0</v>
      </c>
      <c r="M7" s="36" t="str">
        <f>IF(L7=0,"",IF(OR(L7&lt;7,L7&gt;7.8),"X",""))</f>
        <v/>
      </c>
      <c r="N7" s="37" t="s">
        <v>20</v>
      </c>
      <c r="O7" s="29">
        <v>2</v>
      </c>
      <c r="P7" s="38">
        <v>40</v>
      </c>
      <c r="Q7" s="28"/>
      <c r="R7" s="28"/>
      <c r="S7" s="47"/>
      <c r="T7" s="28"/>
      <c r="U7" s="28"/>
    </row>
    <row r="8" spans="1:54" s="27" customFormat="1" x14ac:dyDescent="0.25">
      <c r="A8" s="28" t="s">
        <v>21</v>
      </c>
      <c r="B8" s="28" t="s">
        <v>21</v>
      </c>
      <c r="C8" s="28"/>
      <c r="D8" s="31"/>
      <c r="E8" s="73"/>
      <c r="F8" s="31"/>
      <c r="G8" s="32"/>
      <c r="H8" s="32"/>
      <c r="I8" s="32"/>
      <c r="J8" s="33"/>
      <c r="K8" s="34" t="str">
        <f t="shared" si="0"/>
        <v/>
      </c>
      <c r="L8" s="35"/>
      <c r="M8" s="36" t="str">
        <f t="shared" si="1"/>
        <v/>
      </c>
      <c r="N8" s="37"/>
      <c r="O8" s="29"/>
      <c r="P8" s="38"/>
      <c r="Q8" s="28"/>
      <c r="R8" s="28"/>
      <c r="S8" s="47"/>
      <c r="T8" s="28"/>
      <c r="U8" s="28"/>
    </row>
    <row r="9" spans="1:54" s="27" customFormat="1" ht="39" customHeight="1" x14ac:dyDescent="0.25">
      <c r="A9" s="40" t="s">
        <v>22</v>
      </c>
      <c r="B9" s="41"/>
      <c r="C9" s="41"/>
      <c r="D9" s="41"/>
      <c r="E9" s="41"/>
      <c r="F9" s="41"/>
      <c r="G9" s="41"/>
      <c r="H9" s="41"/>
      <c r="I9" s="41"/>
      <c r="J9" s="42"/>
      <c r="K9" s="22" t="str">
        <f t="shared" si="0"/>
        <v/>
      </c>
      <c r="L9" s="43"/>
      <c r="M9" s="24" t="str">
        <f t="shared" si="1"/>
        <v/>
      </c>
      <c r="N9" s="25"/>
      <c r="O9" s="41"/>
      <c r="P9" s="41"/>
      <c r="Q9" s="41"/>
      <c r="R9" s="41"/>
      <c r="S9" s="41"/>
      <c r="T9" s="41"/>
      <c r="U9" s="41"/>
    </row>
    <row r="10" spans="1:54" s="27" customFormat="1" x14ac:dyDescent="0.25">
      <c r="A10" s="28"/>
      <c r="B10" s="28"/>
      <c r="C10" s="28"/>
      <c r="D10" s="31"/>
      <c r="E10" s="73"/>
      <c r="F10" s="45"/>
      <c r="G10" s="32"/>
      <c r="H10" s="32"/>
      <c r="I10" s="32"/>
      <c r="J10" s="33">
        <f>IF(O10&lt;&gt;"",(H10-I10)/O10,"")</f>
        <v>0</v>
      </c>
      <c r="K10" s="34" t="str">
        <f t="shared" si="0"/>
        <v/>
      </c>
      <c r="L10" s="35">
        <f>F10/(O10*P10)</f>
        <v>0</v>
      </c>
      <c r="M10" s="36" t="str">
        <f>IF(L10=0,"",IF(OR(L10&lt;7,L10&gt;7.8),"X",""))</f>
        <v/>
      </c>
      <c r="N10" s="37" t="s">
        <v>23</v>
      </c>
      <c r="O10" s="29">
        <v>3</v>
      </c>
      <c r="P10" s="38">
        <v>40</v>
      </c>
      <c r="Q10" s="28"/>
      <c r="R10" s="28"/>
      <c r="S10" s="47"/>
      <c r="T10" s="46"/>
      <c r="U10" s="28"/>
    </row>
    <row r="11" spans="1:54" s="27" customFormat="1" x14ac:dyDescent="0.25">
      <c r="A11" s="28" t="s">
        <v>21</v>
      </c>
      <c r="B11" s="28" t="s">
        <v>21</v>
      </c>
      <c r="C11" s="28"/>
      <c r="D11" s="31"/>
      <c r="E11" s="73"/>
      <c r="F11" s="31"/>
      <c r="G11" s="32"/>
      <c r="H11" s="32"/>
      <c r="I11" s="32"/>
      <c r="J11" s="33" t="str">
        <f t="shared" ref="J11:J12" si="2">IF(O11&lt;&gt;"",(H11-I11)/O11,"")</f>
        <v/>
      </c>
      <c r="K11" s="34"/>
      <c r="L11" s="35"/>
      <c r="M11" s="36" t="str">
        <f t="shared" si="1"/>
        <v/>
      </c>
      <c r="N11" s="37"/>
      <c r="O11" s="29"/>
      <c r="P11" s="38"/>
      <c r="Q11" s="28"/>
      <c r="R11" s="28"/>
      <c r="S11" s="47"/>
      <c r="T11" s="46"/>
      <c r="U11" s="28"/>
    </row>
    <row r="12" spans="1:54" s="27" customFormat="1" ht="14.25" customHeight="1" x14ac:dyDescent="0.25">
      <c r="A12" s="28" t="s">
        <v>21</v>
      </c>
      <c r="B12" s="28" t="s">
        <v>21</v>
      </c>
      <c r="C12" s="28"/>
      <c r="D12" s="31"/>
      <c r="E12" s="73"/>
      <c r="F12" s="31"/>
      <c r="G12" s="32"/>
      <c r="H12" s="32"/>
      <c r="I12" s="32"/>
      <c r="J12" s="33" t="str">
        <f t="shared" si="2"/>
        <v/>
      </c>
      <c r="K12" s="34"/>
      <c r="L12" s="35"/>
      <c r="M12" s="36" t="str">
        <f t="shared" si="1"/>
        <v/>
      </c>
      <c r="N12" s="37"/>
      <c r="O12" s="29"/>
      <c r="P12" s="38"/>
      <c r="Q12" s="28"/>
      <c r="R12" s="28"/>
      <c r="S12" s="47"/>
      <c r="T12" s="46"/>
      <c r="U12" s="28"/>
    </row>
    <row r="13" spans="1:54" s="27" customFormat="1" ht="58.5" customHeight="1" x14ac:dyDescent="0.25">
      <c r="A13" s="40" t="s">
        <v>24</v>
      </c>
      <c r="B13" s="41"/>
      <c r="C13" s="41"/>
      <c r="D13" s="41"/>
      <c r="E13" s="41"/>
      <c r="F13" s="41"/>
      <c r="G13" s="41"/>
      <c r="H13" s="41"/>
      <c r="I13" s="41"/>
      <c r="J13" s="42"/>
      <c r="K13" s="22" t="str">
        <f t="shared" si="0"/>
        <v/>
      </c>
      <c r="L13" s="43"/>
      <c r="M13" s="24" t="str">
        <f t="shared" si="1"/>
        <v/>
      </c>
      <c r="N13" s="25"/>
      <c r="O13" s="41"/>
      <c r="P13" s="41"/>
      <c r="Q13" s="41"/>
      <c r="R13" s="41"/>
      <c r="S13" s="41"/>
      <c r="T13" s="41"/>
      <c r="U13" s="41"/>
    </row>
    <row r="14" spans="1:54" s="27" customFormat="1" x14ac:dyDescent="0.25">
      <c r="A14" s="28"/>
      <c r="B14" s="28"/>
      <c r="C14" s="28"/>
      <c r="D14" s="31"/>
      <c r="E14" s="73"/>
      <c r="F14" s="45"/>
      <c r="G14" s="32"/>
      <c r="H14" s="32"/>
      <c r="I14" s="32"/>
      <c r="J14" s="33">
        <f>IF(O14&lt;&gt;"",(H14-I14)/O14,"")</f>
        <v>0</v>
      </c>
      <c r="K14" s="34" t="str">
        <f t="shared" si="0"/>
        <v/>
      </c>
      <c r="L14" s="35">
        <f>F14/(O14*P14)</f>
        <v>0</v>
      </c>
      <c r="M14" s="36" t="str">
        <f>IF(L14=0,"",IF(OR(L14&lt;7,L14&gt;7.8),"X",""))</f>
        <v/>
      </c>
      <c r="N14" s="37" t="s">
        <v>24</v>
      </c>
      <c r="O14" s="29">
        <v>4</v>
      </c>
      <c r="P14" s="38">
        <v>40</v>
      </c>
      <c r="Q14" s="28"/>
      <c r="R14" s="28"/>
      <c r="S14" s="47"/>
      <c r="T14" s="28"/>
      <c r="U14" s="28"/>
    </row>
    <row r="15" spans="1:54" s="27" customFormat="1" x14ac:dyDescent="0.25">
      <c r="A15" s="28" t="s">
        <v>21</v>
      </c>
      <c r="B15" s="28" t="s">
        <v>21</v>
      </c>
      <c r="C15" s="28"/>
      <c r="D15" s="31"/>
      <c r="E15" s="73"/>
      <c r="F15" s="31"/>
      <c r="G15" s="32"/>
      <c r="H15" s="32"/>
      <c r="I15" s="32"/>
      <c r="J15" s="33" t="str">
        <f t="shared" ref="J15:J17" si="3">IF(O15&lt;&gt;"",(H15-I15)/O15,"")</f>
        <v/>
      </c>
      <c r="K15" s="34"/>
      <c r="L15" s="35"/>
      <c r="M15" s="36" t="str">
        <f t="shared" si="1"/>
        <v/>
      </c>
      <c r="N15" s="37"/>
      <c r="O15" s="29"/>
      <c r="P15" s="38"/>
      <c r="Q15" s="28"/>
      <c r="R15" s="28"/>
      <c r="S15" s="47"/>
      <c r="T15" s="28"/>
      <c r="U15" s="28"/>
    </row>
    <row r="16" spans="1:54" s="27" customFormat="1" x14ac:dyDescent="0.25">
      <c r="A16" s="28" t="s">
        <v>21</v>
      </c>
      <c r="B16" s="28" t="s">
        <v>21</v>
      </c>
      <c r="C16" s="28"/>
      <c r="D16" s="31"/>
      <c r="E16" s="73"/>
      <c r="F16" s="31"/>
      <c r="G16" s="32"/>
      <c r="H16" s="32"/>
      <c r="I16" s="32"/>
      <c r="J16" s="33" t="str">
        <f t="shared" si="3"/>
        <v/>
      </c>
      <c r="K16" s="34"/>
      <c r="L16" s="35"/>
      <c r="M16" s="36" t="str">
        <f t="shared" si="1"/>
        <v/>
      </c>
      <c r="N16" s="37"/>
      <c r="O16" s="29"/>
      <c r="P16" s="38"/>
      <c r="Q16" s="28"/>
      <c r="R16" s="28"/>
      <c r="S16" s="47"/>
      <c r="T16" s="28"/>
      <c r="U16" s="28"/>
    </row>
    <row r="17" spans="1:21" s="27" customFormat="1" x14ac:dyDescent="0.25">
      <c r="A17" s="28" t="s">
        <v>21</v>
      </c>
      <c r="B17" s="28" t="s">
        <v>21</v>
      </c>
      <c r="C17" s="28"/>
      <c r="D17" s="31"/>
      <c r="E17" s="73"/>
      <c r="F17" s="31"/>
      <c r="G17" s="32"/>
      <c r="H17" s="32"/>
      <c r="I17" s="32"/>
      <c r="J17" s="33" t="str">
        <f t="shared" si="3"/>
        <v/>
      </c>
      <c r="K17" s="34"/>
      <c r="L17" s="35"/>
      <c r="M17" s="36" t="str">
        <f t="shared" si="1"/>
        <v/>
      </c>
      <c r="N17" s="37"/>
      <c r="O17" s="29"/>
      <c r="P17" s="38"/>
      <c r="Q17" s="28"/>
      <c r="R17" s="28"/>
      <c r="S17" s="47"/>
      <c r="T17" s="28"/>
      <c r="U17" s="28"/>
    </row>
    <row r="18" spans="1:21" s="27" customFormat="1" ht="50.25" customHeight="1" x14ac:dyDescent="0.25">
      <c r="A18" s="40" t="s">
        <v>25</v>
      </c>
      <c r="B18" s="41"/>
      <c r="C18" s="41"/>
      <c r="D18" s="41"/>
      <c r="E18" s="41"/>
      <c r="F18" s="41"/>
      <c r="G18" s="41"/>
      <c r="H18" s="41"/>
      <c r="I18" s="41"/>
      <c r="J18" s="42"/>
      <c r="K18" s="22" t="str">
        <f t="shared" ref="K18" si="4">IF(J18=0,"",IF(OR(J18&lt;0,J18&gt;0.03),"X",""))</f>
        <v/>
      </c>
      <c r="L18" s="43"/>
      <c r="M18" s="24" t="str">
        <f t="shared" si="1"/>
        <v/>
      </c>
      <c r="N18" s="25"/>
      <c r="O18" s="41"/>
      <c r="P18" s="41"/>
      <c r="Q18" s="41"/>
      <c r="R18" s="41"/>
      <c r="S18" s="41"/>
      <c r="T18" s="41"/>
      <c r="U18" s="41"/>
    </row>
    <row r="19" spans="1:21" s="27" customFormat="1" x14ac:dyDescent="0.25">
      <c r="A19" s="28"/>
      <c r="B19" s="28"/>
      <c r="C19" s="28"/>
      <c r="D19" s="31"/>
      <c r="E19" s="73"/>
      <c r="F19" s="45"/>
      <c r="G19" s="32"/>
      <c r="H19" s="32"/>
      <c r="I19" s="32"/>
      <c r="J19" s="33">
        <f>IF(O19&lt;&gt;"",(H19-I19)/O19,"")</f>
        <v>0</v>
      </c>
      <c r="K19" s="34" t="str">
        <f>IF(J19=0,"",IF(OR(J19&lt;0,J19&gt;0.03),"X",""))</f>
        <v/>
      </c>
      <c r="L19" s="35">
        <f>F19/(O19*P19)</f>
        <v>0</v>
      </c>
      <c r="M19" s="36" t="str">
        <f>IF(L19=0,"",IF(OR(L19&lt;7,L19&gt;7.8),"X",""))</f>
        <v/>
      </c>
      <c r="N19" s="37" t="s">
        <v>26</v>
      </c>
      <c r="O19" s="29">
        <v>12</v>
      </c>
      <c r="P19" s="38">
        <v>40</v>
      </c>
      <c r="Q19" s="28"/>
      <c r="R19" s="28"/>
      <c r="S19" s="47"/>
      <c r="T19" s="28"/>
      <c r="U19" s="28"/>
    </row>
    <row r="20" spans="1:21" s="27" customFormat="1" x14ac:dyDescent="0.25">
      <c r="A20" s="28" t="s">
        <v>21</v>
      </c>
      <c r="B20" s="28" t="s">
        <v>21</v>
      </c>
      <c r="C20" s="28"/>
      <c r="D20" s="31"/>
      <c r="E20" s="73"/>
      <c r="F20" s="31"/>
      <c r="G20" s="32"/>
      <c r="H20" s="32"/>
      <c r="I20" s="32"/>
      <c r="J20" s="33" t="str">
        <f>IF(O20&lt;&gt;"",(H20-I20)/O20,"")</f>
        <v/>
      </c>
      <c r="K20" s="34"/>
      <c r="L20" s="35"/>
      <c r="M20" s="36" t="str">
        <f>IF(L20=0,"",IF(OR(L20&lt;7.4,L20&gt;8),"X",""))</f>
        <v/>
      </c>
      <c r="N20" s="37"/>
      <c r="O20" s="29"/>
      <c r="P20" s="38"/>
      <c r="Q20" s="28"/>
      <c r="R20" s="28"/>
      <c r="S20" s="47"/>
      <c r="T20" s="28"/>
      <c r="U20" s="28"/>
    </row>
    <row r="21" spans="1:21" s="27" customFormat="1" x14ac:dyDescent="0.25">
      <c r="A21" s="28" t="s">
        <v>21</v>
      </c>
      <c r="B21" s="28" t="s">
        <v>21</v>
      </c>
      <c r="C21" s="28"/>
      <c r="D21" s="31"/>
      <c r="E21" s="73"/>
      <c r="F21" s="31"/>
      <c r="G21" s="32"/>
      <c r="H21" s="32"/>
      <c r="I21" s="32"/>
      <c r="J21" s="33" t="str">
        <f t="shared" ref="J21:J30" si="5">IF(O21&lt;&gt;"",(H21-I21)/O21,"")</f>
        <v/>
      </c>
      <c r="K21" s="34"/>
      <c r="L21" s="35"/>
      <c r="M21" s="36" t="str">
        <f t="shared" si="1"/>
        <v/>
      </c>
      <c r="N21" s="37"/>
      <c r="O21" s="29"/>
      <c r="P21" s="38"/>
      <c r="Q21" s="28"/>
      <c r="R21" s="28"/>
      <c r="S21" s="47"/>
      <c r="T21" s="28"/>
      <c r="U21" s="28"/>
    </row>
    <row r="22" spans="1:21" s="27" customFormat="1" x14ac:dyDescent="0.25">
      <c r="A22" s="28" t="s">
        <v>21</v>
      </c>
      <c r="B22" s="28" t="s">
        <v>21</v>
      </c>
      <c r="C22" s="28"/>
      <c r="D22" s="31"/>
      <c r="E22" s="73"/>
      <c r="F22" s="31"/>
      <c r="G22" s="32"/>
      <c r="H22" s="32"/>
      <c r="I22" s="32"/>
      <c r="J22" s="33" t="str">
        <f t="shared" si="5"/>
        <v/>
      </c>
      <c r="K22" s="34"/>
      <c r="L22" s="35"/>
      <c r="M22" s="36" t="str">
        <f t="shared" si="1"/>
        <v/>
      </c>
      <c r="N22" s="37"/>
      <c r="O22" s="29"/>
      <c r="P22" s="38"/>
      <c r="Q22" s="28"/>
      <c r="R22" s="28"/>
      <c r="S22" s="47"/>
      <c r="T22" s="28"/>
      <c r="U22" s="28"/>
    </row>
    <row r="23" spans="1:21" s="27" customFormat="1" x14ac:dyDescent="0.25">
      <c r="A23" s="28" t="s">
        <v>21</v>
      </c>
      <c r="B23" s="28" t="s">
        <v>21</v>
      </c>
      <c r="C23" s="28"/>
      <c r="D23" s="31"/>
      <c r="E23" s="73"/>
      <c r="F23" s="31"/>
      <c r="G23" s="32"/>
      <c r="H23" s="32"/>
      <c r="I23" s="32"/>
      <c r="J23" s="33" t="str">
        <f t="shared" si="5"/>
        <v/>
      </c>
      <c r="K23" s="34"/>
      <c r="L23" s="35"/>
      <c r="M23" s="36" t="str">
        <f t="shared" si="1"/>
        <v/>
      </c>
      <c r="N23" s="37"/>
      <c r="O23" s="29"/>
      <c r="P23" s="38"/>
      <c r="Q23" s="28"/>
      <c r="R23" s="28"/>
      <c r="S23" s="47"/>
      <c r="T23" s="28"/>
      <c r="U23" s="28"/>
    </row>
    <row r="24" spans="1:21" s="27" customFormat="1" x14ac:dyDescent="0.25">
      <c r="A24" s="28" t="s">
        <v>21</v>
      </c>
      <c r="B24" s="28" t="s">
        <v>21</v>
      </c>
      <c r="C24" s="28"/>
      <c r="D24" s="31"/>
      <c r="E24" s="73"/>
      <c r="F24" s="31"/>
      <c r="G24" s="32"/>
      <c r="H24" s="32"/>
      <c r="I24" s="32"/>
      <c r="J24" s="33" t="str">
        <f t="shared" si="5"/>
        <v/>
      </c>
      <c r="K24" s="34"/>
      <c r="L24" s="35"/>
      <c r="M24" s="36" t="str">
        <f t="shared" si="1"/>
        <v/>
      </c>
      <c r="N24" s="37"/>
      <c r="O24" s="29"/>
      <c r="P24" s="38"/>
      <c r="Q24" s="28"/>
      <c r="R24" s="28"/>
      <c r="S24" s="47"/>
      <c r="T24" s="28"/>
      <c r="U24" s="28"/>
    </row>
    <row r="25" spans="1:21" s="27" customFormat="1" x14ac:dyDescent="0.25">
      <c r="A25" s="28" t="s">
        <v>21</v>
      </c>
      <c r="B25" s="28" t="s">
        <v>21</v>
      </c>
      <c r="C25" s="28"/>
      <c r="D25" s="31"/>
      <c r="E25" s="73"/>
      <c r="F25" s="31"/>
      <c r="G25" s="32"/>
      <c r="H25" s="32"/>
      <c r="I25" s="32"/>
      <c r="J25" s="33" t="str">
        <f t="shared" si="5"/>
        <v/>
      </c>
      <c r="K25" s="34"/>
      <c r="L25" s="35"/>
      <c r="M25" s="36" t="str">
        <f t="shared" si="1"/>
        <v/>
      </c>
      <c r="N25" s="37"/>
      <c r="O25" s="29"/>
      <c r="P25" s="38"/>
      <c r="Q25" s="28"/>
      <c r="R25" s="28"/>
      <c r="S25" s="47"/>
      <c r="T25" s="28"/>
      <c r="U25" s="28"/>
    </row>
    <row r="26" spans="1:21" s="27" customFormat="1" x14ac:dyDescent="0.25">
      <c r="A26" s="28" t="s">
        <v>21</v>
      </c>
      <c r="B26" s="28" t="s">
        <v>21</v>
      </c>
      <c r="C26" s="28"/>
      <c r="D26" s="31"/>
      <c r="E26" s="73"/>
      <c r="F26" s="31"/>
      <c r="G26" s="32"/>
      <c r="H26" s="32"/>
      <c r="I26" s="32"/>
      <c r="J26" s="33" t="str">
        <f t="shared" si="5"/>
        <v/>
      </c>
      <c r="K26" s="34"/>
      <c r="L26" s="35"/>
      <c r="M26" s="36" t="str">
        <f t="shared" si="1"/>
        <v/>
      </c>
      <c r="N26" s="37"/>
      <c r="O26" s="29"/>
      <c r="P26" s="38"/>
      <c r="Q26" s="28"/>
      <c r="R26" s="28"/>
      <c r="S26" s="47"/>
      <c r="T26" s="28"/>
      <c r="U26" s="28"/>
    </row>
    <row r="27" spans="1:21" s="27" customFormat="1" x14ac:dyDescent="0.25">
      <c r="A27" s="28" t="s">
        <v>21</v>
      </c>
      <c r="B27" s="28" t="s">
        <v>21</v>
      </c>
      <c r="C27" s="28"/>
      <c r="D27" s="31"/>
      <c r="E27" s="73"/>
      <c r="F27" s="31"/>
      <c r="G27" s="32"/>
      <c r="H27" s="32"/>
      <c r="I27" s="32"/>
      <c r="J27" s="33" t="str">
        <f t="shared" si="5"/>
        <v/>
      </c>
      <c r="K27" s="34"/>
      <c r="L27" s="35"/>
      <c r="M27" s="36" t="str">
        <f t="shared" si="1"/>
        <v/>
      </c>
      <c r="N27" s="37"/>
      <c r="O27" s="29"/>
      <c r="P27" s="38"/>
      <c r="Q27" s="28"/>
      <c r="R27" s="28"/>
      <c r="S27" s="47"/>
      <c r="T27" s="28"/>
      <c r="U27" s="28"/>
    </row>
    <row r="28" spans="1:21" s="27" customFormat="1" x14ac:dyDescent="0.25">
      <c r="A28" s="28" t="s">
        <v>21</v>
      </c>
      <c r="B28" s="28" t="s">
        <v>21</v>
      </c>
      <c r="C28" s="28"/>
      <c r="D28" s="31"/>
      <c r="E28" s="73"/>
      <c r="F28" s="31"/>
      <c r="G28" s="32"/>
      <c r="H28" s="32"/>
      <c r="I28" s="32"/>
      <c r="J28" s="33" t="str">
        <f t="shared" si="5"/>
        <v/>
      </c>
      <c r="K28" s="34"/>
      <c r="L28" s="35"/>
      <c r="M28" s="36" t="str">
        <f t="shared" si="1"/>
        <v/>
      </c>
      <c r="N28" s="37"/>
      <c r="O28" s="29"/>
      <c r="P28" s="38"/>
      <c r="Q28" s="28"/>
      <c r="R28" s="28"/>
      <c r="S28" s="47"/>
      <c r="T28" s="28"/>
      <c r="U28" s="28"/>
    </row>
    <row r="29" spans="1:21" s="27" customFormat="1" x14ac:dyDescent="0.25">
      <c r="A29" s="28" t="s">
        <v>21</v>
      </c>
      <c r="B29" s="28" t="s">
        <v>21</v>
      </c>
      <c r="C29" s="28"/>
      <c r="D29" s="31"/>
      <c r="E29" s="73"/>
      <c r="F29" s="31"/>
      <c r="G29" s="32"/>
      <c r="H29" s="32"/>
      <c r="I29" s="32"/>
      <c r="J29" s="33" t="str">
        <f t="shared" si="5"/>
        <v/>
      </c>
      <c r="K29" s="34"/>
      <c r="L29" s="35"/>
      <c r="M29" s="36" t="str">
        <f t="shared" si="1"/>
        <v/>
      </c>
      <c r="N29" s="37"/>
      <c r="O29" s="29"/>
      <c r="P29" s="38"/>
      <c r="Q29" s="28"/>
      <c r="R29" s="28"/>
      <c r="S29" s="47"/>
      <c r="T29" s="28"/>
      <c r="U29" s="28"/>
    </row>
    <row r="30" spans="1:21" s="27" customFormat="1" x14ac:dyDescent="0.25">
      <c r="A30" s="28" t="s">
        <v>21</v>
      </c>
      <c r="B30" s="28" t="s">
        <v>21</v>
      </c>
      <c r="C30" s="28"/>
      <c r="D30" s="31"/>
      <c r="E30" s="73"/>
      <c r="F30" s="31"/>
      <c r="G30" s="32"/>
      <c r="H30" s="32"/>
      <c r="I30" s="32"/>
      <c r="J30" s="33" t="str">
        <f t="shared" si="5"/>
        <v/>
      </c>
      <c r="K30" s="34"/>
      <c r="L30" s="35"/>
      <c r="M30" s="36" t="str">
        <f t="shared" si="1"/>
        <v/>
      </c>
      <c r="N30" s="37"/>
      <c r="O30" s="29"/>
      <c r="P30" s="38"/>
      <c r="Q30" s="28"/>
      <c r="R30" s="28"/>
      <c r="S30" s="47"/>
      <c r="T30" s="28"/>
      <c r="U30" s="28"/>
    </row>
    <row r="31" spans="1:21" s="27" customFormat="1" ht="42" customHeight="1" x14ac:dyDescent="0.25">
      <c r="A31" s="48" t="s">
        <v>27</v>
      </c>
      <c r="B31" s="49"/>
      <c r="C31" s="49"/>
      <c r="D31" s="50"/>
      <c r="E31" s="51"/>
      <c r="F31" s="50"/>
      <c r="G31" s="52"/>
      <c r="H31" s="53"/>
      <c r="I31" s="53"/>
      <c r="J31" s="54"/>
      <c r="K31" s="22" t="str">
        <f t="shared" ref="K31:K32" si="6">IF(J31=0,"",IF(OR(J31&lt;0,J31&gt;0.03),"X",""))</f>
        <v/>
      </c>
      <c r="L31" s="55"/>
      <c r="M31" s="24" t="str">
        <f t="shared" si="1"/>
        <v/>
      </c>
      <c r="N31" s="25"/>
      <c r="O31" s="56"/>
      <c r="P31" s="57"/>
      <c r="Q31" s="49"/>
      <c r="R31" s="49"/>
      <c r="S31" s="49"/>
      <c r="T31" s="49"/>
      <c r="U31" s="49"/>
    </row>
    <row r="32" spans="1:21" s="27" customFormat="1" x14ac:dyDescent="0.25">
      <c r="A32" s="28"/>
      <c r="B32" s="28"/>
      <c r="C32" s="28"/>
      <c r="D32" s="31"/>
      <c r="E32" s="73"/>
      <c r="F32" s="45"/>
      <c r="G32" s="32"/>
      <c r="H32" s="32"/>
      <c r="I32" s="32"/>
      <c r="J32" s="33">
        <f>IF(O32&lt;&gt;"",(H32-I32)/O32,"")</f>
        <v>0</v>
      </c>
      <c r="K32" s="34" t="str">
        <f t="shared" si="6"/>
        <v/>
      </c>
      <c r="L32" s="35">
        <f>F32/(O32*P32)</f>
        <v>0</v>
      </c>
      <c r="M32" s="36" t="str">
        <f>IF(L32=0,"",IF(OR(L32&lt;7,L32&gt;7.8),"X",""))</f>
        <v/>
      </c>
      <c r="N32" s="37" t="s">
        <v>27</v>
      </c>
      <c r="O32" s="29">
        <v>1</v>
      </c>
      <c r="P32" s="38">
        <v>40</v>
      </c>
      <c r="Q32" s="28"/>
      <c r="R32" s="28"/>
      <c r="S32" s="47"/>
      <c r="T32" s="28"/>
      <c r="U32" s="28"/>
    </row>
    <row r="33" spans="1:21" s="27" customFormat="1" x14ac:dyDescent="0.25">
      <c r="A33" s="58"/>
      <c r="B33" s="58"/>
      <c r="C33" s="58"/>
      <c r="D33" s="56"/>
      <c r="E33" s="51"/>
      <c r="F33" s="50"/>
      <c r="G33" s="52"/>
      <c r="H33" s="53"/>
      <c r="I33" s="59"/>
      <c r="J33" s="58"/>
      <c r="K33" s="58"/>
      <c r="L33" s="50"/>
      <c r="M33" s="51"/>
      <c r="N33" s="50"/>
      <c r="O33" s="64"/>
      <c r="P33" s="65"/>
      <c r="Q33" s="58"/>
      <c r="R33" s="58"/>
      <c r="S33" s="58"/>
      <c r="T33" s="58"/>
      <c r="U33" s="58"/>
    </row>
    <row r="34" spans="1:21" x14ac:dyDescent="0.25">
      <c r="A34" s="58"/>
      <c r="B34" s="58"/>
      <c r="C34" s="58"/>
      <c r="D34" s="50"/>
      <c r="E34" s="51"/>
      <c r="F34" s="50"/>
      <c r="G34" s="53"/>
      <c r="H34" s="53"/>
      <c r="I34" s="58"/>
      <c r="J34" s="58"/>
      <c r="K34" s="58"/>
      <c r="L34" s="50"/>
      <c r="M34" s="51"/>
      <c r="N34" s="50"/>
      <c r="O34" s="53"/>
      <c r="P34" s="53"/>
      <c r="Q34" s="58"/>
      <c r="R34" s="58"/>
      <c r="S34" s="49"/>
      <c r="T34" s="58"/>
      <c r="U34" s="58"/>
    </row>
    <row r="35" spans="1:21" ht="40.5" customHeight="1" x14ac:dyDescent="0.25">
      <c r="A35" s="111" t="s">
        <v>2825</v>
      </c>
      <c r="D35" s="94"/>
      <c r="G35" s="95"/>
      <c r="J35" s="58"/>
      <c r="K35" s="58" t="str">
        <f>IF(J35=0,"",IF(OR(J35&lt;0,J35&gt;0.03),"X",""))</f>
        <v/>
      </c>
      <c r="L35" s="50"/>
      <c r="M35" s="51" t="str">
        <f>IF(L35=0,"",IF(OR(L35&lt;7.4,L35&gt;8),"X",""))</f>
        <v/>
      </c>
      <c r="N35" s="50"/>
    </row>
    <row r="36" spans="1:21" s="27" customFormat="1" x14ac:dyDescent="0.25">
      <c r="A36" s="28"/>
      <c r="B36" s="28"/>
      <c r="C36" s="28"/>
      <c r="D36" s="96"/>
      <c r="E36" s="107"/>
      <c r="F36" s="108"/>
      <c r="G36" s="97"/>
      <c r="H36" s="97"/>
      <c r="I36" s="32"/>
      <c r="J36" s="98">
        <f t="shared" ref="J36:J41" si="7">IF(O36&lt;&gt;"",(H36-I36)/O36,"")</f>
        <v>0</v>
      </c>
      <c r="K36" s="34" t="str">
        <f>IF(J36=0,"",IF(OR(J36&lt;0,J36&gt;0.03),"X",""))</f>
        <v/>
      </c>
      <c r="L36" s="99">
        <f>F36/(O36*P36)</f>
        <v>0</v>
      </c>
      <c r="M36" s="36" t="str">
        <f>IF(L36=0,"",IF(OR(L36&lt;7,L36&gt;7.8),"X",""))</f>
        <v/>
      </c>
      <c r="N36" s="37" t="s">
        <v>2825</v>
      </c>
      <c r="O36" s="29">
        <v>6</v>
      </c>
      <c r="P36" s="38">
        <v>40</v>
      </c>
      <c r="Q36" s="28"/>
      <c r="R36" s="28"/>
      <c r="S36" s="28"/>
      <c r="T36" s="28"/>
      <c r="U36" s="28"/>
    </row>
    <row r="37" spans="1:21" s="27" customFormat="1" x14ac:dyDescent="0.25">
      <c r="A37" s="28" t="s">
        <v>21</v>
      </c>
      <c r="B37" s="28" t="s">
        <v>21</v>
      </c>
      <c r="C37" s="28"/>
      <c r="D37" s="96"/>
      <c r="E37" s="109"/>
      <c r="F37" s="110"/>
      <c r="G37" s="97"/>
      <c r="H37" s="97"/>
      <c r="I37" s="32"/>
      <c r="J37" s="98" t="str">
        <f t="shared" si="7"/>
        <v/>
      </c>
      <c r="K37" s="34"/>
      <c r="L37" s="99"/>
      <c r="M37" s="36" t="str">
        <f>IF(L37=0,"",IF(OR(L37&lt;7.4,L37&gt;8),"X",""))</f>
        <v/>
      </c>
      <c r="N37" s="37"/>
      <c r="O37" s="29"/>
      <c r="P37" s="38"/>
      <c r="Q37" s="28"/>
      <c r="R37" s="28"/>
      <c r="S37" s="28"/>
      <c r="T37" s="28"/>
      <c r="U37" s="28"/>
    </row>
    <row r="38" spans="1:21" s="27" customFormat="1" x14ac:dyDescent="0.25">
      <c r="A38" s="28" t="s">
        <v>21</v>
      </c>
      <c r="B38" s="28" t="s">
        <v>21</v>
      </c>
      <c r="C38" s="28"/>
      <c r="D38" s="96"/>
      <c r="E38" s="109"/>
      <c r="F38" s="110"/>
      <c r="G38" s="97"/>
      <c r="H38" s="97"/>
      <c r="I38" s="32"/>
      <c r="J38" s="98" t="str">
        <f t="shared" si="7"/>
        <v/>
      </c>
      <c r="K38" s="34"/>
      <c r="L38" s="99"/>
      <c r="M38" s="36" t="str">
        <f>IF(L38=0,"",IF(OR(L38&lt;7.4,L38&gt;8),"X",""))</f>
        <v/>
      </c>
      <c r="N38" s="37"/>
      <c r="O38" s="29"/>
      <c r="P38" s="38"/>
      <c r="Q38" s="28"/>
      <c r="R38" s="28"/>
      <c r="S38" s="28"/>
      <c r="T38" s="28"/>
      <c r="U38" s="28"/>
    </row>
    <row r="39" spans="1:21" s="27" customFormat="1" x14ac:dyDescent="0.25">
      <c r="A39" s="28" t="s">
        <v>21</v>
      </c>
      <c r="B39" s="28" t="s">
        <v>21</v>
      </c>
      <c r="C39" s="28"/>
      <c r="D39" s="96"/>
      <c r="E39" s="109"/>
      <c r="F39" s="110"/>
      <c r="G39" s="97"/>
      <c r="H39" s="97"/>
      <c r="I39" s="32"/>
      <c r="J39" s="98" t="str">
        <f t="shared" si="7"/>
        <v/>
      </c>
      <c r="K39" s="34"/>
      <c r="L39" s="99"/>
      <c r="M39" s="36" t="str">
        <f>IF(L39=0,"",IF(OR(L39&lt;7.4,L39&gt;8),"X",""))</f>
        <v/>
      </c>
      <c r="N39" s="37"/>
      <c r="O39" s="29"/>
      <c r="P39" s="38"/>
      <c r="Q39" s="28"/>
      <c r="R39" s="28"/>
      <c r="S39" s="28"/>
      <c r="T39" s="28"/>
      <c r="U39" s="28"/>
    </row>
    <row r="40" spans="1:21" s="27" customFormat="1" x14ac:dyDescent="0.25">
      <c r="A40" s="28" t="s">
        <v>21</v>
      </c>
      <c r="B40" s="28" t="s">
        <v>21</v>
      </c>
      <c r="C40" s="28"/>
      <c r="D40" s="100"/>
      <c r="E40" s="109"/>
      <c r="F40" s="110"/>
      <c r="G40" s="97"/>
      <c r="H40" s="97"/>
      <c r="I40" s="32"/>
      <c r="J40" s="98" t="str">
        <f t="shared" si="7"/>
        <v/>
      </c>
      <c r="K40" s="34"/>
      <c r="L40" s="99"/>
      <c r="M40" s="36" t="str">
        <f>IF(L40=0,"",IF(OR(L40&lt;7.4,L40&gt;8),"X",""))</f>
        <v/>
      </c>
      <c r="N40" s="37"/>
      <c r="O40" s="29"/>
      <c r="P40" s="38"/>
      <c r="Q40" s="28"/>
      <c r="R40" s="28"/>
      <c r="S40" s="28"/>
      <c r="T40" s="28"/>
      <c r="U40" s="28"/>
    </row>
    <row r="41" spans="1:21" s="27" customFormat="1" x14ac:dyDescent="0.25">
      <c r="A41" s="28" t="s">
        <v>21</v>
      </c>
      <c r="B41" s="28" t="s">
        <v>21</v>
      </c>
      <c r="C41" s="28"/>
      <c r="D41" s="101"/>
      <c r="E41" s="109"/>
      <c r="F41" s="110"/>
      <c r="G41" s="97"/>
      <c r="H41" s="97"/>
      <c r="I41" s="32"/>
      <c r="J41" s="98" t="str">
        <f t="shared" si="7"/>
        <v/>
      </c>
      <c r="K41" s="84"/>
      <c r="L41" s="102"/>
      <c r="M41" s="103" t="str">
        <f>IF(L41=0,"",IF(OR(L41&lt;7.4,L41&gt;8),"X",""))</f>
        <v/>
      </c>
      <c r="N41" s="104"/>
      <c r="O41" s="105"/>
      <c r="P41" s="106"/>
      <c r="Q41" s="28"/>
      <c r="R41" s="28"/>
      <c r="S41" s="47"/>
      <c r="T41" s="28"/>
      <c r="U41" s="28"/>
    </row>
    <row r="42" spans="1:21" s="27" customFormat="1" x14ac:dyDescent="0.25">
      <c r="A42" s="58"/>
      <c r="B42" s="58"/>
      <c r="C42" s="58"/>
      <c r="D42" s="50"/>
      <c r="E42" s="51"/>
      <c r="F42" s="50"/>
      <c r="G42" s="53"/>
      <c r="H42" s="53"/>
      <c r="I42" s="58"/>
      <c r="J42" s="58"/>
      <c r="K42" s="58"/>
      <c r="L42" s="50"/>
      <c r="M42" s="51"/>
      <c r="N42" s="50"/>
      <c r="O42" s="53"/>
      <c r="P42" s="53"/>
      <c r="Q42" s="58"/>
      <c r="R42" s="58"/>
      <c r="S42" s="49"/>
      <c r="T42" s="58"/>
      <c r="U42" s="58"/>
    </row>
    <row r="43" spans="1:21" s="27" customFormat="1" x14ac:dyDescent="0.25">
      <c r="A43" s="58"/>
      <c r="B43" s="58"/>
      <c r="C43" s="58"/>
      <c r="D43" s="50"/>
      <c r="E43" s="51"/>
      <c r="F43" s="50"/>
      <c r="G43" s="52"/>
      <c r="H43" s="53"/>
      <c r="I43" s="58"/>
      <c r="J43" s="58"/>
      <c r="K43" s="58"/>
      <c r="L43" s="50"/>
      <c r="M43" s="51"/>
      <c r="N43" s="50"/>
      <c r="O43" s="53"/>
      <c r="P43" s="53"/>
      <c r="Q43" s="58"/>
      <c r="R43" s="58"/>
      <c r="S43" s="49"/>
      <c r="T43" s="58"/>
      <c r="U43" s="58"/>
    </row>
    <row r="44" spans="1:21" s="27" customFormat="1" ht="15.75" thickBot="1" x14ac:dyDescent="0.3">
      <c r="D44" s="69"/>
      <c r="E44" s="41"/>
      <c r="F44" s="41"/>
      <c r="G44" s="41"/>
      <c r="H44" s="41"/>
      <c r="I44" s="58"/>
      <c r="J44" s="58"/>
      <c r="K44" s="58"/>
      <c r="L44" s="50"/>
      <c r="M44" s="51"/>
      <c r="N44" s="50"/>
      <c r="O44" s="53"/>
      <c r="P44" s="53"/>
      <c r="Q44" s="58"/>
      <c r="R44" s="58"/>
    </row>
    <row r="45" spans="1:21" s="27" customFormat="1" ht="16.5" thickBot="1" x14ac:dyDescent="0.3">
      <c r="A45" s="66" t="s">
        <v>28</v>
      </c>
      <c r="B45" s="67" t="s">
        <v>29</v>
      </c>
      <c r="C45" s="68" t="s">
        <v>30</v>
      </c>
      <c r="D45" s="56"/>
      <c r="E45" s="51"/>
      <c r="F45" s="50"/>
      <c r="G45" s="53"/>
      <c r="H45" s="53"/>
      <c r="I45" s="59"/>
      <c r="J45" s="58"/>
      <c r="K45" s="58"/>
      <c r="L45" s="50"/>
      <c r="M45" s="51"/>
      <c r="N45" s="50"/>
      <c r="O45" s="64"/>
      <c r="P45" s="65"/>
      <c r="Q45" s="58"/>
      <c r="R45" s="58"/>
      <c r="S45" s="58"/>
      <c r="T45" s="58"/>
      <c r="U45" s="58"/>
    </row>
    <row r="46" spans="1:21" s="27" customFormat="1" x14ac:dyDescent="0.25">
      <c r="D46" s="69"/>
      <c r="E46" s="41"/>
      <c r="F46" s="41"/>
      <c r="G46" s="41"/>
      <c r="H46" s="41"/>
      <c r="I46" s="58"/>
      <c r="J46" s="58"/>
      <c r="K46" s="58"/>
      <c r="L46" s="50"/>
      <c r="M46" s="51"/>
      <c r="N46" s="50"/>
      <c r="O46" s="53"/>
      <c r="P46" s="53"/>
      <c r="Q46" s="58"/>
      <c r="R46" s="58"/>
    </row>
    <row r="47" spans="1:21" s="27" customFormat="1" x14ac:dyDescent="0.25">
      <c r="D47" s="69"/>
      <c r="E47" s="41"/>
      <c r="F47" s="41"/>
      <c r="G47" s="41"/>
      <c r="H47" s="41"/>
      <c r="I47" s="58"/>
      <c r="J47" s="58"/>
      <c r="K47" s="58"/>
      <c r="L47" s="50"/>
      <c r="M47" s="51"/>
      <c r="N47" s="50"/>
      <c r="O47" s="53"/>
      <c r="P47" s="53"/>
      <c r="Q47" s="58"/>
      <c r="R47" s="58"/>
    </row>
    <row r="48" spans="1:21" s="27" customFormat="1" x14ac:dyDescent="0.25">
      <c r="D48" s="69"/>
      <c r="E48" s="41"/>
      <c r="F48" s="41"/>
      <c r="G48" s="41"/>
      <c r="H48" s="41"/>
      <c r="I48" s="58"/>
      <c r="J48" s="58"/>
      <c r="K48" s="58"/>
      <c r="L48" s="50"/>
      <c r="M48" s="51"/>
      <c r="N48" s="50"/>
      <c r="O48" s="53"/>
      <c r="P48" s="53"/>
      <c r="Q48" s="58"/>
      <c r="R48" s="58"/>
    </row>
    <row r="49" spans="4:18" s="27" customFormat="1" x14ac:dyDescent="0.25">
      <c r="D49" s="69"/>
      <c r="E49" s="41"/>
      <c r="F49" s="41"/>
      <c r="G49" s="41"/>
      <c r="H49" s="41"/>
      <c r="I49" s="58"/>
      <c r="J49" s="58"/>
      <c r="K49" s="58"/>
      <c r="L49" s="50"/>
      <c r="M49" s="51"/>
      <c r="N49" s="50"/>
      <c r="O49" s="52"/>
      <c r="P49" s="53"/>
      <c r="Q49" s="58"/>
      <c r="R49" s="58"/>
    </row>
    <row r="50" spans="4:18" s="27" customFormat="1" x14ac:dyDescent="0.25">
      <c r="D50" s="69"/>
      <c r="E50" s="41"/>
      <c r="F50" s="41"/>
      <c r="G50" s="41"/>
      <c r="H50" s="41"/>
      <c r="I50" s="58"/>
      <c r="J50" s="58"/>
      <c r="K50" s="58"/>
      <c r="L50" s="50"/>
      <c r="M50" s="51"/>
      <c r="N50" s="50"/>
      <c r="O50" s="52"/>
      <c r="P50" s="53"/>
      <c r="Q50" s="58"/>
      <c r="R50" s="58"/>
    </row>
    <row r="51" spans="4:18" s="27" customFormat="1" x14ac:dyDescent="0.25">
      <c r="D51" s="69"/>
      <c r="E51" s="41"/>
      <c r="F51" s="41"/>
      <c r="G51" s="41"/>
      <c r="H51" s="41"/>
      <c r="I51" s="58"/>
      <c r="J51" s="58"/>
      <c r="K51" s="58"/>
      <c r="L51" s="50"/>
      <c r="M51" s="51"/>
      <c r="N51" s="50"/>
      <c r="O51" s="52"/>
      <c r="P51" s="53"/>
      <c r="Q51" s="58"/>
      <c r="R51" s="58"/>
    </row>
    <row r="52" spans="4:18" s="27" customFormat="1" x14ac:dyDescent="0.25">
      <c r="D52" s="69"/>
      <c r="E52" s="41"/>
      <c r="F52" s="41"/>
      <c r="G52" s="41"/>
      <c r="H52" s="41"/>
      <c r="I52" s="58"/>
      <c r="J52" s="58"/>
      <c r="K52" s="58"/>
      <c r="L52" s="50"/>
      <c r="M52" s="51"/>
      <c r="N52" s="50"/>
      <c r="O52" s="52"/>
      <c r="P52" s="53"/>
      <c r="Q52" s="58"/>
      <c r="R52" s="58"/>
    </row>
    <row r="53" spans="4:18" s="27" customFormat="1" x14ac:dyDescent="0.25">
      <c r="D53" s="69"/>
      <c r="E53" s="41"/>
      <c r="F53" s="41"/>
      <c r="G53" s="41"/>
      <c r="H53" s="41"/>
      <c r="I53" s="58"/>
      <c r="J53" s="58"/>
      <c r="K53" s="58"/>
      <c r="L53" s="50"/>
      <c r="M53" s="51"/>
      <c r="N53" s="50"/>
      <c r="O53" s="52"/>
      <c r="P53" s="53"/>
      <c r="Q53" s="58"/>
      <c r="R53" s="58"/>
    </row>
    <row r="54" spans="4:18" s="27" customFormat="1" x14ac:dyDescent="0.25">
      <c r="D54" s="69"/>
      <c r="E54" s="41"/>
      <c r="F54" s="41"/>
      <c r="G54" s="41"/>
      <c r="H54" s="41"/>
      <c r="I54" s="58"/>
      <c r="J54" s="58"/>
      <c r="K54" s="58"/>
      <c r="L54" s="50"/>
      <c r="M54" s="51"/>
      <c r="N54" s="50"/>
      <c r="O54" s="52"/>
      <c r="P54" s="53"/>
      <c r="Q54" s="58"/>
      <c r="R54" s="58"/>
    </row>
    <row r="55" spans="4:18" s="27" customFormat="1" x14ac:dyDescent="0.25">
      <c r="D55" s="69"/>
      <c r="E55" s="41"/>
      <c r="F55" s="41"/>
      <c r="G55" s="41"/>
      <c r="H55" s="41"/>
      <c r="I55" s="58"/>
      <c r="J55" s="58"/>
      <c r="K55" s="58"/>
      <c r="L55" s="50"/>
      <c r="M55" s="51"/>
      <c r="N55" s="50"/>
      <c r="O55" s="52"/>
      <c r="P55" s="53"/>
      <c r="Q55" s="58"/>
      <c r="R55" s="58"/>
    </row>
    <row r="56" spans="4:18" s="27" customFormat="1" x14ac:dyDescent="0.25">
      <c r="D56" s="69"/>
      <c r="E56" s="41"/>
      <c r="F56" s="41"/>
      <c r="G56" s="41"/>
      <c r="H56" s="41"/>
      <c r="I56" s="58"/>
      <c r="J56" s="58"/>
      <c r="K56" s="58"/>
      <c r="L56" s="50"/>
      <c r="M56" s="51"/>
      <c r="N56" s="50"/>
      <c r="O56" s="52"/>
      <c r="P56" s="53"/>
      <c r="Q56" s="58"/>
      <c r="R56" s="58"/>
    </row>
    <row r="57" spans="4:18" s="27" customFormat="1" x14ac:dyDescent="0.25">
      <c r="D57" s="69"/>
      <c r="E57" s="41"/>
      <c r="F57" s="41"/>
      <c r="G57" s="41"/>
      <c r="H57" s="41"/>
      <c r="I57" s="58"/>
      <c r="J57" s="58"/>
      <c r="K57" s="58"/>
      <c r="L57" s="50"/>
      <c r="M57" s="51"/>
      <c r="N57" s="50"/>
      <c r="O57" s="52"/>
      <c r="P57" s="53"/>
      <c r="Q57" s="58"/>
      <c r="R57" s="58"/>
    </row>
    <row r="58" spans="4:18" s="27" customFormat="1" x14ac:dyDescent="0.25">
      <c r="D58" s="69"/>
      <c r="E58" s="41"/>
      <c r="F58" s="41"/>
      <c r="G58" s="41"/>
      <c r="H58" s="41"/>
      <c r="I58" s="58"/>
      <c r="J58" s="58"/>
      <c r="K58" s="58"/>
      <c r="L58" s="50"/>
      <c r="M58" s="51"/>
      <c r="N58" s="50"/>
      <c r="O58" s="53"/>
      <c r="P58" s="53"/>
      <c r="Q58" s="58"/>
      <c r="R58" s="58"/>
    </row>
    <row r="59" spans="4:18" s="27" customFormat="1" x14ac:dyDescent="0.25">
      <c r="D59" s="69"/>
      <c r="E59" s="41"/>
      <c r="F59" s="41"/>
      <c r="G59" s="41"/>
      <c r="H59" s="41"/>
      <c r="I59" s="58"/>
      <c r="J59" s="58"/>
      <c r="K59" s="58"/>
      <c r="L59" s="50"/>
      <c r="M59" s="51"/>
      <c r="N59" s="50"/>
      <c r="O59" s="53"/>
      <c r="P59" s="53"/>
      <c r="Q59" s="58"/>
      <c r="R59" s="58"/>
    </row>
    <row r="60" spans="4:18" s="27" customFormat="1" x14ac:dyDescent="0.25">
      <c r="D60" s="69"/>
      <c r="E60" s="41"/>
      <c r="F60" s="41"/>
      <c r="G60" s="41"/>
      <c r="H60" s="41"/>
      <c r="I60" s="58"/>
      <c r="J60" s="58"/>
      <c r="K60" s="58"/>
      <c r="L60" s="50"/>
      <c r="M60" s="51"/>
      <c r="N60" s="50"/>
      <c r="O60" s="53"/>
      <c r="P60" s="53"/>
      <c r="Q60" s="58"/>
      <c r="R60" s="58"/>
    </row>
    <row r="61" spans="4:18" s="27" customFormat="1" x14ac:dyDescent="0.25">
      <c r="D61" s="69"/>
      <c r="E61" s="41"/>
      <c r="F61" s="41"/>
      <c r="G61" s="41"/>
      <c r="H61" s="41"/>
      <c r="I61" s="58"/>
      <c r="J61" s="58"/>
      <c r="K61" s="58"/>
      <c r="L61" s="50"/>
      <c r="M61" s="51"/>
      <c r="N61" s="50"/>
      <c r="O61" s="53"/>
      <c r="P61" s="53"/>
      <c r="Q61" s="58"/>
      <c r="R61" s="58"/>
    </row>
    <row r="62" spans="4:18" s="27" customFormat="1" x14ac:dyDescent="0.25">
      <c r="D62" s="69"/>
      <c r="E62" s="41"/>
      <c r="F62" s="41"/>
      <c r="G62" s="41"/>
      <c r="H62" s="41"/>
      <c r="I62" s="58"/>
      <c r="J62" s="58"/>
      <c r="K62" s="58"/>
      <c r="L62" s="50"/>
      <c r="M62" s="51"/>
      <c r="N62" s="50"/>
      <c r="O62" s="53"/>
      <c r="P62" s="53"/>
      <c r="Q62" s="58"/>
      <c r="R62" s="58"/>
    </row>
    <row r="63" spans="4:18" s="27" customFormat="1" x14ac:dyDescent="0.25">
      <c r="D63" s="69"/>
      <c r="E63" s="41"/>
      <c r="F63" s="41"/>
      <c r="G63" s="41"/>
      <c r="H63" s="41"/>
      <c r="I63" s="58"/>
      <c r="J63" s="58"/>
      <c r="K63" s="58"/>
      <c r="L63" s="50"/>
      <c r="M63" s="51"/>
      <c r="N63" s="50"/>
      <c r="O63" s="53"/>
      <c r="P63" s="53"/>
      <c r="Q63" s="58"/>
      <c r="R63" s="58"/>
    </row>
    <row r="64" spans="4:18" s="27" customFormat="1" x14ac:dyDescent="0.25">
      <c r="D64" s="69"/>
      <c r="E64" s="41"/>
      <c r="F64" s="41"/>
      <c r="G64" s="41"/>
      <c r="H64" s="41"/>
      <c r="I64" s="58"/>
      <c r="J64" s="58"/>
      <c r="K64" s="58"/>
      <c r="L64" s="50"/>
      <c r="M64" s="51"/>
      <c r="N64" s="50"/>
      <c r="O64" s="53"/>
      <c r="P64" s="53"/>
      <c r="Q64" s="58"/>
      <c r="R64" s="58"/>
    </row>
    <row r="65" spans="4:18" s="27" customFormat="1" x14ac:dyDescent="0.25">
      <c r="D65" s="69"/>
      <c r="E65" s="41"/>
      <c r="F65" s="41"/>
      <c r="G65" s="41"/>
      <c r="H65" s="41"/>
      <c r="I65" s="58"/>
      <c r="J65" s="58"/>
      <c r="K65" s="58"/>
      <c r="L65" s="50"/>
      <c r="M65" s="51"/>
      <c r="N65" s="50"/>
      <c r="O65" s="52"/>
      <c r="P65" s="53"/>
      <c r="Q65" s="58"/>
      <c r="R65" s="58"/>
    </row>
    <row r="66" spans="4:18" s="27" customFormat="1" x14ac:dyDescent="0.25">
      <c r="D66" s="69"/>
      <c r="E66" s="41"/>
      <c r="F66" s="41"/>
      <c r="G66" s="41"/>
      <c r="H66" s="41"/>
      <c r="I66" s="58"/>
      <c r="J66" s="58"/>
      <c r="K66" s="58"/>
      <c r="L66" s="50"/>
      <c r="M66" s="51"/>
      <c r="N66" s="50"/>
      <c r="O66" s="52"/>
      <c r="P66" s="53"/>
      <c r="Q66" s="58"/>
      <c r="R66" s="58"/>
    </row>
    <row r="67" spans="4:18" s="27" customFormat="1" x14ac:dyDescent="0.25">
      <c r="D67" s="69"/>
      <c r="E67" s="41"/>
      <c r="F67" s="41"/>
      <c r="G67" s="41"/>
      <c r="H67" s="41"/>
      <c r="I67" s="58"/>
      <c r="J67" s="58"/>
      <c r="K67" s="58"/>
      <c r="L67" s="50"/>
      <c r="M67" s="51"/>
      <c r="N67" s="50"/>
      <c r="O67" s="52"/>
      <c r="P67" s="53"/>
      <c r="Q67" s="58"/>
      <c r="R67" s="58"/>
    </row>
    <row r="68" spans="4:18" s="27" customFormat="1" x14ac:dyDescent="0.25">
      <c r="D68" s="69"/>
      <c r="E68" s="41"/>
      <c r="F68" s="41"/>
      <c r="G68" s="41"/>
      <c r="H68" s="41"/>
      <c r="I68" s="58"/>
      <c r="J68" s="58"/>
      <c r="K68" s="58"/>
      <c r="L68" s="50"/>
      <c r="M68" s="51"/>
      <c r="N68" s="50"/>
      <c r="O68" s="52"/>
      <c r="P68" s="53"/>
      <c r="Q68" s="58"/>
      <c r="R68" s="58"/>
    </row>
    <row r="69" spans="4:18" s="27" customFormat="1" x14ac:dyDescent="0.25">
      <c r="D69" s="69"/>
      <c r="E69" s="41"/>
      <c r="F69" s="41"/>
      <c r="G69" s="41"/>
      <c r="H69" s="41"/>
      <c r="I69" s="58"/>
      <c r="J69" s="58"/>
      <c r="K69" s="58"/>
      <c r="L69" s="50"/>
      <c r="M69" s="51"/>
      <c r="N69" s="50"/>
      <c r="O69" s="52"/>
      <c r="P69" s="53"/>
      <c r="Q69" s="58"/>
      <c r="R69" s="58"/>
    </row>
    <row r="70" spans="4:18" s="27" customFormat="1" x14ac:dyDescent="0.25">
      <c r="D70" s="69"/>
      <c r="E70" s="41"/>
      <c r="F70" s="41"/>
      <c r="G70" s="41"/>
      <c r="H70" s="41"/>
      <c r="I70" s="58"/>
      <c r="J70" s="58"/>
      <c r="K70" s="58"/>
      <c r="L70" s="50"/>
      <c r="M70" s="51"/>
      <c r="N70" s="50"/>
      <c r="O70" s="52"/>
      <c r="P70" s="53"/>
      <c r="Q70" s="58"/>
      <c r="R70" s="58"/>
    </row>
    <row r="71" spans="4:18" s="27" customFormat="1" x14ac:dyDescent="0.25">
      <c r="D71" s="69"/>
      <c r="E71" s="41"/>
      <c r="F71" s="41"/>
      <c r="G71" s="41"/>
      <c r="H71" s="41"/>
      <c r="I71" s="58"/>
      <c r="J71" s="58"/>
      <c r="K71" s="58"/>
      <c r="L71" s="50"/>
      <c r="M71" s="51"/>
      <c r="N71" s="50"/>
      <c r="O71" s="52"/>
      <c r="P71" s="53"/>
      <c r="Q71" s="58"/>
      <c r="R71" s="58"/>
    </row>
    <row r="72" spans="4:18" s="27" customFormat="1" x14ac:dyDescent="0.25">
      <c r="D72" s="69"/>
      <c r="E72" s="41"/>
      <c r="F72" s="41"/>
      <c r="G72" s="41"/>
      <c r="H72" s="41"/>
      <c r="I72" s="58"/>
      <c r="J72" s="58"/>
      <c r="K72" s="58"/>
      <c r="L72" s="50"/>
      <c r="M72" s="51"/>
      <c r="N72" s="50"/>
      <c r="O72" s="52"/>
      <c r="P72" s="53"/>
      <c r="Q72" s="58"/>
      <c r="R72" s="58"/>
    </row>
    <row r="73" spans="4:18" s="27" customFormat="1" x14ac:dyDescent="0.25">
      <c r="D73" s="69"/>
      <c r="E73" s="41"/>
      <c r="F73" s="41"/>
      <c r="G73" s="41"/>
      <c r="H73" s="41"/>
      <c r="I73" s="58"/>
      <c r="J73" s="58"/>
      <c r="K73" s="58"/>
      <c r="L73" s="50"/>
      <c r="M73" s="51"/>
      <c r="N73" s="50"/>
      <c r="O73" s="52"/>
      <c r="P73" s="53"/>
      <c r="Q73" s="58"/>
      <c r="R73" s="58"/>
    </row>
    <row r="74" spans="4:18" s="27" customFormat="1" x14ac:dyDescent="0.25">
      <c r="D74" s="69"/>
      <c r="E74" s="41"/>
      <c r="F74" s="41"/>
      <c r="G74" s="41"/>
      <c r="H74" s="41"/>
      <c r="I74" s="58"/>
      <c r="J74" s="58"/>
      <c r="K74" s="58"/>
      <c r="L74" s="50"/>
      <c r="M74" s="51"/>
      <c r="N74" s="50"/>
      <c r="O74" s="53"/>
      <c r="P74" s="53"/>
      <c r="Q74" s="58"/>
      <c r="R74" s="58"/>
    </row>
    <row r="75" spans="4:18" s="27" customFormat="1" x14ac:dyDescent="0.25">
      <c r="D75" s="69"/>
      <c r="E75" s="41"/>
      <c r="F75" s="41"/>
      <c r="G75" s="41"/>
      <c r="H75" s="41"/>
      <c r="I75" s="58"/>
      <c r="J75" s="58"/>
      <c r="K75" s="58"/>
      <c r="L75" s="50"/>
      <c r="M75" s="51"/>
      <c r="N75" s="50"/>
      <c r="O75" s="53"/>
      <c r="P75" s="53"/>
      <c r="Q75" s="58"/>
      <c r="R75" s="58"/>
    </row>
    <row r="76" spans="4:18" s="27" customFormat="1" x14ac:dyDescent="0.25">
      <c r="D76" s="69"/>
      <c r="E76" s="41"/>
      <c r="F76" s="41"/>
      <c r="G76" s="41"/>
      <c r="H76" s="41"/>
      <c r="I76" s="58"/>
      <c r="J76" s="58"/>
      <c r="K76" s="58"/>
      <c r="L76" s="50"/>
      <c r="M76" s="51"/>
      <c r="N76" s="50"/>
      <c r="O76" s="53"/>
      <c r="P76" s="53"/>
      <c r="Q76" s="58"/>
      <c r="R76" s="58"/>
    </row>
    <row r="77" spans="4:18" s="27" customFormat="1" x14ac:dyDescent="0.25">
      <c r="D77" s="69"/>
      <c r="E77" s="41"/>
      <c r="F77" s="41"/>
      <c r="G77" s="41"/>
      <c r="H77" s="41"/>
      <c r="I77" s="58"/>
      <c r="J77" s="58"/>
      <c r="K77" s="58"/>
      <c r="L77" s="50"/>
      <c r="M77" s="51"/>
      <c r="N77" s="50"/>
      <c r="O77" s="53"/>
      <c r="P77" s="53"/>
      <c r="Q77" s="58"/>
      <c r="R77" s="58"/>
    </row>
    <row r="78" spans="4:18" s="27" customFormat="1" x14ac:dyDescent="0.25">
      <c r="D78" s="69"/>
      <c r="E78" s="41"/>
      <c r="F78" s="41"/>
      <c r="G78" s="41"/>
      <c r="H78" s="41"/>
      <c r="I78" s="58"/>
      <c r="J78" s="58"/>
      <c r="K78" s="58"/>
      <c r="L78" s="50"/>
      <c r="M78" s="51"/>
      <c r="N78" s="50"/>
      <c r="O78" s="53"/>
      <c r="P78" s="53"/>
      <c r="Q78" s="58"/>
      <c r="R78" s="58"/>
    </row>
    <row r="79" spans="4:18" s="27" customFormat="1" x14ac:dyDescent="0.25">
      <c r="D79" s="69"/>
      <c r="E79" s="41"/>
      <c r="F79" s="41"/>
      <c r="G79" s="41"/>
      <c r="H79" s="41"/>
      <c r="I79" s="58"/>
      <c r="J79" s="58"/>
      <c r="K79" s="58"/>
      <c r="L79" s="50"/>
      <c r="M79" s="51"/>
      <c r="N79" s="50"/>
      <c r="O79" s="53"/>
      <c r="P79" s="53"/>
      <c r="Q79" s="58"/>
      <c r="R79" s="58"/>
    </row>
    <row r="80" spans="4:18" s="27" customFormat="1" x14ac:dyDescent="0.25">
      <c r="D80" s="69"/>
      <c r="E80" s="41"/>
      <c r="F80" s="41"/>
      <c r="G80" s="41"/>
      <c r="H80" s="41"/>
      <c r="I80" s="58"/>
      <c r="J80" s="58"/>
      <c r="K80" s="58"/>
      <c r="L80" s="50"/>
      <c r="M80" s="51"/>
      <c r="N80" s="50"/>
      <c r="O80" s="53"/>
      <c r="P80" s="53"/>
      <c r="Q80" s="58"/>
      <c r="R80" s="58"/>
    </row>
    <row r="81" spans="4:18" s="27" customFormat="1" x14ac:dyDescent="0.25">
      <c r="D81" s="69"/>
      <c r="E81" s="41"/>
      <c r="F81" s="41"/>
      <c r="G81" s="41"/>
      <c r="H81" s="41"/>
      <c r="I81" s="58"/>
      <c r="J81" s="58"/>
      <c r="K81" s="58"/>
      <c r="L81" s="50"/>
      <c r="M81" s="51"/>
      <c r="N81" s="50"/>
      <c r="O81" s="52"/>
      <c r="P81" s="53"/>
      <c r="Q81" s="58"/>
      <c r="R81" s="58"/>
    </row>
    <row r="82" spans="4:18" s="27" customFormat="1" x14ac:dyDescent="0.25">
      <c r="D82" s="69"/>
      <c r="E82" s="41"/>
      <c r="F82" s="41"/>
      <c r="G82" s="41"/>
      <c r="H82" s="41"/>
      <c r="I82" s="58"/>
      <c r="J82" s="58"/>
      <c r="K82" s="58"/>
      <c r="L82" s="50"/>
      <c r="M82" s="51"/>
      <c r="N82" s="50"/>
      <c r="O82" s="52"/>
      <c r="P82" s="53"/>
      <c r="Q82" s="58"/>
      <c r="R82" s="58"/>
    </row>
    <row r="83" spans="4:18" s="27" customFormat="1" x14ac:dyDescent="0.25">
      <c r="D83" s="69"/>
      <c r="E83" s="41"/>
      <c r="F83" s="41"/>
      <c r="G83" s="41"/>
      <c r="H83" s="41"/>
      <c r="I83" s="58"/>
      <c r="J83" s="58"/>
      <c r="K83" s="58"/>
      <c r="L83" s="50"/>
      <c r="M83" s="51"/>
      <c r="N83" s="50"/>
      <c r="O83" s="52"/>
      <c r="P83" s="53"/>
      <c r="Q83" s="58"/>
      <c r="R83" s="58"/>
    </row>
    <row r="84" spans="4:18" s="27" customFormat="1" x14ac:dyDescent="0.25">
      <c r="D84" s="69"/>
      <c r="E84" s="41"/>
      <c r="F84" s="41"/>
      <c r="G84" s="41"/>
      <c r="H84" s="41"/>
      <c r="I84" s="58"/>
      <c r="J84" s="58"/>
      <c r="K84" s="58"/>
      <c r="L84" s="50"/>
      <c r="M84" s="51"/>
      <c r="N84" s="50"/>
      <c r="O84" s="52"/>
      <c r="P84" s="53"/>
      <c r="Q84" s="58"/>
      <c r="R84" s="58"/>
    </row>
    <row r="85" spans="4:18" s="27" customFormat="1" x14ac:dyDescent="0.25">
      <c r="D85" s="69"/>
      <c r="E85" s="41"/>
      <c r="F85" s="41"/>
      <c r="G85" s="41"/>
      <c r="H85" s="41"/>
      <c r="I85" s="58"/>
      <c r="J85" s="58"/>
      <c r="K85" s="58"/>
      <c r="L85" s="50"/>
      <c r="M85" s="51"/>
      <c r="N85" s="50"/>
      <c r="O85" s="52"/>
      <c r="P85" s="53"/>
      <c r="Q85" s="58"/>
      <c r="R85" s="58"/>
    </row>
    <row r="86" spans="4:18" s="27" customFormat="1" x14ac:dyDescent="0.25">
      <c r="D86" s="69"/>
      <c r="E86" s="41"/>
      <c r="F86" s="41"/>
      <c r="G86" s="41"/>
      <c r="H86" s="41"/>
      <c r="I86" s="58"/>
      <c r="J86" s="58"/>
      <c r="K86" s="58"/>
      <c r="L86" s="50"/>
      <c r="M86" s="51"/>
      <c r="N86" s="50"/>
      <c r="O86" s="52"/>
      <c r="P86" s="53"/>
      <c r="Q86" s="58"/>
      <c r="R86" s="58"/>
    </row>
    <row r="87" spans="4:18" s="27" customFormat="1" x14ac:dyDescent="0.25">
      <c r="D87" s="69"/>
      <c r="E87" s="41"/>
      <c r="F87" s="41"/>
      <c r="G87" s="41"/>
      <c r="H87" s="41"/>
      <c r="I87" s="58"/>
      <c r="J87" s="58"/>
      <c r="K87" s="58"/>
      <c r="L87" s="50"/>
      <c r="M87" s="51"/>
      <c r="N87" s="50"/>
      <c r="O87" s="52"/>
      <c r="P87" s="53"/>
      <c r="Q87" s="58"/>
      <c r="R87" s="58"/>
    </row>
    <row r="88" spans="4:18" x14ac:dyDescent="0.25">
      <c r="I88" s="58"/>
      <c r="J88" s="58"/>
      <c r="K88" s="58"/>
      <c r="L88" s="50"/>
      <c r="M88" s="51"/>
      <c r="N88" s="50"/>
      <c r="O88" s="52"/>
      <c r="P88" s="53"/>
      <c r="Q88" s="58"/>
      <c r="R88" s="58"/>
    </row>
    <row r="89" spans="4:18" x14ac:dyDescent="0.25">
      <c r="I89" s="58"/>
      <c r="J89" s="58"/>
      <c r="K89" s="58"/>
      <c r="L89" s="50"/>
      <c r="M89" s="51"/>
      <c r="N89" s="50"/>
      <c r="O89" s="52"/>
      <c r="P89" s="53"/>
      <c r="Q89" s="58"/>
      <c r="R89" s="58"/>
    </row>
  </sheetData>
  <customSheetViews>
    <customSheetView guid="{C2C34B0E-C0A2-4B0B-812E-0757ABB9DC2E}">
      <selection sqref="A1:XFD1048576"/>
      <pageMargins left="0.7" right="0.7" top="0.75" bottom="0.75" header="0.3" footer="0.3"/>
    </customSheetView>
    <customSheetView guid="{3652BF58-5AAC-43BD-BC8A-2FFF29529405}">
      <selection activeCell="A3" sqref="A3:XFD3"/>
      <pageMargins left="0.7" right="0.7" top="0.75" bottom="0.75" header="0.3" footer="0.3"/>
    </customSheetView>
    <customSheetView guid="{E2377352-22A7-452B-BFAD-18D3D497CC88}" topLeftCell="A18">
      <selection activeCell="G56" sqref="G56"/>
      <pageMargins left="0.7" right="0.7" top="0.75" bottom="0.75" header="0.3" footer="0.3"/>
    </customSheetView>
  </customSheetView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14</vt:i4>
      </vt:variant>
    </vt:vector>
  </HeadingPairs>
  <TitlesOfParts>
    <vt:vector size="14" baseType="lpstr">
      <vt:lpstr>Jan</vt:lpstr>
      <vt:lpstr>Feb</vt:lpstr>
      <vt:lpstr>März</vt:lpstr>
      <vt:lpstr>April</vt:lpstr>
      <vt:lpstr>Mai</vt:lpstr>
      <vt:lpstr>Juni</vt:lpstr>
      <vt:lpstr>Juli</vt:lpstr>
      <vt:lpstr>Aug</vt:lpstr>
      <vt:lpstr>Sept</vt:lpstr>
      <vt:lpstr>Okt</vt:lpstr>
      <vt:lpstr>Nov</vt:lpstr>
      <vt:lpstr>Dez</vt:lpstr>
      <vt:lpstr>Tabelle1</vt:lpstr>
      <vt:lpstr>Vorlage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Zellenmontage</cp:lastModifiedBy>
  <dcterms:created xsi:type="dcterms:W3CDTF">2015-06-05T18:19:34Z</dcterms:created>
  <dcterms:modified xsi:type="dcterms:W3CDTF">2025-03-11T12:31:13Z</dcterms:modified>
</cp:coreProperties>
</file>