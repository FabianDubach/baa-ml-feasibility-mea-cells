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xr:revisionPtr revIDLastSave="0" documentId="13_ncr:1_{C1E4778E-2E99-4FF3-BC2D-3C59E59ED0F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Jan" sheetId="2" r:id="rId1"/>
    <sheet name="Feb" sheetId="3" r:id="rId2"/>
    <sheet name="März" sheetId="4" r:id="rId3"/>
    <sheet name="April" sheetId="5" r:id="rId4"/>
    <sheet name="Mai" sheetId="6" r:id="rId5"/>
    <sheet name="Juni" sheetId="7" r:id="rId6"/>
    <sheet name="Juli" sheetId="8" r:id="rId7"/>
    <sheet name="Sept" sheetId="9" r:id="rId8"/>
    <sheet name="Okt" sheetId="10" r:id="rId9"/>
    <sheet name="Nov" sheetId="11" r:id="rId10"/>
    <sheet name="Dez" sheetId="12" r:id="rId11"/>
    <sheet name="Vorlage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J41" i="1"/>
  <c r="M40" i="1"/>
  <c r="J40" i="1"/>
  <c r="M39" i="1"/>
  <c r="J39" i="1"/>
  <c r="M38" i="1"/>
  <c r="J38" i="1"/>
  <c r="M37" i="1"/>
  <c r="J37" i="1"/>
  <c r="L36" i="1"/>
  <c r="M36" i="1" s="1"/>
  <c r="J36" i="1"/>
  <c r="K36" i="1" s="1"/>
  <c r="M35" i="1"/>
  <c r="K35" i="1"/>
  <c r="L32" i="1"/>
  <c r="M32" i="1" s="1"/>
  <c r="J32" i="1"/>
  <c r="K32" i="1" s="1"/>
  <c r="M31" i="1"/>
  <c r="K31" i="1"/>
  <c r="M30" i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L19" i="1"/>
  <c r="M19" i="1" s="1"/>
  <c r="J19" i="1"/>
  <c r="K19" i="1" s="1"/>
  <c r="M18" i="1"/>
  <c r="K18" i="1"/>
  <c r="M17" i="1"/>
  <c r="J17" i="1"/>
  <c r="M16" i="1"/>
  <c r="J16" i="1"/>
  <c r="M15" i="1"/>
  <c r="J15" i="1"/>
  <c r="L14" i="1"/>
  <c r="M14" i="1" s="1"/>
  <c r="J14" i="1"/>
  <c r="K14" i="1" s="1"/>
  <c r="M13" i="1"/>
  <c r="K13" i="1"/>
  <c r="M12" i="1"/>
  <c r="J12" i="1"/>
  <c r="M11" i="1"/>
  <c r="J11" i="1"/>
  <c r="L10" i="1"/>
  <c r="M10" i="1" s="1"/>
  <c r="J10" i="1"/>
  <c r="K10" i="1" s="1"/>
  <c r="M9" i="1"/>
  <c r="K9" i="1"/>
  <c r="M8" i="1"/>
  <c r="K8" i="1"/>
  <c r="L7" i="1"/>
  <c r="M7" i="1" s="1"/>
  <c r="J7" i="1"/>
  <c r="K7" i="1" s="1"/>
  <c r="M6" i="1"/>
  <c r="K6" i="1"/>
  <c r="L5" i="1"/>
  <c r="M5" i="1" s="1"/>
  <c r="J5" i="1"/>
  <c r="K5" i="1" s="1"/>
  <c r="M4" i="1"/>
  <c r="K4" i="1"/>
  <c r="L3" i="1"/>
  <c r="M3" i="1" s="1"/>
  <c r="J3" i="1"/>
  <c r="K3" i="1" s="1"/>
  <c r="M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71931E1B-3C0C-4BC2-A1B1-9121FBBE895E}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00F79B30-130B-4CE3-8E4A-EBA46085C927}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<sst xmlns="http://schemas.openxmlformats.org/spreadsheetml/2006/main" count="99" uniqueCount="34">
  <si>
    <t>Auftragsnummer
#</t>
  </si>
  <si>
    <t>Cell
#</t>
  </si>
  <si>
    <t>Membran Batch FA</t>
  </si>
  <si>
    <t>Test Station Nr.</t>
  </si>
  <si>
    <t>% LEL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</si>
  <si>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</si>
  <si>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</si>
  <si>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</si>
  <si>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</si>
  <si>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</si>
  <si>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</si>
  <si>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</si>
  <si>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</si>
  <si>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</si>
  <si>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</si>
  <si>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>Bemerkungen 1</t>
  </si>
  <si>
    <t>Bemerkung 2</t>
  </si>
  <si>
    <t xml:space="preserve">Visum
</t>
  </si>
  <si>
    <t>MI-V4</t>
  </si>
  <si>
    <t>MU1</t>
  </si>
  <si>
    <t>MU1-V2</t>
  </si>
  <si>
    <t>MU2</t>
  </si>
  <si>
    <t>MU2-V2</t>
  </si>
  <si>
    <t>"</t>
  </si>
  <si>
    <t>MU3</t>
  </si>
  <si>
    <t>MU3-V2</t>
  </si>
  <si>
    <t>MU4-V2</t>
  </si>
  <si>
    <t>MU12</t>
  </si>
  <si>
    <t>MU12-V1</t>
  </si>
  <si>
    <t>MA-V1-R</t>
  </si>
  <si>
    <t>MU6-V1</t>
  </si>
  <si>
    <t>Revision</t>
  </si>
  <si>
    <t xml:space="preserve">Reparatur 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</si>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</sst>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sz val="10"/>
      <color theme="0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b/>
      <i/>
      <sz val="12"/>
      <name val="Verdana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3" fillId="2" borderId="5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164" fontId="6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7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 wrapText="1"/>
    </xf>
    <xf numFmtId="2" fontId="7" fillId="0" borderId="6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3" borderId="0" xfId="0" applyFill="1"/>
    <xf numFmtId="1" fontId="8" fillId="3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2" fontId="11" fillId="3" borderId="8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2" fontId="9" fillId="3" borderId="0" xfId="0" applyNumberFormat="1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0" borderId="0" xfId="0" applyFont="1"/>
    <xf numFmtId="0" fontId="0" fillId="0" borderId="7" xfId="0" applyBorder="1" applyAlignment="1">
      <alignment vertical="center"/>
    </xf>
    <xf numFmtId="1" fontId="8" fillId="0" borderId="7" xfId="0" applyNumberFormat="1" applyFont="1" applyBorder="1" applyAlignment="1">
      <alignment horizontal="center"/>
    </xf>
    <xf numFmtId="1" fontId="0" fillId="0" borderId="7" xfId="0" applyNumberFormat="1" applyBorder="1"/>
    <xf numFmtId="164" fontId="12" fillId="2" borderId="8" xfId="0" applyNumberFormat="1" applyFont="1" applyFill="1" applyBorder="1" applyAlignment="1">
      <alignment horizontal="center" vertical="center"/>
    </xf>
    <xf numFmtId="2" fontId="12" fillId="2" borderId="6" xfId="0" applyNumberFormat="1" applyFont="1" applyFill="1" applyBorder="1" applyAlignment="1">
      <alignment horizontal="center" vertical="center"/>
    </xf>
    <xf numFmtId="164" fontId="0" fillId="0" borderId="7" xfId="0" applyNumberFormat="1" applyBorder="1"/>
    <xf numFmtId="0" fontId="1" fillId="0" borderId="7" xfId="0" applyFont="1" applyBorder="1" applyAlignment="1">
      <alignment vertical="center"/>
    </xf>
    <xf numFmtId="2" fontId="12" fillId="2" borderId="6" xfId="0" applyNumberFormat="1" applyFont="1" applyFill="1" applyBorder="1" applyAlignment="1">
      <alignment vertical="center"/>
    </xf>
    <xf numFmtId="2" fontId="7" fillId="2" borderId="9" xfId="1" applyNumberFormat="1" applyFont="1" applyFill="1" applyBorder="1" applyAlignment="1">
      <alignment horizontal="center" vertical="center"/>
    </xf>
    <xf numFmtId="2" fontId="1" fillId="3" borderId="7" xfId="0" applyNumberFormat="1" applyFont="1" applyFill="1" applyBorder="1" applyAlignment="1">
      <alignment vertical="center"/>
    </xf>
    <xf numFmtId="1" fontId="0" fillId="0" borderId="0" xfId="0" applyNumberFormat="1"/>
    <xf numFmtId="0" fontId="13" fillId="0" borderId="10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BC58-1C6F-42ED-88F3-6F9CF571E80C}">
  <dimension ref="A1:X1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1" max="1" width="13.85546875" customWidth="1"/>
    <col min="2" max="2" width="12.28515625" customWidth="1"/>
    <col min="3" max="3" width="11" customWidth="1"/>
    <col min="4" max="4" width="9" customWidth="1"/>
    <col min="5" max="5" width="6.5703125" customWidth="1"/>
    <col min="9" max="9" width="11" customWidth="1"/>
    <col min="10" max="10" width="10.140625" customWidth="1"/>
    <col min="11" max="11" width="2.28515625" customWidth="1"/>
    <col min="12" max="12" width="9.140625" customWidth="1"/>
    <col min="13" max="13" width="2.140625" customWidth="1"/>
    <col min="14" max="14" width="9.28515625" customWidth="1"/>
    <col min="15" max="15" width="8.5703125" customWidth="1"/>
    <col min="16" max="16" width="10.5703125" customWidth="1"/>
    <col min="17" max="17" width="2.28515625" customWidth="1"/>
    <col min="18" max="18" width="15.140625" customWidth="1"/>
    <col min="19" max="19" width="25.5703125" customWidth="1"/>
    <col min="20" max="20" width="27.5703125" customWidth="1"/>
    <col min="21" max="21" width="0.42578125" customWidth="1"/>
    <col min="22" max="22" width="9.140625" customWidth="1"/>
  </cols>
  <sheetData>
    <row r="1" spans="1:24" s="14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15</v>
      </c>
      <c r="T1" s="6" t="s">
        <v>16</v>
      </c>
      <c r="U1" s="6"/>
      <c r="V1" s="2" t="s">
        <v>17</v>
      </c>
      <c r="W1" s="12"/>
      <c r="X1" s="13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035F-01FE-484A-800C-295485AD9A8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CF07-2035-488C-9AEC-FCC811C6713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C1DC-FD48-41FE-AF21-FA8DC3305B2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D245-A1B3-4BAA-B07C-5B61E346C3F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93CE-028A-4741-93AD-367DF143AFE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C8-4923-4C22-84A7-EB436581F78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A037-865A-4AD8-B4B0-6BE5E6114C8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8FC0-EFF9-466D-BB9C-10641D29839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8BFE-D208-4898-AAD2-23C4AECFDB3B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A50E-8540-4B5D-93C4-FFF74A94CFF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workbookViewId="0">
      <selection sqref="A1:XFD1"/>
    </sheetView>
  </sheetViews>
  <sheetFormatPr baseColWidth="10" defaultColWidth="9.140625" defaultRowHeight="15" x14ac:dyDescent="0.25"/>
  <cols>
    <col min="1" max="1" width="15.7109375" customWidth="1"/>
    <col min="2" max="2" width="13.85546875" customWidth="1"/>
    <col min="11" max="11" width="2.140625" customWidth="1"/>
    <col min="13" max="13" width="2.5703125" customWidth="1"/>
  </cols>
  <sheetData>
    <row r="1" spans="1:24" s="14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15</v>
      </c>
      <c r="T1" s="6" t="s">
        <v>16</v>
      </c>
      <c r="U1" s="6"/>
      <c r="V1" s="2" t="s">
        <v>17</v>
      </c>
      <c r="W1" s="12"/>
      <c r="X1" s="13"/>
    </row>
    <row r="2" spans="1:24" ht="42" customHeight="1" x14ac:dyDescent="0.25">
      <c r="A2" s="15" t="s">
        <v>18</v>
      </c>
      <c r="B2" s="16"/>
      <c r="C2" s="16"/>
      <c r="D2" s="17"/>
      <c r="E2" s="18"/>
      <c r="F2" s="19"/>
      <c r="G2" s="20"/>
      <c r="H2" s="20"/>
      <c r="I2" s="20"/>
      <c r="J2" s="20"/>
      <c r="K2" s="21" t="str">
        <f>IF(J2=0,"",IF(OR(J2&lt;0,J2&gt;0.03),"X",""))</f>
        <v/>
      </c>
      <c r="L2" s="22"/>
      <c r="M2" s="23" t="str">
        <f>IF(L2=0,"",IF(OR(L2&lt;7.4,L2&gt;8),"X",""))</f>
        <v/>
      </c>
      <c r="N2" s="24"/>
      <c r="O2" s="20"/>
      <c r="P2" s="20"/>
      <c r="Q2" s="20"/>
      <c r="R2" s="25"/>
      <c r="S2" s="25"/>
      <c r="T2" s="25"/>
      <c r="U2" s="25"/>
      <c r="V2" s="16"/>
    </row>
    <row r="3" spans="1:24" x14ac:dyDescent="0.25">
      <c r="A3" s="26"/>
      <c r="B3" s="26"/>
      <c r="C3" s="26"/>
      <c r="D3" s="27"/>
      <c r="E3" s="28"/>
      <c r="F3" s="29"/>
      <c r="G3" s="30"/>
      <c r="H3" s="30"/>
      <c r="I3" s="30"/>
      <c r="J3" s="31">
        <f>IF(O3&lt;&gt;"",(H3-I3)/O3,"")</f>
        <v>0</v>
      </c>
      <c r="K3" s="32" t="str">
        <f t="shared" ref="K3:K14" si="0">IF(J3=0,"",IF(OR(J3&lt;0,J3&gt;0.03),"X",""))</f>
        <v/>
      </c>
      <c r="L3" s="33">
        <f>F3/(O3*P3)</f>
        <v>0</v>
      </c>
      <c r="M3" s="34" t="str">
        <f>IF(L3=0,"",IF(OR(L3&lt;7,L3&gt;7.8),"X",""))</f>
        <v/>
      </c>
      <c r="N3" s="35" t="s">
        <v>18</v>
      </c>
      <c r="O3" s="27">
        <v>1</v>
      </c>
      <c r="P3" s="36">
        <v>25</v>
      </c>
      <c r="Q3" s="26"/>
      <c r="R3" s="26"/>
      <c r="S3" s="37"/>
      <c r="T3" s="37"/>
      <c r="U3" s="26"/>
      <c r="V3" s="26"/>
    </row>
    <row r="4" spans="1:24" ht="41.25" customHeight="1" x14ac:dyDescent="0.25">
      <c r="A4" s="38" t="s">
        <v>19</v>
      </c>
      <c r="K4" s="21" t="str">
        <f t="shared" si="0"/>
        <v/>
      </c>
      <c r="L4" s="39"/>
      <c r="M4" s="23" t="str">
        <f t="shared" ref="M4:M31" si="1">IF(L4=0,"",IF(OR(L4&lt;7.4,L4&gt;8),"X",""))</f>
        <v/>
      </c>
      <c r="N4" s="24"/>
    </row>
    <row r="5" spans="1:24" x14ac:dyDescent="0.25">
      <c r="A5" s="26"/>
      <c r="B5" s="26"/>
      <c r="C5" s="26"/>
      <c r="D5" s="29"/>
      <c r="E5" s="28"/>
      <c r="F5" s="40"/>
      <c r="G5" s="30"/>
      <c r="H5" s="30"/>
      <c r="I5" s="30"/>
      <c r="J5" s="31">
        <f>IF(O5&lt;&gt;"",(H5-I5)/O5,"")</f>
        <v>0</v>
      </c>
      <c r="K5" s="32" t="str">
        <f t="shared" si="0"/>
        <v/>
      </c>
      <c r="L5" s="33">
        <f>F5/(O5*P5)</f>
        <v>0</v>
      </c>
      <c r="M5" s="34" t="str">
        <f>IF(L5=0,"",IF(OR(L5&lt;7,L5&gt;7.8),"X",""))</f>
        <v/>
      </c>
      <c r="N5" s="35" t="s">
        <v>20</v>
      </c>
      <c r="O5" s="27">
        <v>1</v>
      </c>
      <c r="P5" s="36">
        <v>40</v>
      </c>
      <c r="Q5" s="41"/>
      <c r="R5" s="26"/>
      <c r="S5" s="26"/>
      <c r="T5" s="26"/>
      <c r="U5" s="41"/>
      <c r="V5" s="26"/>
    </row>
    <row r="6" spans="1:24" ht="42" customHeight="1" x14ac:dyDescent="0.25">
      <c r="A6" s="38" t="s">
        <v>21</v>
      </c>
      <c r="K6" s="21" t="str">
        <f t="shared" si="0"/>
        <v/>
      </c>
      <c r="L6" s="39"/>
      <c r="M6" s="23" t="str">
        <f t="shared" si="1"/>
        <v/>
      </c>
      <c r="N6" s="24"/>
    </row>
    <row r="7" spans="1:24" x14ac:dyDescent="0.25">
      <c r="A7" s="26"/>
      <c r="B7" s="26"/>
      <c r="C7" s="26"/>
      <c r="D7" s="29"/>
      <c r="E7" s="28"/>
      <c r="F7" s="40"/>
      <c r="G7" s="30"/>
      <c r="H7" s="30"/>
      <c r="I7" s="30"/>
      <c r="J7" s="31">
        <f>IF(O7&lt;&gt;"",(H7-I7)/O7,"")</f>
        <v>0</v>
      </c>
      <c r="K7" s="32" t="str">
        <f t="shared" si="0"/>
        <v/>
      </c>
      <c r="L7" s="33">
        <f>F7/(O7*P7)</f>
        <v>0</v>
      </c>
      <c r="M7" s="34" t="str">
        <f>IF(L7=0,"",IF(OR(L7&lt;7,L7&gt;7.8),"X",""))</f>
        <v/>
      </c>
      <c r="N7" s="35" t="s">
        <v>22</v>
      </c>
      <c r="O7" s="27">
        <v>2</v>
      </c>
      <c r="P7" s="36">
        <v>40</v>
      </c>
      <c r="Q7" s="26"/>
      <c r="R7" s="26"/>
      <c r="S7" s="26"/>
      <c r="T7" s="26"/>
      <c r="U7" s="26"/>
      <c r="V7" s="26"/>
    </row>
    <row r="8" spans="1:24" x14ac:dyDescent="0.25">
      <c r="A8" s="26" t="s">
        <v>23</v>
      </c>
      <c r="B8" s="26" t="s">
        <v>23</v>
      </c>
      <c r="C8" s="26"/>
      <c r="D8" s="29"/>
      <c r="E8" s="28"/>
      <c r="F8" s="29"/>
      <c r="G8" s="30"/>
      <c r="H8" s="30"/>
      <c r="I8" s="30"/>
      <c r="J8" s="31"/>
      <c r="K8" s="32" t="str">
        <f t="shared" si="0"/>
        <v/>
      </c>
      <c r="L8" s="33"/>
      <c r="M8" s="34" t="str">
        <f t="shared" si="1"/>
        <v/>
      </c>
      <c r="N8" s="35"/>
      <c r="O8" s="27"/>
      <c r="P8" s="36"/>
      <c r="Q8" s="26"/>
      <c r="R8" s="26"/>
      <c r="S8" s="26"/>
      <c r="T8" s="26"/>
      <c r="U8" s="26"/>
      <c r="V8" s="26"/>
    </row>
    <row r="9" spans="1:24" ht="39" customHeight="1" x14ac:dyDescent="0.25">
      <c r="A9" s="38" t="s">
        <v>24</v>
      </c>
      <c r="K9" s="21" t="str">
        <f t="shared" si="0"/>
        <v/>
      </c>
      <c r="L9" s="39"/>
      <c r="M9" s="23" t="str">
        <f t="shared" si="1"/>
        <v/>
      </c>
      <c r="N9" s="24"/>
    </row>
    <row r="10" spans="1:24" x14ac:dyDescent="0.25">
      <c r="A10" s="26"/>
      <c r="B10" s="26"/>
      <c r="C10" s="26"/>
      <c r="D10" s="29"/>
      <c r="E10" s="28"/>
      <c r="F10" s="40"/>
      <c r="G10" s="30"/>
      <c r="H10" s="30"/>
      <c r="I10" s="30"/>
      <c r="J10" s="31">
        <f>IF(O10&lt;&gt;"",(H10-I10)/O10,"")</f>
        <v>0</v>
      </c>
      <c r="K10" s="32" t="str">
        <f t="shared" si="0"/>
        <v/>
      </c>
      <c r="L10" s="33">
        <f>F10/(O10*P10)</f>
        <v>0</v>
      </c>
      <c r="M10" s="34" t="str">
        <f>IF(L10=0,"",IF(OR(L10&lt;7,L10&gt;7.8),"X",""))</f>
        <v/>
      </c>
      <c r="N10" s="35" t="s">
        <v>25</v>
      </c>
      <c r="O10" s="27">
        <v>3</v>
      </c>
      <c r="P10" s="36">
        <v>40</v>
      </c>
      <c r="Q10" s="26"/>
      <c r="R10" s="26"/>
      <c r="S10" s="26"/>
      <c r="T10" s="26"/>
      <c r="U10" s="41"/>
      <c r="V10" s="26"/>
    </row>
    <row r="11" spans="1:24" x14ac:dyDescent="0.25">
      <c r="A11" s="26" t="s">
        <v>23</v>
      </c>
      <c r="B11" s="26" t="s">
        <v>23</v>
      </c>
      <c r="C11" s="26"/>
      <c r="D11" s="29"/>
      <c r="E11" s="28"/>
      <c r="F11" s="29"/>
      <c r="G11" s="30"/>
      <c r="H11" s="30"/>
      <c r="I11" s="30"/>
      <c r="J11" s="31" t="str">
        <f t="shared" ref="J11:J12" si="2">IF(O11&lt;&gt;"",(H11-I11)/O11,"")</f>
        <v/>
      </c>
      <c r="K11" s="32"/>
      <c r="L11" s="33"/>
      <c r="M11" s="34" t="str">
        <f t="shared" si="1"/>
        <v/>
      </c>
      <c r="N11" s="35"/>
      <c r="O11" s="27"/>
      <c r="P11" s="36"/>
      <c r="Q11" s="26"/>
      <c r="R11" s="26"/>
      <c r="S11" s="26"/>
      <c r="T11" s="26"/>
      <c r="U11" s="41"/>
      <c r="V11" s="26"/>
    </row>
    <row r="12" spans="1:24" ht="14.25" customHeight="1" x14ac:dyDescent="0.25">
      <c r="A12" s="26" t="s">
        <v>23</v>
      </c>
      <c r="B12" s="26" t="s">
        <v>23</v>
      </c>
      <c r="C12" s="26"/>
      <c r="D12" s="29"/>
      <c r="E12" s="28"/>
      <c r="F12" s="29"/>
      <c r="G12" s="30"/>
      <c r="H12" s="30"/>
      <c r="I12" s="30"/>
      <c r="J12" s="31" t="str">
        <f t="shared" si="2"/>
        <v/>
      </c>
      <c r="K12" s="32"/>
      <c r="L12" s="33"/>
      <c r="M12" s="34" t="str">
        <f t="shared" si="1"/>
        <v/>
      </c>
      <c r="N12" s="35"/>
      <c r="O12" s="27"/>
      <c r="P12" s="36"/>
      <c r="Q12" s="26"/>
      <c r="R12" s="26"/>
      <c r="S12" s="26"/>
      <c r="T12" s="26"/>
      <c r="U12" s="41"/>
      <c r="V12" s="26"/>
    </row>
    <row r="13" spans="1:24" ht="58.5" customHeight="1" x14ac:dyDescent="0.25">
      <c r="A13" s="38" t="s">
        <v>26</v>
      </c>
      <c r="K13" s="21" t="str">
        <f t="shared" si="0"/>
        <v/>
      </c>
      <c r="L13" s="39"/>
      <c r="M13" s="23" t="str">
        <f t="shared" si="1"/>
        <v/>
      </c>
      <c r="N13" s="24"/>
    </row>
    <row r="14" spans="1:24" x14ac:dyDescent="0.25">
      <c r="A14" s="26"/>
      <c r="B14" s="26"/>
      <c r="C14" s="26"/>
      <c r="D14" s="29"/>
      <c r="E14" s="28"/>
      <c r="F14" s="40"/>
      <c r="G14" s="30"/>
      <c r="H14" s="30"/>
      <c r="I14" s="30"/>
      <c r="J14" s="31">
        <f>IF(O14&lt;&gt;"",(H14-I14)/O14,"")</f>
        <v>0</v>
      </c>
      <c r="K14" s="32" t="str">
        <f t="shared" si="0"/>
        <v/>
      </c>
      <c r="L14" s="33">
        <f>F14/(O14*P14)</f>
        <v>0</v>
      </c>
      <c r="M14" s="34" t="str">
        <f>IF(L14=0,"",IF(OR(L14&lt;7,L14&gt;7.8),"X",""))</f>
        <v/>
      </c>
      <c r="N14" s="35" t="s">
        <v>26</v>
      </c>
      <c r="O14" s="27">
        <v>4</v>
      </c>
      <c r="P14" s="36">
        <v>40</v>
      </c>
      <c r="Q14" s="26"/>
      <c r="R14" s="26"/>
      <c r="S14" s="26"/>
      <c r="T14" s="26"/>
      <c r="U14" s="26"/>
      <c r="V14" s="26"/>
    </row>
    <row r="15" spans="1:24" x14ac:dyDescent="0.25">
      <c r="A15" s="26" t="s">
        <v>23</v>
      </c>
      <c r="B15" s="26" t="s">
        <v>23</v>
      </c>
      <c r="C15" s="26"/>
      <c r="D15" s="29"/>
      <c r="E15" s="28"/>
      <c r="F15" s="29"/>
      <c r="G15" s="30"/>
      <c r="H15" s="30"/>
      <c r="I15" s="30"/>
      <c r="J15" s="31" t="str">
        <f t="shared" ref="J15:J17" si="3">IF(O15&lt;&gt;"",(H15-I15)/O15,"")</f>
        <v/>
      </c>
      <c r="K15" s="32"/>
      <c r="L15" s="33"/>
      <c r="M15" s="34" t="str">
        <f t="shared" si="1"/>
        <v/>
      </c>
      <c r="N15" s="35"/>
      <c r="O15" s="27"/>
      <c r="P15" s="36"/>
      <c r="Q15" s="26"/>
      <c r="R15" s="26"/>
      <c r="S15" s="26"/>
      <c r="T15" s="26"/>
      <c r="U15" s="26"/>
      <c r="V15" s="26"/>
    </row>
    <row r="16" spans="1:24" x14ac:dyDescent="0.25">
      <c r="A16" s="26" t="s">
        <v>23</v>
      </c>
      <c r="B16" s="26" t="s">
        <v>23</v>
      </c>
      <c r="C16" s="26"/>
      <c r="D16" s="29"/>
      <c r="E16" s="28"/>
      <c r="F16" s="29"/>
      <c r="G16" s="30"/>
      <c r="H16" s="30"/>
      <c r="I16" s="30"/>
      <c r="J16" s="31" t="str">
        <f t="shared" si="3"/>
        <v/>
      </c>
      <c r="K16" s="32"/>
      <c r="L16" s="33"/>
      <c r="M16" s="34" t="str">
        <f t="shared" si="1"/>
        <v/>
      </c>
      <c r="N16" s="35"/>
      <c r="O16" s="27"/>
      <c r="P16" s="36"/>
      <c r="Q16" s="26"/>
      <c r="R16" s="26"/>
      <c r="S16" s="26"/>
      <c r="T16" s="26"/>
      <c r="U16" s="26"/>
      <c r="V16" s="26"/>
    </row>
    <row r="17" spans="1:22" x14ac:dyDescent="0.25">
      <c r="A17" s="26" t="s">
        <v>23</v>
      </c>
      <c r="B17" s="26" t="s">
        <v>23</v>
      </c>
      <c r="C17" s="26"/>
      <c r="D17" s="29"/>
      <c r="E17" s="28"/>
      <c r="F17" s="29"/>
      <c r="G17" s="30"/>
      <c r="H17" s="30"/>
      <c r="I17" s="30"/>
      <c r="J17" s="31" t="str">
        <f t="shared" si="3"/>
        <v/>
      </c>
      <c r="K17" s="32"/>
      <c r="L17" s="33"/>
      <c r="M17" s="34" t="str">
        <f t="shared" si="1"/>
        <v/>
      </c>
      <c r="N17" s="35"/>
      <c r="O17" s="27"/>
      <c r="P17" s="36"/>
      <c r="Q17" s="26"/>
      <c r="R17" s="26"/>
      <c r="S17" s="26"/>
      <c r="T17" s="26"/>
      <c r="U17" s="26"/>
      <c r="V17" s="26"/>
    </row>
    <row r="18" spans="1:22" ht="50.25" customHeight="1" x14ac:dyDescent="0.25">
      <c r="A18" s="38" t="s">
        <v>27</v>
      </c>
      <c r="K18" s="21" t="str">
        <f t="shared" ref="K18" si="4">IF(J18=0,"",IF(OR(J18&lt;0,J18&gt;0.03),"X",""))</f>
        <v/>
      </c>
      <c r="L18" s="39"/>
      <c r="M18" s="23" t="str">
        <f t="shared" si="1"/>
        <v/>
      </c>
      <c r="N18" s="24"/>
    </row>
    <row r="19" spans="1:22" x14ac:dyDescent="0.25">
      <c r="A19" s="26"/>
      <c r="B19" s="26"/>
      <c r="C19" s="26"/>
      <c r="D19" s="29"/>
      <c r="E19" s="28"/>
      <c r="F19" s="40"/>
      <c r="G19" s="30"/>
      <c r="H19" s="30"/>
      <c r="I19" s="30"/>
      <c r="J19" s="31">
        <f>IF(O19&lt;&gt;"",(H19-I19)/O19,"")</f>
        <v>0</v>
      </c>
      <c r="K19" s="32" t="str">
        <f>IF(J19=0,"",IF(OR(J19&lt;0,J19&gt;0.03),"X",""))</f>
        <v/>
      </c>
      <c r="L19" s="33">
        <f>F19/(O19*P19)</f>
        <v>0</v>
      </c>
      <c r="M19" s="34" t="str">
        <f>IF(L19=0,"",IF(OR(L19&lt;7,L19&gt;7.8),"X",""))</f>
        <v/>
      </c>
      <c r="N19" s="35" t="s">
        <v>28</v>
      </c>
      <c r="O19" s="27">
        <v>12</v>
      </c>
      <c r="P19" s="36">
        <v>40</v>
      </c>
      <c r="Q19" s="26"/>
      <c r="R19" s="26"/>
      <c r="S19" s="26"/>
      <c r="T19" s="26"/>
      <c r="U19" s="26"/>
      <c r="V19" s="26"/>
    </row>
    <row r="20" spans="1:22" x14ac:dyDescent="0.25">
      <c r="A20" s="26" t="s">
        <v>23</v>
      </c>
      <c r="B20" s="26" t="s">
        <v>23</v>
      </c>
      <c r="C20" s="26"/>
      <c r="D20" s="29"/>
      <c r="E20" s="28"/>
      <c r="F20" s="29"/>
      <c r="G20" s="30"/>
      <c r="H20" s="30"/>
      <c r="I20" s="30"/>
      <c r="J20" s="31" t="str">
        <f>IF(O20&lt;&gt;"",(H20-I20)/O20,"")</f>
        <v/>
      </c>
      <c r="K20" s="32"/>
      <c r="L20" s="33"/>
      <c r="M20" s="34" t="str">
        <f>IF(L20=0,"",IF(OR(L20&lt;7.4,L20&gt;8),"X",""))</f>
        <v/>
      </c>
      <c r="N20" s="35"/>
      <c r="O20" s="27"/>
      <c r="P20" s="36"/>
      <c r="Q20" s="26"/>
      <c r="R20" s="26"/>
      <c r="S20" s="26"/>
      <c r="T20" s="26"/>
      <c r="U20" s="26"/>
      <c r="V20" s="26"/>
    </row>
    <row r="21" spans="1:22" x14ac:dyDescent="0.25">
      <c r="A21" s="26" t="s">
        <v>23</v>
      </c>
      <c r="B21" s="26" t="s">
        <v>23</v>
      </c>
      <c r="C21" s="26"/>
      <c r="D21" s="29"/>
      <c r="E21" s="28"/>
      <c r="F21" s="29"/>
      <c r="G21" s="30"/>
      <c r="H21" s="30"/>
      <c r="I21" s="30"/>
      <c r="J21" s="31" t="str">
        <f t="shared" ref="J21:J30" si="5">IF(O21&lt;&gt;"",(H21-I21)/O21,"")</f>
        <v/>
      </c>
      <c r="K21" s="32"/>
      <c r="L21" s="33"/>
      <c r="M21" s="34" t="str">
        <f t="shared" si="1"/>
        <v/>
      </c>
      <c r="N21" s="35"/>
      <c r="O21" s="27"/>
      <c r="P21" s="36"/>
      <c r="Q21" s="26"/>
      <c r="R21" s="26"/>
      <c r="S21" s="26"/>
      <c r="T21" s="26"/>
      <c r="U21" s="26"/>
      <c r="V21" s="26"/>
    </row>
    <row r="22" spans="1:22" x14ac:dyDescent="0.25">
      <c r="A22" s="26" t="s">
        <v>23</v>
      </c>
      <c r="B22" s="26" t="s">
        <v>23</v>
      </c>
      <c r="C22" s="26"/>
      <c r="D22" s="29"/>
      <c r="E22" s="28"/>
      <c r="F22" s="29"/>
      <c r="G22" s="30"/>
      <c r="H22" s="30"/>
      <c r="I22" s="30"/>
      <c r="J22" s="31" t="str">
        <f t="shared" si="5"/>
        <v/>
      </c>
      <c r="K22" s="32"/>
      <c r="L22" s="33"/>
      <c r="M22" s="34" t="str">
        <f t="shared" si="1"/>
        <v/>
      </c>
      <c r="N22" s="35"/>
      <c r="O22" s="27"/>
      <c r="P22" s="36"/>
      <c r="Q22" s="26"/>
      <c r="R22" s="26"/>
      <c r="S22" s="26"/>
      <c r="T22" s="26"/>
      <c r="U22" s="26"/>
      <c r="V22" s="26"/>
    </row>
    <row r="23" spans="1:22" x14ac:dyDescent="0.25">
      <c r="A23" s="26" t="s">
        <v>23</v>
      </c>
      <c r="B23" s="26" t="s">
        <v>23</v>
      </c>
      <c r="C23" s="26"/>
      <c r="D23" s="29"/>
      <c r="E23" s="28"/>
      <c r="F23" s="29"/>
      <c r="G23" s="30"/>
      <c r="H23" s="30"/>
      <c r="I23" s="30"/>
      <c r="J23" s="31" t="str">
        <f t="shared" si="5"/>
        <v/>
      </c>
      <c r="K23" s="32"/>
      <c r="L23" s="33"/>
      <c r="M23" s="34" t="str">
        <f t="shared" si="1"/>
        <v/>
      </c>
      <c r="N23" s="35"/>
      <c r="O23" s="27"/>
      <c r="P23" s="36"/>
      <c r="Q23" s="26"/>
      <c r="R23" s="26"/>
      <c r="S23" s="26"/>
      <c r="T23" s="26"/>
      <c r="U23" s="26"/>
      <c r="V23" s="26"/>
    </row>
    <row r="24" spans="1:22" x14ac:dyDescent="0.25">
      <c r="A24" s="26" t="s">
        <v>23</v>
      </c>
      <c r="B24" s="26" t="s">
        <v>23</v>
      </c>
      <c r="C24" s="26"/>
      <c r="D24" s="29"/>
      <c r="E24" s="28"/>
      <c r="F24" s="29"/>
      <c r="G24" s="30"/>
      <c r="H24" s="30"/>
      <c r="I24" s="30"/>
      <c r="J24" s="31" t="str">
        <f t="shared" si="5"/>
        <v/>
      </c>
      <c r="K24" s="32"/>
      <c r="L24" s="33"/>
      <c r="M24" s="34" t="str">
        <f t="shared" si="1"/>
        <v/>
      </c>
      <c r="N24" s="35"/>
      <c r="O24" s="27"/>
      <c r="P24" s="36"/>
      <c r="Q24" s="26"/>
      <c r="R24" s="26"/>
      <c r="S24" s="26"/>
      <c r="T24" s="26"/>
      <c r="U24" s="26"/>
      <c r="V24" s="26"/>
    </row>
    <row r="25" spans="1:22" x14ac:dyDescent="0.25">
      <c r="A25" s="26" t="s">
        <v>23</v>
      </c>
      <c r="B25" s="26" t="s">
        <v>23</v>
      </c>
      <c r="C25" s="26"/>
      <c r="D25" s="29"/>
      <c r="E25" s="28"/>
      <c r="F25" s="29"/>
      <c r="G25" s="30"/>
      <c r="H25" s="30"/>
      <c r="I25" s="30"/>
      <c r="J25" s="31" t="str">
        <f t="shared" si="5"/>
        <v/>
      </c>
      <c r="K25" s="32"/>
      <c r="L25" s="33"/>
      <c r="M25" s="34" t="str">
        <f t="shared" si="1"/>
        <v/>
      </c>
      <c r="N25" s="35"/>
      <c r="O25" s="27"/>
      <c r="P25" s="36"/>
      <c r="Q25" s="26"/>
      <c r="R25" s="26"/>
      <c r="S25" s="26"/>
      <c r="T25" s="26"/>
      <c r="U25" s="26"/>
      <c r="V25" s="26"/>
    </row>
    <row r="26" spans="1:22" x14ac:dyDescent="0.25">
      <c r="A26" s="26" t="s">
        <v>23</v>
      </c>
      <c r="B26" s="26" t="s">
        <v>23</v>
      </c>
      <c r="C26" s="26"/>
      <c r="D26" s="29"/>
      <c r="E26" s="28"/>
      <c r="F26" s="29"/>
      <c r="G26" s="30"/>
      <c r="H26" s="30"/>
      <c r="I26" s="30"/>
      <c r="J26" s="31" t="str">
        <f t="shared" si="5"/>
        <v/>
      </c>
      <c r="K26" s="32"/>
      <c r="L26" s="33"/>
      <c r="M26" s="34" t="str">
        <f t="shared" si="1"/>
        <v/>
      </c>
      <c r="N26" s="35"/>
      <c r="O26" s="27"/>
      <c r="P26" s="36"/>
      <c r="Q26" s="26"/>
      <c r="R26" s="26"/>
      <c r="S26" s="26"/>
      <c r="T26" s="26"/>
      <c r="U26" s="26"/>
      <c r="V26" s="26"/>
    </row>
    <row r="27" spans="1:22" x14ac:dyDescent="0.25">
      <c r="A27" s="26" t="s">
        <v>23</v>
      </c>
      <c r="B27" s="26" t="s">
        <v>23</v>
      </c>
      <c r="C27" s="26"/>
      <c r="D27" s="29"/>
      <c r="E27" s="28"/>
      <c r="F27" s="29"/>
      <c r="G27" s="30"/>
      <c r="H27" s="30"/>
      <c r="I27" s="30"/>
      <c r="J27" s="31" t="str">
        <f t="shared" si="5"/>
        <v/>
      </c>
      <c r="K27" s="32"/>
      <c r="L27" s="33"/>
      <c r="M27" s="34" t="str">
        <f t="shared" si="1"/>
        <v/>
      </c>
      <c r="N27" s="35"/>
      <c r="O27" s="27"/>
      <c r="P27" s="36"/>
      <c r="Q27" s="26"/>
      <c r="R27" s="26"/>
      <c r="S27" s="26"/>
      <c r="T27" s="26"/>
      <c r="U27" s="26"/>
      <c r="V27" s="26"/>
    </row>
    <row r="28" spans="1:22" x14ac:dyDescent="0.25">
      <c r="A28" s="26" t="s">
        <v>23</v>
      </c>
      <c r="B28" s="26" t="s">
        <v>23</v>
      </c>
      <c r="C28" s="26"/>
      <c r="D28" s="29"/>
      <c r="E28" s="28"/>
      <c r="F28" s="29"/>
      <c r="G28" s="30"/>
      <c r="H28" s="30"/>
      <c r="I28" s="30"/>
      <c r="J28" s="31" t="str">
        <f t="shared" si="5"/>
        <v/>
      </c>
      <c r="K28" s="32"/>
      <c r="L28" s="33"/>
      <c r="M28" s="34" t="str">
        <f t="shared" si="1"/>
        <v/>
      </c>
      <c r="N28" s="35"/>
      <c r="O28" s="27"/>
      <c r="P28" s="36"/>
      <c r="Q28" s="26"/>
      <c r="R28" s="26"/>
      <c r="S28" s="26"/>
      <c r="T28" s="26"/>
      <c r="U28" s="26"/>
      <c r="V28" s="26"/>
    </row>
    <row r="29" spans="1:22" x14ac:dyDescent="0.25">
      <c r="A29" s="26" t="s">
        <v>23</v>
      </c>
      <c r="B29" s="26" t="s">
        <v>23</v>
      </c>
      <c r="C29" s="26"/>
      <c r="D29" s="29"/>
      <c r="E29" s="28"/>
      <c r="F29" s="29"/>
      <c r="G29" s="30"/>
      <c r="H29" s="30"/>
      <c r="I29" s="30"/>
      <c r="J29" s="31" t="str">
        <f t="shared" si="5"/>
        <v/>
      </c>
      <c r="K29" s="32"/>
      <c r="L29" s="33"/>
      <c r="M29" s="34" t="str">
        <f t="shared" si="1"/>
        <v/>
      </c>
      <c r="N29" s="35"/>
      <c r="O29" s="27"/>
      <c r="P29" s="36"/>
      <c r="Q29" s="26"/>
      <c r="R29" s="26"/>
      <c r="S29" s="26"/>
      <c r="T29" s="26"/>
      <c r="U29" s="26"/>
      <c r="V29" s="26"/>
    </row>
    <row r="30" spans="1:22" x14ac:dyDescent="0.25">
      <c r="A30" s="26" t="s">
        <v>23</v>
      </c>
      <c r="B30" s="26" t="s">
        <v>23</v>
      </c>
      <c r="C30" s="26"/>
      <c r="D30" s="29"/>
      <c r="E30" s="28"/>
      <c r="F30" s="29"/>
      <c r="G30" s="30"/>
      <c r="H30" s="30"/>
      <c r="I30" s="30"/>
      <c r="J30" s="31" t="str">
        <f t="shared" si="5"/>
        <v/>
      </c>
      <c r="K30" s="32"/>
      <c r="L30" s="33"/>
      <c r="M30" s="34" t="str">
        <f t="shared" si="1"/>
        <v/>
      </c>
      <c r="N30" s="35"/>
      <c r="O30" s="27"/>
      <c r="P30" s="36"/>
      <c r="Q30" s="26"/>
      <c r="R30" s="26"/>
      <c r="S30" s="26"/>
      <c r="T30" s="26"/>
      <c r="U30" s="26"/>
      <c r="V30" s="26"/>
    </row>
    <row r="31" spans="1:22" ht="42" customHeight="1" x14ac:dyDescent="0.25">
      <c r="A31" s="42" t="s">
        <v>29</v>
      </c>
      <c r="B31" s="43"/>
      <c r="C31" s="43"/>
      <c r="D31" s="44"/>
      <c r="E31" s="45"/>
      <c r="F31" s="44"/>
      <c r="G31" s="46"/>
      <c r="H31" s="47"/>
      <c r="I31" s="47"/>
      <c r="J31" s="48"/>
      <c r="K31" s="21" t="str">
        <f t="shared" ref="K31:K32" si="6">IF(J31=0,"",IF(OR(J31&lt;0,J31&gt;0.03),"X",""))</f>
        <v/>
      </c>
      <c r="L31" s="49"/>
      <c r="M31" s="23" t="str">
        <f t="shared" si="1"/>
        <v/>
      </c>
      <c r="N31" s="24"/>
      <c r="O31" s="50"/>
      <c r="P31" s="51"/>
      <c r="Q31" s="43"/>
      <c r="R31" s="43"/>
      <c r="S31" s="43"/>
      <c r="T31" s="43"/>
      <c r="U31" s="43"/>
      <c r="V31" s="43"/>
    </row>
    <row r="32" spans="1:22" x14ac:dyDescent="0.25">
      <c r="A32" s="26"/>
      <c r="B32" s="26"/>
      <c r="C32" s="26"/>
      <c r="D32" s="29"/>
      <c r="E32" s="28"/>
      <c r="F32" s="40"/>
      <c r="G32" s="30"/>
      <c r="H32" s="30"/>
      <c r="I32" s="30"/>
      <c r="J32" s="31">
        <f>IF(O32&lt;&gt;"",(H32-I32)/O32,"")</f>
        <v>0</v>
      </c>
      <c r="K32" s="32" t="str">
        <f t="shared" si="6"/>
        <v/>
      </c>
      <c r="L32" s="33">
        <f>F32/(O32*P32)</f>
        <v>0</v>
      </c>
      <c r="M32" s="34" t="str">
        <f>IF(L32=0,"",IF(OR(L32&lt;7,L32&gt;7.8),"X",""))</f>
        <v/>
      </c>
      <c r="N32" s="35" t="s">
        <v>29</v>
      </c>
      <c r="O32" s="27">
        <v>1</v>
      </c>
      <c r="P32" s="36">
        <v>40</v>
      </c>
      <c r="Q32" s="26"/>
      <c r="R32" s="26"/>
      <c r="S32" s="26"/>
      <c r="T32" s="26"/>
      <c r="U32" s="26"/>
      <c r="V32" s="26"/>
    </row>
    <row r="33" spans="1:22" x14ac:dyDescent="0.25">
      <c r="A33" s="43"/>
      <c r="B33" s="43"/>
      <c r="C33" s="43"/>
      <c r="D33" s="50"/>
      <c r="E33" s="45"/>
      <c r="F33" s="44"/>
      <c r="G33" s="46"/>
      <c r="H33" s="47"/>
      <c r="I33" s="47"/>
      <c r="J33" s="43"/>
      <c r="K33" s="43"/>
      <c r="L33" s="44"/>
      <c r="M33" s="45"/>
      <c r="N33" s="44"/>
      <c r="O33" s="50"/>
      <c r="P33" s="51"/>
      <c r="Q33" s="43"/>
      <c r="R33" s="43"/>
      <c r="S33" s="43"/>
      <c r="T33" s="43"/>
      <c r="U33" s="43"/>
      <c r="V33" s="43"/>
    </row>
    <row r="34" spans="1:22" x14ac:dyDescent="0.25">
      <c r="A34" s="43"/>
      <c r="B34" s="43"/>
      <c r="C34" s="43"/>
      <c r="D34" s="44"/>
      <c r="E34" s="45"/>
      <c r="F34" s="44"/>
      <c r="G34" s="47"/>
      <c r="H34" s="47"/>
      <c r="I34" s="43"/>
      <c r="J34" s="43"/>
      <c r="K34" s="43"/>
      <c r="L34" s="44"/>
      <c r="M34" s="45"/>
      <c r="N34" s="44"/>
      <c r="O34" s="47"/>
      <c r="P34" s="47"/>
      <c r="Q34" s="43"/>
      <c r="R34" s="43"/>
      <c r="S34" s="43"/>
      <c r="T34" s="43"/>
      <c r="U34" s="43"/>
      <c r="V34" s="43"/>
    </row>
    <row r="35" spans="1:22" ht="40.5" customHeight="1" x14ac:dyDescent="0.25">
      <c r="A35" s="38" t="s">
        <v>30</v>
      </c>
      <c r="G35" s="52"/>
      <c r="J35" s="43"/>
      <c r="K35" s="43" t="str">
        <f>IF(J35=0,"",IF(OR(J35&lt;0,J35&gt;0.03),"X",""))</f>
        <v/>
      </c>
      <c r="L35" s="44"/>
      <c r="M35" s="45" t="str">
        <f>IF(L35=0,"",IF(OR(L35&lt;7.4,L35&gt;8),"X",""))</f>
        <v/>
      </c>
      <c r="N35" s="44"/>
    </row>
    <row r="36" spans="1:22" x14ac:dyDescent="0.25">
      <c r="A36" s="26"/>
      <c r="B36" s="26"/>
      <c r="C36" s="26"/>
      <c r="D36" s="53"/>
      <c r="E36" s="54"/>
      <c r="F36" s="55"/>
      <c r="G36" s="30"/>
      <c r="H36" s="30"/>
      <c r="I36" s="30"/>
      <c r="J36" s="56">
        <f t="shared" ref="J36:J41" si="7">IF(O36&lt;&gt;"",(H36-I36)/O36,"")</f>
        <v>0</v>
      </c>
      <c r="K36" s="32" t="str">
        <f>IF(J36=0,"",IF(OR(J36&lt;0,J36&gt;0.03),"X",""))</f>
        <v/>
      </c>
      <c r="L36" s="57">
        <f>F36/(O36*P36)</f>
        <v>0</v>
      </c>
      <c r="M36" s="34" t="str">
        <f>IF(L36=0,"",IF(OR(L36&lt;7,L36&gt;7.8),"X",""))</f>
        <v/>
      </c>
      <c r="N36" s="35" t="s">
        <v>30</v>
      </c>
      <c r="O36" s="27">
        <v>6</v>
      </c>
      <c r="P36" s="36">
        <v>40</v>
      </c>
      <c r="Q36" s="26"/>
      <c r="R36" s="26"/>
      <c r="S36" s="26"/>
      <c r="T36" s="26"/>
      <c r="U36" s="26"/>
      <c r="V36" s="26"/>
    </row>
    <row r="37" spans="1:22" x14ac:dyDescent="0.25">
      <c r="A37" s="26" t="s">
        <v>23</v>
      </c>
      <c r="B37" s="26" t="s">
        <v>23</v>
      </c>
      <c r="C37" s="26"/>
      <c r="D37" s="53"/>
      <c r="E37" s="54"/>
      <c r="F37" s="58"/>
      <c r="G37" s="30"/>
      <c r="H37" s="30"/>
      <c r="I37" s="30"/>
      <c r="J37" s="56" t="str">
        <f t="shared" si="7"/>
        <v/>
      </c>
      <c r="K37" s="32"/>
      <c r="L37" s="57"/>
      <c r="M37" s="34" t="str">
        <f>IF(L37=0,"",IF(OR(L37&lt;7.4,L37&gt;8),"X",""))</f>
        <v/>
      </c>
      <c r="N37" s="35"/>
      <c r="O37" s="27"/>
      <c r="P37" s="36"/>
      <c r="Q37" s="26"/>
      <c r="R37" s="26"/>
      <c r="S37" s="26"/>
      <c r="T37" s="26"/>
      <c r="U37" s="26"/>
      <c r="V37" s="26"/>
    </row>
    <row r="38" spans="1:22" x14ac:dyDescent="0.25">
      <c r="A38" s="26" t="s">
        <v>23</v>
      </c>
      <c r="B38" s="26" t="s">
        <v>23</v>
      </c>
      <c r="C38" s="26"/>
      <c r="D38" s="53"/>
      <c r="E38" s="54"/>
      <c r="F38" s="58"/>
      <c r="G38" s="30"/>
      <c r="H38" s="30"/>
      <c r="I38" s="30"/>
      <c r="J38" s="56" t="str">
        <f t="shared" si="7"/>
        <v/>
      </c>
      <c r="K38" s="32"/>
      <c r="L38" s="57"/>
      <c r="M38" s="34" t="str">
        <f>IF(L38=0,"",IF(OR(L38&lt;7.4,L38&gt;8),"X",""))</f>
        <v/>
      </c>
      <c r="N38" s="35"/>
      <c r="O38" s="27"/>
      <c r="P38" s="36"/>
      <c r="Q38" s="26"/>
      <c r="R38" s="26"/>
      <c r="S38" s="26"/>
      <c r="T38" s="26"/>
      <c r="U38" s="26"/>
      <c r="V38" s="26"/>
    </row>
    <row r="39" spans="1:22" x14ac:dyDescent="0.25">
      <c r="A39" s="26" t="s">
        <v>23</v>
      </c>
      <c r="B39" s="26" t="s">
        <v>23</v>
      </c>
      <c r="C39" s="26"/>
      <c r="D39" s="53"/>
      <c r="E39" s="54"/>
      <c r="F39" s="58"/>
      <c r="G39" s="30"/>
      <c r="H39" s="30"/>
      <c r="I39" s="30"/>
      <c r="J39" s="56" t="str">
        <f t="shared" si="7"/>
        <v/>
      </c>
      <c r="K39" s="32"/>
      <c r="L39" s="57"/>
      <c r="M39" s="34" t="str">
        <f>IF(L39=0,"",IF(OR(L39&lt;7.4,L39&gt;8),"X",""))</f>
        <v/>
      </c>
      <c r="N39" s="35"/>
      <c r="O39" s="27"/>
      <c r="P39" s="36"/>
      <c r="Q39" s="26"/>
      <c r="R39" s="26"/>
      <c r="S39" s="26"/>
      <c r="T39" s="26"/>
      <c r="U39" s="26"/>
      <c r="V39" s="26"/>
    </row>
    <row r="40" spans="1:22" x14ac:dyDescent="0.25">
      <c r="A40" s="26" t="s">
        <v>23</v>
      </c>
      <c r="B40" s="26" t="s">
        <v>23</v>
      </c>
      <c r="C40" s="26"/>
      <c r="D40" s="59"/>
      <c r="E40" s="54"/>
      <c r="F40" s="58"/>
      <c r="G40" s="30"/>
      <c r="H40" s="30"/>
      <c r="I40" s="30"/>
      <c r="J40" s="56" t="str">
        <f t="shared" si="7"/>
        <v/>
      </c>
      <c r="K40" s="32"/>
      <c r="L40" s="57"/>
      <c r="M40" s="34" t="str">
        <f>IF(L40=0,"",IF(OR(L40&lt;7.4,L40&gt;8),"X",""))</f>
        <v/>
      </c>
      <c r="N40" s="35"/>
      <c r="O40" s="27"/>
      <c r="P40" s="36"/>
      <c r="Q40" s="26"/>
      <c r="R40" s="26"/>
      <c r="S40" s="26"/>
      <c r="T40" s="26"/>
      <c r="U40" s="26"/>
      <c r="V40" s="26"/>
    </row>
    <row r="41" spans="1:22" x14ac:dyDescent="0.25">
      <c r="A41" s="26" t="s">
        <v>23</v>
      </c>
      <c r="B41" s="26" t="s">
        <v>23</v>
      </c>
      <c r="C41" s="26"/>
      <c r="D41" s="59"/>
      <c r="E41" s="54"/>
      <c r="F41" s="58"/>
      <c r="G41" s="30"/>
      <c r="H41" s="30"/>
      <c r="I41" s="30"/>
      <c r="J41" s="56" t="str">
        <f t="shared" si="7"/>
        <v/>
      </c>
      <c r="K41" s="32"/>
      <c r="L41" s="60"/>
      <c r="M41" s="61" t="str">
        <f>IF(L41=0,"",IF(OR(L41&lt;7.4,L41&gt;8),"X",""))</f>
        <v/>
      </c>
      <c r="N41" s="62"/>
      <c r="O41" s="27"/>
      <c r="P41" s="36"/>
      <c r="Q41" s="26"/>
      <c r="R41" s="26"/>
      <c r="S41" s="26"/>
      <c r="T41" s="26"/>
      <c r="U41" s="26"/>
      <c r="V41" s="26"/>
    </row>
    <row r="42" spans="1:22" x14ac:dyDescent="0.25">
      <c r="A42" s="43"/>
      <c r="B42" s="43"/>
      <c r="C42" s="43"/>
      <c r="D42" s="44"/>
      <c r="E42" s="45"/>
      <c r="F42" s="44"/>
      <c r="G42" s="47"/>
      <c r="H42" s="47"/>
      <c r="I42" s="43"/>
      <c r="J42" s="43"/>
      <c r="K42" s="43"/>
      <c r="L42" s="44"/>
      <c r="M42" s="45"/>
      <c r="N42" s="44"/>
      <c r="O42" s="47"/>
      <c r="P42" s="47"/>
      <c r="Q42" s="43"/>
      <c r="R42" s="43"/>
      <c r="S42" s="43"/>
      <c r="T42" s="43"/>
      <c r="U42" s="43"/>
      <c r="V42" s="43"/>
    </row>
    <row r="43" spans="1:22" x14ac:dyDescent="0.25">
      <c r="A43" s="43"/>
      <c r="B43" s="43"/>
      <c r="C43" s="43"/>
      <c r="D43" s="44"/>
      <c r="E43" s="45"/>
      <c r="F43" s="44"/>
      <c r="G43" s="46"/>
      <c r="H43" s="47"/>
      <c r="I43" s="43"/>
      <c r="J43" s="43"/>
      <c r="K43" s="43"/>
      <c r="L43" s="44"/>
      <c r="M43" s="45"/>
      <c r="N43" s="44"/>
      <c r="O43" s="47"/>
      <c r="P43" s="47"/>
      <c r="Q43" s="43"/>
      <c r="R43" s="43"/>
      <c r="S43" s="43"/>
      <c r="T43" s="43"/>
      <c r="U43" s="43"/>
      <c r="V43" s="43"/>
    </row>
    <row r="44" spans="1:22" ht="15.75" thickBot="1" x14ac:dyDescent="0.3">
      <c r="D44" s="63"/>
      <c r="I44" s="43"/>
      <c r="J44" s="43"/>
      <c r="K44" s="43"/>
      <c r="L44" s="44"/>
      <c r="M44" s="45"/>
      <c r="N44" s="44"/>
      <c r="O44" s="47"/>
      <c r="P44" s="47"/>
      <c r="Q44" s="43"/>
      <c r="R44" s="43"/>
    </row>
    <row r="45" spans="1:22" ht="16.5" thickBot="1" x14ac:dyDescent="0.3">
      <c r="A45" s="64" t="s">
        <v>31</v>
      </c>
      <c r="B45" s="65" t="s">
        <v>32</v>
      </c>
      <c r="C45" s="66" t="s">
        <v>33</v>
      </c>
      <c r="D45" s="50"/>
      <c r="E45" s="45"/>
      <c r="F45" s="44"/>
      <c r="G45" s="47"/>
      <c r="H45" s="47"/>
      <c r="I45" s="47"/>
      <c r="J45" s="43"/>
      <c r="K45" s="43"/>
      <c r="L45" s="44"/>
      <c r="M45" s="45"/>
      <c r="N45" s="44"/>
      <c r="O45" s="50"/>
      <c r="P45" s="51"/>
      <c r="Q45" s="43"/>
      <c r="R45" s="43"/>
      <c r="S45" s="43"/>
      <c r="T45" s="43"/>
      <c r="U45" s="43"/>
      <c r="V45" s="43"/>
    </row>
    <row r="46" spans="1:22" x14ac:dyDescent="0.25">
      <c r="D46" s="63"/>
      <c r="I46" s="43"/>
      <c r="J46" s="43"/>
      <c r="K46" s="43"/>
      <c r="L46" s="44"/>
      <c r="M46" s="45"/>
      <c r="N46" s="44"/>
      <c r="O46" s="47"/>
      <c r="P46" s="47"/>
      <c r="Q46" s="43"/>
      <c r="R46" s="43"/>
    </row>
    <row r="47" spans="1:22" x14ac:dyDescent="0.25">
      <c r="D47" s="63"/>
      <c r="I47" s="43"/>
      <c r="J47" s="43"/>
      <c r="K47" s="43"/>
      <c r="L47" s="44"/>
      <c r="M47" s="45"/>
      <c r="N47" s="44"/>
      <c r="O47" s="47"/>
      <c r="P47" s="47"/>
      <c r="Q47" s="43"/>
      <c r="R47" s="43"/>
    </row>
    <row r="48" spans="1:22" x14ac:dyDescent="0.25">
      <c r="D48" s="63"/>
      <c r="I48" s="43"/>
      <c r="J48" s="43"/>
      <c r="K48" s="43"/>
      <c r="L48" s="44"/>
      <c r="M48" s="45"/>
      <c r="N48" s="44"/>
      <c r="O48" s="47"/>
      <c r="P48" s="47"/>
      <c r="Q48" s="43"/>
      <c r="R48" s="4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Jan</vt:lpstr>
      <vt:lpstr>Feb</vt:lpstr>
      <vt:lpstr>März</vt:lpstr>
      <vt:lpstr>April</vt:lpstr>
      <vt:lpstr>Mai</vt:lpstr>
      <vt:lpstr>Juni</vt:lpstr>
      <vt:lpstr>Juli</vt:lpstr>
      <vt:lpstr>Sept</vt:lpstr>
      <vt:lpstr>Okt</vt:lpstr>
      <vt:lpstr>Nov</vt:lpstr>
      <vt:lpstr>Dez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Montagezellen</dc:creator>
  <cp:lastModifiedBy>Montagezellen</cp:lastModifiedBy>
  <dcterms:created xsi:type="dcterms:W3CDTF">2015-06-05T18:19:34Z</dcterms:created>
  <dcterms:modified xsi:type="dcterms:W3CDTF">2025-12-12T05:30:42Z</dcterms:modified>
</cp:coreProperties>
</file>