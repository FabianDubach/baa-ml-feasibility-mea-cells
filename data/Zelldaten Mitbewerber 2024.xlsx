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LP0500 Produktion\Zellenmontage\Zelldaten Produktion\"/>
    </mc:Choice>
  </mc:AlternateContent>
  <xr:revisionPtr revIDLastSave="0" documentId="13_ncr:1_{B1172AFA-8132-43AE-ABE7-95B02B503243}" xr6:coauthVersionLast="47" xr6:coauthVersionMax="47" xr10:uidLastSave="{00000000-0000-0000-0000-000000000000}"/>
  <bookViews>
    <workbookView xWindow="-108" yWindow="-108" windowWidth="41496" windowHeight="17040" xr2:uid="{4824915A-3BA4-4B6A-B603-6367CEA2240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M24" i="1" s="1"/>
  <c r="J24" i="1"/>
  <c r="K24" i="1" s="1"/>
  <c r="L23" i="1"/>
  <c r="M23" i="1" s="1"/>
  <c r="J23" i="1"/>
  <c r="K23" i="1" s="1"/>
  <c r="L22" i="1"/>
  <c r="M22" i="1" s="1"/>
  <c r="J22" i="1"/>
  <c r="K22" i="1" s="1"/>
  <c r="L21" i="1"/>
  <c r="M21" i="1" s="1"/>
  <c r="J21" i="1"/>
  <c r="K21" i="1" s="1"/>
  <c r="L20" i="1"/>
  <c r="M20" i="1" s="1"/>
  <c r="J20" i="1"/>
  <c r="K20" i="1" s="1"/>
  <c r="L17" i="1"/>
  <c r="M17" i="1" s="1"/>
  <c r="J17" i="1"/>
  <c r="K17" i="1" s="1"/>
  <c r="L16" i="1"/>
  <c r="M16" i="1" s="1"/>
  <c r="J16" i="1"/>
  <c r="K16" i="1" s="1"/>
  <c r="L15" i="1"/>
  <c r="M15" i="1" s="1"/>
  <c r="J15" i="1"/>
  <c r="K15" i="1" s="1"/>
  <c r="L14" i="1"/>
  <c r="M14" i="1" s="1"/>
  <c r="J14" i="1"/>
  <c r="K14" i="1" s="1"/>
  <c r="L13" i="1"/>
  <c r="M13" i="1" s="1"/>
  <c r="J13" i="1"/>
  <c r="K13" i="1" s="1"/>
  <c r="L12" i="1"/>
  <c r="M12" i="1" s="1"/>
  <c r="J12" i="1"/>
  <c r="K12" i="1" s="1"/>
  <c r="L9" i="1"/>
  <c r="M9" i="1" s="1"/>
  <c r="J9" i="1"/>
  <c r="K9" i="1" s="1"/>
  <c r="L8" i="1"/>
  <c r="M8" i="1" s="1"/>
  <c r="K8" i="1"/>
  <c r="J8" i="1"/>
  <c r="L7" i="1"/>
  <c r="M7" i="1" s="1"/>
  <c r="J7" i="1"/>
  <c r="K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6" authorId="0" shapeId="0" xr:uid="{6CCB0808-FFD9-4E9A-8570-E16926CD1F21}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</commentList>
</comments>
</file>

<file path=xl/sharedStrings.xml><?xml version="1.0" encoding="utf-8"?>
<sst xmlns="http://schemas.openxmlformats.org/spreadsheetml/2006/main" count="88" uniqueCount="29">
  <si>
    <t>Test</t>
  </si>
  <si>
    <t>Parker  60H</t>
  </si>
  <si>
    <t>24RCH0019</t>
  </si>
  <si>
    <t xml:space="preserve"> ---</t>
  </si>
  <si>
    <t>1 Layer</t>
  </si>
  <si>
    <t>LP/DV</t>
  </si>
  <si>
    <t>LNI1500</t>
  </si>
  <si>
    <t>2342-0005-0524</t>
  </si>
  <si>
    <t xml:space="preserve"> --</t>
  </si>
  <si>
    <t>4 Layer</t>
  </si>
  <si>
    <t>Peak SL 200</t>
  </si>
  <si>
    <t>2 Layer</t>
  </si>
  <si>
    <t>A-152005-225-019</t>
  </si>
  <si>
    <t>FA 
#</t>
  </si>
  <si>
    <t>Cell
#</t>
  </si>
  <si>
    <t>Membran Batch FA</t>
  </si>
  <si>
    <t>Test Station Nr.</t>
  </si>
  <si>
    <t>% LEL</t>
  </si>
  <si>
    <t>Gasfluss / [mln / min]</t>
  </si>
  <si>
    <t>Membrane V
@ 13 bar/[V]</t>
  </si>
  <si>
    <t>Cell V
@ 13 bar/[V]</t>
  </si>
  <si>
    <t>Cell V
@ 0 bar [V]</t>
  </si>
  <si>
    <t>Volt Diff. [V]</t>
  </si>
  <si>
    <t>H2 Prod  SmL/A</t>
  </si>
  <si>
    <t xml:space="preserve">Type </t>
  </si>
  <si>
    <t>Anz. Layer</t>
  </si>
  <si>
    <t>Strom / [A]</t>
  </si>
  <si>
    <t>Bemerkungen</t>
  </si>
  <si>
    <t xml:space="preserve">Visum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</si>
</sst>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0.000"/>
    <numFmt numFmtId="166" formatCode="_ * #,##0_ ;_ * \-#,##0_ ;_ * &quot;-&quot;??_ ;_ @_ "/>
  </numFmts>
  <fonts count="11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i/>
      <sz val="12"/>
      <name val="Verdana"/>
      <family val="2"/>
    </font>
    <font>
      <sz val="10"/>
      <name val="Verdana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name val="Verdana"/>
      <family val="2"/>
    </font>
    <font>
      <b/>
      <sz val="10"/>
      <color rgb="FFFF0000"/>
      <name val="Verdana"/>
      <family val="2"/>
    </font>
    <font>
      <b/>
      <sz val="8"/>
      <color theme="1"/>
      <name val="Verdana"/>
      <family val="2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" fontId="3" fillId="0" borderId="0" xfId="1" applyNumberFormat="1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3" fillId="2" borderId="2" xfId="1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2" fontId="6" fillId="3" borderId="5" xfId="0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wrapText="1"/>
    </xf>
    <xf numFmtId="1" fontId="7" fillId="0" borderId="6" xfId="0" applyNumberFormat="1" applyFont="1" applyBorder="1" applyAlignment="1">
      <alignment horizontal="center" wrapText="1"/>
    </xf>
    <xf numFmtId="1" fontId="7" fillId="0" borderId="6" xfId="1" applyNumberFormat="1" applyFont="1" applyBorder="1" applyAlignment="1">
      <alignment horizontal="center" wrapText="1"/>
    </xf>
    <xf numFmtId="164" fontId="7" fillId="0" borderId="6" xfId="0" applyNumberFormat="1" applyFont="1" applyBorder="1" applyAlignment="1">
      <alignment horizontal="center" wrapText="1"/>
    </xf>
    <xf numFmtId="166" fontId="7" fillId="0" borderId="6" xfId="1" applyNumberFormat="1" applyFont="1" applyBorder="1" applyAlignment="1">
      <alignment horizontal="center" wrapText="1"/>
    </xf>
    <xf numFmtId="165" fontId="7" fillId="0" borderId="6" xfId="0" applyNumberFormat="1" applyFont="1" applyBorder="1" applyAlignment="1">
      <alignment horizontal="center" vertical="center" wrapText="1"/>
    </xf>
    <xf numFmtId="165" fontId="7" fillId="3" borderId="7" xfId="0" applyNumberFormat="1" applyFont="1" applyFill="1" applyBorder="1" applyAlignment="1">
      <alignment horizontal="center" wrapText="1"/>
    </xf>
    <xf numFmtId="165" fontId="8" fillId="3" borderId="8" xfId="0" applyNumberFormat="1" applyFont="1" applyFill="1" applyBorder="1" applyAlignment="1">
      <alignment horizontal="center" wrapText="1"/>
    </xf>
    <xf numFmtId="2" fontId="7" fillId="3" borderId="9" xfId="0" applyNumberFormat="1" applyFont="1" applyFill="1" applyBorder="1" applyAlignment="1">
      <alignment horizontal="center" wrapText="1"/>
    </xf>
    <xf numFmtId="2" fontId="8" fillId="3" borderId="10" xfId="0" applyNumberFormat="1" applyFont="1" applyFill="1" applyBorder="1" applyAlignment="1">
      <alignment horizontal="center" wrapText="1"/>
    </xf>
    <xf numFmtId="2" fontId="9" fillId="2" borderId="6" xfId="0" applyNumberFormat="1" applyFont="1" applyFill="1" applyBorder="1" applyAlignment="1">
      <alignment horizontal="center" wrapText="1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E37D-2287-48F0-BEE4-385ADE697FA6}">
  <dimension ref="A3:U24"/>
  <sheetViews>
    <sheetView tabSelected="1" workbookViewId="0">
      <selection activeCell="B27" sqref="B27"/>
    </sheetView>
  </sheetViews>
  <sheetFormatPr baseColWidth="10" defaultRowHeight="13.8" x14ac:dyDescent="0.25"/>
  <cols>
    <col min="1" max="1" width="11.5" bestFit="1" customWidth="1"/>
    <col min="2" max="2" width="18.69921875" customWidth="1"/>
  </cols>
  <sheetData>
    <row r="3" spans="1:21" ht="14.4" thickBot="1" x14ac:dyDescent="0.3"/>
    <row r="4" spans="1:21" ht="16.8" thickBot="1" x14ac:dyDescent="0.35">
      <c r="A4" s="26" t="s">
        <v>0</v>
      </c>
      <c r="B4" s="1"/>
      <c r="D4" s="2"/>
      <c r="E4" s="3"/>
      <c r="F4" s="4"/>
      <c r="G4" s="5"/>
      <c r="H4" s="5"/>
      <c r="I4" s="5"/>
      <c r="J4" s="6"/>
      <c r="K4" s="7"/>
      <c r="L4" s="8"/>
      <c r="M4" s="9"/>
      <c r="N4" s="10"/>
      <c r="O4" s="2"/>
      <c r="P4" s="11"/>
      <c r="Q4" s="12"/>
      <c r="R4" s="12"/>
      <c r="S4" s="12"/>
      <c r="T4" s="12"/>
      <c r="U4" s="12"/>
    </row>
    <row r="6" spans="1:21" ht="21" x14ac:dyDescent="0.25">
      <c r="A6" s="28" t="s">
        <v>13</v>
      </c>
      <c r="B6" s="29" t="s">
        <v>14</v>
      </c>
      <c r="C6" s="29" t="s">
        <v>15</v>
      </c>
      <c r="D6" s="30" t="s">
        <v>16</v>
      </c>
      <c r="E6" s="31" t="s">
        <v>17</v>
      </c>
      <c r="F6" s="32" t="s">
        <v>18</v>
      </c>
      <c r="G6" s="33" t="s">
        <v>19</v>
      </c>
      <c r="H6" s="28" t="s">
        <v>20</v>
      </c>
      <c r="I6" s="28" t="s">
        <v>21</v>
      </c>
      <c r="J6" s="34" t="s">
        <v>22</v>
      </c>
      <c r="K6" s="35"/>
      <c r="L6" s="36" t="s">
        <v>23</v>
      </c>
      <c r="M6" s="37"/>
      <c r="N6" s="38" t="s">
        <v>24</v>
      </c>
      <c r="O6" s="28" t="s">
        <v>25</v>
      </c>
      <c r="P6" s="28" t="s">
        <v>26</v>
      </c>
      <c r="Q6" s="28"/>
      <c r="R6" s="33" t="s">
        <v>27</v>
      </c>
      <c r="S6" s="33" t="s">
        <v>27</v>
      </c>
      <c r="T6" s="33"/>
      <c r="U6" s="29" t="s">
        <v>28</v>
      </c>
    </row>
    <row r="7" spans="1:21" x14ac:dyDescent="0.25">
      <c r="A7" s="13" t="s">
        <v>1</v>
      </c>
      <c r="B7" s="13" t="s">
        <v>2</v>
      </c>
      <c r="C7" s="13" t="s">
        <v>3</v>
      </c>
      <c r="D7" s="14" t="s">
        <v>3</v>
      </c>
      <c r="E7" s="15"/>
      <c r="F7" s="16"/>
      <c r="G7" s="17"/>
      <c r="H7" s="17"/>
      <c r="I7" s="17"/>
      <c r="J7" s="18">
        <f>IF(O7&lt;&gt;"",(H7-I7)/O7,"")</f>
        <v>0</v>
      </c>
      <c r="K7" s="19" t="str">
        <f t="shared" ref="K7:K17" si="0">IF(J7=0,"",IF(OR(J7&lt;0,J7&gt;0.03),"X",""))</f>
        <v/>
      </c>
      <c r="L7" s="20">
        <f>F7/(O7*P7)</f>
        <v>0</v>
      </c>
      <c r="M7" s="21" t="str">
        <f>IF(L7=0,"",IF(OR(L7&lt;7,L7&gt;7.8),"X",""))</f>
        <v/>
      </c>
      <c r="N7" s="22" t="s">
        <v>4</v>
      </c>
      <c r="O7" s="23">
        <v>1</v>
      </c>
      <c r="P7" s="27">
        <v>20</v>
      </c>
      <c r="Q7" s="25"/>
      <c r="R7" s="13"/>
      <c r="S7" s="13"/>
      <c r="T7" s="25"/>
      <c r="U7" s="13" t="s">
        <v>5</v>
      </c>
    </row>
    <row r="8" spans="1:21" x14ac:dyDescent="0.25">
      <c r="A8" s="13" t="s">
        <v>1</v>
      </c>
      <c r="B8" s="13" t="s">
        <v>2</v>
      </c>
      <c r="C8" s="13" t="s">
        <v>3</v>
      </c>
      <c r="D8" s="14" t="s">
        <v>3</v>
      </c>
      <c r="E8" s="15"/>
      <c r="F8" s="16"/>
      <c r="G8" s="17"/>
      <c r="H8" s="17"/>
      <c r="I8" s="17"/>
      <c r="J8" s="18">
        <f>IF(O8&lt;&gt;"",(H8-I8)/O8,"")</f>
        <v>0</v>
      </c>
      <c r="K8" s="19" t="str">
        <f t="shared" si="0"/>
        <v/>
      </c>
      <c r="L8" s="20">
        <f>F8/(O8*P8)</f>
        <v>0</v>
      </c>
      <c r="M8" s="21" t="str">
        <f>IF(L8=0,"",IF(OR(L8&lt;7,L8&gt;7.8),"X",""))</f>
        <v/>
      </c>
      <c r="N8" s="22" t="s">
        <v>4</v>
      </c>
      <c r="O8" s="23">
        <v>1</v>
      </c>
      <c r="P8" s="27">
        <v>15</v>
      </c>
      <c r="Q8" s="13"/>
      <c r="R8" s="13"/>
      <c r="S8" s="13"/>
      <c r="T8" s="13"/>
      <c r="U8" s="13"/>
    </row>
    <row r="9" spans="1:21" x14ac:dyDescent="0.25">
      <c r="A9" s="13" t="s">
        <v>1</v>
      </c>
      <c r="B9" s="13" t="s">
        <v>2</v>
      </c>
      <c r="C9" s="13" t="s">
        <v>3</v>
      </c>
      <c r="D9" s="14"/>
      <c r="E9" s="15"/>
      <c r="F9" s="14"/>
      <c r="G9" s="17"/>
      <c r="H9" s="17"/>
      <c r="I9" s="17"/>
      <c r="J9" s="18">
        <f t="shared" ref="J9" si="1">IF(O9&lt;&gt;"",(H9-I9)/O9,"")</f>
        <v>0</v>
      </c>
      <c r="K9" s="19" t="str">
        <f t="shared" si="0"/>
        <v/>
      </c>
      <c r="L9" s="20">
        <f>F9/(O9*P9)</f>
        <v>0</v>
      </c>
      <c r="M9" s="21" t="str">
        <f t="shared" ref="M9:M24" si="2">IF(L9=0,"",IF(OR(L9&lt;7.4,L9&gt;8),"X",""))</f>
        <v/>
      </c>
      <c r="N9" s="22" t="s">
        <v>4</v>
      </c>
      <c r="O9" s="23">
        <v>1</v>
      </c>
      <c r="P9" s="27">
        <v>10</v>
      </c>
      <c r="Q9" s="13"/>
      <c r="R9" s="13"/>
      <c r="S9" s="13"/>
      <c r="T9" s="13"/>
      <c r="U9" s="13"/>
    </row>
    <row r="10" spans="1:21" x14ac:dyDescent="0.25">
      <c r="A10" s="13"/>
      <c r="B10" s="13"/>
      <c r="C10" s="13"/>
      <c r="D10" s="14"/>
      <c r="E10" s="15"/>
      <c r="F10" s="14"/>
      <c r="G10" s="17"/>
      <c r="H10" s="17"/>
      <c r="I10" s="17"/>
      <c r="J10" s="18"/>
      <c r="K10" s="19"/>
      <c r="L10" s="20"/>
      <c r="M10" s="21"/>
      <c r="N10" s="22"/>
      <c r="O10" s="23"/>
      <c r="P10" s="24"/>
      <c r="Q10" s="13"/>
      <c r="R10" s="13"/>
      <c r="S10" s="13"/>
      <c r="T10" s="13"/>
      <c r="U10" s="13"/>
    </row>
    <row r="11" spans="1:21" x14ac:dyDescent="0.25">
      <c r="A11" s="13"/>
      <c r="B11" s="13"/>
      <c r="C11" s="13"/>
      <c r="D11" s="14"/>
      <c r="E11" s="15"/>
      <c r="F11" s="14"/>
      <c r="G11" s="17"/>
      <c r="H11" s="17"/>
      <c r="I11" s="17"/>
      <c r="J11" s="18"/>
      <c r="K11" s="19"/>
      <c r="L11" s="20"/>
      <c r="M11" s="21"/>
      <c r="N11" s="22"/>
      <c r="O11" s="23"/>
      <c r="P11" s="24"/>
      <c r="Q11" s="13"/>
      <c r="R11" s="13"/>
      <c r="S11" s="13"/>
      <c r="T11" s="13"/>
      <c r="U11" s="13"/>
    </row>
    <row r="12" spans="1:21" x14ac:dyDescent="0.25">
      <c r="A12" s="13" t="s">
        <v>6</v>
      </c>
      <c r="B12" s="13" t="s">
        <v>7</v>
      </c>
      <c r="C12" s="13" t="s">
        <v>3</v>
      </c>
      <c r="D12" s="14" t="s">
        <v>8</v>
      </c>
      <c r="E12" s="15">
        <v>0</v>
      </c>
      <c r="F12" s="16">
        <v>1504</v>
      </c>
      <c r="G12" s="17"/>
      <c r="H12" s="17">
        <v>8.8699999999999992</v>
      </c>
      <c r="I12" s="17">
        <v>8.85</v>
      </c>
      <c r="J12" s="18">
        <f>IF(O12&lt;&gt;"",(H12-I12)/O12,"")</f>
        <v>4.9999999999998934E-3</v>
      </c>
      <c r="K12" s="19" t="str">
        <f t="shared" si="0"/>
        <v/>
      </c>
      <c r="L12" s="20">
        <f t="shared" ref="L12:L20" si="3">F12/(O12*P12)</f>
        <v>7.52</v>
      </c>
      <c r="M12" s="21" t="str">
        <f t="shared" si="2"/>
        <v/>
      </c>
      <c r="N12" s="22" t="s">
        <v>9</v>
      </c>
      <c r="O12" s="23">
        <v>4</v>
      </c>
      <c r="P12" s="27">
        <v>50</v>
      </c>
      <c r="Q12" s="13"/>
      <c r="R12" s="13"/>
      <c r="S12" s="13"/>
      <c r="T12" s="13"/>
      <c r="U12" s="13"/>
    </row>
    <row r="13" spans="1:21" x14ac:dyDescent="0.25">
      <c r="A13" s="13" t="s">
        <v>6</v>
      </c>
      <c r="B13" s="13" t="s">
        <v>7</v>
      </c>
      <c r="C13" s="13" t="s">
        <v>3</v>
      </c>
      <c r="D13" s="14" t="s">
        <v>3</v>
      </c>
      <c r="E13" s="15"/>
      <c r="F13" s="16"/>
      <c r="G13" s="17"/>
      <c r="H13" s="17"/>
      <c r="I13" s="17"/>
      <c r="J13" s="18">
        <f t="shared" ref="J13:J17" si="4">IF(O13&lt;&gt;"",(H13-I13)/O13,"")</f>
        <v>0</v>
      </c>
      <c r="K13" s="19" t="str">
        <f t="shared" si="0"/>
        <v/>
      </c>
      <c r="L13" s="20">
        <f>F13/(O13*P13)</f>
        <v>0</v>
      </c>
      <c r="M13" s="21" t="str">
        <f t="shared" si="2"/>
        <v/>
      </c>
      <c r="N13" s="22" t="s">
        <v>9</v>
      </c>
      <c r="O13" s="23">
        <v>4</v>
      </c>
      <c r="P13" s="27">
        <v>45</v>
      </c>
      <c r="Q13" s="13"/>
      <c r="R13" s="13"/>
      <c r="S13" s="13"/>
      <c r="T13" s="13"/>
      <c r="U13" s="13"/>
    </row>
    <row r="14" spans="1:21" x14ac:dyDescent="0.25">
      <c r="A14" s="13" t="s">
        <v>6</v>
      </c>
      <c r="B14" s="13" t="s">
        <v>7</v>
      </c>
      <c r="C14" s="13" t="s">
        <v>3</v>
      </c>
      <c r="D14" s="14" t="s">
        <v>3</v>
      </c>
      <c r="E14" s="15">
        <v>1</v>
      </c>
      <c r="F14" s="16">
        <v>1208</v>
      </c>
      <c r="G14" s="17"/>
      <c r="H14" s="17">
        <v>8.51</v>
      </c>
      <c r="I14" s="17">
        <v>8.49</v>
      </c>
      <c r="J14" s="18">
        <f t="shared" si="4"/>
        <v>4.9999999999998934E-3</v>
      </c>
      <c r="K14" s="19" t="str">
        <f t="shared" si="0"/>
        <v/>
      </c>
      <c r="L14" s="20">
        <f t="shared" si="3"/>
        <v>7.55</v>
      </c>
      <c r="M14" s="21" t="str">
        <f t="shared" si="2"/>
        <v/>
      </c>
      <c r="N14" s="22" t="s">
        <v>9</v>
      </c>
      <c r="O14" s="23">
        <v>4</v>
      </c>
      <c r="P14" s="27">
        <v>40</v>
      </c>
      <c r="Q14" s="13"/>
      <c r="R14" s="13"/>
      <c r="S14" s="13"/>
      <c r="T14" s="13"/>
      <c r="U14" s="13"/>
    </row>
    <row r="15" spans="1:21" x14ac:dyDescent="0.25">
      <c r="A15" s="13" t="s">
        <v>6</v>
      </c>
      <c r="B15" s="13" t="s">
        <v>7</v>
      </c>
      <c r="C15" s="13" t="s">
        <v>3</v>
      </c>
      <c r="D15" s="14" t="s">
        <v>3</v>
      </c>
      <c r="E15" s="15"/>
      <c r="F15" s="14"/>
      <c r="G15" s="17"/>
      <c r="H15" s="17"/>
      <c r="I15" s="17"/>
      <c r="J15" s="18">
        <f t="shared" si="4"/>
        <v>0</v>
      </c>
      <c r="K15" s="19" t="str">
        <f t="shared" si="0"/>
        <v/>
      </c>
      <c r="L15" s="20">
        <f t="shared" si="3"/>
        <v>0</v>
      </c>
      <c r="M15" s="21" t="str">
        <f t="shared" si="2"/>
        <v/>
      </c>
      <c r="N15" s="22" t="s">
        <v>9</v>
      </c>
      <c r="O15" s="23">
        <v>4</v>
      </c>
      <c r="P15" s="27">
        <v>35</v>
      </c>
      <c r="Q15" s="13"/>
      <c r="R15" s="13"/>
      <c r="S15" s="13"/>
      <c r="T15" s="13"/>
      <c r="U15" s="13"/>
    </row>
    <row r="16" spans="1:21" x14ac:dyDescent="0.25">
      <c r="A16" s="13" t="s">
        <v>6</v>
      </c>
      <c r="B16" s="13" t="s">
        <v>7</v>
      </c>
      <c r="C16" s="13" t="s">
        <v>3</v>
      </c>
      <c r="D16" s="14" t="s">
        <v>3</v>
      </c>
      <c r="E16" s="15"/>
      <c r="F16" s="14"/>
      <c r="G16" s="17"/>
      <c r="H16" s="17"/>
      <c r="I16" s="17"/>
      <c r="J16" s="18">
        <f t="shared" si="4"/>
        <v>0</v>
      </c>
      <c r="K16" s="19" t="str">
        <f t="shared" si="0"/>
        <v/>
      </c>
      <c r="L16" s="20">
        <f t="shared" si="3"/>
        <v>0</v>
      </c>
      <c r="M16" s="21" t="str">
        <f t="shared" si="2"/>
        <v/>
      </c>
      <c r="N16" s="22" t="s">
        <v>9</v>
      </c>
      <c r="O16" s="23">
        <v>4</v>
      </c>
      <c r="P16" s="27">
        <v>35</v>
      </c>
      <c r="Q16" s="13"/>
      <c r="R16" s="13"/>
      <c r="S16" s="13"/>
      <c r="T16" s="13"/>
      <c r="U16" s="13"/>
    </row>
    <row r="17" spans="1:21" x14ac:dyDescent="0.25">
      <c r="A17" s="13" t="s">
        <v>6</v>
      </c>
      <c r="B17" s="13" t="s">
        <v>7</v>
      </c>
      <c r="C17" s="13" t="s">
        <v>3</v>
      </c>
      <c r="D17" s="14" t="s">
        <v>3</v>
      </c>
      <c r="E17" s="15"/>
      <c r="F17" s="14"/>
      <c r="G17" s="17"/>
      <c r="H17" s="17"/>
      <c r="I17" s="17"/>
      <c r="J17" s="18">
        <f t="shared" si="4"/>
        <v>0</v>
      </c>
      <c r="K17" s="19" t="str">
        <f t="shared" si="0"/>
        <v/>
      </c>
      <c r="L17" s="20">
        <f t="shared" si="3"/>
        <v>0</v>
      </c>
      <c r="M17" s="21" t="str">
        <f t="shared" si="2"/>
        <v/>
      </c>
      <c r="N17" s="22" t="s">
        <v>9</v>
      </c>
      <c r="O17" s="23">
        <v>4</v>
      </c>
      <c r="P17" s="27">
        <v>35</v>
      </c>
      <c r="Q17" s="13"/>
      <c r="R17" s="13"/>
      <c r="S17" s="13"/>
      <c r="T17" s="13"/>
      <c r="U17" s="13"/>
    </row>
    <row r="18" spans="1:21" x14ac:dyDescent="0.25">
      <c r="A18" s="13"/>
      <c r="B18" s="13"/>
      <c r="C18" s="13"/>
      <c r="D18" s="14"/>
      <c r="E18" s="15"/>
      <c r="F18" s="14"/>
      <c r="G18" s="17"/>
      <c r="H18" s="17"/>
      <c r="I18" s="17"/>
      <c r="J18" s="18"/>
      <c r="K18" s="19"/>
      <c r="L18" s="20"/>
      <c r="M18" s="21"/>
      <c r="N18" s="22"/>
      <c r="O18" s="23"/>
      <c r="P18" s="24"/>
      <c r="Q18" s="13"/>
      <c r="R18" s="13"/>
      <c r="S18" s="13"/>
      <c r="T18" s="13"/>
      <c r="U18" s="13"/>
    </row>
    <row r="19" spans="1:21" x14ac:dyDescent="0.25">
      <c r="A19" s="13"/>
      <c r="B19" s="13"/>
      <c r="C19" s="13"/>
      <c r="D19" s="14"/>
      <c r="E19" s="15"/>
      <c r="F19" s="14"/>
      <c r="G19" s="17"/>
      <c r="H19" s="17"/>
      <c r="I19" s="17"/>
      <c r="J19" s="18"/>
      <c r="K19" s="19"/>
      <c r="L19" s="20"/>
      <c r="M19" s="21"/>
      <c r="N19" s="22"/>
      <c r="O19" s="23"/>
      <c r="P19" s="24"/>
      <c r="Q19" s="13"/>
      <c r="R19" s="13"/>
      <c r="S19" s="13"/>
      <c r="T19" s="13"/>
      <c r="U19" s="13"/>
    </row>
    <row r="20" spans="1:21" x14ac:dyDescent="0.25">
      <c r="A20" s="13" t="s">
        <v>10</v>
      </c>
      <c r="B20" s="13" t="s">
        <v>12</v>
      </c>
      <c r="C20" s="13" t="s">
        <v>3</v>
      </c>
      <c r="D20" s="14" t="s">
        <v>8</v>
      </c>
      <c r="E20" s="15"/>
      <c r="F20" s="16"/>
      <c r="G20" s="17"/>
      <c r="H20" s="17"/>
      <c r="I20" s="17"/>
      <c r="J20" s="18">
        <f>IF(O20&lt;&gt;"",(H20-I20)/O20,"")</f>
        <v>0</v>
      </c>
      <c r="K20" s="19" t="str">
        <f t="shared" ref="K20:K24" si="5">IF(J20=0,"",IF(OR(J20&lt;0,J20&gt;0.03),"X",""))</f>
        <v/>
      </c>
      <c r="L20" s="20">
        <f t="shared" si="3"/>
        <v>0</v>
      </c>
      <c r="M20" s="21" t="str">
        <f t="shared" si="2"/>
        <v/>
      </c>
      <c r="N20" s="22" t="s">
        <v>11</v>
      </c>
      <c r="O20" s="23">
        <v>2</v>
      </c>
      <c r="P20" s="27">
        <v>30</v>
      </c>
      <c r="Q20" s="13"/>
      <c r="R20" s="13"/>
      <c r="S20" s="13"/>
      <c r="T20" s="13"/>
      <c r="U20" s="13"/>
    </row>
    <row r="21" spans="1:21" x14ac:dyDescent="0.25">
      <c r="A21" s="13" t="s">
        <v>10</v>
      </c>
      <c r="B21" s="13" t="s">
        <v>12</v>
      </c>
      <c r="C21" s="13" t="s">
        <v>3</v>
      </c>
      <c r="D21" s="14" t="s">
        <v>3</v>
      </c>
      <c r="E21" s="15"/>
      <c r="F21" s="16"/>
      <c r="G21" s="17"/>
      <c r="H21" s="17"/>
      <c r="I21" s="17"/>
      <c r="J21" s="18">
        <f t="shared" ref="J21:J24" si="6">IF(O21&lt;&gt;"",(H21-I21)/O21,"")</f>
        <v>0</v>
      </c>
      <c r="K21" s="19" t="str">
        <f t="shared" si="5"/>
        <v/>
      </c>
      <c r="L21" s="20">
        <f>F21/(O21*P21)</f>
        <v>0</v>
      </c>
      <c r="M21" s="21" t="str">
        <f t="shared" si="2"/>
        <v/>
      </c>
      <c r="N21" s="22" t="s">
        <v>11</v>
      </c>
      <c r="O21" s="23">
        <v>2</v>
      </c>
      <c r="P21" s="27">
        <v>25</v>
      </c>
      <c r="Q21" s="13"/>
      <c r="R21" s="13"/>
      <c r="S21" s="13"/>
      <c r="T21" s="13"/>
      <c r="U21" s="13"/>
    </row>
    <row r="22" spans="1:21" x14ac:dyDescent="0.25">
      <c r="A22" s="13" t="s">
        <v>10</v>
      </c>
      <c r="B22" s="13" t="s">
        <v>12</v>
      </c>
      <c r="C22" s="13" t="s">
        <v>3</v>
      </c>
      <c r="D22" s="14" t="s">
        <v>3</v>
      </c>
      <c r="E22" s="15"/>
      <c r="F22" s="16"/>
      <c r="G22" s="17"/>
      <c r="H22" s="17"/>
      <c r="I22" s="17"/>
      <c r="J22" s="18">
        <f t="shared" si="6"/>
        <v>0</v>
      </c>
      <c r="K22" s="19" t="str">
        <f t="shared" si="5"/>
        <v/>
      </c>
      <c r="L22" s="20">
        <f t="shared" ref="L22:L24" si="7">F22/(O22*P22)</f>
        <v>0</v>
      </c>
      <c r="M22" s="21" t="str">
        <f t="shared" si="2"/>
        <v/>
      </c>
      <c r="N22" s="22" t="s">
        <v>11</v>
      </c>
      <c r="O22" s="23">
        <v>2</v>
      </c>
      <c r="P22" s="27">
        <v>20</v>
      </c>
      <c r="Q22" s="13"/>
      <c r="R22" s="13"/>
      <c r="S22" s="13"/>
      <c r="T22" s="13"/>
      <c r="U22" s="13"/>
    </row>
    <row r="23" spans="1:21" x14ac:dyDescent="0.25">
      <c r="A23" s="13" t="s">
        <v>10</v>
      </c>
      <c r="B23" s="13" t="s">
        <v>12</v>
      </c>
      <c r="C23" s="13" t="s">
        <v>3</v>
      </c>
      <c r="D23" s="14" t="s">
        <v>3</v>
      </c>
      <c r="E23" s="15"/>
      <c r="F23" s="14"/>
      <c r="G23" s="17"/>
      <c r="H23" s="17"/>
      <c r="I23" s="17"/>
      <c r="J23" s="18">
        <f t="shared" si="6"/>
        <v>0</v>
      </c>
      <c r="K23" s="19" t="str">
        <f t="shared" si="5"/>
        <v/>
      </c>
      <c r="L23" s="20">
        <f t="shared" si="7"/>
        <v>0</v>
      </c>
      <c r="M23" s="21" t="str">
        <f t="shared" si="2"/>
        <v/>
      </c>
      <c r="N23" s="22" t="s">
        <v>11</v>
      </c>
      <c r="O23" s="23">
        <v>2</v>
      </c>
      <c r="P23" s="27">
        <v>15</v>
      </c>
      <c r="Q23" s="13"/>
      <c r="R23" s="13"/>
      <c r="S23" s="13"/>
      <c r="T23" s="13"/>
      <c r="U23" s="13"/>
    </row>
    <row r="24" spans="1:21" x14ac:dyDescent="0.25">
      <c r="A24" s="13" t="s">
        <v>10</v>
      </c>
      <c r="B24" s="13" t="s">
        <v>12</v>
      </c>
      <c r="C24" s="13" t="s">
        <v>3</v>
      </c>
      <c r="D24" s="14" t="s">
        <v>3</v>
      </c>
      <c r="E24" s="15"/>
      <c r="F24" s="14"/>
      <c r="G24" s="17"/>
      <c r="H24" s="17"/>
      <c r="I24" s="17"/>
      <c r="J24" s="18">
        <f t="shared" si="6"/>
        <v>0</v>
      </c>
      <c r="K24" s="19" t="str">
        <f t="shared" si="5"/>
        <v/>
      </c>
      <c r="L24" s="20">
        <f t="shared" si="7"/>
        <v>0</v>
      </c>
      <c r="M24" s="21" t="str">
        <f t="shared" si="2"/>
        <v/>
      </c>
      <c r="N24" s="22" t="s">
        <v>11</v>
      </c>
      <c r="O24" s="23">
        <v>2</v>
      </c>
      <c r="P24" s="27">
        <v>10</v>
      </c>
      <c r="Q24" s="13"/>
      <c r="R24" s="13"/>
      <c r="S24" s="13"/>
      <c r="T24" s="13"/>
      <c r="U24" s="13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Vogel</dc:creator>
  <cp:lastModifiedBy>Daniel Vogel</cp:lastModifiedBy>
  <dcterms:created xsi:type="dcterms:W3CDTF">2024-07-30T07:40:00Z</dcterms:created>
  <dcterms:modified xsi:type="dcterms:W3CDTF">2024-07-30T12:37:34Z</dcterms:modified>
</cp:coreProperties>
</file>