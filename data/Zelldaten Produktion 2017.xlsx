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5.xml" ContentType="application/vnd.openxmlformats-officedocument.drawing+xml"/>
  <Override PartName="/xl/comments10.xml" ContentType="application/vnd.openxmlformats-officedocument.spreadsheetml.comments+xml"/>
  <Override PartName="/xl/drawings/drawing6.xml" ContentType="application/vnd.openxmlformats-officedocument.drawing+xml"/>
  <Override PartName="/xl/comments11.xml" ContentType="application/vnd.openxmlformats-officedocument.spreadsheetml.comments+xml"/>
  <Override PartName="/xl/drawings/drawing7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bookViews>
    <workbookView xWindow="390" yWindow="150" windowWidth="14490" windowHeight="9300" tabRatio="590" activeTab="7"/>
  </bookViews>
  <sheets>
    <sheet name="Jan" sheetId="34" r:id="rId1"/>
    <sheet name="Feb" sheetId="41" r:id="rId2"/>
    <sheet name="Mar" sheetId="42" r:id="rId3"/>
    <sheet name="Apr" sheetId="43" r:id="rId4"/>
    <sheet name="May" sheetId="44" r:id="rId5"/>
    <sheet name="Jun" sheetId="45" r:id="rId6"/>
    <sheet name="Jul" sheetId="47" r:id="rId7"/>
    <sheet name="Aug" sheetId="48" r:id="rId8"/>
    <sheet name="Sep" sheetId="49" r:id="rId9"/>
    <sheet name="Oct" sheetId="50" r:id="rId10"/>
    <sheet name="Nov" sheetId="51" r:id="rId11"/>
    <sheet name="Dec" sheetId="52" r:id="rId12"/>
    <sheet name="allgemein" sheetId="46" r:id="rId13"/>
  </sheets>
  <calcPr calcId="162913"/>
</workbook>
</file>

<file path=xl/calcChain.xml><?xml version="1.0" encoding="utf-8"?>
<calcChain xmlns="http://schemas.openxmlformats.org/spreadsheetml/2006/main">
  <c r="M41" i="52" l="1"/>
  <c r="K41" i="52" s="1"/>
  <c r="M40" i="52"/>
  <c r="J41" i="52"/>
  <c r="J37" i="52"/>
  <c r="J35" i="52"/>
  <c r="J33" i="52"/>
  <c r="J31" i="52"/>
  <c r="J29" i="52"/>
  <c r="J26" i="52"/>
  <c r="J24" i="52"/>
  <c r="M37" i="52"/>
  <c r="K37" i="52" s="1"/>
  <c r="M36" i="52"/>
  <c r="M35" i="52"/>
  <c r="K35" i="52" s="1"/>
  <c r="M34" i="52"/>
  <c r="M33" i="52"/>
  <c r="K33" i="52" s="1"/>
  <c r="M32" i="52"/>
  <c r="M31" i="52"/>
  <c r="K31" i="52" s="1"/>
  <c r="M30" i="52"/>
  <c r="M29" i="52"/>
  <c r="K29" i="52" s="1"/>
  <c r="M28" i="52"/>
  <c r="M27" i="52"/>
  <c r="M26" i="52"/>
  <c r="K26" i="52" s="1"/>
  <c r="M25" i="52"/>
  <c r="M24" i="52"/>
  <c r="K24" i="52" s="1"/>
  <c r="J19" i="51" l="1"/>
  <c r="K19" i="51"/>
  <c r="M77" i="52"/>
  <c r="K77" i="52" s="1"/>
  <c r="J77" i="52"/>
  <c r="M75" i="52"/>
  <c r="K75" i="52" s="1"/>
  <c r="J75" i="52"/>
  <c r="M73" i="52"/>
  <c r="K73" i="52" s="1"/>
  <c r="J73" i="52"/>
  <c r="M71" i="52"/>
  <c r="K71" i="52" s="1"/>
  <c r="J71" i="52"/>
  <c r="M69" i="52"/>
  <c r="K69" i="52" s="1"/>
  <c r="J69" i="52"/>
  <c r="M66" i="52"/>
  <c r="K66" i="52" s="1"/>
  <c r="J66" i="52"/>
  <c r="M63" i="52"/>
  <c r="K63" i="52" s="1"/>
  <c r="J63" i="52"/>
  <c r="M60" i="52"/>
  <c r="K60" i="52" s="1"/>
  <c r="J60" i="52"/>
  <c r="K51" i="52" l="1"/>
  <c r="J51" i="52"/>
  <c r="K50" i="52"/>
  <c r="J50" i="52"/>
  <c r="K49" i="52"/>
  <c r="J49" i="52"/>
  <c r="K48" i="52"/>
  <c r="J48" i="52"/>
  <c r="K47" i="52"/>
  <c r="J47" i="52"/>
  <c r="K46" i="52"/>
  <c r="J46" i="52"/>
  <c r="K45" i="52"/>
  <c r="J45" i="52"/>
  <c r="K44" i="52"/>
  <c r="J44" i="52"/>
  <c r="K43" i="52"/>
  <c r="J43" i="52"/>
  <c r="K42" i="52"/>
  <c r="J42" i="52"/>
  <c r="J39" i="52"/>
  <c r="M39" i="52"/>
  <c r="K39" i="52" s="1"/>
  <c r="M59" i="52"/>
  <c r="K59" i="52" s="1"/>
  <c r="J59" i="52"/>
  <c r="M58" i="52"/>
  <c r="K58" i="52" s="1"/>
  <c r="J58" i="52"/>
  <c r="M57" i="52"/>
  <c r="K57" i="52" s="1"/>
  <c r="J57" i="52"/>
  <c r="M56" i="52"/>
  <c r="K56" i="52" s="1"/>
  <c r="J56" i="52"/>
  <c r="M55" i="52"/>
  <c r="K55" i="52" s="1"/>
  <c r="J55" i="52"/>
  <c r="M54" i="52"/>
  <c r="K54" i="52" s="1"/>
  <c r="J54" i="52"/>
  <c r="M53" i="52"/>
  <c r="K53" i="52" s="1"/>
  <c r="J53" i="52"/>
  <c r="M52" i="52"/>
  <c r="K52" i="52" s="1"/>
  <c r="J52" i="52"/>
  <c r="K93" i="51" l="1"/>
  <c r="M38" i="52" l="1"/>
  <c r="K28" i="52" l="1"/>
  <c r="J28" i="52"/>
  <c r="J34" i="52"/>
  <c r="J32" i="52"/>
  <c r="J30" i="52"/>
  <c r="J27" i="52"/>
  <c r="J25" i="52"/>
  <c r="M23" i="52"/>
  <c r="K23" i="52" s="1"/>
  <c r="J23" i="52"/>
  <c r="J22" i="52"/>
  <c r="K34" i="52"/>
  <c r="K32" i="52"/>
  <c r="K30" i="52"/>
  <c r="K27" i="52"/>
  <c r="K25" i="52"/>
  <c r="M22" i="52"/>
  <c r="K22" i="52" s="1"/>
  <c r="J3" i="52" l="1"/>
  <c r="M20" i="52"/>
  <c r="K20" i="52" s="1"/>
  <c r="J20" i="52"/>
  <c r="M18" i="52"/>
  <c r="K18" i="52" s="1"/>
  <c r="J18" i="52"/>
  <c r="M16" i="52"/>
  <c r="K16" i="52" s="1"/>
  <c r="J16" i="52"/>
  <c r="M14" i="52"/>
  <c r="K14" i="52" s="1"/>
  <c r="J14" i="52"/>
  <c r="J13" i="52" l="1"/>
  <c r="M13" i="52"/>
  <c r="K13" i="52" s="1"/>
  <c r="M12" i="52" l="1"/>
  <c r="K12" i="52" s="1"/>
  <c r="J12" i="52"/>
  <c r="M11" i="52"/>
  <c r="K11" i="52" s="1"/>
  <c r="J11" i="52"/>
  <c r="M10" i="52"/>
  <c r="K10" i="52" s="1"/>
  <c r="J10" i="52"/>
  <c r="M9" i="52"/>
  <c r="K9" i="52" s="1"/>
  <c r="J9" i="52"/>
  <c r="M8" i="52"/>
  <c r="K8" i="52" s="1"/>
  <c r="J8" i="52"/>
  <c r="M7" i="52"/>
  <c r="K7" i="52" s="1"/>
  <c r="J7" i="52"/>
  <c r="M3" i="52"/>
  <c r="K3" i="52" s="1"/>
  <c r="J6" i="52"/>
  <c r="M6" i="52"/>
  <c r="K6" i="52" s="1"/>
  <c r="K39" i="50" l="1"/>
  <c r="M93" i="51" l="1"/>
  <c r="J93" i="51"/>
  <c r="M90" i="51"/>
  <c r="K90" i="51"/>
  <c r="J90" i="51"/>
  <c r="M87" i="51"/>
  <c r="K87" i="51" s="1"/>
  <c r="J87" i="51"/>
  <c r="M84" i="51" l="1"/>
  <c r="K84" i="51" s="1"/>
  <c r="J84" i="51"/>
  <c r="J81" i="51" l="1"/>
  <c r="J79" i="51"/>
  <c r="J77" i="51"/>
  <c r="M77" i="51"/>
  <c r="K77" i="51" s="1"/>
  <c r="M81" i="51"/>
  <c r="K81" i="51" s="1"/>
  <c r="M79" i="51"/>
  <c r="K79" i="51" s="1"/>
  <c r="K76" i="51" l="1"/>
  <c r="J76" i="51"/>
  <c r="K75" i="51"/>
  <c r="J75" i="51"/>
  <c r="K74" i="51"/>
  <c r="J74" i="51"/>
  <c r="K73" i="51"/>
  <c r="J73" i="51"/>
  <c r="M71" i="51" l="1"/>
  <c r="K71" i="51" s="1"/>
  <c r="J71" i="51"/>
  <c r="M69" i="51"/>
  <c r="K69" i="51" s="1"/>
  <c r="J69" i="51"/>
  <c r="M67" i="51"/>
  <c r="K67" i="51" s="1"/>
  <c r="J67" i="51"/>
  <c r="M65" i="51"/>
  <c r="K65" i="51" s="1"/>
  <c r="J65" i="51"/>
  <c r="M63" i="51"/>
  <c r="K63" i="51" s="1"/>
  <c r="J63" i="51"/>
  <c r="M61" i="51"/>
  <c r="K61" i="51" s="1"/>
  <c r="J61" i="51"/>
  <c r="M59" i="51"/>
  <c r="K59" i="51" s="1"/>
  <c r="J59" i="51"/>
  <c r="M57" i="51"/>
  <c r="K57" i="51" s="1"/>
  <c r="J57" i="51"/>
  <c r="M55" i="51"/>
  <c r="K55" i="51" s="1"/>
  <c r="J55" i="51"/>
  <c r="M54" i="51"/>
  <c r="K54" i="51" s="1"/>
  <c r="J54" i="51"/>
  <c r="M53" i="51"/>
  <c r="J38" i="51" l="1"/>
  <c r="K53" i="51" l="1"/>
  <c r="J53" i="51"/>
  <c r="J37" i="51"/>
  <c r="M38" i="51"/>
  <c r="K38" i="51" s="1"/>
  <c r="M37" i="51"/>
  <c r="K37" i="51" s="1"/>
  <c r="M19" i="51" l="1"/>
  <c r="J18" i="51"/>
  <c r="M18" i="51"/>
  <c r="K18" i="51" s="1"/>
  <c r="J17" i="51"/>
  <c r="M17" i="51"/>
  <c r="K17" i="51" s="1"/>
  <c r="M16" i="51"/>
  <c r="K16" i="51" s="1"/>
  <c r="J16" i="51" l="1"/>
  <c r="M36" i="51" l="1"/>
  <c r="K36" i="51" s="1"/>
  <c r="J36" i="51"/>
  <c r="M35" i="51"/>
  <c r="K35" i="51" s="1"/>
  <c r="J35" i="51"/>
  <c r="M34" i="51"/>
  <c r="K34" i="51" s="1"/>
  <c r="J34" i="51"/>
  <c r="M33" i="51"/>
  <c r="K33" i="51"/>
  <c r="J33" i="51"/>
  <c r="M32" i="51"/>
  <c r="K32" i="51" s="1"/>
  <c r="J32" i="51"/>
  <c r="M31" i="51"/>
  <c r="K31" i="51" s="1"/>
  <c r="J31" i="51"/>
  <c r="M29" i="51"/>
  <c r="K29" i="51" s="1"/>
  <c r="M30" i="51"/>
  <c r="J29" i="51"/>
  <c r="M28" i="51" l="1"/>
  <c r="K28" i="51" s="1"/>
  <c r="J28" i="51"/>
  <c r="M27" i="51"/>
  <c r="K27" i="51" s="1"/>
  <c r="J27" i="51"/>
  <c r="M26" i="51"/>
  <c r="K26" i="51" s="1"/>
  <c r="J26" i="51"/>
  <c r="M25" i="51"/>
  <c r="K25" i="51" s="1"/>
  <c r="J25" i="51"/>
  <c r="M24" i="51"/>
  <c r="K24" i="51" s="1"/>
  <c r="J24" i="51"/>
  <c r="M23" i="51"/>
  <c r="K23" i="51" s="1"/>
  <c r="J23" i="51"/>
  <c r="M22" i="51"/>
  <c r="K22" i="51" s="1"/>
  <c r="J22" i="51"/>
  <c r="M21" i="51"/>
  <c r="K21" i="51" s="1"/>
  <c r="J21" i="51"/>
  <c r="J8" i="51" l="1"/>
  <c r="J5" i="51"/>
  <c r="K30" i="51"/>
  <c r="J30" i="51"/>
  <c r="J20" i="51"/>
  <c r="J15" i="51"/>
  <c r="J14" i="51"/>
  <c r="J13" i="51"/>
  <c r="J12" i="51"/>
  <c r="J11" i="51"/>
  <c r="J10" i="51"/>
  <c r="J9" i="51"/>
  <c r="J7" i="51"/>
  <c r="J6" i="51"/>
  <c r="J4" i="51"/>
  <c r="M20" i="51" l="1"/>
  <c r="K20" i="51" s="1"/>
  <c r="M15" i="51"/>
  <c r="K15" i="51" s="1"/>
  <c r="M14" i="51"/>
  <c r="K14" i="51" s="1"/>
  <c r="M13" i="51"/>
  <c r="K13" i="51" s="1"/>
  <c r="M12" i="51" l="1"/>
  <c r="K12" i="51" s="1"/>
  <c r="M11" i="51"/>
  <c r="K11" i="51" s="1"/>
  <c r="M10" i="51"/>
  <c r="K10" i="51" s="1"/>
  <c r="M9" i="51"/>
  <c r="K9" i="51" s="1"/>
  <c r="M8" i="51"/>
  <c r="K8" i="51" s="1"/>
  <c r="M7" i="51"/>
  <c r="K7" i="51" s="1"/>
  <c r="M6" i="51"/>
  <c r="K6" i="51" s="1"/>
  <c r="M5" i="51"/>
  <c r="K5" i="51" s="1"/>
  <c r="M4" i="51"/>
  <c r="K4" i="51" s="1"/>
  <c r="M3" i="51"/>
  <c r="K3" i="51" s="1"/>
  <c r="J3" i="51"/>
  <c r="M96" i="50" l="1"/>
  <c r="K96" i="50" s="1"/>
  <c r="J96" i="50"/>
  <c r="M65" i="50"/>
  <c r="K65" i="50" s="1"/>
  <c r="J65" i="50"/>
  <c r="M83" i="50"/>
  <c r="K83" i="50" s="1"/>
  <c r="J83" i="50"/>
  <c r="J73" i="50" l="1"/>
  <c r="J72" i="50"/>
  <c r="J64" i="50"/>
  <c r="M64" i="50"/>
  <c r="K64" i="50" s="1"/>
  <c r="M73" i="50"/>
  <c r="K73" i="50" s="1"/>
  <c r="M72" i="50"/>
  <c r="K72" i="50" s="1"/>
  <c r="M63" i="50"/>
  <c r="K63" i="50" s="1"/>
  <c r="J63" i="50"/>
  <c r="M71" i="50" l="1"/>
  <c r="K71" i="50" s="1"/>
  <c r="J71" i="50"/>
  <c r="M70" i="50"/>
  <c r="K70" i="50" s="1"/>
  <c r="J70" i="50"/>
  <c r="M62" i="50"/>
  <c r="K62" i="50" s="1"/>
  <c r="J62" i="50"/>
  <c r="M61" i="50"/>
  <c r="K61" i="50" s="1"/>
  <c r="J61" i="50"/>
  <c r="M95" i="50" l="1"/>
  <c r="K95" i="50" s="1"/>
  <c r="J95" i="50"/>
  <c r="M60" i="50"/>
  <c r="K60" i="50" s="1"/>
  <c r="J60" i="50"/>
  <c r="M69" i="50"/>
  <c r="K69" i="50" s="1"/>
  <c r="J69" i="50"/>
  <c r="M68" i="50"/>
  <c r="K68" i="50" s="1"/>
  <c r="J68" i="50"/>
  <c r="M67" i="50" l="1"/>
  <c r="K67" i="50" s="1"/>
  <c r="J67" i="50"/>
  <c r="J66" i="50"/>
  <c r="M97" i="50" l="1"/>
  <c r="K97" i="50" s="1"/>
  <c r="J97" i="50"/>
  <c r="M94" i="50"/>
  <c r="K94" i="50" s="1"/>
  <c r="J94" i="50"/>
  <c r="M93" i="50"/>
  <c r="K93" i="50" s="1"/>
  <c r="J93" i="50"/>
  <c r="M92" i="50"/>
  <c r="K92" i="50" s="1"/>
  <c r="J92" i="50"/>
  <c r="M91" i="50"/>
  <c r="K91" i="50" s="1"/>
  <c r="J91" i="50"/>
  <c r="M90" i="50"/>
  <c r="K90" i="50" s="1"/>
  <c r="J90" i="50"/>
  <c r="M89" i="50"/>
  <c r="K89" i="50" s="1"/>
  <c r="J89" i="50"/>
  <c r="M88" i="50"/>
  <c r="K88" i="50" s="1"/>
  <c r="J88" i="50"/>
  <c r="M87" i="50"/>
  <c r="K87" i="50" s="1"/>
  <c r="J87" i="50"/>
  <c r="M86" i="50"/>
  <c r="K86" i="50" s="1"/>
  <c r="J86" i="50"/>
  <c r="M85" i="50"/>
  <c r="K85" i="50" s="1"/>
  <c r="J85" i="50"/>
  <c r="M84" i="50"/>
  <c r="K84" i="50" s="1"/>
  <c r="J84" i="50"/>
  <c r="M82" i="50"/>
  <c r="K82" i="50" s="1"/>
  <c r="J82" i="50"/>
  <c r="M81" i="50"/>
  <c r="K81" i="50" s="1"/>
  <c r="J81" i="50"/>
  <c r="M80" i="50"/>
  <c r="K80" i="50" s="1"/>
  <c r="J80" i="50"/>
  <c r="M79" i="50"/>
  <c r="K79" i="50" s="1"/>
  <c r="J79" i="50"/>
  <c r="M78" i="50"/>
  <c r="K78" i="50" s="1"/>
  <c r="J78" i="50"/>
  <c r="M77" i="50"/>
  <c r="K77" i="50" s="1"/>
  <c r="J77" i="50"/>
  <c r="M76" i="50"/>
  <c r="K76" i="50" s="1"/>
  <c r="J76" i="50"/>
  <c r="M75" i="50"/>
  <c r="K75" i="50" s="1"/>
  <c r="J75" i="50"/>
  <c r="M74" i="50" l="1"/>
  <c r="M66" i="50"/>
  <c r="M59" i="50"/>
  <c r="M58" i="50"/>
  <c r="M57" i="50"/>
  <c r="M56" i="50"/>
  <c r="M55" i="50"/>
  <c r="M54" i="50"/>
  <c r="M53" i="50"/>
  <c r="M52" i="50"/>
  <c r="J37" i="50" l="1"/>
  <c r="J39" i="50"/>
  <c r="K37" i="50"/>
  <c r="M35" i="50" l="1"/>
  <c r="K35" i="50" s="1"/>
  <c r="J35" i="50"/>
  <c r="M33" i="50"/>
  <c r="K33" i="50" s="1"/>
  <c r="J33" i="50"/>
  <c r="M31" i="50"/>
  <c r="K31" i="50" s="1"/>
  <c r="J31" i="50"/>
  <c r="J21" i="50"/>
  <c r="M29" i="50" l="1"/>
  <c r="K29" i="50" s="1"/>
  <c r="J29" i="50"/>
  <c r="M27" i="50"/>
  <c r="K27" i="50" s="1"/>
  <c r="J27" i="50"/>
  <c r="M25" i="50"/>
  <c r="K25" i="50" s="1"/>
  <c r="J25" i="50"/>
  <c r="M23" i="50"/>
  <c r="K23" i="50" s="1"/>
  <c r="J23" i="50"/>
  <c r="M21" i="50"/>
  <c r="K21" i="50" s="1"/>
  <c r="M20" i="50" l="1"/>
  <c r="M19" i="50"/>
  <c r="M18" i="50"/>
  <c r="M17" i="50"/>
  <c r="M16" i="50"/>
  <c r="M15" i="50"/>
  <c r="M14" i="50"/>
  <c r="M13" i="50"/>
  <c r="M12" i="50" l="1"/>
  <c r="K12" i="50" s="1"/>
  <c r="J12" i="50"/>
  <c r="M11" i="50"/>
  <c r="K11" i="50" s="1"/>
  <c r="J11" i="50"/>
  <c r="M10" i="50"/>
  <c r="K10" i="50" s="1"/>
  <c r="J10" i="50"/>
  <c r="M9" i="50"/>
  <c r="K9" i="50" s="1"/>
  <c r="J9" i="50"/>
  <c r="M8" i="50"/>
  <c r="K8" i="50" s="1"/>
  <c r="J8" i="50"/>
  <c r="M7" i="50"/>
  <c r="K7" i="50" s="1"/>
  <c r="J7" i="50"/>
  <c r="M6" i="50"/>
  <c r="K6" i="50" s="1"/>
  <c r="J6" i="50"/>
  <c r="M5" i="50"/>
  <c r="K5" i="50" s="1"/>
  <c r="J5" i="50"/>
  <c r="M4" i="50"/>
  <c r="K4" i="50" s="1"/>
  <c r="J4" i="50"/>
  <c r="M3" i="50"/>
  <c r="K3" i="50" s="1"/>
  <c r="K74" i="50"/>
  <c r="J74" i="50"/>
  <c r="K66" i="50"/>
  <c r="K59" i="50"/>
  <c r="J59" i="50"/>
  <c r="K58" i="50"/>
  <c r="J58" i="50"/>
  <c r="K57" i="50"/>
  <c r="J57" i="50"/>
  <c r="K56" i="50"/>
  <c r="J56" i="50"/>
  <c r="K55" i="50"/>
  <c r="J55" i="50"/>
  <c r="K54" i="50"/>
  <c r="J54" i="50"/>
  <c r="K53" i="50"/>
  <c r="J53" i="50"/>
  <c r="K52" i="50"/>
  <c r="J52" i="50"/>
  <c r="K38" i="50"/>
  <c r="J38" i="50"/>
  <c r="K20" i="50"/>
  <c r="J20" i="50"/>
  <c r="K19" i="50"/>
  <c r="J19" i="50"/>
  <c r="K18" i="50"/>
  <c r="J18" i="50"/>
  <c r="K17" i="50"/>
  <c r="J17" i="50"/>
  <c r="K16" i="50"/>
  <c r="J16" i="50"/>
  <c r="K15" i="50"/>
  <c r="J15" i="50"/>
  <c r="K14" i="50"/>
  <c r="J14" i="50"/>
  <c r="K13" i="50"/>
  <c r="J13" i="50"/>
  <c r="J3" i="50"/>
  <c r="M28" i="49" l="1"/>
  <c r="M26" i="49"/>
  <c r="M24" i="49"/>
  <c r="M22" i="49"/>
  <c r="M19" i="49" l="1"/>
  <c r="M18" i="49" l="1"/>
  <c r="M17" i="49"/>
  <c r="M16" i="49"/>
  <c r="M15" i="49"/>
  <c r="K15" i="49" s="1"/>
  <c r="M14" i="49"/>
  <c r="M13" i="49"/>
  <c r="M12" i="49"/>
  <c r="M11" i="49"/>
  <c r="K28" i="49"/>
  <c r="J28" i="49"/>
  <c r="K26" i="49"/>
  <c r="J26" i="49"/>
  <c r="K24" i="49"/>
  <c r="J24" i="49"/>
  <c r="K22" i="49"/>
  <c r="J22" i="49"/>
  <c r="K19" i="49"/>
  <c r="J19" i="49"/>
  <c r="K18" i="49"/>
  <c r="J18" i="49"/>
  <c r="K17" i="49"/>
  <c r="J17" i="49"/>
  <c r="K16" i="49"/>
  <c r="J16" i="49"/>
  <c r="J15" i="49"/>
  <c r="K14" i="49"/>
  <c r="J14" i="49"/>
  <c r="K13" i="49"/>
  <c r="J13" i="49"/>
  <c r="K46" i="49" l="1"/>
  <c r="J46" i="49"/>
  <c r="K45" i="49"/>
  <c r="J45" i="49"/>
  <c r="K43" i="49"/>
  <c r="J43" i="49"/>
  <c r="M36" i="49" l="1"/>
  <c r="M35" i="49"/>
  <c r="J4" i="49" l="1"/>
  <c r="J3" i="49"/>
  <c r="J8" i="49"/>
  <c r="J5" i="49"/>
  <c r="M10" i="49" l="1"/>
  <c r="M9" i="49"/>
  <c r="M8" i="49"/>
  <c r="K8" i="49" s="1"/>
  <c r="M7" i="49"/>
  <c r="K7" i="49" s="1"/>
  <c r="M6" i="49"/>
  <c r="M5" i="49"/>
  <c r="M4" i="49"/>
  <c r="K4" i="49" s="1"/>
  <c r="M3" i="49"/>
  <c r="K3" i="49" s="1"/>
  <c r="K114" i="49"/>
  <c r="J114" i="49"/>
  <c r="K113" i="49"/>
  <c r="J113" i="49"/>
  <c r="K112" i="49"/>
  <c r="J112" i="49"/>
  <c r="K111" i="49"/>
  <c r="J111" i="49"/>
  <c r="K110" i="49"/>
  <c r="J110" i="49"/>
  <c r="K109" i="49"/>
  <c r="J109" i="49"/>
  <c r="K108" i="49"/>
  <c r="J108" i="49"/>
  <c r="K107" i="49"/>
  <c r="J107" i="49"/>
  <c r="K106" i="49"/>
  <c r="J106" i="49"/>
  <c r="K105" i="49"/>
  <c r="J105" i="49"/>
  <c r="K104" i="49"/>
  <c r="J104" i="49"/>
  <c r="K103" i="49"/>
  <c r="J103" i="49"/>
  <c r="K102" i="49"/>
  <c r="J102" i="49"/>
  <c r="K101" i="49"/>
  <c r="J101" i="49"/>
  <c r="K100" i="49"/>
  <c r="J100" i="49"/>
  <c r="K99" i="49"/>
  <c r="J99" i="49"/>
  <c r="K98" i="49"/>
  <c r="J98" i="49"/>
  <c r="K97" i="49"/>
  <c r="J97" i="49"/>
  <c r="K96" i="49"/>
  <c r="J96" i="49"/>
  <c r="K95" i="49"/>
  <c r="J95" i="49"/>
  <c r="K94" i="49"/>
  <c r="J94" i="49"/>
  <c r="K93" i="49"/>
  <c r="J93" i="49"/>
  <c r="K92" i="49"/>
  <c r="J92" i="49"/>
  <c r="K91" i="49"/>
  <c r="J91" i="49"/>
  <c r="K90" i="49"/>
  <c r="J90" i="49"/>
  <c r="K89" i="49"/>
  <c r="J89" i="49"/>
  <c r="K88" i="49"/>
  <c r="J88" i="49"/>
  <c r="K87" i="49"/>
  <c r="J87" i="49"/>
  <c r="K86" i="49"/>
  <c r="J86" i="49"/>
  <c r="K85" i="49"/>
  <c r="J85" i="49"/>
  <c r="K84" i="49"/>
  <c r="J84" i="49"/>
  <c r="K83" i="49"/>
  <c r="J83" i="49"/>
  <c r="K82" i="49"/>
  <c r="J82" i="49"/>
  <c r="K81" i="49"/>
  <c r="J81" i="49"/>
  <c r="K80" i="49"/>
  <c r="J80" i="49"/>
  <c r="K79" i="49"/>
  <c r="J79" i="49"/>
  <c r="K78" i="49"/>
  <c r="J78" i="49"/>
  <c r="K77" i="49"/>
  <c r="J77" i="49"/>
  <c r="K76" i="49"/>
  <c r="J76" i="49"/>
  <c r="K75" i="49"/>
  <c r="J75" i="49"/>
  <c r="K74" i="49"/>
  <c r="J74" i="49"/>
  <c r="K73" i="49"/>
  <c r="J73" i="49"/>
  <c r="K72" i="49"/>
  <c r="J72" i="49"/>
  <c r="K71" i="49"/>
  <c r="J71" i="49"/>
  <c r="K70" i="49"/>
  <c r="J70" i="49"/>
  <c r="K69" i="49"/>
  <c r="J69" i="49"/>
  <c r="K68" i="49"/>
  <c r="J68" i="49"/>
  <c r="K67" i="49"/>
  <c r="J67" i="49"/>
  <c r="K66" i="49"/>
  <c r="J66" i="49"/>
  <c r="K65" i="49"/>
  <c r="J65" i="49"/>
  <c r="K64" i="49"/>
  <c r="J64" i="49"/>
  <c r="K63" i="49"/>
  <c r="J63" i="49"/>
  <c r="K62" i="49"/>
  <c r="J62" i="49"/>
  <c r="K61" i="49"/>
  <c r="J61" i="49"/>
  <c r="K60" i="49"/>
  <c r="J60" i="49"/>
  <c r="K59" i="49"/>
  <c r="J59" i="49"/>
  <c r="K58" i="49"/>
  <c r="J58" i="49"/>
  <c r="K57" i="49"/>
  <c r="J57" i="49"/>
  <c r="K56" i="49"/>
  <c r="J56" i="49"/>
  <c r="K55" i="49"/>
  <c r="J55" i="49"/>
  <c r="K54" i="49"/>
  <c r="J54" i="49"/>
  <c r="K53" i="49"/>
  <c r="J53" i="49"/>
  <c r="K52" i="49"/>
  <c r="J52" i="49"/>
  <c r="K51" i="49"/>
  <c r="J51" i="49"/>
  <c r="K50" i="49"/>
  <c r="J50" i="49"/>
  <c r="K34" i="49"/>
  <c r="J34" i="49"/>
  <c r="K33" i="49"/>
  <c r="J33" i="49"/>
  <c r="K32" i="49"/>
  <c r="J32" i="49"/>
  <c r="K31" i="49"/>
  <c r="J31" i="49"/>
  <c r="K30" i="49"/>
  <c r="J30" i="49"/>
  <c r="K49" i="49"/>
  <c r="J49" i="49"/>
  <c r="K48" i="49"/>
  <c r="J48" i="49"/>
  <c r="K47" i="49"/>
  <c r="J47" i="49"/>
  <c r="K44" i="49"/>
  <c r="J44" i="49"/>
  <c r="K42" i="49"/>
  <c r="J42" i="49"/>
  <c r="K41" i="49"/>
  <c r="J41" i="49"/>
  <c r="K40" i="49"/>
  <c r="J40" i="49"/>
  <c r="K39" i="49"/>
  <c r="J39" i="49"/>
  <c r="K38" i="49"/>
  <c r="J38" i="49"/>
  <c r="K37" i="49"/>
  <c r="J37" i="49"/>
  <c r="K36" i="49"/>
  <c r="J36" i="49"/>
  <c r="K35" i="49"/>
  <c r="J35" i="49"/>
  <c r="K12" i="49"/>
  <c r="J12" i="49"/>
  <c r="K11" i="49"/>
  <c r="J11" i="49"/>
  <c r="K10" i="49"/>
  <c r="J10" i="49"/>
  <c r="K9" i="49"/>
  <c r="J9" i="49"/>
  <c r="J7" i="49"/>
  <c r="K6" i="49"/>
  <c r="J6" i="49"/>
  <c r="K5" i="49"/>
  <c r="M91" i="48" l="1"/>
  <c r="K91" i="48" s="1"/>
  <c r="J91" i="48"/>
  <c r="M98" i="48" l="1"/>
  <c r="K98" i="48" s="1"/>
  <c r="J98" i="48"/>
  <c r="M97" i="48"/>
  <c r="K97" i="48" s="1"/>
  <c r="J97" i="48"/>
  <c r="M96" i="48"/>
  <c r="K96" i="48" s="1"/>
  <c r="J96" i="48"/>
  <c r="M95" i="48"/>
  <c r="K95" i="48" s="1"/>
  <c r="J95" i="48"/>
  <c r="M94" i="48"/>
  <c r="K94" i="48" s="1"/>
  <c r="J94" i="48"/>
  <c r="M93" i="48"/>
  <c r="K93" i="48" s="1"/>
  <c r="J93" i="48"/>
  <c r="M92" i="48"/>
  <c r="K92" i="48" s="1"/>
  <c r="J92" i="48"/>
  <c r="M90" i="48"/>
  <c r="K90" i="48" s="1"/>
  <c r="J90" i="48"/>
  <c r="M89" i="48" l="1"/>
  <c r="K89" i="48" s="1"/>
  <c r="J89" i="48"/>
  <c r="M88" i="48"/>
  <c r="K88" i="48" s="1"/>
  <c r="J88" i="48"/>
  <c r="M87" i="48"/>
  <c r="K87" i="48" s="1"/>
  <c r="J87" i="48"/>
  <c r="M86" i="48"/>
  <c r="K86" i="48" s="1"/>
  <c r="J86" i="48"/>
  <c r="M85" i="48"/>
  <c r="K85" i="48" s="1"/>
  <c r="J85" i="48"/>
  <c r="M84" i="48"/>
  <c r="K84" i="48" s="1"/>
  <c r="J84" i="48"/>
  <c r="M83" i="48"/>
  <c r="K83" i="48" s="1"/>
  <c r="J83" i="48"/>
  <c r="M82" i="48" l="1"/>
  <c r="K82" i="48" s="1"/>
  <c r="J82" i="48"/>
  <c r="M81" i="48"/>
  <c r="K81" i="48" s="1"/>
  <c r="J81" i="48"/>
  <c r="M80" i="48"/>
  <c r="K80" i="48" s="1"/>
  <c r="J80" i="48"/>
  <c r="M79" i="48"/>
  <c r="K79" i="48" s="1"/>
  <c r="J79" i="48"/>
  <c r="M78" i="48"/>
  <c r="K78" i="48" s="1"/>
  <c r="J78" i="48"/>
  <c r="M77" i="48"/>
  <c r="K77" i="48" s="1"/>
  <c r="J77" i="48"/>
  <c r="M76" i="48"/>
  <c r="K76" i="48" s="1"/>
  <c r="J76" i="48"/>
  <c r="M75" i="48"/>
  <c r="K75" i="48" s="1"/>
  <c r="J75" i="48"/>
  <c r="M74" i="48"/>
  <c r="K74" i="48" s="1"/>
  <c r="J74" i="48"/>
  <c r="M73" i="48"/>
  <c r="K73" i="48" s="1"/>
  <c r="J73" i="48"/>
  <c r="M72" i="48"/>
  <c r="K72" i="48" s="1"/>
  <c r="J72" i="48"/>
  <c r="M71" i="48"/>
  <c r="K71" i="48" s="1"/>
  <c r="J71" i="48"/>
  <c r="M70" i="48"/>
  <c r="K70" i="48" s="1"/>
  <c r="J70" i="48"/>
  <c r="M69" i="48"/>
  <c r="K69" i="48" s="1"/>
  <c r="J69" i="48"/>
  <c r="M68" i="48" l="1"/>
  <c r="K68" i="48" s="1"/>
  <c r="J68" i="48"/>
  <c r="M67" i="48"/>
  <c r="K67" i="48" s="1"/>
  <c r="J67" i="48"/>
  <c r="M66" i="48"/>
  <c r="K66" i="48" s="1"/>
  <c r="J66" i="48"/>
  <c r="M65" i="48"/>
  <c r="K65" i="48"/>
  <c r="J65" i="48"/>
  <c r="M64" i="48"/>
  <c r="K64" i="48" s="1"/>
  <c r="J64" i="48"/>
  <c r="M63" i="48"/>
  <c r="K63" i="48" s="1"/>
  <c r="J63" i="48"/>
  <c r="M62" i="48"/>
  <c r="K62" i="48" s="1"/>
  <c r="J62" i="48"/>
  <c r="M61" i="48"/>
  <c r="K61" i="48" s="1"/>
  <c r="J61" i="48"/>
  <c r="M56" i="48" l="1"/>
  <c r="K56" i="48" s="1"/>
  <c r="M55" i="48"/>
  <c r="K55" i="48" s="1"/>
  <c r="J55" i="48"/>
  <c r="J56" i="48"/>
  <c r="M60" i="48" l="1"/>
  <c r="K60" i="48" s="1"/>
  <c r="M59" i="48"/>
  <c r="K59" i="48" s="1"/>
  <c r="M58" i="48"/>
  <c r="K58" i="48" s="1"/>
  <c r="M57" i="48"/>
  <c r="K57" i="48" s="1"/>
  <c r="M54" i="48"/>
  <c r="K54" i="48" s="1"/>
  <c r="J60" i="48"/>
  <c r="J59" i="48"/>
  <c r="J58" i="48"/>
  <c r="J57" i="48"/>
  <c r="J54" i="48"/>
  <c r="M53" i="48"/>
  <c r="K53" i="48" s="1"/>
  <c r="J53" i="48"/>
  <c r="M52" i="48" l="1"/>
  <c r="K52" i="48" s="1"/>
  <c r="J52" i="48"/>
  <c r="M51" i="48"/>
  <c r="K51" i="48" s="1"/>
  <c r="J51" i="48"/>
  <c r="M50" i="48"/>
  <c r="K50" i="48" s="1"/>
  <c r="J50" i="48"/>
  <c r="M49" i="48"/>
  <c r="K49" i="48" s="1"/>
  <c r="J49" i="48"/>
  <c r="M48" i="48"/>
  <c r="K48" i="48" s="1"/>
  <c r="J48" i="48"/>
  <c r="M47" i="48"/>
  <c r="K47" i="48" s="1"/>
  <c r="J47" i="48"/>
  <c r="M46" i="48"/>
  <c r="K46" i="48" s="1"/>
  <c r="J46" i="48"/>
  <c r="M45" i="48"/>
  <c r="K45" i="48"/>
  <c r="J45" i="48"/>
  <c r="M44" i="48"/>
  <c r="K44" i="48" s="1"/>
  <c r="J44" i="48"/>
  <c r="M43" i="48"/>
  <c r="K43" i="48" s="1"/>
  <c r="J43" i="48"/>
  <c r="M42" i="48"/>
  <c r="K42" i="48"/>
  <c r="J42" i="48"/>
  <c r="M41" i="48"/>
  <c r="K41" i="48" s="1"/>
  <c r="J41" i="48"/>
  <c r="M40" i="48"/>
  <c r="K40" i="48" s="1"/>
  <c r="J40" i="48"/>
  <c r="M39" i="48"/>
  <c r="K39" i="48" s="1"/>
  <c r="J39" i="48"/>
  <c r="J38" i="48" l="1"/>
  <c r="J37" i="48"/>
  <c r="J36" i="48"/>
  <c r="J35" i="48"/>
  <c r="M38" i="48" l="1"/>
  <c r="K38" i="48" s="1"/>
  <c r="M37" i="48"/>
  <c r="K37" i="48" s="1"/>
  <c r="M36" i="48"/>
  <c r="K36" i="48" s="1"/>
  <c r="M35" i="48"/>
  <c r="K35" i="48" s="1"/>
  <c r="M33" i="48" l="1"/>
  <c r="K33" i="48" s="1"/>
  <c r="J33" i="48"/>
  <c r="M31" i="48"/>
  <c r="K31" i="48" s="1"/>
  <c r="J31" i="48"/>
  <c r="M29" i="48"/>
  <c r="K29" i="48" s="1"/>
  <c r="J29" i="48"/>
  <c r="M27" i="48"/>
  <c r="K27" i="48" s="1"/>
  <c r="J27" i="48"/>
  <c r="M25" i="48"/>
  <c r="K25" i="48" s="1"/>
  <c r="J25" i="48"/>
  <c r="M23" i="48"/>
  <c r="K23" i="48" s="1"/>
  <c r="J23" i="48"/>
  <c r="M21" i="48"/>
  <c r="K21" i="48" s="1"/>
  <c r="J21" i="48"/>
  <c r="M19" i="48"/>
  <c r="K19" i="48" s="1"/>
  <c r="J19" i="48"/>
  <c r="M17" i="48"/>
  <c r="K17" i="48" s="1"/>
  <c r="J17" i="48"/>
  <c r="M15" i="48"/>
  <c r="K15" i="48" s="1"/>
  <c r="J15" i="48"/>
  <c r="M13" i="48"/>
  <c r="K13" i="48" s="1"/>
  <c r="J13" i="48"/>
  <c r="M11" i="48" l="1"/>
  <c r="K11" i="48" s="1"/>
  <c r="J11" i="48"/>
  <c r="M9" i="48"/>
  <c r="K9" i="48" s="1"/>
  <c r="J9" i="48"/>
  <c r="M7" i="48"/>
  <c r="K7" i="48" s="1"/>
  <c r="J7" i="48"/>
  <c r="J88" i="47" l="1"/>
  <c r="K88" i="47"/>
  <c r="M88" i="47"/>
  <c r="M87" i="47"/>
  <c r="K87" i="47" s="1"/>
  <c r="M129" i="48" l="1"/>
  <c r="K129" i="48" s="1"/>
  <c r="J129" i="48"/>
  <c r="M128" i="48"/>
  <c r="K128" i="48" s="1"/>
  <c r="J128" i="48"/>
  <c r="M127" i="48"/>
  <c r="K127" i="48" s="1"/>
  <c r="J127" i="48"/>
  <c r="M126" i="48"/>
  <c r="K126" i="48" s="1"/>
  <c r="J126" i="48"/>
  <c r="M125" i="48"/>
  <c r="K125" i="48" s="1"/>
  <c r="J125" i="48"/>
  <c r="M124" i="48"/>
  <c r="K124" i="48" s="1"/>
  <c r="J124" i="48"/>
  <c r="M123" i="48"/>
  <c r="K123" i="48" s="1"/>
  <c r="J123" i="48"/>
  <c r="M122" i="48"/>
  <c r="K122" i="48" s="1"/>
  <c r="J122" i="48"/>
  <c r="M121" i="48"/>
  <c r="K121" i="48" s="1"/>
  <c r="J121" i="48"/>
  <c r="M120" i="48"/>
  <c r="K120" i="48" s="1"/>
  <c r="J120" i="48"/>
  <c r="M119" i="48"/>
  <c r="K119" i="48" s="1"/>
  <c r="J119" i="48"/>
  <c r="M118" i="48"/>
  <c r="K118" i="48" s="1"/>
  <c r="J118" i="48"/>
  <c r="M117" i="48"/>
  <c r="K117" i="48" s="1"/>
  <c r="J117" i="48"/>
  <c r="M116" i="48"/>
  <c r="K116" i="48" s="1"/>
  <c r="J116" i="48"/>
  <c r="M115" i="48"/>
  <c r="K115" i="48" s="1"/>
  <c r="J115" i="48"/>
  <c r="M114" i="48"/>
  <c r="K114" i="48" s="1"/>
  <c r="J114" i="48"/>
  <c r="M113" i="48"/>
  <c r="K113" i="48" s="1"/>
  <c r="J113" i="48"/>
  <c r="M112" i="48"/>
  <c r="K112" i="48" s="1"/>
  <c r="J112" i="48"/>
  <c r="M111" i="48"/>
  <c r="K111" i="48" s="1"/>
  <c r="J111" i="48"/>
  <c r="M110" i="48"/>
  <c r="K110" i="48" s="1"/>
  <c r="J110" i="48"/>
  <c r="M109" i="48"/>
  <c r="K109" i="48" s="1"/>
  <c r="J109" i="48"/>
  <c r="M108" i="48"/>
  <c r="K108" i="48" s="1"/>
  <c r="J108" i="48"/>
  <c r="M107" i="48"/>
  <c r="K107" i="48" s="1"/>
  <c r="J107" i="48"/>
  <c r="M106" i="48"/>
  <c r="K106" i="48" s="1"/>
  <c r="J106" i="48"/>
  <c r="M105" i="48"/>
  <c r="K105" i="48" s="1"/>
  <c r="J105" i="48"/>
  <c r="M104" i="48"/>
  <c r="K104" i="48" s="1"/>
  <c r="J104" i="48"/>
  <c r="M103" i="48"/>
  <c r="K103" i="48" s="1"/>
  <c r="J103" i="48"/>
  <c r="M102" i="48"/>
  <c r="K102" i="48" s="1"/>
  <c r="J102" i="48"/>
  <c r="M101" i="48"/>
  <c r="K101" i="48" s="1"/>
  <c r="J101" i="48"/>
  <c r="M100" i="48"/>
  <c r="K100" i="48" s="1"/>
  <c r="J100" i="48"/>
  <c r="M99" i="48"/>
  <c r="K99" i="48" s="1"/>
  <c r="J99" i="48"/>
  <c r="M5" i="48"/>
  <c r="K5" i="48" s="1"/>
  <c r="J5" i="48"/>
  <c r="M3" i="48"/>
  <c r="K3" i="48" s="1"/>
  <c r="J3" i="48"/>
  <c r="M116" i="47"/>
  <c r="K116" i="47" s="1"/>
  <c r="J116" i="47"/>
  <c r="M115" i="47"/>
  <c r="K115" i="47" s="1"/>
  <c r="J115" i="47"/>
  <c r="M114" i="47"/>
  <c r="K114" i="47"/>
  <c r="J114" i="47"/>
  <c r="M113" i="47"/>
  <c r="K113" i="47"/>
  <c r="J113" i="47"/>
  <c r="M112" i="47"/>
  <c r="K112" i="47" s="1"/>
  <c r="J112" i="47"/>
  <c r="M111" i="47"/>
  <c r="K111" i="47" s="1"/>
  <c r="J111" i="47"/>
  <c r="M110" i="47"/>
  <c r="K110" i="47"/>
  <c r="J110" i="47"/>
  <c r="J89" i="47"/>
  <c r="M89" i="47"/>
  <c r="K89" i="47" s="1"/>
  <c r="J87" i="47"/>
  <c r="M105" i="47"/>
  <c r="K105" i="47" s="1"/>
  <c r="J105" i="47"/>
  <c r="M104" i="47"/>
  <c r="K104" i="47" s="1"/>
  <c r="J104" i="47"/>
  <c r="M103" i="47"/>
  <c r="K103" i="47" s="1"/>
  <c r="J103" i="47"/>
  <c r="M102" i="47"/>
  <c r="K102" i="47" s="1"/>
  <c r="J102" i="47"/>
  <c r="M101" i="47"/>
  <c r="K101" i="47" s="1"/>
  <c r="J101" i="47"/>
  <c r="M100" i="47"/>
  <c r="K100" i="47" s="1"/>
  <c r="J100" i="47"/>
  <c r="J92" i="47" l="1"/>
  <c r="J81" i="47"/>
  <c r="M99" i="47"/>
  <c r="K99" i="47" s="1"/>
  <c r="J99" i="47"/>
  <c r="M98" i="47"/>
  <c r="K98" i="47" s="1"/>
  <c r="J98" i="47"/>
  <c r="M97" i="47"/>
  <c r="K97" i="47" s="1"/>
  <c r="J97" i="47"/>
  <c r="M96" i="47"/>
  <c r="K96" i="47" s="1"/>
  <c r="J96" i="47"/>
  <c r="M95" i="47"/>
  <c r="K95" i="47" s="1"/>
  <c r="J95" i="47"/>
  <c r="M94" i="47"/>
  <c r="K94" i="47" s="1"/>
  <c r="J94" i="47"/>
  <c r="M93" i="47"/>
  <c r="K93" i="47" s="1"/>
  <c r="J93" i="47"/>
  <c r="M92" i="47"/>
  <c r="K92" i="47" s="1"/>
  <c r="M91" i="47" l="1"/>
  <c r="K91" i="47" s="1"/>
  <c r="J91" i="47"/>
  <c r="M90" i="47"/>
  <c r="K90" i="47" s="1"/>
  <c r="J90" i="47"/>
  <c r="M86" i="47"/>
  <c r="K86" i="47" s="1"/>
  <c r="J86" i="47"/>
  <c r="M85" i="47"/>
  <c r="K85" i="47" s="1"/>
  <c r="J85" i="47"/>
  <c r="M84" i="47"/>
  <c r="K84" i="47" s="1"/>
  <c r="J84" i="47"/>
  <c r="M83" i="47"/>
  <c r="K83" i="47" s="1"/>
  <c r="J83" i="47"/>
  <c r="M82" i="47"/>
  <c r="K82" i="47" s="1"/>
  <c r="J82" i="47"/>
  <c r="M81" i="47" l="1"/>
  <c r="K81" i="47" s="1"/>
  <c r="M80" i="47"/>
  <c r="K80" i="47" s="1"/>
  <c r="J80" i="47"/>
  <c r="M79" i="47" l="1"/>
  <c r="K79" i="47" s="1"/>
  <c r="J79" i="47"/>
  <c r="M78" i="47"/>
  <c r="K78" i="47"/>
  <c r="J78" i="47"/>
  <c r="M77" i="47"/>
  <c r="K77" i="47"/>
  <c r="J77" i="47"/>
  <c r="M76" i="47"/>
  <c r="K76" i="47" s="1"/>
  <c r="J76" i="47"/>
  <c r="M75" i="47"/>
  <c r="K75" i="47" s="1"/>
  <c r="J75" i="47"/>
  <c r="M74" i="47"/>
  <c r="K74" i="47" s="1"/>
  <c r="J74" i="47"/>
  <c r="M73" i="47"/>
  <c r="K73" i="47" s="1"/>
  <c r="J73" i="47"/>
  <c r="M72" i="47"/>
  <c r="K72" i="47" s="1"/>
  <c r="J72" i="47"/>
  <c r="M71" i="47"/>
  <c r="K71" i="47" s="1"/>
  <c r="J71" i="47"/>
  <c r="M70" i="47"/>
  <c r="K70" i="47" s="1"/>
  <c r="J70" i="47"/>
  <c r="M69" i="47"/>
  <c r="K69" i="47" s="1"/>
  <c r="J69" i="47"/>
  <c r="M68" i="47"/>
  <c r="K68" i="47" s="1"/>
  <c r="J68" i="47"/>
  <c r="M67" i="47"/>
  <c r="K67" i="47" s="1"/>
  <c r="J67" i="47"/>
  <c r="M66" i="47" l="1"/>
  <c r="K66" i="47" s="1"/>
  <c r="J66" i="47"/>
  <c r="M65" i="47"/>
  <c r="K65" i="47"/>
  <c r="J65" i="47"/>
  <c r="M64" i="47"/>
  <c r="K64" i="47" s="1"/>
  <c r="J64" i="47"/>
  <c r="M48" i="47"/>
  <c r="K48" i="47" s="1"/>
  <c r="J48" i="47"/>
  <c r="M47" i="47"/>
  <c r="K47" i="47" s="1"/>
  <c r="J47" i="47"/>
  <c r="M44" i="47" l="1"/>
  <c r="K44" i="47" s="1"/>
  <c r="J44" i="47"/>
  <c r="M46" i="47"/>
  <c r="K46" i="47" s="1"/>
  <c r="J46" i="47"/>
  <c r="M45" i="47"/>
  <c r="K45" i="47" s="1"/>
  <c r="J45" i="47"/>
  <c r="M63" i="47" l="1"/>
  <c r="K63" i="47" s="1"/>
  <c r="J63" i="47"/>
  <c r="M62" i="47"/>
  <c r="K62" i="47" s="1"/>
  <c r="J62" i="47"/>
  <c r="M61" i="47"/>
  <c r="K61" i="47" s="1"/>
  <c r="J61" i="47"/>
  <c r="M60" i="47"/>
  <c r="K60" i="47" s="1"/>
  <c r="J60" i="47"/>
  <c r="M59" i="47"/>
  <c r="K59" i="47" s="1"/>
  <c r="J59" i="47"/>
  <c r="M58" i="47"/>
  <c r="K58" i="47" s="1"/>
  <c r="J58" i="47"/>
  <c r="M57" i="47"/>
  <c r="K57" i="47" s="1"/>
  <c r="J57" i="47"/>
  <c r="M56" i="47"/>
  <c r="K56" i="47" s="1"/>
  <c r="J56" i="47"/>
  <c r="M55" i="47"/>
  <c r="K55" i="47" s="1"/>
  <c r="J55" i="47"/>
  <c r="M54" i="47"/>
  <c r="K54" i="47" s="1"/>
  <c r="J54" i="47"/>
  <c r="J34" i="47" l="1"/>
  <c r="J33" i="47"/>
  <c r="J32" i="47"/>
  <c r="J31" i="47"/>
  <c r="J30" i="47"/>
  <c r="J29" i="47"/>
  <c r="J28" i="47"/>
  <c r="J27" i="47"/>
  <c r="J35" i="47"/>
  <c r="J23" i="47" l="1"/>
  <c r="J26" i="47"/>
  <c r="M5" i="47" l="1"/>
  <c r="K5" i="47" s="1"/>
  <c r="M6" i="47"/>
  <c r="K6" i="47" s="1"/>
  <c r="M9" i="47"/>
  <c r="K9" i="47" s="1"/>
  <c r="M12" i="47"/>
  <c r="K12" i="47" s="1"/>
  <c r="M15" i="47"/>
  <c r="K15" i="47" s="1"/>
  <c r="M18" i="47"/>
  <c r="K18" i="47" s="1"/>
  <c r="M19" i="47"/>
  <c r="K19" i="47" s="1"/>
  <c r="M20" i="47"/>
  <c r="K20" i="47" s="1"/>
  <c r="M21" i="47"/>
  <c r="M22" i="47"/>
  <c r="M23" i="47"/>
  <c r="K23" i="47" s="1"/>
  <c r="M24" i="47"/>
  <c r="K24" i="47" s="1"/>
  <c r="M25" i="47"/>
  <c r="M26" i="47"/>
  <c r="K26" i="47" s="1"/>
  <c r="M27" i="47"/>
  <c r="K27" i="47" s="1"/>
  <c r="M28" i="47"/>
  <c r="K28" i="47" s="1"/>
  <c r="M29" i="47"/>
  <c r="M30" i="47"/>
  <c r="K30" i="47" s="1"/>
  <c r="M31" i="47"/>
  <c r="K31" i="47" s="1"/>
  <c r="M32" i="47"/>
  <c r="K32" i="47" s="1"/>
  <c r="M33" i="47"/>
  <c r="M34" i="47"/>
  <c r="M35" i="47"/>
  <c r="K35" i="47" s="1"/>
  <c r="M36" i="47"/>
  <c r="K36" i="47" s="1"/>
  <c r="M39" i="47"/>
  <c r="K39" i="47" s="1"/>
  <c r="M40" i="47"/>
  <c r="M41" i="47"/>
  <c r="K41" i="47" s="1"/>
  <c r="M42" i="47"/>
  <c r="K42" i="47" s="1"/>
  <c r="M43" i="47"/>
  <c r="K43" i="47" s="1"/>
  <c r="M49" i="47"/>
  <c r="M50" i="47"/>
  <c r="K50" i="47" s="1"/>
  <c r="M51" i="47"/>
  <c r="K51" i="47" s="1"/>
  <c r="M52" i="47"/>
  <c r="K52" i="47" s="1"/>
  <c r="M53" i="47"/>
  <c r="M135" i="47"/>
  <c r="K135" i="47" s="1"/>
  <c r="J135" i="47"/>
  <c r="M134" i="47"/>
  <c r="K134" i="47" s="1"/>
  <c r="J134" i="47"/>
  <c r="M133" i="47"/>
  <c r="K133" i="47" s="1"/>
  <c r="J133" i="47"/>
  <c r="M132" i="47"/>
  <c r="K132" i="47" s="1"/>
  <c r="J132" i="47"/>
  <c r="M131" i="47"/>
  <c r="K131" i="47" s="1"/>
  <c r="J131" i="47"/>
  <c r="M130" i="47"/>
  <c r="K130" i="47" s="1"/>
  <c r="J130" i="47"/>
  <c r="M129" i="47"/>
  <c r="K129" i="47" s="1"/>
  <c r="J129" i="47"/>
  <c r="M128" i="47"/>
  <c r="K128" i="47" s="1"/>
  <c r="J128" i="47"/>
  <c r="M127" i="47"/>
  <c r="K127" i="47" s="1"/>
  <c r="J127" i="47"/>
  <c r="M126" i="47"/>
  <c r="K126" i="47" s="1"/>
  <c r="J126" i="47"/>
  <c r="M125" i="47"/>
  <c r="K125" i="47" s="1"/>
  <c r="J125" i="47"/>
  <c r="M124" i="47"/>
  <c r="K124" i="47" s="1"/>
  <c r="J124" i="47"/>
  <c r="M123" i="47"/>
  <c r="K123" i="47" s="1"/>
  <c r="J123" i="47"/>
  <c r="M122" i="47"/>
  <c r="K122" i="47" s="1"/>
  <c r="J122" i="47"/>
  <c r="M121" i="47"/>
  <c r="K121" i="47" s="1"/>
  <c r="J121" i="47"/>
  <c r="M120" i="47"/>
  <c r="K120" i="47" s="1"/>
  <c r="J120" i="47"/>
  <c r="M119" i="47"/>
  <c r="K119" i="47" s="1"/>
  <c r="J119" i="47"/>
  <c r="M118" i="47"/>
  <c r="K118" i="47" s="1"/>
  <c r="J118" i="47"/>
  <c r="M117" i="47"/>
  <c r="K117" i="47" s="1"/>
  <c r="J117" i="47"/>
  <c r="M107" i="47"/>
  <c r="K107" i="47" s="1"/>
  <c r="J107" i="47"/>
  <c r="M106" i="47"/>
  <c r="K106" i="47" s="1"/>
  <c r="J106" i="47"/>
  <c r="K53" i="47"/>
  <c r="J53" i="47"/>
  <c r="J52" i="47"/>
  <c r="J51" i="47"/>
  <c r="J50" i="47"/>
  <c r="K49" i="47"/>
  <c r="J49" i="47"/>
  <c r="J43" i="47"/>
  <c r="J42" i="47"/>
  <c r="J41" i="47"/>
  <c r="K40" i="47"/>
  <c r="J40" i="47"/>
  <c r="J39" i="47"/>
  <c r="J36" i="47"/>
  <c r="K34" i="47"/>
  <c r="K33" i="47"/>
  <c r="K29" i="47"/>
  <c r="K25" i="47"/>
  <c r="J25" i="47"/>
  <c r="J24" i="47"/>
  <c r="K22" i="47"/>
  <c r="J22" i="47"/>
  <c r="K21" i="47"/>
  <c r="J21" i="47"/>
  <c r="J20" i="47"/>
  <c r="J19" i="47"/>
  <c r="J18" i="47"/>
  <c r="J15" i="47"/>
  <c r="J12" i="47"/>
  <c r="J9" i="47"/>
  <c r="J6" i="47"/>
  <c r="J5" i="47"/>
  <c r="M3" i="47"/>
  <c r="K3" i="47" s="1"/>
  <c r="J3" i="47"/>
  <c r="M74" i="45" l="1"/>
  <c r="K74" i="45" s="1"/>
  <c r="J74" i="45"/>
  <c r="M71" i="45"/>
  <c r="K71" i="45" s="1"/>
  <c r="J71" i="45"/>
  <c r="M68" i="45"/>
  <c r="K68" i="45" s="1"/>
  <c r="J68" i="45"/>
  <c r="J54" i="45"/>
  <c r="M63" i="45" l="1"/>
  <c r="K63" i="45" s="1"/>
  <c r="J63" i="45"/>
  <c r="M52" i="45" l="1"/>
  <c r="K52" i="45" s="1"/>
  <c r="J52" i="45"/>
  <c r="M51" i="45"/>
  <c r="K51" i="45" s="1"/>
  <c r="J51" i="45"/>
  <c r="M4" i="45" l="1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K22" i="45" s="1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39" i="45"/>
  <c r="M40" i="45"/>
  <c r="M41" i="45"/>
  <c r="M42" i="45"/>
  <c r="M43" i="45"/>
  <c r="M44" i="45"/>
  <c r="M45" i="45"/>
  <c r="M46" i="45"/>
  <c r="M47" i="45"/>
  <c r="M48" i="45"/>
  <c r="M49" i="45"/>
  <c r="M50" i="45"/>
  <c r="M53" i="45"/>
  <c r="M55" i="45"/>
  <c r="M57" i="45"/>
  <c r="M59" i="45"/>
  <c r="M61" i="45"/>
  <c r="M65" i="45"/>
  <c r="M77" i="45"/>
  <c r="M78" i="45"/>
  <c r="M79" i="45"/>
  <c r="M80" i="45"/>
  <c r="M81" i="45"/>
  <c r="M82" i="45"/>
  <c r="M83" i="45"/>
  <c r="M84" i="45"/>
  <c r="M85" i="45"/>
  <c r="M86" i="45"/>
  <c r="M87" i="45"/>
  <c r="M88" i="45"/>
  <c r="M89" i="45"/>
  <c r="M90" i="45"/>
  <c r="M91" i="45"/>
  <c r="M92" i="45"/>
  <c r="M93" i="45"/>
  <c r="M94" i="45"/>
  <c r="M95" i="45"/>
  <c r="M96" i="45"/>
  <c r="M97" i="45"/>
  <c r="M98" i="45"/>
  <c r="M99" i="45"/>
  <c r="M100" i="45"/>
  <c r="M101" i="45"/>
  <c r="M102" i="45"/>
  <c r="M103" i="45"/>
  <c r="M104" i="45"/>
  <c r="M105" i="45"/>
  <c r="M106" i="45"/>
  <c r="M107" i="45"/>
  <c r="M108" i="45"/>
  <c r="M109" i="45"/>
  <c r="M110" i="45"/>
  <c r="M111" i="45"/>
  <c r="M112" i="45"/>
  <c r="M113" i="45"/>
  <c r="M114" i="45"/>
  <c r="M115" i="45"/>
  <c r="M116" i="45"/>
  <c r="M117" i="45"/>
  <c r="M118" i="45"/>
  <c r="M119" i="45"/>
  <c r="M120" i="45"/>
  <c r="M121" i="45"/>
  <c r="M122" i="45"/>
  <c r="M123" i="45"/>
  <c r="M124" i="45"/>
  <c r="M125" i="45"/>
  <c r="M126" i="45"/>
  <c r="M127" i="45"/>
  <c r="M128" i="45"/>
  <c r="M129" i="45"/>
  <c r="M130" i="45"/>
  <c r="M131" i="45"/>
  <c r="M132" i="45"/>
  <c r="M133" i="45"/>
  <c r="M134" i="45"/>
  <c r="M135" i="45"/>
  <c r="M136" i="45"/>
  <c r="M137" i="45"/>
  <c r="M138" i="45"/>
  <c r="M139" i="45"/>
  <c r="M140" i="45"/>
  <c r="M141" i="45"/>
  <c r="M142" i="45"/>
  <c r="M143" i="45"/>
  <c r="M3" i="45"/>
  <c r="K28" i="45" l="1"/>
  <c r="J28" i="45"/>
  <c r="K6" i="45" l="1"/>
  <c r="K7" i="45"/>
  <c r="K10" i="45"/>
  <c r="K11" i="45"/>
  <c r="K14" i="45"/>
  <c r="K15" i="45"/>
  <c r="K17" i="45"/>
  <c r="K18" i="45"/>
  <c r="K19" i="45"/>
  <c r="K21" i="45"/>
  <c r="K23" i="45"/>
  <c r="K24" i="45"/>
  <c r="K26" i="45"/>
  <c r="K29" i="45"/>
  <c r="K30" i="45"/>
  <c r="K31" i="45"/>
  <c r="K32" i="45"/>
  <c r="K33" i="45"/>
  <c r="K34" i="45"/>
  <c r="K35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3" i="45"/>
  <c r="K55" i="45"/>
  <c r="K57" i="45"/>
  <c r="K59" i="45"/>
  <c r="K61" i="45"/>
  <c r="K65" i="45"/>
  <c r="K77" i="45"/>
  <c r="K78" i="45"/>
  <c r="K79" i="45"/>
  <c r="K80" i="45"/>
  <c r="K81" i="45"/>
  <c r="K82" i="45"/>
  <c r="K84" i="45"/>
  <c r="K85" i="45"/>
  <c r="K86" i="45"/>
  <c r="K87" i="45"/>
  <c r="K88" i="45"/>
  <c r="K89" i="45"/>
  <c r="K90" i="45"/>
  <c r="K92" i="45"/>
  <c r="K93" i="45"/>
  <c r="K94" i="45"/>
  <c r="K95" i="45"/>
  <c r="K96" i="45"/>
  <c r="K97" i="45"/>
  <c r="K98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6" i="45"/>
  <c r="K117" i="45"/>
  <c r="K118" i="45"/>
  <c r="K119" i="45"/>
  <c r="K120" i="45"/>
  <c r="K121" i="45"/>
  <c r="K122" i="45"/>
  <c r="K123" i="45"/>
  <c r="K124" i="45"/>
  <c r="K125" i="45"/>
  <c r="K126" i="45"/>
  <c r="K128" i="45"/>
  <c r="K129" i="45"/>
  <c r="K130" i="45"/>
  <c r="K131" i="45"/>
  <c r="K132" i="45"/>
  <c r="K133" i="45"/>
  <c r="K134" i="45"/>
  <c r="K136" i="45"/>
  <c r="K137" i="45"/>
  <c r="K138" i="45"/>
  <c r="K139" i="45"/>
  <c r="K140" i="45"/>
  <c r="K141" i="45"/>
  <c r="K142" i="45"/>
  <c r="K143" i="45"/>
  <c r="J4" i="45"/>
  <c r="K4" i="45"/>
  <c r="J5" i="45"/>
  <c r="K5" i="45"/>
  <c r="J6" i="45"/>
  <c r="J7" i="45"/>
  <c r="J8" i="45"/>
  <c r="K8" i="45"/>
  <c r="J9" i="45"/>
  <c r="K9" i="45"/>
  <c r="J10" i="45"/>
  <c r="J11" i="45"/>
  <c r="J12" i="45"/>
  <c r="K12" i="45"/>
  <c r="J13" i="45"/>
  <c r="K13" i="45"/>
  <c r="J14" i="45"/>
  <c r="J15" i="45"/>
  <c r="J16" i="45"/>
  <c r="K16" i="45"/>
  <c r="J17" i="45"/>
  <c r="J18" i="45"/>
  <c r="J19" i="45"/>
  <c r="J20" i="45"/>
  <c r="K20" i="45"/>
  <c r="J21" i="45"/>
  <c r="J22" i="45"/>
  <c r="J23" i="45"/>
  <c r="J24" i="45"/>
  <c r="J25" i="45"/>
  <c r="K25" i="45"/>
  <c r="J26" i="45"/>
  <c r="J27" i="45"/>
  <c r="J29" i="45"/>
  <c r="J30" i="45"/>
  <c r="J31" i="45"/>
  <c r="J32" i="45"/>
  <c r="J33" i="45"/>
  <c r="J34" i="45"/>
  <c r="J35" i="45"/>
  <c r="J36" i="45"/>
  <c r="K36" i="45"/>
  <c r="J37" i="45"/>
  <c r="J38" i="45"/>
  <c r="J39" i="45"/>
  <c r="J40" i="45"/>
  <c r="J41" i="45"/>
  <c r="J42" i="45"/>
  <c r="J43" i="45"/>
  <c r="J44" i="45"/>
  <c r="J45" i="45"/>
  <c r="J46" i="45"/>
  <c r="J47" i="45"/>
  <c r="J48" i="45"/>
  <c r="J49" i="45"/>
  <c r="J50" i="45"/>
  <c r="J53" i="45"/>
  <c r="J55" i="45"/>
  <c r="J57" i="45"/>
  <c r="J59" i="45"/>
  <c r="J61" i="45"/>
  <c r="J65" i="45"/>
  <c r="J77" i="45"/>
  <c r="J78" i="45"/>
  <c r="J79" i="45"/>
  <c r="J80" i="45"/>
  <c r="J81" i="45"/>
  <c r="J82" i="45"/>
  <c r="J83" i="45"/>
  <c r="K83" i="45"/>
  <c r="J84" i="45"/>
  <c r="J85" i="45"/>
  <c r="J86" i="45"/>
  <c r="J87" i="45"/>
  <c r="J88" i="45"/>
  <c r="J89" i="45"/>
  <c r="J90" i="45"/>
  <c r="J91" i="45"/>
  <c r="K91" i="45"/>
  <c r="J92" i="45"/>
  <c r="J93" i="45"/>
  <c r="J94" i="45"/>
  <c r="J95" i="45"/>
  <c r="J96" i="45"/>
  <c r="J97" i="45"/>
  <c r="J98" i="45"/>
  <c r="J99" i="45"/>
  <c r="K99" i="45"/>
  <c r="J100" i="45"/>
  <c r="J101" i="45"/>
  <c r="J102" i="45"/>
  <c r="J103" i="45"/>
  <c r="J104" i="45"/>
  <c r="J105" i="45"/>
  <c r="J106" i="45"/>
  <c r="J107" i="45"/>
  <c r="J108" i="45"/>
  <c r="J109" i="45"/>
  <c r="J110" i="45"/>
  <c r="J111" i="45"/>
  <c r="J112" i="45"/>
  <c r="J113" i="45"/>
  <c r="J114" i="45"/>
  <c r="J115" i="45"/>
  <c r="J116" i="45"/>
  <c r="J117" i="45"/>
  <c r="J118" i="45"/>
  <c r="J119" i="45"/>
  <c r="J120" i="45"/>
  <c r="J121" i="45"/>
  <c r="J122" i="45"/>
  <c r="J123" i="45"/>
  <c r="J124" i="45"/>
  <c r="J125" i="45"/>
  <c r="J126" i="45"/>
  <c r="J127" i="45"/>
  <c r="K127" i="45"/>
  <c r="J128" i="45"/>
  <c r="J129" i="45"/>
  <c r="J130" i="45"/>
  <c r="J131" i="45"/>
  <c r="J132" i="45"/>
  <c r="J133" i="45"/>
  <c r="J134" i="45"/>
  <c r="J135" i="45"/>
  <c r="K135" i="45"/>
  <c r="J136" i="45"/>
  <c r="J137" i="45"/>
  <c r="J138" i="45"/>
  <c r="J139" i="45"/>
  <c r="J140" i="45"/>
  <c r="J141" i="45"/>
  <c r="J142" i="45"/>
  <c r="J143" i="45"/>
  <c r="K27" i="45" l="1"/>
  <c r="K3" i="45"/>
  <c r="J3" i="45" l="1"/>
  <c r="H81" i="44" l="1"/>
  <c r="H80" i="44"/>
  <c r="H79" i="44"/>
  <c r="H78" i="44"/>
  <c r="H77" i="44"/>
  <c r="H76" i="44"/>
  <c r="H75" i="44"/>
  <c r="H74" i="44"/>
  <c r="H73" i="44" l="1"/>
  <c r="H72" i="44"/>
  <c r="H71" i="44"/>
  <c r="H70" i="44"/>
  <c r="H69" i="44"/>
  <c r="H68" i="44"/>
  <c r="H67" i="44"/>
  <c r="H66" i="44"/>
  <c r="H65" i="44"/>
  <c r="H64" i="44"/>
  <c r="H63" i="44" l="1"/>
  <c r="H62" i="44"/>
  <c r="H61" i="44"/>
  <c r="H60" i="44"/>
  <c r="H59" i="44"/>
  <c r="H58" i="44"/>
  <c r="H57" i="44"/>
  <c r="H56" i="44"/>
  <c r="H55" i="44"/>
  <c r="H54" i="44"/>
  <c r="H53" i="44"/>
  <c r="H52" i="44"/>
  <c r="H51" i="44"/>
  <c r="H50" i="44"/>
  <c r="H49" i="44"/>
  <c r="H48" i="44"/>
  <c r="H47" i="44"/>
  <c r="H46" i="44"/>
  <c r="H45" i="44"/>
  <c r="H44" i="44"/>
  <c r="H41" i="44"/>
  <c r="H40" i="44" l="1"/>
  <c r="H39" i="44"/>
  <c r="H38" i="44"/>
  <c r="H14" i="44" l="1"/>
  <c r="H23" i="44"/>
  <c r="H37" i="44"/>
  <c r="H11" i="44" l="1"/>
  <c r="H36" i="44" l="1"/>
  <c r="H35" i="44"/>
  <c r="H34" i="44"/>
  <c r="H33" i="44"/>
  <c r="H32" i="44"/>
  <c r="H10" i="44" l="1"/>
  <c r="H29" i="44"/>
  <c r="H26" i="44"/>
  <c r="H20" i="44"/>
  <c r="H17" i="44"/>
  <c r="H78" i="43" l="1"/>
  <c r="H79" i="43"/>
  <c r="H58" i="43"/>
  <c r="H56" i="43"/>
  <c r="H9" i="44" l="1"/>
  <c r="H8" i="44"/>
  <c r="H7" i="44"/>
  <c r="H6" i="44"/>
  <c r="H5" i="44"/>
  <c r="H4" i="44"/>
  <c r="H3" i="44"/>
  <c r="H77" i="43" l="1"/>
  <c r="H76" i="43"/>
  <c r="H75" i="43"/>
  <c r="H74" i="43"/>
  <c r="H73" i="43"/>
  <c r="H72" i="43"/>
  <c r="H64" i="43"/>
  <c r="H66" i="43"/>
  <c r="H68" i="43"/>
  <c r="H70" i="43"/>
  <c r="H43" i="43" l="1"/>
  <c r="H46" i="43"/>
  <c r="H48" i="43"/>
  <c r="H50" i="43"/>
  <c r="H52" i="43"/>
  <c r="H54" i="43"/>
  <c r="H71" i="43" l="1"/>
  <c r="H69" i="43" l="1"/>
  <c r="H67" i="43"/>
  <c r="H65" i="43"/>
  <c r="H63" i="43"/>
  <c r="H62" i="43"/>
  <c r="H61" i="43"/>
  <c r="H60" i="43"/>
  <c r="H59" i="43"/>
  <c r="H57" i="43"/>
  <c r="H55" i="43"/>
  <c r="H41" i="43" l="1"/>
  <c r="H53" i="43"/>
  <c r="H51" i="43"/>
  <c r="H49" i="43"/>
  <c r="H47" i="43"/>
  <c r="H45" i="43"/>
  <c r="H40" i="43" l="1"/>
  <c r="H39" i="43"/>
  <c r="H38" i="43" l="1"/>
  <c r="H37" i="43"/>
  <c r="H36" i="43"/>
  <c r="H35" i="43"/>
  <c r="H34" i="43"/>
  <c r="H33" i="43" l="1"/>
  <c r="H32" i="43"/>
  <c r="H31" i="43"/>
  <c r="H30" i="43"/>
  <c r="H29" i="43"/>
  <c r="H28" i="43"/>
  <c r="H27" i="43" l="1"/>
  <c r="H26" i="43"/>
  <c r="H25" i="43"/>
  <c r="H24" i="43"/>
  <c r="H23" i="43"/>
  <c r="H22" i="43"/>
  <c r="H21" i="43"/>
  <c r="H20" i="43"/>
  <c r="H19" i="43"/>
  <c r="H18" i="43"/>
  <c r="H15" i="43" l="1"/>
  <c r="H14" i="43"/>
  <c r="H13" i="43"/>
  <c r="H12" i="43"/>
  <c r="H11" i="43"/>
  <c r="H130" i="42" l="1"/>
  <c r="H10" i="43"/>
  <c r="H9" i="43"/>
  <c r="H8" i="43"/>
  <c r="H7" i="43"/>
  <c r="H6" i="43"/>
  <c r="H5" i="43"/>
  <c r="H137" i="42" l="1"/>
  <c r="H136" i="42"/>
  <c r="H135" i="42"/>
  <c r="H134" i="42"/>
  <c r="H133" i="42"/>
  <c r="H132" i="42"/>
  <c r="H4" i="43"/>
  <c r="H3" i="43"/>
  <c r="H128" i="42" l="1"/>
  <c r="H126" i="42"/>
  <c r="H124" i="42"/>
  <c r="H122" i="42"/>
  <c r="H120" i="42"/>
  <c r="H118" i="42" l="1"/>
  <c r="H116" i="42"/>
  <c r="H114" i="42"/>
  <c r="H112" i="42"/>
  <c r="H110" i="42"/>
  <c r="H107" i="42" l="1"/>
  <c r="H104" i="42"/>
  <c r="H101" i="42"/>
  <c r="H98" i="42" l="1"/>
  <c r="H95" i="42"/>
  <c r="H92" i="42"/>
  <c r="H91" i="42"/>
  <c r="H90" i="42" l="1"/>
  <c r="H72" i="42"/>
  <c r="H74" i="42"/>
  <c r="H73" i="42"/>
  <c r="H87" i="42"/>
  <c r="H84" i="42"/>
  <c r="H81" i="42"/>
  <c r="H78" i="42" l="1"/>
  <c r="H75" i="42" l="1"/>
  <c r="H71" i="42" l="1"/>
  <c r="H70" i="42"/>
  <c r="H69" i="42"/>
  <c r="H68" i="42"/>
  <c r="H67" i="42"/>
  <c r="H66" i="42"/>
  <c r="H65" i="42"/>
  <c r="H64" i="42"/>
  <c r="H63" i="42"/>
  <c r="H62" i="42"/>
  <c r="H61" i="42" l="1"/>
  <c r="H60" i="42"/>
  <c r="H59" i="42"/>
  <c r="H58" i="42"/>
  <c r="H57" i="42"/>
  <c r="H56" i="42"/>
  <c r="H55" i="42"/>
  <c r="H54" i="42"/>
  <c r="H53" i="42"/>
  <c r="H52" i="42"/>
  <c r="H49" i="42"/>
  <c r="H46" i="42"/>
  <c r="H43" i="42"/>
  <c r="H33" i="42" l="1"/>
  <c r="H35" i="42"/>
  <c r="H37" i="42"/>
  <c r="H39" i="42"/>
  <c r="H41" i="42"/>
  <c r="H32" i="42" l="1"/>
  <c r="H31" i="42"/>
  <c r="H30" i="42"/>
  <c r="H29" i="42"/>
  <c r="H28" i="42"/>
  <c r="H27" i="42"/>
  <c r="H26" i="42"/>
  <c r="H25" i="42"/>
  <c r="H24" i="42"/>
  <c r="H23" i="42"/>
  <c r="H74" i="41" l="1"/>
  <c r="H73" i="41"/>
  <c r="H72" i="41"/>
  <c r="H71" i="41"/>
  <c r="H70" i="41"/>
  <c r="H94" i="41"/>
  <c r="H93" i="41"/>
  <c r="H92" i="41"/>
  <c r="H91" i="41"/>
  <c r="H90" i="41"/>
  <c r="H89" i="41"/>
  <c r="H88" i="41"/>
  <c r="H87" i="41"/>
  <c r="H86" i="41"/>
  <c r="H85" i="41"/>
  <c r="H84" i="41"/>
  <c r="H83" i="41"/>
  <c r="H82" i="41"/>
  <c r="H81" i="41"/>
  <c r="H80" i="41"/>
  <c r="H79" i="41"/>
  <c r="H78" i="41"/>
  <c r="H77" i="41"/>
  <c r="H76" i="41"/>
  <c r="H75" i="41"/>
  <c r="H47" i="41" l="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2" i="41"/>
  <c r="H31" i="41"/>
  <c r="H30" i="41"/>
  <c r="H29" i="41"/>
  <c r="H28" i="41"/>
  <c r="H27" i="41"/>
  <c r="H26" i="41"/>
  <c r="H25" i="41"/>
  <c r="H12" i="41"/>
  <c r="H11" i="41"/>
  <c r="H10" i="41"/>
  <c r="H9" i="41"/>
  <c r="H8" i="41"/>
  <c r="H7" i="41"/>
  <c r="H6" i="41"/>
  <c r="H5" i="41"/>
  <c r="H4" i="41"/>
  <c r="H3" i="41"/>
  <c r="H66" i="41"/>
  <c r="H64" i="41"/>
  <c r="H62" i="41"/>
  <c r="H60" i="41"/>
  <c r="H56" i="41"/>
  <c r="H58" i="41"/>
  <c r="H54" i="41"/>
  <c r="H52" i="41"/>
  <c r="H50" i="41"/>
  <c r="H48" i="41"/>
  <c r="H68" i="41"/>
  <c r="H3" i="42" l="1"/>
  <c r="H5" i="42"/>
  <c r="H7" i="42"/>
  <c r="H9" i="42"/>
  <c r="H11" i="42"/>
  <c r="H12" i="42"/>
  <c r="H13" i="42"/>
  <c r="H14" i="42"/>
  <c r="H15" i="42"/>
  <c r="H16" i="42"/>
  <c r="H17" i="42"/>
  <c r="H18" i="42"/>
  <c r="H19" i="42"/>
  <c r="H20" i="42"/>
  <c r="H35" i="34" l="1"/>
  <c r="H37" i="34"/>
  <c r="H39" i="34"/>
  <c r="H41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90" i="34"/>
  <c r="H93" i="34"/>
  <c r="H96" i="34"/>
  <c r="H99" i="34"/>
  <c r="H102" i="34"/>
  <c r="H103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33" i="34" l="1"/>
  <c r="H4" i="34"/>
  <c r="H5" i="34"/>
  <c r="H6" i="34"/>
  <c r="H7" i="34"/>
  <c r="H8" i="34"/>
  <c r="H9" i="34"/>
  <c r="H10" i="34"/>
  <c r="H11" i="34"/>
  <c r="H12" i="34"/>
  <c r="H13" i="34"/>
  <c r="H15" i="34"/>
  <c r="H17" i="34"/>
  <c r="H19" i="34"/>
  <c r="H21" i="34"/>
  <c r="H22" i="34"/>
  <c r="H23" i="34"/>
  <c r="H25" i="34"/>
  <c r="H27" i="34"/>
  <c r="H29" i="34"/>
  <c r="H31" i="34"/>
  <c r="H3" i="34"/>
</calcChain>
</file>

<file path=xl/comments1.xml><?xml version="1.0" encoding="utf-8"?>
<comments xmlns="http://schemas.openxmlformats.org/spreadsheetml/2006/main">
  <authors>
    <author>Zellenmontage</author>
  </authors>
  <commentList>
    <comment ref="C72" authorId="0" shapeId="0">
      <text>
        <r>
          <rPr>
            <sz val="9"/>
            <color indexed="81"/>
            <rFont val="Segoe UI"/>
            <family val="2"/>
          </rPr>
          <t xml:space="preserve">13.12.16
</t>
        </r>
      </text>
    </comment>
    <comment ref="C92" authorId="0" shapeId="0">
      <text>
        <r>
          <rPr>
            <sz val="9"/>
            <color indexed="81"/>
            <rFont val="Segoe UI"/>
            <family val="2"/>
          </rPr>
          <t>04.01.17</t>
        </r>
      </text>
    </comment>
    <comment ref="C118" authorId="0" shapeId="0">
      <text>
        <r>
          <rPr>
            <sz val="9"/>
            <color indexed="81"/>
            <rFont val="Segoe UI"/>
            <family val="2"/>
          </rPr>
          <t>21.12.16</t>
        </r>
      </text>
    </comment>
  </commentList>
</comments>
</file>

<file path=xl/comments2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21.12.16</t>
        </r>
      </text>
    </comment>
    <comment ref="C6" authorId="0" shapeId="0">
      <text>
        <r>
          <rPr>
            <sz val="9"/>
            <color indexed="81"/>
            <rFont val="Segoe UI"/>
            <family val="2"/>
          </rPr>
          <t>03.01.17</t>
        </r>
      </text>
    </comment>
    <comment ref="C13" authorId="0" shapeId="0">
      <text>
        <r>
          <rPr>
            <sz val="9"/>
            <color indexed="81"/>
            <rFont val="Segoe UI"/>
            <family val="2"/>
          </rPr>
          <t>04.01.17</t>
        </r>
      </text>
    </comment>
    <comment ref="C14" authorId="0" shapeId="0">
      <text>
        <r>
          <rPr>
            <sz val="9"/>
            <color indexed="81"/>
            <rFont val="Segoe UI"/>
            <family val="2"/>
          </rPr>
          <t>11.01.17</t>
        </r>
      </text>
    </comment>
    <comment ref="C25" authorId="0" shapeId="0">
      <text>
        <r>
          <rPr>
            <sz val="9"/>
            <color indexed="81"/>
            <rFont val="Segoe UI"/>
            <family val="2"/>
          </rPr>
          <t>03.01.17</t>
        </r>
      </text>
    </comment>
    <comment ref="C38" authorId="0" shapeId="0">
      <text>
        <r>
          <rPr>
            <sz val="9"/>
            <color indexed="81"/>
            <rFont val="Segoe UI"/>
            <family val="2"/>
          </rPr>
          <t>31.01.17</t>
        </r>
      </text>
    </comment>
    <comment ref="C48" authorId="0" shapeId="0">
      <text>
        <r>
          <rPr>
            <sz val="9"/>
            <color indexed="81"/>
            <rFont val="Segoe UI"/>
            <family val="2"/>
          </rPr>
          <t>18.01.17</t>
        </r>
      </text>
    </comment>
    <comment ref="C50" authorId="0" shapeId="0">
      <text>
        <r>
          <rPr>
            <sz val="9"/>
            <color indexed="81"/>
            <rFont val="Segoe UI"/>
            <family val="2"/>
          </rPr>
          <t>11.01.17</t>
        </r>
      </text>
    </comment>
    <comment ref="C58" authorId="0" shapeId="0">
      <text>
        <r>
          <rPr>
            <sz val="9"/>
            <color indexed="81"/>
            <rFont val="Segoe UI"/>
            <family val="2"/>
          </rPr>
          <t>18.01.17</t>
        </r>
      </text>
    </comment>
    <comment ref="K70" authorId="0" shapeId="0">
      <text>
        <r>
          <rPr>
            <sz val="9"/>
            <color indexed="81"/>
            <rFont val="Segoe UI"/>
            <family val="2"/>
          </rPr>
          <t xml:space="preserve">
geöffnet/ nach wieder Zusammenbau
Temp Kat: 0
Cell V 13 bar: 1.854
Cell V 0 bar: 1.1.839</t>
        </r>
      </text>
    </comment>
    <comment ref="L77" authorId="0" shapeId="0">
      <text>
        <r>
          <rPr>
            <sz val="9"/>
            <color indexed="81"/>
            <rFont val="Segoe UI"/>
            <family val="2"/>
          </rPr>
          <t>Spülanlage (links mit Ausfällen)
daher viele Neustarts</t>
        </r>
      </text>
    </comment>
    <comment ref="C78" authorId="0" shapeId="0">
      <text>
        <r>
          <rPr>
            <sz val="9"/>
            <color indexed="81"/>
            <rFont val="Segoe UI"/>
            <family val="2"/>
          </rPr>
          <t>31.01.17</t>
        </r>
      </text>
    </comment>
    <comment ref="C88" authorId="0" shapeId="0">
      <text>
        <r>
          <rPr>
            <sz val="9"/>
            <color indexed="81"/>
            <rFont val="Segoe UI"/>
            <family val="2"/>
          </rPr>
          <t>08.02.17</t>
        </r>
      </text>
    </comment>
  </commentList>
</comments>
</file>

<file path=xl/comments3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01.02.17</t>
        </r>
      </text>
    </comment>
    <comment ref="C23" authorId="0" shapeId="0">
      <text>
        <r>
          <rPr>
            <sz val="9"/>
            <color indexed="81"/>
            <rFont val="Segoe UI"/>
            <family val="2"/>
          </rPr>
          <t>08.02.17</t>
        </r>
      </text>
    </comment>
    <comment ref="C33" authorId="0" shapeId="0">
      <text>
        <r>
          <rPr>
            <sz val="9"/>
            <color indexed="81"/>
            <rFont val="Segoe UI"/>
            <family val="2"/>
          </rPr>
          <t>01.02.17</t>
        </r>
      </text>
    </comment>
    <comment ref="C34" authorId="0" shapeId="0">
      <text>
        <r>
          <rPr>
            <sz val="9"/>
            <color indexed="81"/>
            <rFont val="Segoe UI"/>
            <family val="2"/>
          </rPr>
          <t>07.02.17</t>
        </r>
      </text>
    </comment>
    <comment ref="C52" authorId="0" shapeId="0">
      <text>
        <r>
          <rPr>
            <sz val="9"/>
            <color indexed="81"/>
            <rFont val="Segoe UI"/>
            <family val="2"/>
          </rPr>
          <t>08.02.17</t>
        </r>
      </text>
    </comment>
    <comment ref="C55" authorId="0" shapeId="0">
      <text>
        <r>
          <rPr>
            <sz val="9"/>
            <color indexed="81"/>
            <rFont val="Segoe UI"/>
            <family val="2"/>
          </rPr>
          <t>21.02.17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>07.02.17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15.02.17</t>
        </r>
      </text>
    </comment>
    <comment ref="C81" authorId="0" shapeId="0">
      <text>
        <r>
          <rPr>
            <sz val="9"/>
            <color indexed="81"/>
            <rFont val="Segoe UI"/>
            <family val="2"/>
          </rPr>
          <t>15.02.17</t>
        </r>
      </text>
    </comment>
    <comment ref="C97" authorId="0" shapeId="0">
      <text>
        <r>
          <rPr>
            <sz val="9"/>
            <color indexed="81"/>
            <rFont val="Segoe UI"/>
            <family val="2"/>
          </rPr>
          <t>07.03.17</t>
        </r>
      </text>
    </comment>
    <comment ref="C117" authorId="0" shapeId="0">
      <text>
        <r>
          <rPr>
            <sz val="9"/>
            <color indexed="81"/>
            <rFont val="Segoe UI"/>
            <family val="2"/>
          </rPr>
          <t>08.03.17</t>
        </r>
      </text>
    </comment>
    <comment ref="C136" authorId="0" shapeId="0">
      <text>
        <r>
          <rPr>
            <sz val="9"/>
            <color indexed="81"/>
            <rFont val="Segoe UI"/>
            <family val="2"/>
          </rPr>
          <t>22.03.17</t>
        </r>
      </text>
    </comment>
  </commentList>
</comments>
</file>

<file path=xl/comments4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21.02.17</t>
        </r>
      </text>
    </comment>
    <comment ref="C6" authorId="0" shapeId="0">
      <text>
        <r>
          <rPr>
            <sz val="9"/>
            <color indexed="81"/>
            <rFont val="Segoe UI"/>
            <family val="2"/>
          </rPr>
          <t>22.02.17</t>
        </r>
      </text>
    </comment>
    <comment ref="C11" authorId="0" shapeId="0">
      <text>
        <r>
          <rPr>
            <sz val="9"/>
            <color indexed="81"/>
            <rFont val="Segoe UI"/>
            <family val="2"/>
          </rPr>
          <t>22.03.17</t>
        </r>
      </text>
    </comment>
    <comment ref="C18" authorId="0" shapeId="0">
      <text>
        <r>
          <rPr>
            <sz val="9"/>
            <color indexed="81"/>
            <rFont val="Segoe UI"/>
            <family val="2"/>
          </rPr>
          <t>22.02.17</t>
        </r>
      </text>
    </comment>
    <comment ref="C28" authorId="0" shapeId="0">
      <text>
        <r>
          <rPr>
            <sz val="9"/>
            <color indexed="81"/>
            <rFont val="Segoe UI"/>
            <family val="2"/>
          </rPr>
          <t>22.03.17</t>
        </r>
      </text>
    </comment>
    <comment ref="C32" authorId="0" shapeId="0">
      <text>
        <r>
          <rPr>
            <sz val="9"/>
            <color indexed="81"/>
            <rFont val="Segoe UI"/>
            <family val="2"/>
          </rPr>
          <t>08.03.17</t>
        </r>
      </text>
    </comment>
    <comment ref="C33" authorId="0" shapeId="0">
      <text>
        <r>
          <rPr>
            <sz val="9"/>
            <color indexed="81"/>
            <rFont val="Segoe UI"/>
            <family val="2"/>
          </rPr>
          <t>22.02.17</t>
        </r>
      </text>
    </comment>
    <comment ref="C37" authorId="0" shapeId="0">
      <text>
        <r>
          <rPr>
            <sz val="9"/>
            <color indexed="81"/>
            <rFont val="Segoe UI"/>
            <family val="2"/>
          </rPr>
          <t>14.03.17</t>
        </r>
      </text>
    </comment>
    <comment ref="C41" authorId="0" shapeId="0">
      <text>
        <r>
          <rPr>
            <sz val="9"/>
            <color indexed="81"/>
            <rFont val="Segoe UI"/>
            <family val="2"/>
          </rPr>
          <t>22.03.17</t>
        </r>
      </text>
    </comment>
    <comment ref="C55" authorId="0" shapeId="0">
      <text>
        <r>
          <rPr>
            <sz val="9"/>
            <color indexed="81"/>
            <rFont val="Segoe UI"/>
            <family val="2"/>
          </rPr>
          <t>14.03.17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04.04.17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>14.03.17</t>
        </r>
      </text>
    </comment>
    <comment ref="C78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</commentList>
</comments>
</file>

<file path=xl/comments5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04.04.17</t>
        </r>
      </text>
    </comment>
    <comment ref="C27" authorId="0" shapeId="0">
      <text>
        <r>
          <rPr>
            <sz val="9"/>
            <color indexed="81"/>
            <rFont val="Segoe UI"/>
            <family val="2"/>
          </rPr>
          <t>05.04.17</t>
        </r>
      </text>
    </comment>
    <comment ref="C33" authorId="0" shapeId="0">
      <text>
        <r>
          <rPr>
            <sz val="9"/>
            <color indexed="81"/>
            <rFont val="Segoe UI"/>
            <family val="2"/>
          </rPr>
          <t>04.04.17</t>
        </r>
      </text>
    </comment>
    <comment ref="C34" authorId="0" shapeId="0">
      <text>
        <r>
          <rPr>
            <sz val="9"/>
            <color indexed="81"/>
            <rFont val="Segoe UI"/>
            <family val="2"/>
          </rPr>
          <t>05.04.17</t>
        </r>
      </text>
    </comment>
    <comment ref="C44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45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46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47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48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49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50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51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52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53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55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56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57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58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59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60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61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62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63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64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65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66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67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68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69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70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  <comment ref="C78" authorId="0" shapeId="0">
      <text>
        <r>
          <rPr>
            <sz val="9"/>
            <color indexed="81"/>
            <rFont val="Segoe UI"/>
            <family val="2"/>
          </rPr>
          <t>15.03.17</t>
        </r>
      </text>
    </comment>
  </commentList>
</comments>
</file>

<file path=xl/comments6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05.04.17</t>
        </r>
      </text>
    </comment>
    <comment ref="C10" authorId="0" shapeId="0">
      <text>
        <r>
          <rPr>
            <sz val="9"/>
            <color indexed="81"/>
            <rFont val="Segoe UI"/>
            <family val="2"/>
          </rPr>
          <t>25.04.17</t>
        </r>
      </text>
    </comment>
    <comment ref="C28" authorId="0" shapeId="0">
      <text>
        <r>
          <rPr>
            <sz val="9"/>
            <color indexed="81"/>
            <rFont val="Segoe UI"/>
            <family val="2"/>
          </rPr>
          <t>11.04.17</t>
        </r>
      </text>
    </comment>
    <comment ref="C42" authorId="0" shapeId="0">
      <text>
        <r>
          <rPr>
            <sz val="9"/>
            <color indexed="81"/>
            <rFont val="Segoe UI"/>
            <family val="2"/>
          </rPr>
          <t>25.04.17</t>
        </r>
      </text>
    </comment>
    <comment ref="C45" authorId="0" shapeId="0">
      <text>
        <r>
          <rPr>
            <sz val="9"/>
            <color indexed="81"/>
            <rFont val="Segoe UI"/>
            <family val="2"/>
          </rPr>
          <t>26.04.17</t>
        </r>
      </text>
    </comment>
    <comment ref="C50" authorId="0" shapeId="0">
      <text>
        <r>
          <rPr>
            <sz val="9"/>
            <color indexed="81"/>
            <rFont val="Segoe UI"/>
            <family val="2"/>
          </rPr>
          <t>11.04.17</t>
        </r>
      </text>
    </comment>
    <comment ref="C53" authorId="0" shapeId="0">
      <text>
        <r>
          <rPr>
            <sz val="9"/>
            <color indexed="81"/>
            <rFont val="Segoe UI"/>
            <family val="2"/>
          </rPr>
          <t>26.04.17</t>
        </r>
      </text>
    </comment>
    <comment ref="C67" authorId="0" shapeId="0">
      <text>
        <r>
          <rPr>
            <sz val="9"/>
            <color indexed="81"/>
            <rFont val="Segoe UI"/>
            <family val="2"/>
          </rPr>
          <t>03.05.17</t>
        </r>
      </text>
    </comment>
  </commentList>
</comments>
</file>

<file path=xl/comments7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11.01.17</t>
        </r>
      </text>
    </comment>
    <comment ref="C4" authorId="0" shapeId="0">
      <text>
        <r>
          <rPr>
            <sz val="9"/>
            <color indexed="81"/>
            <rFont val="Segoe UI"/>
            <family val="2"/>
          </rPr>
          <t>03.05.17</t>
        </r>
      </text>
    </comment>
    <comment ref="C12" authorId="0" shapeId="0">
      <text>
        <r>
          <rPr>
            <sz val="9"/>
            <color indexed="81"/>
            <rFont val="Segoe UI"/>
            <family val="2"/>
          </rPr>
          <t>06.06.17</t>
        </r>
      </text>
    </comment>
    <comment ref="C32" authorId="0" shapeId="0">
      <text>
        <r>
          <rPr>
            <sz val="9"/>
            <color indexed="81"/>
            <rFont val="Segoe UI"/>
            <family val="2"/>
          </rPr>
          <t>07.06.17</t>
        </r>
      </text>
    </comment>
    <comment ref="C36" authorId="0" shapeId="0">
      <text>
        <r>
          <rPr>
            <sz val="9"/>
            <color indexed="81"/>
            <rFont val="Segoe UI"/>
            <family val="2"/>
          </rPr>
          <t>07.02.17</t>
        </r>
      </text>
    </comment>
    <comment ref="C39" authorId="0" shapeId="0">
      <text>
        <r>
          <rPr>
            <sz val="9"/>
            <color indexed="81"/>
            <rFont val="Segoe UI"/>
            <family val="2"/>
          </rPr>
          <t>11.04.17</t>
        </r>
      </text>
    </comment>
    <comment ref="C42" authorId="0" shapeId="0">
      <text>
        <r>
          <rPr>
            <sz val="9"/>
            <color indexed="81"/>
            <rFont val="Segoe UI"/>
            <family val="2"/>
          </rPr>
          <t>19.04.17</t>
        </r>
      </text>
    </comment>
    <comment ref="C48" authorId="0" shapeId="0">
      <text>
        <r>
          <rPr>
            <sz val="9"/>
            <color indexed="81"/>
            <rFont val="Segoe UI"/>
            <family val="2"/>
          </rPr>
          <t>19.04.17</t>
        </r>
      </text>
    </comment>
    <comment ref="C66" authorId="0" shapeId="0">
      <text>
        <r>
          <rPr>
            <sz val="9"/>
            <color indexed="81"/>
            <rFont val="Segoe UI"/>
            <family val="2"/>
          </rPr>
          <t>23.05.17</t>
        </r>
      </text>
    </comment>
    <comment ref="C85" authorId="0" shapeId="0">
      <text>
        <r>
          <rPr>
            <sz val="9"/>
            <color indexed="81"/>
            <rFont val="Segoe UI"/>
            <family val="2"/>
          </rPr>
          <t>24.05.17</t>
        </r>
      </text>
    </comment>
    <comment ref="C106" authorId="0" shapeId="0">
      <text>
        <r>
          <rPr>
            <sz val="9"/>
            <color indexed="81"/>
            <rFont val="Segoe UI"/>
            <family val="2"/>
          </rPr>
          <t>07.06.17</t>
        </r>
      </text>
    </comment>
  </commentList>
</comments>
</file>

<file path=xl/comments8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07.06.17</t>
        </r>
      </text>
    </comment>
    <comment ref="C18" authorId="0" shapeId="0">
      <text>
        <r>
          <rPr>
            <sz val="9"/>
            <color indexed="81"/>
            <rFont val="Segoe UI"/>
            <family val="2"/>
          </rPr>
          <t>27.06.17</t>
        </r>
      </text>
    </comment>
    <comment ref="C38" authorId="0" shapeId="0">
      <text>
        <r>
          <rPr>
            <sz val="9"/>
            <color indexed="81"/>
            <rFont val="Segoe UI"/>
            <family val="2"/>
          </rPr>
          <t>28.06.17</t>
        </r>
      </text>
    </comment>
    <comment ref="C53" authorId="0" shapeId="0">
      <text>
        <r>
          <rPr>
            <sz val="9"/>
            <color indexed="81"/>
            <rFont val="Segoe UI"/>
            <family val="2"/>
          </rPr>
          <t>24.05.17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05.07.17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11.07.17</t>
        </r>
      </text>
    </comment>
    <comment ref="C83" authorId="0" shapeId="0">
      <text>
        <r>
          <rPr>
            <sz val="9"/>
            <color indexed="81"/>
            <rFont val="Segoe UI"/>
            <family val="2"/>
          </rPr>
          <t>23.05.17</t>
        </r>
      </text>
    </comment>
    <comment ref="C84" authorId="0" shapeId="0">
      <text>
        <r>
          <rPr>
            <sz val="9"/>
            <color indexed="81"/>
            <rFont val="Segoe UI"/>
            <family val="2"/>
          </rPr>
          <t>11.07.17</t>
        </r>
      </text>
    </comment>
    <comment ref="C88" authorId="0" shapeId="0">
      <text>
        <r>
          <rPr>
            <sz val="9"/>
            <color indexed="81"/>
            <rFont val="Segoe UI"/>
            <family val="2"/>
          </rPr>
          <t>08.08.17</t>
        </r>
      </text>
    </comment>
    <comment ref="C91" authorId="0" shapeId="0">
      <text>
        <r>
          <rPr>
            <sz val="9"/>
            <color indexed="81"/>
            <rFont val="Segoe UI"/>
            <family val="2"/>
          </rPr>
          <t>11.07.17</t>
        </r>
      </text>
    </comment>
    <comment ref="C95" authorId="0" shapeId="0">
      <text>
        <r>
          <rPr>
            <sz val="9"/>
            <color indexed="81"/>
            <rFont val="Segoe UI"/>
            <family val="2"/>
          </rPr>
          <t>08.08.17</t>
        </r>
      </text>
    </comment>
  </commentList>
</comments>
</file>

<file path=xl/comments9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11.07.17</t>
        </r>
      </text>
    </comment>
    <comment ref="C6" authorId="0" shapeId="0">
      <text>
        <r>
          <rPr>
            <sz val="9"/>
            <color indexed="81"/>
            <rFont val="Segoe UI"/>
            <family val="2"/>
          </rPr>
          <t>08.08.17</t>
        </r>
      </text>
    </comment>
    <comment ref="C21" authorId="0" shapeId="0">
      <text>
        <r>
          <rPr>
            <sz val="9"/>
            <color indexed="81"/>
            <rFont val="Segoe UI"/>
            <family val="2"/>
          </rPr>
          <t>28.06.17</t>
        </r>
      </text>
    </comment>
    <comment ref="C26" authorId="0" shapeId="0">
      <text>
        <r>
          <rPr>
            <sz val="9"/>
            <color indexed="81"/>
            <rFont val="Segoe UI"/>
            <family val="2"/>
          </rPr>
          <t>18.07.17</t>
        </r>
      </text>
    </comment>
  </commentList>
</comments>
</file>

<file path=xl/comments10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18.07.17</t>
        </r>
      </text>
    </comment>
    <comment ref="C19" authorId="0" shapeId="0">
      <text>
        <r>
          <rPr>
            <sz val="9"/>
            <color indexed="81"/>
            <rFont val="Segoe UI"/>
            <family val="2"/>
          </rPr>
          <t>25.07.17</t>
        </r>
      </text>
    </comment>
    <comment ref="C37" authorId="0" shapeId="0">
      <text>
        <r>
          <rPr>
            <sz val="9"/>
            <color indexed="81"/>
            <rFont val="Segoe UI"/>
            <family val="2"/>
          </rPr>
          <t>22.03.17</t>
        </r>
      </text>
    </comment>
    <comment ref="C40" authorId="0" shapeId="0">
      <text>
        <r>
          <rPr>
            <sz val="9"/>
            <color indexed="81"/>
            <rFont val="Segoe UI"/>
            <family val="2"/>
          </rPr>
          <t>25.07.17</t>
        </r>
      </text>
    </comment>
    <comment ref="C41" authorId="0" shapeId="0">
      <text>
        <r>
          <rPr>
            <sz val="9"/>
            <color indexed="81"/>
            <rFont val="Segoe UI"/>
            <family val="2"/>
          </rPr>
          <t>13.09.17</t>
        </r>
      </text>
    </comment>
    <comment ref="C52" authorId="0" shapeId="0">
      <text>
        <r>
          <rPr>
            <sz val="9"/>
            <color indexed="81"/>
            <rFont val="Segoe UI"/>
            <family val="2"/>
          </rPr>
          <t>09.08.17</t>
        </r>
      </text>
    </comment>
    <comment ref="C61" authorId="0" shapeId="0">
      <text>
        <r>
          <rPr>
            <sz val="9"/>
            <color indexed="81"/>
            <rFont val="Segoe UI"/>
            <family val="2"/>
          </rPr>
          <t>09.08.17</t>
        </r>
      </text>
    </comment>
    <comment ref="C65" authorId="0" shapeId="0">
      <text>
        <r>
          <rPr>
            <sz val="9"/>
            <color indexed="81"/>
            <rFont val="Segoe UI"/>
            <family val="2"/>
          </rPr>
          <t>05.09.17</t>
        </r>
      </text>
    </comment>
    <comment ref="C66" authorId="0" shapeId="0">
      <text>
        <r>
          <rPr>
            <sz val="9"/>
            <color indexed="81"/>
            <rFont val="Segoe UI"/>
            <family val="2"/>
          </rPr>
          <t>09.08.17</t>
        </r>
      </text>
    </comment>
    <comment ref="C70" authorId="0" shapeId="0">
      <text>
        <r>
          <rPr>
            <sz val="9"/>
            <color indexed="81"/>
            <rFont val="Segoe UI"/>
            <family val="2"/>
          </rPr>
          <t>09.08.17</t>
        </r>
      </text>
    </comment>
    <comment ref="C73" authorId="0" shapeId="0">
      <text>
        <r>
          <rPr>
            <sz val="9"/>
            <color indexed="81"/>
            <rFont val="Segoe UI"/>
            <family val="2"/>
          </rPr>
          <t>05.09.17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09.08.17</t>
        </r>
      </text>
    </comment>
    <comment ref="C83" authorId="0" shapeId="0">
      <text>
        <r>
          <rPr>
            <sz val="9"/>
            <color indexed="81"/>
            <rFont val="Segoe UI"/>
            <family val="2"/>
          </rPr>
          <t>05.09.17</t>
        </r>
      </text>
    </comment>
    <comment ref="C84" authorId="0" shapeId="0">
      <text>
        <r>
          <rPr>
            <sz val="9"/>
            <color indexed="81"/>
            <rFont val="Segoe UI"/>
            <family val="2"/>
          </rPr>
          <t>09.08.17</t>
        </r>
      </text>
    </comment>
    <comment ref="C86" authorId="0" shapeId="0">
      <text>
        <r>
          <rPr>
            <sz val="9"/>
            <color indexed="81"/>
            <rFont val="Segoe UI"/>
            <family val="2"/>
          </rPr>
          <t>05.09.17</t>
        </r>
      </text>
    </comment>
    <comment ref="C96" authorId="0" shapeId="0">
      <text>
        <r>
          <rPr>
            <sz val="9"/>
            <color indexed="81"/>
            <rFont val="Segoe UI"/>
            <family val="2"/>
          </rPr>
          <t>05.09.17</t>
        </r>
      </text>
    </comment>
  </commentList>
</comments>
</file>

<file path=xl/comments11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05.09.17</t>
        </r>
      </text>
    </comment>
    <comment ref="C9" authorId="0" shapeId="0">
      <text>
        <r>
          <rPr>
            <sz val="9"/>
            <color indexed="81"/>
            <rFont val="Segoe UI"/>
            <family val="2"/>
          </rPr>
          <t>12.09.17</t>
        </r>
      </text>
    </comment>
    <comment ref="C29" authorId="0" shapeId="0">
      <text>
        <r>
          <rPr>
            <sz val="9"/>
            <color indexed="81"/>
            <rFont val="Segoe UI"/>
            <family val="2"/>
          </rPr>
          <t>13.09.17</t>
        </r>
      </text>
    </comment>
    <comment ref="C33" authorId="0" shapeId="0">
      <text>
        <r>
          <rPr>
            <sz val="9"/>
            <color indexed="81"/>
            <rFont val="Segoe UI"/>
            <family val="2"/>
          </rPr>
          <t>31.10.17</t>
        </r>
      </text>
    </comment>
    <comment ref="C35" authorId="0" shapeId="0">
      <text>
        <r>
          <rPr>
            <sz val="9"/>
            <color indexed="81"/>
            <rFont val="Segoe UI"/>
            <family val="2"/>
          </rPr>
          <t>13.09.17</t>
        </r>
      </text>
    </comment>
    <comment ref="C39" authorId="0" shapeId="0">
      <text>
        <r>
          <rPr>
            <sz val="9"/>
            <color indexed="81"/>
            <rFont val="Segoe UI"/>
            <family val="2"/>
          </rPr>
          <t>25.10.17</t>
        </r>
      </text>
    </comment>
    <comment ref="C59" authorId="0" shapeId="0">
      <text>
        <r>
          <rPr>
            <sz val="9"/>
            <color indexed="81"/>
            <rFont val="Segoe UI"/>
            <family val="2"/>
          </rPr>
          <t>31.10.17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>07.11.17</t>
        </r>
      </text>
    </comment>
    <comment ref="C73" authorId="0" shapeId="0">
      <text>
        <r>
          <rPr>
            <sz val="9"/>
            <color indexed="81"/>
            <rFont val="Segoe UI"/>
            <family val="2"/>
          </rPr>
          <t>13.09.17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31.10.17</t>
        </r>
      </text>
    </comment>
    <comment ref="C77" authorId="0" shapeId="0">
      <text>
        <r>
          <rPr>
            <sz val="9"/>
            <color indexed="81"/>
            <rFont val="Segoe UI"/>
            <family val="2"/>
          </rPr>
          <t>07.11.17</t>
        </r>
      </text>
    </comment>
    <comment ref="C96" authorId="0" shapeId="0">
      <text>
        <r>
          <rPr>
            <sz val="9"/>
            <color indexed="81"/>
            <rFont val="Segoe UI"/>
            <family val="2"/>
          </rPr>
          <t>08.11.17</t>
        </r>
      </text>
    </comment>
  </commentList>
</comments>
</file>

<file path=xl/comments12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08.11.17</t>
        </r>
      </text>
    </comment>
    <comment ref="C6" authorId="0" shapeId="0">
      <text>
        <r>
          <rPr>
            <sz val="9"/>
            <color indexed="81"/>
            <rFont val="Segoe UI"/>
            <family val="2"/>
          </rPr>
          <t>13.09.17</t>
        </r>
      </text>
    </comment>
    <comment ref="C7" authorId="0" shapeId="0">
      <text>
        <r>
          <rPr>
            <sz val="9"/>
            <color indexed="81"/>
            <rFont val="Segoe UI"/>
            <family val="2"/>
          </rPr>
          <t>25.10.17</t>
        </r>
      </text>
    </comment>
    <comment ref="C9" authorId="0" shapeId="0">
      <text>
        <r>
          <rPr>
            <sz val="9"/>
            <color indexed="81"/>
            <rFont val="Segoe UI"/>
            <family val="2"/>
          </rPr>
          <t>08.11.17</t>
        </r>
      </text>
    </comment>
    <comment ref="C14" authorId="0" shapeId="0">
      <text>
        <r>
          <rPr>
            <sz val="9"/>
            <color indexed="81"/>
            <rFont val="Segoe UI"/>
            <family val="2"/>
          </rPr>
          <t>22.11.17</t>
        </r>
      </text>
    </comment>
    <comment ref="C22" authorId="0" shapeId="0">
      <text>
        <r>
          <rPr>
            <sz val="9"/>
            <color indexed="81"/>
            <rFont val="Segoe UI"/>
            <family val="2"/>
          </rPr>
          <t>08.02.17</t>
        </r>
      </text>
    </comment>
    <comment ref="C25" authorId="0" shapeId="0">
      <text>
        <r>
          <rPr>
            <sz val="9"/>
            <color indexed="81"/>
            <rFont val="Segoe UI"/>
            <family val="2"/>
          </rPr>
          <t>21.02.17</t>
        </r>
      </text>
    </comment>
    <comment ref="C30" authorId="0" shapeId="0">
      <text>
        <r>
          <rPr>
            <sz val="9"/>
            <color indexed="81"/>
            <rFont val="Segoe UI"/>
            <family val="2"/>
          </rPr>
          <t>22.02.17</t>
        </r>
      </text>
    </comment>
    <comment ref="C34" authorId="0" shapeId="0">
      <text>
        <r>
          <rPr>
            <sz val="9"/>
            <color indexed="81"/>
            <rFont val="Segoe UI"/>
            <family val="2"/>
          </rPr>
          <t>22.02.17</t>
        </r>
      </text>
    </comment>
    <comment ref="C36" authorId="0" shapeId="0">
      <text>
        <r>
          <rPr>
            <sz val="9"/>
            <color indexed="81"/>
            <rFont val="Segoe UI"/>
            <family val="2"/>
          </rPr>
          <t>21.12.16</t>
        </r>
      </text>
    </comment>
    <comment ref="C39" authorId="0" shapeId="0">
      <text>
        <r>
          <rPr>
            <sz val="9"/>
            <color indexed="81"/>
            <rFont val="Segoe UI"/>
            <family val="2"/>
          </rPr>
          <t>12.09.17</t>
        </r>
      </text>
    </comment>
    <comment ref="C40" authorId="0" shapeId="0">
      <text>
        <r>
          <rPr>
            <sz val="9"/>
            <color indexed="81"/>
            <rFont val="Segoe UI"/>
            <family val="2"/>
          </rPr>
          <t>31.01.17</t>
        </r>
      </text>
    </comment>
    <comment ref="C41" authorId="0" shapeId="0">
      <text>
        <r>
          <rPr>
            <sz val="9"/>
            <color indexed="81"/>
            <rFont val="Segoe UI"/>
            <family val="2"/>
          </rPr>
          <t>14.11.17</t>
        </r>
      </text>
    </comment>
    <comment ref="C42" authorId="0" shapeId="0">
      <text>
        <r>
          <rPr>
            <sz val="9"/>
            <color indexed="81"/>
            <rFont val="Segoe UI"/>
            <family val="2"/>
          </rPr>
          <t>22.11.17</t>
        </r>
      </text>
    </comment>
    <comment ref="C52" authorId="0" shapeId="0">
      <text>
        <r>
          <rPr>
            <sz val="9"/>
            <color indexed="81"/>
            <rFont val="Segoe UI"/>
            <family val="2"/>
          </rPr>
          <t>12.09.17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14.11.17</t>
        </r>
      </text>
    </comment>
    <comment ref="C60" authorId="0" shapeId="0">
      <text>
        <r>
          <rPr>
            <sz val="9"/>
            <color indexed="81"/>
            <rFont val="Segoe UI"/>
            <family val="2"/>
          </rPr>
          <t>22.11.17</t>
        </r>
      </text>
    </comment>
    <comment ref="C62" authorId="0" shapeId="0">
      <text>
        <r>
          <rPr>
            <sz val="9"/>
            <color indexed="81"/>
            <rFont val="Segoe UI"/>
            <family val="2"/>
          </rPr>
          <t>29.11.17</t>
        </r>
      </text>
    </comment>
  </commentList>
</comments>
</file>

<file path=xl/sharedStrings.xml><?xml version="1.0" encoding="utf-8"?>
<sst xmlns="http://schemas.openxmlformats.org/spreadsheetml/2006/main" count="4119" uniqueCount="1241">
  <si>
    <t>Cell
#</t>
  </si>
  <si>
    <t>FA 
#</t>
  </si>
  <si>
    <t xml:space="preserve">Bemerkungen
</t>
  </si>
  <si>
    <t xml:space="preserve">Visum
</t>
  </si>
  <si>
    <t>Temp Kat / [°C]</t>
  </si>
  <si>
    <t>Typ</t>
  </si>
  <si>
    <t>Voltage Diff. / [V]</t>
  </si>
  <si>
    <t>Cell V
@ 0 bar [V]</t>
  </si>
  <si>
    <t>Membran # ¦ Batch #</t>
  </si>
  <si>
    <t>17A-0001Z</t>
  </si>
  <si>
    <t>16K-0006M</t>
  </si>
  <si>
    <t>17A-0002Z</t>
  </si>
  <si>
    <t>16K-0007M</t>
  </si>
  <si>
    <t>17A-0003Z</t>
  </si>
  <si>
    <t>16K-0008M</t>
  </si>
  <si>
    <t>17A-0004Z</t>
  </si>
  <si>
    <t>16K-0009M</t>
  </si>
  <si>
    <t>17A-0005Z</t>
  </si>
  <si>
    <t>16K-0010M</t>
  </si>
  <si>
    <t>17A-0006Z</t>
  </si>
  <si>
    <t>16K-0011M</t>
  </si>
  <si>
    <t>17A-0007Z</t>
  </si>
  <si>
    <t>16K-0012M</t>
  </si>
  <si>
    <t>17A-0008Z</t>
  </si>
  <si>
    <t>16K-0013M</t>
  </si>
  <si>
    <t>17A-0009Z</t>
  </si>
  <si>
    <t>16K-0014M</t>
  </si>
  <si>
    <t>17A-0010Z</t>
  </si>
  <si>
    <t>16K-0015M</t>
  </si>
  <si>
    <t>17A-0011Z</t>
  </si>
  <si>
    <t>16K-0113M</t>
  </si>
  <si>
    <t>16K-0114M</t>
  </si>
  <si>
    <t>17A-0012Z</t>
  </si>
  <si>
    <t>16K-0115M</t>
  </si>
  <si>
    <t>16K-0116M</t>
  </si>
  <si>
    <t>17A-0013Z</t>
  </si>
  <si>
    <t>16K-0117M</t>
  </si>
  <si>
    <t>16K-0118M</t>
  </si>
  <si>
    <t>17A-0014Z</t>
  </si>
  <si>
    <t>16K-0119M</t>
  </si>
  <si>
    <t>16K-0120M</t>
  </si>
  <si>
    <t>"</t>
  </si>
  <si>
    <t>16L-0026M</t>
  </si>
  <si>
    <t>17A-0015Z</t>
  </si>
  <si>
    <t>16K-0121M</t>
  </si>
  <si>
    <t>16K-0122M</t>
  </si>
  <si>
    <t>17A-0016Z</t>
  </si>
  <si>
    <t>16K-0123M</t>
  </si>
  <si>
    <t>16K-0124M</t>
  </si>
  <si>
    <t>17A-0017Z</t>
  </si>
  <si>
    <t>16K-0125M</t>
  </si>
  <si>
    <t>16K-0126M</t>
  </si>
  <si>
    <t>17A-0018Z</t>
  </si>
  <si>
    <t>16K-0127M</t>
  </si>
  <si>
    <t>16K-0128M</t>
  </si>
  <si>
    <t>17A-0019Z</t>
  </si>
  <si>
    <t>16K-0129M</t>
  </si>
  <si>
    <t>16K-0130M</t>
  </si>
  <si>
    <t>17A-0020Z</t>
  </si>
  <si>
    <t>16L-0001M</t>
  </si>
  <si>
    <t>16L-0002M</t>
  </si>
  <si>
    <t>17A-0021Z</t>
  </si>
  <si>
    <t>16L-0003M</t>
  </si>
  <si>
    <t>16L-0004M</t>
  </si>
  <si>
    <t>17A-0022Z</t>
  </si>
  <si>
    <t>16L-0005M</t>
  </si>
  <si>
    <t>16L-0006M</t>
  </si>
  <si>
    <t>17A-0023Z</t>
  </si>
  <si>
    <t>16L-0007M</t>
  </si>
  <si>
    <t>16L-0008M</t>
  </si>
  <si>
    <t>17A-0024Z</t>
  </si>
  <si>
    <t>16L-0009M</t>
  </si>
  <si>
    <t>16L-0010M</t>
  </si>
  <si>
    <t>17A-0025Z</t>
  </si>
  <si>
    <t>16L-0011M</t>
  </si>
  <si>
    <t>17A-0026Z</t>
  </si>
  <si>
    <t>16L-0012M</t>
  </si>
  <si>
    <t>17A-0027Z</t>
  </si>
  <si>
    <t>16L-0013M</t>
  </si>
  <si>
    <t>17A-0028Z</t>
  </si>
  <si>
    <t>16L-0014M</t>
  </si>
  <si>
    <t>17A-0029Z</t>
  </si>
  <si>
    <t>16L-0015M</t>
  </si>
  <si>
    <t>17A-0030Z</t>
  </si>
  <si>
    <t>16L-0016M</t>
  </si>
  <si>
    <t>17A-0031Z</t>
  </si>
  <si>
    <t>16L-0017M</t>
  </si>
  <si>
    <t>17A-0032Z</t>
  </si>
  <si>
    <t>16L-0018M</t>
  </si>
  <si>
    <t>17A-0033Z</t>
  </si>
  <si>
    <t>16L-0019M</t>
  </si>
  <si>
    <t>17A-0034Z</t>
  </si>
  <si>
    <t>16L-0020M</t>
  </si>
  <si>
    <t>17A-0035Z</t>
  </si>
  <si>
    <t>16L-0021M</t>
  </si>
  <si>
    <t>17A-0036Z</t>
  </si>
  <si>
    <t>16L-0022M</t>
  </si>
  <si>
    <t>17A-0037Z</t>
  </si>
  <si>
    <t>17A-0038Z</t>
  </si>
  <si>
    <t>16L-0023M</t>
  </si>
  <si>
    <t>17A-0039Z</t>
  </si>
  <si>
    <t>16L-0024M</t>
  </si>
  <si>
    <t>17A-0040Z</t>
  </si>
  <si>
    <t>16L-0025M</t>
  </si>
  <si>
    <t>17A-0041Z</t>
  </si>
  <si>
    <t>16L-0027M</t>
  </si>
  <si>
    <t>17A-0042Z</t>
  </si>
  <si>
    <t>16L-0028M</t>
  </si>
  <si>
    <t>17A-0043Z</t>
  </si>
  <si>
    <t>16L-0029M</t>
  </si>
  <si>
    <t>17A-0044Z</t>
  </si>
  <si>
    <t>16L-0030M</t>
  </si>
  <si>
    <t>17A-0045Z</t>
  </si>
  <si>
    <t>16K-0091M</t>
  </si>
  <si>
    <t>17A-0046Z</t>
  </si>
  <si>
    <t>16K-0092M</t>
  </si>
  <si>
    <t>17A-0047Z</t>
  </si>
  <si>
    <t>16K-0093M</t>
  </si>
  <si>
    <t>17A-0048Z</t>
  </si>
  <si>
    <t>16K-0094M</t>
  </si>
  <si>
    <t>17A-0049Z</t>
  </si>
  <si>
    <t>16K-0081M</t>
  </si>
  <si>
    <t>17A-0050Z</t>
  </si>
  <si>
    <t>16K-0082M</t>
  </si>
  <si>
    <t>17A-0051Z</t>
  </si>
  <si>
    <t>16K-0083M</t>
  </si>
  <si>
    <t>17A-0052Z</t>
  </si>
  <si>
    <t>16K-0084M</t>
  </si>
  <si>
    <t>17A-0053Z</t>
  </si>
  <si>
    <t>FA700977</t>
  </si>
  <si>
    <t>17A-0054Z</t>
  </si>
  <si>
    <t>17A-0055Z</t>
  </si>
  <si>
    <t>17A-0056Z</t>
  </si>
  <si>
    <t>17A-0057Z</t>
  </si>
  <si>
    <t>17A-0058Z</t>
  </si>
  <si>
    <t>17A-0059Z</t>
  </si>
  <si>
    <t>17A-0060Z</t>
  </si>
  <si>
    <t>17A-0061Z</t>
  </si>
  <si>
    <t>17A-0062Z</t>
  </si>
  <si>
    <t>17A-0063Z</t>
  </si>
  <si>
    <t>17A-0064Z</t>
  </si>
  <si>
    <t>17A-0065Z</t>
  </si>
  <si>
    <t>17A-0066Z</t>
  </si>
  <si>
    <t>17A-0067Z</t>
  </si>
  <si>
    <t>17A-0068Z</t>
  </si>
  <si>
    <t>17A-0069Z</t>
  </si>
  <si>
    <t>17A-0070Z</t>
  </si>
  <si>
    <t>17A-0071Z</t>
  </si>
  <si>
    <t>17A-0072Z</t>
  </si>
  <si>
    <t>17A-0073Z</t>
  </si>
  <si>
    <t>17A-0074Z-R</t>
  </si>
  <si>
    <t>17A-0075Z-R</t>
  </si>
  <si>
    <t>17A-0076Z-R</t>
  </si>
  <si>
    <t>17A-0077Z-R</t>
  </si>
  <si>
    <t>17A-0078Z-R</t>
  </si>
  <si>
    <t>17A-0079Z-R</t>
  </si>
  <si>
    <t>17A-0080Z-R</t>
  </si>
  <si>
    <t>16K-0016M</t>
  </si>
  <si>
    <t>17A-0081Z</t>
  </si>
  <si>
    <t>16K-0017M</t>
  </si>
  <si>
    <t>17A-0082Z</t>
  </si>
  <si>
    <t>16K-0018M</t>
  </si>
  <si>
    <t>17A-0083Z</t>
  </si>
  <si>
    <t>16K-0019M</t>
  </si>
  <si>
    <t>17A-0084Z</t>
  </si>
  <si>
    <t>16K-0020M</t>
  </si>
  <si>
    <t>17A-0085Z</t>
  </si>
  <si>
    <t>FA700973</t>
  </si>
  <si>
    <t>17A-0086Z</t>
  </si>
  <si>
    <t>17A-0087Z</t>
  </si>
  <si>
    <t>17A-0088Z</t>
  </si>
  <si>
    <t>17A-0089Z</t>
  </si>
  <si>
    <t>17A-0090Z</t>
  </si>
  <si>
    <t>17A-0091Z</t>
  </si>
  <si>
    <t>17A-0092Z</t>
  </si>
  <si>
    <t>17A-0093Z</t>
  </si>
  <si>
    <t>17A-0094Z</t>
  </si>
  <si>
    <t>17A-0095Z</t>
  </si>
  <si>
    <t>17A-0096Z</t>
  </si>
  <si>
    <t>17A-0097Z</t>
  </si>
  <si>
    <t>17A-0098Z</t>
  </si>
  <si>
    <t>17A-0099Z</t>
  </si>
  <si>
    <t>17A-0100Z</t>
  </si>
  <si>
    <t>MI V3</t>
  </si>
  <si>
    <t>FA700938</t>
  </si>
  <si>
    <t>MU2 V1</t>
  </si>
  <si>
    <t>FA701147</t>
  </si>
  <si>
    <t>FA700798</t>
  </si>
  <si>
    <t>FA701149</t>
  </si>
  <si>
    <t>MU1 V1</t>
  </si>
  <si>
    <t>FA701184</t>
  </si>
  <si>
    <t>FA700594</t>
  </si>
  <si>
    <t>FA701148</t>
  </si>
  <si>
    <t>FA701173</t>
  </si>
  <si>
    <t>FA701335</t>
  </si>
  <si>
    <t>MU3 V1</t>
  </si>
  <si>
    <t>FA701253</t>
  </si>
  <si>
    <t>MA-V1-R</t>
  </si>
  <si>
    <t>FA701333</t>
  </si>
  <si>
    <t>FA701336</t>
  </si>
  <si>
    <t>MI V2</t>
  </si>
  <si>
    <t>FA701334</t>
  </si>
  <si>
    <t>FA701172</t>
  </si>
  <si>
    <t xml:space="preserve"> ab16K-0006M zus. Säure</t>
  </si>
  <si>
    <t>Carmen i.O.</t>
  </si>
  <si>
    <t>nach Membranenwechsel (knapp geschnitten) Temp19.9/ 15.9</t>
  </si>
  <si>
    <t xml:space="preserve">auf Testsystem ca. 30 Std laufenlassen </t>
  </si>
  <si>
    <t>Membrane je 1Std in Lauge</t>
  </si>
  <si>
    <t>TMenge 1 von20</t>
  </si>
  <si>
    <t>Membrane knapp geschnitten</t>
  </si>
  <si>
    <t>TMenge 2von16</t>
  </si>
  <si>
    <t>normal</t>
  </si>
  <si>
    <t>Test: Membrane 3. Lauge / T-Menge 19 von 20</t>
  </si>
  <si>
    <t>3. Lauge</t>
  </si>
  <si>
    <t xml:space="preserve">nach 90 min. Kat.Temp: 23.2  ; V- Dif 0.007 </t>
  </si>
  <si>
    <t>RestMenge 14von16</t>
  </si>
  <si>
    <t>nach 0.5 Std= 45⁰</t>
  </si>
  <si>
    <t>nach mehrmaligem Start (10Min) / Stop (min.30 sek.)</t>
  </si>
  <si>
    <t>vormals T0611240</t>
  </si>
  <si>
    <t>vormals 1210-3638</t>
  </si>
  <si>
    <t>vormals S1211-2413</t>
  </si>
  <si>
    <t>(Gravur unter Kleber: 1211-3673 )</t>
  </si>
  <si>
    <t>vormals 1410-5312A</t>
  </si>
  <si>
    <t>vormals ohne Nr</t>
  </si>
  <si>
    <t>Ersatz f. 16H-0036Z-R</t>
  </si>
  <si>
    <t>vormals NV1402-1888</t>
  </si>
  <si>
    <t>17B-0001Z</t>
  </si>
  <si>
    <t>17B-0002Z</t>
  </si>
  <si>
    <t>17B-0003Z</t>
  </si>
  <si>
    <t>17B-0004Z</t>
  </si>
  <si>
    <t>FA701047</t>
  </si>
  <si>
    <t>17B-0005Z</t>
  </si>
  <si>
    <t>17B-0006Z</t>
  </si>
  <si>
    <t>17B-0007Z</t>
  </si>
  <si>
    <t>17B-0008Z</t>
  </si>
  <si>
    <t>17B-0009Z</t>
  </si>
  <si>
    <t>17B-0010Z</t>
  </si>
  <si>
    <t>17B-0011Z</t>
  </si>
  <si>
    <t>17B-0012Z</t>
  </si>
  <si>
    <t>17B-0013Z</t>
  </si>
  <si>
    <t>17B-0014Z</t>
  </si>
  <si>
    <t>17B-0015Z</t>
  </si>
  <si>
    <t>17B-0016Z</t>
  </si>
  <si>
    <t>17B-0017Z</t>
  </si>
  <si>
    <t>17B-0018Z</t>
  </si>
  <si>
    <t>17B-0019Z</t>
  </si>
  <si>
    <t>17B-0020Z</t>
  </si>
  <si>
    <t>17B-0021Z</t>
  </si>
  <si>
    <t>17B-0022Z-R</t>
  </si>
  <si>
    <t>17B-0023Z-R</t>
  </si>
  <si>
    <t>16H-0012Z</t>
  </si>
  <si>
    <t>17B-0024Z</t>
  </si>
  <si>
    <t>FA701049</t>
  </si>
  <si>
    <t>17B-0025Z</t>
  </si>
  <si>
    <t>17B-0026Z</t>
  </si>
  <si>
    <t>17B-0027Z</t>
  </si>
  <si>
    <t>17B-0028Z</t>
  </si>
  <si>
    <t>17B-0029Z</t>
  </si>
  <si>
    <t>17B-0030Z</t>
  </si>
  <si>
    <t>17B-0031Z</t>
  </si>
  <si>
    <t>17B-0032Z</t>
  </si>
  <si>
    <t>17B-0033Z</t>
  </si>
  <si>
    <t>17B-0034Z</t>
  </si>
  <si>
    <t>17B-0035Z</t>
  </si>
  <si>
    <t>17B-0036Z</t>
  </si>
  <si>
    <t>17B-0037Z</t>
  </si>
  <si>
    <t>17B-0038Z</t>
  </si>
  <si>
    <t>16K-0085M</t>
  </si>
  <si>
    <t>17B-0039Z</t>
  </si>
  <si>
    <t>17B-0040Z</t>
  </si>
  <si>
    <t>17B-0041Z</t>
  </si>
  <si>
    <t>17B-0042Z</t>
  </si>
  <si>
    <t>17B-0043Z</t>
  </si>
  <si>
    <t>17B-0044Z</t>
  </si>
  <si>
    <t>17B-0045Z</t>
  </si>
  <si>
    <t>17B-0046Z</t>
  </si>
  <si>
    <t>17B-0047Z</t>
  </si>
  <si>
    <t>17B-0048Z</t>
  </si>
  <si>
    <t>17B-0049Z</t>
  </si>
  <si>
    <t>17B-0050Z-R</t>
  </si>
  <si>
    <t>17B-0051Z-R</t>
  </si>
  <si>
    <t>16K-0096M</t>
  </si>
  <si>
    <t>17B-0052Z</t>
  </si>
  <si>
    <t>16J-0046M</t>
  </si>
  <si>
    <t>17B-0053Z</t>
  </si>
  <si>
    <t>17B-0054Z</t>
  </si>
  <si>
    <t>17B-0055Z</t>
  </si>
  <si>
    <t>17B-0056Z</t>
  </si>
  <si>
    <t>17B-0057Z</t>
  </si>
  <si>
    <t>17B-0058Z</t>
  </si>
  <si>
    <t>17B-0059Z</t>
  </si>
  <si>
    <t>17B-0060Z</t>
  </si>
  <si>
    <t>17B-0061Z</t>
  </si>
  <si>
    <t>17B-0062Z</t>
  </si>
  <si>
    <t>17B-0063Z</t>
  </si>
  <si>
    <t>FA701093</t>
  </si>
  <si>
    <t>17B-0064Z</t>
  </si>
  <si>
    <t>17B-0065Z</t>
  </si>
  <si>
    <t>17B-0066Z</t>
  </si>
  <si>
    <t>17B-0067Z</t>
  </si>
  <si>
    <t>17B-0068Z</t>
  </si>
  <si>
    <t>17B-0069Z</t>
  </si>
  <si>
    <t>17B-0070Z</t>
  </si>
  <si>
    <t>16K-0086M</t>
  </si>
  <si>
    <t>16K-0087M</t>
  </si>
  <si>
    <t>16K-0088M</t>
  </si>
  <si>
    <t>17B-0071Z</t>
  </si>
  <si>
    <t>16K-0089M</t>
  </si>
  <si>
    <t>16K-0090M</t>
  </si>
  <si>
    <t>16K-0095M</t>
  </si>
  <si>
    <t>17B-0072Z</t>
  </si>
  <si>
    <t>16K-0097M</t>
  </si>
  <si>
    <t>16K-0098M</t>
  </si>
  <si>
    <t>16K-0099M</t>
  </si>
  <si>
    <t>MU-12</t>
  </si>
  <si>
    <t>FA700918</t>
  </si>
  <si>
    <t>MI V1-R</t>
  </si>
  <si>
    <t>FA701353</t>
  </si>
  <si>
    <t xml:space="preserve"> vormals 11081888 (unter Kleber 1106850)</t>
  </si>
  <si>
    <t>vormals 11111992 (unter Kleber 1107936)</t>
  </si>
  <si>
    <t>MI V3-R</t>
  </si>
  <si>
    <t>FA701356</t>
  </si>
  <si>
    <t>vormals 16H-0012Z</t>
  </si>
  <si>
    <t>MU2</t>
  </si>
  <si>
    <t>FA701252</t>
  </si>
  <si>
    <t>neue Membrane</t>
  </si>
  <si>
    <t>Faden</t>
  </si>
  <si>
    <t>Kratzer</t>
  </si>
  <si>
    <t>MU1</t>
  </si>
  <si>
    <t>FA701417</t>
  </si>
  <si>
    <t>vormals 1510-6015A</t>
  </si>
  <si>
    <t>vormals 1601-6121A</t>
  </si>
  <si>
    <t>FA701177</t>
  </si>
  <si>
    <t>FA701422</t>
  </si>
  <si>
    <t xml:space="preserve">neues Flies </t>
  </si>
  <si>
    <t>MU3</t>
  </si>
  <si>
    <t>FA701425</t>
  </si>
  <si>
    <t>17C-0001Z</t>
  </si>
  <si>
    <t>16K-0100M</t>
  </si>
  <si>
    <t>FA701095</t>
  </si>
  <si>
    <t>17C-0002Z</t>
  </si>
  <si>
    <t>17C-0003Z</t>
  </si>
  <si>
    <t>17C-0004Z</t>
  </si>
  <si>
    <t>17C-0005Z</t>
  </si>
  <si>
    <t>17C-0006Z</t>
  </si>
  <si>
    <t>17C-0007Z</t>
  </si>
  <si>
    <t>17C-0008Z</t>
  </si>
  <si>
    <t>17C-0009Z</t>
  </si>
  <si>
    <t>17C-0010Z</t>
  </si>
  <si>
    <t>17C-0011Z-R</t>
  </si>
  <si>
    <t>17C-0012Z-R</t>
  </si>
  <si>
    <t>17C-0013Z-R</t>
  </si>
  <si>
    <t>MA V2- R</t>
  </si>
  <si>
    <t>?</t>
  </si>
  <si>
    <t>vormals 1308-4384</t>
  </si>
  <si>
    <t>vormals 1308-4401</t>
  </si>
  <si>
    <t>vormals 1412-5419</t>
  </si>
  <si>
    <t>FA701427</t>
  </si>
  <si>
    <t>17C-0014Z</t>
  </si>
  <si>
    <t>FA701428</t>
  </si>
  <si>
    <t>Jahr:</t>
  </si>
  <si>
    <t>Membrane V
@ 13 bar/[V]</t>
  </si>
  <si>
    <t>Cell V
@ 13 bar/[V]</t>
  </si>
  <si>
    <t>PEEK- Stützring/ laserd Disc's</t>
  </si>
  <si>
    <t>Vlies filzig</t>
  </si>
  <si>
    <t>vormals 1504-2381A</t>
  </si>
  <si>
    <t>vormals 1509-2576</t>
  </si>
  <si>
    <t>vormals 1510-2633</t>
  </si>
  <si>
    <t>17C-0016Z-R</t>
  </si>
  <si>
    <t>17C-0017Z-R</t>
  </si>
  <si>
    <t>17C-0018Z</t>
  </si>
  <si>
    <t>17C-0019Z</t>
  </si>
  <si>
    <t>17C-0020Z</t>
  </si>
  <si>
    <t>17C-0021Z</t>
  </si>
  <si>
    <t>17C-0022Z</t>
  </si>
  <si>
    <t>17C-0023Z</t>
  </si>
  <si>
    <t>17C-0024Z</t>
  </si>
  <si>
    <t>FA701509</t>
  </si>
  <si>
    <t>FA701510</t>
  </si>
  <si>
    <t>FA701511</t>
  </si>
  <si>
    <t>FA701512</t>
  </si>
  <si>
    <t>FA701096</t>
  </si>
  <si>
    <t>17C-0025Z</t>
  </si>
  <si>
    <t>17C-0026Z</t>
  </si>
  <si>
    <t>17C-0027Z</t>
  </si>
  <si>
    <t>17C-0028Z</t>
  </si>
  <si>
    <t>M2-1604-077</t>
  </si>
  <si>
    <t>SS-Vliese= rostig</t>
  </si>
  <si>
    <t>17C-0029Z</t>
  </si>
  <si>
    <t>17C-0030Z</t>
  </si>
  <si>
    <t>17C-0031Z</t>
  </si>
  <si>
    <t>FA701365</t>
  </si>
  <si>
    <t>FA701357</t>
  </si>
  <si>
    <t>17C-0032Z</t>
  </si>
  <si>
    <t>17C-0033Z</t>
  </si>
  <si>
    <t>17C-0034Z</t>
  </si>
  <si>
    <t>17C-0035Z</t>
  </si>
  <si>
    <t>17C-0036Z</t>
  </si>
  <si>
    <t>17C-0037Z</t>
  </si>
  <si>
    <t>17C-0038Z</t>
  </si>
  <si>
    <t>17C-0039Z</t>
  </si>
  <si>
    <t>17C-0040Z</t>
  </si>
  <si>
    <t>17C-0041Z</t>
  </si>
  <si>
    <t>ab 17C-0026Z neues Pl. Ch.-Nr 3502</t>
  </si>
  <si>
    <t>17C-0015Z-R</t>
  </si>
  <si>
    <t>FA701154</t>
  </si>
  <si>
    <t>17C-0042Z</t>
  </si>
  <si>
    <t>17C-0043Z</t>
  </si>
  <si>
    <t>17C-0044Z</t>
  </si>
  <si>
    <t>17C-0045Z</t>
  </si>
  <si>
    <t>17C-0046Z</t>
  </si>
  <si>
    <t>17C-0047Z</t>
  </si>
  <si>
    <t>17C-0048Z</t>
  </si>
  <si>
    <t>17C-0049Z</t>
  </si>
  <si>
    <t>17C-0050Z</t>
  </si>
  <si>
    <t>17C-0051Z</t>
  </si>
  <si>
    <t>17C-0052Z</t>
  </si>
  <si>
    <t>17C-0053Z</t>
  </si>
  <si>
    <t>FA701097</t>
  </si>
  <si>
    <t>FA701795</t>
  </si>
  <si>
    <t>B20-0240</t>
  </si>
  <si>
    <t>B20-0241</t>
  </si>
  <si>
    <t>B20-0242</t>
  </si>
  <si>
    <t>17C-0054Z</t>
  </si>
  <si>
    <t>17C-0055Z</t>
  </si>
  <si>
    <t>17C-0056Z</t>
  </si>
  <si>
    <t>neues Iridium</t>
  </si>
  <si>
    <t>M3-1606-117-R</t>
  </si>
  <si>
    <t>Rost, hohe Spannung; SS H-Elektrode durch Ti ersetzt</t>
  </si>
  <si>
    <t>vormals M3-1606-117</t>
  </si>
  <si>
    <t>FA701826</t>
  </si>
  <si>
    <t>M1-1605-090</t>
  </si>
  <si>
    <t>keine neue Nr.</t>
  </si>
  <si>
    <t>vormals 1405-5017</t>
  </si>
  <si>
    <t>17C-0057Z-R</t>
  </si>
  <si>
    <t>MA-V2</t>
  </si>
  <si>
    <t>17C-0058Z</t>
  </si>
  <si>
    <t>17C-0059Z</t>
  </si>
  <si>
    <t>17C-0060Z</t>
  </si>
  <si>
    <t>FA701098</t>
  </si>
  <si>
    <t>FA701827</t>
  </si>
  <si>
    <t>Mem. Knapp geschn.</t>
  </si>
  <si>
    <t>17C-0061Z</t>
  </si>
  <si>
    <t>17C-0062Z</t>
  </si>
  <si>
    <t>17C-0063Z</t>
  </si>
  <si>
    <t>FA701852</t>
  </si>
  <si>
    <t>FA701695</t>
  </si>
  <si>
    <t>FA701099</t>
  </si>
  <si>
    <t>17C-0064Z</t>
  </si>
  <si>
    <t>17C-0065Z</t>
  </si>
  <si>
    <t>17C-0066Z</t>
  </si>
  <si>
    <t>17C-0067Z</t>
  </si>
  <si>
    <t>17C-0068Z</t>
  </si>
  <si>
    <t>17C-0069Z</t>
  </si>
  <si>
    <t>17C-0070Z</t>
  </si>
  <si>
    <t>17C-0071Z</t>
  </si>
  <si>
    <t>17C-0072Z</t>
  </si>
  <si>
    <t>17C-0073Z</t>
  </si>
  <si>
    <t>17C-0074Z</t>
  </si>
  <si>
    <t>FA701694</t>
  </si>
  <si>
    <t>Memb. Kratzer</t>
  </si>
  <si>
    <t>Memb. Faden</t>
  </si>
  <si>
    <t>Memb. kl. Faden</t>
  </si>
  <si>
    <t>17D-0001Z</t>
  </si>
  <si>
    <t>17D-0002Z</t>
  </si>
  <si>
    <t>17C-0075Z</t>
  </si>
  <si>
    <t>17C-0076Z</t>
  </si>
  <si>
    <t>17C-0077Z</t>
  </si>
  <si>
    <t>17C-0078Z</t>
  </si>
  <si>
    <t>17C-0079Z</t>
  </si>
  <si>
    <t>17C-0080Z</t>
  </si>
  <si>
    <t>FA701100</t>
  </si>
  <si>
    <t>17D-0003Z</t>
  </si>
  <si>
    <t>17D-0004Z</t>
  </si>
  <si>
    <t>17D-0005Z</t>
  </si>
  <si>
    <t>17D-0006Z</t>
  </si>
  <si>
    <t>17D-0007Z</t>
  </si>
  <si>
    <t>17D-0008Z</t>
  </si>
  <si>
    <t>FA700908</t>
  </si>
  <si>
    <t>FA701857</t>
  </si>
  <si>
    <t>Ersatz für M3-1512-0032</t>
  </si>
  <si>
    <t>17D-0009Z</t>
  </si>
  <si>
    <t>17D-0010Z</t>
  </si>
  <si>
    <t>17D-0011Z</t>
  </si>
  <si>
    <t>17D-0012Z</t>
  </si>
  <si>
    <t>17D-0013Z</t>
  </si>
  <si>
    <t>Membrane Kratzer</t>
  </si>
  <si>
    <t>FA701150</t>
  </si>
  <si>
    <t>17D-0014Z</t>
  </si>
  <si>
    <t>17D-0015Z</t>
  </si>
  <si>
    <t>17D-0016Z</t>
  </si>
  <si>
    <t>17D-0017Z</t>
  </si>
  <si>
    <t>17D-0018Z</t>
  </si>
  <si>
    <t>17D-0019Z</t>
  </si>
  <si>
    <t>17D-0020Z</t>
  </si>
  <si>
    <t>17D-0021Z</t>
  </si>
  <si>
    <t>17D-0022Z</t>
  </si>
  <si>
    <t>17D-0023Z</t>
  </si>
  <si>
    <t>2 kleine Flecken und kl. Kratzer</t>
  </si>
  <si>
    <t>/ auf Spülstation Zellspannung ist &gt;2V/ Membrane gewechselt</t>
  </si>
  <si>
    <t>FA701902</t>
  </si>
  <si>
    <t>FA701901</t>
  </si>
  <si>
    <t>MI-V2-R</t>
  </si>
  <si>
    <t>17D-0024Z-R</t>
  </si>
  <si>
    <t>17D-0025Z-R</t>
  </si>
  <si>
    <t>17D-0026Z-R</t>
  </si>
  <si>
    <t>17D-0027Z-R</t>
  </si>
  <si>
    <t>17D-0028Z-R</t>
  </si>
  <si>
    <t>17D-0029Z-R</t>
  </si>
  <si>
    <t>vormals: 0711-0099</t>
  </si>
  <si>
    <t>vormals: 0711-0101</t>
  </si>
  <si>
    <t>vormals: 0811-1241A</t>
  </si>
  <si>
    <t>vormals: 1301-3808A</t>
  </si>
  <si>
    <t>vormals: 1403-4892A</t>
  </si>
  <si>
    <t>vormals: 1511-2639</t>
  </si>
  <si>
    <t>17D-0030Z-R</t>
  </si>
  <si>
    <t>17D-0031Z-R</t>
  </si>
  <si>
    <t>17D-0032Z-R</t>
  </si>
  <si>
    <t>FA701903</t>
  </si>
  <si>
    <t>vormals: 1505-2269</t>
  </si>
  <si>
    <t>vormals: 1505-2396</t>
  </si>
  <si>
    <t>vormals: 1507-2484</t>
  </si>
  <si>
    <t>FA701905</t>
  </si>
  <si>
    <t>Ersatz für MI-V1 17B-0023Z-R</t>
  </si>
  <si>
    <t>Ersatz für MI-V1 17B-0022Z-R</t>
  </si>
  <si>
    <t>FA701904</t>
  </si>
  <si>
    <t>17D-0033Z</t>
  </si>
  <si>
    <t>17D-0034Z</t>
  </si>
  <si>
    <t>17D-0035Z</t>
  </si>
  <si>
    <t>FA701408</t>
  </si>
  <si>
    <t>17D-0036Z</t>
  </si>
  <si>
    <t>19.04.2017: 0.7/ 1.928/ 1.920</t>
  </si>
  <si>
    <t>19.04.2017: 0.8/ 1.913/ 1.906</t>
  </si>
  <si>
    <t>17D-0037Z</t>
  </si>
  <si>
    <t>17D-0038Z</t>
  </si>
  <si>
    <t>17D-0039Z</t>
  </si>
  <si>
    <t>17D-0040Z</t>
  </si>
  <si>
    <t>17D-0041Z</t>
  </si>
  <si>
    <t>17D-0042Z</t>
  </si>
  <si>
    <t>FA701151</t>
  </si>
  <si>
    <t>Ersatz für MA's-V2-R 1502-5558/ 1502-5559</t>
  </si>
  <si>
    <t>17D-0043Z</t>
  </si>
  <si>
    <t>17D-0044Z</t>
  </si>
  <si>
    <t>17D-0045Z</t>
  </si>
  <si>
    <t>17D-0046Z</t>
  </si>
  <si>
    <t>17D-0047Z</t>
  </si>
  <si>
    <t>17D-0048Z</t>
  </si>
  <si>
    <t>17D-0049Z</t>
  </si>
  <si>
    <t>17D-0050Z</t>
  </si>
  <si>
    <t>17D-0051Z</t>
  </si>
  <si>
    <t>17D-0052Z</t>
  </si>
  <si>
    <t>Memb.: Faden</t>
  </si>
  <si>
    <t>38.4°</t>
  </si>
  <si>
    <t>FA701908</t>
  </si>
  <si>
    <t>vormals: T0706710</t>
  </si>
  <si>
    <t>FA701236</t>
  </si>
  <si>
    <t xml:space="preserve">2. Messung mit manuel. Spülstops/ ohne Kurzschl. </t>
  </si>
  <si>
    <t>2. Messungen</t>
  </si>
  <si>
    <t>17D-0053Z-R</t>
  </si>
  <si>
    <t>17D-0054Z</t>
  </si>
  <si>
    <t>17D-0055Z</t>
  </si>
  <si>
    <t>17D-0056Z</t>
  </si>
  <si>
    <t>17D-0057Z</t>
  </si>
  <si>
    <t>17D-0058Z</t>
  </si>
  <si>
    <t>17D-0059Z</t>
  </si>
  <si>
    <t>17D-0060Z</t>
  </si>
  <si>
    <t>17D-0061Z</t>
  </si>
  <si>
    <t>FA701409</t>
  </si>
  <si>
    <t>17E-0001Z</t>
  </si>
  <si>
    <t>17E-0002Z</t>
  </si>
  <si>
    <t>17E-0003Z</t>
  </si>
  <si>
    <t>17E-0004Z</t>
  </si>
  <si>
    <t>17E-0005Z</t>
  </si>
  <si>
    <t>17E-0006Z</t>
  </si>
  <si>
    <t>17E-0007Z</t>
  </si>
  <si>
    <t>17E-0008Z</t>
  </si>
  <si>
    <t>Memb.: kleiner Faden</t>
  </si>
  <si>
    <r>
      <t xml:space="preserve">2. Messung/ nach 2. Spü. mit </t>
    </r>
    <r>
      <rPr>
        <sz val="10"/>
        <color rgb="FF00B050"/>
        <rFont val="Verdana"/>
        <family val="2"/>
      </rPr>
      <t>auto.</t>
    </r>
    <r>
      <rPr>
        <sz val="10"/>
        <color theme="3" tint="0.39997558519241921"/>
        <rFont val="Verdana"/>
        <family val="2"/>
      </rPr>
      <t xml:space="preserve"> Spülstops/ ohne Kurzschl. </t>
    </r>
  </si>
  <si>
    <r>
      <t>2. Messung/ nach 2. Spü. mit</t>
    </r>
    <r>
      <rPr>
        <sz val="10"/>
        <color rgb="FF00B050"/>
        <rFont val="Verdana"/>
        <family val="2"/>
      </rPr>
      <t xml:space="preserve"> man.</t>
    </r>
    <r>
      <rPr>
        <sz val="10"/>
        <color theme="3" tint="0.39997558519241921"/>
        <rFont val="Verdana"/>
        <family val="2"/>
      </rPr>
      <t xml:space="preserve"> Spülstops/ ohne Kurzschl. </t>
    </r>
  </si>
  <si>
    <r>
      <t>mit</t>
    </r>
    <r>
      <rPr>
        <sz val="10"/>
        <color rgb="FF00B050"/>
        <rFont val="Verdana"/>
        <family val="2"/>
      </rPr>
      <t xml:space="preserve"> man.</t>
    </r>
    <r>
      <rPr>
        <sz val="10"/>
        <color theme="3" tint="0.39997558519241921"/>
        <rFont val="Verdana"/>
        <family val="2"/>
      </rPr>
      <t xml:space="preserve"> Spülstops/ ohne Kurzschl. </t>
    </r>
  </si>
  <si>
    <r>
      <t xml:space="preserve">mit </t>
    </r>
    <r>
      <rPr>
        <sz val="10"/>
        <color rgb="FF00B050"/>
        <rFont val="Verdana"/>
        <family val="2"/>
      </rPr>
      <t>auto.</t>
    </r>
    <r>
      <rPr>
        <sz val="10"/>
        <color theme="3" tint="0.39997558519241921"/>
        <rFont val="Verdana"/>
        <family val="2"/>
      </rPr>
      <t xml:space="preserve"> Spülstops/ ohne Kurzschl. </t>
    </r>
  </si>
  <si>
    <t>FA701153</t>
  </si>
  <si>
    <t>17E-0009Z</t>
  </si>
  <si>
    <t>17E-0010Z</t>
  </si>
  <si>
    <t>17E-0011Z</t>
  </si>
  <si>
    <t>17E-0012Z</t>
  </si>
  <si>
    <t>17E-0013Z</t>
  </si>
  <si>
    <t>FA701237</t>
  </si>
  <si>
    <t>vormals: 1210-3625</t>
  </si>
  <si>
    <t>vormals: 1409-5236A</t>
  </si>
  <si>
    <t>vormals: 1601-6113A</t>
  </si>
  <si>
    <t>vormals: 1601-6114A</t>
  </si>
  <si>
    <t>vormals: 1404-4671A</t>
  </si>
  <si>
    <t xml:space="preserve">Membrane: Rand 2mm verschoben, + kleines Punktloch </t>
  </si>
  <si>
    <t>FA701920</t>
  </si>
  <si>
    <t>FA701919</t>
  </si>
  <si>
    <t>Ø knapp geschnitten</t>
  </si>
  <si>
    <t>ab Membrane Nr19 neues Pl. Lot-MKBJ3600  (keine Membrane mit Nr19 beschriftet)</t>
  </si>
  <si>
    <t>17E-0014Z-R</t>
  </si>
  <si>
    <t>17E-0015Z-R</t>
  </si>
  <si>
    <t>17E-0016Z-R</t>
  </si>
  <si>
    <t>Temp?</t>
  </si>
  <si>
    <t>17E-0017Z-R</t>
  </si>
  <si>
    <t>17E-0018Z-R</t>
  </si>
  <si>
    <t>17E-0019Z-R</t>
  </si>
  <si>
    <t>MA-V2-R</t>
  </si>
  <si>
    <t>vormals: 1311-4621</t>
  </si>
  <si>
    <r>
      <t>anschliessend mit</t>
    </r>
    <r>
      <rPr>
        <sz val="10"/>
        <color rgb="FF00B050"/>
        <rFont val="Verdana"/>
        <family val="2"/>
      </rPr>
      <t xml:space="preserve"> man.</t>
    </r>
    <r>
      <rPr>
        <sz val="10"/>
        <color theme="3" tint="0.39997558519241921"/>
        <rFont val="Verdana"/>
        <family val="2"/>
      </rPr>
      <t xml:space="preserve"> Spülstops/ ohne Kurzschl. </t>
    </r>
  </si>
  <si>
    <t>konstant 20min: 0.4-1.2°</t>
  </si>
  <si>
    <t>innerhalb 15min max. 0.7°</t>
  </si>
  <si>
    <t>3/ 20° +..</t>
  </si>
  <si>
    <t>innerhalb 30min max. 0.9°</t>
  </si>
  <si>
    <t>FA701921</t>
  </si>
  <si>
    <t>17E-0020Z-R</t>
  </si>
  <si>
    <t>17E-0021Z-R</t>
  </si>
  <si>
    <t>17E-0022Z-R</t>
  </si>
  <si>
    <t>FA701924</t>
  </si>
  <si>
    <t>vormals: 1307-4292A</t>
  </si>
  <si>
    <t>vormals: 1501-5502A</t>
  </si>
  <si>
    <t>vormals: 1501-5503A</t>
  </si>
  <si>
    <t>16J-0001Z-R</t>
  </si>
  <si>
    <t>B24-0396</t>
  </si>
  <si>
    <t>B24-0397</t>
  </si>
  <si>
    <t>B24-0398</t>
  </si>
  <si>
    <t>ohne</t>
  </si>
  <si>
    <t>vormals: 16J-0001Z</t>
  </si>
  <si>
    <t>17E-0023Z</t>
  </si>
  <si>
    <t>17E-0024Z</t>
  </si>
  <si>
    <t>17E-0025Z</t>
  </si>
  <si>
    <t>17E-0026Z</t>
  </si>
  <si>
    <t>17E-0027Z</t>
  </si>
  <si>
    <t>17E-0028Z</t>
  </si>
  <si>
    <t>17E-0029Z</t>
  </si>
  <si>
    <t>17E-0031Z</t>
  </si>
  <si>
    <t>17E-0030Z</t>
  </si>
  <si>
    <t>17E-0032Z</t>
  </si>
  <si>
    <t>neue NAFION-Folie</t>
  </si>
  <si>
    <t>17E-0033Z</t>
  </si>
  <si>
    <t>17E-0035Z</t>
  </si>
  <si>
    <t>17E-0034Z</t>
  </si>
  <si>
    <t>17E-0036Z</t>
  </si>
  <si>
    <t>17E-0037Z</t>
  </si>
  <si>
    <t>17E-0038Z</t>
  </si>
  <si>
    <t>17E-0039Z</t>
  </si>
  <si>
    <t>17E-0040Z</t>
  </si>
  <si>
    <t>17E-0041Z</t>
  </si>
  <si>
    <t>17E-0042Z</t>
  </si>
  <si>
    <t>Membranen in Säure gereinigt,</t>
  </si>
  <si>
    <t xml:space="preserve">Spannung zu hoch </t>
  </si>
  <si>
    <t>FA701912</t>
  </si>
  <si>
    <t>laserd Discs/ PEEK-Stützringe</t>
  </si>
  <si>
    <t>FA701900</t>
  </si>
  <si>
    <t>1.932/1.926</t>
  </si>
  <si>
    <t>17E-0043Z</t>
  </si>
  <si>
    <t>17E-0044Z</t>
  </si>
  <si>
    <t>17E-0045Z</t>
  </si>
  <si>
    <t>17E-0046Z</t>
  </si>
  <si>
    <t>17E-0047Z</t>
  </si>
  <si>
    <t>17E-0048Z</t>
  </si>
  <si>
    <t>17E-0049Z</t>
  </si>
  <si>
    <t>17E-0050Z</t>
  </si>
  <si>
    <t>17E-0051Z</t>
  </si>
  <si>
    <t>Spülanlage "autostops" V1.0</t>
  </si>
  <si>
    <t>Spülanlage "autostops" V1.1</t>
  </si>
  <si>
    <t>FA702030</t>
  </si>
  <si>
    <t xml:space="preserve">2.5V/ verschmutzt </t>
  </si>
  <si>
    <t>16J-0013M</t>
  </si>
  <si>
    <t>16J-0049Z-R</t>
  </si>
  <si>
    <t xml:space="preserve">   vormals: 16J-0049Z        "</t>
  </si>
  <si>
    <t>17E-0052Z</t>
  </si>
  <si>
    <t>17E-0053Z</t>
  </si>
  <si>
    <t>17E-0054Z</t>
  </si>
  <si>
    <t>17E-0055Z</t>
  </si>
  <si>
    <t>17E-0056Z</t>
  </si>
  <si>
    <t>17E-0057Z</t>
  </si>
  <si>
    <t>17E-0058Z</t>
  </si>
  <si>
    <t>17E-0059Z</t>
  </si>
  <si>
    <t>Membrane: Faden</t>
  </si>
  <si>
    <t>17F-0001Z</t>
  </si>
  <si>
    <t>17F-0002Z</t>
  </si>
  <si>
    <t>17F-0003Z</t>
  </si>
  <si>
    <t>FA701186</t>
  </si>
  <si>
    <t>MU12</t>
  </si>
  <si>
    <t>H2 Prod / [nmL/A]</t>
  </si>
  <si>
    <t>Gasfluss / [sccm / min]</t>
  </si>
  <si>
    <t>Anzahl Layer</t>
  </si>
  <si>
    <t>Strom / [A]</t>
  </si>
  <si>
    <t>Typen</t>
  </si>
  <si>
    <t>Layer</t>
  </si>
  <si>
    <t>FA701860</t>
  </si>
  <si>
    <t>17F-0004Z</t>
  </si>
  <si>
    <t>17F-0005Z</t>
  </si>
  <si>
    <t>FA701872</t>
  </si>
  <si>
    <t>FA701873</t>
  </si>
  <si>
    <t>17F-0006Z</t>
  </si>
  <si>
    <t>17F-0007Z</t>
  </si>
  <si>
    <t>17F-0008Z</t>
  </si>
  <si>
    <t>17F-0009Z</t>
  </si>
  <si>
    <t>M1-1604-062</t>
  </si>
  <si>
    <t>n/a</t>
  </si>
  <si>
    <t>war 2.5V/ verschmutzt   -Membrane in Säure-</t>
  </si>
  <si>
    <t>Spülanlage "autostops" V1.1; während Nacht ohne Stops</t>
  </si>
  <si>
    <t>Membrane: kleiner Tropfen</t>
  </si>
  <si>
    <t>Messung auf Spülanlage nach ca. 30 Std</t>
  </si>
  <si>
    <t>17F-0011Z</t>
  </si>
  <si>
    <t>17F-0012Z</t>
  </si>
  <si>
    <t>17F-0013Z</t>
  </si>
  <si>
    <t>FA701410</t>
  </si>
  <si>
    <t>FA702080</t>
  </si>
  <si>
    <t>17F-0014Z</t>
  </si>
  <si>
    <t>17F-0015Z</t>
  </si>
  <si>
    <t>17F-0016Z</t>
  </si>
  <si>
    <t>17F-0017Z</t>
  </si>
  <si>
    <t>17F-0018Z</t>
  </si>
  <si>
    <t>17F-0019Z</t>
  </si>
  <si>
    <t>17F-0020Z</t>
  </si>
  <si>
    <t>17F-0021Z</t>
  </si>
  <si>
    <t>17F-0022Z</t>
  </si>
  <si>
    <t>Temp Umgebung T2 / [°C]</t>
  </si>
  <si>
    <t>Temp Kat T1-T2 / [°C]</t>
  </si>
  <si>
    <t>17F-0023Z</t>
  </si>
  <si>
    <t>bei 30 A/ 5 bar</t>
  </si>
  <si>
    <t>17F-0010Z-R</t>
  </si>
  <si>
    <t>FA702110</t>
  </si>
  <si>
    <t>von Me. Nr. 14 Neue Filterplatte  (F)</t>
  </si>
  <si>
    <t xml:space="preserve">     man. Spülstops</t>
  </si>
  <si>
    <t>FA702111</t>
  </si>
  <si>
    <t>FA701861</t>
  </si>
  <si>
    <t>MI_V3</t>
  </si>
  <si>
    <t>MA_V1</t>
  </si>
  <si>
    <t>MA_V2</t>
  </si>
  <si>
    <t>MI_V1</t>
  </si>
  <si>
    <t>MI_V2</t>
  </si>
  <si>
    <t xml:space="preserve">&gt; 3.5V  vormals: 1501-2259 </t>
  </si>
  <si>
    <t>vormals:0711-0100</t>
  </si>
  <si>
    <t>vormals:0711-0102</t>
  </si>
  <si>
    <t>vormals: 0907-1659A</t>
  </si>
  <si>
    <t>vormals: 1311-4559A</t>
  </si>
  <si>
    <t>vormals: 1312-4769A</t>
  </si>
  <si>
    <t>17F-0024Z-R</t>
  </si>
  <si>
    <t>17F-0025Z-R</t>
  </si>
  <si>
    <t>17F-0026Z-R</t>
  </si>
  <si>
    <t>17F-0027Z-R</t>
  </si>
  <si>
    <t>17F-0028Z-R</t>
  </si>
  <si>
    <t>17F-0029Z-R</t>
  </si>
  <si>
    <t>17F-0030Z-R</t>
  </si>
  <si>
    <t>17F-0031Z-R</t>
  </si>
  <si>
    <t>17F-0032Z-R</t>
  </si>
  <si>
    <t>FA702114</t>
  </si>
  <si>
    <t>FA702112</t>
  </si>
  <si>
    <t>FA702113</t>
  </si>
  <si>
    <t>" (Memb: kleiner Faden)</t>
  </si>
  <si>
    <t>vormals: 1511-2651</t>
  </si>
  <si>
    <t xml:space="preserve"> Mem. neue Filterplatte </t>
  </si>
  <si>
    <t>17F-0033Z</t>
  </si>
  <si>
    <t>17F-0034Z</t>
  </si>
  <si>
    <t>FA702160</t>
  </si>
  <si>
    <t>FA702057</t>
  </si>
  <si>
    <t>17F-0035Z</t>
  </si>
  <si>
    <t>17F-0036Z</t>
  </si>
  <si>
    <t>17F-0037Z</t>
  </si>
  <si>
    <t>17F-0038Z</t>
  </si>
  <si>
    <t>17F-0039Z</t>
  </si>
  <si>
    <t xml:space="preserve">vormals:1510-6037 </t>
  </si>
  <si>
    <t>FA702159</t>
  </si>
  <si>
    <t>17F-0040Z</t>
  </si>
  <si>
    <t>neues Platin               "</t>
  </si>
  <si>
    <t xml:space="preserve">neues Platin </t>
  </si>
  <si>
    <t xml:space="preserve">neues Platin/ neue Nafion-Lösung </t>
  </si>
  <si>
    <t>vormals:1401-4799</t>
  </si>
  <si>
    <t>vormals:1403-4917</t>
  </si>
  <si>
    <t>17F-0041Z</t>
  </si>
  <si>
    <t>FA701983</t>
  </si>
  <si>
    <t>FA701862</t>
  </si>
  <si>
    <t>neues Platin/ neue Nafion-Lösung/</t>
  </si>
  <si>
    <t xml:space="preserve"> neue Nafion-Folie </t>
  </si>
  <si>
    <t>17F-0042Z</t>
  </si>
  <si>
    <t>17F-0043Z</t>
  </si>
  <si>
    <t>17F-0044Z</t>
  </si>
  <si>
    <t>17F-0045Z</t>
  </si>
  <si>
    <t>FA702255</t>
  </si>
  <si>
    <t>17B-0035Z-R</t>
  </si>
  <si>
    <t>17G-0001Z-R</t>
  </si>
  <si>
    <t>vormals: 17B-0035Z</t>
  </si>
  <si>
    <t>vormals: 1510-6043</t>
  </si>
  <si>
    <t>17G-0002Z</t>
  </si>
  <si>
    <t>FA702313</t>
  </si>
  <si>
    <t>FA702312</t>
  </si>
  <si>
    <t>17G-0003Z</t>
  </si>
  <si>
    <t>17G-0004Z</t>
  </si>
  <si>
    <t>17G-0005Z</t>
  </si>
  <si>
    <t>FA701863</t>
  </si>
  <si>
    <t>17G-0006Z</t>
  </si>
  <si>
    <t>17G-0007Z</t>
  </si>
  <si>
    <t>17G-0008Z</t>
  </si>
  <si>
    <t>17G-0009Z</t>
  </si>
  <si>
    <t>17G-0010Z</t>
  </si>
  <si>
    <t>17G-0011Z</t>
  </si>
  <si>
    <t>17G-0013Z</t>
  </si>
  <si>
    <t>17G-0012Z</t>
  </si>
  <si>
    <t>17G-0014Z</t>
  </si>
  <si>
    <t>FA701910</t>
  </si>
  <si>
    <t>H-seitig lasered Disc</t>
  </si>
  <si>
    <t>17G-0015Z</t>
  </si>
  <si>
    <t>17G-0016Z</t>
  </si>
  <si>
    <t>17G-0017Z</t>
  </si>
  <si>
    <t>17G-0019Z</t>
  </si>
  <si>
    <t>17G-0020Z</t>
  </si>
  <si>
    <t>17G-0021Z</t>
  </si>
  <si>
    <t>17G-0023Z</t>
  </si>
  <si>
    <t>17G-0022Z</t>
  </si>
  <si>
    <t>17G-0018Z</t>
  </si>
  <si>
    <t>FA701864</t>
  </si>
  <si>
    <t>Alle Mem. leicht transparente Stellen</t>
  </si>
  <si>
    <t>nur Nachmessung</t>
  </si>
  <si>
    <t>Lasered Disc's    PEEK Stützring</t>
  </si>
  <si>
    <t xml:space="preserve">                </t>
  </si>
  <si>
    <t>17G-0024Z</t>
  </si>
  <si>
    <t>17G-0025Z</t>
  </si>
  <si>
    <t>17G-0026Z</t>
  </si>
  <si>
    <t>17G-0027Z</t>
  </si>
  <si>
    <t>17G-0028Z</t>
  </si>
  <si>
    <t>17G-0029Z</t>
  </si>
  <si>
    <t>17G-0030Z</t>
  </si>
  <si>
    <t>17G-0031Z</t>
  </si>
  <si>
    <t>17G-0032Z</t>
  </si>
  <si>
    <t>17G-0033Z</t>
  </si>
  <si>
    <t>FA701907</t>
  </si>
  <si>
    <t>FA701954</t>
  </si>
  <si>
    <t>17G-0034Z</t>
  </si>
  <si>
    <t>17G-0035Z</t>
  </si>
  <si>
    <t>17G-0036Z</t>
  </si>
  <si>
    <t>17G-0037Z</t>
  </si>
  <si>
    <t>17G-0038Z</t>
  </si>
  <si>
    <t>17G-0039Z</t>
  </si>
  <si>
    <t>17G-0040Z</t>
  </si>
  <si>
    <t>17G-0041Z</t>
  </si>
  <si>
    <t>17G-0042Z</t>
  </si>
  <si>
    <t>17G-0043Z</t>
  </si>
  <si>
    <t>I24-3094</t>
  </si>
  <si>
    <t>17G-0044Z</t>
  </si>
  <si>
    <t>17G-0045Z</t>
  </si>
  <si>
    <t>17G-0046Z</t>
  </si>
  <si>
    <t>FA701913</t>
  </si>
  <si>
    <t>17G-0047Z</t>
  </si>
  <si>
    <t>17G-0048Z</t>
  </si>
  <si>
    <t>17G-0049Z</t>
  </si>
  <si>
    <t>17G-0050Z</t>
  </si>
  <si>
    <t>17G-0051Z</t>
  </si>
  <si>
    <t>17G-0052Z</t>
  </si>
  <si>
    <t>17G-0053Z</t>
  </si>
  <si>
    <t>17G-0054Z</t>
  </si>
  <si>
    <t>17G-0055Z</t>
  </si>
  <si>
    <t>17G-0056Z</t>
  </si>
  <si>
    <t>17G-0057Z</t>
  </si>
  <si>
    <t>17G-0058Z</t>
  </si>
  <si>
    <t>17G-0059Z</t>
  </si>
  <si>
    <t xml:space="preserve">Mem. kleine Punktlöcher </t>
  </si>
  <si>
    <t>nicht gespült</t>
  </si>
  <si>
    <t>gespült</t>
  </si>
  <si>
    <t>17G-0060Z</t>
  </si>
  <si>
    <t>17G-0061Z</t>
  </si>
  <si>
    <t>FA702033</t>
  </si>
  <si>
    <t>17G-0062Z</t>
  </si>
  <si>
    <t>17G-0063Z</t>
  </si>
  <si>
    <t>17G-0064Z</t>
  </si>
  <si>
    <t>17G-0065Z</t>
  </si>
  <si>
    <t>17G-0066Z</t>
  </si>
  <si>
    <t>17G-0067Z</t>
  </si>
  <si>
    <t>17G-0068Z</t>
  </si>
  <si>
    <t>17G-0069Z</t>
  </si>
  <si>
    <t>17G-0070Z</t>
  </si>
  <si>
    <t>17G-0071Z</t>
  </si>
  <si>
    <t>17G-0072Z</t>
  </si>
  <si>
    <t>17G-0073Z</t>
  </si>
  <si>
    <t>17G-0074Z</t>
  </si>
  <si>
    <t>17G-0075Z</t>
  </si>
  <si>
    <t>17G-0076Z</t>
  </si>
  <si>
    <t>17G-0077Z</t>
  </si>
  <si>
    <t>FA701914</t>
  </si>
  <si>
    <t>Mem. grosses Punktloch</t>
  </si>
  <si>
    <t>Mem. wie oben</t>
  </si>
  <si>
    <t>17G-0078Z</t>
  </si>
  <si>
    <t>17G-0079Z</t>
  </si>
  <si>
    <t>17G-0080Z</t>
  </si>
  <si>
    <t>17G-0081Z</t>
  </si>
  <si>
    <t>17G-0082Z</t>
  </si>
  <si>
    <t>17G-0083Z</t>
  </si>
  <si>
    <t>FA702370</t>
  </si>
  <si>
    <t>FA702371</t>
  </si>
  <si>
    <t>FA701152</t>
  </si>
  <si>
    <t>17H-0001Z</t>
  </si>
  <si>
    <t>17H-0002Z</t>
  </si>
  <si>
    <t>B20-0234</t>
  </si>
  <si>
    <t>B20-0235</t>
  </si>
  <si>
    <t>B20-0236</t>
  </si>
  <si>
    <t>vormals: 17C-0010Z</t>
  </si>
  <si>
    <t>M3-1606-115-R</t>
  </si>
  <si>
    <t>17C-0010Z-R</t>
  </si>
  <si>
    <t>vormals: M3-1606-115</t>
  </si>
  <si>
    <t>Gas-Leck; Trocken gelaufen</t>
  </si>
  <si>
    <t xml:space="preserve">geöffnet/NeuZusammenbau </t>
  </si>
  <si>
    <t>17H-0003Z</t>
  </si>
  <si>
    <t>17H-0004Z</t>
  </si>
  <si>
    <t>17H-0005Z</t>
  </si>
  <si>
    <t>Mem. Mehrere kleine Punktlöcher</t>
  </si>
  <si>
    <t>nach zus. Spülen</t>
  </si>
  <si>
    <t>17H-0006Z</t>
  </si>
  <si>
    <t>17H-0007Z</t>
  </si>
  <si>
    <t>17H-0008Z</t>
  </si>
  <si>
    <t>17H-0009Z</t>
  </si>
  <si>
    <t>17H-0010Z</t>
  </si>
  <si>
    <t>FA702175</t>
  </si>
  <si>
    <t>17H-0011Z</t>
  </si>
  <si>
    <t>17H-0012Z</t>
  </si>
  <si>
    <t>17H-0013Z</t>
  </si>
  <si>
    <t>17H-0014Z</t>
  </si>
  <si>
    <t>17H-0015Z</t>
  </si>
  <si>
    <t>17H-0016Z</t>
  </si>
  <si>
    <t>17H-0017Z</t>
  </si>
  <si>
    <t>17H-0018Z</t>
  </si>
  <si>
    <t>17H-0019Z</t>
  </si>
  <si>
    <t>17H-0020Z</t>
  </si>
  <si>
    <t>FA702176</t>
  </si>
  <si>
    <t>FA702335</t>
  </si>
  <si>
    <t>17H-0021Z</t>
  </si>
  <si>
    <t>17H-0022Z</t>
  </si>
  <si>
    <t>17H-0023Z</t>
  </si>
  <si>
    <t>17H-0024Z</t>
  </si>
  <si>
    <t>17H-0025Z</t>
  </si>
  <si>
    <t>17H-0026Z</t>
  </si>
  <si>
    <t>17H-0027Z</t>
  </si>
  <si>
    <t>17H-0028Z</t>
  </si>
  <si>
    <t>17H-0029Z</t>
  </si>
  <si>
    <t>17H-0030Z</t>
  </si>
  <si>
    <t>17H-0031Z</t>
  </si>
  <si>
    <t>17H-0032Z</t>
  </si>
  <si>
    <t>17H-0033Z</t>
  </si>
  <si>
    <t>17H-0034Z</t>
  </si>
  <si>
    <t>Mem. kleiner Faden</t>
  </si>
  <si>
    <t>17H-0035Z</t>
  </si>
  <si>
    <t>17H-0036Z</t>
  </si>
  <si>
    <t>17H-0037Z</t>
  </si>
  <si>
    <t>17H-0038Z</t>
  </si>
  <si>
    <t>17H-0039Z</t>
  </si>
  <si>
    <t>17H-0040Z</t>
  </si>
  <si>
    <t>17H-0041Z</t>
  </si>
  <si>
    <t>17H-0042Z</t>
  </si>
  <si>
    <t>FA702393</t>
  </si>
  <si>
    <t>FA702228</t>
  </si>
  <si>
    <t>17H-0043Z</t>
  </si>
  <si>
    <t>17H-0044Z</t>
  </si>
  <si>
    <t>17H-0045Z</t>
  </si>
  <si>
    <t>17H-0046Z</t>
  </si>
  <si>
    <t>17H-0047Z</t>
  </si>
  <si>
    <t>17H-0048Z</t>
  </si>
  <si>
    <t>17H-0049Z</t>
  </si>
  <si>
    <t>17H-0050Z</t>
  </si>
  <si>
    <t>Temp Gas / [°C]</t>
  </si>
  <si>
    <t>17H-0051Z</t>
  </si>
  <si>
    <t>17H-0052Z</t>
  </si>
  <si>
    <t>17H-0053Z</t>
  </si>
  <si>
    <t>17H-0054Z</t>
  </si>
  <si>
    <t>17H-0056Z</t>
  </si>
  <si>
    <t>17H-0057Z</t>
  </si>
  <si>
    <t>17H-0058Z</t>
  </si>
  <si>
    <t>17H-0055Z</t>
  </si>
  <si>
    <t>FA702229</t>
  </si>
  <si>
    <t>17H-0059Z</t>
  </si>
  <si>
    <t>17H-0060Z</t>
  </si>
  <si>
    <t>17H-0061Z</t>
  </si>
  <si>
    <t>17H-0062Z</t>
  </si>
  <si>
    <t>17H-0063Z</t>
  </si>
  <si>
    <t>17H-0064Z</t>
  </si>
  <si>
    <t>2.Messung, Cell V 13 bar = 1.900</t>
  </si>
  <si>
    <t>17H-0067Z</t>
  </si>
  <si>
    <t>17H-0068Z</t>
  </si>
  <si>
    <t>17H-0069Z</t>
  </si>
  <si>
    <t>17H-0070Z</t>
  </si>
  <si>
    <t>17H-0071Z</t>
  </si>
  <si>
    <t>17H-0072Z</t>
  </si>
  <si>
    <t>17H-0065Z-R</t>
  </si>
  <si>
    <t>17H-0066Z-R</t>
  </si>
  <si>
    <t>vormals: NG1009-320</t>
  </si>
  <si>
    <t>vormals: NG1009-321</t>
  </si>
  <si>
    <t>FA702230</t>
  </si>
  <si>
    <t>Neuer Konverter- Ultraschall</t>
  </si>
  <si>
    <t>17H-0073Z</t>
  </si>
  <si>
    <t>17H-0074Z</t>
  </si>
  <si>
    <t>17H-0075Z</t>
  </si>
  <si>
    <t>17H-0076Z</t>
  </si>
  <si>
    <t>17H-0077Z</t>
  </si>
  <si>
    <t>17H-0078Z</t>
  </si>
  <si>
    <t>17H-0079Z</t>
  </si>
  <si>
    <t>17H-0080Z</t>
  </si>
  <si>
    <t>FA702461</t>
  </si>
  <si>
    <t>FA702428</t>
  </si>
  <si>
    <t>17I-0001Z</t>
  </si>
  <si>
    <t>17I-0002Z</t>
  </si>
  <si>
    <t>17I-0003Z</t>
  </si>
  <si>
    <t>17I-0004Z</t>
  </si>
  <si>
    <t>17I-0005Z</t>
  </si>
  <si>
    <t>17I-0006Z</t>
  </si>
  <si>
    <t>17I-0007Z</t>
  </si>
  <si>
    <t>17I-0008Z</t>
  </si>
  <si>
    <t>0.3</t>
  </si>
  <si>
    <t>17C0010Z-R</t>
  </si>
  <si>
    <t>Test 25A</t>
  </si>
  <si>
    <t>§</t>
  </si>
  <si>
    <t>1601-6115A</t>
  </si>
  <si>
    <t>1601-6116A</t>
  </si>
  <si>
    <t>Temp 70°/ Spann.&gt;&gt;&gt;&gt;</t>
  </si>
  <si>
    <t>17I-0009Z</t>
  </si>
  <si>
    <t>17I-0010Z</t>
  </si>
  <si>
    <t>17I-0011Z</t>
  </si>
  <si>
    <t>17I-0012Z</t>
  </si>
  <si>
    <t>17I-0013Z</t>
  </si>
  <si>
    <t>17I-0014Z</t>
  </si>
  <si>
    <t>17I-0015Z</t>
  </si>
  <si>
    <t>17I-0016Z</t>
  </si>
  <si>
    <t>FA702435</t>
  </si>
  <si>
    <t>(179)  ROTA: 180;  -Druck nur 9bar-</t>
  </si>
  <si>
    <t>Revidiert; neuwertig</t>
  </si>
  <si>
    <t>17I-0017Z</t>
  </si>
  <si>
    <t>17I-0018Z</t>
  </si>
  <si>
    <t>17I-0019Z</t>
  </si>
  <si>
    <t>17I-0020Z</t>
  </si>
  <si>
    <t>FA702334</t>
  </si>
  <si>
    <t>FA702177</t>
  </si>
  <si>
    <t>17J-0001Z</t>
  </si>
  <si>
    <t>FA702394</t>
  </si>
  <si>
    <t>17J-0002Z</t>
  </si>
  <si>
    <t>17J-0003Z</t>
  </si>
  <si>
    <t>17J-0004Z</t>
  </si>
  <si>
    <t>17J-0005Z</t>
  </si>
  <si>
    <t>17J-0006Z</t>
  </si>
  <si>
    <t>17J-0007Z</t>
  </si>
  <si>
    <t>17J-0008Z</t>
  </si>
  <si>
    <t>17J-0009Z</t>
  </si>
  <si>
    <t>17J-0010Z</t>
  </si>
  <si>
    <t>Mem. kleines Punktloch</t>
  </si>
  <si>
    <t>17J-0012Z</t>
  </si>
  <si>
    <t>17J-0013Z</t>
  </si>
  <si>
    <t>17J-0015Z</t>
  </si>
  <si>
    <t>17J-0014Z</t>
  </si>
  <si>
    <t>17J-0016Z</t>
  </si>
  <si>
    <t>17J-0017Z</t>
  </si>
  <si>
    <t>17J-0018Z</t>
  </si>
  <si>
    <t>FA702178</t>
  </si>
  <si>
    <t>neues Edelstahlflies</t>
  </si>
  <si>
    <t>neuer Ultraschall- Konverter</t>
  </si>
  <si>
    <t>17J-0019Z</t>
  </si>
  <si>
    <t>17J-0020Z</t>
  </si>
  <si>
    <t>17J-0021Z</t>
  </si>
  <si>
    <t>17J-0022Z</t>
  </si>
  <si>
    <t>17J-0023Z</t>
  </si>
  <si>
    <t>17J-0024Z</t>
  </si>
  <si>
    <t>17J-0025Z</t>
  </si>
  <si>
    <t>17J-0026Z</t>
  </si>
  <si>
    <t>i.O.; C.S.</t>
  </si>
  <si>
    <t>17J-0027Z</t>
  </si>
  <si>
    <t>FA702533</t>
  </si>
  <si>
    <t>FA702179</t>
  </si>
  <si>
    <t>17J-0028Z</t>
  </si>
  <si>
    <t>FA702462</t>
  </si>
  <si>
    <t>FA702364</t>
  </si>
  <si>
    <t>17J-0029Z</t>
  </si>
  <si>
    <t>17J-0030Z</t>
  </si>
  <si>
    <t>17J-0031Z</t>
  </si>
  <si>
    <t>17J-0032Z</t>
  </si>
  <si>
    <t>17J-0033Z</t>
  </si>
  <si>
    <t>17J-0034Z</t>
  </si>
  <si>
    <t>17J-0035Z</t>
  </si>
  <si>
    <t>17J-0036Z</t>
  </si>
  <si>
    <t>17J-0037Z</t>
  </si>
  <si>
    <t xml:space="preserve">neuer Ultraschall- Konverter </t>
  </si>
  <si>
    <t>17J-0038Z</t>
  </si>
  <si>
    <t>17J-0039Z</t>
  </si>
  <si>
    <t>17J-0040Z</t>
  </si>
  <si>
    <t>17J-0041Z</t>
  </si>
  <si>
    <t>17J-0042Z</t>
  </si>
  <si>
    <t>17J-0043Z</t>
  </si>
  <si>
    <t>17J-0044Z</t>
  </si>
  <si>
    <t>17J-0045Z</t>
  </si>
  <si>
    <t>17J-0046Z</t>
  </si>
  <si>
    <t>17J-0047Z</t>
  </si>
  <si>
    <t>FA702429</t>
  </si>
  <si>
    <t>17J-0048Z</t>
  </si>
  <si>
    <t>17J-0049Z</t>
  </si>
  <si>
    <t>17J-0050Z</t>
  </si>
  <si>
    <t>17J-0051Z</t>
  </si>
  <si>
    <t>17J-0052Z</t>
  </si>
  <si>
    <t>17J-0053Z</t>
  </si>
  <si>
    <t>17J-0054Z</t>
  </si>
  <si>
    <t>17J-0055Z</t>
  </si>
  <si>
    <t>17J-0056Z</t>
  </si>
  <si>
    <t>17J-0057Z</t>
  </si>
  <si>
    <t>ab Me Nr.9 neues Iridium</t>
  </si>
  <si>
    <t>ab Me Nr.10 neues Platin</t>
  </si>
  <si>
    <t>ALTE Mem. (nicht gespült)</t>
  </si>
  <si>
    <t xml:space="preserve">nach: Mem. 30Std in Säure </t>
  </si>
  <si>
    <t>nach 2 Std Lauge/ 65 Std Säure</t>
  </si>
  <si>
    <t>I24-3093</t>
  </si>
  <si>
    <t>I24-3095</t>
  </si>
  <si>
    <t>17K-0001Z</t>
  </si>
  <si>
    <t>17K-0002Z</t>
  </si>
  <si>
    <t>17K-0003Z</t>
  </si>
  <si>
    <t>17K-0004Z</t>
  </si>
  <si>
    <t>17K-0005Z</t>
  </si>
  <si>
    <t>17K-0006Z</t>
  </si>
  <si>
    <t>17K-0008Z</t>
  </si>
  <si>
    <t>17K-0009Z</t>
  </si>
  <si>
    <t>17K-0010Z</t>
  </si>
  <si>
    <t>17K-0007Z</t>
  </si>
  <si>
    <t>FA702625</t>
  </si>
  <si>
    <t>FA702365</t>
  </si>
  <si>
    <t>17K-0011Z</t>
  </si>
  <si>
    <t>17K-0012Z</t>
  </si>
  <si>
    <t>17K-0013Z</t>
  </si>
  <si>
    <t>17K-0014Z</t>
  </si>
  <si>
    <t>17K-0015Z</t>
  </si>
  <si>
    <t>17K-0016Z</t>
  </si>
  <si>
    <t>17K-0017Z</t>
  </si>
  <si>
    <t>17K-0018Z</t>
  </si>
  <si>
    <t>17K-0019Z</t>
  </si>
  <si>
    <t>17K-0020Z</t>
  </si>
  <si>
    <t>17K-0022Z</t>
  </si>
  <si>
    <t>17K-0021Z</t>
  </si>
  <si>
    <t>17K-0023Z</t>
  </si>
  <si>
    <t>17K-0024Z</t>
  </si>
  <si>
    <t>17K-0025Z</t>
  </si>
  <si>
    <t>17K-0026Z</t>
  </si>
  <si>
    <t>17K-0027Z</t>
  </si>
  <si>
    <t>17K-0028Z</t>
  </si>
  <si>
    <t>17K-0029Z</t>
  </si>
  <si>
    <t>17K-0030Z</t>
  </si>
  <si>
    <t>FA702572</t>
  </si>
  <si>
    <t>Mem. mit neuer Besprühung</t>
  </si>
  <si>
    <t>Mem. mit neuer Besprühung &amp;Schatten</t>
  </si>
  <si>
    <t>FA702181</t>
  </si>
  <si>
    <t xml:space="preserve">neue Mem./ ungespült </t>
  </si>
  <si>
    <t xml:space="preserve">neue Mem./gespült </t>
  </si>
  <si>
    <t>17C-0080Z( ohne R)</t>
  </si>
  <si>
    <t>17K-0031Z</t>
  </si>
  <si>
    <t>FA702180</t>
  </si>
  <si>
    <t>FA702953</t>
  </si>
  <si>
    <t>ersetzt 16J-0019Z</t>
  </si>
  <si>
    <t>FA702535</t>
  </si>
  <si>
    <t>17K-0032Z</t>
  </si>
  <si>
    <t>Elektroden Fa. Decovi</t>
  </si>
  <si>
    <t>17K-0033Z</t>
  </si>
  <si>
    <t>17K-0034Z</t>
  </si>
  <si>
    <t>17K-0035Z</t>
  </si>
  <si>
    <t>FA702554</t>
  </si>
  <si>
    <t>Mem.knapp</t>
  </si>
  <si>
    <t>17K-0036Z</t>
  </si>
  <si>
    <t>17K-0037Z</t>
  </si>
  <si>
    <t>17K-0038Z</t>
  </si>
  <si>
    <t>17K-0039Z</t>
  </si>
  <si>
    <t>17K-0040Z</t>
  </si>
  <si>
    <t>17K-0041Z</t>
  </si>
  <si>
    <t>17K-0042Z</t>
  </si>
  <si>
    <t>17K-0043Z</t>
  </si>
  <si>
    <t>17K-0044Z-R</t>
  </si>
  <si>
    <t>17K-0045Z-R</t>
  </si>
  <si>
    <t>17K-0046Z-R</t>
  </si>
  <si>
    <t>17K-0047Z-R</t>
  </si>
  <si>
    <t>FA702782</t>
  </si>
  <si>
    <t>17K-0048Z</t>
  </si>
  <si>
    <t>17K-0049Z</t>
  </si>
  <si>
    <t>17K-0050Z</t>
  </si>
  <si>
    <t>FA701911</t>
  </si>
  <si>
    <t>17K-0051Z</t>
  </si>
  <si>
    <t>17K-0052Z</t>
  </si>
  <si>
    <t>17K-0053Z</t>
  </si>
  <si>
    <t>17K-0054Z</t>
  </si>
  <si>
    <t>angeliefert</t>
  </si>
  <si>
    <t xml:space="preserve">     "           ca 90 Min Betrieb</t>
  </si>
  <si>
    <t>FA703031</t>
  </si>
  <si>
    <t>17K-0055Z</t>
  </si>
  <si>
    <t>FA702350</t>
  </si>
  <si>
    <t>FA703033</t>
  </si>
  <si>
    <t>nach Revision; Auslief Nov</t>
  </si>
  <si>
    <t>17L-0001Z</t>
  </si>
  <si>
    <t>17L-0002Z</t>
  </si>
  <si>
    <t>17L-0003Z</t>
  </si>
  <si>
    <t>17L-0004Z</t>
  </si>
  <si>
    <t>17L-0005Z</t>
  </si>
  <si>
    <t>17L-0006Z</t>
  </si>
  <si>
    <t>17L-0007Z</t>
  </si>
  <si>
    <t>17L-0008Z</t>
  </si>
  <si>
    <t>17L-0009Z</t>
  </si>
  <si>
    <t>17L-0010Z</t>
  </si>
  <si>
    <t>17L-0011Z</t>
  </si>
  <si>
    <t>17L-0012Z</t>
  </si>
  <si>
    <t>FA702351</t>
  </si>
  <si>
    <t>Mem. aus 17K-0031Z :Span.Diff.0.52</t>
  </si>
  <si>
    <t>ab Neuheim; zu hohe Spannung</t>
  </si>
  <si>
    <t>verschmutzt</t>
  </si>
  <si>
    <t>I21-3019</t>
  </si>
  <si>
    <t>FA703041</t>
  </si>
  <si>
    <t>FA703050</t>
  </si>
  <si>
    <t>16G-0041Z-R</t>
  </si>
  <si>
    <t>-</t>
  </si>
  <si>
    <t>FA702430</t>
  </si>
  <si>
    <t>&gt;50</t>
  </si>
  <si>
    <t>17L-0023Z</t>
  </si>
  <si>
    <t>17L-0024Z</t>
  </si>
  <si>
    <t>17L-0025Z</t>
  </si>
  <si>
    <t>17L-0026Z</t>
  </si>
  <si>
    <t>17L-0027Z</t>
  </si>
  <si>
    <t>17L-0028Z</t>
  </si>
  <si>
    <t>17L-0029Z</t>
  </si>
  <si>
    <t>17L-0030Z</t>
  </si>
  <si>
    <t>17L-0031Z</t>
  </si>
  <si>
    <t>17L-0032Z</t>
  </si>
  <si>
    <t>1LK-0033Z</t>
  </si>
  <si>
    <t>FA702717</t>
  </si>
  <si>
    <t>17L-0013Z-R</t>
  </si>
  <si>
    <t>17L-0014Z-R</t>
  </si>
  <si>
    <t>17L-0015Z-R</t>
  </si>
  <si>
    <t>17L-0016Z-R</t>
  </si>
  <si>
    <t>17L-0017Z-R</t>
  </si>
  <si>
    <t>17L-0018Z-R</t>
  </si>
  <si>
    <t>17L-0019Z-R</t>
  </si>
  <si>
    <t>17L-0020Z-R</t>
  </si>
  <si>
    <t>17L-0021Z-R</t>
  </si>
  <si>
    <t>17L-0022Z-R</t>
  </si>
  <si>
    <t>17L-0034Z</t>
  </si>
  <si>
    <t>17L-0035Z</t>
  </si>
  <si>
    <t>17L-0036Z</t>
  </si>
  <si>
    <t>17L-0037Z</t>
  </si>
  <si>
    <t>17L-0038Z</t>
  </si>
  <si>
    <t>FA702771</t>
  </si>
  <si>
    <t>DECOVI H-Elektrode</t>
  </si>
  <si>
    <t>FA703047</t>
  </si>
  <si>
    <t>FA703046</t>
  </si>
  <si>
    <t>nach Mem. In Säure</t>
  </si>
  <si>
    <t>zu hohe Spannung</t>
  </si>
  <si>
    <t>&gt;2.5</t>
  </si>
  <si>
    <t>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</si>
</sst>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dd\.mm\.yy;@"/>
    <numFmt numFmtId="165" formatCode="0.000"/>
    <numFmt numFmtId="166" formatCode="0.0"/>
    <numFmt numFmtId="167" formatCode="_ * #,##0.0_ ;_ * \-#,##0.0_ ;_ * &quot;-&quot;??_ ;_ @_ "/>
    <numFmt numFmtId="168" formatCode="_ * #,##0_ ;_ * \-#,##0_ ;_ * &quot;-&quot;??_ ;_ @_ "/>
  </numFmts>
  <fonts count="24" x14ac:knownFonts="1">
    <font>
      <sz val="10"/>
      <name val="Arial"/>
    </font>
    <font>
      <sz val="9"/>
      <name val="Arial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9"/>
      <color indexed="81"/>
      <name val="Segoe UI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sz val="9"/>
      <name val="Verdana"/>
      <family val="2"/>
    </font>
    <font>
      <sz val="10"/>
      <color rgb="FFFF0000"/>
      <name val="Verdana"/>
      <family val="2"/>
    </font>
    <font>
      <sz val="10"/>
      <color theme="3" tint="0.39997558519241921"/>
      <name val="Verdana"/>
      <family val="2"/>
    </font>
    <font>
      <sz val="10"/>
      <color theme="3" tint="0.39997558519241921"/>
      <name val="Arial"/>
      <family val="2"/>
    </font>
    <font>
      <sz val="10"/>
      <color theme="3" tint="-0.499984740745262"/>
      <name val="Verdana"/>
      <family val="2"/>
    </font>
    <font>
      <sz val="10"/>
      <color theme="4" tint="-0.249977111117893"/>
      <name val="Verdana"/>
      <family val="2"/>
    </font>
    <font>
      <sz val="10"/>
      <color theme="4" tint="-0.249977111117893"/>
      <name val="Arial"/>
      <family val="2"/>
    </font>
    <font>
      <sz val="10"/>
      <color rgb="FF00B050"/>
      <name val="Verdana"/>
      <family val="2"/>
    </font>
    <font>
      <sz val="10"/>
      <color theme="1" tint="0.499984740745262"/>
      <name val="Verdana"/>
      <family val="2"/>
    </font>
    <font>
      <sz val="10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i/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9" tint="-0.499984740745262"/>
      <name val="Verdana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160">
    <xf numFmtId="0" fontId="0" fillId="0" borderId="0" xfId="0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 wrapText="1"/>
    </xf>
    <xf numFmtId="0" fontId="0" fillId="2" borderId="0" xfId="0" applyFill="1"/>
    <xf numFmtId="16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/>
    <xf numFmtId="165" fontId="0" fillId="2" borderId="0" xfId="0" applyNumberFormat="1" applyFill="1"/>
    <xf numFmtId="165" fontId="1" fillId="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65" fontId="1" fillId="2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0" xfId="0" applyFont="1"/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7" fontId="2" fillId="0" borderId="1" xfId="1" applyNumberFormat="1" applyFont="1" applyBorder="1" applyAlignment="1">
      <alignment horizontal="center" wrapText="1"/>
    </xf>
    <xf numFmtId="167" fontId="1" fillId="0" borderId="0" xfId="1" applyNumberFormat="1" applyFont="1" applyAlignment="1">
      <alignment horizontal="center"/>
    </xf>
    <xf numFmtId="167" fontId="1" fillId="2" borderId="0" xfId="1" applyNumberFormat="1" applyFont="1" applyFill="1" applyAlignment="1">
      <alignment horizontal="center"/>
    </xf>
    <xf numFmtId="168" fontId="2" fillId="0" borderId="1" xfId="1" applyNumberFormat="1" applyFont="1" applyBorder="1" applyAlignment="1">
      <alignment horizontal="center" wrapText="1"/>
    </xf>
    <xf numFmtId="168" fontId="1" fillId="2" borderId="0" xfId="1" applyNumberFormat="1" applyFont="1" applyFill="1" applyAlignment="1">
      <alignment horizontal="center"/>
    </xf>
    <xf numFmtId="168" fontId="1" fillId="0" borderId="0" xfId="1" applyNumberFormat="1" applyFont="1" applyAlignment="1">
      <alignment horizontal="center"/>
    </xf>
    <xf numFmtId="167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8" fontId="0" fillId="2" borderId="0" xfId="1" applyNumberFormat="1" applyFont="1" applyFill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2" fillId="4" borderId="1" xfId="0" applyNumberFormat="1" applyFont="1" applyFill="1" applyBorder="1" applyAlignment="1">
      <alignment horizontal="center" wrapText="1"/>
    </xf>
    <xf numFmtId="165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20" fillId="0" borderId="0" xfId="0" applyFont="1"/>
    <xf numFmtId="165" fontId="22" fillId="0" borderId="1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20" fillId="2" borderId="0" xfId="0" applyFont="1" applyFill="1"/>
    <xf numFmtId="165" fontId="20" fillId="0" borderId="1" xfId="0" applyNumberFormat="1" applyFont="1" applyBorder="1" applyAlignment="1">
      <alignment horizontal="center"/>
    </xf>
    <xf numFmtId="0" fontId="20" fillId="2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/>
    </xf>
    <xf numFmtId="166" fontId="3" fillId="0" borderId="1" xfId="1" applyNumberFormat="1" applyFont="1" applyFill="1" applyBorder="1" applyAlignment="1">
      <alignment horizontal="center"/>
    </xf>
    <xf numFmtId="1" fontId="3" fillId="0" borderId="1" xfId="1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left"/>
    </xf>
    <xf numFmtId="165" fontId="20" fillId="4" borderId="1" xfId="0" applyNumberFormat="1" applyFont="1" applyFill="1" applyBorder="1" applyAlignment="1">
      <alignment horizontal="center"/>
    </xf>
    <xf numFmtId="2" fontId="0" fillId="2" borderId="0" xfId="0" applyNumberFormat="1" applyFill="1"/>
    <xf numFmtId="2" fontId="2" fillId="4" borderId="1" xfId="0" applyNumberFormat="1" applyFont="1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center"/>
    </xf>
    <xf numFmtId="2" fontId="20" fillId="4" borderId="1" xfId="0" applyNumberFormat="1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6" fontId="3" fillId="0" borderId="5" xfId="1" applyNumberFormat="1" applyFont="1" applyBorder="1" applyAlignment="1">
      <alignment horizontal="center"/>
    </xf>
    <xf numFmtId="1" fontId="3" fillId="0" borderId="5" xfId="1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166" fontId="3" fillId="0" borderId="6" xfId="1" applyNumberFormat="1" applyFont="1" applyBorder="1" applyAlignment="1">
      <alignment horizontal="center"/>
    </xf>
    <xf numFmtId="1" fontId="3" fillId="0" borderId="6" xfId="1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  <xf numFmtId="1" fontId="3" fillId="0" borderId="8" xfId="1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20" fillId="0" borderId="9" xfId="0" applyFont="1" applyBorder="1"/>
    <xf numFmtId="1" fontId="3" fillId="0" borderId="8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6" fontId="3" fillId="0" borderId="12" xfId="1" applyNumberFormat="1" applyFont="1" applyBorder="1" applyAlignment="1">
      <alignment horizontal="center"/>
    </xf>
    <xf numFmtId="1" fontId="3" fillId="0" borderId="12" xfId="1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0" fillId="4" borderId="12" xfId="0" applyNumberFormat="1" applyFill="1" applyBorder="1" applyAlignment="1">
      <alignment horizontal="center"/>
    </xf>
    <xf numFmtId="2" fontId="0" fillId="4" borderId="12" xfId="0" applyNumberFormat="1" applyFill="1" applyBorder="1" applyAlignment="1">
      <alignment horizontal="center"/>
    </xf>
    <xf numFmtId="0" fontId="20" fillId="0" borderId="13" xfId="0" applyFont="1" applyBorder="1"/>
    <xf numFmtId="1" fontId="3" fillId="0" borderId="12" xfId="0" applyNumberFormat="1" applyFont="1" applyBorder="1" applyAlignment="1">
      <alignment horizontal="center"/>
    </xf>
    <xf numFmtId="166" fontId="3" fillId="0" borderId="12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23" fillId="2" borderId="0" xfId="0" applyFont="1" applyFill="1"/>
    <xf numFmtId="165" fontId="9" fillId="0" borderId="1" xfId="0" applyNumberFormat="1" applyFont="1" applyBorder="1" applyAlignment="1">
      <alignment horizontal="center"/>
    </xf>
    <xf numFmtId="165" fontId="23" fillId="4" borderId="1" xfId="0" applyNumberFormat="1" applyFont="1" applyFill="1" applyBorder="1" applyAlignment="1">
      <alignment horizontal="center"/>
    </xf>
    <xf numFmtId="2" fontId="23" fillId="4" borderId="1" xfId="0" applyNumberFormat="1" applyFont="1" applyFill="1" applyBorder="1" applyAlignment="1">
      <alignment horizontal="center"/>
    </xf>
    <xf numFmtId="165" fontId="23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0" xfId="0" applyFont="1"/>
    <xf numFmtId="0" fontId="23" fillId="0" borderId="1" xfId="0" applyFont="1" applyBorder="1" applyAlignment="1">
      <alignment horizontal="left"/>
    </xf>
    <xf numFmtId="0" fontId="20" fillId="0" borderId="0" xfId="0" applyFont="1" applyAlignment="1">
      <alignment horizontal="center"/>
    </xf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166" fontId="20" fillId="4" borderId="1" xfId="0" applyNumberFormat="1" applyFont="1" applyFill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right" indent="1"/>
    </xf>
    <xf numFmtId="166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1" fontId="2" fillId="0" borderId="3" xfId="0" applyNumberFormat="1" applyFont="1" applyBorder="1" applyAlignment="1">
      <alignment horizontal="center" wrapText="1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528641</xdr:colOff>
      <xdr:row>37</xdr:row>
      <xdr:rowOff>152400</xdr:rowOff>
    </xdr:from>
    <xdr:to>
      <xdr:col>2</xdr:col>
      <xdr:colOff>809632</xdr:colOff>
      <xdr:row>46</xdr:row>
      <xdr:rowOff>123825</xdr:rowOff>
    </xdr:to>
    <xdr:sp macro="" textlink="">
      <xdr:nvSpPr>
        <xdr:cNvPr id="2" name="Textfeld 1"/>
        <xdr:cNvSpPr txBox="1"/>
      </xdr:nvSpPr>
      <xdr:spPr>
        <a:xfrm rot="16200000">
          <a:off x="1221587" y="6917529"/>
          <a:ext cx="1428750" cy="2809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CH" sz="1100"/>
            <a:t>ohne Peroxid</a:t>
          </a:r>
        </a:p>
      </xdr:txBody>
    </xdr:sp>
    <xdr:clientData/>
  </xdr:twoCellAnchor>
  <xdr:twoCellAnchor>
    <xdr:from>
      <xdr:col>2</xdr:col>
      <xdr:colOff>523877</xdr:colOff>
      <xdr:row>77</xdr:row>
      <xdr:rowOff>152400</xdr:rowOff>
    </xdr:from>
    <xdr:to>
      <xdr:col>2</xdr:col>
      <xdr:colOff>804868</xdr:colOff>
      <xdr:row>86</xdr:row>
      <xdr:rowOff>123825</xdr:rowOff>
    </xdr:to>
    <xdr:sp macro="" textlink="">
      <xdr:nvSpPr>
        <xdr:cNvPr id="3" name="Textfeld 2"/>
        <xdr:cNvSpPr txBox="1"/>
      </xdr:nvSpPr>
      <xdr:spPr>
        <a:xfrm rot="16200000">
          <a:off x="1216823" y="13394529"/>
          <a:ext cx="1428750" cy="2809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CH" sz="1100"/>
            <a:t>mit Peroxid</a:t>
          </a:r>
        </a:p>
      </xdr:txBody>
    </xdr:sp>
    <xdr:clientData/>
  </xdr:twoCellAnchor>
  <xdr:twoCellAnchor>
    <xdr:from>
      <xdr:col>11</xdr:col>
      <xdr:colOff>323853</xdr:colOff>
      <xdr:row>95</xdr:row>
      <xdr:rowOff>19052</xdr:rowOff>
    </xdr:from>
    <xdr:to>
      <xdr:col>11</xdr:col>
      <xdr:colOff>800100</xdr:colOff>
      <xdr:row>103</xdr:row>
      <xdr:rowOff>152402</xdr:rowOff>
    </xdr:to>
    <xdr:sp macro="" textlink="">
      <xdr:nvSpPr>
        <xdr:cNvPr id="4" name="Textfeld 3"/>
        <xdr:cNvSpPr txBox="1"/>
      </xdr:nvSpPr>
      <xdr:spPr>
        <a:xfrm rot="16200000">
          <a:off x="9620252" y="16125828"/>
          <a:ext cx="1428750" cy="4762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de-CH" sz="1100"/>
            <a:t>mehrmalig  Spülstat.: Start/Stop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127572</xdr:colOff>
      <xdr:row>26</xdr:row>
      <xdr:rowOff>142874</xdr:rowOff>
    </xdr:from>
    <xdr:ext cx="2577519" cy="781240"/>
    <xdr:sp macro="" textlink="">
      <xdr:nvSpPr>
        <xdr:cNvPr id="2" name="Textfeld 1"/>
        <xdr:cNvSpPr txBox="1"/>
      </xdr:nvSpPr>
      <xdr:spPr>
        <a:xfrm flipH="1">
          <a:off x="9795447" y="4600574"/>
          <a:ext cx="2577519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17D-0024Z-R</a:t>
          </a:r>
          <a:r>
            <a:rPr lang="de-CH"/>
            <a:t>  bis </a:t>
          </a:r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17D-0042Z</a:t>
          </a:r>
          <a:r>
            <a:rPr lang="de-CH"/>
            <a:t> </a:t>
          </a:r>
          <a:endParaRPr lang="de-CH" sz="1100"/>
        </a:p>
        <a:p>
          <a:r>
            <a:rPr lang="de-CH" sz="1100"/>
            <a:t>Spülst.1, 20 Std mit Kurzschl.funktion--</a:t>
          </a:r>
        </a:p>
        <a:p>
          <a:r>
            <a:rPr lang="de-CH" sz="1100"/>
            <a:t>Referenzzelle Kat. Temp. =1.1</a:t>
          </a:r>
        </a:p>
        <a:p>
          <a:r>
            <a:rPr lang="de-CH" sz="1100"/>
            <a:t>17B-0045Z = 0.9</a:t>
          </a:r>
        </a:p>
      </xdr:txBody>
    </xdr:sp>
    <xdr:clientData/>
  </xdr:oneCellAnchor>
  <xdr:twoCellAnchor>
    <xdr:from>
      <xdr:col>11</xdr:col>
      <xdr:colOff>257175</xdr:colOff>
      <xdr:row>58</xdr:row>
      <xdr:rowOff>95251</xdr:rowOff>
    </xdr:from>
    <xdr:to>
      <xdr:col>11</xdr:col>
      <xdr:colOff>3076575</xdr:colOff>
      <xdr:row>66</xdr:row>
      <xdr:rowOff>152400</xdr:rowOff>
    </xdr:to>
    <xdr:sp macro="" textlink="">
      <xdr:nvSpPr>
        <xdr:cNvPr id="3" name="Textfeld 2"/>
        <xdr:cNvSpPr txBox="1"/>
      </xdr:nvSpPr>
      <xdr:spPr>
        <a:xfrm>
          <a:off x="9925050" y="9410701"/>
          <a:ext cx="2819400" cy="1352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C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C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17D-0043Z</a:t>
          </a:r>
          <a:r>
            <a:rPr lang="de-CH"/>
            <a:t> - </a:t>
          </a:r>
          <a:r>
            <a:rPr lang="de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17D-0047Z</a:t>
          </a:r>
          <a:r>
            <a:rPr lang="de-CH"/>
            <a:t>  3</a:t>
          </a:r>
          <a:r>
            <a:rPr lang="de-C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min. Prod.Stop</a:t>
          </a:r>
          <a:endParaRPr lang="de-CH">
            <a:effectLst/>
          </a:endParaRPr>
        </a:p>
        <a:p>
          <a:endParaRPr lang="de-C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e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17D-0048Z</a:t>
          </a:r>
          <a:r>
            <a:rPr lang="de-CH"/>
            <a:t> - </a:t>
          </a:r>
          <a:r>
            <a:rPr lang="de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17D-0052Z</a:t>
          </a:r>
          <a:r>
            <a:rPr lang="de-CH"/>
            <a:t>  6min. Prod.Stop</a:t>
          </a:r>
        </a:p>
        <a:p>
          <a:endParaRPr lang="de-CH" sz="1100"/>
        </a:p>
        <a:p>
          <a:r>
            <a:rPr lang="de-CH" sz="1100"/>
            <a:t>ohne Kurzschl.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990600</xdr:colOff>
      <xdr:row>26</xdr:row>
      <xdr:rowOff>114300</xdr:rowOff>
    </xdr:from>
    <xdr:to>
      <xdr:col>15</xdr:col>
      <xdr:colOff>1000125</xdr:colOff>
      <xdr:row>28</xdr:row>
      <xdr:rowOff>57150</xdr:rowOff>
    </xdr:to>
    <xdr:cxnSp macro="">
      <xdr:nvCxnSpPr>
        <xdr:cNvPr id="26" name="Gerade Verbindung mit Pfeil 25"/>
        <xdr:cNvCxnSpPr/>
      </xdr:nvCxnSpPr>
      <xdr:spPr>
        <a:xfrm flipH="1">
          <a:off x="11953875" y="4572000"/>
          <a:ext cx="9525" cy="2667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1009650</xdr:colOff>
      <xdr:row>79</xdr:row>
      <xdr:rowOff>104775</xdr:rowOff>
    </xdr:from>
    <xdr:to>
      <xdr:col>15</xdr:col>
      <xdr:colOff>1019175</xdr:colOff>
      <xdr:row>81</xdr:row>
      <xdr:rowOff>47625</xdr:rowOff>
    </xdr:to>
    <xdr:cxnSp macro="">
      <xdr:nvCxnSpPr>
        <xdr:cNvPr id="3" name="Gerade Verbindung mit Pfeil 2"/>
        <xdr:cNvCxnSpPr/>
      </xdr:nvCxnSpPr>
      <xdr:spPr>
        <a:xfrm flipH="1">
          <a:off x="11972925" y="13144500"/>
          <a:ext cx="9525" cy="2667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85724</xdr:colOff>
      <xdr:row>60</xdr:row>
      <xdr:rowOff>19050</xdr:rowOff>
    </xdr:from>
    <xdr:to>
      <xdr:col>16</xdr:col>
      <xdr:colOff>2571749</xdr:colOff>
      <xdr:row>66</xdr:row>
      <xdr:rowOff>133350</xdr:rowOff>
    </xdr:to>
    <xdr:sp macro="" textlink="">
      <xdr:nvSpPr>
        <xdr:cNvPr id="2" name="Textfeld 1"/>
        <xdr:cNvSpPr txBox="1"/>
      </xdr:nvSpPr>
      <xdr:spPr>
        <a:xfrm>
          <a:off x="13334999" y="9982200"/>
          <a:ext cx="2486025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 Zelle 17H-0043Z</a:t>
          </a:r>
          <a:r>
            <a:rPr lang="de-CH"/>
            <a:t> </a:t>
          </a:r>
        </a:p>
        <a:p>
          <a:r>
            <a:rPr lang="de-CH" sz="1100"/>
            <a:t>Spalte D; vormals= Temp Umgebung T2</a:t>
          </a:r>
        </a:p>
        <a:p>
          <a:r>
            <a:rPr lang="de-CH" sz="1100"/>
            <a:t>ab jetzt= Temp. Gas</a:t>
          </a:r>
        </a:p>
        <a:p>
          <a:r>
            <a:rPr lang="de-CH" sz="1100"/>
            <a:t>(Mini Messung erst bei ca 8 Min.)</a:t>
          </a:r>
        </a:p>
      </xdr:txBody>
    </xdr:sp>
    <xdr:clientData/>
  </xdr:twoCellAnchor>
  <xdr:twoCellAnchor>
    <xdr:from>
      <xdr:col>15</xdr:col>
      <xdr:colOff>38100</xdr:colOff>
      <xdr:row>65</xdr:row>
      <xdr:rowOff>66674</xdr:rowOff>
    </xdr:from>
    <xdr:to>
      <xdr:col>15</xdr:col>
      <xdr:colOff>2228850</xdr:colOff>
      <xdr:row>68</xdr:row>
      <xdr:rowOff>28574</xdr:rowOff>
    </xdr:to>
    <xdr:sp macro="" textlink="">
      <xdr:nvSpPr>
        <xdr:cNvPr id="3" name="Textfeld 2"/>
        <xdr:cNvSpPr txBox="1"/>
      </xdr:nvSpPr>
      <xdr:spPr>
        <a:xfrm>
          <a:off x="11001375" y="10839449"/>
          <a:ext cx="21907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49Z u. 50Z: Vorabtest (Ti dif.)</a:t>
          </a:r>
        </a:p>
        <a:p>
          <a:r>
            <a:rPr lang="de-CH" sz="1100"/>
            <a:t>-Elektrod. Oberfläch. nicht optimal-</a:t>
          </a:r>
        </a:p>
        <a:p>
          <a:endParaRPr lang="de-CH" sz="1100"/>
        </a:p>
        <a:p>
          <a:endParaRPr lang="de-CH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1638300</xdr:colOff>
      <xdr:row>51</xdr:row>
      <xdr:rowOff>104775</xdr:rowOff>
    </xdr:from>
    <xdr:to>
      <xdr:col>15</xdr:col>
      <xdr:colOff>1647825</xdr:colOff>
      <xdr:row>53</xdr:row>
      <xdr:rowOff>47625</xdr:rowOff>
    </xdr:to>
    <xdr:cxnSp macro="">
      <xdr:nvCxnSpPr>
        <xdr:cNvPr id="2" name="Gerade Verbindung mit Pfeil 1"/>
        <xdr:cNvCxnSpPr/>
      </xdr:nvCxnSpPr>
      <xdr:spPr>
        <a:xfrm flipH="1">
          <a:off x="12601575" y="8448675"/>
          <a:ext cx="9525" cy="2667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2076450</xdr:colOff>
      <xdr:row>85</xdr:row>
      <xdr:rowOff>114300</xdr:rowOff>
    </xdr:from>
    <xdr:to>
      <xdr:col>15</xdr:col>
      <xdr:colOff>2076450</xdr:colOff>
      <xdr:row>87</xdr:row>
      <xdr:rowOff>133350</xdr:rowOff>
    </xdr:to>
    <xdr:cxnSp macro="">
      <xdr:nvCxnSpPr>
        <xdr:cNvPr id="3" name="Gerade Verbindung mit Pfeil 2"/>
        <xdr:cNvCxnSpPr/>
      </xdr:nvCxnSpPr>
      <xdr:spPr>
        <a:xfrm>
          <a:off x="13039725" y="11696700"/>
          <a:ext cx="0" cy="3429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39</xdr:row>
      <xdr:rowOff>66675</xdr:rowOff>
    </xdr:from>
    <xdr:to>
      <xdr:col>7</xdr:col>
      <xdr:colOff>628650</xdr:colOff>
      <xdr:row>50</xdr:row>
      <xdr:rowOff>95251</xdr:rowOff>
    </xdr:to>
    <xdr:sp macro="" textlink="">
      <xdr:nvSpPr>
        <xdr:cNvPr id="4" name="Textfeld 3"/>
        <xdr:cNvSpPr txBox="1"/>
      </xdr:nvSpPr>
      <xdr:spPr>
        <a:xfrm>
          <a:off x="5400675" y="6467475"/>
          <a:ext cx="581025" cy="1809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r>
            <a:rPr lang="de-CH" sz="1100"/>
            <a:t>Messung auf Spülstation/ 30A,  5bar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40</xdr:row>
      <xdr:rowOff>66674</xdr:rowOff>
    </xdr:from>
    <xdr:to>
      <xdr:col>7</xdr:col>
      <xdr:colOff>619125</xdr:colOff>
      <xdr:row>51</xdr:row>
      <xdr:rowOff>104774</xdr:rowOff>
    </xdr:to>
    <xdr:sp macro="" textlink="">
      <xdr:nvSpPr>
        <xdr:cNvPr id="2" name="Textfeld 1"/>
        <xdr:cNvSpPr txBox="1"/>
      </xdr:nvSpPr>
      <xdr:spPr>
        <a:xfrm>
          <a:off x="5391150" y="6791324"/>
          <a:ext cx="581025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r>
            <a:rPr lang="de-CH" sz="1100"/>
            <a:t>Messung auf Spülstation/ 30A,  5bar</a:t>
          </a:r>
        </a:p>
      </xdr:txBody>
    </xdr:sp>
    <xdr:clientData/>
  </xdr:twoCellAnchor>
  <xdr:twoCellAnchor>
    <xdr:from>
      <xdr:col>15</xdr:col>
      <xdr:colOff>66675</xdr:colOff>
      <xdr:row>72</xdr:row>
      <xdr:rowOff>38101</xdr:rowOff>
    </xdr:from>
    <xdr:to>
      <xdr:col>15</xdr:col>
      <xdr:colOff>304800</xdr:colOff>
      <xdr:row>75</xdr:row>
      <xdr:rowOff>133350</xdr:rowOff>
    </xdr:to>
    <xdr:sp macro="" textlink="">
      <xdr:nvSpPr>
        <xdr:cNvPr id="4" name="Textfeld 3"/>
        <xdr:cNvSpPr txBox="1"/>
      </xdr:nvSpPr>
      <xdr:spPr>
        <a:xfrm>
          <a:off x="11029950" y="11944351"/>
          <a:ext cx="238125" cy="581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" wrap="square" rtlCol="0" anchor="ctr" anchorCtr="0"/>
        <a:lstStyle/>
        <a:p>
          <a:r>
            <a:rPr lang="de-CH" sz="1100"/>
            <a:t>   Block</a:t>
          </a:r>
        </a:p>
      </xdr:txBody>
    </xdr:sp>
    <xdr:clientData/>
  </xdr:twoCellAnchor>
  <xdr:twoCellAnchor>
    <xdr:from>
      <xdr:col>7</xdr:col>
      <xdr:colOff>38100</xdr:colOff>
      <xdr:row>95</xdr:row>
      <xdr:rowOff>66674</xdr:rowOff>
    </xdr:from>
    <xdr:to>
      <xdr:col>7</xdr:col>
      <xdr:colOff>619125</xdr:colOff>
      <xdr:row>106</xdr:row>
      <xdr:rowOff>104774</xdr:rowOff>
    </xdr:to>
    <xdr:sp macro="" textlink="">
      <xdr:nvSpPr>
        <xdr:cNvPr id="5" name="Textfeld 4"/>
        <xdr:cNvSpPr txBox="1"/>
      </xdr:nvSpPr>
      <xdr:spPr>
        <a:xfrm>
          <a:off x="5391150" y="6791324"/>
          <a:ext cx="581025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r>
            <a:rPr lang="de-CH" sz="1100"/>
            <a:t>Messung auf Spülstation/ 30A,  5bar</a:t>
          </a:r>
        </a:p>
      </xdr:txBody>
    </xdr:sp>
    <xdr:clientData/>
  </xdr:twoCellAnchor>
  <xdr:twoCellAnchor>
    <xdr:from>
      <xdr:col>3</xdr:col>
      <xdr:colOff>38100</xdr:colOff>
      <xdr:row>37</xdr:row>
      <xdr:rowOff>85725</xdr:rowOff>
    </xdr:from>
    <xdr:to>
      <xdr:col>9</xdr:col>
      <xdr:colOff>161925</xdr:colOff>
      <xdr:row>39</xdr:row>
      <xdr:rowOff>114300</xdr:rowOff>
    </xdr:to>
    <xdr:sp macro="" textlink="">
      <xdr:nvSpPr>
        <xdr:cNvPr id="3" name="Textfeld 2"/>
        <xdr:cNvSpPr txBox="1"/>
      </xdr:nvSpPr>
      <xdr:spPr>
        <a:xfrm>
          <a:off x="2133600" y="6324600"/>
          <a:ext cx="5153025" cy="352425"/>
        </a:xfrm>
        <a:prstGeom prst="rect">
          <a:avLst/>
        </a:prstGeom>
        <a:solidFill>
          <a:schemeClr val="lt1">
            <a:alpha val="69000"/>
          </a:schemeClr>
        </a:solidFill>
        <a:ln w="9525" cmpd="sng">
          <a:solidFill>
            <a:schemeClr val="tx1">
              <a:lumMod val="50000"/>
              <a:lumOff val="50000"/>
              <a:alpha val="61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                 17K-0031Z Spann.Diff. 0.52! Mem. ausgetauscht siehe Dezember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28576</xdr:colOff>
      <xdr:row>21</xdr:row>
      <xdr:rowOff>38100</xdr:rowOff>
    </xdr:from>
    <xdr:ext cx="781050" cy="2171700"/>
    <xdr:sp macro="" textlink="">
      <xdr:nvSpPr>
        <xdr:cNvPr id="2" name="Textfeld 1"/>
        <xdr:cNvSpPr txBox="1"/>
      </xdr:nvSpPr>
      <xdr:spPr>
        <a:xfrm>
          <a:off x="10991851" y="3686175"/>
          <a:ext cx="781050" cy="21717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1">
          <a:noAutofit/>
        </a:bodyPr>
        <a:lstStyle/>
        <a:p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ehemals eingebaut in </a:t>
          </a:r>
        </a:p>
        <a:p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Rack- NMH2- 160plus</a:t>
          </a:r>
          <a:r>
            <a:rPr lang="de-CH"/>
            <a:t> </a:t>
          </a:r>
        </a:p>
        <a:p>
          <a:r>
            <a:rPr lang="de-CH" sz="1100"/>
            <a:t>Fa. Pfeiffer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1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928"/>
  <sheetViews>
    <sheetView showRuler="0" zoomScaleNormal="100" workbookViewId="0">
      <pane ySplit="2" topLeftCell="A115" activePane="bottomLeft" state="frozen"/>
      <selection pane="bottomLeft" activeCell="L119" sqref="L119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9.5703125" style="2" customWidth="1"/>
    <col min="5" max="6" width="13.28515625" style="3" customWidth="1"/>
    <col min="7" max="7" width="13.28515625" style="2" customWidth="1"/>
    <col min="8" max="8" width="10" style="2" bestFit="1" customWidth="1"/>
    <col min="9" max="10" width="12.28515625" style="2" customWidth="1"/>
    <col min="11" max="11" width="29.5703125" customWidth="1"/>
    <col min="12" max="12" width="51.28515625" customWidth="1"/>
    <col min="13" max="13" width="8.7109375" customWidth="1"/>
    <col min="14" max="14" width="12" style="9" customWidth="1"/>
    <col min="15" max="15" width="12.42578125" style="9" customWidth="1"/>
    <col min="16" max="45" width="11.28515625" style="9"/>
  </cols>
  <sheetData>
    <row r="1" spans="2:15" s="9" customFormat="1" x14ac:dyDescent="0.2"/>
    <row r="2" spans="2:15" ht="32.25" x14ac:dyDescent="0.2">
      <c r="B2" s="4" t="s">
        <v>0</v>
      </c>
      <c r="C2" s="4" t="s">
        <v>8</v>
      </c>
      <c r="D2" s="8" t="s">
        <v>4</v>
      </c>
      <c r="E2" s="5" t="s">
        <v>361</v>
      </c>
      <c r="F2" s="5" t="s">
        <v>362</v>
      </c>
      <c r="G2" s="5" t="s">
        <v>7</v>
      </c>
      <c r="H2" s="5" t="s">
        <v>6</v>
      </c>
      <c r="I2" s="5" t="s">
        <v>5</v>
      </c>
      <c r="J2" s="5" t="s">
        <v>1</v>
      </c>
      <c r="K2" s="158" t="s">
        <v>2</v>
      </c>
      <c r="L2" s="159"/>
      <c r="M2" s="4" t="s">
        <v>3</v>
      </c>
      <c r="N2" s="27" t="s">
        <v>360</v>
      </c>
      <c r="O2" s="27">
        <v>2017</v>
      </c>
    </row>
    <row r="3" spans="2:15" x14ac:dyDescent="0.2">
      <c r="B3" s="13" t="s">
        <v>9</v>
      </c>
      <c r="C3" s="13" t="s">
        <v>10</v>
      </c>
      <c r="D3" s="14">
        <v>3.3</v>
      </c>
      <c r="E3" s="15"/>
      <c r="F3" s="15">
        <v>1.9359999999999999</v>
      </c>
      <c r="G3" s="15">
        <v>1.921</v>
      </c>
      <c r="H3" s="7">
        <f>F3-G3</f>
        <v>1.4999999999999902E-2</v>
      </c>
      <c r="I3" s="13" t="s">
        <v>183</v>
      </c>
      <c r="J3" s="15" t="s">
        <v>184</v>
      </c>
      <c r="K3" s="15"/>
      <c r="L3" s="13" t="s">
        <v>203</v>
      </c>
      <c r="M3" s="6"/>
      <c r="O3" s="26"/>
    </row>
    <row r="4" spans="2:15" x14ac:dyDescent="0.2">
      <c r="B4" s="13" t="s">
        <v>11</v>
      </c>
      <c r="C4" s="13" t="s">
        <v>12</v>
      </c>
      <c r="D4" s="14">
        <v>4.4000000000000004</v>
      </c>
      <c r="E4" s="15"/>
      <c r="F4" s="15">
        <v>1.9770000000000001</v>
      </c>
      <c r="G4" s="15">
        <v>1.958</v>
      </c>
      <c r="H4" s="7">
        <f t="shared" ref="H4:H31" si="0">F4-G4</f>
        <v>1.9000000000000128E-2</v>
      </c>
      <c r="I4" s="13" t="s">
        <v>183</v>
      </c>
      <c r="J4" s="15" t="s">
        <v>184</v>
      </c>
      <c r="K4" s="15"/>
      <c r="L4" s="15"/>
      <c r="M4" s="6"/>
    </row>
    <row r="5" spans="2:15" x14ac:dyDescent="0.2">
      <c r="B5" s="13" t="s">
        <v>13</v>
      </c>
      <c r="C5" s="13" t="s">
        <v>14</v>
      </c>
      <c r="D5" s="14">
        <v>4.3</v>
      </c>
      <c r="E5" s="15"/>
      <c r="F5" s="15">
        <v>1.9510000000000001</v>
      </c>
      <c r="G5" s="15">
        <v>1.93</v>
      </c>
      <c r="H5" s="7">
        <f t="shared" si="0"/>
        <v>2.100000000000013E-2</v>
      </c>
      <c r="I5" s="13" t="s">
        <v>183</v>
      </c>
      <c r="J5" s="15" t="s">
        <v>184</v>
      </c>
      <c r="K5" s="19"/>
      <c r="L5" s="13"/>
      <c r="M5" s="6"/>
    </row>
    <row r="6" spans="2:15" x14ac:dyDescent="0.2">
      <c r="B6" s="13" t="s">
        <v>15</v>
      </c>
      <c r="C6" s="13" t="s">
        <v>16</v>
      </c>
      <c r="D6" s="14">
        <v>4.3</v>
      </c>
      <c r="E6" s="15"/>
      <c r="F6" s="15">
        <v>1.9359999999999999</v>
      </c>
      <c r="G6" s="15">
        <v>1.917</v>
      </c>
      <c r="H6" s="7">
        <f t="shared" si="0"/>
        <v>1.8999999999999906E-2</v>
      </c>
      <c r="I6" s="13" t="s">
        <v>183</v>
      </c>
      <c r="J6" s="15" t="s">
        <v>184</v>
      </c>
      <c r="K6" s="19"/>
      <c r="L6" s="13"/>
      <c r="M6" s="6"/>
    </row>
    <row r="7" spans="2:15" x14ac:dyDescent="0.2">
      <c r="B7" s="13" t="s">
        <v>17</v>
      </c>
      <c r="C7" s="13" t="s">
        <v>18</v>
      </c>
      <c r="D7" s="14">
        <v>4.8</v>
      </c>
      <c r="E7" s="13"/>
      <c r="F7" s="13">
        <v>1.9370000000000001</v>
      </c>
      <c r="G7" s="13">
        <v>1.9179999999999999</v>
      </c>
      <c r="H7" s="7">
        <f t="shared" si="0"/>
        <v>1.9000000000000128E-2</v>
      </c>
      <c r="I7" s="13" t="s">
        <v>183</v>
      </c>
      <c r="J7" s="15" t="s">
        <v>184</v>
      </c>
      <c r="K7" s="13"/>
      <c r="L7" s="20"/>
      <c r="M7" s="6"/>
    </row>
    <row r="8" spans="2:15" x14ac:dyDescent="0.2">
      <c r="B8" s="13" t="s">
        <v>19</v>
      </c>
      <c r="C8" s="13" t="s">
        <v>20</v>
      </c>
      <c r="D8" s="14">
        <v>4.7</v>
      </c>
      <c r="E8" s="13"/>
      <c r="F8" s="13">
        <v>1.9319999999999999</v>
      </c>
      <c r="G8" s="13">
        <v>1.911</v>
      </c>
      <c r="H8" s="7">
        <f t="shared" si="0"/>
        <v>2.0999999999999908E-2</v>
      </c>
      <c r="I8" s="13" t="s">
        <v>183</v>
      </c>
      <c r="J8" s="15" t="s">
        <v>184</v>
      </c>
      <c r="K8" s="13"/>
      <c r="L8" s="13"/>
      <c r="M8" s="6"/>
    </row>
    <row r="9" spans="2:15" x14ac:dyDescent="0.2">
      <c r="B9" s="13" t="s">
        <v>21</v>
      </c>
      <c r="C9" s="13" t="s">
        <v>22</v>
      </c>
      <c r="D9" s="14">
        <v>4.8</v>
      </c>
      <c r="E9" s="15"/>
      <c r="F9" s="15">
        <v>1.9330000000000001</v>
      </c>
      <c r="G9" s="15">
        <v>1.9159999999999999</v>
      </c>
      <c r="H9" s="7">
        <f t="shared" si="0"/>
        <v>1.7000000000000126E-2</v>
      </c>
      <c r="I9" s="13" t="s">
        <v>183</v>
      </c>
      <c r="J9" s="15" t="s">
        <v>184</v>
      </c>
      <c r="K9" s="19"/>
      <c r="L9" s="13"/>
      <c r="M9" s="6"/>
    </row>
    <row r="10" spans="2:15" x14ac:dyDescent="0.2">
      <c r="B10" s="13" t="s">
        <v>23</v>
      </c>
      <c r="C10" s="13" t="s">
        <v>24</v>
      </c>
      <c r="D10" s="16">
        <v>4.7</v>
      </c>
      <c r="E10" s="15"/>
      <c r="F10" s="15">
        <v>1.9279999999999999</v>
      </c>
      <c r="G10" s="15">
        <v>1.9119999999999999</v>
      </c>
      <c r="H10" s="7">
        <f t="shared" si="0"/>
        <v>1.6000000000000014E-2</v>
      </c>
      <c r="I10" s="13" t="s">
        <v>183</v>
      </c>
      <c r="J10" s="15" t="s">
        <v>184</v>
      </c>
      <c r="K10" s="15"/>
      <c r="L10" s="13"/>
      <c r="M10" s="6"/>
    </row>
    <row r="11" spans="2:15" x14ac:dyDescent="0.2">
      <c r="B11" s="13" t="s">
        <v>25</v>
      </c>
      <c r="C11" s="13" t="s">
        <v>26</v>
      </c>
      <c r="D11" s="16">
        <v>5</v>
      </c>
      <c r="E11" s="15"/>
      <c r="F11" s="15">
        <v>1.925</v>
      </c>
      <c r="G11" s="15">
        <v>1.909</v>
      </c>
      <c r="H11" s="7">
        <f t="shared" si="0"/>
        <v>1.6000000000000014E-2</v>
      </c>
      <c r="I11" s="13" t="s">
        <v>183</v>
      </c>
      <c r="J11" s="15" t="s">
        <v>184</v>
      </c>
      <c r="K11" s="15"/>
      <c r="L11" s="13"/>
      <c r="M11" s="6"/>
    </row>
    <row r="12" spans="2:15" x14ac:dyDescent="0.2">
      <c r="B12" s="13" t="s">
        <v>27</v>
      </c>
      <c r="C12" s="13" t="s">
        <v>28</v>
      </c>
      <c r="D12" s="16">
        <v>5.2</v>
      </c>
      <c r="E12" s="15"/>
      <c r="F12" s="15">
        <v>1.94</v>
      </c>
      <c r="G12" s="15">
        <v>1.9219999999999999</v>
      </c>
      <c r="H12" s="7">
        <f t="shared" si="0"/>
        <v>1.8000000000000016E-2</v>
      </c>
      <c r="I12" s="13" t="s">
        <v>183</v>
      </c>
      <c r="J12" s="15" t="s">
        <v>184</v>
      </c>
      <c r="K12" s="15"/>
      <c r="L12" s="13"/>
      <c r="M12" s="6"/>
    </row>
    <row r="13" spans="2:15" x14ac:dyDescent="0.2">
      <c r="B13" s="13" t="s">
        <v>29</v>
      </c>
      <c r="C13" s="13" t="s">
        <v>30</v>
      </c>
      <c r="D13" s="16">
        <v>27.9</v>
      </c>
      <c r="E13" s="15">
        <v>1.8620000000000001</v>
      </c>
      <c r="F13" s="15">
        <v>3.726</v>
      </c>
      <c r="G13" s="15">
        <v>3.702</v>
      </c>
      <c r="H13" s="7">
        <f t="shared" si="0"/>
        <v>2.4000000000000021E-2</v>
      </c>
      <c r="I13" s="15" t="s">
        <v>185</v>
      </c>
      <c r="J13" s="15" t="s">
        <v>186</v>
      </c>
      <c r="K13" s="15" t="s">
        <v>204</v>
      </c>
      <c r="L13" s="13"/>
      <c r="M13" s="6"/>
    </row>
    <row r="14" spans="2:15" x14ac:dyDescent="0.2">
      <c r="B14" s="13"/>
      <c r="C14" s="13" t="s">
        <v>31</v>
      </c>
      <c r="D14" s="16"/>
      <c r="E14" s="15">
        <v>1.8640000000000001</v>
      </c>
      <c r="F14" s="15"/>
      <c r="G14" s="15"/>
      <c r="H14" s="7"/>
      <c r="I14" s="15"/>
      <c r="J14" s="15"/>
      <c r="K14" s="15"/>
      <c r="L14" s="13"/>
      <c r="M14" s="6"/>
    </row>
    <row r="15" spans="2:15" x14ac:dyDescent="0.2">
      <c r="B15" s="13" t="s">
        <v>32</v>
      </c>
      <c r="C15" s="13" t="s">
        <v>33</v>
      </c>
      <c r="D15" s="16">
        <v>18.399999999999999</v>
      </c>
      <c r="E15" s="15">
        <v>1.8580000000000001</v>
      </c>
      <c r="F15" s="15">
        <v>3.71</v>
      </c>
      <c r="G15" s="15">
        <v>3.6859999999999999</v>
      </c>
      <c r="H15" s="7">
        <f t="shared" si="0"/>
        <v>2.4000000000000021E-2</v>
      </c>
      <c r="I15" s="15" t="s">
        <v>41</v>
      </c>
      <c r="J15" s="15" t="s">
        <v>41</v>
      </c>
      <c r="K15" s="15"/>
      <c r="L15" s="13"/>
      <c r="M15" s="6"/>
    </row>
    <row r="16" spans="2:15" x14ac:dyDescent="0.2">
      <c r="B16" s="13"/>
      <c r="C16" s="13" t="s">
        <v>34</v>
      </c>
      <c r="D16" s="16"/>
      <c r="E16" s="15">
        <v>1.851</v>
      </c>
      <c r="F16" s="15"/>
      <c r="G16" s="15"/>
      <c r="H16" s="7"/>
      <c r="I16" s="15"/>
      <c r="J16" s="15"/>
      <c r="K16" s="15"/>
      <c r="L16" s="13"/>
      <c r="M16" s="6"/>
    </row>
    <row r="17" spans="2:13" x14ac:dyDescent="0.2">
      <c r="B17" s="13" t="s">
        <v>35</v>
      </c>
      <c r="C17" s="13" t="s">
        <v>36</v>
      </c>
      <c r="D17" s="16">
        <v>20.7</v>
      </c>
      <c r="E17" s="15">
        <v>1.8660000000000001</v>
      </c>
      <c r="F17" s="15">
        <v>3.7469999999999999</v>
      </c>
      <c r="G17" s="15">
        <v>3.7160000000000002</v>
      </c>
      <c r="H17" s="7">
        <f t="shared" si="0"/>
        <v>3.0999999999999694E-2</v>
      </c>
      <c r="I17" s="15" t="s">
        <v>185</v>
      </c>
      <c r="J17" s="15" t="s">
        <v>187</v>
      </c>
      <c r="K17" s="15"/>
      <c r="L17" s="13"/>
      <c r="M17" s="6"/>
    </row>
    <row r="18" spans="2:13" x14ac:dyDescent="0.2">
      <c r="B18" s="13"/>
      <c r="C18" s="13" t="s">
        <v>37</v>
      </c>
      <c r="D18" s="16"/>
      <c r="E18" s="15">
        <v>1.88</v>
      </c>
      <c r="F18" s="15"/>
      <c r="G18" s="15"/>
      <c r="H18" s="7"/>
      <c r="I18" s="15"/>
      <c r="J18" s="15"/>
      <c r="K18" s="15"/>
      <c r="L18" s="13"/>
      <c r="M18" s="6"/>
    </row>
    <row r="19" spans="2:13" x14ac:dyDescent="0.2">
      <c r="B19" s="13" t="s">
        <v>38</v>
      </c>
      <c r="C19" s="13" t="s">
        <v>39</v>
      </c>
      <c r="D19" s="16">
        <v>40.799999999999997</v>
      </c>
      <c r="E19" s="15">
        <v>1.8520000000000001</v>
      </c>
      <c r="F19" s="15">
        <v>3.6970000000000001</v>
      </c>
      <c r="G19" s="15">
        <v>3.6850000000000001</v>
      </c>
      <c r="H19" s="7">
        <f t="shared" si="0"/>
        <v>1.2000000000000011E-2</v>
      </c>
      <c r="I19" s="15" t="s">
        <v>41</v>
      </c>
      <c r="J19" s="15" t="s">
        <v>41</v>
      </c>
      <c r="K19" s="18"/>
      <c r="L19" s="13"/>
      <c r="M19" s="6"/>
    </row>
    <row r="20" spans="2:13" x14ac:dyDescent="0.2">
      <c r="B20" s="13"/>
      <c r="C20" s="13" t="s">
        <v>40</v>
      </c>
      <c r="D20" s="16"/>
      <c r="E20" s="15">
        <v>1.845</v>
      </c>
      <c r="F20" s="15"/>
      <c r="G20" s="15"/>
      <c r="H20" s="7"/>
      <c r="I20" s="15"/>
      <c r="J20" s="15"/>
      <c r="K20" s="15"/>
      <c r="L20" s="13"/>
      <c r="M20" s="6"/>
    </row>
    <row r="21" spans="2:13" x14ac:dyDescent="0.2">
      <c r="B21" s="13" t="s">
        <v>41</v>
      </c>
      <c r="C21" s="13" t="s">
        <v>39</v>
      </c>
      <c r="D21" s="16">
        <v>9.9</v>
      </c>
      <c r="E21" s="15">
        <v>1.8540000000000001</v>
      </c>
      <c r="F21" s="15">
        <v>3.702</v>
      </c>
      <c r="G21" s="15">
        <v>3.6869999999999998</v>
      </c>
      <c r="H21" s="7">
        <f t="shared" si="0"/>
        <v>1.5000000000000124E-2</v>
      </c>
      <c r="I21" s="15"/>
      <c r="J21" s="15"/>
      <c r="K21" s="21" t="s">
        <v>205</v>
      </c>
      <c r="L21" s="13"/>
      <c r="M21" s="6"/>
    </row>
    <row r="22" spans="2:13" x14ac:dyDescent="0.2">
      <c r="B22" s="13"/>
      <c r="C22" s="15" t="s">
        <v>42</v>
      </c>
      <c r="D22" s="16"/>
      <c r="E22" s="15">
        <v>1.847</v>
      </c>
      <c r="F22" s="15"/>
      <c r="G22" s="15"/>
      <c r="H22" s="7">
        <f t="shared" si="0"/>
        <v>0</v>
      </c>
      <c r="I22" s="15"/>
      <c r="J22" s="15"/>
      <c r="K22" s="21" t="s">
        <v>206</v>
      </c>
      <c r="L22" s="13"/>
      <c r="M22" s="6"/>
    </row>
    <row r="23" spans="2:13" x14ac:dyDescent="0.2">
      <c r="B23" s="13" t="s">
        <v>43</v>
      </c>
      <c r="C23" s="13" t="s">
        <v>44</v>
      </c>
      <c r="D23" s="16">
        <v>19.600000000000001</v>
      </c>
      <c r="E23" s="15">
        <v>1.867</v>
      </c>
      <c r="F23" s="15">
        <v>3.7330000000000001</v>
      </c>
      <c r="G23" s="15">
        <v>3.6949999999999998</v>
      </c>
      <c r="H23" s="7">
        <f t="shared" si="0"/>
        <v>3.8000000000000256E-2</v>
      </c>
      <c r="I23" s="15" t="s">
        <v>41</v>
      </c>
      <c r="J23" s="15" t="s">
        <v>41</v>
      </c>
      <c r="K23" s="15"/>
      <c r="L23" s="13"/>
      <c r="M23" s="6"/>
    </row>
    <row r="24" spans="2:13" x14ac:dyDescent="0.2">
      <c r="B24" s="13"/>
      <c r="C24" s="13" t="s">
        <v>45</v>
      </c>
      <c r="D24" s="16"/>
      <c r="E24" s="15">
        <v>1.865</v>
      </c>
      <c r="F24" s="15"/>
      <c r="G24" s="15"/>
      <c r="H24" s="7"/>
      <c r="I24" s="15"/>
      <c r="J24" s="15"/>
      <c r="K24" s="15"/>
      <c r="L24" s="13"/>
      <c r="M24" s="6"/>
    </row>
    <row r="25" spans="2:13" x14ac:dyDescent="0.2">
      <c r="B25" s="13" t="s">
        <v>46</v>
      </c>
      <c r="C25" s="13" t="s">
        <v>47</v>
      </c>
      <c r="D25" s="16">
        <v>3.8</v>
      </c>
      <c r="E25" s="17">
        <v>1.845</v>
      </c>
      <c r="F25" s="17">
        <v>3.7</v>
      </c>
      <c r="G25" s="17">
        <v>3.6760000000000002</v>
      </c>
      <c r="H25" s="7">
        <f t="shared" si="0"/>
        <v>2.4000000000000021E-2</v>
      </c>
      <c r="I25" s="15" t="s">
        <v>41</v>
      </c>
      <c r="J25" s="15" t="s">
        <v>41</v>
      </c>
      <c r="K25" s="15"/>
      <c r="L25" s="13"/>
      <c r="M25" s="6"/>
    </row>
    <row r="26" spans="2:13" x14ac:dyDescent="0.2">
      <c r="B26" s="13"/>
      <c r="C26" s="13" t="s">
        <v>48</v>
      </c>
      <c r="D26" s="16"/>
      <c r="E26" s="17">
        <v>1.855</v>
      </c>
      <c r="F26" s="17"/>
      <c r="G26" s="17"/>
      <c r="H26" s="7"/>
      <c r="I26" s="15"/>
      <c r="J26" s="15"/>
      <c r="K26" s="15"/>
      <c r="L26" s="13"/>
      <c r="M26" s="6"/>
    </row>
    <row r="27" spans="2:13" x14ac:dyDescent="0.2">
      <c r="B27" s="13" t="s">
        <v>49</v>
      </c>
      <c r="C27" s="13" t="s">
        <v>50</v>
      </c>
      <c r="D27" s="14">
        <v>2.6</v>
      </c>
      <c r="E27" s="15">
        <v>1.843</v>
      </c>
      <c r="F27" s="15">
        <v>3.694</v>
      </c>
      <c r="G27" s="15">
        <v>3.6669999999999998</v>
      </c>
      <c r="H27" s="7">
        <f t="shared" si="0"/>
        <v>2.7000000000000135E-2</v>
      </c>
      <c r="I27" s="15" t="s">
        <v>41</v>
      </c>
      <c r="J27" s="15" t="s">
        <v>41</v>
      </c>
      <c r="K27" s="15"/>
      <c r="L27" s="13"/>
      <c r="M27" s="6"/>
    </row>
    <row r="28" spans="2:13" x14ac:dyDescent="0.2">
      <c r="B28" s="13"/>
      <c r="C28" s="13" t="s">
        <v>51</v>
      </c>
      <c r="D28" s="14"/>
      <c r="E28" s="15">
        <v>1.851</v>
      </c>
      <c r="F28" s="15"/>
      <c r="G28" s="15"/>
      <c r="H28" s="7"/>
      <c r="I28" s="15"/>
      <c r="J28" s="15"/>
      <c r="K28" s="15"/>
      <c r="L28" s="13"/>
      <c r="M28" s="6"/>
    </row>
    <row r="29" spans="2:13" x14ac:dyDescent="0.2">
      <c r="B29" s="13" t="s">
        <v>52</v>
      </c>
      <c r="C29" s="13" t="s">
        <v>53</v>
      </c>
      <c r="D29" s="14">
        <v>3.4</v>
      </c>
      <c r="E29" s="15">
        <v>1.8440000000000001</v>
      </c>
      <c r="F29" s="15">
        <v>3.694</v>
      </c>
      <c r="G29" s="15">
        <v>3.669</v>
      </c>
      <c r="H29" s="7">
        <f t="shared" si="0"/>
        <v>2.4999999999999911E-2</v>
      </c>
      <c r="I29" s="15" t="s">
        <v>41</v>
      </c>
      <c r="J29" s="15" t="s">
        <v>41</v>
      </c>
      <c r="K29" s="15"/>
      <c r="L29" s="13"/>
      <c r="M29" s="6"/>
    </row>
    <row r="30" spans="2:13" x14ac:dyDescent="0.2">
      <c r="B30" s="13"/>
      <c r="C30" s="13" t="s">
        <v>54</v>
      </c>
      <c r="D30" s="14"/>
      <c r="E30" s="15">
        <v>1.85</v>
      </c>
      <c r="F30" s="15"/>
      <c r="G30" s="15"/>
      <c r="H30" s="7"/>
      <c r="I30" s="15"/>
      <c r="J30" s="15"/>
      <c r="K30" s="15"/>
      <c r="L30" s="13"/>
      <c r="M30" s="6"/>
    </row>
    <row r="31" spans="2:13" x14ac:dyDescent="0.2">
      <c r="B31" s="13" t="s">
        <v>55</v>
      </c>
      <c r="C31" s="13" t="s">
        <v>56</v>
      </c>
      <c r="D31" s="14">
        <v>3.2</v>
      </c>
      <c r="E31" s="15">
        <v>1.843</v>
      </c>
      <c r="F31" s="15">
        <v>3.6819999999999999</v>
      </c>
      <c r="G31" s="15">
        <v>3.6549999999999998</v>
      </c>
      <c r="H31" s="7">
        <f t="shared" si="0"/>
        <v>2.7000000000000135E-2</v>
      </c>
      <c r="I31" s="15" t="s">
        <v>41</v>
      </c>
      <c r="J31" s="15" t="s">
        <v>41</v>
      </c>
      <c r="K31" s="15"/>
      <c r="L31" s="13"/>
      <c r="M31" s="6"/>
    </row>
    <row r="32" spans="2:13" x14ac:dyDescent="0.2">
      <c r="B32" s="13"/>
      <c r="C32" s="13" t="s">
        <v>57</v>
      </c>
      <c r="D32" s="14"/>
      <c r="E32" s="15">
        <v>1.8380000000000001</v>
      </c>
      <c r="F32" s="15"/>
      <c r="G32" s="15"/>
      <c r="H32" s="7"/>
      <c r="I32" s="15"/>
      <c r="J32" s="15"/>
      <c r="K32" s="15"/>
      <c r="L32" s="13"/>
      <c r="M32" s="6"/>
    </row>
    <row r="33" spans="2:13" x14ac:dyDescent="0.2">
      <c r="B33" s="13" t="s">
        <v>58</v>
      </c>
      <c r="C33" s="13" t="s">
        <v>59</v>
      </c>
      <c r="D33" s="14">
        <v>6.7</v>
      </c>
      <c r="E33" s="15">
        <v>1.8280000000000001</v>
      </c>
      <c r="F33" s="15">
        <v>3.6659999999999999</v>
      </c>
      <c r="G33" s="15">
        <v>3.6379999999999999</v>
      </c>
      <c r="H33" s="7">
        <f t="shared" ref="H33" si="1">F33-G33</f>
        <v>2.8000000000000025E-2</v>
      </c>
      <c r="I33" s="15" t="s">
        <v>41</v>
      </c>
      <c r="J33" s="15" t="s">
        <v>41</v>
      </c>
      <c r="K33" s="15"/>
      <c r="L33" s="13"/>
      <c r="M33" s="6"/>
    </row>
    <row r="34" spans="2:13" x14ac:dyDescent="0.2">
      <c r="B34" s="13"/>
      <c r="C34" s="13" t="s">
        <v>60</v>
      </c>
      <c r="D34" s="14"/>
      <c r="E34" s="15">
        <v>1.837</v>
      </c>
      <c r="F34" s="15"/>
      <c r="G34" s="15"/>
      <c r="H34" s="7"/>
      <c r="I34" s="15"/>
      <c r="J34" s="15"/>
      <c r="K34" s="15"/>
      <c r="L34" s="22"/>
      <c r="M34" s="6"/>
    </row>
    <row r="35" spans="2:13" x14ac:dyDescent="0.2">
      <c r="B35" s="13" t="s">
        <v>61</v>
      </c>
      <c r="C35" s="13" t="s">
        <v>62</v>
      </c>
      <c r="D35" s="14">
        <v>21.1</v>
      </c>
      <c r="E35" s="15">
        <v>1.871</v>
      </c>
      <c r="F35" s="15">
        <v>3.742</v>
      </c>
      <c r="G35" s="15">
        <v>3.722</v>
      </c>
      <c r="H35" s="7">
        <f t="shared" ref="H35:H96" si="2">F35-G35</f>
        <v>2.0000000000000018E-2</v>
      </c>
      <c r="I35" s="15" t="s">
        <v>185</v>
      </c>
      <c r="J35" s="15" t="s">
        <v>188</v>
      </c>
      <c r="K35" s="15"/>
      <c r="L35" s="22"/>
      <c r="M35" s="6"/>
    </row>
    <row r="36" spans="2:13" x14ac:dyDescent="0.2">
      <c r="B36" s="13"/>
      <c r="C36" s="13" t="s">
        <v>63</v>
      </c>
      <c r="D36" s="13"/>
      <c r="E36" s="13">
        <v>1.87</v>
      </c>
      <c r="F36" s="13"/>
      <c r="G36" s="13"/>
      <c r="H36" s="7"/>
      <c r="I36" s="13"/>
      <c r="J36" s="13"/>
      <c r="K36" s="13"/>
      <c r="L36" s="20"/>
      <c r="M36" s="6"/>
    </row>
    <row r="37" spans="2:13" x14ac:dyDescent="0.2">
      <c r="B37" s="13" t="s">
        <v>64</v>
      </c>
      <c r="C37" s="13" t="s">
        <v>65</v>
      </c>
      <c r="D37" s="13">
        <v>22.4</v>
      </c>
      <c r="E37" s="13">
        <v>1.8580000000000001</v>
      </c>
      <c r="F37" s="13">
        <v>3.7250000000000001</v>
      </c>
      <c r="G37" s="13">
        <v>3.7010000000000001</v>
      </c>
      <c r="H37" s="7">
        <f t="shared" si="2"/>
        <v>2.4000000000000021E-2</v>
      </c>
      <c r="I37" s="13" t="s">
        <v>41</v>
      </c>
      <c r="J37" s="13" t="s">
        <v>41</v>
      </c>
      <c r="K37" s="15"/>
      <c r="L37" s="22"/>
      <c r="M37" s="6"/>
    </row>
    <row r="38" spans="2:13" x14ac:dyDescent="0.2">
      <c r="B38" s="13"/>
      <c r="C38" s="13" t="s">
        <v>66</v>
      </c>
      <c r="D38" s="14"/>
      <c r="E38" s="15">
        <v>1.8660000000000001</v>
      </c>
      <c r="F38" s="15"/>
      <c r="G38" s="15"/>
      <c r="H38" s="7"/>
      <c r="I38" s="13"/>
      <c r="J38" s="15"/>
      <c r="K38" s="15"/>
      <c r="L38" s="13"/>
      <c r="M38" s="6"/>
    </row>
    <row r="39" spans="2:13" x14ac:dyDescent="0.2">
      <c r="B39" s="13" t="s">
        <v>67</v>
      </c>
      <c r="C39" s="13" t="s">
        <v>68</v>
      </c>
      <c r="D39" s="14">
        <v>16.399999999999999</v>
      </c>
      <c r="E39" s="15">
        <v>1.8740000000000001</v>
      </c>
      <c r="F39" s="15">
        <v>3.738</v>
      </c>
      <c r="G39" s="15">
        <v>3.7080000000000002</v>
      </c>
      <c r="H39" s="7">
        <f t="shared" si="2"/>
        <v>2.9999999999999805E-2</v>
      </c>
      <c r="I39" s="13" t="s">
        <v>41</v>
      </c>
      <c r="J39" s="15" t="s">
        <v>41</v>
      </c>
      <c r="K39" s="15"/>
      <c r="L39" s="13"/>
      <c r="M39" s="6"/>
    </row>
    <row r="40" spans="2:13" x14ac:dyDescent="0.2">
      <c r="B40" s="13"/>
      <c r="C40" s="13" t="s">
        <v>69</v>
      </c>
      <c r="D40" s="14"/>
      <c r="E40" s="15">
        <v>1.863</v>
      </c>
      <c r="F40" s="15"/>
      <c r="G40" s="15"/>
      <c r="H40" s="7"/>
      <c r="I40" s="13"/>
      <c r="J40" s="13"/>
      <c r="K40" s="15"/>
      <c r="L40" s="22"/>
      <c r="M40" s="6"/>
    </row>
    <row r="41" spans="2:13" x14ac:dyDescent="0.2">
      <c r="B41" s="13" t="s">
        <v>70</v>
      </c>
      <c r="C41" s="13" t="s">
        <v>71</v>
      </c>
      <c r="D41" s="14">
        <v>20.100000000000001</v>
      </c>
      <c r="E41" s="15">
        <v>1.881</v>
      </c>
      <c r="F41" s="15">
        <v>3.766</v>
      </c>
      <c r="G41" s="15">
        <v>3.746</v>
      </c>
      <c r="H41" s="7">
        <f t="shared" si="2"/>
        <v>2.0000000000000018E-2</v>
      </c>
      <c r="I41" s="13" t="s">
        <v>41</v>
      </c>
      <c r="J41" s="15" t="s">
        <v>41</v>
      </c>
      <c r="K41" s="15"/>
      <c r="L41" s="13"/>
      <c r="M41" s="6"/>
    </row>
    <row r="42" spans="2:13" x14ac:dyDescent="0.2">
      <c r="B42" s="13"/>
      <c r="C42" s="13" t="s">
        <v>72</v>
      </c>
      <c r="D42" s="14"/>
      <c r="E42" s="15">
        <v>1.8839999999999999</v>
      </c>
      <c r="F42" s="15"/>
      <c r="G42" s="15"/>
      <c r="H42" s="7"/>
      <c r="I42" s="13"/>
      <c r="J42" s="15"/>
      <c r="K42" s="15"/>
      <c r="L42" s="13"/>
      <c r="M42" s="6"/>
    </row>
    <row r="43" spans="2:13" x14ac:dyDescent="0.2">
      <c r="B43" s="13" t="s">
        <v>73</v>
      </c>
      <c r="C43" s="13" t="s">
        <v>74</v>
      </c>
      <c r="D43" s="14">
        <v>5</v>
      </c>
      <c r="E43" s="15"/>
      <c r="F43" s="15">
        <v>1.8640000000000001</v>
      </c>
      <c r="G43" s="15">
        <v>1.847</v>
      </c>
      <c r="H43" s="7">
        <f t="shared" si="2"/>
        <v>1.7000000000000126E-2</v>
      </c>
      <c r="I43" s="15" t="s">
        <v>189</v>
      </c>
      <c r="J43" s="15" t="s">
        <v>190</v>
      </c>
      <c r="K43" s="15"/>
      <c r="L43" s="13" t="s">
        <v>207</v>
      </c>
      <c r="M43" s="6"/>
    </row>
    <row r="44" spans="2:13" x14ac:dyDescent="0.2">
      <c r="B44" s="13" t="s">
        <v>75</v>
      </c>
      <c r="C44" s="13" t="s">
        <v>76</v>
      </c>
      <c r="D44" s="14">
        <v>5</v>
      </c>
      <c r="E44" s="15"/>
      <c r="F44" s="15">
        <v>1.873</v>
      </c>
      <c r="G44" s="15">
        <v>1.861</v>
      </c>
      <c r="H44" s="7">
        <f t="shared" si="2"/>
        <v>1.2000000000000011E-2</v>
      </c>
      <c r="I44" s="15" t="s">
        <v>189</v>
      </c>
      <c r="J44" s="15" t="s">
        <v>191</v>
      </c>
      <c r="K44" s="15" t="s">
        <v>208</v>
      </c>
      <c r="L44" s="13" t="s">
        <v>41</v>
      </c>
      <c r="M44" s="6"/>
    </row>
    <row r="45" spans="2:13" x14ac:dyDescent="0.2">
      <c r="B45" s="13" t="s">
        <v>77</v>
      </c>
      <c r="C45" s="13" t="s">
        <v>78</v>
      </c>
      <c r="D45" s="14">
        <v>5.8</v>
      </c>
      <c r="E45" s="15"/>
      <c r="F45" s="15">
        <v>1.85</v>
      </c>
      <c r="G45" s="15">
        <v>1.837</v>
      </c>
      <c r="H45" s="7">
        <f t="shared" si="2"/>
        <v>1.3000000000000123E-2</v>
      </c>
      <c r="I45" s="15" t="s">
        <v>189</v>
      </c>
      <c r="J45" s="13" t="s">
        <v>192</v>
      </c>
      <c r="K45" s="13"/>
      <c r="L45" s="13" t="s">
        <v>41</v>
      </c>
      <c r="M45" s="6"/>
    </row>
    <row r="46" spans="2:13" x14ac:dyDescent="0.2">
      <c r="B46" s="13" t="s">
        <v>79</v>
      </c>
      <c r="C46" s="13" t="s">
        <v>80</v>
      </c>
      <c r="D46" s="14">
        <v>4.0999999999999996</v>
      </c>
      <c r="E46" s="15"/>
      <c r="F46" s="15">
        <v>1.865</v>
      </c>
      <c r="G46" s="15">
        <v>1.8520000000000001</v>
      </c>
      <c r="H46" s="7">
        <f t="shared" si="2"/>
        <v>1.2999999999999901E-2</v>
      </c>
      <c r="I46" s="13" t="s">
        <v>41</v>
      </c>
      <c r="J46" s="13" t="s">
        <v>41</v>
      </c>
      <c r="K46" s="13"/>
      <c r="L46" s="13" t="s">
        <v>41</v>
      </c>
      <c r="M46" s="6"/>
    </row>
    <row r="47" spans="2:13" x14ac:dyDescent="0.2">
      <c r="B47" s="13" t="s">
        <v>81</v>
      </c>
      <c r="C47" s="13" t="s">
        <v>82</v>
      </c>
      <c r="D47" s="14">
        <v>4.9000000000000004</v>
      </c>
      <c r="E47" s="15"/>
      <c r="F47" s="15">
        <v>1.863</v>
      </c>
      <c r="G47" s="15">
        <v>1.849</v>
      </c>
      <c r="H47" s="7">
        <f t="shared" si="2"/>
        <v>1.4000000000000012E-2</v>
      </c>
      <c r="I47" s="13" t="s">
        <v>41</v>
      </c>
      <c r="J47" s="13" t="s">
        <v>41</v>
      </c>
      <c r="K47" s="13"/>
      <c r="L47" s="13" t="s">
        <v>41</v>
      </c>
      <c r="M47" s="6"/>
    </row>
    <row r="48" spans="2:13" x14ac:dyDescent="0.2">
      <c r="B48" s="13" t="s">
        <v>83</v>
      </c>
      <c r="C48" s="13" t="s">
        <v>84</v>
      </c>
      <c r="D48" s="13">
        <v>6.5</v>
      </c>
      <c r="E48" s="15"/>
      <c r="F48" s="15">
        <v>1.857</v>
      </c>
      <c r="G48" s="13">
        <v>1.845</v>
      </c>
      <c r="H48" s="7">
        <f t="shared" si="2"/>
        <v>1.2000000000000011E-2</v>
      </c>
      <c r="I48" s="13" t="s">
        <v>41</v>
      </c>
      <c r="J48" s="13" t="s">
        <v>41</v>
      </c>
      <c r="K48" s="13"/>
      <c r="L48" s="13" t="s">
        <v>41</v>
      </c>
      <c r="M48" s="6"/>
    </row>
    <row r="49" spans="2:13" x14ac:dyDescent="0.2">
      <c r="B49" s="13" t="s">
        <v>85</v>
      </c>
      <c r="C49" s="13" t="s">
        <v>86</v>
      </c>
      <c r="D49" s="13">
        <v>3.2</v>
      </c>
      <c r="E49" s="15"/>
      <c r="F49" s="15">
        <v>1.86</v>
      </c>
      <c r="G49" s="13">
        <v>1.847</v>
      </c>
      <c r="H49" s="7">
        <f t="shared" si="2"/>
        <v>1.3000000000000123E-2</v>
      </c>
      <c r="I49" s="13" t="s">
        <v>41</v>
      </c>
      <c r="J49" s="13" t="s">
        <v>41</v>
      </c>
      <c r="K49" s="13"/>
      <c r="L49" s="13" t="s">
        <v>41</v>
      </c>
      <c r="M49" s="6"/>
    </row>
    <row r="50" spans="2:13" x14ac:dyDescent="0.2">
      <c r="B50" s="13" t="s">
        <v>87</v>
      </c>
      <c r="C50" s="13" t="s">
        <v>88</v>
      </c>
      <c r="D50" s="14">
        <v>11.3</v>
      </c>
      <c r="E50" s="15"/>
      <c r="F50" s="15">
        <v>1.855</v>
      </c>
      <c r="G50" s="15">
        <v>1.845</v>
      </c>
      <c r="H50" s="7">
        <f t="shared" si="2"/>
        <v>1.0000000000000009E-2</v>
      </c>
      <c r="I50" s="13" t="s">
        <v>41</v>
      </c>
      <c r="J50" s="13" t="s">
        <v>41</v>
      </c>
      <c r="K50" s="15"/>
      <c r="L50" s="13" t="s">
        <v>41</v>
      </c>
      <c r="M50" s="6"/>
    </row>
    <row r="51" spans="2:13" x14ac:dyDescent="0.2">
      <c r="B51" s="13" t="s">
        <v>89</v>
      </c>
      <c r="C51" s="13" t="s">
        <v>90</v>
      </c>
      <c r="D51" s="14">
        <v>11.7</v>
      </c>
      <c r="E51" s="15"/>
      <c r="F51" s="15">
        <v>1.8520000000000001</v>
      </c>
      <c r="G51" s="15">
        <v>1.8380000000000001</v>
      </c>
      <c r="H51" s="7">
        <f t="shared" si="2"/>
        <v>1.4000000000000012E-2</v>
      </c>
      <c r="I51" s="13" t="s">
        <v>41</v>
      </c>
      <c r="J51" s="13" t="s">
        <v>41</v>
      </c>
      <c r="K51" s="15"/>
      <c r="L51" s="15" t="s">
        <v>41</v>
      </c>
      <c r="M51" s="6"/>
    </row>
    <row r="52" spans="2:13" x14ac:dyDescent="0.2">
      <c r="B52" s="13" t="s">
        <v>91</v>
      </c>
      <c r="C52" s="13" t="s">
        <v>92</v>
      </c>
      <c r="D52" s="14">
        <v>11</v>
      </c>
      <c r="E52" s="15"/>
      <c r="F52" s="15">
        <v>1.8560000000000001</v>
      </c>
      <c r="G52" s="15">
        <v>1.8420000000000001</v>
      </c>
      <c r="H52" s="7">
        <f t="shared" si="2"/>
        <v>1.4000000000000012E-2</v>
      </c>
      <c r="I52" s="15" t="s">
        <v>41</v>
      </c>
      <c r="J52" s="15" t="s">
        <v>41</v>
      </c>
      <c r="K52" s="15"/>
      <c r="L52" s="15" t="s">
        <v>41</v>
      </c>
      <c r="M52" s="6"/>
    </row>
    <row r="53" spans="2:13" x14ac:dyDescent="0.2">
      <c r="B53" s="13" t="s">
        <v>93</v>
      </c>
      <c r="C53" s="13" t="s">
        <v>94</v>
      </c>
      <c r="D53" s="14">
        <v>10.7</v>
      </c>
      <c r="E53" s="15"/>
      <c r="F53" s="15">
        <v>1.8420000000000001</v>
      </c>
      <c r="G53" s="15">
        <v>1.8280000000000001</v>
      </c>
      <c r="H53" s="7">
        <f t="shared" si="2"/>
        <v>1.4000000000000012E-2</v>
      </c>
      <c r="I53" s="15" t="s">
        <v>41</v>
      </c>
      <c r="J53" s="15" t="s">
        <v>41</v>
      </c>
      <c r="K53" s="15"/>
      <c r="L53" s="15" t="s">
        <v>41</v>
      </c>
      <c r="M53" s="6"/>
    </row>
    <row r="54" spans="2:13" x14ac:dyDescent="0.2">
      <c r="B54" s="13" t="s">
        <v>95</v>
      </c>
      <c r="C54" s="13" t="s">
        <v>96</v>
      </c>
      <c r="D54" s="14">
        <v>11.8</v>
      </c>
      <c r="E54" s="15"/>
      <c r="F54" s="15">
        <v>1.847</v>
      </c>
      <c r="G54" s="15">
        <v>1.8340000000000001</v>
      </c>
      <c r="H54" s="7">
        <f t="shared" si="2"/>
        <v>1.2999999999999901E-2</v>
      </c>
      <c r="I54" s="15" t="s">
        <v>41</v>
      </c>
      <c r="J54" s="15" t="s">
        <v>41</v>
      </c>
      <c r="K54" s="15"/>
      <c r="L54" s="13" t="s">
        <v>41</v>
      </c>
      <c r="M54" s="6"/>
    </row>
    <row r="55" spans="2:13" x14ac:dyDescent="0.2">
      <c r="B55" s="13" t="s">
        <v>97</v>
      </c>
      <c r="C55" s="13" t="s">
        <v>40</v>
      </c>
      <c r="D55" s="14">
        <v>6.9</v>
      </c>
      <c r="E55" s="15"/>
      <c r="F55" s="15">
        <v>1.857</v>
      </c>
      <c r="G55" s="15">
        <v>1.847</v>
      </c>
      <c r="H55" s="7">
        <f t="shared" si="2"/>
        <v>1.0000000000000009E-2</v>
      </c>
      <c r="I55" s="13" t="s">
        <v>41</v>
      </c>
      <c r="J55" s="15" t="s">
        <v>41</v>
      </c>
      <c r="K55" s="21" t="s">
        <v>209</v>
      </c>
      <c r="L55" s="13" t="s">
        <v>41</v>
      </c>
      <c r="M55" s="6"/>
    </row>
    <row r="56" spans="2:13" x14ac:dyDescent="0.2">
      <c r="B56" s="13" t="s">
        <v>98</v>
      </c>
      <c r="C56" s="13" t="s">
        <v>99</v>
      </c>
      <c r="D56" s="14">
        <v>12.4</v>
      </c>
      <c r="E56" s="15"/>
      <c r="F56" s="15">
        <v>1.8440000000000001</v>
      </c>
      <c r="G56" s="15">
        <v>1.8320000000000001</v>
      </c>
      <c r="H56" s="7">
        <f t="shared" si="2"/>
        <v>1.2000000000000011E-2</v>
      </c>
      <c r="I56" s="13" t="s">
        <v>41</v>
      </c>
      <c r="J56" s="15" t="s">
        <v>41</v>
      </c>
      <c r="K56" s="15"/>
      <c r="L56" s="13" t="s">
        <v>41</v>
      </c>
      <c r="M56" s="6"/>
    </row>
    <row r="57" spans="2:13" x14ac:dyDescent="0.2">
      <c r="B57" s="13" t="s">
        <v>100</v>
      </c>
      <c r="C57" s="13" t="s">
        <v>101</v>
      </c>
      <c r="D57" s="14">
        <v>13.3</v>
      </c>
      <c r="E57" s="15"/>
      <c r="F57" s="15">
        <v>1.849</v>
      </c>
      <c r="G57" s="15">
        <v>1.837</v>
      </c>
      <c r="H57" s="7">
        <f t="shared" si="2"/>
        <v>1.2000000000000011E-2</v>
      </c>
      <c r="I57" s="13" t="s">
        <v>41</v>
      </c>
      <c r="J57" s="15" t="s">
        <v>41</v>
      </c>
      <c r="K57" s="15"/>
      <c r="L57" s="13" t="s">
        <v>41</v>
      </c>
      <c r="M57" s="6"/>
    </row>
    <row r="58" spans="2:13" x14ac:dyDescent="0.2">
      <c r="B58" s="13" t="s">
        <v>102</v>
      </c>
      <c r="C58" s="13" t="s">
        <v>103</v>
      </c>
      <c r="D58" s="14">
        <v>14.7</v>
      </c>
      <c r="E58" s="15"/>
      <c r="F58" s="15">
        <v>1.827</v>
      </c>
      <c r="G58" s="15">
        <v>1.8140000000000001</v>
      </c>
      <c r="H58" s="7">
        <f t="shared" si="2"/>
        <v>1.2999999999999901E-2</v>
      </c>
      <c r="I58" s="13" t="s">
        <v>41</v>
      </c>
      <c r="J58" s="15" t="s">
        <v>41</v>
      </c>
      <c r="K58" s="15"/>
      <c r="L58" s="13" t="s">
        <v>41</v>
      </c>
      <c r="M58" s="6"/>
    </row>
    <row r="59" spans="2:13" x14ac:dyDescent="0.2">
      <c r="B59" s="13" t="s">
        <v>104</v>
      </c>
      <c r="C59" s="13" t="s">
        <v>105</v>
      </c>
      <c r="D59" s="14">
        <v>12.4</v>
      </c>
      <c r="E59" s="15"/>
      <c r="F59" s="15">
        <v>1.849</v>
      </c>
      <c r="G59" s="15">
        <v>1.8360000000000001</v>
      </c>
      <c r="H59" s="7">
        <f t="shared" si="2"/>
        <v>1.2999999999999901E-2</v>
      </c>
      <c r="I59" s="13" t="s">
        <v>41</v>
      </c>
      <c r="J59" s="15" t="s">
        <v>41</v>
      </c>
      <c r="K59" s="15"/>
      <c r="L59" s="13" t="s">
        <v>41</v>
      </c>
      <c r="M59" s="6"/>
    </row>
    <row r="60" spans="2:13" x14ac:dyDescent="0.2">
      <c r="B60" s="13" t="s">
        <v>106</v>
      </c>
      <c r="C60" s="13" t="s">
        <v>107</v>
      </c>
      <c r="D60" s="13">
        <v>4.5</v>
      </c>
      <c r="E60" s="13"/>
      <c r="F60" s="13">
        <v>1.877</v>
      </c>
      <c r="G60" s="13">
        <v>1.863</v>
      </c>
      <c r="H60" s="7">
        <f t="shared" si="2"/>
        <v>1.4000000000000012E-2</v>
      </c>
      <c r="I60" s="13" t="s">
        <v>41</v>
      </c>
      <c r="J60" s="15" t="s">
        <v>41</v>
      </c>
      <c r="K60" s="13"/>
      <c r="L60" s="13" t="s">
        <v>41</v>
      </c>
      <c r="M60" s="6"/>
    </row>
    <row r="61" spans="2:13" x14ac:dyDescent="0.2">
      <c r="B61" s="13" t="s">
        <v>108</v>
      </c>
      <c r="C61" s="13" t="s">
        <v>109</v>
      </c>
      <c r="D61" s="14">
        <v>3.5</v>
      </c>
      <c r="E61" s="15"/>
      <c r="F61" s="15">
        <v>1.877</v>
      </c>
      <c r="G61" s="15">
        <v>1.863</v>
      </c>
      <c r="H61" s="7">
        <f t="shared" si="2"/>
        <v>1.4000000000000012E-2</v>
      </c>
      <c r="I61" s="13" t="s">
        <v>41</v>
      </c>
      <c r="J61" s="15" t="s">
        <v>193</v>
      </c>
      <c r="K61" s="15" t="s">
        <v>210</v>
      </c>
      <c r="L61" s="13" t="s">
        <v>41</v>
      </c>
      <c r="M61" s="6"/>
    </row>
    <row r="62" spans="2:13" x14ac:dyDescent="0.2">
      <c r="B62" s="13" t="s">
        <v>110</v>
      </c>
      <c r="C62" s="13" t="s">
        <v>111</v>
      </c>
      <c r="D62" s="14">
        <v>4.2</v>
      </c>
      <c r="E62" s="15"/>
      <c r="F62" s="15">
        <v>1.879</v>
      </c>
      <c r="G62" s="15">
        <v>1.8660000000000001</v>
      </c>
      <c r="H62" s="7">
        <f t="shared" si="2"/>
        <v>1.2999999999999901E-2</v>
      </c>
      <c r="I62" s="13" t="s">
        <v>41</v>
      </c>
      <c r="J62" s="15" t="s">
        <v>41</v>
      </c>
      <c r="K62" s="15" t="s">
        <v>41</v>
      </c>
      <c r="L62" s="13" t="s">
        <v>41</v>
      </c>
      <c r="M62" s="6"/>
    </row>
    <row r="63" spans="2:13" x14ac:dyDescent="0.2">
      <c r="B63" s="13" t="s">
        <v>112</v>
      </c>
      <c r="C63" s="13" t="s">
        <v>113</v>
      </c>
      <c r="D63" s="14">
        <v>10.199999999999999</v>
      </c>
      <c r="E63" s="15"/>
      <c r="F63" s="15">
        <v>1.877</v>
      </c>
      <c r="G63" s="15">
        <v>1.861</v>
      </c>
      <c r="H63" s="7">
        <f t="shared" si="2"/>
        <v>1.6000000000000014E-2</v>
      </c>
      <c r="I63" s="13" t="s">
        <v>41</v>
      </c>
      <c r="J63" s="15" t="s">
        <v>191</v>
      </c>
      <c r="K63" s="15" t="s">
        <v>211</v>
      </c>
      <c r="L63" s="15" t="s">
        <v>212</v>
      </c>
      <c r="M63" s="6"/>
    </row>
    <row r="64" spans="2:13" x14ac:dyDescent="0.2">
      <c r="B64" s="13" t="s">
        <v>114</v>
      </c>
      <c r="C64" s="13" t="s">
        <v>115</v>
      </c>
      <c r="D64" s="14">
        <v>9.6999999999999993</v>
      </c>
      <c r="E64" s="15"/>
      <c r="F64" s="15">
        <v>1.881</v>
      </c>
      <c r="G64" s="15">
        <v>1.865</v>
      </c>
      <c r="H64" s="7">
        <f t="shared" si="2"/>
        <v>1.6000000000000014E-2</v>
      </c>
      <c r="I64" s="13" t="s">
        <v>41</v>
      </c>
      <c r="J64" s="13" t="s">
        <v>41</v>
      </c>
      <c r="K64" s="15" t="s">
        <v>211</v>
      </c>
      <c r="L64" s="13"/>
      <c r="M64" s="6"/>
    </row>
    <row r="65" spans="2:13" x14ac:dyDescent="0.2">
      <c r="B65" s="13" t="s">
        <v>116</v>
      </c>
      <c r="C65" s="13" t="s">
        <v>117</v>
      </c>
      <c r="D65" s="14">
        <v>13.1</v>
      </c>
      <c r="E65" s="15"/>
      <c r="F65" s="15">
        <v>1.8660000000000001</v>
      </c>
      <c r="G65" s="15">
        <v>1.853</v>
      </c>
      <c r="H65" s="7">
        <f t="shared" si="2"/>
        <v>1.3000000000000123E-2</v>
      </c>
      <c r="I65" s="13" t="s">
        <v>41</v>
      </c>
      <c r="J65" s="13" t="s">
        <v>41</v>
      </c>
      <c r="K65" s="15" t="s">
        <v>211</v>
      </c>
      <c r="L65" s="13"/>
      <c r="M65" s="6"/>
    </row>
    <row r="66" spans="2:13" x14ac:dyDescent="0.2">
      <c r="B66" s="13" t="s">
        <v>118</v>
      </c>
      <c r="C66" s="13" t="s">
        <v>119</v>
      </c>
      <c r="D66" s="14">
        <v>12.6</v>
      </c>
      <c r="E66" s="15"/>
      <c r="F66" s="15">
        <v>1.869</v>
      </c>
      <c r="G66" s="15">
        <v>1.855</v>
      </c>
      <c r="H66" s="7">
        <f t="shared" si="2"/>
        <v>1.4000000000000012E-2</v>
      </c>
      <c r="I66" s="13" t="s">
        <v>41</v>
      </c>
      <c r="J66" s="13" t="s">
        <v>41</v>
      </c>
      <c r="K66" s="15" t="s">
        <v>211</v>
      </c>
      <c r="L66" s="13"/>
      <c r="M66" s="6"/>
    </row>
    <row r="67" spans="2:13" x14ac:dyDescent="0.2">
      <c r="B67" s="13" t="s">
        <v>120</v>
      </c>
      <c r="C67" s="13" t="s">
        <v>121</v>
      </c>
      <c r="D67" s="14">
        <v>11.4</v>
      </c>
      <c r="E67" s="15"/>
      <c r="F67" s="15">
        <v>1.875</v>
      </c>
      <c r="G67" s="15">
        <v>1.859</v>
      </c>
      <c r="H67" s="7">
        <f t="shared" si="2"/>
        <v>1.6000000000000014E-2</v>
      </c>
      <c r="I67" s="13" t="s">
        <v>41</v>
      </c>
      <c r="J67" s="13" t="s">
        <v>41</v>
      </c>
      <c r="K67" s="15" t="s">
        <v>213</v>
      </c>
      <c r="L67" s="13"/>
      <c r="M67" s="6"/>
    </row>
    <row r="68" spans="2:13" x14ac:dyDescent="0.2">
      <c r="B68" s="13" t="s">
        <v>122</v>
      </c>
      <c r="C68" s="13" t="s">
        <v>123</v>
      </c>
      <c r="D68" s="14">
        <v>10.3</v>
      </c>
      <c r="E68" s="15"/>
      <c r="F68" s="15">
        <v>1.873</v>
      </c>
      <c r="G68" s="15">
        <v>1.859</v>
      </c>
      <c r="H68" s="7">
        <f t="shared" si="2"/>
        <v>1.4000000000000012E-2</v>
      </c>
      <c r="I68" s="13" t="s">
        <v>41</v>
      </c>
      <c r="J68" s="13" t="s">
        <v>41</v>
      </c>
      <c r="K68" s="15" t="s">
        <v>213</v>
      </c>
      <c r="L68" s="13"/>
      <c r="M68" s="6"/>
    </row>
    <row r="69" spans="2:13" x14ac:dyDescent="0.2">
      <c r="B69" s="13" t="s">
        <v>124</v>
      </c>
      <c r="C69" s="13" t="s">
        <v>125</v>
      </c>
      <c r="D69" s="13">
        <v>11.2</v>
      </c>
      <c r="E69" s="13"/>
      <c r="F69" s="13">
        <v>1.895</v>
      </c>
      <c r="G69" s="13">
        <v>1.8819999999999999</v>
      </c>
      <c r="H69" s="7">
        <f t="shared" si="2"/>
        <v>1.3000000000000123E-2</v>
      </c>
      <c r="I69" s="13" t="s">
        <v>41</v>
      </c>
      <c r="J69" s="13" t="s">
        <v>41</v>
      </c>
      <c r="K69" s="15" t="s">
        <v>213</v>
      </c>
      <c r="L69" s="20"/>
      <c r="M69" s="6"/>
    </row>
    <row r="70" spans="2:13" x14ac:dyDescent="0.2">
      <c r="B70" s="13" t="s">
        <v>126</v>
      </c>
      <c r="C70" s="13" t="s">
        <v>127</v>
      </c>
      <c r="D70" s="13">
        <v>20.100000000000001</v>
      </c>
      <c r="E70" s="15"/>
      <c r="F70" s="15">
        <v>1.863</v>
      </c>
      <c r="G70" s="13">
        <v>1.857</v>
      </c>
      <c r="H70" s="7">
        <f t="shared" si="2"/>
        <v>6.0000000000000053E-3</v>
      </c>
      <c r="I70" s="13" t="s">
        <v>41</v>
      </c>
      <c r="J70" s="13" t="s">
        <v>41</v>
      </c>
      <c r="K70" s="15" t="s">
        <v>213</v>
      </c>
      <c r="L70" s="13"/>
      <c r="M70" s="6"/>
    </row>
    <row r="71" spans="2:13" x14ac:dyDescent="0.2">
      <c r="B71" s="13" t="s">
        <v>41</v>
      </c>
      <c r="C71" s="13" t="s">
        <v>41</v>
      </c>
      <c r="D71" s="13">
        <v>18.899999999999999</v>
      </c>
      <c r="E71" s="15"/>
      <c r="F71" s="15">
        <v>1.86</v>
      </c>
      <c r="G71" s="13">
        <v>1.8540000000000001</v>
      </c>
      <c r="H71" s="7">
        <f t="shared" si="2"/>
        <v>6.0000000000000053E-3</v>
      </c>
      <c r="I71" s="13" t="s">
        <v>41</v>
      </c>
      <c r="J71" s="13" t="s">
        <v>41</v>
      </c>
      <c r="K71" s="15" t="s">
        <v>41</v>
      </c>
      <c r="L71" s="13" t="s">
        <v>214</v>
      </c>
      <c r="M71" s="6"/>
    </row>
    <row r="72" spans="2:13" x14ac:dyDescent="0.2">
      <c r="B72" s="13" t="s">
        <v>128</v>
      </c>
      <c r="C72" s="13" t="s">
        <v>129</v>
      </c>
      <c r="D72" s="14">
        <v>16.3</v>
      </c>
      <c r="E72" s="15"/>
      <c r="F72" s="15">
        <v>1.8779999999999999</v>
      </c>
      <c r="G72" s="15">
        <v>1.869</v>
      </c>
      <c r="H72" s="7">
        <f t="shared" si="2"/>
        <v>8.999999999999897E-3</v>
      </c>
      <c r="I72" s="13" t="s">
        <v>41</v>
      </c>
      <c r="J72" s="13" t="s">
        <v>193</v>
      </c>
      <c r="K72" s="15" t="s">
        <v>215</v>
      </c>
      <c r="L72" s="13"/>
      <c r="M72" s="6"/>
    </row>
    <row r="73" spans="2:13" x14ac:dyDescent="0.2">
      <c r="B73" s="13" t="s">
        <v>130</v>
      </c>
      <c r="C73" s="13" t="s">
        <v>41</v>
      </c>
      <c r="D73" s="14">
        <v>9.5</v>
      </c>
      <c r="E73" s="15"/>
      <c r="F73" s="15">
        <v>1.8720000000000001</v>
      </c>
      <c r="G73" s="15">
        <v>1.857</v>
      </c>
      <c r="H73" s="7">
        <f t="shared" si="2"/>
        <v>1.5000000000000124E-2</v>
      </c>
      <c r="I73" s="13" t="s">
        <v>41</v>
      </c>
      <c r="J73" s="13" t="s">
        <v>41</v>
      </c>
      <c r="K73" s="13" t="s">
        <v>41</v>
      </c>
      <c r="L73" s="13"/>
      <c r="M73" s="6"/>
    </row>
    <row r="74" spans="2:13" x14ac:dyDescent="0.2">
      <c r="B74" s="13" t="s">
        <v>131</v>
      </c>
      <c r="C74" s="13" t="s">
        <v>41</v>
      </c>
      <c r="D74" s="14">
        <v>8.6</v>
      </c>
      <c r="E74" s="15"/>
      <c r="F74" s="15">
        <v>1.891</v>
      </c>
      <c r="G74" s="15">
        <v>1.8759999999999999</v>
      </c>
      <c r="H74" s="7">
        <f t="shared" si="2"/>
        <v>1.5000000000000124E-2</v>
      </c>
      <c r="I74" s="13" t="s">
        <v>41</v>
      </c>
      <c r="J74" s="13" t="s">
        <v>41</v>
      </c>
      <c r="K74" s="13" t="s">
        <v>41</v>
      </c>
      <c r="L74" s="13"/>
      <c r="M74" s="6"/>
    </row>
    <row r="75" spans="2:13" x14ac:dyDescent="0.2">
      <c r="B75" s="13" t="s">
        <v>132</v>
      </c>
      <c r="C75" s="13" t="s">
        <v>41</v>
      </c>
      <c r="D75" s="14">
        <v>10.5</v>
      </c>
      <c r="E75" s="15"/>
      <c r="F75" s="15">
        <v>1.861</v>
      </c>
      <c r="G75" s="15">
        <v>1.845</v>
      </c>
      <c r="H75" s="7">
        <f t="shared" si="2"/>
        <v>1.6000000000000014E-2</v>
      </c>
      <c r="I75" s="13" t="s">
        <v>41</v>
      </c>
      <c r="J75" s="13" t="s">
        <v>41</v>
      </c>
      <c r="K75" s="13" t="s">
        <v>41</v>
      </c>
      <c r="L75" s="13"/>
      <c r="M75" s="6"/>
    </row>
    <row r="76" spans="2:13" x14ac:dyDescent="0.2">
      <c r="B76" s="13" t="s">
        <v>133</v>
      </c>
      <c r="C76" s="13" t="s">
        <v>41</v>
      </c>
      <c r="D76" s="14">
        <v>11.3</v>
      </c>
      <c r="E76" s="15"/>
      <c r="F76" s="15">
        <v>1.8660000000000001</v>
      </c>
      <c r="G76" s="15">
        <v>1.85</v>
      </c>
      <c r="H76" s="7">
        <f t="shared" si="2"/>
        <v>1.6000000000000014E-2</v>
      </c>
      <c r="I76" s="13" t="s">
        <v>41</v>
      </c>
      <c r="J76" s="13" t="s">
        <v>41</v>
      </c>
      <c r="K76" s="13" t="s">
        <v>41</v>
      </c>
      <c r="L76" s="13"/>
      <c r="M76" s="6"/>
    </row>
    <row r="77" spans="2:13" x14ac:dyDescent="0.2">
      <c r="B77" s="13" t="s">
        <v>134</v>
      </c>
      <c r="C77" s="13" t="s">
        <v>41</v>
      </c>
      <c r="D77" s="14">
        <v>8.6999999999999993</v>
      </c>
      <c r="E77" s="15"/>
      <c r="F77" s="15">
        <v>1.8680000000000001</v>
      </c>
      <c r="G77" s="15">
        <v>1.8540000000000001</v>
      </c>
      <c r="H77" s="7">
        <f t="shared" si="2"/>
        <v>1.4000000000000012E-2</v>
      </c>
      <c r="I77" s="13" t="s">
        <v>41</v>
      </c>
      <c r="J77" s="13" t="s">
        <v>41</v>
      </c>
      <c r="K77" s="13" t="s">
        <v>41</v>
      </c>
      <c r="L77" s="13"/>
      <c r="M77" s="6"/>
    </row>
    <row r="78" spans="2:13" x14ac:dyDescent="0.2">
      <c r="B78" s="13" t="s">
        <v>135</v>
      </c>
      <c r="C78" s="13" t="s">
        <v>41</v>
      </c>
      <c r="D78" s="14">
        <v>7</v>
      </c>
      <c r="E78" s="15"/>
      <c r="F78" s="15">
        <v>1.8660000000000001</v>
      </c>
      <c r="G78" s="15">
        <v>1.8520000000000001</v>
      </c>
      <c r="H78" s="7">
        <f t="shared" si="2"/>
        <v>1.4000000000000012E-2</v>
      </c>
      <c r="I78" s="13" t="s">
        <v>41</v>
      </c>
      <c r="J78" s="13" t="s">
        <v>41</v>
      </c>
      <c r="K78" s="13" t="s">
        <v>41</v>
      </c>
      <c r="L78" s="13"/>
      <c r="M78" s="6"/>
    </row>
    <row r="79" spans="2:13" x14ac:dyDescent="0.2">
      <c r="B79" s="13" t="s">
        <v>136</v>
      </c>
      <c r="C79" s="13" t="s">
        <v>41</v>
      </c>
      <c r="D79" s="14">
        <v>5.5</v>
      </c>
      <c r="E79" s="15"/>
      <c r="F79" s="15">
        <v>1.8720000000000001</v>
      </c>
      <c r="G79" s="15">
        <v>1.857</v>
      </c>
      <c r="H79" s="7">
        <f t="shared" si="2"/>
        <v>1.5000000000000124E-2</v>
      </c>
      <c r="I79" s="13" t="s">
        <v>41</v>
      </c>
      <c r="J79" s="13" t="s">
        <v>41</v>
      </c>
      <c r="K79" s="13" t="s">
        <v>41</v>
      </c>
      <c r="L79" s="13"/>
      <c r="M79" s="6"/>
    </row>
    <row r="80" spans="2:13" x14ac:dyDescent="0.2">
      <c r="B80" s="13" t="s">
        <v>137</v>
      </c>
      <c r="C80" s="13" t="s">
        <v>41</v>
      </c>
      <c r="D80" s="14">
        <v>2.1</v>
      </c>
      <c r="E80" s="15"/>
      <c r="F80" s="15">
        <v>1.853</v>
      </c>
      <c r="G80" s="15">
        <v>1.837</v>
      </c>
      <c r="H80" s="7">
        <f t="shared" si="2"/>
        <v>1.6000000000000014E-2</v>
      </c>
      <c r="I80" s="13" t="s">
        <v>41</v>
      </c>
      <c r="J80" s="13" t="s">
        <v>41</v>
      </c>
      <c r="K80" s="13" t="s">
        <v>41</v>
      </c>
      <c r="L80" s="13"/>
      <c r="M80" s="6"/>
    </row>
    <row r="81" spans="2:13" x14ac:dyDescent="0.2">
      <c r="B81" s="13" t="s">
        <v>138</v>
      </c>
      <c r="C81" s="13" t="s">
        <v>41</v>
      </c>
      <c r="D81" s="14">
        <v>11.6</v>
      </c>
      <c r="E81" s="15"/>
      <c r="F81" s="15">
        <v>1.905</v>
      </c>
      <c r="G81" s="15">
        <v>1.8859999999999999</v>
      </c>
      <c r="H81" s="7">
        <f t="shared" si="2"/>
        <v>1.9000000000000128E-2</v>
      </c>
      <c r="I81" s="13" t="s">
        <v>41</v>
      </c>
      <c r="J81" s="13" t="s">
        <v>41</v>
      </c>
      <c r="K81" s="13" t="s">
        <v>41</v>
      </c>
      <c r="L81" s="13"/>
      <c r="M81" s="6"/>
    </row>
    <row r="82" spans="2:13" x14ac:dyDescent="0.2">
      <c r="B82" s="13" t="s">
        <v>139</v>
      </c>
      <c r="C82" s="13" t="s">
        <v>41</v>
      </c>
      <c r="D82" s="14">
        <v>10.6</v>
      </c>
      <c r="E82" s="15"/>
      <c r="F82" s="15">
        <v>1.86</v>
      </c>
      <c r="G82" s="15">
        <v>1.845</v>
      </c>
      <c r="H82" s="7">
        <f t="shared" si="2"/>
        <v>1.5000000000000124E-2</v>
      </c>
      <c r="I82" s="13" t="s">
        <v>41</v>
      </c>
      <c r="J82" s="13" t="s">
        <v>41</v>
      </c>
      <c r="K82" s="13" t="s">
        <v>41</v>
      </c>
      <c r="L82" s="13"/>
      <c r="M82" s="6"/>
    </row>
    <row r="83" spans="2:13" x14ac:dyDescent="0.2">
      <c r="B83" s="13" t="s">
        <v>140</v>
      </c>
      <c r="C83" s="13" t="s">
        <v>41</v>
      </c>
      <c r="D83" s="14">
        <v>6.8</v>
      </c>
      <c r="E83" s="15"/>
      <c r="F83" s="15">
        <v>1.8520000000000001</v>
      </c>
      <c r="G83" s="15">
        <v>1.839</v>
      </c>
      <c r="H83" s="7">
        <f t="shared" si="2"/>
        <v>1.3000000000000123E-2</v>
      </c>
      <c r="I83" s="13" t="s">
        <v>41</v>
      </c>
      <c r="J83" s="13" t="s">
        <v>41</v>
      </c>
      <c r="K83" s="13" t="s">
        <v>41</v>
      </c>
      <c r="L83" s="13"/>
      <c r="M83" s="6"/>
    </row>
    <row r="84" spans="2:13" x14ac:dyDescent="0.2">
      <c r="B84" s="13" t="s">
        <v>141</v>
      </c>
      <c r="C84" s="13" t="s">
        <v>41</v>
      </c>
      <c r="D84" s="13">
        <v>12.7</v>
      </c>
      <c r="E84" s="15"/>
      <c r="F84" s="15">
        <v>1.877</v>
      </c>
      <c r="G84" s="15">
        <v>1.867</v>
      </c>
      <c r="H84" s="7">
        <f t="shared" si="2"/>
        <v>1.0000000000000009E-2</v>
      </c>
      <c r="I84" s="13" t="s">
        <v>41</v>
      </c>
      <c r="J84" s="13" t="s">
        <v>41</v>
      </c>
      <c r="K84" s="13" t="s">
        <v>41</v>
      </c>
      <c r="L84" s="13"/>
      <c r="M84" s="6"/>
    </row>
    <row r="85" spans="2:13" x14ac:dyDescent="0.2">
      <c r="B85" s="13" t="s">
        <v>142</v>
      </c>
      <c r="C85" s="13" t="s">
        <v>41</v>
      </c>
      <c r="D85" s="14">
        <v>10.1</v>
      </c>
      <c r="E85" s="15"/>
      <c r="F85" s="15">
        <v>1.8540000000000001</v>
      </c>
      <c r="G85" s="15">
        <v>1.8380000000000001</v>
      </c>
      <c r="H85" s="7">
        <f t="shared" si="2"/>
        <v>1.6000000000000014E-2</v>
      </c>
      <c r="I85" s="13" t="s">
        <v>41</v>
      </c>
      <c r="J85" s="13" t="s">
        <v>41</v>
      </c>
      <c r="K85" s="13" t="s">
        <v>41</v>
      </c>
      <c r="L85" s="13"/>
      <c r="M85" s="6"/>
    </row>
    <row r="86" spans="2:13" x14ac:dyDescent="0.2">
      <c r="B86" s="13" t="s">
        <v>143</v>
      </c>
      <c r="C86" s="13" t="s">
        <v>41</v>
      </c>
      <c r="D86" s="14">
        <v>14.5</v>
      </c>
      <c r="E86" s="15"/>
      <c r="F86" s="15">
        <v>1.849</v>
      </c>
      <c r="G86" s="15">
        <v>1.8360000000000001</v>
      </c>
      <c r="H86" s="7">
        <f t="shared" si="2"/>
        <v>1.2999999999999901E-2</v>
      </c>
      <c r="I86" s="13" t="s">
        <v>41</v>
      </c>
      <c r="J86" s="13" t="s">
        <v>194</v>
      </c>
      <c r="K86" s="15"/>
      <c r="L86" s="13"/>
      <c r="M86" s="6"/>
    </row>
    <row r="87" spans="2:13" x14ac:dyDescent="0.2">
      <c r="B87" s="13" t="s">
        <v>144</v>
      </c>
      <c r="C87" s="13" t="s">
        <v>41</v>
      </c>
      <c r="D87" s="14">
        <v>27.1</v>
      </c>
      <c r="E87" s="15">
        <v>1.849</v>
      </c>
      <c r="F87" s="15">
        <v>5.5609999999999999</v>
      </c>
      <c r="G87" s="15">
        <v>5.5250000000000004</v>
      </c>
      <c r="H87" s="7">
        <f t="shared" si="2"/>
        <v>3.5999999999999588E-2</v>
      </c>
      <c r="I87" s="15" t="s">
        <v>195</v>
      </c>
      <c r="J87" s="15" t="s">
        <v>196</v>
      </c>
      <c r="K87" s="15"/>
      <c r="L87" s="13"/>
      <c r="M87" s="6"/>
    </row>
    <row r="88" spans="2:13" x14ac:dyDescent="0.2">
      <c r="B88" s="13"/>
      <c r="C88" s="13" t="s">
        <v>41</v>
      </c>
      <c r="D88" s="14"/>
      <c r="E88" s="15">
        <v>1.8460000000000001</v>
      </c>
      <c r="F88" s="15"/>
      <c r="G88" s="15"/>
      <c r="H88" s="7"/>
      <c r="I88" s="13"/>
      <c r="J88" s="15"/>
      <c r="K88" s="15"/>
      <c r="L88" s="13"/>
      <c r="M88" s="6"/>
    </row>
    <row r="89" spans="2:13" x14ac:dyDescent="0.2">
      <c r="B89" s="13"/>
      <c r="C89" s="13" t="s">
        <v>41</v>
      </c>
      <c r="D89" s="14"/>
      <c r="E89" s="15">
        <v>1.851</v>
      </c>
      <c r="F89" s="15"/>
      <c r="G89" s="15"/>
      <c r="H89" s="7"/>
      <c r="I89" s="13"/>
      <c r="J89" s="15"/>
      <c r="K89" s="15"/>
      <c r="L89" s="13"/>
      <c r="M89" s="6"/>
    </row>
    <row r="90" spans="2:13" x14ac:dyDescent="0.2">
      <c r="B90" s="13" t="s">
        <v>145</v>
      </c>
      <c r="C90" s="13" t="s">
        <v>41</v>
      </c>
      <c r="D90" s="14">
        <v>34</v>
      </c>
      <c r="E90" s="15">
        <v>1.859</v>
      </c>
      <c r="F90" s="15">
        <v>5.5679999999999996</v>
      </c>
      <c r="G90" s="15">
        <v>5.5229999999999997</v>
      </c>
      <c r="H90" s="7">
        <f t="shared" si="2"/>
        <v>4.4999999999999929E-2</v>
      </c>
      <c r="I90" s="13" t="s">
        <v>41</v>
      </c>
      <c r="J90" s="13" t="s">
        <v>41</v>
      </c>
      <c r="K90" s="15"/>
      <c r="L90" s="13"/>
      <c r="M90" s="6"/>
    </row>
    <row r="91" spans="2:13" x14ac:dyDescent="0.2">
      <c r="B91" s="13"/>
      <c r="C91" s="13" t="s">
        <v>41</v>
      </c>
      <c r="D91" s="13"/>
      <c r="E91" s="13">
        <v>1.8540000000000001</v>
      </c>
      <c r="F91" s="13"/>
      <c r="G91" s="13"/>
      <c r="H91" s="7"/>
      <c r="I91" s="13"/>
      <c r="J91" s="18"/>
      <c r="K91" s="15"/>
      <c r="L91" s="20"/>
      <c r="M91" s="6"/>
    </row>
    <row r="92" spans="2:13" x14ac:dyDescent="0.2">
      <c r="B92" s="13"/>
      <c r="C92" s="13" t="s">
        <v>129</v>
      </c>
      <c r="D92" s="14"/>
      <c r="E92" s="15">
        <v>1.8540000000000001</v>
      </c>
      <c r="F92" s="15"/>
      <c r="G92" s="15"/>
      <c r="H92" s="7"/>
      <c r="I92" s="13"/>
      <c r="J92" s="15"/>
      <c r="K92" s="15"/>
      <c r="L92" s="13"/>
      <c r="M92" s="6"/>
    </row>
    <row r="93" spans="2:13" x14ac:dyDescent="0.2">
      <c r="B93" s="13" t="s">
        <v>146</v>
      </c>
      <c r="C93" s="13" t="s">
        <v>41</v>
      </c>
      <c r="D93" s="14">
        <v>16.600000000000001</v>
      </c>
      <c r="E93" s="15">
        <v>1.8480000000000001</v>
      </c>
      <c r="F93" s="15">
        <v>5.5339999999999998</v>
      </c>
      <c r="G93" s="15">
        <v>5.4950000000000001</v>
      </c>
      <c r="H93" s="7">
        <f t="shared" si="2"/>
        <v>3.8999999999999702E-2</v>
      </c>
      <c r="I93" s="13" t="s">
        <v>41</v>
      </c>
      <c r="J93" s="13" t="s">
        <v>41</v>
      </c>
      <c r="K93" s="15"/>
      <c r="L93" s="13"/>
      <c r="M93" s="6"/>
    </row>
    <row r="94" spans="2:13" x14ac:dyDescent="0.2">
      <c r="B94" s="13"/>
      <c r="C94" s="13" t="s">
        <v>41</v>
      </c>
      <c r="D94" s="14"/>
      <c r="E94" s="15">
        <v>1.843</v>
      </c>
      <c r="F94" s="15"/>
      <c r="G94" s="15"/>
      <c r="H94" s="7"/>
      <c r="I94" s="13"/>
      <c r="J94" s="15"/>
      <c r="K94" s="15"/>
      <c r="L94" s="13"/>
      <c r="M94" s="6"/>
    </row>
    <row r="95" spans="2:13" x14ac:dyDescent="0.2">
      <c r="B95" s="13"/>
      <c r="C95" s="13" t="s">
        <v>41</v>
      </c>
      <c r="D95" s="14"/>
      <c r="E95" s="15">
        <v>1.8420000000000001</v>
      </c>
      <c r="F95" s="15"/>
      <c r="G95" s="15"/>
      <c r="H95" s="7"/>
      <c r="I95" s="13"/>
      <c r="J95" s="15"/>
      <c r="K95" s="15"/>
      <c r="L95" s="13"/>
      <c r="M95" s="6"/>
    </row>
    <row r="96" spans="2:13" x14ac:dyDescent="0.2">
      <c r="B96" s="13" t="s">
        <v>147</v>
      </c>
      <c r="C96" s="13" t="s">
        <v>41</v>
      </c>
      <c r="D96" s="14">
        <v>24.6</v>
      </c>
      <c r="E96" s="15">
        <v>1.869</v>
      </c>
      <c r="F96" s="15">
        <v>5.62</v>
      </c>
      <c r="G96" s="15">
        <v>5.5789999999999997</v>
      </c>
      <c r="H96" s="7">
        <f t="shared" si="2"/>
        <v>4.1000000000000369E-2</v>
      </c>
      <c r="I96" s="13" t="s">
        <v>41</v>
      </c>
      <c r="J96" s="13" t="s">
        <v>41</v>
      </c>
      <c r="K96" s="15"/>
      <c r="L96" s="13"/>
      <c r="M96" s="6"/>
    </row>
    <row r="97" spans="2:13" x14ac:dyDescent="0.2">
      <c r="B97" s="13"/>
      <c r="C97" s="13" t="s">
        <v>41</v>
      </c>
      <c r="D97" s="14"/>
      <c r="E97" s="15">
        <v>1.8660000000000001</v>
      </c>
      <c r="F97" s="15"/>
      <c r="G97" s="15"/>
      <c r="H97" s="7"/>
      <c r="I97" s="13"/>
      <c r="J97" s="15"/>
      <c r="K97" s="15"/>
      <c r="L97" s="13"/>
      <c r="M97" s="6"/>
    </row>
    <row r="98" spans="2:13" x14ac:dyDescent="0.2">
      <c r="B98" s="13"/>
      <c r="C98" s="13" t="s">
        <v>41</v>
      </c>
      <c r="D98" s="14"/>
      <c r="E98" s="15">
        <v>1.883</v>
      </c>
      <c r="F98" s="15"/>
      <c r="G98" s="15"/>
      <c r="H98" s="7"/>
      <c r="I98" s="13"/>
      <c r="J98" s="15"/>
      <c r="K98" s="15"/>
      <c r="L98" s="13"/>
      <c r="M98" s="6"/>
    </row>
    <row r="99" spans="2:13" x14ac:dyDescent="0.2">
      <c r="B99" s="13" t="s">
        <v>148</v>
      </c>
      <c r="C99" s="13" t="s">
        <v>41</v>
      </c>
      <c r="D99" s="14">
        <v>28.2</v>
      </c>
      <c r="E99" s="15">
        <v>1.839</v>
      </c>
      <c r="F99" s="15">
        <v>5.5359999999999996</v>
      </c>
      <c r="G99" s="15">
        <v>5.49</v>
      </c>
      <c r="H99" s="7">
        <f t="shared" ref="H99:H133" si="3">F99-G99</f>
        <v>4.5999999999999375E-2</v>
      </c>
      <c r="I99" s="13" t="s">
        <v>41</v>
      </c>
      <c r="J99" s="13" t="s">
        <v>41</v>
      </c>
      <c r="K99" s="15" t="s">
        <v>216</v>
      </c>
      <c r="L99" s="13"/>
      <c r="M99" s="6"/>
    </row>
    <row r="100" spans="2:13" x14ac:dyDescent="0.2">
      <c r="B100" s="13"/>
      <c r="C100" s="13" t="s">
        <v>41</v>
      </c>
      <c r="D100" s="14"/>
      <c r="E100" s="15">
        <v>1.85</v>
      </c>
      <c r="F100" s="15"/>
      <c r="G100" s="15"/>
      <c r="H100" s="7"/>
      <c r="I100" s="13"/>
      <c r="J100" s="15"/>
      <c r="K100" s="15"/>
      <c r="L100" s="20"/>
      <c r="M100" s="6"/>
    </row>
    <row r="101" spans="2:13" x14ac:dyDescent="0.2">
      <c r="B101" s="13"/>
      <c r="C101" s="13" t="s">
        <v>41</v>
      </c>
      <c r="D101" s="13"/>
      <c r="E101" s="13">
        <v>1.845</v>
      </c>
      <c r="F101" s="13"/>
      <c r="G101" s="13"/>
      <c r="H101" s="7"/>
      <c r="I101" s="13"/>
      <c r="J101" s="13"/>
      <c r="K101" s="13"/>
      <c r="L101" s="13"/>
      <c r="M101" s="6"/>
    </row>
    <row r="102" spans="2:13" x14ac:dyDescent="0.2">
      <c r="B102" s="13" t="s">
        <v>41</v>
      </c>
      <c r="C102" s="13"/>
      <c r="D102" s="13">
        <v>6.1</v>
      </c>
      <c r="E102" s="13"/>
      <c r="F102" s="13">
        <v>5.5060000000000002</v>
      </c>
      <c r="G102" s="13">
        <v>5.4850000000000003</v>
      </c>
      <c r="H102" s="7">
        <f t="shared" si="3"/>
        <v>2.0999999999999908E-2</v>
      </c>
      <c r="I102" s="13"/>
      <c r="J102" s="13"/>
      <c r="K102" s="13"/>
      <c r="L102" s="13" t="s">
        <v>217</v>
      </c>
      <c r="M102" s="6"/>
    </row>
    <row r="103" spans="2:13" x14ac:dyDescent="0.2">
      <c r="B103" s="13" t="s">
        <v>149</v>
      </c>
      <c r="C103" s="13" t="s">
        <v>41</v>
      </c>
      <c r="D103" s="13">
        <v>34.700000000000003</v>
      </c>
      <c r="E103" s="13">
        <v>1.849</v>
      </c>
      <c r="F103" s="13">
        <v>5.5570000000000004</v>
      </c>
      <c r="G103" s="13">
        <v>5.5110000000000001</v>
      </c>
      <c r="H103" s="7">
        <f t="shared" si="3"/>
        <v>4.6000000000000263E-2</v>
      </c>
      <c r="I103" s="13" t="s">
        <v>41</v>
      </c>
      <c r="J103" s="13" t="s">
        <v>41</v>
      </c>
      <c r="K103" s="13"/>
      <c r="L103" s="13"/>
      <c r="M103" s="6"/>
    </row>
    <row r="104" spans="2:13" x14ac:dyDescent="0.2">
      <c r="B104" s="13"/>
      <c r="C104" s="13" t="s">
        <v>41</v>
      </c>
      <c r="D104" s="13"/>
      <c r="E104" s="13">
        <v>1.841</v>
      </c>
      <c r="F104" s="13"/>
      <c r="G104" s="13"/>
      <c r="H104" s="7"/>
      <c r="I104" s="13"/>
      <c r="J104" s="13"/>
      <c r="K104" s="13"/>
      <c r="L104" s="13"/>
      <c r="M104" s="6"/>
    </row>
    <row r="105" spans="2:13" x14ac:dyDescent="0.2">
      <c r="B105" s="13"/>
      <c r="C105" s="13" t="s">
        <v>41</v>
      </c>
      <c r="D105" s="14"/>
      <c r="E105" s="15">
        <v>1.865</v>
      </c>
      <c r="F105" s="15"/>
      <c r="G105" s="15"/>
      <c r="H105" s="7"/>
      <c r="I105" s="13"/>
      <c r="J105" s="15"/>
      <c r="K105" s="15"/>
      <c r="L105" s="20"/>
      <c r="M105" s="6"/>
    </row>
    <row r="106" spans="2:13" x14ac:dyDescent="0.2">
      <c r="B106" s="13" t="s">
        <v>41</v>
      </c>
      <c r="C106" s="13"/>
      <c r="D106" s="14">
        <v>1.3</v>
      </c>
      <c r="E106" s="15"/>
      <c r="F106" s="15">
        <v>5.6619999999999999</v>
      </c>
      <c r="G106" s="15">
        <v>5.6449999999999996</v>
      </c>
      <c r="H106" s="7">
        <f t="shared" si="3"/>
        <v>1.7000000000000348E-2</v>
      </c>
      <c r="I106" s="13"/>
      <c r="J106" s="15"/>
      <c r="K106" s="15"/>
      <c r="L106" s="13" t="s">
        <v>217</v>
      </c>
      <c r="M106" s="6"/>
    </row>
    <row r="107" spans="2:13" x14ac:dyDescent="0.2">
      <c r="B107" s="13" t="s">
        <v>150</v>
      </c>
      <c r="C107" s="13" t="s">
        <v>41</v>
      </c>
      <c r="D107" s="14">
        <v>2.9</v>
      </c>
      <c r="E107" s="15"/>
      <c r="F107" s="15">
        <v>1.9179999999999999</v>
      </c>
      <c r="G107" s="15">
        <v>1.9039999999999999</v>
      </c>
      <c r="H107" s="7">
        <f t="shared" si="3"/>
        <v>1.4000000000000012E-2</v>
      </c>
      <c r="I107" s="13" t="s">
        <v>197</v>
      </c>
      <c r="J107" s="15" t="s">
        <v>198</v>
      </c>
      <c r="K107" s="15" t="s">
        <v>218</v>
      </c>
      <c r="L107" s="13"/>
      <c r="M107" s="6"/>
    </row>
    <row r="108" spans="2:13" x14ac:dyDescent="0.2">
      <c r="B108" s="13" t="s">
        <v>151</v>
      </c>
      <c r="C108" s="13" t="s">
        <v>41</v>
      </c>
      <c r="D108" s="14">
        <v>3.3</v>
      </c>
      <c r="E108" s="15"/>
      <c r="F108" s="15">
        <v>1.9359999999999999</v>
      </c>
      <c r="G108" s="15">
        <v>1.921</v>
      </c>
      <c r="H108" s="7">
        <f t="shared" si="3"/>
        <v>1.4999999999999902E-2</v>
      </c>
      <c r="I108" s="13" t="s">
        <v>41</v>
      </c>
      <c r="J108" s="13" t="s">
        <v>41</v>
      </c>
      <c r="K108" s="15" t="s">
        <v>219</v>
      </c>
      <c r="L108" s="13"/>
      <c r="M108" s="6"/>
    </row>
    <row r="109" spans="2:13" x14ac:dyDescent="0.2">
      <c r="B109" s="13" t="s">
        <v>152</v>
      </c>
      <c r="C109" s="13" t="s">
        <v>41</v>
      </c>
      <c r="D109" s="14">
        <v>2.7</v>
      </c>
      <c r="E109" s="15"/>
      <c r="F109" s="15">
        <v>1.9370000000000001</v>
      </c>
      <c r="G109" s="15">
        <v>1.9259999999999999</v>
      </c>
      <c r="H109" s="7">
        <f t="shared" si="3"/>
        <v>1.1000000000000121E-2</v>
      </c>
      <c r="I109" s="13" t="s">
        <v>41</v>
      </c>
      <c r="J109" s="13" t="s">
        <v>41</v>
      </c>
      <c r="K109" s="15" t="s">
        <v>220</v>
      </c>
      <c r="L109" s="23" t="s">
        <v>221</v>
      </c>
      <c r="M109" s="6"/>
    </row>
    <row r="110" spans="2:13" x14ac:dyDescent="0.2">
      <c r="B110" s="13" t="s">
        <v>153</v>
      </c>
      <c r="C110" s="13" t="s">
        <v>41</v>
      </c>
      <c r="D110" s="14">
        <v>3</v>
      </c>
      <c r="E110" s="15"/>
      <c r="F110" s="15">
        <v>1.921</v>
      </c>
      <c r="G110" s="15">
        <v>1.907</v>
      </c>
      <c r="H110" s="7">
        <f t="shared" si="3"/>
        <v>1.4000000000000012E-2</v>
      </c>
      <c r="I110" s="13" t="s">
        <v>41</v>
      </c>
      <c r="J110" s="13" t="s">
        <v>41</v>
      </c>
      <c r="K110" s="15" t="s">
        <v>222</v>
      </c>
      <c r="L110" s="13"/>
      <c r="M110" s="6"/>
    </row>
    <row r="111" spans="2:13" x14ac:dyDescent="0.2">
      <c r="B111" s="13" t="s">
        <v>154</v>
      </c>
      <c r="C111" s="13" t="s">
        <v>41</v>
      </c>
      <c r="D111" s="14">
        <v>2.2000000000000002</v>
      </c>
      <c r="E111" s="15"/>
      <c r="F111" s="15">
        <v>1.9079999999999999</v>
      </c>
      <c r="G111" s="15">
        <v>1.895</v>
      </c>
      <c r="H111" s="7">
        <f t="shared" si="3"/>
        <v>1.2999999999999901E-2</v>
      </c>
      <c r="I111" s="13" t="s">
        <v>41</v>
      </c>
      <c r="J111" s="13" t="s">
        <v>41</v>
      </c>
      <c r="K111" s="15" t="s">
        <v>223</v>
      </c>
      <c r="L111" s="13"/>
      <c r="M111" s="6"/>
    </row>
    <row r="112" spans="2:13" x14ac:dyDescent="0.2">
      <c r="B112" s="13" t="s">
        <v>155</v>
      </c>
      <c r="C112" s="13" t="s">
        <v>41</v>
      </c>
      <c r="D112" s="13">
        <v>2.4</v>
      </c>
      <c r="E112" s="13"/>
      <c r="F112" s="13">
        <v>1.8680000000000001</v>
      </c>
      <c r="G112" s="13">
        <v>1.853</v>
      </c>
      <c r="H112" s="7">
        <f t="shared" si="3"/>
        <v>1.5000000000000124E-2</v>
      </c>
      <c r="I112" s="15" t="s">
        <v>189</v>
      </c>
      <c r="J112" s="13" t="s">
        <v>199</v>
      </c>
      <c r="K112" s="13" t="s">
        <v>224</v>
      </c>
      <c r="L112" s="13"/>
      <c r="M112" s="6"/>
    </row>
    <row r="113" spans="2:13" x14ac:dyDescent="0.2">
      <c r="B113" s="13" t="s">
        <v>156</v>
      </c>
      <c r="C113" s="13" t="s">
        <v>157</v>
      </c>
      <c r="D113" s="14">
        <v>3.8</v>
      </c>
      <c r="E113" s="15"/>
      <c r="F113" s="15">
        <v>1.919</v>
      </c>
      <c r="G113" s="15">
        <v>1.909</v>
      </c>
      <c r="H113" s="7">
        <f t="shared" si="3"/>
        <v>1.0000000000000009E-2</v>
      </c>
      <c r="I113" s="13" t="s">
        <v>200</v>
      </c>
      <c r="J113" s="15" t="s">
        <v>201</v>
      </c>
      <c r="K113" s="15" t="s">
        <v>225</v>
      </c>
      <c r="L113" s="13"/>
      <c r="M113" s="6"/>
    </row>
    <row r="114" spans="2:13" x14ac:dyDescent="0.2">
      <c r="B114" s="13" t="s">
        <v>158</v>
      </c>
      <c r="C114" s="13" t="s">
        <v>159</v>
      </c>
      <c r="D114" s="14">
        <v>2.2000000000000002</v>
      </c>
      <c r="E114" s="15"/>
      <c r="F114" s="15">
        <v>1.875</v>
      </c>
      <c r="G114" s="15">
        <v>1.861</v>
      </c>
      <c r="H114" s="7">
        <f t="shared" si="3"/>
        <v>1.4000000000000012E-2</v>
      </c>
      <c r="I114" s="13" t="s">
        <v>183</v>
      </c>
      <c r="J114" s="15" t="s">
        <v>184</v>
      </c>
      <c r="K114" s="15"/>
      <c r="L114" s="13"/>
      <c r="M114" s="6"/>
    </row>
    <row r="115" spans="2:13" x14ac:dyDescent="0.2">
      <c r="B115" s="13" t="s">
        <v>160</v>
      </c>
      <c r="C115" s="13" t="s">
        <v>161</v>
      </c>
      <c r="D115" s="14">
        <v>2.7</v>
      </c>
      <c r="E115" s="15"/>
      <c r="F115" s="15">
        <v>1.881</v>
      </c>
      <c r="G115" s="15">
        <v>1.865</v>
      </c>
      <c r="H115" s="7">
        <f t="shared" si="3"/>
        <v>1.6000000000000014E-2</v>
      </c>
      <c r="I115" s="13" t="s">
        <v>41</v>
      </c>
      <c r="J115" s="13" t="s">
        <v>41</v>
      </c>
      <c r="K115" s="15"/>
      <c r="L115" s="13"/>
      <c r="M115" s="6"/>
    </row>
    <row r="116" spans="2:13" x14ac:dyDescent="0.2">
      <c r="B116" s="13" t="s">
        <v>162</v>
      </c>
      <c r="C116" s="13" t="s">
        <v>163</v>
      </c>
      <c r="D116" s="14">
        <v>3.7</v>
      </c>
      <c r="E116" s="15"/>
      <c r="F116" s="15">
        <v>1.879</v>
      </c>
      <c r="G116" s="15">
        <v>1.8680000000000001</v>
      </c>
      <c r="H116" s="7">
        <f t="shared" si="3"/>
        <v>1.0999999999999899E-2</v>
      </c>
      <c r="I116" s="13" t="s">
        <v>41</v>
      </c>
      <c r="J116" s="13" t="s">
        <v>41</v>
      </c>
      <c r="K116" s="15"/>
      <c r="L116" s="13"/>
      <c r="M116" s="6"/>
    </row>
    <row r="117" spans="2:13" x14ac:dyDescent="0.2">
      <c r="B117" s="13" t="s">
        <v>164</v>
      </c>
      <c r="C117" s="13" t="s">
        <v>165</v>
      </c>
      <c r="D117" s="14">
        <v>2.7</v>
      </c>
      <c r="E117" s="15"/>
      <c r="F117" s="15">
        <v>1.8839999999999999</v>
      </c>
      <c r="G117" s="15">
        <v>1.871</v>
      </c>
      <c r="H117" s="7">
        <f t="shared" si="3"/>
        <v>1.2999999999999901E-2</v>
      </c>
      <c r="I117" s="13" t="s">
        <v>41</v>
      </c>
      <c r="J117" s="13" t="s">
        <v>41</v>
      </c>
      <c r="K117" s="15"/>
      <c r="L117" s="13"/>
      <c r="M117" s="6"/>
    </row>
    <row r="118" spans="2:13" x14ac:dyDescent="0.2">
      <c r="B118" s="13" t="s">
        <v>166</v>
      </c>
      <c r="C118" s="13" t="s">
        <v>167</v>
      </c>
      <c r="D118" s="14">
        <v>8.6999999999999993</v>
      </c>
      <c r="E118" s="15"/>
      <c r="F118" s="15">
        <v>1.893</v>
      </c>
      <c r="G118" s="15">
        <v>1.8779999999999999</v>
      </c>
      <c r="H118" s="7">
        <f t="shared" si="3"/>
        <v>1.5000000000000124E-2</v>
      </c>
      <c r="I118" s="13" t="s">
        <v>41</v>
      </c>
      <c r="J118" s="13" t="s">
        <v>41</v>
      </c>
      <c r="K118" s="15"/>
      <c r="L118" s="13"/>
      <c r="M118" s="6"/>
    </row>
    <row r="119" spans="2:13" x14ac:dyDescent="0.2">
      <c r="B119" s="13" t="s">
        <v>168</v>
      </c>
      <c r="C119" s="13" t="s">
        <v>41</v>
      </c>
      <c r="D119" s="14">
        <v>8.4</v>
      </c>
      <c r="E119" s="15"/>
      <c r="F119" s="15">
        <v>1.9039999999999999</v>
      </c>
      <c r="G119" s="15">
        <v>1.89</v>
      </c>
      <c r="H119" s="7">
        <f t="shared" si="3"/>
        <v>1.4000000000000012E-2</v>
      </c>
      <c r="I119" s="13" t="s">
        <v>41</v>
      </c>
      <c r="J119" s="13" t="s">
        <v>41</v>
      </c>
      <c r="K119" s="15"/>
      <c r="L119" s="13"/>
      <c r="M119" s="6"/>
    </row>
    <row r="120" spans="2:13" x14ac:dyDescent="0.2">
      <c r="B120" s="13" t="s">
        <v>169</v>
      </c>
      <c r="C120" s="13" t="s">
        <v>41</v>
      </c>
      <c r="D120" s="13">
        <v>8.1</v>
      </c>
      <c r="E120" s="15"/>
      <c r="F120" s="15">
        <v>1.88</v>
      </c>
      <c r="G120" s="13">
        <v>1.863</v>
      </c>
      <c r="H120" s="7">
        <f t="shared" si="3"/>
        <v>1.6999999999999904E-2</v>
      </c>
      <c r="I120" s="13" t="s">
        <v>41</v>
      </c>
      <c r="J120" s="13" t="s">
        <v>41</v>
      </c>
      <c r="K120" s="13"/>
      <c r="L120" s="13"/>
      <c r="M120" s="6"/>
    </row>
    <row r="121" spans="2:13" x14ac:dyDescent="0.2">
      <c r="B121" s="13" t="s">
        <v>170</v>
      </c>
      <c r="C121" s="13" t="s">
        <v>41</v>
      </c>
      <c r="D121" s="13">
        <v>9.1</v>
      </c>
      <c r="E121" s="13"/>
      <c r="F121" s="13">
        <v>1.8859999999999999</v>
      </c>
      <c r="G121" s="13">
        <v>1.871</v>
      </c>
      <c r="H121" s="7">
        <f t="shared" si="3"/>
        <v>1.4999999999999902E-2</v>
      </c>
      <c r="I121" s="13" t="s">
        <v>41</v>
      </c>
      <c r="J121" s="13" t="s">
        <v>41</v>
      </c>
      <c r="K121" s="13"/>
      <c r="L121" s="13"/>
      <c r="M121" s="6"/>
    </row>
    <row r="122" spans="2:13" x14ac:dyDescent="0.2">
      <c r="B122" s="13" t="s">
        <v>171</v>
      </c>
      <c r="C122" s="13" t="s">
        <v>41</v>
      </c>
      <c r="D122" s="13">
        <v>9.3000000000000007</v>
      </c>
      <c r="E122" s="13"/>
      <c r="F122" s="13">
        <v>1.875</v>
      </c>
      <c r="G122" s="13">
        <v>1.8580000000000001</v>
      </c>
      <c r="H122" s="7">
        <f t="shared" si="3"/>
        <v>1.6999999999999904E-2</v>
      </c>
      <c r="I122" s="13" t="s">
        <v>41</v>
      </c>
      <c r="J122" s="13" t="s">
        <v>41</v>
      </c>
      <c r="K122" s="13"/>
      <c r="L122" s="13"/>
      <c r="M122" s="6"/>
    </row>
    <row r="123" spans="2:13" x14ac:dyDescent="0.2">
      <c r="B123" s="13" t="s">
        <v>172</v>
      </c>
      <c r="C123" s="13" t="s">
        <v>41</v>
      </c>
      <c r="D123" s="13">
        <v>12.1</v>
      </c>
      <c r="E123" s="13"/>
      <c r="F123" s="13">
        <v>1.8560000000000001</v>
      </c>
      <c r="G123" s="13">
        <v>1.845</v>
      </c>
      <c r="H123" s="7">
        <f t="shared" si="3"/>
        <v>1.1000000000000121E-2</v>
      </c>
      <c r="I123" s="13" t="s">
        <v>41</v>
      </c>
      <c r="J123" s="13" t="s">
        <v>41</v>
      </c>
      <c r="K123" s="13"/>
      <c r="L123" s="13"/>
      <c r="M123" s="6"/>
    </row>
    <row r="124" spans="2:13" x14ac:dyDescent="0.2">
      <c r="B124" s="13" t="s">
        <v>173</v>
      </c>
      <c r="C124" s="13" t="s">
        <v>41</v>
      </c>
      <c r="D124" s="13">
        <v>1.2</v>
      </c>
      <c r="E124" s="13"/>
      <c r="F124" s="13">
        <v>1.901</v>
      </c>
      <c r="G124" s="13">
        <v>1.8879999999999999</v>
      </c>
      <c r="H124" s="7">
        <f t="shared" si="3"/>
        <v>1.3000000000000123E-2</v>
      </c>
      <c r="I124" s="13" t="s">
        <v>41</v>
      </c>
      <c r="J124" s="13" t="s">
        <v>202</v>
      </c>
      <c r="K124" s="13"/>
      <c r="L124" s="13"/>
      <c r="M124" s="6"/>
    </row>
    <row r="125" spans="2:13" x14ac:dyDescent="0.2">
      <c r="B125" s="13" t="s">
        <v>174</v>
      </c>
      <c r="C125" s="13" t="s">
        <v>41</v>
      </c>
      <c r="D125" s="13">
        <v>1.7</v>
      </c>
      <c r="E125" s="13"/>
      <c r="F125" s="13">
        <v>1.9179999999999999</v>
      </c>
      <c r="G125" s="13">
        <v>1.9119999999999999</v>
      </c>
      <c r="H125" s="7">
        <f t="shared" si="3"/>
        <v>6.0000000000000053E-3</v>
      </c>
      <c r="I125" s="13" t="s">
        <v>41</v>
      </c>
      <c r="J125" s="13" t="s">
        <v>41</v>
      </c>
      <c r="K125" s="13"/>
      <c r="L125" s="13"/>
      <c r="M125" s="6"/>
    </row>
    <row r="126" spans="2:13" x14ac:dyDescent="0.2">
      <c r="B126" s="13" t="s">
        <v>175</v>
      </c>
      <c r="C126" s="13" t="s">
        <v>41</v>
      </c>
      <c r="D126" s="13">
        <v>1.3</v>
      </c>
      <c r="E126" s="13"/>
      <c r="F126" s="13">
        <v>1.9079999999999999</v>
      </c>
      <c r="G126" s="13">
        <v>1.8979999999999999</v>
      </c>
      <c r="H126" s="7">
        <f t="shared" si="3"/>
        <v>1.0000000000000009E-2</v>
      </c>
      <c r="I126" s="13" t="s">
        <v>41</v>
      </c>
      <c r="J126" s="13" t="s">
        <v>41</v>
      </c>
      <c r="K126" s="13"/>
      <c r="L126" s="13"/>
      <c r="M126" s="6"/>
    </row>
    <row r="127" spans="2:13" x14ac:dyDescent="0.2">
      <c r="B127" s="13" t="s">
        <v>176</v>
      </c>
      <c r="C127" s="13" t="s">
        <v>41</v>
      </c>
      <c r="D127" s="13">
        <v>1.2</v>
      </c>
      <c r="E127" s="13"/>
      <c r="F127" s="13">
        <v>1.9179999999999999</v>
      </c>
      <c r="G127" s="13">
        <v>1.907</v>
      </c>
      <c r="H127" s="7">
        <f t="shared" si="3"/>
        <v>1.0999999999999899E-2</v>
      </c>
      <c r="I127" s="13" t="s">
        <v>41</v>
      </c>
      <c r="J127" s="13" t="s">
        <v>41</v>
      </c>
      <c r="K127" s="13"/>
      <c r="L127" s="13"/>
      <c r="M127" s="6"/>
    </row>
    <row r="128" spans="2:13" x14ac:dyDescent="0.2">
      <c r="B128" s="13" t="s">
        <v>177</v>
      </c>
      <c r="C128" s="13" t="s">
        <v>41</v>
      </c>
      <c r="D128" s="14">
        <v>1.3</v>
      </c>
      <c r="E128" s="15"/>
      <c r="F128" s="15">
        <v>1.9</v>
      </c>
      <c r="G128" s="15">
        <v>1.889</v>
      </c>
      <c r="H128" s="7">
        <f t="shared" si="3"/>
        <v>1.0999999999999899E-2</v>
      </c>
      <c r="I128" s="13" t="s">
        <v>41</v>
      </c>
      <c r="J128" s="13" t="s">
        <v>41</v>
      </c>
      <c r="K128" s="15"/>
      <c r="L128" s="13"/>
      <c r="M128" s="6"/>
    </row>
    <row r="129" spans="2:13" x14ac:dyDescent="0.2">
      <c r="B129" s="13" t="s">
        <v>178</v>
      </c>
      <c r="C129" s="13" t="s">
        <v>41</v>
      </c>
      <c r="D129" s="14">
        <v>1.4</v>
      </c>
      <c r="E129" s="15"/>
      <c r="F129" s="15">
        <v>1.9019999999999999</v>
      </c>
      <c r="G129" s="15">
        <v>1.893</v>
      </c>
      <c r="H129" s="7">
        <f t="shared" si="3"/>
        <v>8.999999999999897E-3</v>
      </c>
      <c r="I129" s="13" t="s">
        <v>41</v>
      </c>
      <c r="J129" s="13" t="s">
        <v>41</v>
      </c>
      <c r="K129" s="15"/>
      <c r="L129" s="13"/>
      <c r="M129" s="6"/>
    </row>
    <row r="130" spans="2:13" x14ac:dyDescent="0.2">
      <c r="B130" s="13" t="s">
        <v>179</v>
      </c>
      <c r="C130" s="13" t="s">
        <v>41</v>
      </c>
      <c r="D130" s="14">
        <v>1.5</v>
      </c>
      <c r="E130" s="15"/>
      <c r="F130" s="15">
        <v>1.8819999999999999</v>
      </c>
      <c r="G130" s="15">
        <v>1.8680000000000001</v>
      </c>
      <c r="H130" s="7">
        <f t="shared" si="3"/>
        <v>1.399999999999979E-2</v>
      </c>
      <c r="I130" s="13" t="s">
        <v>41</v>
      </c>
      <c r="J130" s="13" t="s">
        <v>41</v>
      </c>
      <c r="K130" s="15"/>
      <c r="L130" s="13"/>
      <c r="M130" s="6"/>
    </row>
    <row r="131" spans="2:13" x14ac:dyDescent="0.2">
      <c r="B131" s="13" t="s">
        <v>180</v>
      </c>
      <c r="C131" s="13" t="s">
        <v>41</v>
      </c>
      <c r="D131" s="14">
        <v>1.6</v>
      </c>
      <c r="E131" s="15"/>
      <c r="F131" s="15">
        <v>1.871</v>
      </c>
      <c r="G131" s="15">
        <v>1.859</v>
      </c>
      <c r="H131" s="7">
        <f t="shared" si="3"/>
        <v>1.2000000000000011E-2</v>
      </c>
      <c r="I131" s="13" t="s">
        <v>41</v>
      </c>
      <c r="J131" s="13" t="s">
        <v>41</v>
      </c>
      <c r="K131" s="15"/>
      <c r="L131" s="13"/>
      <c r="M131" s="6"/>
    </row>
    <row r="132" spans="2:13" x14ac:dyDescent="0.2">
      <c r="B132" s="13" t="s">
        <v>181</v>
      </c>
      <c r="C132" s="13" t="s">
        <v>41</v>
      </c>
      <c r="D132" s="14">
        <v>1.3</v>
      </c>
      <c r="E132" s="15"/>
      <c r="F132" s="15">
        <v>1.879</v>
      </c>
      <c r="G132" s="15">
        <v>1.8680000000000001</v>
      </c>
      <c r="H132" s="7">
        <f t="shared" si="3"/>
        <v>1.0999999999999899E-2</v>
      </c>
      <c r="I132" s="13" t="s">
        <v>41</v>
      </c>
      <c r="J132" s="13" t="s">
        <v>41</v>
      </c>
      <c r="K132" s="15"/>
      <c r="L132" s="13"/>
      <c r="M132" s="6"/>
    </row>
    <row r="133" spans="2:13" x14ac:dyDescent="0.2">
      <c r="B133" s="13" t="s">
        <v>182</v>
      </c>
      <c r="C133" s="13" t="s">
        <v>41</v>
      </c>
      <c r="D133" s="14">
        <v>1.7</v>
      </c>
      <c r="E133" s="15"/>
      <c r="F133" s="15">
        <v>1.875</v>
      </c>
      <c r="G133" s="15">
        <v>1.863</v>
      </c>
      <c r="H133" s="7">
        <f t="shared" si="3"/>
        <v>1.2000000000000011E-2</v>
      </c>
      <c r="I133" s="13" t="s">
        <v>41</v>
      </c>
      <c r="J133" s="13" t="s">
        <v>41</v>
      </c>
      <c r="K133" s="15"/>
      <c r="L133" s="13"/>
      <c r="M133" s="6"/>
    </row>
    <row r="134" spans="2:13" x14ac:dyDescent="0.2">
      <c r="B134" s="6"/>
      <c r="C134" s="6"/>
      <c r="D134" s="6"/>
      <c r="E134" s="7"/>
      <c r="F134" s="7"/>
      <c r="G134" s="7"/>
      <c r="H134" s="7"/>
      <c r="I134" s="7"/>
      <c r="J134" s="5"/>
      <c r="K134" s="6"/>
      <c r="L134" s="6"/>
      <c r="M134" s="6"/>
    </row>
    <row r="135" spans="2:13" x14ac:dyDescent="0.2">
      <c r="B135" s="6"/>
      <c r="C135" s="6"/>
      <c r="D135" s="6"/>
      <c r="E135" s="7"/>
      <c r="F135" s="7"/>
      <c r="G135" s="7"/>
      <c r="H135" s="7"/>
      <c r="I135" s="7"/>
      <c r="J135" s="5"/>
      <c r="K135" s="6"/>
      <c r="L135" s="6"/>
      <c r="M135" s="6"/>
    </row>
    <row r="136" spans="2:13" x14ac:dyDescent="0.2">
      <c r="B136" s="6"/>
      <c r="C136" s="6"/>
      <c r="D136" s="6"/>
      <c r="E136" s="7"/>
      <c r="F136" s="7"/>
      <c r="G136" s="7"/>
      <c r="H136" s="7"/>
      <c r="I136" s="7"/>
      <c r="J136" s="5"/>
      <c r="K136" s="6"/>
      <c r="L136" s="6"/>
      <c r="M136" s="6"/>
    </row>
    <row r="137" spans="2:13" x14ac:dyDescent="0.2">
      <c r="B137" s="6"/>
      <c r="C137" s="6"/>
      <c r="D137" s="6"/>
      <c r="E137" s="7"/>
      <c r="F137" s="7"/>
      <c r="G137" s="7"/>
      <c r="H137" s="7"/>
      <c r="I137" s="7"/>
      <c r="J137" s="5"/>
      <c r="K137" s="6"/>
      <c r="L137" s="6"/>
      <c r="M137" s="6"/>
    </row>
    <row r="138" spans="2:13" x14ac:dyDescent="0.2">
      <c r="B138" s="6"/>
      <c r="C138" s="6"/>
      <c r="D138" s="6"/>
      <c r="E138" s="7"/>
      <c r="F138" s="7"/>
      <c r="G138" s="7"/>
      <c r="H138" s="7"/>
      <c r="I138" s="7"/>
      <c r="J138" s="5"/>
      <c r="K138" s="6"/>
      <c r="L138" s="6"/>
      <c r="M138" s="6"/>
    </row>
    <row r="139" spans="2:13" x14ac:dyDescent="0.2">
      <c r="B139" s="6"/>
      <c r="C139" s="6"/>
      <c r="D139" s="6"/>
      <c r="E139" s="7"/>
      <c r="F139" s="7"/>
      <c r="G139" s="7"/>
      <c r="H139" s="7"/>
      <c r="I139" s="7"/>
      <c r="J139" s="5"/>
      <c r="K139" s="6"/>
      <c r="L139" s="6"/>
      <c r="M139" s="6"/>
    </row>
    <row r="140" spans="2:13" x14ac:dyDescent="0.2">
      <c r="B140" s="6"/>
      <c r="C140" s="6"/>
      <c r="D140" s="6"/>
      <c r="E140" s="7"/>
      <c r="F140" s="7"/>
      <c r="G140" s="7"/>
      <c r="H140" s="7"/>
      <c r="I140" s="7"/>
      <c r="J140" s="5"/>
      <c r="K140" s="6"/>
      <c r="L140" s="6"/>
      <c r="M140" s="6"/>
    </row>
    <row r="141" spans="2:13" x14ac:dyDescent="0.2">
      <c r="B141" s="6"/>
      <c r="C141" s="6"/>
      <c r="D141" s="6"/>
      <c r="E141" s="7"/>
      <c r="F141" s="7"/>
      <c r="G141" s="7"/>
      <c r="H141" s="7"/>
      <c r="I141" s="7"/>
      <c r="J141" s="5"/>
      <c r="K141" s="6"/>
      <c r="L141" s="6"/>
      <c r="M141" s="6"/>
    </row>
    <row r="142" spans="2:13" x14ac:dyDescent="0.2">
      <c r="B142" s="6"/>
      <c r="C142" s="6"/>
      <c r="D142" s="6"/>
      <c r="E142" s="7"/>
      <c r="F142" s="7"/>
      <c r="G142" s="7"/>
      <c r="H142" s="7"/>
      <c r="I142" s="7"/>
      <c r="J142" s="5"/>
      <c r="K142" s="6"/>
      <c r="L142" s="6"/>
      <c r="M142" s="6"/>
    </row>
    <row r="143" spans="2:13" x14ac:dyDescent="0.2">
      <c r="B143" s="6"/>
      <c r="C143" s="6"/>
      <c r="D143" s="6"/>
      <c r="E143" s="7"/>
      <c r="F143" s="7"/>
      <c r="G143" s="7"/>
      <c r="H143" s="7"/>
      <c r="I143" s="7"/>
      <c r="J143" s="5"/>
      <c r="K143" s="6"/>
      <c r="L143" s="6"/>
      <c r="M143" s="6"/>
    </row>
    <row r="144" spans="2:13" x14ac:dyDescent="0.2">
      <c r="B144" s="6"/>
      <c r="C144" s="6"/>
      <c r="D144" s="6"/>
      <c r="E144" s="7"/>
      <c r="F144" s="7"/>
      <c r="G144" s="7"/>
      <c r="H144" s="7"/>
      <c r="I144" s="7"/>
      <c r="J144" s="5"/>
      <c r="K144" s="6"/>
      <c r="L144" s="6"/>
      <c r="M144" s="6"/>
    </row>
    <row r="145" spans="2:13" x14ac:dyDescent="0.2">
      <c r="B145" s="6"/>
      <c r="C145" s="6"/>
      <c r="D145" s="6"/>
      <c r="E145" s="7"/>
      <c r="F145" s="7"/>
      <c r="G145" s="7"/>
      <c r="H145" s="7"/>
      <c r="I145" s="7"/>
      <c r="J145" s="5"/>
      <c r="K145" s="6"/>
      <c r="L145" s="6"/>
      <c r="M145" s="6"/>
    </row>
    <row r="146" spans="2:13" x14ac:dyDescent="0.2">
      <c r="B146" s="6"/>
      <c r="C146" s="6"/>
      <c r="D146" s="6"/>
      <c r="E146" s="7"/>
      <c r="F146" s="7"/>
      <c r="G146" s="7"/>
      <c r="H146" s="7"/>
      <c r="I146" s="7"/>
      <c r="J146" s="5"/>
      <c r="K146" s="6"/>
      <c r="L146" s="6"/>
      <c r="M146" s="6"/>
    </row>
    <row r="147" spans="2:13" x14ac:dyDescent="0.2">
      <c r="B147" s="6"/>
      <c r="C147" s="6"/>
      <c r="D147" s="6"/>
      <c r="E147" s="7"/>
      <c r="F147" s="7"/>
      <c r="G147" s="7"/>
      <c r="H147" s="7"/>
      <c r="I147" s="7"/>
      <c r="J147" s="5"/>
      <c r="K147" s="6"/>
      <c r="L147" s="6"/>
      <c r="M147" s="6"/>
    </row>
    <row r="148" spans="2:13" x14ac:dyDescent="0.2">
      <c r="B148" s="6"/>
      <c r="C148" s="6"/>
      <c r="D148" s="6"/>
      <c r="E148" s="7"/>
      <c r="F148" s="7"/>
      <c r="G148" s="7"/>
      <c r="H148" s="7"/>
      <c r="I148" s="7"/>
      <c r="J148" s="5"/>
      <c r="K148" s="6"/>
      <c r="L148" s="6"/>
      <c r="M148" s="6"/>
    </row>
    <row r="149" spans="2:13" x14ac:dyDescent="0.2">
      <c r="B149" s="6"/>
      <c r="C149" s="6"/>
      <c r="D149" s="6"/>
      <c r="E149" s="7"/>
      <c r="F149" s="7"/>
      <c r="G149" s="7"/>
      <c r="H149" s="7"/>
      <c r="I149" s="7"/>
      <c r="J149" s="5"/>
      <c r="K149" s="6"/>
      <c r="L149" s="6"/>
      <c r="M149" s="6"/>
    </row>
    <row r="150" spans="2:13" x14ac:dyDescent="0.2">
      <c r="B150" s="6"/>
      <c r="C150" s="6"/>
      <c r="D150" s="6"/>
      <c r="E150" s="7"/>
      <c r="F150" s="7"/>
      <c r="G150" s="7"/>
      <c r="H150" s="7"/>
      <c r="I150" s="7"/>
      <c r="J150" s="5"/>
      <c r="K150" s="6"/>
      <c r="L150" s="6"/>
      <c r="M150" s="6"/>
    </row>
    <row r="151" spans="2:13" x14ac:dyDescent="0.2">
      <c r="B151" s="6"/>
      <c r="C151" s="6"/>
      <c r="D151" s="6"/>
      <c r="E151" s="7"/>
      <c r="F151" s="7"/>
      <c r="G151" s="7"/>
      <c r="H151" s="7"/>
      <c r="I151" s="7"/>
      <c r="J151" s="5"/>
      <c r="K151" s="6"/>
      <c r="L151" s="6"/>
      <c r="M151" s="6"/>
    </row>
    <row r="152" spans="2:13" x14ac:dyDescent="0.2">
      <c r="B152" s="6"/>
      <c r="C152" s="6"/>
      <c r="D152" s="6"/>
      <c r="E152" s="7"/>
      <c r="F152" s="7"/>
      <c r="G152" s="7"/>
      <c r="H152" s="7"/>
      <c r="I152" s="7"/>
      <c r="J152" s="5"/>
      <c r="K152" s="6"/>
      <c r="L152" s="6"/>
      <c r="M152" s="6"/>
    </row>
    <row r="153" spans="2:13" x14ac:dyDescent="0.2">
      <c r="B153" s="6"/>
      <c r="C153" s="6"/>
      <c r="D153" s="6"/>
      <c r="E153" s="7"/>
      <c r="F153" s="7"/>
      <c r="G153" s="7"/>
      <c r="H153" s="7"/>
      <c r="I153" s="7"/>
      <c r="J153" s="5"/>
      <c r="K153" s="6"/>
      <c r="L153" s="6"/>
      <c r="M153" s="6"/>
    </row>
    <row r="154" spans="2:13" x14ac:dyDescent="0.2">
      <c r="B154" s="6"/>
      <c r="C154" s="6"/>
      <c r="D154" s="6"/>
      <c r="E154" s="7"/>
      <c r="F154" s="7"/>
      <c r="G154" s="7"/>
      <c r="H154" s="7"/>
      <c r="I154" s="7"/>
      <c r="J154" s="5"/>
      <c r="K154" s="6"/>
      <c r="L154" s="6"/>
      <c r="M154" s="6"/>
    </row>
    <row r="155" spans="2:13" x14ac:dyDescent="0.2">
      <c r="B155" s="6"/>
      <c r="C155" s="6"/>
      <c r="D155" s="6"/>
      <c r="E155" s="7"/>
      <c r="F155" s="7"/>
      <c r="G155" s="7"/>
      <c r="H155" s="7"/>
      <c r="I155" s="7"/>
      <c r="J155" s="5"/>
      <c r="K155" s="6"/>
      <c r="L155" s="6"/>
      <c r="M155" s="6"/>
    </row>
    <row r="156" spans="2:13" x14ac:dyDescent="0.2">
      <c r="B156" s="6"/>
      <c r="C156" s="6"/>
      <c r="D156" s="6"/>
      <c r="E156" s="7"/>
      <c r="F156" s="7"/>
      <c r="G156" s="7"/>
      <c r="H156" s="7"/>
      <c r="I156" s="7"/>
      <c r="J156" s="5"/>
      <c r="K156" s="6"/>
      <c r="L156" s="6"/>
      <c r="M156" s="6"/>
    </row>
    <row r="157" spans="2:13" x14ac:dyDescent="0.2">
      <c r="B157" s="6"/>
      <c r="C157" s="6"/>
      <c r="D157" s="6"/>
      <c r="E157" s="7"/>
      <c r="F157" s="7"/>
      <c r="G157" s="7"/>
      <c r="H157" s="7"/>
      <c r="I157" s="7"/>
      <c r="J157" s="5"/>
      <c r="K157" s="6"/>
      <c r="L157" s="6"/>
      <c r="M157" s="6"/>
    </row>
    <row r="158" spans="2:13" x14ac:dyDescent="0.2">
      <c r="B158" s="6"/>
      <c r="C158" s="6"/>
      <c r="D158" s="6"/>
      <c r="E158" s="7"/>
      <c r="F158" s="7"/>
      <c r="G158" s="7"/>
      <c r="H158" s="7"/>
      <c r="I158" s="7"/>
      <c r="J158" s="5"/>
      <c r="K158" s="6"/>
      <c r="L158" s="6"/>
      <c r="M158" s="6"/>
    </row>
    <row r="159" spans="2:13" x14ac:dyDescent="0.2">
      <c r="B159" s="6"/>
      <c r="C159" s="6"/>
      <c r="D159" s="6"/>
      <c r="E159" s="7"/>
      <c r="F159" s="7"/>
      <c r="G159" s="7"/>
      <c r="H159" s="7"/>
      <c r="I159" s="7"/>
      <c r="J159" s="5"/>
      <c r="K159" s="6"/>
      <c r="L159" s="6"/>
      <c r="M159" s="6"/>
    </row>
    <row r="160" spans="2:13" x14ac:dyDescent="0.2">
      <c r="B160" s="6"/>
      <c r="C160" s="6"/>
      <c r="D160" s="6"/>
      <c r="E160" s="7"/>
      <c r="F160" s="7"/>
      <c r="G160" s="7"/>
      <c r="H160" s="7"/>
      <c r="I160" s="7"/>
      <c r="J160" s="5"/>
      <c r="K160" s="6"/>
      <c r="L160" s="6"/>
      <c r="M160" s="6"/>
    </row>
    <row r="161" spans="2:13" x14ac:dyDescent="0.2">
      <c r="B161" s="6"/>
      <c r="C161" s="6"/>
      <c r="D161" s="6"/>
      <c r="E161" s="7"/>
      <c r="F161" s="7"/>
      <c r="G161" s="7"/>
      <c r="H161" s="7"/>
      <c r="I161" s="7"/>
      <c r="J161" s="5"/>
      <c r="K161" s="6"/>
      <c r="L161" s="6"/>
      <c r="M161" s="6"/>
    </row>
    <row r="162" spans="2:13" x14ac:dyDescent="0.2">
      <c r="B162" s="6"/>
      <c r="C162" s="6"/>
      <c r="D162" s="6"/>
      <c r="E162" s="7"/>
      <c r="F162" s="7"/>
      <c r="G162" s="7"/>
      <c r="H162" s="7"/>
      <c r="I162" s="7"/>
      <c r="J162" s="5"/>
      <c r="K162" s="6"/>
      <c r="L162" s="6"/>
      <c r="M162" s="6"/>
    </row>
    <row r="163" spans="2:13" x14ac:dyDescent="0.2">
      <c r="B163" s="6"/>
      <c r="C163" s="6"/>
      <c r="D163" s="6"/>
      <c r="E163" s="7"/>
      <c r="F163" s="7"/>
      <c r="G163" s="7"/>
      <c r="H163" s="7"/>
      <c r="I163" s="7"/>
      <c r="J163" s="5"/>
      <c r="K163" s="6"/>
      <c r="L163" s="6"/>
      <c r="M163" s="6"/>
    </row>
    <row r="164" spans="2:13" x14ac:dyDescent="0.2">
      <c r="B164" s="6"/>
      <c r="C164" s="6"/>
      <c r="D164" s="6"/>
      <c r="E164" s="7"/>
      <c r="F164" s="7"/>
      <c r="G164" s="7"/>
      <c r="H164" s="7"/>
      <c r="I164" s="7"/>
      <c r="J164" s="5"/>
      <c r="K164" s="6"/>
      <c r="L164" s="6"/>
      <c r="M164" s="6"/>
    </row>
    <row r="165" spans="2:13" x14ac:dyDescent="0.2">
      <c r="B165" s="6"/>
      <c r="C165" s="6"/>
      <c r="D165" s="6"/>
      <c r="E165" s="7"/>
      <c r="F165" s="7"/>
      <c r="G165" s="7"/>
      <c r="H165" s="7"/>
      <c r="I165" s="7"/>
      <c r="J165" s="5"/>
      <c r="K165" s="6"/>
      <c r="L165" s="6"/>
      <c r="M165" s="6"/>
    </row>
    <row r="166" spans="2:13" x14ac:dyDescent="0.2">
      <c r="B166" s="6"/>
      <c r="C166" s="6"/>
      <c r="D166" s="6"/>
      <c r="E166" s="7"/>
      <c r="F166" s="7"/>
      <c r="G166" s="7"/>
      <c r="H166" s="7"/>
      <c r="I166" s="7"/>
      <c r="J166" s="5"/>
      <c r="K166" s="6"/>
      <c r="L166" s="6"/>
      <c r="M166" s="6"/>
    </row>
    <row r="167" spans="2:13" x14ac:dyDescent="0.2">
      <c r="B167" s="6"/>
      <c r="C167" s="6"/>
      <c r="D167" s="6"/>
      <c r="E167" s="7"/>
      <c r="F167" s="7"/>
      <c r="G167" s="7"/>
      <c r="H167" s="7"/>
      <c r="I167" s="7"/>
      <c r="J167" s="5"/>
      <c r="K167" s="6"/>
      <c r="L167" s="6"/>
      <c r="M167" s="6"/>
    </row>
    <row r="168" spans="2:13" x14ac:dyDescent="0.2">
      <c r="B168" s="6"/>
      <c r="C168" s="6"/>
      <c r="D168" s="6"/>
      <c r="E168" s="7"/>
      <c r="F168" s="7"/>
      <c r="G168" s="7"/>
      <c r="H168" s="7"/>
      <c r="I168" s="7"/>
      <c r="J168" s="5"/>
      <c r="K168" s="6"/>
      <c r="L168" s="6"/>
      <c r="M168" s="6"/>
    </row>
    <row r="169" spans="2:13" x14ac:dyDescent="0.2">
      <c r="B169" s="6"/>
      <c r="C169" s="6"/>
      <c r="D169" s="6"/>
      <c r="E169" s="7"/>
      <c r="F169" s="7"/>
      <c r="G169" s="7"/>
      <c r="H169" s="7"/>
      <c r="I169" s="7"/>
      <c r="J169" s="5"/>
      <c r="K169" s="6"/>
      <c r="L169" s="6"/>
      <c r="M169" s="6"/>
    </row>
    <row r="170" spans="2:13" x14ac:dyDescent="0.2">
      <c r="B170" s="6"/>
      <c r="C170" s="6"/>
      <c r="D170" s="6"/>
      <c r="E170" s="7"/>
      <c r="F170" s="7"/>
      <c r="G170" s="7"/>
      <c r="H170" s="7"/>
      <c r="I170" s="7"/>
      <c r="J170" s="5"/>
      <c r="K170" s="6"/>
      <c r="L170" s="6"/>
      <c r="M170" s="6"/>
    </row>
    <row r="171" spans="2:13" x14ac:dyDescent="0.2">
      <c r="B171" s="6"/>
      <c r="C171" s="6"/>
      <c r="D171" s="6"/>
      <c r="E171" s="7"/>
      <c r="F171" s="7"/>
      <c r="G171" s="7"/>
      <c r="H171" s="7"/>
      <c r="I171" s="7"/>
      <c r="J171" s="5"/>
      <c r="K171" s="6"/>
      <c r="L171" s="6"/>
      <c r="M171" s="6"/>
    </row>
    <row r="172" spans="2:13" x14ac:dyDescent="0.2">
      <c r="B172" s="6"/>
      <c r="C172" s="6"/>
      <c r="D172" s="6"/>
      <c r="E172" s="7"/>
      <c r="F172" s="7"/>
      <c r="G172" s="7"/>
      <c r="H172" s="7"/>
      <c r="I172" s="7"/>
      <c r="J172" s="5"/>
      <c r="K172" s="6"/>
      <c r="L172" s="6"/>
      <c r="M172" s="6"/>
    </row>
    <row r="173" spans="2:13" x14ac:dyDescent="0.2">
      <c r="B173" s="6"/>
      <c r="C173" s="6"/>
      <c r="D173" s="6"/>
      <c r="E173" s="7"/>
      <c r="F173" s="7"/>
      <c r="G173" s="7"/>
      <c r="H173" s="7"/>
      <c r="I173" s="7"/>
      <c r="J173" s="5"/>
      <c r="K173" s="6"/>
      <c r="L173" s="6"/>
      <c r="M173" s="6"/>
    </row>
    <row r="174" spans="2:13" x14ac:dyDescent="0.2">
      <c r="B174" s="6"/>
      <c r="C174" s="6"/>
      <c r="D174" s="6"/>
      <c r="E174" s="7"/>
      <c r="F174" s="7"/>
      <c r="G174" s="7"/>
      <c r="H174" s="7"/>
      <c r="I174" s="7"/>
      <c r="J174" s="5"/>
      <c r="K174" s="6"/>
      <c r="L174" s="6"/>
      <c r="M174" s="6"/>
    </row>
    <row r="175" spans="2:13" x14ac:dyDescent="0.2">
      <c r="B175" s="6"/>
      <c r="C175" s="6"/>
      <c r="D175" s="6"/>
      <c r="E175" s="7"/>
      <c r="F175" s="7"/>
      <c r="G175" s="7"/>
      <c r="H175" s="7"/>
      <c r="I175" s="7"/>
      <c r="J175" s="5"/>
      <c r="K175" s="6"/>
      <c r="L175" s="6"/>
      <c r="M175" s="6"/>
    </row>
    <row r="176" spans="2:13" x14ac:dyDescent="0.2">
      <c r="B176" s="6"/>
      <c r="C176" s="6"/>
      <c r="D176" s="6"/>
      <c r="E176" s="7"/>
      <c r="F176" s="7"/>
      <c r="G176" s="7"/>
      <c r="H176" s="7"/>
      <c r="I176" s="7"/>
      <c r="J176" s="5"/>
      <c r="K176" s="6"/>
      <c r="L176" s="6"/>
      <c r="M176" s="6"/>
    </row>
    <row r="177" spans="2:13" x14ac:dyDescent="0.2">
      <c r="B177" s="6"/>
      <c r="C177" s="6"/>
      <c r="D177" s="6"/>
      <c r="E177" s="7"/>
      <c r="F177" s="7"/>
      <c r="G177" s="7"/>
      <c r="H177" s="7"/>
      <c r="I177" s="7"/>
      <c r="J177" s="5"/>
      <c r="K177" s="6"/>
      <c r="L177" s="6"/>
      <c r="M177" s="6"/>
    </row>
    <row r="178" spans="2:13" x14ac:dyDescent="0.2">
      <c r="B178" s="6"/>
      <c r="C178" s="6"/>
      <c r="D178" s="6"/>
      <c r="E178" s="7"/>
      <c r="F178" s="7"/>
      <c r="G178" s="7"/>
      <c r="H178" s="7"/>
      <c r="I178" s="7"/>
      <c r="J178" s="5"/>
      <c r="K178" s="6"/>
      <c r="L178" s="6"/>
      <c r="M178" s="6"/>
    </row>
    <row r="179" spans="2:13" x14ac:dyDescent="0.2">
      <c r="B179" s="6"/>
      <c r="C179" s="6"/>
      <c r="D179" s="6"/>
      <c r="E179" s="7"/>
      <c r="F179" s="7"/>
      <c r="G179" s="7"/>
      <c r="H179" s="7"/>
      <c r="I179" s="7"/>
      <c r="J179" s="5"/>
      <c r="K179" s="6"/>
      <c r="L179" s="6"/>
      <c r="M179" s="6"/>
    </row>
    <row r="180" spans="2:13" x14ac:dyDescent="0.2">
      <c r="B180" s="6"/>
      <c r="C180" s="6"/>
      <c r="D180" s="6"/>
      <c r="E180" s="7"/>
      <c r="F180" s="7"/>
      <c r="G180" s="7"/>
      <c r="H180" s="7"/>
      <c r="I180" s="7"/>
      <c r="J180" s="5"/>
      <c r="K180" s="6"/>
      <c r="L180" s="6"/>
      <c r="M180" s="6"/>
    </row>
    <row r="181" spans="2:13" x14ac:dyDescent="0.2">
      <c r="B181" s="6"/>
      <c r="C181" s="6"/>
      <c r="D181" s="6"/>
      <c r="E181" s="7"/>
      <c r="F181" s="7"/>
      <c r="G181" s="7"/>
      <c r="H181" s="7"/>
      <c r="I181" s="7"/>
      <c r="J181" s="5"/>
      <c r="K181" s="6"/>
      <c r="L181" s="6"/>
      <c r="M181" s="6"/>
    </row>
    <row r="182" spans="2:13" x14ac:dyDescent="0.2">
      <c r="B182" s="6"/>
      <c r="C182" s="6"/>
      <c r="D182" s="6"/>
      <c r="E182" s="7"/>
      <c r="F182" s="7"/>
      <c r="G182" s="7"/>
      <c r="H182" s="7"/>
      <c r="I182" s="7"/>
      <c r="J182" s="5"/>
      <c r="K182" s="6"/>
      <c r="L182" s="6"/>
      <c r="M182" s="6"/>
    </row>
    <row r="183" spans="2:13" x14ac:dyDescent="0.2">
      <c r="B183" s="6"/>
      <c r="C183" s="6"/>
      <c r="D183" s="6"/>
      <c r="E183" s="7"/>
      <c r="F183" s="7"/>
      <c r="G183" s="7"/>
      <c r="H183" s="7"/>
      <c r="I183" s="7"/>
      <c r="J183" s="5"/>
      <c r="K183" s="6"/>
      <c r="L183" s="6"/>
      <c r="M183" s="6"/>
    </row>
    <row r="184" spans="2:13" x14ac:dyDescent="0.2">
      <c r="B184" s="6"/>
      <c r="C184" s="6"/>
      <c r="D184" s="6"/>
      <c r="E184" s="7"/>
      <c r="F184" s="7"/>
      <c r="G184" s="7"/>
      <c r="H184" s="7"/>
      <c r="I184" s="7"/>
      <c r="J184" s="5"/>
      <c r="K184" s="6"/>
      <c r="L184" s="6"/>
      <c r="M184" s="6"/>
    </row>
    <row r="185" spans="2:13" x14ac:dyDescent="0.2">
      <c r="B185" s="6"/>
      <c r="C185" s="6"/>
      <c r="D185" s="6"/>
      <c r="E185" s="7"/>
      <c r="F185" s="7"/>
      <c r="G185" s="7"/>
      <c r="H185" s="7"/>
      <c r="I185" s="7"/>
      <c r="J185" s="5"/>
      <c r="K185" s="6"/>
      <c r="L185" s="6"/>
      <c r="M185" s="6"/>
    </row>
    <row r="186" spans="2:13" x14ac:dyDescent="0.2">
      <c r="B186" s="6"/>
      <c r="C186" s="6"/>
      <c r="D186" s="6"/>
      <c r="E186" s="7"/>
      <c r="F186" s="7"/>
      <c r="G186" s="7"/>
      <c r="H186" s="7"/>
      <c r="I186" s="7"/>
      <c r="J186" s="5"/>
      <c r="K186" s="6"/>
      <c r="L186" s="6"/>
      <c r="M186" s="6"/>
    </row>
    <row r="187" spans="2:13" x14ac:dyDescent="0.2">
      <c r="B187" s="6"/>
      <c r="C187" s="6"/>
      <c r="D187" s="6"/>
      <c r="E187" s="7"/>
      <c r="F187" s="7"/>
      <c r="G187" s="7"/>
      <c r="H187" s="7"/>
      <c r="I187" s="7"/>
      <c r="J187" s="5"/>
      <c r="K187" s="6"/>
      <c r="L187" s="6"/>
      <c r="M187" s="6"/>
    </row>
    <row r="188" spans="2:13" x14ac:dyDescent="0.2">
      <c r="B188" s="6"/>
      <c r="C188" s="6"/>
      <c r="D188" s="6"/>
      <c r="E188" s="7"/>
      <c r="F188" s="7"/>
      <c r="G188" s="7"/>
      <c r="H188" s="7"/>
      <c r="I188" s="7"/>
      <c r="J188" s="5"/>
      <c r="K188" s="6"/>
      <c r="L188" s="6"/>
      <c r="M188" s="6"/>
    </row>
    <row r="189" spans="2:13" x14ac:dyDescent="0.2">
      <c r="B189" s="6"/>
      <c r="C189" s="6"/>
      <c r="D189" s="6"/>
      <c r="E189" s="7"/>
      <c r="F189" s="7"/>
      <c r="G189" s="7"/>
      <c r="H189" s="7"/>
      <c r="I189" s="7"/>
      <c r="J189" s="5"/>
      <c r="K189" s="6"/>
      <c r="L189" s="6"/>
      <c r="M189" s="6"/>
    </row>
    <row r="190" spans="2:13" x14ac:dyDescent="0.2">
      <c r="B190" s="6"/>
      <c r="C190" s="6"/>
      <c r="D190" s="6"/>
      <c r="E190" s="7"/>
      <c r="F190" s="7"/>
      <c r="G190" s="7"/>
      <c r="H190" s="7"/>
      <c r="I190" s="7"/>
      <c r="J190" s="5"/>
      <c r="K190" s="6"/>
      <c r="L190" s="6"/>
      <c r="M190" s="6"/>
    </row>
    <row r="191" spans="2:13" x14ac:dyDescent="0.2">
      <c r="B191" s="6"/>
      <c r="C191" s="6"/>
      <c r="D191" s="6"/>
      <c r="E191" s="7"/>
      <c r="F191" s="7"/>
      <c r="G191" s="7"/>
      <c r="H191" s="7"/>
      <c r="I191" s="7"/>
      <c r="J191" s="5"/>
      <c r="K191" s="6"/>
      <c r="L191" s="6"/>
      <c r="M191" s="6"/>
    </row>
    <row r="192" spans="2:13" x14ac:dyDescent="0.2">
      <c r="B192" s="6"/>
      <c r="C192" s="6"/>
      <c r="D192" s="6"/>
      <c r="E192" s="7"/>
      <c r="F192" s="7"/>
      <c r="G192" s="7"/>
      <c r="H192" s="7"/>
      <c r="I192" s="7"/>
      <c r="J192" s="5"/>
      <c r="K192" s="6"/>
      <c r="L192" s="6"/>
      <c r="M192" s="6"/>
    </row>
    <row r="193" spans="2:13" x14ac:dyDescent="0.2">
      <c r="B193" s="6"/>
      <c r="C193" s="6"/>
      <c r="D193" s="6"/>
      <c r="E193" s="7"/>
      <c r="F193" s="7"/>
      <c r="G193" s="7"/>
      <c r="H193" s="7"/>
      <c r="I193" s="7"/>
      <c r="J193" s="5"/>
      <c r="K193" s="6"/>
      <c r="L193" s="6"/>
      <c r="M193" s="6"/>
    </row>
    <row r="194" spans="2:13" x14ac:dyDescent="0.2">
      <c r="B194" s="6"/>
      <c r="C194" s="6"/>
      <c r="D194" s="6"/>
      <c r="E194" s="7"/>
      <c r="F194" s="7"/>
      <c r="G194" s="7"/>
      <c r="H194" s="7"/>
      <c r="I194" s="7"/>
      <c r="J194" s="5"/>
      <c r="K194" s="6"/>
      <c r="L194" s="6"/>
      <c r="M194" s="6"/>
    </row>
    <row r="195" spans="2:13" x14ac:dyDescent="0.2">
      <c r="B195" s="6"/>
      <c r="C195" s="6"/>
      <c r="D195" s="6"/>
      <c r="E195" s="7"/>
      <c r="F195" s="7"/>
      <c r="G195" s="7"/>
      <c r="H195" s="7"/>
      <c r="I195" s="7"/>
      <c r="J195" s="5"/>
      <c r="K195" s="6"/>
      <c r="L195" s="6"/>
      <c r="M195" s="6"/>
    </row>
    <row r="196" spans="2:13" x14ac:dyDescent="0.2">
      <c r="B196" s="6"/>
      <c r="C196" s="6"/>
      <c r="D196" s="6"/>
      <c r="E196" s="7"/>
      <c r="F196" s="7"/>
      <c r="G196" s="7"/>
      <c r="H196" s="7"/>
      <c r="I196" s="7"/>
      <c r="J196" s="5"/>
      <c r="K196" s="6"/>
      <c r="L196" s="6"/>
      <c r="M196" s="6"/>
    </row>
    <row r="197" spans="2:13" x14ac:dyDescent="0.2">
      <c r="B197" s="6"/>
      <c r="C197" s="6"/>
      <c r="D197" s="6"/>
      <c r="E197" s="7"/>
      <c r="F197" s="7"/>
      <c r="G197" s="7"/>
      <c r="H197" s="7"/>
      <c r="I197" s="7"/>
      <c r="J197" s="5"/>
      <c r="K197" s="6"/>
      <c r="L197" s="6"/>
      <c r="M197" s="6"/>
    </row>
    <row r="198" spans="2:13" x14ac:dyDescent="0.2">
      <c r="B198" s="6"/>
      <c r="C198" s="6"/>
      <c r="D198" s="6"/>
      <c r="E198" s="7"/>
      <c r="F198" s="7"/>
      <c r="G198" s="7"/>
      <c r="H198" s="7"/>
      <c r="I198" s="7"/>
      <c r="J198" s="5"/>
      <c r="K198" s="6"/>
      <c r="L198" s="6"/>
      <c r="M198" s="6"/>
    </row>
    <row r="199" spans="2:13" x14ac:dyDescent="0.2">
      <c r="B199" s="6"/>
      <c r="C199" s="6"/>
      <c r="D199" s="6"/>
      <c r="E199" s="7"/>
      <c r="F199" s="7"/>
      <c r="G199" s="7"/>
      <c r="H199" s="7"/>
      <c r="I199" s="7"/>
      <c r="J199" s="5"/>
      <c r="K199" s="6"/>
      <c r="L199" s="6"/>
      <c r="M199" s="6"/>
    </row>
    <row r="200" spans="2:13" x14ac:dyDescent="0.2">
      <c r="B200" s="6"/>
      <c r="C200" s="6"/>
      <c r="D200" s="6"/>
      <c r="E200" s="7"/>
      <c r="F200" s="7"/>
      <c r="G200" s="7"/>
      <c r="H200" s="7"/>
      <c r="I200" s="7"/>
      <c r="J200" s="5"/>
      <c r="K200" s="6"/>
      <c r="L200" s="6"/>
      <c r="M200" s="6"/>
    </row>
    <row r="201" spans="2:13" x14ac:dyDescent="0.2">
      <c r="B201" s="6"/>
      <c r="C201" s="6"/>
      <c r="D201" s="6"/>
      <c r="E201" s="7"/>
      <c r="F201" s="7"/>
      <c r="G201" s="7"/>
      <c r="H201" s="7"/>
      <c r="I201" s="7"/>
      <c r="J201" s="5"/>
      <c r="K201" s="6"/>
      <c r="L201" s="6"/>
      <c r="M201" s="6"/>
    </row>
    <row r="202" spans="2:13" s="9" customFormat="1" x14ac:dyDescent="0.2">
      <c r="B202" s="10"/>
      <c r="C202" s="11"/>
      <c r="D202" s="11"/>
      <c r="E202" s="12"/>
      <c r="F202" s="12"/>
      <c r="G202" s="11"/>
      <c r="H202" s="11"/>
      <c r="I202" s="11"/>
      <c r="J202" s="11"/>
    </row>
    <row r="203" spans="2:13" s="9" customFormat="1" x14ac:dyDescent="0.2">
      <c r="B203" s="10"/>
      <c r="C203" s="11"/>
      <c r="D203" s="11"/>
      <c r="E203" s="12"/>
      <c r="F203" s="12"/>
      <c r="G203" s="11"/>
      <c r="H203" s="11"/>
      <c r="I203" s="11"/>
      <c r="J203" s="11"/>
    </row>
    <row r="204" spans="2:13" s="9" customFormat="1" x14ac:dyDescent="0.2">
      <c r="B204" s="10"/>
      <c r="C204" s="11"/>
      <c r="D204" s="11"/>
      <c r="E204" s="12"/>
      <c r="F204" s="12"/>
      <c r="G204" s="11"/>
      <c r="H204" s="11"/>
      <c r="I204" s="11"/>
      <c r="J204" s="11"/>
    </row>
    <row r="205" spans="2:13" s="9" customFormat="1" x14ac:dyDescent="0.2">
      <c r="B205" s="10"/>
      <c r="C205" s="11"/>
      <c r="D205" s="11"/>
      <c r="E205" s="12"/>
      <c r="F205" s="12"/>
      <c r="G205" s="11"/>
      <c r="H205" s="11"/>
      <c r="I205" s="11"/>
      <c r="J205" s="11"/>
    </row>
    <row r="206" spans="2:13" s="9" customFormat="1" x14ac:dyDescent="0.2">
      <c r="B206" s="10"/>
      <c r="C206" s="11"/>
      <c r="D206" s="11"/>
      <c r="E206" s="12"/>
      <c r="F206" s="12"/>
      <c r="G206" s="11"/>
      <c r="H206" s="11"/>
      <c r="I206" s="11"/>
      <c r="J206" s="11"/>
    </row>
    <row r="207" spans="2:13" s="9" customFormat="1" x14ac:dyDescent="0.2">
      <c r="B207" s="10"/>
      <c r="C207" s="11"/>
      <c r="D207" s="11"/>
      <c r="E207" s="12"/>
      <c r="F207" s="12"/>
      <c r="G207" s="11"/>
      <c r="H207" s="11"/>
      <c r="I207" s="11"/>
      <c r="J207" s="11"/>
    </row>
    <row r="208" spans="2:13" s="9" customFormat="1" x14ac:dyDescent="0.2">
      <c r="B208" s="10"/>
      <c r="C208" s="11"/>
      <c r="D208" s="11"/>
      <c r="E208" s="12"/>
      <c r="F208" s="12"/>
      <c r="G208" s="11"/>
      <c r="H208" s="11"/>
      <c r="I208" s="11"/>
      <c r="J208" s="11"/>
    </row>
    <row r="209" spans="2:10" s="9" customFormat="1" x14ac:dyDescent="0.2">
      <c r="B209" s="10"/>
      <c r="C209" s="11"/>
      <c r="D209" s="11"/>
      <c r="E209" s="12"/>
      <c r="F209" s="12"/>
      <c r="G209" s="11"/>
      <c r="H209" s="11"/>
      <c r="I209" s="11"/>
      <c r="J209" s="11"/>
    </row>
    <row r="210" spans="2:10" s="9" customFormat="1" x14ac:dyDescent="0.2">
      <c r="B210" s="10"/>
      <c r="C210" s="11"/>
      <c r="D210" s="11"/>
      <c r="E210" s="12"/>
      <c r="F210" s="12"/>
      <c r="G210" s="11"/>
      <c r="H210" s="11"/>
      <c r="I210" s="11"/>
      <c r="J210" s="11"/>
    </row>
    <row r="211" spans="2:10" s="9" customFormat="1" x14ac:dyDescent="0.2">
      <c r="B211" s="10"/>
      <c r="C211" s="11"/>
      <c r="D211" s="11"/>
      <c r="E211" s="12"/>
      <c r="F211" s="12"/>
      <c r="G211" s="11"/>
      <c r="H211" s="11"/>
      <c r="I211" s="11"/>
      <c r="J211" s="11"/>
    </row>
    <row r="212" spans="2:10" s="9" customFormat="1" x14ac:dyDescent="0.2">
      <c r="B212" s="10"/>
      <c r="C212" s="11"/>
      <c r="D212" s="11"/>
      <c r="E212" s="12"/>
      <c r="F212" s="12"/>
      <c r="G212" s="11"/>
      <c r="H212" s="11"/>
      <c r="I212" s="11"/>
      <c r="J212" s="11"/>
    </row>
    <row r="213" spans="2:10" s="9" customFormat="1" x14ac:dyDescent="0.2">
      <c r="B213" s="10"/>
      <c r="C213" s="11"/>
      <c r="D213" s="11"/>
      <c r="E213" s="12"/>
      <c r="F213" s="12"/>
      <c r="G213" s="11"/>
      <c r="H213" s="11"/>
      <c r="I213" s="11"/>
      <c r="J213" s="11"/>
    </row>
    <row r="214" spans="2:10" s="9" customFormat="1" x14ac:dyDescent="0.2">
      <c r="B214" s="10"/>
      <c r="C214" s="11"/>
      <c r="D214" s="11"/>
      <c r="E214" s="12"/>
      <c r="F214" s="12"/>
      <c r="G214" s="11"/>
      <c r="H214" s="11"/>
      <c r="I214" s="11"/>
      <c r="J214" s="11"/>
    </row>
    <row r="215" spans="2:10" s="9" customFormat="1" x14ac:dyDescent="0.2">
      <c r="B215" s="10"/>
      <c r="C215" s="11"/>
      <c r="D215" s="11"/>
      <c r="E215" s="12"/>
      <c r="F215" s="12"/>
      <c r="G215" s="11"/>
      <c r="H215" s="11"/>
      <c r="I215" s="11"/>
      <c r="J215" s="11"/>
    </row>
    <row r="216" spans="2:10" s="9" customFormat="1" x14ac:dyDescent="0.2">
      <c r="B216" s="10"/>
      <c r="C216" s="11"/>
      <c r="D216" s="11"/>
      <c r="E216" s="12"/>
      <c r="F216" s="12"/>
      <c r="G216" s="11"/>
      <c r="H216" s="11"/>
      <c r="I216" s="11"/>
      <c r="J216" s="11"/>
    </row>
    <row r="217" spans="2:10" s="9" customFormat="1" x14ac:dyDescent="0.2">
      <c r="B217" s="10"/>
      <c r="C217" s="11"/>
      <c r="D217" s="11"/>
      <c r="E217" s="12"/>
      <c r="F217" s="12"/>
      <c r="G217" s="11"/>
      <c r="H217" s="11"/>
      <c r="I217" s="11"/>
      <c r="J217" s="11"/>
    </row>
    <row r="218" spans="2:10" s="9" customFormat="1" x14ac:dyDescent="0.2">
      <c r="B218" s="10"/>
      <c r="C218" s="11"/>
      <c r="D218" s="11"/>
      <c r="E218" s="12"/>
      <c r="F218" s="12"/>
      <c r="G218" s="11"/>
      <c r="H218" s="11"/>
      <c r="I218" s="11"/>
      <c r="J218" s="11"/>
    </row>
    <row r="219" spans="2:10" s="9" customFormat="1" x14ac:dyDescent="0.2">
      <c r="B219" s="10"/>
      <c r="C219" s="11"/>
      <c r="D219" s="11"/>
      <c r="E219" s="12"/>
      <c r="F219" s="12"/>
      <c r="G219" s="11"/>
      <c r="H219" s="11"/>
      <c r="I219" s="11"/>
      <c r="J219" s="11"/>
    </row>
    <row r="220" spans="2:10" s="9" customFormat="1" x14ac:dyDescent="0.2">
      <c r="B220" s="10"/>
      <c r="C220" s="11"/>
      <c r="D220" s="11"/>
      <c r="E220" s="12"/>
      <c r="F220" s="12"/>
      <c r="G220" s="11"/>
      <c r="H220" s="11"/>
      <c r="I220" s="11"/>
      <c r="J220" s="11"/>
    </row>
    <row r="221" spans="2:10" s="9" customFormat="1" x14ac:dyDescent="0.2">
      <c r="B221" s="10"/>
      <c r="C221" s="11"/>
      <c r="D221" s="11"/>
      <c r="E221" s="12"/>
      <c r="F221" s="12"/>
      <c r="G221" s="11"/>
      <c r="H221" s="11"/>
      <c r="I221" s="11"/>
      <c r="J221" s="11"/>
    </row>
    <row r="222" spans="2:10" s="9" customFormat="1" x14ac:dyDescent="0.2">
      <c r="B222" s="10"/>
      <c r="C222" s="11"/>
      <c r="D222" s="11"/>
      <c r="E222" s="12"/>
      <c r="F222" s="12"/>
      <c r="G222" s="11"/>
      <c r="H222" s="11"/>
      <c r="I222" s="11"/>
      <c r="J222" s="11"/>
    </row>
    <row r="223" spans="2:10" s="9" customFormat="1" x14ac:dyDescent="0.2">
      <c r="B223" s="10"/>
      <c r="C223" s="11"/>
      <c r="D223" s="11"/>
      <c r="E223" s="12"/>
      <c r="F223" s="12"/>
      <c r="G223" s="11"/>
      <c r="H223" s="11"/>
      <c r="I223" s="11"/>
      <c r="J223" s="11"/>
    </row>
    <row r="224" spans="2:10" s="9" customFormat="1" x14ac:dyDescent="0.2">
      <c r="B224" s="10"/>
      <c r="C224" s="11"/>
      <c r="D224" s="11"/>
      <c r="E224" s="12"/>
      <c r="F224" s="12"/>
      <c r="G224" s="11"/>
      <c r="H224" s="11"/>
      <c r="I224" s="11"/>
      <c r="J224" s="11"/>
    </row>
    <row r="225" spans="2:10" s="9" customFormat="1" x14ac:dyDescent="0.2">
      <c r="B225" s="10"/>
      <c r="C225" s="11"/>
      <c r="D225" s="11"/>
      <c r="E225" s="12"/>
      <c r="F225" s="12"/>
      <c r="G225" s="11"/>
      <c r="H225" s="11"/>
      <c r="I225" s="11"/>
      <c r="J225" s="11"/>
    </row>
    <row r="226" spans="2:10" s="9" customFormat="1" x14ac:dyDescent="0.2">
      <c r="B226" s="10"/>
      <c r="C226" s="11"/>
      <c r="D226" s="11"/>
      <c r="E226" s="12"/>
      <c r="F226" s="12"/>
      <c r="G226" s="11"/>
      <c r="H226" s="11"/>
      <c r="I226" s="11"/>
      <c r="J226" s="11"/>
    </row>
    <row r="227" spans="2:10" s="9" customFormat="1" x14ac:dyDescent="0.2">
      <c r="B227" s="10"/>
      <c r="C227" s="11"/>
      <c r="D227" s="11"/>
      <c r="E227" s="12"/>
      <c r="F227" s="12"/>
      <c r="G227" s="11"/>
      <c r="H227" s="11"/>
      <c r="I227" s="11"/>
      <c r="J227" s="11"/>
    </row>
    <row r="228" spans="2:10" s="9" customFormat="1" x14ac:dyDescent="0.2">
      <c r="B228" s="10"/>
      <c r="C228" s="11"/>
      <c r="D228" s="11"/>
      <c r="E228" s="12"/>
      <c r="F228" s="12"/>
      <c r="G228" s="11"/>
      <c r="H228" s="11"/>
      <c r="I228" s="11"/>
      <c r="J228" s="11"/>
    </row>
    <row r="229" spans="2:10" s="9" customFormat="1" x14ac:dyDescent="0.2">
      <c r="B229" s="10"/>
      <c r="C229" s="11"/>
      <c r="D229" s="11"/>
      <c r="E229" s="12"/>
      <c r="F229" s="12"/>
      <c r="G229" s="11"/>
      <c r="H229" s="11"/>
      <c r="I229" s="11"/>
      <c r="J229" s="11"/>
    </row>
    <row r="230" spans="2:10" s="9" customFormat="1" x14ac:dyDescent="0.2">
      <c r="B230" s="10"/>
      <c r="C230" s="11"/>
      <c r="D230" s="11"/>
      <c r="E230" s="12"/>
      <c r="F230" s="12"/>
      <c r="G230" s="11"/>
      <c r="H230" s="11"/>
      <c r="I230" s="11"/>
      <c r="J230" s="11"/>
    </row>
    <row r="231" spans="2:10" s="9" customFormat="1" x14ac:dyDescent="0.2">
      <c r="B231" s="10"/>
      <c r="C231" s="11"/>
      <c r="D231" s="11"/>
      <c r="E231" s="12"/>
      <c r="F231" s="12"/>
      <c r="G231" s="11"/>
      <c r="H231" s="11"/>
      <c r="I231" s="11"/>
      <c r="J231" s="11"/>
    </row>
    <row r="232" spans="2:10" s="9" customFormat="1" x14ac:dyDescent="0.2">
      <c r="B232" s="10"/>
      <c r="C232" s="11"/>
      <c r="D232" s="11"/>
      <c r="E232" s="12"/>
      <c r="F232" s="12"/>
      <c r="G232" s="11"/>
      <c r="H232" s="11"/>
      <c r="I232" s="11"/>
      <c r="J232" s="11"/>
    </row>
    <row r="233" spans="2:10" s="9" customFormat="1" x14ac:dyDescent="0.2">
      <c r="B233" s="10"/>
      <c r="C233" s="11"/>
      <c r="D233" s="11"/>
      <c r="E233" s="12"/>
      <c r="F233" s="12"/>
      <c r="G233" s="11"/>
      <c r="H233" s="11"/>
      <c r="I233" s="11"/>
      <c r="J233" s="11"/>
    </row>
    <row r="234" spans="2:10" s="9" customFormat="1" x14ac:dyDescent="0.2">
      <c r="B234" s="10"/>
      <c r="C234" s="11"/>
      <c r="D234" s="11"/>
      <c r="E234" s="12"/>
      <c r="F234" s="12"/>
      <c r="G234" s="11"/>
      <c r="H234" s="11"/>
      <c r="I234" s="11"/>
      <c r="J234" s="11"/>
    </row>
    <row r="235" spans="2:10" s="9" customFormat="1" x14ac:dyDescent="0.2">
      <c r="B235" s="10"/>
      <c r="C235" s="11"/>
      <c r="D235" s="11"/>
      <c r="E235" s="12"/>
      <c r="F235" s="12"/>
      <c r="G235" s="11"/>
      <c r="H235" s="11"/>
      <c r="I235" s="11"/>
      <c r="J235" s="11"/>
    </row>
    <row r="236" spans="2:10" s="9" customFormat="1" x14ac:dyDescent="0.2">
      <c r="B236" s="10"/>
      <c r="C236" s="11"/>
      <c r="D236" s="11"/>
      <c r="E236" s="12"/>
      <c r="F236" s="12"/>
      <c r="G236" s="11"/>
      <c r="H236" s="11"/>
      <c r="I236" s="11"/>
      <c r="J236" s="11"/>
    </row>
    <row r="237" spans="2:10" s="9" customFormat="1" x14ac:dyDescent="0.2">
      <c r="B237" s="10"/>
      <c r="C237" s="11"/>
      <c r="D237" s="11"/>
      <c r="E237" s="12"/>
      <c r="F237" s="12"/>
      <c r="G237" s="11"/>
      <c r="H237" s="11"/>
      <c r="I237" s="11"/>
      <c r="J237" s="11"/>
    </row>
    <row r="238" spans="2:10" s="9" customFormat="1" x14ac:dyDescent="0.2">
      <c r="B238" s="10"/>
      <c r="C238" s="11"/>
      <c r="D238" s="11"/>
      <c r="E238" s="12"/>
      <c r="F238" s="12"/>
      <c r="G238" s="11"/>
      <c r="H238" s="11"/>
      <c r="I238" s="11"/>
      <c r="J238" s="11"/>
    </row>
    <row r="239" spans="2:10" s="9" customFormat="1" x14ac:dyDescent="0.2">
      <c r="B239" s="10"/>
      <c r="C239" s="11"/>
      <c r="D239" s="11"/>
      <c r="E239" s="12"/>
      <c r="F239" s="12"/>
      <c r="G239" s="11"/>
      <c r="H239" s="11"/>
      <c r="I239" s="11"/>
      <c r="J239" s="11"/>
    </row>
    <row r="240" spans="2:10" s="9" customFormat="1" x14ac:dyDescent="0.2">
      <c r="B240" s="10"/>
      <c r="C240" s="11"/>
      <c r="D240" s="11"/>
      <c r="E240" s="12"/>
      <c r="F240" s="12"/>
      <c r="G240" s="11"/>
      <c r="H240" s="11"/>
      <c r="I240" s="11"/>
      <c r="J240" s="11"/>
    </row>
    <row r="241" spans="2:10" s="9" customFormat="1" x14ac:dyDescent="0.2">
      <c r="B241" s="10"/>
      <c r="C241" s="11"/>
      <c r="D241" s="11"/>
      <c r="E241" s="12"/>
      <c r="F241" s="12"/>
      <c r="G241" s="11"/>
      <c r="H241" s="11"/>
      <c r="I241" s="11"/>
      <c r="J241" s="11"/>
    </row>
    <row r="242" spans="2:10" s="9" customFormat="1" x14ac:dyDescent="0.2">
      <c r="B242" s="10"/>
      <c r="C242" s="11"/>
      <c r="D242" s="11"/>
      <c r="E242" s="12"/>
      <c r="F242" s="12"/>
      <c r="G242" s="11"/>
      <c r="H242" s="11"/>
      <c r="I242" s="11"/>
      <c r="J242" s="11"/>
    </row>
    <row r="243" spans="2:10" s="9" customFormat="1" x14ac:dyDescent="0.2">
      <c r="B243" s="10"/>
      <c r="C243" s="11"/>
      <c r="D243" s="11"/>
      <c r="E243" s="12"/>
      <c r="F243" s="12"/>
      <c r="G243" s="11"/>
      <c r="H243" s="11"/>
      <c r="I243" s="11"/>
      <c r="J243" s="11"/>
    </row>
    <row r="244" spans="2:10" s="9" customFormat="1" x14ac:dyDescent="0.2">
      <c r="B244" s="10"/>
      <c r="C244" s="11"/>
      <c r="D244" s="11"/>
      <c r="E244" s="12"/>
      <c r="F244" s="12"/>
      <c r="G244" s="11"/>
      <c r="H244" s="11"/>
      <c r="I244" s="11"/>
      <c r="J244" s="11"/>
    </row>
    <row r="245" spans="2:10" s="9" customFormat="1" x14ac:dyDescent="0.2">
      <c r="B245" s="10"/>
      <c r="C245" s="11"/>
      <c r="D245" s="11"/>
      <c r="E245" s="12"/>
      <c r="F245" s="12"/>
      <c r="G245" s="11"/>
      <c r="H245" s="11"/>
      <c r="I245" s="11"/>
      <c r="J245" s="11"/>
    </row>
    <row r="246" spans="2:10" s="9" customFormat="1" x14ac:dyDescent="0.2">
      <c r="B246" s="10"/>
      <c r="C246" s="11"/>
      <c r="D246" s="11"/>
      <c r="E246" s="12"/>
      <c r="F246" s="12"/>
      <c r="G246" s="11"/>
      <c r="H246" s="11"/>
      <c r="I246" s="11"/>
      <c r="J246" s="11"/>
    </row>
    <row r="247" spans="2:10" s="9" customFormat="1" x14ac:dyDescent="0.2">
      <c r="B247" s="10"/>
      <c r="C247" s="11"/>
      <c r="D247" s="11"/>
      <c r="E247" s="12"/>
      <c r="F247" s="12"/>
      <c r="G247" s="11"/>
      <c r="H247" s="11"/>
      <c r="I247" s="11"/>
      <c r="J247" s="11"/>
    </row>
    <row r="248" spans="2:10" s="9" customFormat="1" x14ac:dyDescent="0.2">
      <c r="B248" s="10"/>
      <c r="C248" s="11"/>
      <c r="D248" s="11"/>
      <c r="E248" s="12"/>
      <c r="F248" s="12"/>
      <c r="G248" s="11"/>
      <c r="H248" s="11"/>
      <c r="I248" s="11"/>
      <c r="J248" s="11"/>
    </row>
    <row r="249" spans="2:10" s="9" customFormat="1" x14ac:dyDescent="0.2">
      <c r="B249" s="10"/>
      <c r="C249" s="11"/>
      <c r="D249" s="11"/>
      <c r="E249" s="12"/>
      <c r="F249" s="12"/>
      <c r="G249" s="11"/>
      <c r="H249" s="11"/>
      <c r="I249" s="11"/>
      <c r="J249" s="11"/>
    </row>
    <row r="250" spans="2:10" s="9" customFormat="1" x14ac:dyDescent="0.2">
      <c r="B250" s="10"/>
      <c r="C250" s="11"/>
      <c r="D250" s="11"/>
      <c r="E250" s="12"/>
      <c r="F250" s="12"/>
      <c r="G250" s="11"/>
      <c r="H250" s="11"/>
      <c r="I250" s="11"/>
      <c r="J250" s="11"/>
    </row>
    <row r="251" spans="2:10" s="9" customFormat="1" x14ac:dyDescent="0.2">
      <c r="B251" s="10"/>
      <c r="C251" s="11"/>
      <c r="D251" s="11"/>
      <c r="E251" s="12"/>
      <c r="F251" s="12"/>
      <c r="G251" s="11"/>
      <c r="H251" s="11"/>
      <c r="I251" s="11"/>
      <c r="J251" s="11"/>
    </row>
    <row r="252" spans="2:10" s="9" customFormat="1" x14ac:dyDescent="0.2">
      <c r="B252" s="10"/>
      <c r="C252" s="11"/>
      <c r="D252" s="11"/>
      <c r="E252" s="12"/>
      <c r="F252" s="12"/>
      <c r="G252" s="11"/>
      <c r="H252" s="11"/>
      <c r="I252" s="11"/>
      <c r="J252" s="11"/>
    </row>
    <row r="253" spans="2:10" s="9" customFormat="1" x14ac:dyDescent="0.2">
      <c r="B253" s="10"/>
      <c r="C253" s="11"/>
      <c r="D253" s="11"/>
      <c r="E253" s="12"/>
      <c r="F253" s="12"/>
      <c r="G253" s="11"/>
      <c r="H253" s="11"/>
      <c r="I253" s="11"/>
      <c r="J253" s="11"/>
    </row>
    <row r="254" spans="2:10" s="9" customFormat="1" x14ac:dyDescent="0.2">
      <c r="B254" s="10"/>
      <c r="C254" s="11"/>
      <c r="D254" s="11"/>
      <c r="E254" s="12"/>
      <c r="F254" s="12"/>
      <c r="G254" s="11"/>
      <c r="H254" s="11"/>
      <c r="I254" s="11"/>
      <c r="J254" s="11"/>
    </row>
    <row r="255" spans="2:10" s="9" customFormat="1" x14ac:dyDescent="0.2">
      <c r="B255" s="10"/>
      <c r="C255" s="11"/>
      <c r="D255" s="11"/>
      <c r="E255" s="12"/>
      <c r="F255" s="12"/>
      <c r="G255" s="11"/>
      <c r="H255" s="11"/>
      <c r="I255" s="11"/>
      <c r="J255" s="11"/>
    </row>
    <row r="256" spans="2:10" s="9" customFormat="1" x14ac:dyDescent="0.2">
      <c r="B256" s="10"/>
      <c r="C256" s="11"/>
      <c r="D256" s="11"/>
      <c r="E256" s="12"/>
      <c r="F256" s="12"/>
      <c r="G256" s="11"/>
      <c r="H256" s="11"/>
      <c r="I256" s="11"/>
      <c r="J256" s="11"/>
    </row>
    <row r="257" spans="2:10" s="9" customFormat="1" x14ac:dyDescent="0.2">
      <c r="B257" s="10"/>
      <c r="C257" s="11"/>
      <c r="D257" s="11"/>
      <c r="E257" s="12"/>
      <c r="F257" s="12"/>
      <c r="G257" s="11"/>
      <c r="H257" s="11"/>
      <c r="I257" s="11"/>
      <c r="J257" s="11"/>
    </row>
    <row r="258" spans="2:10" s="9" customFormat="1" x14ac:dyDescent="0.2">
      <c r="B258" s="10"/>
      <c r="C258" s="11"/>
      <c r="D258" s="11"/>
      <c r="E258" s="12"/>
      <c r="F258" s="12"/>
      <c r="G258" s="11"/>
      <c r="H258" s="11"/>
      <c r="I258" s="11"/>
      <c r="J258" s="11"/>
    </row>
    <row r="259" spans="2:10" s="9" customFormat="1" x14ac:dyDescent="0.2">
      <c r="B259" s="10"/>
      <c r="C259" s="11"/>
      <c r="D259" s="11"/>
      <c r="E259" s="12"/>
      <c r="F259" s="12"/>
      <c r="G259" s="11"/>
      <c r="H259" s="11"/>
      <c r="I259" s="11"/>
      <c r="J259" s="11"/>
    </row>
    <row r="260" spans="2:10" s="9" customFormat="1" x14ac:dyDescent="0.2">
      <c r="B260" s="10"/>
      <c r="C260" s="11"/>
      <c r="D260" s="11"/>
      <c r="E260" s="12"/>
      <c r="F260" s="12"/>
      <c r="G260" s="11"/>
      <c r="H260" s="11"/>
      <c r="I260" s="11"/>
      <c r="J260" s="11"/>
    </row>
    <row r="261" spans="2:10" s="9" customFormat="1" x14ac:dyDescent="0.2">
      <c r="B261" s="10"/>
      <c r="C261" s="11"/>
      <c r="D261" s="11"/>
      <c r="E261" s="12"/>
      <c r="F261" s="12"/>
      <c r="G261" s="11"/>
      <c r="H261" s="11"/>
      <c r="I261" s="11"/>
      <c r="J261" s="11"/>
    </row>
    <row r="262" spans="2:10" s="9" customFormat="1" x14ac:dyDescent="0.2">
      <c r="B262" s="10"/>
      <c r="C262" s="11"/>
      <c r="D262" s="11"/>
      <c r="E262" s="12"/>
      <c r="F262" s="12"/>
      <c r="G262" s="11"/>
      <c r="H262" s="11"/>
      <c r="I262" s="11"/>
      <c r="J262" s="11"/>
    </row>
    <row r="263" spans="2:10" s="9" customFormat="1" x14ac:dyDescent="0.2">
      <c r="B263" s="10"/>
      <c r="C263" s="11"/>
      <c r="D263" s="11"/>
      <c r="E263" s="12"/>
      <c r="F263" s="12"/>
      <c r="G263" s="11"/>
      <c r="H263" s="11"/>
      <c r="I263" s="11"/>
      <c r="J263" s="11"/>
    </row>
    <row r="264" spans="2:10" s="9" customFormat="1" x14ac:dyDescent="0.2">
      <c r="B264" s="10"/>
      <c r="C264" s="11"/>
      <c r="D264" s="11"/>
      <c r="E264" s="12"/>
      <c r="F264" s="12"/>
      <c r="G264" s="11"/>
      <c r="H264" s="11"/>
      <c r="I264" s="11"/>
      <c r="J264" s="11"/>
    </row>
    <row r="265" spans="2:10" s="9" customFormat="1" x14ac:dyDescent="0.2">
      <c r="B265" s="10"/>
      <c r="C265" s="11"/>
      <c r="D265" s="11"/>
      <c r="E265" s="12"/>
      <c r="F265" s="12"/>
      <c r="G265" s="11"/>
      <c r="H265" s="11"/>
      <c r="I265" s="11"/>
      <c r="J265" s="11"/>
    </row>
    <row r="266" spans="2:10" s="9" customFormat="1" x14ac:dyDescent="0.2">
      <c r="B266" s="10"/>
      <c r="C266" s="11"/>
      <c r="D266" s="11"/>
      <c r="E266" s="12"/>
      <c r="F266" s="12"/>
      <c r="G266" s="11"/>
      <c r="H266" s="11"/>
      <c r="I266" s="11"/>
      <c r="J266" s="11"/>
    </row>
    <row r="267" spans="2:10" s="9" customFormat="1" x14ac:dyDescent="0.2">
      <c r="B267" s="10"/>
      <c r="C267" s="11"/>
      <c r="D267" s="11"/>
      <c r="E267" s="12"/>
      <c r="F267" s="12"/>
      <c r="G267" s="11"/>
      <c r="H267" s="11"/>
      <c r="I267" s="11"/>
      <c r="J267" s="11"/>
    </row>
    <row r="268" spans="2:10" s="9" customFormat="1" x14ac:dyDescent="0.2">
      <c r="B268" s="10"/>
      <c r="C268" s="11"/>
      <c r="D268" s="11"/>
      <c r="E268" s="12"/>
      <c r="F268" s="12"/>
      <c r="G268" s="11"/>
      <c r="H268" s="11"/>
      <c r="I268" s="11"/>
      <c r="J268" s="11"/>
    </row>
    <row r="269" spans="2:10" s="9" customFormat="1" x14ac:dyDescent="0.2">
      <c r="B269" s="10"/>
      <c r="C269" s="11"/>
      <c r="D269" s="11"/>
      <c r="E269" s="12"/>
      <c r="F269" s="12"/>
      <c r="G269" s="11"/>
      <c r="H269" s="11"/>
      <c r="I269" s="11"/>
      <c r="J269" s="11"/>
    </row>
    <row r="270" spans="2:10" s="9" customFormat="1" x14ac:dyDescent="0.2">
      <c r="B270" s="10"/>
      <c r="C270" s="11"/>
      <c r="D270" s="11"/>
      <c r="E270" s="12"/>
      <c r="F270" s="12"/>
      <c r="G270" s="11"/>
      <c r="H270" s="11"/>
      <c r="I270" s="11"/>
      <c r="J270" s="11"/>
    </row>
    <row r="271" spans="2:10" s="9" customFormat="1" x14ac:dyDescent="0.2">
      <c r="B271" s="10"/>
      <c r="C271" s="11"/>
      <c r="D271" s="11"/>
      <c r="E271" s="12"/>
      <c r="F271" s="12"/>
      <c r="G271" s="11"/>
      <c r="H271" s="11"/>
      <c r="I271" s="11"/>
      <c r="J271" s="11"/>
    </row>
    <row r="272" spans="2:10" s="9" customFormat="1" x14ac:dyDescent="0.2">
      <c r="B272" s="10"/>
      <c r="C272" s="11"/>
      <c r="D272" s="11"/>
      <c r="E272" s="12"/>
      <c r="F272" s="12"/>
      <c r="G272" s="11"/>
      <c r="H272" s="11"/>
      <c r="I272" s="11"/>
      <c r="J272" s="11"/>
    </row>
    <row r="273" spans="2:10" s="9" customFormat="1" x14ac:dyDescent="0.2">
      <c r="B273" s="10"/>
      <c r="C273" s="11"/>
      <c r="D273" s="11"/>
      <c r="E273" s="12"/>
      <c r="F273" s="12"/>
      <c r="G273" s="11"/>
      <c r="H273" s="11"/>
      <c r="I273" s="11"/>
      <c r="J273" s="11"/>
    </row>
    <row r="274" spans="2:10" s="9" customFormat="1" x14ac:dyDescent="0.2">
      <c r="B274" s="10"/>
      <c r="C274" s="11"/>
      <c r="D274" s="11"/>
      <c r="E274" s="12"/>
      <c r="F274" s="12"/>
      <c r="G274" s="11"/>
      <c r="H274" s="11"/>
      <c r="I274" s="11"/>
      <c r="J274" s="11"/>
    </row>
    <row r="275" spans="2:10" s="9" customFormat="1" x14ac:dyDescent="0.2">
      <c r="B275" s="10"/>
      <c r="C275" s="11"/>
      <c r="D275" s="11"/>
      <c r="E275" s="12"/>
      <c r="F275" s="12"/>
      <c r="G275" s="11"/>
      <c r="H275" s="11"/>
      <c r="I275" s="11"/>
      <c r="J275" s="11"/>
    </row>
    <row r="276" spans="2:10" s="9" customFormat="1" x14ac:dyDescent="0.2">
      <c r="B276" s="10"/>
      <c r="C276" s="11"/>
      <c r="D276" s="11"/>
      <c r="E276" s="12"/>
      <c r="F276" s="12"/>
      <c r="G276" s="11"/>
      <c r="H276" s="11"/>
      <c r="I276" s="11"/>
      <c r="J276" s="11"/>
    </row>
    <row r="277" spans="2:10" s="9" customFormat="1" x14ac:dyDescent="0.2">
      <c r="B277" s="10"/>
      <c r="C277" s="11"/>
      <c r="D277" s="11"/>
      <c r="E277" s="12"/>
      <c r="F277" s="12"/>
      <c r="G277" s="11"/>
      <c r="H277" s="11"/>
      <c r="I277" s="11"/>
      <c r="J277" s="11"/>
    </row>
    <row r="278" spans="2:10" s="9" customFormat="1" x14ac:dyDescent="0.2">
      <c r="B278" s="10"/>
      <c r="C278" s="11"/>
      <c r="D278" s="11"/>
      <c r="E278" s="12"/>
      <c r="F278" s="12"/>
      <c r="G278" s="11"/>
      <c r="H278" s="11"/>
      <c r="I278" s="11"/>
      <c r="J278" s="11"/>
    </row>
    <row r="279" spans="2:10" s="9" customFormat="1" x14ac:dyDescent="0.2">
      <c r="B279" s="10"/>
      <c r="C279" s="11"/>
      <c r="D279" s="11"/>
      <c r="E279" s="12"/>
      <c r="F279" s="12"/>
      <c r="G279" s="11"/>
      <c r="H279" s="11"/>
      <c r="I279" s="11"/>
      <c r="J279" s="11"/>
    </row>
    <row r="280" spans="2:10" s="9" customFormat="1" x14ac:dyDescent="0.2">
      <c r="B280" s="10"/>
      <c r="C280" s="11"/>
      <c r="D280" s="11"/>
      <c r="E280" s="12"/>
      <c r="F280" s="12"/>
      <c r="G280" s="11"/>
      <c r="H280" s="11"/>
      <c r="I280" s="11"/>
      <c r="J280" s="11"/>
    </row>
    <row r="281" spans="2:10" s="9" customFormat="1" x14ac:dyDescent="0.2">
      <c r="B281" s="10"/>
      <c r="C281" s="11"/>
      <c r="D281" s="11"/>
      <c r="E281" s="12"/>
      <c r="F281" s="12"/>
      <c r="G281" s="11"/>
      <c r="H281" s="11"/>
      <c r="I281" s="11"/>
      <c r="J281" s="11"/>
    </row>
    <row r="282" spans="2:10" s="9" customFormat="1" x14ac:dyDescent="0.2">
      <c r="B282" s="10"/>
      <c r="C282" s="11"/>
      <c r="D282" s="11"/>
      <c r="E282" s="12"/>
      <c r="F282" s="12"/>
      <c r="G282" s="11"/>
      <c r="H282" s="11"/>
      <c r="I282" s="11"/>
      <c r="J282" s="11"/>
    </row>
    <row r="283" spans="2:10" s="9" customFormat="1" x14ac:dyDescent="0.2">
      <c r="B283" s="10"/>
      <c r="C283" s="11"/>
      <c r="D283" s="11"/>
      <c r="E283" s="12"/>
      <c r="F283" s="12"/>
      <c r="G283" s="11"/>
      <c r="H283" s="11"/>
      <c r="I283" s="11"/>
      <c r="J283" s="11"/>
    </row>
    <row r="284" spans="2:10" s="9" customFormat="1" x14ac:dyDescent="0.2">
      <c r="B284" s="10"/>
      <c r="C284" s="11"/>
      <c r="D284" s="11"/>
      <c r="E284" s="12"/>
      <c r="F284" s="12"/>
      <c r="G284" s="11"/>
      <c r="H284" s="11"/>
      <c r="I284" s="11"/>
      <c r="J284" s="11"/>
    </row>
    <row r="285" spans="2:10" s="9" customFormat="1" x14ac:dyDescent="0.2">
      <c r="B285" s="10"/>
      <c r="C285" s="11"/>
      <c r="D285" s="11"/>
      <c r="E285" s="12"/>
      <c r="F285" s="12"/>
      <c r="G285" s="11"/>
      <c r="H285" s="11"/>
      <c r="I285" s="11"/>
      <c r="J285" s="11"/>
    </row>
    <row r="286" spans="2:10" s="9" customFormat="1" x14ac:dyDescent="0.2">
      <c r="B286" s="10"/>
      <c r="C286" s="11"/>
      <c r="D286" s="11"/>
      <c r="E286" s="12"/>
      <c r="F286" s="12"/>
      <c r="G286" s="11"/>
      <c r="H286" s="11"/>
      <c r="I286" s="11"/>
      <c r="J286" s="11"/>
    </row>
    <row r="287" spans="2:10" s="9" customFormat="1" x14ac:dyDescent="0.2">
      <c r="B287" s="10"/>
      <c r="C287" s="11"/>
      <c r="D287" s="11"/>
      <c r="E287" s="12"/>
      <c r="F287" s="12"/>
      <c r="G287" s="11"/>
      <c r="H287" s="11"/>
      <c r="I287" s="11"/>
      <c r="J287" s="11"/>
    </row>
    <row r="288" spans="2:10" s="9" customFormat="1" x14ac:dyDescent="0.2">
      <c r="B288" s="10"/>
      <c r="C288" s="11"/>
      <c r="D288" s="11"/>
      <c r="E288" s="12"/>
      <c r="F288" s="12"/>
      <c r="G288" s="11"/>
      <c r="H288" s="11"/>
      <c r="I288" s="11"/>
      <c r="J288" s="11"/>
    </row>
    <row r="289" spans="2:10" s="9" customFormat="1" x14ac:dyDescent="0.2">
      <c r="B289" s="10"/>
      <c r="C289" s="11"/>
      <c r="D289" s="11"/>
      <c r="E289" s="12"/>
      <c r="F289" s="12"/>
      <c r="G289" s="11"/>
      <c r="H289" s="11"/>
      <c r="I289" s="11"/>
      <c r="J289" s="11"/>
    </row>
    <row r="290" spans="2:10" s="9" customFormat="1" x14ac:dyDescent="0.2">
      <c r="B290" s="10"/>
      <c r="C290" s="11"/>
      <c r="D290" s="11"/>
      <c r="E290" s="12"/>
      <c r="F290" s="12"/>
      <c r="G290" s="11"/>
      <c r="H290" s="11"/>
      <c r="I290" s="11"/>
      <c r="J290" s="11"/>
    </row>
    <row r="291" spans="2:10" s="9" customFormat="1" x14ac:dyDescent="0.2">
      <c r="B291" s="10"/>
      <c r="C291" s="11"/>
      <c r="D291" s="11"/>
      <c r="E291" s="12"/>
      <c r="F291" s="12"/>
      <c r="G291" s="11"/>
      <c r="H291" s="11"/>
      <c r="I291" s="11"/>
      <c r="J291" s="11"/>
    </row>
    <row r="292" spans="2:10" s="9" customFormat="1" x14ac:dyDescent="0.2">
      <c r="B292" s="10"/>
      <c r="C292" s="11"/>
      <c r="D292" s="11"/>
      <c r="E292" s="12"/>
      <c r="F292" s="12"/>
      <c r="G292" s="11"/>
      <c r="H292" s="11"/>
      <c r="I292" s="11"/>
      <c r="J292" s="11"/>
    </row>
    <row r="293" spans="2:10" s="9" customFormat="1" x14ac:dyDescent="0.2">
      <c r="B293" s="10"/>
      <c r="C293" s="11"/>
      <c r="D293" s="11"/>
      <c r="E293" s="12"/>
      <c r="F293" s="12"/>
      <c r="G293" s="11"/>
      <c r="H293" s="11"/>
      <c r="I293" s="11"/>
      <c r="J293" s="11"/>
    </row>
    <row r="294" spans="2:10" s="9" customFormat="1" x14ac:dyDescent="0.2">
      <c r="B294" s="10"/>
      <c r="C294" s="11"/>
      <c r="D294" s="11"/>
      <c r="E294" s="12"/>
      <c r="F294" s="12"/>
      <c r="G294" s="11"/>
      <c r="H294" s="11"/>
      <c r="I294" s="11"/>
      <c r="J294" s="11"/>
    </row>
    <row r="295" spans="2:10" s="9" customFormat="1" x14ac:dyDescent="0.2">
      <c r="B295" s="10"/>
      <c r="C295" s="11"/>
      <c r="D295" s="11"/>
      <c r="E295" s="12"/>
      <c r="F295" s="12"/>
      <c r="G295" s="11"/>
      <c r="H295" s="11"/>
      <c r="I295" s="11"/>
      <c r="J295" s="11"/>
    </row>
    <row r="296" spans="2:10" s="9" customFormat="1" x14ac:dyDescent="0.2">
      <c r="B296" s="10"/>
      <c r="C296" s="11"/>
      <c r="D296" s="11"/>
      <c r="E296" s="12"/>
      <c r="F296" s="12"/>
      <c r="G296" s="11"/>
      <c r="H296" s="11"/>
      <c r="I296" s="11"/>
      <c r="J296" s="11"/>
    </row>
    <row r="297" spans="2:10" s="9" customFormat="1" x14ac:dyDescent="0.2">
      <c r="B297" s="10"/>
      <c r="C297" s="11"/>
      <c r="D297" s="11"/>
      <c r="E297" s="12"/>
      <c r="F297" s="12"/>
      <c r="G297" s="11"/>
      <c r="H297" s="11"/>
      <c r="I297" s="11"/>
      <c r="J297" s="11"/>
    </row>
    <row r="298" spans="2:10" s="9" customFormat="1" x14ac:dyDescent="0.2">
      <c r="B298" s="10"/>
      <c r="C298" s="11"/>
      <c r="D298" s="11"/>
      <c r="E298" s="12"/>
      <c r="F298" s="12"/>
      <c r="G298" s="11"/>
      <c r="H298" s="11"/>
      <c r="I298" s="11"/>
      <c r="J298" s="11"/>
    </row>
    <row r="299" spans="2:10" s="9" customFormat="1" x14ac:dyDescent="0.2">
      <c r="B299" s="10"/>
      <c r="C299" s="11"/>
      <c r="D299" s="11"/>
      <c r="E299" s="12"/>
      <c r="F299" s="12"/>
      <c r="G299" s="11"/>
      <c r="H299" s="11"/>
      <c r="I299" s="11"/>
      <c r="J299" s="11"/>
    </row>
    <row r="300" spans="2:10" s="9" customFormat="1" x14ac:dyDescent="0.2">
      <c r="B300" s="10"/>
      <c r="C300" s="11"/>
      <c r="D300" s="11"/>
      <c r="E300" s="12"/>
      <c r="F300" s="12"/>
      <c r="G300" s="11"/>
      <c r="H300" s="11"/>
      <c r="I300" s="11"/>
      <c r="J300" s="11"/>
    </row>
    <row r="301" spans="2:10" s="9" customFormat="1" x14ac:dyDescent="0.2">
      <c r="B301" s="10"/>
      <c r="C301" s="11"/>
      <c r="D301" s="11"/>
      <c r="E301" s="12"/>
      <c r="F301" s="12"/>
      <c r="G301" s="11"/>
      <c r="H301" s="11"/>
      <c r="I301" s="11"/>
      <c r="J301" s="11"/>
    </row>
    <row r="302" spans="2:10" s="9" customFormat="1" x14ac:dyDescent="0.2">
      <c r="B302" s="10"/>
      <c r="C302" s="11"/>
      <c r="D302" s="11"/>
      <c r="E302" s="12"/>
      <c r="F302" s="12"/>
      <c r="G302" s="11"/>
      <c r="H302" s="11"/>
      <c r="I302" s="11"/>
      <c r="J302" s="11"/>
    </row>
    <row r="303" spans="2:10" s="9" customFormat="1" x14ac:dyDescent="0.2">
      <c r="B303" s="10"/>
      <c r="C303" s="11"/>
      <c r="D303" s="11"/>
      <c r="E303" s="12"/>
      <c r="F303" s="12"/>
      <c r="G303" s="11"/>
      <c r="H303" s="11"/>
      <c r="I303" s="11"/>
      <c r="J303" s="11"/>
    </row>
    <row r="304" spans="2:10" s="9" customFormat="1" x14ac:dyDescent="0.2">
      <c r="B304" s="10"/>
      <c r="C304" s="11"/>
      <c r="D304" s="11"/>
      <c r="E304" s="12"/>
      <c r="F304" s="12"/>
      <c r="G304" s="11"/>
      <c r="H304" s="11"/>
      <c r="I304" s="11"/>
      <c r="J304" s="11"/>
    </row>
    <row r="305" spans="2:10" s="9" customFormat="1" x14ac:dyDescent="0.2">
      <c r="B305" s="10"/>
      <c r="C305" s="11"/>
      <c r="D305" s="11"/>
      <c r="E305" s="12"/>
      <c r="F305" s="12"/>
      <c r="G305" s="11"/>
      <c r="H305" s="11"/>
      <c r="I305" s="11"/>
      <c r="J305" s="11"/>
    </row>
    <row r="306" spans="2:10" s="9" customFormat="1" x14ac:dyDescent="0.2">
      <c r="B306" s="10"/>
      <c r="C306" s="11"/>
      <c r="D306" s="11"/>
      <c r="E306" s="12"/>
      <c r="F306" s="12"/>
      <c r="G306" s="11"/>
      <c r="H306" s="11"/>
      <c r="I306" s="11"/>
      <c r="J306" s="11"/>
    </row>
    <row r="307" spans="2:10" s="9" customFormat="1" x14ac:dyDescent="0.2">
      <c r="B307" s="10"/>
      <c r="C307" s="11"/>
      <c r="D307" s="11"/>
      <c r="E307" s="12"/>
      <c r="F307" s="12"/>
      <c r="G307" s="11"/>
      <c r="H307" s="11"/>
      <c r="I307" s="11"/>
      <c r="J307" s="11"/>
    </row>
    <row r="308" spans="2:10" s="9" customFormat="1" x14ac:dyDescent="0.2">
      <c r="B308" s="10"/>
      <c r="C308" s="11"/>
      <c r="D308" s="11"/>
      <c r="E308" s="12"/>
      <c r="F308" s="12"/>
      <c r="G308" s="11"/>
      <c r="H308" s="11"/>
      <c r="I308" s="11"/>
      <c r="J308" s="11"/>
    </row>
    <row r="309" spans="2:10" s="9" customFormat="1" x14ac:dyDescent="0.2">
      <c r="B309" s="10"/>
      <c r="C309" s="11"/>
      <c r="D309" s="11"/>
      <c r="E309" s="12"/>
      <c r="F309" s="12"/>
      <c r="G309" s="11"/>
      <c r="H309" s="11"/>
      <c r="I309" s="11"/>
      <c r="J309" s="11"/>
    </row>
    <row r="310" spans="2:10" s="9" customFormat="1" x14ac:dyDescent="0.2">
      <c r="B310" s="10"/>
      <c r="C310" s="11"/>
      <c r="D310" s="11"/>
      <c r="E310" s="12"/>
      <c r="F310" s="12"/>
      <c r="G310" s="11"/>
      <c r="H310" s="11"/>
      <c r="I310" s="11"/>
      <c r="J310" s="11"/>
    </row>
    <row r="311" spans="2:10" s="9" customFormat="1" x14ac:dyDescent="0.2">
      <c r="B311" s="10"/>
      <c r="C311" s="11"/>
      <c r="D311" s="11"/>
      <c r="E311" s="12"/>
      <c r="F311" s="12"/>
      <c r="G311" s="11"/>
      <c r="H311" s="11"/>
      <c r="I311" s="11"/>
      <c r="J311" s="11"/>
    </row>
    <row r="312" spans="2:10" s="9" customFormat="1" x14ac:dyDescent="0.2">
      <c r="B312" s="10"/>
      <c r="C312" s="11"/>
      <c r="D312" s="11"/>
      <c r="E312" s="12"/>
      <c r="F312" s="12"/>
      <c r="G312" s="11"/>
      <c r="H312" s="11"/>
      <c r="I312" s="11"/>
      <c r="J312" s="11"/>
    </row>
    <row r="313" spans="2:10" s="9" customFormat="1" x14ac:dyDescent="0.2">
      <c r="B313" s="10"/>
      <c r="C313" s="11"/>
      <c r="D313" s="11"/>
      <c r="E313" s="12"/>
      <c r="F313" s="12"/>
      <c r="G313" s="11"/>
      <c r="H313" s="11"/>
      <c r="I313" s="11"/>
      <c r="J313" s="11"/>
    </row>
    <row r="314" spans="2:10" s="9" customFormat="1" x14ac:dyDescent="0.2">
      <c r="B314" s="10"/>
      <c r="C314" s="11"/>
      <c r="D314" s="11"/>
      <c r="E314" s="12"/>
      <c r="F314" s="12"/>
      <c r="G314" s="11"/>
      <c r="H314" s="11"/>
      <c r="I314" s="11"/>
      <c r="J314" s="11"/>
    </row>
    <row r="315" spans="2:10" s="9" customFormat="1" x14ac:dyDescent="0.2">
      <c r="B315" s="10"/>
      <c r="C315" s="11"/>
      <c r="D315" s="11"/>
      <c r="E315" s="12"/>
      <c r="F315" s="12"/>
      <c r="G315" s="11"/>
      <c r="H315" s="11"/>
      <c r="I315" s="11"/>
      <c r="J315" s="11"/>
    </row>
    <row r="316" spans="2:10" s="9" customFormat="1" x14ac:dyDescent="0.2">
      <c r="B316" s="10"/>
      <c r="C316" s="11"/>
      <c r="D316" s="11"/>
      <c r="E316" s="12"/>
      <c r="F316" s="12"/>
      <c r="G316" s="11"/>
      <c r="H316" s="11"/>
      <c r="I316" s="11"/>
      <c r="J316" s="11"/>
    </row>
    <row r="317" spans="2:10" s="9" customFormat="1" x14ac:dyDescent="0.2">
      <c r="B317" s="10"/>
      <c r="C317" s="11"/>
      <c r="D317" s="11"/>
      <c r="E317" s="12"/>
      <c r="F317" s="12"/>
      <c r="G317" s="11"/>
      <c r="H317" s="11"/>
      <c r="I317" s="11"/>
      <c r="J317" s="11"/>
    </row>
    <row r="318" spans="2:10" s="9" customFormat="1" x14ac:dyDescent="0.2">
      <c r="B318" s="10"/>
      <c r="C318" s="11"/>
      <c r="D318" s="11"/>
      <c r="E318" s="12"/>
      <c r="F318" s="12"/>
      <c r="G318" s="11"/>
      <c r="H318" s="11"/>
      <c r="I318" s="11"/>
      <c r="J318" s="11"/>
    </row>
    <row r="319" spans="2:10" s="9" customFormat="1" x14ac:dyDescent="0.2">
      <c r="B319" s="10"/>
      <c r="C319" s="11"/>
      <c r="D319" s="11"/>
      <c r="E319" s="12"/>
      <c r="F319" s="12"/>
      <c r="G319" s="11"/>
      <c r="H319" s="11"/>
      <c r="I319" s="11"/>
      <c r="J319" s="11"/>
    </row>
    <row r="320" spans="2:10" s="9" customFormat="1" x14ac:dyDescent="0.2">
      <c r="B320" s="10"/>
      <c r="C320" s="11"/>
      <c r="D320" s="11"/>
      <c r="E320" s="12"/>
      <c r="F320" s="12"/>
      <c r="G320" s="11"/>
      <c r="H320" s="11"/>
      <c r="I320" s="11"/>
      <c r="J320" s="11"/>
    </row>
    <row r="321" spans="2:10" s="9" customFormat="1" x14ac:dyDescent="0.2">
      <c r="B321" s="10"/>
      <c r="C321" s="11"/>
      <c r="D321" s="11"/>
      <c r="E321" s="12"/>
      <c r="F321" s="12"/>
      <c r="G321" s="11"/>
      <c r="H321" s="11"/>
      <c r="I321" s="11"/>
      <c r="J321" s="11"/>
    </row>
    <row r="322" spans="2:10" s="9" customFormat="1" x14ac:dyDescent="0.2">
      <c r="B322" s="10"/>
      <c r="C322" s="11"/>
      <c r="D322" s="11"/>
      <c r="E322" s="12"/>
      <c r="F322" s="12"/>
      <c r="G322" s="11"/>
      <c r="H322" s="11"/>
      <c r="I322" s="11"/>
      <c r="J322" s="11"/>
    </row>
    <row r="323" spans="2:10" s="9" customFormat="1" x14ac:dyDescent="0.2">
      <c r="B323" s="10"/>
      <c r="C323" s="11"/>
      <c r="D323" s="11"/>
      <c r="E323" s="12"/>
      <c r="F323" s="12"/>
      <c r="G323" s="11"/>
      <c r="H323" s="11"/>
      <c r="I323" s="11"/>
      <c r="J323" s="11"/>
    </row>
    <row r="324" spans="2:10" s="9" customFormat="1" x14ac:dyDescent="0.2">
      <c r="B324" s="10"/>
      <c r="C324" s="11"/>
      <c r="D324" s="11"/>
      <c r="E324" s="12"/>
      <c r="F324" s="12"/>
      <c r="G324" s="11"/>
      <c r="H324" s="11"/>
      <c r="I324" s="11"/>
      <c r="J324" s="11"/>
    </row>
    <row r="325" spans="2:10" s="9" customFormat="1" x14ac:dyDescent="0.2">
      <c r="B325" s="10"/>
      <c r="C325" s="11"/>
      <c r="D325" s="11"/>
      <c r="E325" s="12"/>
      <c r="F325" s="12"/>
      <c r="G325" s="11"/>
      <c r="H325" s="11"/>
      <c r="I325" s="11"/>
      <c r="J325" s="11"/>
    </row>
    <row r="326" spans="2:10" s="9" customFormat="1" x14ac:dyDescent="0.2">
      <c r="B326" s="10"/>
      <c r="C326" s="11"/>
      <c r="D326" s="11"/>
      <c r="E326" s="12"/>
      <c r="F326" s="12"/>
      <c r="G326" s="11"/>
      <c r="H326" s="11"/>
      <c r="I326" s="11"/>
      <c r="J326" s="11"/>
    </row>
    <row r="327" spans="2:10" s="9" customFormat="1" x14ac:dyDescent="0.2">
      <c r="B327" s="10"/>
      <c r="C327" s="11"/>
      <c r="D327" s="11"/>
      <c r="E327" s="12"/>
      <c r="F327" s="12"/>
      <c r="G327" s="11"/>
      <c r="H327" s="11"/>
      <c r="I327" s="11"/>
      <c r="J327" s="11"/>
    </row>
    <row r="328" spans="2:10" s="9" customFormat="1" x14ac:dyDescent="0.2">
      <c r="B328" s="10"/>
      <c r="C328" s="11"/>
      <c r="D328" s="11"/>
      <c r="E328" s="12"/>
      <c r="F328" s="12"/>
      <c r="G328" s="11"/>
      <c r="H328" s="11"/>
      <c r="I328" s="11"/>
      <c r="J328" s="11"/>
    </row>
    <row r="329" spans="2:10" s="9" customFormat="1" x14ac:dyDescent="0.2">
      <c r="B329" s="10"/>
      <c r="C329" s="11"/>
      <c r="D329" s="11"/>
      <c r="E329" s="12"/>
      <c r="F329" s="12"/>
      <c r="G329" s="11"/>
      <c r="H329" s="11"/>
      <c r="I329" s="11"/>
      <c r="J329" s="11"/>
    </row>
    <row r="330" spans="2:10" s="9" customFormat="1" x14ac:dyDescent="0.2">
      <c r="B330" s="10"/>
      <c r="C330" s="11"/>
      <c r="D330" s="11"/>
      <c r="E330" s="12"/>
      <c r="F330" s="12"/>
      <c r="G330" s="11"/>
      <c r="H330" s="11"/>
      <c r="I330" s="11"/>
      <c r="J330" s="11"/>
    </row>
    <row r="331" spans="2:10" s="9" customFormat="1" x14ac:dyDescent="0.2">
      <c r="B331" s="10"/>
      <c r="C331" s="11"/>
      <c r="D331" s="11"/>
      <c r="E331" s="12"/>
      <c r="F331" s="12"/>
      <c r="G331" s="11"/>
      <c r="H331" s="11"/>
      <c r="I331" s="11"/>
      <c r="J331" s="11"/>
    </row>
    <row r="332" spans="2:10" s="9" customFormat="1" x14ac:dyDescent="0.2">
      <c r="B332" s="10"/>
      <c r="C332" s="11"/>
      <c r="D332" s="11"/>
      <c r="E332" s="12"/>
      <c r="F332" s="12"/>
      <c r="G332" s="11"/>
      <c r="H332" s="11"/>
      <c r="I332" s="11"/>
      <c r="J332" s="11"/>
    </row>
    <row r="333" spans="2:10" s="9" customFormat="1" x14ac:dyDescent="0.2">
      <c r="B333" s="10"/>
      <c r="C333" s="11"/>
      <c r="D333" s="11"/>
      <c r="E333" s="12"/>
      <c r="F333" s="12"/>
      <c r="G333" s="11"/>
      <c r="H333" s="11"/>
      <c r="I333" s="11"/>
      <c r="J333" s="11"/>
    </row>
    <row r="334" spans="2:10" s="9" customFormat="1" x14ac:dyDescent="0.2">
      <c r="B334" s="10"/>
      <c r="C334" s="11"/>
      <c r="D334" s="11"/>
      <c r="E334" s="12"/>
      <c r="F334" s="12"/>
      <c r="G334" s="11"/>
      <c r="H334" s="11"/>
      <c r="I334" s="11"/>
      <c r="J334" s="11"/>
    </row>
    <row r="335" spans="2:10" s="9" customFormat="1" x14ac:dyDescent="0.2">
      <c r="B335" s="10"/>
      <c r="C335" s="11"/>
      <c r="D335" s="11"/>
      <c r="E335" s="12"/>
      <c r="F335" s="12"/>
      <c r="G335" s="11"/>
      <c r="H335" s="11"/>
      <c r="I335" s="11"/>
      <c r="J335" s="11"/>
    </row>
    <row r="336" spans="2:10" s="9" customFormat="1" x14ac:dyDescent="0.2">
      <c r="B336" s="10"/>
      <c r="C336" s="11"/>
      <c r="D336" s="11"/>
      <c r="E336" s="12"/>
      <c r="F336" s="12"/>
      <c r="G336" s="11"/>
      <c r="H336" s="11"/>
      <c r="I336" s="11"/>
      <c r="J336" s="11"/>
    </row>
    <row r="337" spans="2:10" s="9" customFormat="1" x14ac:dyDescent="0.2">
      <c r="B337" s="10"/>
      <c r="C337" s="11"/>
      <c r="D337" s="11"/>
      <c r="E337" s="12"/>
      <c r="F337" s="12"/>
      <c r="G337" s="11"/>
      <c r="H337" s="11"/>
      <c r="I337" s="11"/>
      <c r="J337" s="11"/>
    </row>
    <row r="338" spans="2:10" s="9" customFormat="1" x14ac:dyDescent="0.2">
      <c r="B338" s="10"/>
      <c r="C338" s="11"/>
      <c r="D338" s="11"/>
      <c r="E338" s="12"/>
      <c r="F338" s="12"/>
      <c r="G338" s="11"/>
      <c r="H338" s="11"/>
      <c r="I338" s="11"/>
      <c r="J338" s="11"/>
    </row>
    <row r="339" spans="2:10" s="9" customFormat="1" x14ac:dyDescent="0.2">
      <c r="B339" s="10"/>
      <c r="C339" s="11"/>
      <c r="D339" s="11"/>
      <c r="E339" s="12"/>
      <c r="F339" s="12"/>
      <c r="G339" s="11"/>
      <c r="H339" s="11"/>
      <c r="I339" s="11"/>
      <c r="J339" s="11"/>
    </row>
    <row r="340" spans="2:10" s="9" customFormat="1" x14ac:dyDescent="0.2">
      <c r="B340" s="10"/>
      <c r="C340" s="11"/>
      <c r="D340" s="11"/>
      <c r="E340" s="12"/>
      <c r="F340" s="12"/>
      <c r="G340" s="11"/>
      <c r="H340" s="11"/>
      <c r="I340" s="11"/>
      <c r="J340" s="11"/>
    </row>
    <row r="341" spans="2:10" s="9" customFormat="1" x14ac:dyDescent="0.2">
      <c r="B341" s="10"/>
      <c r="C341" s="11"/>
      <c r="D341" s="11"/>
      <c r="E341" s="12"/>
      <c r="F341" s="12"/>
      <c r="G341" s="11"/>
      <c r="H341" s="11"/>
      <c r="I341" s="11"/>
      <c r="J341" s="11"/>
    </row>
    <row r="342" spans="2:10" s="9" customFormat="1" x14ac:dyDescent="0.2">
      <c r="B342" s="10"/>
      <c r="C342" s="11"/>
      <c r="D342" s="11"/>
      <c r="E342" s="12"/>
      <c r="F342" s="12"/>
      <c r="G342" s="11"/>
      <c r="H342" s="11"/>
      <c r="I342" s="11"/>
      <c r="J342" s="11"/>
    </row>
    <row r="343" spans="2:10" s="9" customFormat="1" x14ac:dyDescent="0.2">
      <c r="B343" s="10"/>
      <c r="C343" s="11"/>
      <c r="D343" s="11"/>
      <c r="E343" s="12"/>
      <c r="F343" s="12"/>
      <c r="G343" s="11"/>
      <c r="H343" s="11"/>
      <c r="I343" s="11"/>
      <c r="J343" s="11"/>
    </row>
    <row r="344" spans="2:10" s="9" customFormat="1" x14ac:dyDescent="0.2">
      <c r="B344" s="10"/>
      <c r="C344" s="11"/>
      <c r="D344" s="11"/>
      <c r="E344" s="12"/>
      <c r="F344" s="12"/>
      <c r="G344" s="11"/>
      <c r="H344" s="11"/>
      <c r="I344" s="11"/>
      <c r="J344" s="11"/>
    </row>
    <row r="345" spans="2:10" s="9" customFormat="1" x14ac:dyDescent="0.2">
      <c r="B345" s="10"/>
      <c r="C345" s="11"/>
      <c r="D345" s="11"/>
      <c r="E345" s="12"/>
      <c r="F345" s="12"/>
      <c r="G345" s="11"/>
      <c r="H345" s="11"/>
      <c r="I345" s="11"/>
      <c r="J345" s="11"/>
    </row>
    <row r="346" spans="2:10" s="9" customFormat="1" x14ac:dyDescent="0.2">
      <c r="B346" s="10"/>
      <c r="C346" s="11"/>
      <c r="D346" s="11"/>
      <c r="E346" s="12"/>
      <c r="F346" s="12"/>
      <c r="G346" s="11"/>
      <c r="H346" s="11"/>
      <c r="I346" s="11"/>
      <c r="J346" s="11"/>
    </row>
    <row r="347" spans="2:10" s="9" customFormat="1" x14ac:dyDescent="0.2">
      <c r="B347" s="10"/>
      <c r="C347" s="11"/>
      <c r="D347" s="11"/>
      <c r="E347" s="12"/>
      <c r="F347" s="12"/>
      <c r="G347" s="11"/>
      <c r="H347" s="11"/>
      <c r="I347" s="11"/>
      <c r="J347" s="11"/>
    </row>
    <row r="348" spans="2:10" s="9" customFormat="1" x14ac:dyDescent="0.2">
      <c r="B348" s="10"/>
      <c r="C348" s="11"/>
      <c r="D348" s="11"/>
      <c r="E348" s="12"/>
      <c r="F348" s="12"/>
      <c r="G348" s="11"/>
      <c r="H348" s="11"/>
      <c r="I348" s="11"/>
      <c r="J348" s="11"/>
    </row>
    <row r="349" spans="2:10" s="9" customFormat="1" x14ac:dyDescent="0.2">
      <c r="B349" s="10"/>
      <c r="C349" s="11"/>
      <c r="D349" s="11"/>
      <c r="E349" s="12"/>
      <c r="F349" s="12"/>
      <c r="G349" s="11"/>
      <c r="H349" s="11"/>
      <c r="I349" s="11"/>
      <c r="J349" s="11"/>
    </row>
    <row r="350" spans="2:10" s="9" customFormat="1" x14ac:dyDescent="0.2">
      <c r="B350" s="10"/>
      <c r="C350" s="11"/>
      <c r="D350" s="11"/>
      <c r="E350" s="12"/>
      <c r="F350" s="12"/>
      <c r="G350" s="11"/>
      <c r="H350" s="11"/>
      <c r="I350" s="11"/>
      <c r="J350" s="11"/>
    </row>
    <row r="351" spans="2:10" s="9" customFormat="1" x14ac:dyDescent="0.2">
      <c r="B351" s="10"/>
      <c r="C351" s="11"/>
      <c r="D351" s="11"/>
      <c r="E351" s="12"/>
      <c r="F351" s="12"/>
      <c r="G351" s="11"/>
      <c r="H351" s="11"/>
      <c r="I351" s="11"/>
      <c r="J351" s="11"/>
    </row>
    <row r="352" spans="2:10" s="9" customFormat="1" x14ac:dyDescent="0.2">
      <c r="B352" s="10"/>
      <c r="C352" s="11"/>
      <c r="D352" s="11"/>
      <c r="E352" s="12"/>
      <c r="F352" s="12"/>
      <c r="G352" s="11"/>
      <c r="H352" s="11"/>
      <c r="I352" s="11"/>
      <c r="J352" s="11"/>
    </row>
    <row r="353" spans="2:10" s="9" customFormat="1" x14ac:dyDescent="0.2">
      <c r="B353" s="10"/>
      <c r="C353" s="11"/>
      <c r="D353" s="11"/>
      <c r="E353" s="12"/>
      <c r="F353" s="12"/>
      <c r="G353" s="11"/>
      <c r="H353" s="11"/>
      <c r="I353" s="11"/>
      <c r="J353" s="11"/>
    </row>
    <row r="354" spans="2:10" s="9" customFormat="1" x14ac:dyDescent="0.2">
      <c r="B354" s="10"/>
      <c r="C354" s="11"/>
      <c r="D354" s="11"/>
      <c r="E354" s="12"/>
      <c r="F354" s="12"/>
      <c r="G354" s="11"/>
      <c r="H354" s="11"/>
      <c r="I354" s="11"/>
      <c r="J354" s="11"/>
    </row>
    <row r="355" spans="2:10" s="9" customFormat="1" x14ac:dyDescent="0.2">
      <c r="B355" s="10"/>
      <c r="C355" s="11"/>
      <c r="D355" s="11"/>
      <c r="E355" s="12"/>
      <c r="F355" s="12"/>
      <c r="G355" s="11"/>
      <c r="H355" s="11"/>
      <c r="I355" s="11"/>
      <c r="J355" s="11"/>
    </row>
    <row r="356" spans="2:10" s="9" customFormat="1" x14ac:dyDescent="0.2">
      <c r="B356" s="10"/>
      <c r="C356" s="11"/>
      <c r="D356" s="11"/>
      <c r="E356" s="12"/>
      <c r="F356" s="12"/>
      <c r="G356" s="11"/>
      <c r="H356" s="11"/>
      <c r="I356" s="11"/>
      <c r="J356" s="11"/>
    </row>
    <row r="357" spans="2:10" s="9" customFormat="1" x14ac:dyDescent="0.2">
      <c r="B357" s="10"/>
      <c r="C357" s="11"/>
      <c r="D357" s="11"/>
      <c r="E357" s="12"/>
      <c r="F357" s="12"/>
      <c r="G357" s="11"/>
      <c r="H357" s="11"/>
      <c r="I357" s="11"/>
      <c r="J357" s="11"/>
    </row>
    <row r="358" spans="2:10" s="9" customFormat="1" x14ac:dyDescent="0.2">
      <c r="B358" s="10"/>
      <c r="C358" s="11"/>
      <c r="D358" s="11"/>
      <c r="E358" s="12"/>
      <c r="F358" s="12"/>
      <c r="G358" s="11"/>
      <c r="H358" s="11"/>
      <c r="I358" s="11"/>
      <c r="J358" s="11"/>
    </row>
    <row r="359" spans="2:10" s="9" customFormat="1" x14ac:dyDescent="0.2">
      <c r="B359" s="10"/>
      <c r="C359" s="11"/>
      <c r="D359" s="11"/>
      <c r="E359" s="12"/>
      <c r="F359" s="12"/>
      <c r="G359" s="11"/>
      <c r="H359" s="11"/>
      <c r="I359" s="11"/>
      <c r="J359" s="11"/>
    </row>
    <row r="360" spans="2:10" s="9" customFormat="1" x14ac:dyDescent="0.2">
      <c r="B360" s="10"/>
      <c r="C360" s="11"/>
      <c r="D360" s="11"/>
      <c r="E360" s="12"/>
      <c r="F360" s="12"/>
      <c r="G360" s="11"/>
      <c r="H360" s="11"/>
      <c r="I360" s="11"/>
      <c r="J360" s="11"/>
    </row>
    <row r="361" spans="2:10" s="9" customFormat="1" x14ac:dyDescent="0.2">
      <c r="B361" s="10"/>
      <c r="C361" s="11"/>
      <c r="D361" s="11"/>
      <c r="E361" s="12"/>
      <c r="F361" s="12"/>
      <c r="G361" s="11"/>
      <c r="H361" s="11"/>
      <c r="I361" s="11"/>
      <c r="J361" s="11"/>
    </row>
    <row r="362" spans="2:10" s="9" customFormat="1" x14ac:dyDescent="0.2">
      <c r="B362" s="10"/>
      <c r="C362" s="11"/>
      <c r="D362" s="11"/>
      <c r="E362" s="12"/>
      <c r="F362" s="12"/>
      <c r="G362" s="11"/>
      <c r="H362" s="11"/>
      <c r="I362" s="11"/>
      <c r="J362" s="11"/>
    </row>
    <row r="363" spans="2:10" s="9" customFormat="1" x14ac:dyDescent="0.2">
      <c r="B363" s="10"/>
      <c r="C363" s="11"/>
      <c r="D363" s="11"/>
      <c r="E363" s="12"/>
      <c r="F363" s="12"/>
      <c r="G363" s="11"/>
      <c r="H363" s="11"/>
      <c r="I363" s="11"/>
      <c r="J363" s="11"/>
    </row>
    <row r="364" spans="2:10" s="9" customFormat="1" x14ac:dyDescent="0.2">
      <c r="B364" s="10"/>
      <c r="C364" s="11"/>
      <c r="D364" s="11"/>
      <c r="E364" s="12"/>
      <c r="F364" s="12"/>
      <c r="G364" s="11"/>
      <c r="H364" s="11"/>
      <c r="I364" s="11"/>
      <c r="J364" s="11"/>
    </row>
    <row r="365" spans="2:10" s="9" customFormat="1" x14ac:dyDescent="0.2">
      <c r="B365" s="10"/>
      <c r="C365" s="11"/>
      <c r="D365" s="11"/>
      <c r="E365" s="12"/>
      <c r="F365" s="12"/>
      <c r="G365" s="11"/>
      <c r="H365" s="11"/>
      <c r="I365" s="11"/>
      <c r="J365" s="11"/>
    </row>
    <row r="366" spans="2:10" s="9" customFormat="1" x14ac:dyDescent="0.2">
      <c r="B366" s="10"/>
      <c r="C366" s="11"/>
      <c r="D366" s="11"/>
      <c r="E366" s="12"/>
      <c r="F366" s="12"/>
      <c r="G366" s="11"/>
      <c r="H366" s="11"/>
      <c r="I366" s="11"/>
      <c r="J366" s="11"/>
    </row>
    <row r="367" spans="2:10" s="9" customFormat="1" x14ac:dyDescent="0.2">
      <c r="B367" s="10"/>
      <c r="C367" s="11"/>
      <c r="D367" s="11"/>
      <c r="E367" s="12"/>
      <c r="F367" s="12"/>
      <c r="G367" s="11"/>
      <c r="H367" s="11"/>
      <c r="I367" s="11"/>
      <c r="J367" s="11"/>
    </row>
    <row r="368" spans="2:10" s="9" customFormat="1" x14ac:dyDescent="0.2">
      <c r="B368" s="10"/>
      <c r="C368" s="11"/>
      <c r="D368" s="11"/>
      <c r="E368" s="12"/>
      <c r="F368" s="12"/>
      <c r="G368" s="11"/>
      <c r="H368" s="11"/>
      <c r="I368" s="11"/>
      <c r="J368" s="11"/>
    </row>
    <row r="369" spans="2:10" s="9" customFormat="1" x14ac:dyDescent="0.2">
      <c r="B369" s="10"/>
      <c r="C369" s="11"/>
      <c r="D369" s="11"/>
      <c r="E369" s="12"/>
      <c r="F369" s="12"/>
      <c r="G369" s="11"/>
      <c r="H369" s="11"/>
      <c r="I369" s="11"/>
      <c r="J369" s="11"/>
    </row>
    <row r="370" spans="2:10" s="9" customFormat="1" x14ac:dyDescent="0.2">
      <c r="B370" s="10"/>
      <c r="C370" s="11"/>
      <c r="D370" s="11"/>
      <c r="E370" s="12"/>
      <c r="F370" s="12"/>
      <c r="G370" s="11"/>
      <c r="H370" s="11"/>
      <c r="I370" s="11"/>
      <c r="J370" s="11"/>
    </row>
    <row r="371" spans="2:10" s="9" customFormat="1" x14ac:dyDescent="0.2">
      <c r="B371" s="10"/>
      <c r="C371" s="11"/>
      <c r="D371" s="11"/>
      <c r="E371" s="12"/>
      <c r="F371" s="12"/>
      <c r="G371" s="11"/>
      <c r="H371" s="11"/>
      <c r="I371" s="11"/>
      <c r="J371" s="11"/>
    </row>
    <row r="372" spans="2:10" s="9" customFormat="1" x14ac:dyDescent="0.2">
      <c r="B372" s="10"/>
      <c r="C372" s="11"/>
      <c r="D372" s="11"/>
      <c r="E372" s="12"/>
      <c r="F372" s="12"/>
      <c r="G372" s="11"/>
      <c r="H372" s="11"/>
      <c r="I372" s="11"/>
      <c r="J372" s="11"/>
    </row>
    <row r="373" spans="2:10" s="9" customFormat="1" x14ac:dyDescent="0.2">
      <c r="B373" s="10"/>
      <c r="C373" s="11"/>
      <c r="D373" s="11"/>
      <c r="E373" s="12"/>
      <c r="F373" s="12"/>
      <c r="G373" s="11"/>
      <c r="H373" s="11"/>
      <c r="I373" s="11"/>
      <c r="J373" s="11"/>
    </row>
    <row r="374" spans="2:10" s="9" customFormat="1" x14ac:dyDescent="0.2">
      <c r="B374" s="10"/>
      <c r="C374" s="11"/>
      <c r="D374" s="11"/>
      <c r="E374" s="12"/>
      <c r="F374" s="12"/>
      <c r="G374" s="11"/>
      <c r="H374" s="11"/>
      <c r="I374" s="11"/>
      <c r="J374" s="11"/>
    </row>
    <row r="375" spans="2:10" s="9" customFormat="1" x14ac:dyDescent="0.2">
      <c r="B375" s="10"/>
      <c r="C375" s="11"/>
      <c r="D375" s="11"/>
      <c r="E375" s="12"/>
      <c r="F375" s="12"/>
      <c r="G375" s="11"/>
      <c r="H375" s="11"/>
      <c r="I375" s="11"/>
      <c r="J375" s="11"/>
    </row>
    <row r="376" spans="2:10" s="9" customFormat="1" x14ac:dyDescent="0.2">
      <c r="B376" s="10"/>
      <c r="C376" s="11"/>
      <c r="D376" s="11"/>
      <c r="E376" s="12"/>
      <c r="F376" s="12"/>
      <c r="G376" s="11"/>
      <c r="H376" s="11"/>
      <c r="I376" s="11"/>
      <c r="J376" s="11"/>
    </row>
    <row r="377" spans="2:10" s="9" customFormat="1" x14ac:dyDescent="0.2">
      <c r="B377" s="10"/>
      <c r="C377" s="11"/>
      <c r="D377" s="11"/>
      <c r="E377" s="12"/>
      <c r="F377" s="12"/>
      <c r="G377" s="11"/>
      <c r="H377" s="11"/>
      <c r="I377" s="11"/>
      <c r="J377" s="11"/>
    </row>
    <row r="378" spans="2:10" s="9" customFormat="1" x14ac:dyDescent="0.2">
      <c r="B378" s="10"/>
      <c r="C378" s="11"/>
      <c r="D378" s="11"/>
      <c r="E378" s="12"/>
      <c r="F378" s="12"/>
      <c r="G378" s="11"/>
      <c r="H378" s="11"/>
      <c r="I378" s="11"/>
      <c r="J378" s="11"/>
    </row>
    <row r="379" spans="2:10" s="9" customFormat="1" x14ac:dyDescent="0.2">
      <c r="B379" s="10"/>
      <c r="C379" s="11"/>
      <c r="D379" s="11"/>
      <c r="E379" s="12"/>
      <c r="F379" s="12"/>
      <c r="G379" s="11"/>
      <c r="H379" s="11"/>
      <c r="I379" s="11"/>
      <c r="J379" s="11"/>
    </row>
    <row r="380" spans="2:10" s="9" customFormat="1" x14ac:dyDescent="0.2">
      <c r="B380" s="10"/>
      <c r="C380" s="11"/>
      <c r="D380" s="11"/>
      <c r="E380" s="12"/>
      <c r="F380" s="12"/>
      <c r="G380" s="11"/>
      <c r="H380" s="11"/>
      <c r="I380" s="11"/>
      <c r="J380" s="11"/>
    </row>
    <row r="381" spans="2:10" s="9" customFormat="1" x14ac:dyDescent="0.2">
      <c r="B381" s="10"/>
      <c r="C381" s="11"/>
      <c r="D381" s="11"/>
      <c r="E381" s="12"/>
      <c r="F381" s="12"/>
      <c r="G381" s="11"/>
      <c r="H381" s="11"/>
      <c r="I381" s="11"/>
      <c r="J381" s="11"/>
    </row>
    <row r="382" spans="2:10" s="9" customFormat="1" x14ac:dyDescent="0.2">
      <c r="B382" s="10"/>
      <c r="C382" s="11"/>
      <c r="D382" s="11"/>
      <c r="E382" s="12"/>
      <c r="F382" s="12"/>
      <c r="G382" s="11"/>
      <c r="H382" s="11"/>
      <c r="I382" s="11"/>
      <c r="J382" s="11"/>
    </row>
    <row r="383" spans="2:10" s="9" customFormat="1" x14ac:dyDescent="0.2">
      <c r="B383" s="10"/>
      <c r="C383" s="11"/>
      <c r="D383" s="11"/>
      <c r="E383" s="12"/>
      <c r="F383" s="12"/>
      <c r="G383" s="11"/>
      <c r="H383" s="11"/>
      <c r="I383" s="11"/>
      <c r="J383" s="11"/>
    </row>
    <row r="384" spans="2:10" s="9" customFormat="1" x14ac:dyDescent="0.2">
      <c r="B384" s="10"/>
      <c r="C384" s="11"/>
      <c r="D384" s="11"/>
      <c r="E384" s="12"/>
      <c r="F384" s="12"/>
      <c r="G384" s="11"/>
      <c r="H384" s="11"/>
      <c r="I384" s="11"/>
      <c r="J384" s="11"/>
    </row>
    <row r="385" spans="2:10" s="9" customFormat="1" x14ac:dyDescent="0.2">
      <c r="B385" s="10"/>
      <c r="C385" s="11"/>
      <c r="D385" s="11"/>
      <c r="E385" s="12"/>
      <c r="F385" s="12"/>
      <c r="G385" s="11"/>
      <c r="H385" s="11"/>
      <c r="I385" s="11"/>
      <c r="J385" s="11"/>
    </row>
    <row r="386" spans="2:10" s="9" customFormat="1" x14ac:dyDescent="0.2">
      <c r="B386" s="10"/>
      <c r="C386" s="11"/>
      <c r="D386" s="11"/>
      <c r="E386" s="12"/>
      <c r="F386" s="12"/>
      <c r="G386" s="11"/>
      <c r="H386" s="11"/>
      <c r="I386" s="11"/>
      <c r="J386" s="11"/>
    </row>
    <row r="387" spans="2:10" s="9" customFormat="1" x14ac:dyDescent="0.2">
      <c r="B387" s="10"/>
      <c r="C387" s="11"/>
      <c r="D387" s="11"/>
      <c r="E387" s="12"/>
      <c r="F387" s="12"/>
      <c r="G387" s="11"/>
      <c r="H387" s="11"/>
      <c r="I387" s="11"/>
      <c r="J387" s="11"/>
    </row>
    <row r="388" spans="2:10" s="9" customFormat="1" x14ac:dyDescent="0.2">
      <c r="B388" s="10"/>
      <c r="C388" s="11"/>
      <c r="D388" s="11"/>
      <c r="E388" s="12"/>
      <c r="F388" s="12"/>
      <c r="G388" s="11"/>
      <c r="H388" s="11"/>
      <c r="I388" s="11"/>
      <c r="J388" s="11"/>
    </row>
    <row r="389" spans="2:10" s="9" customFormat="1" x14ac:dyDescent="0.2">
      <c r="B389" s="10"/>
      <c r="C389" s="11"/>
      <c r="D389" s="11"/>
      <c r="E389" s="12"/>
      <c r="F389" s="12"/>
      <c r="G389" s="11"/>
      <c r="H389" s="11"/>
      <c r="I389" s="11"/>
      <c r="J389" s="11"/>
    </row>
    <row r="390" spans="2:10" s="9" customFormat="1" x14ac:dyDescent="0.2">
      <c r="B390" s="10"/>
      <c r="C390" s="11"/>
      <c r="D390" s="11"/>
      <c r="E390" s="12"/>
      <c r="F390" s="12"/>
      <c r="G390" s="11"/>
      <c r="H390" s="11"/>
      <c r="I390" s="11"/>
      <c r="J390" s="11"/>
    </row>
    <row r="391" spans="2:10" s="9" customFormat="1" x14ac:dyDescent="0.2">
      <c r="B391" s="10"/>
      <c r="C391" s="11"/>
      <c r="D391" s="11"/>
      <c r="E391" s="12"/>
      <c r="F391" s="12"/>
      <c r="G391" s="11"/>
      <c r="H391" s="11"/>
      <c r="I391" s="11"/>
      <c r="J391" s="11"/>
    </row>
    <row r="392" spans="2:10" s="9" customFormat="1" x14ac:dyDescent="0.2">
      <c r="B392" s="10"/>
      <c r="C392" s="11"/>
      <c r="D392" s="11"/>
      <c r="E392" s="12"/>
      <c r="F392" s="12"/>
      <c r="G392" s="11"/>
      <c r="H392" s="11"/>
      <c r="I392" s="11"/>
      <c r="J392" s="11"/>
    </row>
    <row r="393" spans="2:10" s="9" customFormat="1" x14ac:dyDescent="0.2">
      <c r="B393" s="10"/>
      <c r="C393" s="11"/>
      <c r="D393" s="11"/>
      <c r="E393" s="12"/>
      <c r="F393" s="12"/>
      <c r="G393" s="11"/>
      <c r="H393" s="11"/>
      <c r="I393" s="11"/>
      <c r="J393" s="11"/>
    </row>
    <row r="394" spans="2:10" s="9" customFormat="1" x14ac:dyDescent="0.2">
      <c r="B394" s="10"/>
      <c r="C394" s="11"/>
      <c r="D394" s="11"/>
      <c r="E394" s="12"/>
      <c r="F394" s="12"/>
      <c r="G394" s="11"/>
      <c r="H394" s="11"/>
      <c r="I394" s="11"/>
      <c r="J394" s="11"/>
    </row>
    <row r="395" spans="2:10" s="9" customFormat="1" x14ac:dyDescent="0.2">
      <c r="B395" s="10"/>
      <c r="C395" s="11"/>
      <c r="D395" s="11"/>
      <c r="E395" s="12"/>
      <c r="F395" s="12"/>
      <c r="G395" s="11"/>
      <c r="H395" s="11"/>
      <c r="I395" s="11"/>
      <c r="J395" s="11"/>
    </row>
    <row r="396" spans="2:10" s="9" customFormat="1" x14ac:dyDescent="0.2">
      <c r="B396" s="10"/>
      <c r="C396" s="11"/>
      <c r="D396" s="11"/>
      <c r="E396" s="12"/>
      <c r="F396" s="12"/>
      <c r="G396" s="11"/>
      <c r="H396" s="11"/>
      <c r="I396" s="11"/>
      <c r="J396" s="11"/>
    </row>
    <row r="397" spans="2:10" s="9" customFormat="1" x14ac:dyDescent="0.2">
      <c r="B397" s="10"/>
      <c r="C397" s="11"/>
      <c r="D397" s="11"/>
      <c r="E397" s="12"/>
      <c r="F397" s="12"/>
      <c r="G397" s="11"/>
      <c r="H397" s="11"/>
      <c r="I397" s="11"/>
      <c r="J397" s="11"/>
    </row>
    <row r="398" spans="2:10" s="9" customFormat="1" x14ac:dyDescent="0.2">
      <c r="B398" s="10"/>
      <c r="C398" s="11"/>
      <c r="D398" s="11"/>
      <c r="E398" s="12"/>
      <c r="F398" s="12"/>
      <c r="G398" s="11"/>
      <c r="H398" s="11"/>
      <c r="I398" s="11"/>
      <c r="J398" s="11"/>
    </row>
    <row r="399" spans="2:10" s="9" customFormat="1" x14ac:dyDescent="0.2">
      <c r="B399" s="10"/>
      <c r="C399" s="11"/>
      <c r="D399" s="11"/>
      <c r="E399" s="12"/>
      <c r="F399" s="12"/>
      <c r="G399" s="11"/>
      <c r="H399" s="11"/>
      <c r="I399" s="11"/>
      <c r="J399" s="11"/>
    </row>
    <row r="400" spans="2:10" s="9" customFormat="1" x14ac:dyDescent="0.2">
      <c r="B400" s="10"/>
      <c r="C400" s="11"/>
      <c r="D400" s="11"/>
      <c r="E400" s="12"/>
      <c r="F400" s="12"/>
      <c r="G400" s="11"/>
      <c r="H400" s="11"/>
      <c r="I400" s="11"/>
      <c r="J400" s="11"/>
    </row>
    <row r="401" spans="2:10" s="9" customFormat="1" x14ac:dyDescent="0.2">
      <c r="B401" s="10"/>
      <c r="C401" s="11"/>
      <c r="D401" s="11"/>
      <c r="E401" s="12"/>
      <c r="F401" s="12"/>
      <c r="G401" s="11"/>
      <c r="H401" s="11"/>
      <c r="I401" s="11"/>
      <c r="J401" s="11"/>
    </row>
    <row r="402" spans="2:10" s="9" customFormat="1" x14ac:dyDescent="0.2">
      <c r="B402" s="10"/>
      <c r="C402" s="11"/>
      <c r="D402" s="11"/>
      <c r="E402" s="12"/>
      <c r="F402" s="12"/>
      <c r="G402" s="11"/>
      <c r="H402" s="11"/>
      <c r="I402" s="11"/>
      <c r="J402" s="11"/>
    </row>
    <row r="403" spans="2:10" s="9" customFormat="1" x14ac:dyDescent="0.2">
      <c r="B403" s="10"/>
      <c r="C403" s="11"/>
      <c r="D403" s="11"/>
      <c r="E403" s="12"/>
      <c r="F403" s="12"/>
      <c r="G403" s="11"/>
      <c r="H403" s="11"/>
      <c r="I403" s="11"/>
      <c r="J403" s="11"/>
    </row>
    <row r="404" spans="2:10" s="9" customFormat="1" x14ac:dyDescent="0.2">
      <c r="B404" s="10"/>
      <c r="C404" s="11"/>
      <c r="D404" s="11"/>
      <c r="E404" s="12"/>
      <c r="F404" s="12"/>
      <c r="G404" s="11"/>
      <c r="H404" s="11"/>
      <c r="I404" s="11"/>
      <c r="J404" s="11"/>
    </row>
    <row r="405" spans="2:10" s="9" customFormat="1" x14ac:dyDescent="0.2">
      <c r="B405" s="10"/>
      <c r="C405" s="11"/>
      <c r="D405" s="11"/>
      <c r="E405" s="12"/>
      <c r="F405" s="12"/>
      <c r="G405" s="11"/>
      <c r="H405" s="11"/>
      <c r="I405" s="11"/>
      <c r="J405" s="11"/>
    </row>
    <row r="406" spans="2:10" s="9" customFormat="1" x14ac:dyDescent="0.2">
      <c r="B406" s="10"/>
      <c r="C406" s="11"/>
      <c r="D406" s="11"/>
      <c r="E406" s="12"/>
      <c r="F406" s="12"/>
      <c r="G406" s="11"/>
      <c r="H406" s="11"/>
      <c r="I406" s="11"/>
      <c r="J406" s="11"/>
    </row>
    <row r="407" spans="2:10" s="9" customFormat="1" x14ac:dyDescent="0.2">
      <c r="B407" s="10"/>
      <c r="C407" s="11"/>
      <c r="D407" s="11"/>
      <c r="E407" s="12"/>
      <c r="F407" s="12"/>
      <c r="G407" s="11"/>
      <c r="H407" s="11"/>
      <c r="I407" s="11"/>
      <c r="J407" s="11"/>
    </row>
    <row r="408" spans="2:10" s="9" customFormat="1" x14ac:dyDescent="0.2">
      <c r="B408" s="10"/>
      <c r="C408" s="11"/>
      <c r="D408" s="11"/>
      <c r="E408" s="12"/>
      <c r="F408" s="12"/>
      <c r="G408" s="11"/>
      <c r="H408" s="11"/>
      <c r="I408" s="11"/>
      <c r="J408" s="11"/>
    </row>
    <row r="409" spans="2:10" s="9" customFormat="1" x14ac:dyDescent="0.2">
      <c r="B409" s="10"/>
      <c r="C409" s="11"/>
      <c r="D409" s="11"/>
      <c r="E409" s="12"/>
      <c r="F409" s="12"/>
      <c r="G409" s="11"/>
      <c r="H409" s="11"/>
      <c r="I409" s="11"/>
      <c r="J409" s="11"/>
    </row>
    <row r="410" spans="2:10" s="9" customFormat="1" x14ac:dyDescent="0.2">
      <c r="B410" s="10"/>
      <c r="C410" s="11"/>
      <c r="D410" s="11"/>
      <c r="E410" s="12"/>
      <c r="F410" s="12"/>
      <c r="G410" s="11"/>
      <c r="H410" s="11"/>
      <c r="I410" s="11"/>
      <c r="J410" s="11"/>
    </row>
    <row r="411" spans="2:10" s="9" customFormat="1" x14ac:dyDescent="0.2">
      <c r="B411" s="10"/>
      <c r="C411" s="11"/>
      <c r="D411" s="11"/>
      <c r="E411" s="12"/>
      <c r="F411" s="12"/>
      <c r="G411" s="11"/>
      <c r="H411" s="11"/>
      <c r="I411" s="11"/>
      <c r="J411" s="11"/>
    </row>
    <row r="412" spans="2:10" s="9" customFormat="1" x14ac:dyDescent="0.2">
      <c r="B412" s="10"/>
      <c r="C412" s="11"/>
      <c r="D412" s="11"/>
      <c r="E412" s="12"/>
      <c r="F412" s="12"/>
      <c r="G412" s="11"/>
      <c r="H412" s="11"/>
      <c r="I412" s="11"/>
      <c r="J412" s="11"/>
    </row>
    <row r="413" spans="2:10" s="9" customFormat="1" x14ac:dyDescent="0.2">
      <c r="B413" s="10"/>
      <c r="C413" s="11"/>
      <c r="D413" s="11"/>
      <c r="E413" s="12"/>
      <c r="F413" s="12"/>
      <c r="G413" s="11"/>
      <c r="H413" s="11"/>
      <c r="I413" s="11"/>
      <c r="J413" s="11"/>
    </row>
    <row r="414" spans="2:10" s="9" customFormat="1" x14ac:dyDescent="0.2">
      <c r="B414" s="10"/>
      <c r="C414" s="11"/>
      <c r="D414" s="11"/>
      <c r="E414" s="12"/>
      <c r="F414" s="12"/>
      <c r="G414" s="11"/>
      <c r="H414" s="11"/>
      <c r="I414" s="11"/>
      <c r="J414" s="11"/>
    </row>
    <row r="415" spans="2:10" s="9" customFormat="1" x14ac:dyDescent="0.2">
      <c r="B415" s="10"/>
      <c r="C415" s="11"/>
      <c r="D415" s="11"/>
      <c r="E415" s="12"/>
      <c r="F415" s="12"/>
      <c r="G415" s="11"/>
      <c r="H415" s="11"/>
      <c r="I415" s="11"/>
      <c r="J415" s="11"/>
    </row>
    <row r="416" spans="2:10" s="9" customFormat="1" x14ac:dyDescent="0.2">
      <c r="B416" s="10"/>
      <c r="C416" s="11"/>
      <c r="D416" s="11"/>
      <c r="E416" s="12"/>
      <c r="F416" s="12"/>
      <c r="G416" s="11"/>
      <c r="H416" s="11"/>
      <c r="I416" s="11"/>
      <c r="J416" s="11"/>
    </row>
    <row r="417" spans="2:10" s="9" customFormat="1" x14ac:dyDescent="0.2">
      <c r="B417" s="10"/>
      <c r="C417" s="11"/>
      <c r="D417" s="11"/>
      <c r="E417" s="12"/>
      <c r="F417" s="12"/>
      <c r="G417" s="11"/>
      <c r="H417" s="11"/>
      <c r="I417" s="11"/>
      <c r="J417" s="11"/>
    </row>
    <row r="418" spans="2:10" s="9" customFormat="1" x14ac:dyDescent="0.2">
      <c r="B418" s="10"/>
      <c r="C418" s="11"/>
      <c r="D418" s="11"/>
      <c r="E418" s="12"/>
      <c r="F418" s="12"/>
      <c r="G418" s="11"/>
      <c r="H418" s="11"/>
      <c r="I418" s="11"/>
      <c r="J418" s="11"/>
    </row>
    <row r="419" spans="2:10" s="9" customFormat="1" x14ac:dyDescent="0.2">
      <c r="B419" s="10"/>
      <c r="C419" s="11"/>
      <c r="D419" s="11"/>
      <c r="E419" s="12"/>
      <c r="F419" s="12"/>
      <c r="G419" s="11"/>
      <c r="H419" s="11"/>
      <c r="I419" s="11"/>
      <c r="J419" s="11"/>
    </row>
    <row r="420" spans="2:10" s="9" customFormat="1" x14ac:dyDescent="0.2">
      <c r="B420" s="10"/>
      <c r="C420" s="11"/>
      <c r="D420" s="11"/>
      <c r="E420" s="12"/>
      <c r="F420" s="12"/>
      <c r="G420" s="11"/>
      <c r="H420" s="11"/>
      <c r="I420" s="11"/>
      <c r="J420" s="11"/>
    </row>
    <row r="421" spans="2:10" s="9" customFormat="1" x14ac:dyDescent="0.2">
      <c r="B421" s="10"/>
      <c r="C421" s="11"/>
      <c r="D421" s="11"/>
      <c r="E421" s="12"/>
      <c r="F421" s="12"/>
      <c r="G421" s="11"/>
      <c r="H421" s="11"/>
      <c r="I421" s="11"/>
      <c r="J421" s="11"/>
    </row>
    <row r="422" spans="2:10" s="9" customFormat="1" x14ac:dyDescent="0.2">
      <c r="B422" s="10"/>
      <c r="C422" s="11"/>
      <c r="D422" s="11"/>
      <c r="E422" s="12"/>
      <c r="F422" s="12"/>
      <c r="G422" s="11"/>
      <c r="H422" s="11"/>
      <c r="I422" s="11"/>
      <c r="J422" s="11"/>
    </row>
    <row r="423" spans="2:10" s="9" customFormat="1" x14ac:dyDescent="0.2">
      <c r="B423" s="10"/>
      <c r="C423" s="11"/>
      <c r="D423" s="11"/>
      <c r="E423" s="12"/>
      <c r="F423" s="12"/>
      <c r="G423" s="11"/>
      <c r="H423" s="11"/>
      <c r="I423" s="11"/>
      <c r="J423" s="11"/>
    </row>
    <row r="424" spans="2:10" s="9" customFormat="1" x14ac:dyDescent="0.2">
      <c r="B424" s="10"/>
      <c r="C424" s="11"/>
      <c r="D424" s="11"/>
      <c r="E424" s="12"/>
      <c r="F424" s="12"/>
      <c r="G424" s="11"/>
      <c r="H424" s="11"/>
      <c r="I424" s="11"/>
      <c r="J424" s="11"/>
    </row>
    <row r="425" spans="2:10" s="9" customFormat="1" x14ac:dyDescent="0.2">
      <c r="B425" s="10"/>
      <c r="C425" s="11"/>
      <c r="D425" s="11"/>
      <c r="E425" s="12"/>
      <c r="F425" s="12"/>
      <c r="G425" s="11"/>
      <c r="H425" s="11"/>
      <c r="I425" s="11"/>
      <c r="J425" s="11"/>
    </row>
    <row r="426" spans="2:10" s="9" customFormat="1" x14ac:dyDescent="0.2">
      <c r="B426" s="10"/>
      <c r="C426" s="11"/>
      <c r="D426" s="11"/>
      <c r="E426" s="12"/>
      <c r="F426" s="12"/>
      <c r="G426" s="11"/>
      <c r="H426" s="11"/>
      <c r="I426" s="11"/>
      <c r="J426" s="11"/>
    </row>
    <row r="427" spans="2:10" s="9" customFormat="1" x14ac:dyDescent="0.2">
      <c r="B427" s="10"/>
      <c r="C427" s="11"/>
      <c r="D427" s="11"/>
      <c r="E427" s="12"/>
      <c r="F427" s="12"/>
      <c r="G427" s="11"/>
      <c r="H427" s="11"/>
      <c r="I427" s="11"/>
      <c r="J427" s="11"/>
    </row>
    <row r="428" spans="2:10" s="9" customFormat="1" x14ac:dyDescent="0.2">
      <c r="B428" s="10"/>
      <c r="C428" s="11"/>
      <c r="D428" s="11"/>
      <c r="E428" s="12"/>
      <c r="F428" s="12"/>
      <c r="G428" s="11"/>
      <c r="H428" s="11"/>
      <c r="I428" s="11"/>
      <c r="J428" s="11"/>
    </row>
    <row r="429" spans="2:10" s="9" customFormat="1" x14ac:dyDescent="0.2">
      <c r="B429" s="10"/>
      <c r="C429" s="11"/>
      <c r="D429" s="11"/>
      <c r="E429" s="12"/>
      <c r="F429" s="12"/>
      <c r="G429" s="11"/>
      <c r="H429" s="11"/>
      <c r="I429" s="11"/>
      <c r="J429" s="11"/>
    </row>
    <row r="430" spans="2:10" s="9" customFormat="1" x14ac:dyDescent="0.2">
      <c r="B430" s="10"/>
      <c r="C430" s="11"/>
      <c r="D430" s="11"/>
      <c r="E430" s="12"/>
      <c r="F430" s="12"/>
      <c r="G430" s="11"/>
      <c r="H430" s="11"/>
      <c r="I430" s="11"/>
      <c r="J430" s="11"/>
    </row>
    <row r="431" spans="2:10" s="9" customFormat="1" x14ac:dyDescent="0.2">
      <c r="B431" s="10"/>
      <c r="C431" s="11"/>
      <c r="D431" s="11"/>
      <c r="E431" s="12"/>
      <c r="F431" s="12"/>
      <c r="G431" s="11"/>
      <c r="H431" s="11"/>
      <c r="I431" s="11"/>
      <c r="J431" s="11"/>
    </row>
    <row r="432" spans="2:10" s="9" customFormat="1" x14ac:dyDescent="0.2">
      <c r="B432" s="10"/>
      <c r="C432" s="11"/>
      <c r="D432" s="11"/>
      <c r="E432" s="12"/>
      <c r="F432" s="12"/>
      <c r="G432" s="11"/>
      <c r="H432" s="11"/>
      <c r="I432" s="11"/>
      <c r="J432" s="11"/>
    </row>
    <row r="433" spans="2:10" s="9" customFormat="1" x14ac:dyDescent="0.2">
      <c r="B433" s="10"/>
      <c r="C433" s="11"/>
      <c r="D433" s="11"/>
      <c r="E433" s="12"/>
      <c r="F433" s="12"/>
      <c r="G433" s="11"/>
      <c r="H433" s="11"/>
      <c r="I433" s="11"/>
      <c r="J433" s="11"/>
    </row>
    <row r="434" spans="2:10" s="9" customFormat="1" x14ac:dyDescent="0.2">
      <c r="B434" s="10"/>
      <c r="C434" s="11"/>
      <c r="D434" s="11"/>
      <c r="E434" s="12"/>
      <c r="F434" s="12"/>
      <c r="G434" s="11"/>
      <c r="H434" s="11"/>
      <c r="I434" s="11"/>
      <c r="J434" s="11"/>
    </row>
    <row r="435" spans="2:10" s="9" customFormat="1" x14ac:dyDescent="0.2">
      <c r="B435" s="10"/>
      <c r="C435" s="11"/>
      <c r="D435" s="11"/>
      <c r="E435" s="12"/>
      <c r="F435" s="12"/>
      <c r="G435" s="11"/>
      <c r="H435" s="11"/>
      <c r="I435" s="11"/>
      <c r="J435" s="11"/>
    </row>
    <row r="436" spans="2:10" s="9" customFormat="1" x14ac:dyDescent="0.2">
      <c r="B436" s="10"/>
      <c r="C436" s="11"/>
      <c r="D436" s="11"/>
      <c r="E436" s="12"/>
      <c r="F436" s="12"/>
      <c r="G436" s="11"/>
      <c r="H436" s="11"/>
      <c r="I436" s="11"/>
      <c r="J436" s="11"/>
    </row>
    <row r="437" spans="2:10" s="9" customFormat="1" x14ac:dyDescent="0.2">
      <c r="B437" s="10"/>
      <c r="C437" s="11"/>
      <c r="D437" s="11"/>
      <c r="E437" s="12"/>
      <c r="F437" s="12"/>
      <c r="G437" s="11"/>
      <c r="H437" s="11"/>
      <c r="I437" s="11"/>
      <c r="J437" s="11"/>
    </row>
    <row r="438" spans="2:10" s="9" customFormat="1" x14ac:dyDescent="0.2">
      <c r="B438" s="10"/>
      <c r="C438" s="11"/>
      <c r="D438" s="11"/>
      <c r="E438" s="12"/>
      <c r="F438" s="12"/>
      <c r="G438" s="11"/>
      <c r="H438" s="11"/>
      <c r="I438" s="11"/>
      <c r="J438" s="11"/>
    </row>
    <row r="439" spans="2:10" s="9" customFormat="1" x14ac:dyDescent="0.2">
      <c r="B439" s="10"/>
      <c r="C439" s="11"/>
      <c r="D439" s="11"/>
      <c r="E439" s="12"/>
      <c r="F439" s="12"/>
      <c r="G439" s="11"/>
      <c r="H439" s="11"/>
      <c r="I439" s="11"/>
      <c r="J439" s="11"/>
    </row>
    <row r="440" spans="2:10" s="9" customFormat="1" x14ac:dyDescent="0.2">
      <c r="B440" s="10"/>
      <c r="C440" s="11"/>
      <c r="D440" s="11"/>
      <c r="E440" s="12"/>
      <c r="F440" s="12"/>
      <c r="G440" s="11"/>
      <c r="H440" s="11"/>
      <c r="I440" s="11"/>
      <c r="J440" s="11"/>
    </row>
    <row r="441" spans="2:10" s="9" customFormat="1" x14ac:dyDescent="0.2">
      <c r="B441" s="10"/>
      <c r="C441" s="11"/>
      <c r="D441" s="11"/>
      <c r="E441" s="12"/>
      <c r="F441" s="12"/>
      <c r="G441" s="11"/>
      <c r="H441" s="11"/>
      <c r="I441" s="11"/>
      <c r="J441" s="11"/>
    </row>
    <row r="442" spans="2:10" s="9" customFormat="1" x14ac:dyDescent="0.2">
      <c r="B442" s="10"/>
      <c r="C442" s="11"/>
      <c r="D442" s="11"/>
      <c r="E442" s="12"/>
      <c r="F442" s="12"/>
      <c r="G442" s="11"/>
      <c r="H442" s="11"/>
      <c r="I442" s="11"/>
      <c r="J442" s="11"/>
    </row>
    <row r="443" spans="2:10" s="9" customFormat="1" x14ac:dyDescent="0.2">
      <c r="B443" s="10"/>
      <c r="C443" s="11"/>
      <c r="D443" s="11"/>
      <c r="E443" s="12"/>
      <c r="F443" s="12"/>
      <c r="G443" s="11"/>
      <c r="H443" s="11"/>
      <c r="I443" s="11"/>
      <c r="J443" s="11"/>
    </row>
    <row r="444" spans="2:10" s="9" customFormat="1" x14ac:dyDescent="0.2">
      <c r="B444" s="10"/>
      <c r="C444" s="11"/>
      <c r="D444" s="11"/>
      <c r="E444" s="12"/>
      <c r="F444" s="12"/>
      <c r="G444" s="11"/>
      <c r="H444" s="11"/>
      <c r="I444" s="11"/>
      <c r="J444" s="11"/>
    </row>
    <row r="445" spans="2:10" s="9" customFormat="1" x14ac:dyDescent="0.2">
      <c r="B445" s="10"/>
      <c r="C445" s="11"/>
      <c r="D445" s="11"/>
      <c r="E445" s="12"/>
      <c r="F445" s="12"/>
      <c r="G445" s="11"/>
      <c r="H445" s="11"/>
      <c r="I445" s="11"/>
      <c r="J445" s="11"/>
    </row>
    <row r="446" spans="2:10" s="9" customFormat="1" x14ac:dyDescent="0.2">
      <c r="B446" s="10"/>
      <c r="C446" s="11"/>
      <c r="D446" s="11"/>
      <c r="E446" s="12"/>
      <c r="F446" s="12"/>
      <c r="G446" s="11"/>
      <c r="H446" s="11"/>
      <c r="I446" s="11"/>
      <c r="J446" s="11"/>
    </row>
    <row r="447" spans="2:10" s="9" customFormat="1" x14ac:dyDescent="0.2">
      <c r="B447" s="10"/>
      <c r="C447" s="11"/>
      <c r="D447" s="11"/>
      <c r="E447" s="12"/>
      <c r="F447" s="12"/>
      <c r="G447" s="11"/>
      <c r="H447" s="11"/>
      <c r="I447" s="11"/>
      <c r="J447" s="11"/>
    </row>
    <row r="448" spans="2:10" s="9" customFormat="1" x14ac:dyDescent="0.2">
      <c r="B448" s="10"/>
      <c r="C448" s="11"/>
      <c r="D448" s="11"/>
      <c r="E448" s="12"/>
      <c r="F448" s="12"/>
      <c r="G448" s="11"/>
      <c r="H448" s="11"/>
      <c r="I448" s="11"/>
      <c r="J448" s="11"/>
    </row>
    <row r="449" spans="2:10" s="9" customFormat="1" x14ac:dyDescent="0.2">
      <c r="B449" s="10"/>
      <c r="C449" s="11"/>
      <c r="D449" s="11"/>
      <c r="E449" s="12"/>
      <c r="F449" s="12"/>
      <c r="G449" s="11"/>
      <c r="H449" s="11"/>
      <c r="I449" s="11"/>
      <c r="J449" s="11"/>
    </row>
    <row r="450" spans="2:10" s="9" customFormat="1" x14ac:dyDescent="0.2">
      <c r="B450" s="10"/>
      <c r="C450" s="11"/>
      <c r="D450" s="11"/>
      <c r="E450" s="12"/>
      <c r="F450" s="12"/>
      <c r="G450" s="11"/>
      <c r="H450" s="11"/>
      <c r="I450" s="11"/>
      <c r="J450" s="11"/>
    </row>
    <row r="451" spans="2:10" s="9" customFormat="1" x14ac:dyDescent="0.2">
      <c r="B451" s="10"/>
      <c r="C451" s="11"/>
      <c r="D451" s="11"/>
      <c r="E451" s="12"/>
      <c r="F451" s="12"/>
      <c r="G451" s="11"/>
      <c r="H451" s="11"/>
      <c r="I451" s="11"/>
      <c r="J451" s="11"/>
    </row>
    <row r="452" spans="2:10" s="9" customFormat="1" x14ac:dyDescent="0.2">
      <c r="B452" s="10"/>
      <c r="C452" s="11"/>
      <c r="D452" s="11"/>
      <c r="E452" s="12"/>
      <c r="F452" s="12"/>
      <c r="G452" s="11"/>
      <c r="H452" s="11"/>
      <c r="I452" s="11"/>
      <c r="J452" s="11"/>
    </row>
    <row r="453" spans="2:10" s="9" customFormat="1" x14ac:dyDescent="0.2">
      <c r="B453" s="10"/>
      <c r="C453" s="11"/>
      <c r="D453" s="11"/>
      <c r="E453" s="12"/>
      <c r="F453" s="12"/>
      <c r="G453" s="11"/>
      <c r="H453" s="11"/>
      <c r="I453" s="11"/>
      <c r="J453" s="11"/>
    </row>
    <row r="454" spans="2:10" s="9" customFormat="1" x14ac:dyDescent="0.2">
      <c r="B454" s="10"/>
      <c r="C454" s="11"/>
      <c r="D454" s="11"/>
      <c r="E454" s="12"/>
      <c r="F454" s="12"/>
      <c r="G454" s="11"/>
      <c r="H454" s="11"/>
      <c r="I454" s="11"/>
      <c r="J454" s="11"/>
    </row>
    <row r="455" spans="2:10" s="9" customFormat="1" x14ac:dyDescent="0.2">
      <c r="B455" s="10"/>
      <c r="C455" s="11"/>
      <c r="D455" s="11"/>
      <c r="E455" s="12"/>
      <c r="F455" s="12"/>
      <c r="G455" s="11"/>
      <c r="H455" s="11"/>
      <c r="I455" s="11"/>
      <c r="J455" s="11"/>
    </row>
    <row r="456" spans="2:10" s="9" customFormat="1" x14ac:dyDescent="0.2">
      <c r="B456" s="10"/>
      <c r="C456" s="11"/>
      <c r="D456" s="11"/>
      <c r="E456" s="12"/>
      <c r="F456" s="12"/>
      <c r="G456" s="11"/>
      <c r="H456" s="11"/>
      <c r="I456" s="11"/>
      <c r="J456" s="11"/>
    </row>
    <row r="457" spans="2:10" s="9" customFormat="1" x14ac:dyDescent="0.2">
      <c r="B457" s="10"/>
      <c r="C457" s="11"/>
      <c r="D457" s="11"/>
      <c r="E457" s="12"/>
      <c r="F457" s="12"/>
      <c r="G457" s="11"/>
      <c r="H457" s="11"/>
      <c r="I457" s="11"/>
      <c r="J457" s="11"/>
    </row>
    <row r="458" spans="2:10" s="9" customFormat="1" x14ac:dyDescent="0.2">
      <c r="B458" s="10"/>
      <c r="C458" s="11"/>
      <c r="D458" s="11"/>
      <c r="E458" s="12"/>
      <c r="F458" s="12"/>
      <c r="G458" s="11"/>
      <c r="H458" s="11"/>
      <c r="I458" s="11"/>
      <c r="J458" s="11"/>
    </row>
    <row r="459" spans="2:10" s="9" customFormat="1" x14ac:dyDescent="0.2">
      <c r="B459" s="10"/>
      <c r="C459" s="11"/>
      <c r="D459" s="11"/>
      <c r="E459" s="12"/>
      <c r="F459" s="12"/>
      <c r="G459" s="11"/>
      <c r="H459" s="11"/>
      <c r="I459" s="11"/>
      <c r="J459" s="11"/>
    </row>
    <row r="460" spans="2:10" s="9" customFormat="1" x14ac:dyDescent="0.2">
      <c r="B460" s="10"/>
      <c r="C460" s="11"/>
      <c r="D460" s="11"/>
      <c r="E460" s="12"/>
      <c r="F460" s="12"/>
      <c r="G460" s="11"/>
      <c r="H460" s="11"/>
      <c r="I460" s="11"/>
      <c r="J460" s="11"/>
    </row>
    <row r="461" spans="2:10" s="9" customFormat="1" x14ac:dyDescent="0.2">
      <c r="B461" s="10"/>
      <c r="C461" s="11"/>
      <c r="D461" s="11"/>
      <c r="E461" s="12"/>
      <c r="F461" s="12"/>
      <c r="G461" s="11"/>
      <c r="H461" s="11"/>
      <c r="I461" s="11"/>
      <c r="J461" s="11"/>
    </row>
    <row r="462" spans="2:10" s="9" customFormat="1" x14ac:dyDescent="0.2">
      <c r="B462" s="10"/>
      <c r="C462" s="11"/>
      <c r="D462" s="11"/>
      <c r="E462" s="12"/>
      <c r="F462" s="12"/>
      <c r="G462" s="11"/>
      <c r="H462" s="11"/>
      <c r="I462" s="11"/>
      <c r="J462" s="11"/>
    </row>
    <row r="463" spans="2:10" s="9" customFormat="1" x14ac:dyDescent="0.2">
      <c r="B463" s="10"/>
      <c r="C463" s="11"/>
      <c r="D463" s="11"/>
      <c r="E463" s="12"/>
      <c r="F463" s="12"/>
      <c r="G463" s="11"/>
      <c r="H463" s="11"/>
      <c r="I463" s="11"/>
      <c r="J463" s="11"/>
    </row>
    <row r="464" spans="2:10" s="9" customFormat="1" x14ac:dyDescent="0.2">
      <c r="B464" s="10"/>
      <c r="C464" s="11"/>
      <c r="D464" s="11"/>
      <c r="E464" s="12"/>
      <c r="F464" s="12"/>
      <c r="G464" s="11"/>
      <c r="H464" s="11"/>
      <c r="I464" s="11"/>
      <c r="J464" s="11"/>
    </row>
    <row r="465" spans="2:10" s="9" customFormat="1" x14ac:dyDescent="0.2">
      <c r="B465" s="10"/>
      <c r="C465" s="11"/>
      <c r="D465" s="11"/>
      <c r="E465" s="12"/>
      <c r="F465" s="12"/>
      <c r="G465" s="11"/>
      <c r="H465" s="11"/>
      <c r="I465" s="11"/>
      <c r="J465" s="11"/>
    </row>
    <row r="466" spans="2:10" s="9" customFormat="1" x14ac:dyDescent="0.2">
      <c r="B466" s="10"/>
      <c r="C466" s="11"/>
      <c r="D466" s="11"/>
      <c r="E466" s="12"/>
      <c r="F466" s="12"/>
      <c r="G466" s="11"/>
      <c r="H466" s="11"/>
      <c r="I466" s="11"/>
      <c r="J466" s="11"/>
    </row>
    <row r="467" spans="2:10" s="9" customFormat="1" x14ac:dyDescent="0.2">
      <c r="B467" s="10"/>
      <c r="C467" s="11"/>
      <c r="D467" s="11"/>
      <c r="E467" s="12"/>
      <c r="F467" s="12"/>
      <c r="G467" s="11"/>
      <c r="H467" s="11"/>
      <c r="I467" s="11"/>
      <c r="J467" s="11"/>
    </row>
    <row r="468" spans="2:10" s="9" customFormat="1" x14ac:dyDescent="0.2">
      <c r="B468" s="10"/>
      <c r="C468" s="11"/>
      <c r="D468" s="11"/>
      <c r="E468" s="12"/>
      <c r="F468" s="12"/>
      <c r="G468" s="11"/>
      <c r="H468" s="11"/>
      <c r="I468" s="11"/>
      <c r="J468" s="11"/>
    </row>
    <row r="469" spans="2:10" s="9" customFormat="1" x14ac:dyDescent="0.2">
      <c r="B469" s="10"/>
      <c r="C469" s="11"/>
      <c r="D469" s="11"/>
      <c r="E469" s="12"/>
      <c r="F469" s="12"/>
      <c r="G469" s="11"/>
      <c r="H469" s="11"/>
      <c r="I469" s="11"/>
      <c r="J469" s="11"/>
    </row>
    <row r="470" spans="2:10" s="9" customFormat="1" x14ac:dyDescent="0.2">
      <c r="B470" s="10"/>
      <c r="C470" s="11"/>
      <c r="D470" s="11"/>
      <c r="E470" s="12"/>
      <c r="F470" s="12"/>
      <c r="G470" s="11"/>
      <c r="H470" s="11"/>
      <c r="I470" s="11"/>
      <c r="J470" s="11"/>
    </row>
    <row r="471" spans="2:10" s="9" customFormat="1" x14ac:dyDescent="0.2">
      <c r="B471" s="10"/>
      <c r="C471" s="11"/>
      <c r="D471" s="11"/>
      <c r="E471" s="12"/>
      <c r="F471" s="12"/>
      <c r="G471" s="11"/>
      <c r="H471" s="11"/>
      <c r="I471" s="11"/>
      <c r="J471" s="11"/>
    </row>
    <row r="472" spans="2:10" s="9" customFormat="1" x14ac:dyDescent="0.2">
      <c r="B472" s="10"/>
      <c r="C472" s="11"/>
      <c r="D472" s="11"/>
      <c r="E472" s="12"/>
      <c r="F472" s="12"/>
      <c r="G472" s="11"/>
      <c r="H472" s="11"/>
      <c r="I472" s="11"/>
      <c r="J472" s="11"/>
    </row>
    <row r="473" spans="2:10" s="9" customFormat="1" x14ac:dyDescent="0.2">
      <c r="B473" s="10"/>
      <c r="C473" s="11"/>
      <c r="D473" s="11"/>
      <c r="E473" s="12"/>
      <c r="F473" s="12"/>
      <c r="G473" s="11"/>
      <c r="H473" s="11"/>
      <c r="I473" s="11"/>
      <c r="J473" s="11"/>
    </row>
    <row r="474" spans="2:10" s="9" customFormat="1" x14ac:dyDescent="0.2">
      <c r="B474" s="10"/>
      <c r="C474" s="11"/>
      <c r="D474" s="11"/>
      <c r="E474" s="12"/>
      <c r="F474" s="12"/>
      <c r="G474" s="11"/>
      <c r="H474" s="11"/>
      <c r="I474" s="11"/>
      <c r="J474" s="11"/>
    </row>
    <row r="475" spans="2:10" s="9" customFormat="1" x14ac:dyDescent="0.2">
      <c r="B475" s="10"/>
      <c r="C475" s="11"/>
      <c r="D475" s="11"/>
      <c r="E475" s="12"/>
      <c r="F475" s="12"/>
      <c r="G475" s="11"/>
      <c r="H475" s="11"/>
      <c r="I475" s="11"/>
      <c r="J475" s="11"/>
    </row>
    <row r="476" spans="2:10" s="9" customFormat="1" x14ac:dyDescent="0.2">
      <c r="B476" s="10"/>
      <c r="C476" s="11"/>
      <c r="D476" s="11"/>
      <c r="E476" s="12"/>
      <c r="F476" s="12"/>
      <c r="G476" s="11"/>
      <c r="H476" s="11"/>
      <c r="I476" s="11"/>
      <c r="J476" s="11"/>
    </row>
    <row r="477" spans="2:10" s="9" customFormat="1" x14ac:dyDescent="0.2">
      <c r="B477" s="10"/>
      <c r="C477" s="11"/>
      <c r="D477" s="11"/>
      <c r="E477" s="12"/>
      <c r="F477" s="12"/>
      <c r="G477" s="11"/>
      <c r="H477" s="11"/>
      <c r="I477" s="11"/>
      <c r="J477" s="11"/>
    </row>
    <row r="478" spans="2:10" s="9" customFormat="1" x14ac:dyDescent="0.2">
      <c r="B478" s="10"/>
      <c r="C478" s="11"/>
      <c r="D478" s="11"/>
      <c r="E478" s="12"/>
      <c r="F478" s="12"/>
      <c r="G478" s="11"/>
      <c r="H478" s="11"/>
      <c r="I478" s="11"/>
      <c r="J478" s="11"/>
    </row>
    <row r="479" spans="2:10" s="9" customFormat="1" x14ac:dyDescent="0.2">
      <c r="B479" s="10"/>
      <c r="C479" s="11"/>
      <c r="D479" s="11"/>
      <c r="E479" s="12"/>
      <c r="F479" s="12"/>
      <c r="G479" s="11"/>
      <c r="H479" s="11"/>
      <c r="I479" s="11"/>
      <c r="J479" s="11"/>
    </row>
    <row r="480" spans="2:10" s="9" customFormat="1" x14ac:dyDescent="0.2">
      <c r="B480" s="10"/>
      <c r="C480" s="11"/>
      <c r="D480" s="11"/>
      <c r="E480" s="12"/>
      <c r="F480" s="12"/>
      <c r="G480" s="11"/>
      <c r="H480" s="11"/>
      <c r="I480" s="11"/>
      <c r="J480" s="11"/>
    </row>
    <row r="481" spans="2:10" s="9" customFormat="1" x14ac:dyDescent="0.2">
      <c r="B481" s="10"/>
      <c r="C481" s="11"/>
      <c r="D481" s="11"/>
      <c r="E481" s="12"/>
      <c r="F481" s="12"/>
      <c r="G481" s="11"/>
      <c r="H481" s="11"/>
      <c r="I481" s="11"/>
      <c r="J481" s="11"/>
    </row>
    <row r="482" spans="2:10" s="9" customFormat="1" x14ac:dyDescent="0.2">
      <c r="B482" s="10"/>
      <c r="C482" s="11"/>
      <c r="D482" s="11"/>
      <c r="E482" s="12"/>
      <c r="F482" s="12"/>
      <c r="G482" s="11"/>
      <c r="H482" s="11"/>
      <c r="I482" s="11"/>
      <c r="J482" s="11"/>
    </row>
    <row r="483" spans="2:10" s="9" customFormat="1" x14ac:dyDescent="0.2">
      <c r="B483" s="10"/>
      <c r="C483" s="11"/>
      <c r="D483" s="11"/>
      <c r="E483" s="12"/>
      <c r="F483" s="12"/>
      <c r="G483" s="11"/>
      <c r="H483" s="11"/>
      <c r="I483" s="11"/>
      <c r="J483" s="11"/>
    </row>
    <row r="484" spans="2:10" s="9" customFormat="1" x14ac:dyDescent="0.2">
      <c r="B484" s="10"/>
      <c r="C484" s="11"/>
      <c r="D484" s="11"/>
      <c r="E484" s="12"/>
      <c r="F484" s="12"/>
      <c r="G484" s="11"/>
      <c r="H484" s="11"/>
      <c r="I484" s="11"/>
      <c r="J484" s="11"/>
    </row>
    <row r="485" spans="2:10" s="9" customFormat="1" x14ac:dyDescent="0.2">
      <c r="B485" s="10"/>
      <c r="C485" s="11"/>
      <c r="D485" s="11"/>
      <c r="E485" s="12"/>
      <c r="F485" s="12"/>
      <c r="G485" s="11"/>
      <c r="H485" s="11"/>
      <c r="I485" s="11"/>
      <c r="J485" s="11"/>
    </row>
    <row r="486" spans="2:10" s="9" customFormat="1" x14ac:dyDescent="0.2">
      <c r="B486" s="10"/>
      <c r="C486" s="11"/>
      <c r="D486" s="11"/>
      <c r="E486" s="12"/>
      <c r="F486" s="12"/>
      <c r="G486" s="11"/>
      <c r="H486" s="11"/>
      <c r="I486" s="11"/>
      <c r="J486" s="11"/>
    </row>
    <row r="487" spans="2:10" s="9" customFormat="1" x14ac:dyDescent="0.2">
      <c r="B487" s="10"/>
      <c r="C487" s="11"/>
      <c r="D487" s="11"/>
      <c r="E487" s="12"/>
      <c r="F487" s="12"/>
      <c r="G487" s="11"/>
      <c r="H487" s="11"/>
      <c r="I487" s="11"/>
      <c r="J487" s="11"/>
    </row>
    <row r="488" spans="2:10" s="9" customFormat="1" x14ac:dyDescent="0.2">
      <c r="B488" s="10"/>
      <c r="C488" s="11"/>
      <c r="D488" s="11"/>
      <c r="E488" s="12"/>
      <c r="F488" s="12"/>
      <c r="G488" s="11"/>
      <c r="H488" s="11"/>
      <c r="I488" s="11"/>
      <c r="J488" s="11"/>
    </row>
    <row r="489" spans="2:10" s="9" customFormat="1" x14ac:dyDescent="0.2">
      <c r="B489" s="10"/>
      <c r="C489" s="11"/>
      <c r="D489" s="11"/>
      <c r="E489" s="12"/>
      <c r="F489" s="12"/>
      <c r="G489" s="11"/>
      <c r="H489" s="11"/>
      <c r="I489" s="11"/>
      <c r="J489" s="11"/>
    </row>
    <row r="490" spans="2:10" s="9" customFormat="1" x14ac:dyDescent="0.2">
      <c r="B490" s="10"/>
      <c r="C490" s="11"/>
      <c r="D490" s="11"/>
      <c r="E490" s="12"/>
      <c r="F490" s="12"/>
      <c r="G490" s="11"/>
      <c r="H490" s="11"/>
      <c r="I490" s="11"/>
      <c r="J490" s="11"/>
    </row>
    <row r="491" spans="2:10" s="9" customFormat="1" x14ac:dyDescent="0.2">
      <c r="B491" s="10"/>
      <c r="C491" s="11"/>
      <c r="D491" s="11"/>
      <c r="E491" s="12"/>
      <c r="F491" s="12"/>
      <c r="G491" s="11"/>
      <c r="H491" s="11"/>
      <c r="I491" s="11"/>
      <c r="J491" s="11"/>
    </row>
    <row r="492" spans="2:10" s="9" customFormat="1" x14ac:dyDescent="0.2">
      <c r="B492" s="10"/>
      <c r="C492" s="11"/>
      <c r="D492" s="11"/>
      <c r="E492" s="12"/>
      <c r="F492" s="12"/>
      <c r="G492" s="11"/>
      <c r="H492" s="11"/>
      <c r="I492" s="11"/>
      <c r="J492" s="11"/>
    </row>
    <row r="493" spans="2:10" s="9" customFormat="1" x14ac:dyDescent="0.2">
      <c r="B493" s="10"/>
      <c r="C493" s="11"/>
      <c r="D493" s="11"/>
      <c r="E493" s="12"/>
      <c r="F493" s="12"/>
      <c r="G493" s="11"/>
      <c r="H493" s="11"/>
      <c r="I493" s="11"/>
      <c r="J493" s="11"/>
    </row>
    <row r="494" spans="2:10" s="9" customFormat="1" x14ac:dyDescent="0.2">
      <c r="B494" s="10"/>
      <c r="C494" s="11"/>
      <c r="D494" s="11"/>
      <c r="E494" s="12"/>
      <c r="F494" s="12"/>
      <c r="G494" s="11"/>
      <c r="H494" s="11"/>
      <c r="I494" s="11"/>
      <c r="J494" s="11"/>
    </row>
    <row r="495" spans="2:10" s="9" customFormat="1" x14ac:dyDescent="0.2">
      <c r="B495" s="10"/>
      <c r="C495" s="11"/>
      <c r="D495" s="11"/>
      <c r="E495" s="12"/>
      <c r="F495" s="12"/>
      <c r="G495" s="11"/>
      <c r="H495" s="11"/>
      <c r="I495" s="11"/>
      <c r="J495" s="11"/>
    </row>
    <row r="496" spans="2:10" s="9" customFormat="1" x14ac:dyDescent="0.2">
      <c r="B496" s="10"/>
      <c r="C496" s="11"/>
      <c r="D496" s="11"/>
      <c r="E496" s="12"/>
      <c r="F496" s="12"/>
      <c r="G496" s="11"/>
      <c r="H496" s="11"/>
      <c r="I496" s="11"/>
      <c r="J496" s="11"/>
    </row>
    <row r="497" spans="2:10" s="9" customFormat="1" x14ac:dyDescent="0.2">
      <c r="B497" s="10"/>
      <c r="C497" s="11"/>
      <c r="D497" s="11"/>
      <c r="E497" s="12"/>
      <c r="F497" s="12"/>
      <c r="G497" s="11"/>
      <c r="H497" s="11"/>
      <c r="I497" s="11"/>
      <c r="J497" s="11"/>
    </row>
    <row r="498" spans="2:10" s="9" customFormat="1" x14ac:dyDescent="0.2">
      <c r="B498" s="10"/>
      <c r="C498" s="11"/>
      <c r="D498" s="11"/>
      <c r="E498" s="12"/>
      <c r="F498" s="12"/>
      <c r="G498" s="11"/>
      <c r="H498" s="11"/>
      <c r="I498" s="11"/>
      <c r="J498" s="11"/>
    </row>
    <row r="499" spans="2:10" s="9" customFormat="1" x14ac:dyDescent="0.2">
      <c r="B499" s="10"/>
      <c r="C499" s="11"/>
      <c r="D499" s="11"/>
      <c r="E499" s="12"/>
      <c r="F499" s="12"/>
      <c r="G499" s="11"/>
      <c r="H499" s="11"/>
      <c r="I499" s="11"/>
      <c r="J499" s="11"/>
    </row>
    <row r="500" spans="2:10" s="9" customFormat="1" x14ac:dyDescent="0.2">
      <c r="B500" s="10"/>
      <c r="C500" s="11"/>
      <c r="D500" s="11"/>
      <c r="E500" s="12"/>
      <c r="F500" s="12"/>
      <c r="G500" s="11"/>
      <c r="H500" s="11"/>
      <c r="I500" s="11"/>
      <c r="J500" s="11"/>
    </row>
    <row r="501" spans="2:10" s="9" customFormat="1" x14ac:dyDescent="0.2">
      <c r="B501" s="10"/>
      <c r="C501" s="11"/>
      <c r="D501" s="11"/>
      <c r="E501" s="12"/>
      <c r="F501" s="12"/>
      <c r="G501" s="11"/>
      <c r="H501" s="11"/>
      <c r="I501" s="11"/>
      <c r="J501" s="11"/>
    </row>
    <row r="502" spans="2:10" s="9" customFormat="1" x14ac:dyDescent="0.2">
      <c r="B502" s="10"/>
      <c r="C502" s="11"/>
      <c r="D502" s="11"/>
      <c r="E502" s="12"/>
      <c r="F502" s="12"/>
      <c r="G502" s="11"/>
      <c r="H502" s="11"/>
      <c r="I502" s="11"/>
      <c r="J502" s="11"/>
    </row>
    <row r="503" spans="2:10" s="9" customFormat="1" x14ac:dyDescent="0.2">
      <c r="B503" s="10"/>
      <c r="C503" s="11"/>
      <c r="D503" s="11"/>
      <c r="E503" s="12"/>
      <c r="F503" s="12"/>
      <c r="G503" s="11"/>
      <c r="H503" s="11"/>
      <c r="I503" s="11"/>
      <c r="J503" s="11"/>
    </row>
    <row r="504" spans="2:10" s="9" customFormat="1" x14ac:dyDescent="0.2">
      <c r="B504" s="10"/>
      <c r="C504" s="11"/>
      <c r="D504" s="11"/>
      <c r="E504" s="12"/>
      <c r="F504" s="12"/>
      <c r="G504" s="11"/>
      <c r="H504" s="11"/>
      <c r="I504" s="11"/>
      <c r="J504" s="11"/>
    </row>
    <row r="505" spans="2:10" s="9" customFormat="1" x14ac:dyDescent="0.2">
      <c r="B505" s="10"/>
      <c r="C505" s="11"/>
      <c r="D505" s="11"/>
      <c r="E505" s="12"/>
      <c r="F505" s="12"/>
      <c r="G505" s="11"/>
      <c r="H505" s="11"/>
      <c r="I505" s="11"/>
      <c r="J505" s="11"/>
    </row>
    <row r="506" spans="2:10" s="9" customFormat="1" x14ac:dyDescent="0.2">
      <c r="B506" s="10"/>
      <c r="C506" s="11"/>
      <c r="D506" s="11"/>
      <c r="E506" s="12"/>
      <c r="F506" s="12"/>
      <c r="G506" s="11"/>
      <c r="H506" s="11"/>
      <c r="I506" s="11"/>
      <c r="J506" s="11"/>
    </row>
    <row r="507" spans="2:10" s="9" customFormat="1" x14ac:dyDescent="0.2">
      <c r="B507" s="10"/>
      <c r="C507" s="11"/>
      <c r="D507" s="11"/>
      <c r="E507" s="12"/>
      <c r="F507" s="12"/>
      <c r="G507" s="11"/>
      <c r="H507" s="11"/>
      <c r="I507" s="11"/>
      <c r="J507" s="11"/>
    </row>
    <row r="508" spans="2:10" s="9" customFormat="1" x14ac:dyDescent="0.2">
      <c r="B508" s="10"/>
      <c r="C508" s="11"/>
      <c r="D508" s="11"/>
      <c r="E508" s="12"/>
      <c r="F508" s="12"/>
      <c r="G508" s="11"/>
      <c r="H508" s="11"/>
      <c r="I508" s="11"/>
      <c r="J508" s="11"/>
    </row>
    <row r="509" spans="2:10" s="9" customFormat="1" x14ac:dyDescent="0.2">
      <c r="B509" s="10"/>
      <c r="C509" s="11"/>
      <c r="D509" s="11"/>
      <c r="E509" s="12"/>
      <c r="F509" s="12"/>
      <c r="G509" s="11"/>
      <c r="H509" s="11"/>
      <c r="I509" s="11"/>
      <c r="J509" s="11"/>
    </row>
    <row r="510" spans="2:10" s="9" customFormat="1" x14ac:dyDescent="0.2">
      <c r="B510" s="10"/>
      <c r="C510" s="11"/>
      <c r="D510" s="11"/>
      <c r="E510" s="12"/>
      <c r="F510" s="12"/>
      <c r="G510" s="11"/>
      <c r="H510" s="11"/>
      <c r="I510" s="11"/>
      <c r="J510" s="11"/>
    </row>
    <row r="511" spans="2:10" s="9" customFormat="1" x14ac:dyDescent="0.2">
      <c r="B511" s="10"/>
      <c r="C511" s="11"/>
      <c r="D511" s="11"/>
      <c r="E511" s="12"/>
      <c r="F511" s="12"/>
      <c r="G511" s="11"/>
      <c r="H511" s="11"/>
      <c r="I511" s="11"/>
      <c r="J511" s="11"/>
    </row>
    <row r="512" spans="2:10" s="9" customFormat="1" x14ac:dyDescent="0.2">
      <c r="B512" s="10"/>
      <c r="C512" s="11"/>
      <c r="D512" s="11"/>
      <c r="E512" s="12"/>
      <c r="F512" s="12"/>
      <c r="G512" s="11"/>
      <c r="H512" s="11"/>
      <c r="I512" s="11"/>
      <c r="J512" s="11"/>
    </row>
    <row r="513" spans="2:10" s="9" customFormat="1" x14ac:dyDescent="0.2">
      <c r="B513" s="10"/>
      <c r="C513" s="11"/>
      <c r="D513" s="11"/>
      <c r="E513" s="12"/>
      <c r="F513" s="12"/>
      <c r="G513" s="11"/>
      <c r="H513" s="11"/>
      <c r="I513" s="11"/>
      <c r="J513" s="11"/>
    </row>
    <row r="514" spans="2:10" s="9" customFormat="1" x14ac:dyDescent="0.2">
      <c r="B514" s="10"/>
      <c r="C514" s="11"/>
      <c r="D514" s="11"/>
      <c r="E514" s="12"/>
      <c r="F514" s="12"/>
      <c r="G514" s="11"/>
      <c r="H514" s="11"/>
      <c r="I514" s="11"/>
      <c r="J514" s="11"/>
    </row>
    <row r="515" spans="2:10" s="9" customFormat="1" x14ac:dyDescent="0.2">
      <c r="B515" s="10"/>
      <c r="C515" s="11"/>
      <c r="D515" s="11"/>
      <c r="E515" s="12"/>
      <c r="F515" s="12"/>
      <c r="G515" s="11"/>
      <c r="H515" s="11"/>
      <c r="I515" s="11"/>
      <c r="J515" s="11"/>
    </row>
    <row r="516" spans="2:10" s="9" customFormat="1" x14ac:dyDescent="0.2">
      <c r="B516" s="10"/>
      <c r="C516" s="11"/>
      <c r="D516" s="11"/>
      <c r="E516" s="12"/>
      <c r="F516" s="12"/>
      <c r="G516" s="11"/>
      <c r="H516" s="11"/>
      <c r="I516" s="11"/>
      <c r="J516" s="11"/>
    </row>
    <row r="517" spans="2:10" s="9" customFormat="1" x14ac:dyDescent="0.2">
      <c r="B517" s="10"/>
      <c r="C517" s="11"/>
      <c r="D517" s="11"/>
      <c r="E517" s="12"/>
      <c r="F517" s="12"/>
      <c r="G517" s="11"/>
      <c r="H517" s="11"/>
      <c r="I517" s="11"/>
      <c r="J517" s="11"/>
    </row>
    <row r="518" spans="2:10" s="9" customFormat="1" x14ac:dyDescent="0.2">
      <c r="B518" s="10"/>
      <c r="C518" s="11"/>
      <c r="D518" s="11"/>
      <c r="E518" s="12"/>
      <c r="F518" s="12"/>
      <c r="G518" s="11"/>
      <c r="H518" s="11"/>
      <c r="I518" s="11"/>
      <c r="J518" s="11"/>
    </row>
    <row r="519" spans="2:10" s="9" customFormat="1" x14ac:dyDescent="0.2">
      <c r="B519" s="10"/>
      <c r="C519" s="11"/>
      <c r="D519" s="11"/>
      <c r="E519" s="12"/>
      <c r="F519" s="12"/>
      <c r="G519" s="11"/>
      <c r="H519" s="11"/>
      <c r="I519" s="11"/>
      <c r="J519" s="11"/>
    </row>
    <row r="520" spans="2:10" s="9" customFormat="1" x14ac:dyDescent="0.2">
      <c r="B520" s="10"/>
      <c r="C520" s="11"/>
      <c r="D520" s="11"/>
      <c r="E520" s="12"/>
      <c r="F520" s="12"/>
      <c r="G520" s="11"/>
      <c r="H520" s="11"/>
      <c r="I520" s="11"/>
      <c r="J520" s="11"/>
    </row>
    <row r="521" spans="2:10" s="9" customFormat="1" x14ac:dyDescent="0.2">
      <c r="B521" s="10"/>
      <c r="C521" s="11"/>
      <c r="D521" s="11"/>
      <c r="E521" s="12"/>
      <c r="F521" s="12"/>
      <c r="G521" s="11"/>
      <c r="H521" s="11"/>
      <c r="I521" s="11"/>
      <c r="J521" s="11"/>
    </row>
    <row r="522" spans="2:10" s="9" customFormat="1" x14ac:dyDescent="0.2">
      <c r="B522" s="10"/>
      <c r="C522" s="11"/>
      <c r="D522" s="11"/>
      <c r="E522" s="12"/>
      <c r="F522" s="12"/>
      <c r="G522" s="11"/>
      <c r="H522" s="11"/>
      <c r="I522" s="11"/>
      <c r="J522" s="11"/>
    </row>
    <row r="523" spans="2:10" s="9" customFormat="1" x14ac:dyDescent="0.2">
      <c r="B523" s="10"/>
      <c r="C523" s="11"/>
      <c r="D523" s="11"/>
      <c r="E523" s="12"/>
      <c r="F523" s="12"/>
      <c r="G523" s="11"/>
      <c r="H523" s="11"/>
      <c r="I523" s="11"/>
      <c r="J523" s="11"/>
    </row>
    <row r="524" spans="2:10" s="9" customFormat="1" x14ac:dyDescent="0.2">
      <c r="B524" s="10"/>
      <c r="C524" s="11"/>
      <c r="D524" s="11"/>
      <c r="E524" s="12"/>
      <c r="F524" s="12"/>
      <c r="G524" s="11"/>
      <c r="H524" s="11"/>
      <c r="I524" s="11"/>
      <c r="J524" s="11"/>
    </row>
    <row r="525" spans="2:10" s="9" customFormat="1" x14ac:dyDescent="0.2">
      <c r="B525" s="10"/>
      <c r="C525" s="11"/>
      <c r="D525" s="11"/>
      <c r="E525" s="12"/>
      <c r="F525" s="12"/>
      <c r="G525" s="11"/>
      <c r="H525" s="11"/>
      <c r="I525" s="11"/>
      <c r="J525" s="11"/>
    </row>
    <row r="526" spans="2:10" s="9" customFormat="1" x14ac:dyDescent="0.2">
      <c r="B526" s="10"/>
      <c r="C526" s="11"/>
      <c r="D526" s="11"/>
      <c r="E526" s="12"/>
      <c r="F526" s="12"/>
      <c r="G526" s="11"/>
      <c r="H526" s="11"/>
      <c r="I526" s="11"/>
      <c r="J526" s="11"/>
    </row>
    <row r="527" spans="2:10" s="9" customFormat="1" x14ac:dyDescent="0.2">
      <c r="B527" s="10"/>
      <c r="C527" s="11"/>
      <c r="D527" s="11"/>
      <c r="E527" s="12"/>
      <c r="F527" s="12"/>
      <c r="G527" s="11"/>
      <c r="H527" s="11"/>
      <c r="I527" s="11"/>
      <c r="J527" s="11"/>
    </row>
    <row r="528" spans="2:10" s="9" customFormat="1" x14ac:dyDescent="0.2">
      <c r="B528" s="10"/>
      <c r="C528" s="11"/>
      <c r="D528" s="11"/>
      <c r="E528" s="12"/>
      <c r="F528" s="12"/>
      <c r="G528" s="11"/>
      <c r="H528" s="11"/>
      <c r="I528" s="11"/>
      <c r="J528" s="11"/>
    </row>
    <row r="529" spans="2:10" s="9" customFormat="1" x14ac:dyDescent="0.2">
      <c r="B529" s="10"/>
      <c r="C529" s="11"/>
      <c r="D529" s="11"/>
      <c r="E529" s="12"/>
      <c r="F529" s="12"/>
      <c r="G529" s="11"/>
      <c r="H529" s="11"/>
      <c r="I529" s="11"/>
      <c r="J529" s="11"/>
    </row>
    <row r="530" spans="2:10" s="9" customFormat="1" x14ac:dyDescent="0.2">
      <c r="B530" s="10"/>
      <c r="C530" s="11"/>
      <c r="D530" s="11"/>
      <c r="E530" s="12"/>
      <c r="F530" s="12"/>
      <c r="G530" s="11"/>
      <c r="H530" s="11"/>
      <c r="I530" s="11"/>
      <c r="J530" s="11"/>
    </row>
    <row r="531" spans="2:10" s="9" customFormat="1" x14ac:dyDescent="0.2">
      <c r="B531" s="10"/>
      <c r="C531" s="11"/>
      <c r="D531" s="11"/>
      <c r="E531" s="12"/>
      <c r="F531" s="12"/>
      <c r="G531" s="11"/>
      <c r="H531" s="11"/>
      <c r="I531" s="11"/>
      <c r="J531" s="11"/>
    </row>
    <row r="532" spans="2:10" s="9" customFormat="1" x14ac:dyDescent="0.2">
      <c r="B532" s="10"/>
      <c r="C532" s="11"/>
      <c r="D532" s="11"/>
      <c r="E532" s="12"/>
      <c r="F532" s="12"/>
      <c r="G532" s="11"/>
      <c r="H532" s="11"/>
      <c r="I532" s="11"/>
      <c r="J532" s="11"/>
    </row>
    <row r="533" spans="2:10" s="9" customFormat="1" x14ac:dyDescent="0.2">
      <c r="B533" s="10"/>
      <c r="C533" s="11"/>
      <c r="D533" s="11"/>
      <c r="E533" s="12"/>
      <c r="F533" s="12"/>
      <c r="G533" s="11"/>
      <c r="H533" s="11"/>
      <c r="I533" s="11"/>
      <c r="J533" s="11"/>
    </row>
    <row r="534" spans="2:10" s="9" customFormat="1" x14ac:dyDescent="0.2">
      <c r="B534" s="10"/>
      <c r="C534" s="11"/>
      <c r="D534" s="11"/>
      <c r="E534" s="12"/>
      <c r="F534" s="12"/>
      <c r="G534" s="11"/>
      <c r="H534" s="11"/>
      <c r="I534" s="11"/>
      <c r="J534" s="11"/>
    </row>
    <row r="535" spans="2:10" s="9" customFormat="1" x14ac:dyDescent="0.2">
      <c r="B535" s="10"/>
      <c r="C535" s="11"/>
      <c r="D535" s="11"/>
      <c r="E535" s="12"/>
      <c r="F535" s="12"/>
      <c r="G535" s="11"/>
      <c r="H535" s="11"/>
      <c r="I535" s="11"/>
      <c r="J535" s="11"/>
    </row>
    <row r="536" spans="2:10" s="9" customFormat="1" x14ac:dyDescent="0.2">
      <c r="B536" s="10"/>
      <c r="C536" s="11"/>
      <c r="D536" s="11"/>
      <c r="E536" s="12"/>
      <c r="F536" s="12"/>
      <c r="G536" s="11"/>
      <c r="H536" s="11"/>
      <c r="I536" s="11"/>
      <c r="J536" s="11"/>
    </row>
    <row r="537" spans="2:10" s="9" customFormat="1" x14ac:dyDescent="0.2">
      <c r="B537" s="10"/>
      <c r="C537" s="11"/>
      <c r="D537" s="11"/>
      <c r="E537" s="12"/>
      <c r="F537" s="12"/>
      <c r="G537" s="11"/>
      <c r="H537" s="11"/>
      <c r="I537" s="11"/>
      <c r="J537" s="11"/>
    </row>
    <row r="538" spans="2:10" s="9" customFormat="1" x14ac:dyDescent="0.2">
      <c r="B538" s="10"/>
      <c r="C538" s="11"/>
      <c r="D538" s="11"/>
      <c r="E538" s="12"/>
      <c r="F538" s="12"/>
      <c r="G538" s="11"/>
      <c r="H538" s="11"/>
      <c r="I538" s="11"/>
      <c r="J538" s="11"/>
    </row>
    <row r="539" spans="2:10" s="9" customFormat="1" x14ac:dyDescent="0.2">
      <c r="B539" s="10"/>
      <c r="C539" s="11"/>
      <c r="D539" s="11"/>
      <c r="E539" s="12"/>
      <c r="F539" s="12"/>
      <c r="G539" s="11"/>
      <c r="H539" s="11"/>
      <c r="I539" s="11"/>
      <c r="J539" s="11"/>
    </row>
    <row r="540" spans="2:10" s="9" customFormat="1" x14ac:dyDescent="0.2">
      <c r="B540" s="10"/>
      <c r="C540" s="11"/>
      <c r="D540" s="11"/>
      <c r="E540" s="12"/>
      <c r="F540" s="12"/>
      <c r="G540" s="11"/>
      <c r="H540" s="11"/>
      <c r="I540" s="11"/>
      <c r="J540" s="11"/>
    </row>
    <row r="541" spans="2:10" s="9" customFormat="1" x14ac:dyDescent="0.2">
      <c r="B541" s="10"/>
      <c r="C541" s="11"/>
      <c r="D541" s="11"/>
      <c r="E541" s="12"/>
      <c r="F541" s="12"/>
      <c r="G541" s="11"/>
      <c r="H541" s="11"/>
      <c r="I541" s="11"/>
      <c r="J541" s="11"/>
    </row>
    <row r="542" spans="2:10" s="9" customFormat="1" x14ac:dyDescent="0.2">
      <c r="B542" s="10"/>
      <c r="C542" s="11"/>
      <c r="D542" s="11"/>
      <c r="E542" s="12"/>
      <c r="F542" s="12"/>
      <c r="G542" s="11"/>
      <c r="H542" s="11"/>
      <c r="I542" s="11"/>
      <c r="J542" s="11"/>
    </row>
    <row r="543" spans="2:10" s="9" customFormat="1" x14ac:dyDescent="0.2">
      <c r="B543" s="10"/>
      <c r="C543" s="11"/>
      <c r="D543" s="11"/>
      <c r="E543" s="12"/>
      <c r="F543" s="12"/>
      <c r="G543" s="11"/>
      <c r="H543" s="11"/>
      <c r="I543" s="11"/>
      <c r="J543" s="11"/>
    </row>
    <row r="544" spans="2:10" s="9" customFormat="1" x14ac:dyDescent="0.2">
      <c r="B544" s="10"/>
      <c r="C544" s="11"/>
      <c r="D544" s="11"/>
      <c r="E544" s="12"/>
      <c r="F544" s="12"/>
      <c r="G544" s="11"/>
      <c r="H544" s="11"/>
      <c r="I544" s="11"/>
      <c r="J544" s="11"/>
    </row>
    <row r="545" spans="2:10" s="9" customFormat="1" x14ac:dyDescent="0.2">
      <c r="B545" s="10"/>
      <c r="C545" s="11"/>
      <c r="D545" s="11"/>
      <c r="E545" s="12"/>
      <c r="F545" s="12"/>
      <c r="G545" s="11"/>
      <c r="H545" s="11"/>
      <c r="I545" s="11"/>
      <c r="J545" s="11"/>
    </row>
    <row r="546" spans="2:10" s="9" customFormat="1" x14ac:dyDescent="0.2">
      <c r="B546" s="10"/>
      <c r="C546" s="11"/>
      <c r="D546" s="11"/>
      <c r="E546" s="12"/>
      <c r="F546" s="12"/>
      <c r="G546" s="11"/>
      <c r="H546" s="11"/>
      <c r="I546" s="11"/>
      <c r="J546" s="11"/>
    </row>
    <row r="547" spans="2:10" s="9" customFormat="1" x14ac:dyDescent="0.2">
      <c r="B547" s="10"/>
      <c r="C547" s="11"/>
      <c r="D547" s="11"/>
      <c r="E547" s="12"/>
      <c r="F547" s="12"/>
      <c r="G547" s="11"/>
      <c r="H547" s="11"/>
      <c r="I547" s="11"/>
      <c r="J547" s="11"/>
    </row>
    <row r="548" spans="2:10" s="9" customFormat="1" x14ac:dyDescent="0.2">
      <c r="B548" s="10"/>
      <c r="C548" s="11"/>
      <c r="D548" s="11"/>
      <c r="E548" s="12"/>
      <c r="F548" s="12"/>
      <c r="G548" s="11"/>
      <c r="H548" s="11"/>
      <c r="I548" s="11"/>
      <c r="J548" s="11"/>
    </row>
    <row r="549" spans="2:10" s="9" customFormat="1" x14ac:dyDescent="0.2">
      <c r="B549" s="10"/>
      <c r="C549" s="11"/>
      <c r="D549" s="11"/>
      <c r="E549" s="12"/>
      <c r="F549" s="12"/>
      <c r="G549" s="11"/>
      <c r="H549" s="11"/>
      <c r="I549" s="11"/>
      <c r="J549" s="11"/>
    </row>
    <row r="550" spans="2:10" s="9" customFormat="1" x14ac:dyDescent="0.2">
      <c r="B550" s="10"/>
      <c r="C550" s="11"/>
      <c r="D550" s="11"/>
      <c r="E550" s="12"/>
      <c r="F550" s="12"/>
      <c r="G550" s="11"/>
      <c r="H550" s="11"/>
      <c r="I550" s="11"/>
      <c r="J550" s="11"/>
    </row>
    <row r="551" spans="2:10" s="9" customFormat="1" x14ac:dyDescent="0.2">
      <c r="B551" s="10"/>
      <c r="C551" s="11"/>
      <c r="D551" s="11"/>
      <c r="E551" s="12"/>
      <c r="F551" s="12"/>
      <c r="G551" s="11"/>
      <c r="H551" s="11"/>
      <c r="I551" s="11"/>
      <c r="J551" s="11"/>
    </row>
    <row r="552" spans="2:10" s="9" customFormat="1" x14ac:dyDescent="0.2">
      <c r="B552" s="10"/>
      <c r="C552" s="11"/>
      <c r="D552" s="11"/>
      <c r="E552" s="12"/>
      <c r="F552" s="12"/>
      <c r="G552" s="11"/>
      <c r="H552" s="11"/>
      <c r="I552" s="11"/>
      <c r="J552" s="11"/>
    </row>
    <row r="553" spans="2:10" s="9" customFormat="1" x14ac:dyDescent="0.2">
      <c r="B553" s="10"/>
      <c r="C553" s="11"/>
      <c r="D553" s="11"/>
      <c r="E553" s="12"/>
      <c r="F553" s="12"/>
      <c r="G553" s="11"/>
      <c r="H553" s="11"/>
      <c r="I553" s="11"/>
      <c r="J553" s="11"/>
    </row>
    <row r="554" spans="2:10" s="9" customFormat="1" x14ac:dyDescent="0.2">
      <c r="B554" s="10"/>
      <c r="C554" s="11"/>
      <c r="D554" s="11"/>
      <c r="E554" s="12"/>
      <c r="F554" s="12"/>
      <c r="G554" s="11"/>
      <c r="H554" s="11"/>
      <c r="I554" s="11"/>
      <c r="J554" s="11"/>
    </row>
    <row r="555" spans="2:10" s="9" customFormat="1" x14ac:dyDescent="0.2">
      <c r="B555" s="10"/>
      <c r="C555" s="11"/>
      <c r="D555" s="11"/>
      <c r="E555" s="12"/>
      <c r="F555" s="12"/>
      <c r="G555" s="11"/>
      <c r="H555" s="11"/>
      <c r="I555" s="11"/>
      <c r="J555" s="11"/>
    </row>
    <row r="556" spans="2:10" s="9" customFormat="1" x14ac:dyDescent="0.2">
      <c r="B556" s="10"/>
      <c r="C556" s="11"/>
      <c r="D556" s="11"/>
      <c r="E556" s="12"/>
      <c r="F556" s="12"/>
      <c r="G556" s="11"/>
      <c r="H556" s="11"/>
      <c r="I556" s="11"/>
      <c r="J556" s="11"/>
    </row>
    <row r="557" spans="2:10" s="9" customFormat="1" x14ac:dyDescent="0.2">
      <c r="B557" s="10"/>
      <c r="C557" s="11"/>
      <c r="D557" s="11"/>
      <c r="E557" s="12"/>
      <c r="F557" s="12"/>
      <c r="G557" s="11"/>
      <c r="H557" s="11"/>
      <c r="I557" s="11"/>
      <c r="J557" s="11"/>
    </row>
    <row r="558" spans="2:10" s="9" customFormat="1" x14ac:dyDescent="0.2">
      <c r="B558" s="10"/>
      <c r="C558" s="11"/>
      <c r="D558" s="11"/>
      <c r="E558" s="12"/>
      <c r="F558" s="12"/>
      <c r="G558" s="11"/>
      <c r="H558" s="11"/>
      <c r="I558" s="11"/>
      <c r="J558" s="11"/>
    </row>
    <row r="559" spans="2:10" s="9" customFormat="1" x14ac:dyDescent="0.2">
      <c r="B559" s="10"/>
      <c r="C559" s="11"/>
      <c r="D559" s="11"/>
      <c r="E559" s="12"/>
      <c r="F559" s="12"/>
      <c r="G559" s="11"/>
      <c r="H559" s="11"/>
      <c r="I559" s="11"/>
      <c r="J559" s="11"/>
    </row>
    <row r="560" spans="2:10" s="9" customFormat="1" x14ac:dyDescent="0.2">
      <c r="B560" s="10"/>
      <c r="C560" s="11"/>
      <c r="D560" s="11"/>
      <c r="E560" s="12"/>
      <c r="F560" s="12"/>
      <c r="G560" s="11"/>
      <c r="H560" s="11"/>
      <c r="I560" s="11"/>
      <c r="J560" s="11"/>
    </row>
    <row r="561" spans="2:10" s="9" customFormat="1" x14ac:dyDescent="0.2">
      <c r="B561" s="10"/>
      <c r="C561" s="11"/>
      <c r="D561" s="11"/>
      <c r="E561" s="12"/>
      <c r="F561" s="12"/>
      <c r="G561" s="11"/>
      <c r="H561" s="11"/>
      <c r="I561" s="11"/>
      <c r="J561" s="11"/>
    </row>
    <row r="562" spans="2:10" s="9" customFormat="1" x14ac:dyDescent="0.2">
      <c r="B562" s="10"/>
      <c r="C562" s="11"/>
      <c r="D562" s="11"/>
      <c r="E562" s="12"/>
      <c r="F562" s="12"/>
      <c r="G562" s="11"/>
      <c r="H562" s="11"/>
      <c r="I562" s="11"/>
      <c r="J562" s="11"/>
    </row>
    <row r="563" spans="2:10" s="9" customFormat="1" x14ac:dyDescent="0.2">
      <c r="B563" s="10"/>
      <c r="C563" s="11"/>
      <c r="D563" s="11"/>
      <c r="E563" s="12"/>
      <c r="F563" s="12"/>
      <c r="G563" s="11"/>
      <c r="H563" s="11"/>
      <c r="I563" s="11"/>
      <c r="J563" s="11"/>
    </row>
    <row r="564" spans="2:10" s="9" customFormat="1" x14ac:dyDescent="0.2">
      <c r="B564" s="10"/>
      <c r="C564" s="11"/>
      <c r="D564" s="11"/>
      <c r="E564" s="12"/>
      <c r="F564" s="12"/>
      <c r="G564" s="11"/>
      <c r="H564" s="11"/>
      <c r="I564" s="11"/>
      <c r="J564" s="11"/>
    </row>
    <row r="565" spans="2:10" s="9" customFormat="1" x14ac:dyDescent="0.2">
      <c r="B565" s="10"/>
      <c r="C565" s="11"/>
      <c r="D565" s="11"/>
      <c r="E565" s="12"/>
      <c r="F565" s="12"/>
      <c r="G565" s="11"/>
      <c r="H565" s="11"/>
      <c r="I565" s="11"/>
      <c r="J565" s="11"/>
    </row>
    <row r="566" spans="2:10" s="9" customFormat="1" x14ac:dyDescent="0.2">
      <c r="B566" s="10"/>
      <c r="C566" s="11"/>
      <c r="D566" s="11"/>
      <c r="E566" s="12"/>
      <c r="F566" s="12"/>
      <c r="G566" s="11"/>
      <c r="H566" s="11"/>
      <c r="I566" s="11"/>
      <c r="J566" s="11"/>
    </row>
    <row r="567" spans="2:10" s="9" customFormat="1" x14ac:dyDescent="0.2">
      <c r="B567" s="10"/>
      <c r="C567" s="11"/>
      <c r="D567" s="11"/>
      <c r="E567" s="12"/>
      <c r="F567" s="12"/>
      <c r="G567" s="11"/>
      <c r="H567" s="11"/>
      <c r="I567" s="11"/>
      <c r="J567" s="11"/>
    </row>
    <row r="568" spans="2:10" s="9" customFormat="1" x14ac:dyDescent="0.2">
      <c r="B568" s="10"/>
      <c r="C568" s="11"/>
      <c r="D568" s="11"/>
      <c r="E568" s="12"/>
      <c r="F568" s="12"/>
      <c r="G568" s="11"/>
      <c r="H568" s="11"/>
      <c r="I568" s="11"/>
      <c r="J568" s="11"/>
    </row>
    <row r="569" spans="2:10" s="9" customFormat="1" x14ac:dyDescent="0.2">
      <c r="B569" s="10"/>
      <c r="C569" s="11"/>
      <c r="D569" s="11"/>
      <c r="E569" s="12"/>
      <c r="F569" s="12"/>
      <c r="G569" s="11"/>
      <c r="H569" s="11"/>
      <c r="I569" s="11"/>
      <c r="J569" s="11"/>
    </row>
    <row r="570" spans="2:10" s="9" customFormat="1" x14ac:dyDescent="0.2">
      <c r="B570" s="10"/>
      <c r="C570" s="11"/>
      <c r="D570" s="11"/>
      <c r="E570" s="12"/>
      <c r="F570" s="12"/>
      <c r="G570" s="11"/>
      <c r="H570" s="11"/>
      <c r="I570" s="11"/>
      <c r="J570" s="11"/>
    </row>
    <row r="571" spans="2:10" s="9" customFormat="1" x14ac:dyDescent="0.2">
      <c r="B571" s="10"/>
      <c r="C571" s="11"/>
      <c r="D571" s="11"/>
      <c r="E571" s="12"/>
      <c r="F571" s="12"/>
      <c r="G571" s="11"/>
      <c r="H571" s="11"/>
      <c r="I571" s="11"/>
      <c r="J571" s="11"/>
    </row>
    <row r="572" spans="2:10" s="9" customFormat="1" x14ac:dyDescent="0.2">
      <c r="B572" s="10"/>
      <c r="C572" s="11"/>
      <c r="D572" s="11"/>
      <c r="E572" s="12"/>
      <c r="F572" s="12"/>
      <c r="G572" s="11"/>
      <c r="H572" s="11"/>
      <c r="I572" s="11"/>
      <c r="J572" s="11"/>
    </row>
    <row r="573" spans="2:10" s="9" customFormat="1" x14ac:dyDescent="0.2">
      <c r="B573" s="10"/>
      <c r="C573" s="11"/>
      <c r="D573" s="11"/>
      <c r="E573" s="12"/>
      <c r="F573" s="12"/>
      <c r="G573" s="11"/>
      <c r="H573" s="11"/>
      <c r="I573" s="11"/>
      <c r="J573" s="11"/>
    </row>
    <row r="574" spans="2:10" s="9" customFormat="1" x14ac:dyDescent="0.2">
      <c r="B574" s="10"/>
      <c r="C574" s="11"/>
      <c r="D574" s="11"/>
      <c r="E574" s="12"/>
      <c r="F574" s="12"/>
      <c r="G574" s="11"/>
      <c r="H574" s="11"/>
      <c r="I574" s="11"/>
      <c r="J574" s="11"/>
    </row>
    <row r="575" spans="2:10" s="9" customFormat="1" x14ac:dyDescent="0.2">
      <c r="B575" s="10"/>
      <c r="C575" s="11"/>
      <c r="D575" s="11"/>
      <c r="E575" s="12"/>
      <c r="F575" s="12"/>
      <c r="G575" s="11"/>
      <c r="H575" s="11"/>
      <c r="I575" s="11"/>
      <c r="J575" s="11"/>
    </row>
    <row r="576" spans="2:10" s="9" customFormat="1" x14ac:dyDescent="0.2">
      <c r="B576" s="10"/>
      <c r="C576" s="11"/>
      <c r="D576" s="11"/>
      <c r="E576" s="12"/>
      <c r="F576" s="12"/>
      <c r="G576" s="11"/>
      <c r="H576" s="11"/>
      <c r="I576" s="11"/>
      <c r="J576" s="11"/>
    </row>
    <row r="577" spans="2:10" s="9" customFormat="1" x14ac:dyDescent="0.2">
      <c r="B577" s="10"/>
      <c r="C577" s="11"/>
      <c r="D577" s="11"/>
      <c r="E577" s="12"/>
      <c r="F577" s="12"/>
      <c r="G577" s="11"/>
      <c r="H577" s="11"/>
      <c r="I577" s="11"/>
      <c r="J577" s="11"/>
    </row>
    <row r="578" spans="2:10" s="9" customFormat="1" x14ac:dyDescent="0.2">
      <c r="B578" s="10"/>
      <c r="C578" s="11"/>
      <c r="D578" s="11"/>
      <c r="E578" s="12"/>
      <c r="F578" s="12"/>
      <c r="G578" s="11"/>
      <c r="H578" s="11"/>
      <c r="I578" s="11"/>
      <c r="J578" s="11"/>
    </row>
    <row r="579" spans="2:10" s="9" customFormat="1" x14ac:dyDescent="0.2">
      <c r="B579" s="10"/>
      <c r="C579" s="11"/>
      <c r="D579" s="11"/>
      <c r="E579" s="12"/>
      <c r="F579" s="12"/>
      <c r="G579" s="11"/>
      <c r="H579" s="11"/>
      <c r="I579" s="11"/>
      <c r="J579" s="11"/>
    </row>
    <row r="580" spans="2:10" s="9" customFormat="1" x14ac:dyDescent="0.2">
      <c r="B580" s="10"/>
      <c r="C580" s="11"/>
      <c r="D580" s="11"/>
      <c r="E580" s="12"/>
      <c r="F580" s="12"/>
      <c r="G580" s="11"/>
      <c r="H580" s="11"/>
      <c r="I580" s="11"/>
      <c r="J580" s="11"/>
    </row>
    <row r="581" spans="2:10" s="9" customFormat="1" x14ac:dyDescent="0.2">
      <c r="B581" s="10"/>
      <c r="C581" s="11"/>
      <c r="D581" s="11"/>
      <c r="E581" s="12"/>
      <c r="F581" s="12"/>
      <c r="G581" s="11"/>
      <c r="H581" s="11"/>
      <c r="I581" s="11"/>
      <c r="J581" s="11"/>
    </row>
    <row r="582" spans="2:10" s="9" customFormat="1" x14ac:dyDescent="0.2">
      <c r="B582" s="10"/>
      <c r="C582" s="11"/>
      <c r="D582" s="11"/>
      <c r="E582" s="12"/>
      <c r="F582" s="12"/>
      <c r="G582" s="11"/>
      <c r="H582" s="11"/>
      <c r="I582" s="11"/>
      <c r="J582" s="11"/>
    </row>
    <row r="583" spans="2:10" s="9" customFormat="1" x14ac:dyDescent="0.2">
      <c r="B583" s="10"/>
      <c r="C583" s="11"/>
      <c r="D583" s="11"/>
      <c r="E583" s="12"/>
      <c r="F583" s="12"/>
      <c r="G583" s="11"/>
      <c r="H583" s="11"/>
      <c r="I583" s="11"/>
      <c r="J583" s="11"/>
    </row>
    <row r="584" spans="2:10" s="9" customFormat="1" x14ac:dyDescent="0.2">
      <c r="B584" s="10"/>
      <c r="C584" s="11"/>
      <c r="D584" s="11"/>
      <c r="E584" s="12"/>
      <c r="F584" s="12"/>
      <c r="G584" s="11"/>
      <c r="H584" s="11"/>
      <c r="I584" s="11"/>
      <c r="J584" s="11"/>
    </row>
    <row r="585" spans="2:10" s="9" customFormat="1" x14ac:dyDescent="0.2">
      <c r="B585" s="10"/>
      <c r="C585" s="11"/>
      <c r="D585" s="11"/>
      <c r="E585" s="12"/>
      <c r="F585" s="12"/>
      <c r="G585" s="11"/>
      <c r="H585" s="11"/>
      <c r="I585" s="11"/>
      <c r="J585" s="11"/>
    </row>
    <row r="586" spans="2:10" s="9" customFormat="1" x14ac:dyDescent="0.2">
      <c r="B586" s="10"/>
      <c r="C586" s="11"/>
      <c r="D586" s="11"/>
      <c r="E586" s="12"/>
      <c r="F586" s="12"/>
      <c r="G586" s="11"/>
      <c r="H586" s="11"/>
      <c r="I586" s="11"/>
      <c r="J586" s="11"/>
    </row>
    <row r="587" spans="2:10" s="9" customFormat="1" x14ac:dyDescent="0.2">
      <c r="B587" s="10"/>
      <c r="C587" s="11"/>
      <c r="D587" s="11"/>
      <c r="E587" s="12"/>
      <c r="F587" s="12"/>
      <c r="G587" s="11"/>
      <c r="H587" s="11"/>
      <c r="I587" s="11"/>
      <c r="J587" s="11"/>
    </row>
    <row r="588" spans="2:10" s="9" customFormat="1" x14ac:dyDescent="0.2">
      <c r="B588" s="10"/>
      <c r="C588" s="11"/>
      <c r="D588" s="11"/>
      <c r="E588" s="12"/>
      <c r="F588" s="12"/>
      <c r="G588" s="11"/>
      <c r="H588" s="11"/>
      <c r="I588" s="11"/>
      <c r="J588" s="11"/>
    </row>
    <row r="589" spans="2:10" s="9" customFormat="1" x14ac:dyDescent="0.2">
      <c r="B589" s="10"/>
      <c r="C589" s="11"/>
      <c r="D589" s="11"/>
      <c r="E589" s="12"/>
      <c r="F589" s="12"/>
      <c r="G589" s="11"/>
      <c r="H589" s="11"/>
      <c r="I589" s="11"/>
      <c r="J589" s="11"/>
    </row>
    <row r="590" spans="2:10" s="9" customFormat="1" x14ac:dyDescent="0.2">
      <c r="B590" s="10"/>
      <c r="C590" s="11"/>
      <c r="D590" s="11"/>
      <c r="E590" s="12"/>
      <c r="F590" s="12"/>
      <c r="G590" s="11"/>
      <c r="H590" s="11"/>
      <c r="I590" s="11"/>
      <c r="J590" s="11"/>
    </row>
    <row r="591" spans="2:10" s="9" customFormat="1" x14ac:dyDescent="0.2">
      <c r="B591" s="10"/>
      <c r="C591" s="11"/>
      <c r="D591" s="11"/>
      <c r="E591" s="12"/>
      <c r="F591" s="12"/>
      <c r="G591" s="11"/>
      <c r="H591" s="11"/>
      <c r="I591" s="11"/>
      <c r="J591" s="11"/>
    </row>
    <row r="592" spans="2:10" s="9" customFormat="1" x14ac:dyDescent="0.2">
      <c r="B592" s="10"/>
      <c r="C592" s="11"/>
      <c r="D592" s="11"/>
      <c r="E592" s="12"/>
      <c r="F592" s="12"/>
      <c r="G592" s="11"/>
      <c r="H592" s="11"/>
      <c r="I592" s="11"/>
      <c r="J592" s="11"/>
    </row>
    <row r="593" spans="2:10" s="9" customFormat="1" x14ac:dyDescent="0.2">
      <c r="B593" s="10"/>
      <c r="C593" s="11"/>
      <c r="D593" s="11"/>
      <c r="E593" s="12"/>
      <c r="F593" s="12"/>
      <c r="G593" s="11"/>
      <c r="H593" s="11"/>
      <c r="I593" s="11"/>
      <c r="J593" s="11"/>
    </row>
    <row r="594" spans="2:10" s="9" customFormat="1" x14ac:dyDescent="0.2">
      <c r="B594" s="10"/>
      <c r="C594" s="11"/>
      <c r="D594" s="11"/>
      <c r="E594" s="12"/>
      <c r="F594" s="12"/>
      <c r="G594" s="11"/>
      <c r="H594" s="11"/>
      <c r="I594" s="11"/>
      <c r="J594" s="11"/>
    </row>
    <row r="595" spans="2:10" s="9" customFormat="1" x14ac:dyDescent="0.2">
      <c r="B595" s="10"/>
      <c r="C595" s="11"/>
      <c r="D595" s="11"/>
      <c r="E595" s="12"/>
      <c r="F595" s="12"/>
      <c r="G595" s="11"/>
      <c r="H595" s="11"/>
      <c r="I595" s="11"/>
      <c r="J595" s="11"/>
    </row>
    <row r="596" spans="2:10" s="9" customFormat="1" x14ac:dyDescent="0.2">
      <c r="B596" s="10"/>
      <c r="C596" s="11"/>
      <c r="D596" s="11"/>
      <c r="E596" s="12"/>
      <c r="F596" s="12"/>
      <c r="G596" s="11"/>
      <c r="H596" s="11"/>
      <c r="I596" s="11"/>
      <c r="J596" s="11"/>
    </row>
    <row r="597" spans="2:10" s="9" customFormat="1" x14ac:dyDescent="0.2">
      <c r="B597" s="10"/>
      <c r="C597" s="11"/>
      <c r="D597" s="11"/>
      <c r="E597" s="12"/>
      <c r="F597" s="12"/>
      <c r="G597" s="11"/>
      <c r="H597" s="11"/>
      <c r="I597" s="11"/>
      <c r="J597" s="11"/>
    </row>
    <row r="598" spans="2:10" s="9" customFormat="1" x14ac:dyDescent="0.2">
      <c r="B598" s="10"/>
      <c r="C598" s="11"/>
      <c r="D598" s="11"/>
      <c r="E598" s="12"/>
      <c r="F598" s="12"/>
      <c r="G598" s="11"/>
      <c r="H598" s="11"/>
      <c r="I598" s="11"/>
      <c r="J598" s="11"/>
    </row>
    <row r="599" spans="2:10" s="9" customFormat="1" x14ac:dyDescent="0.2">
      <c r="B599" s="10"/>
      <c r="C599" s="11"/>
      <c r="D599" s="11"/>
      <c r="E599" s="12"/>
      <c r="F599" s="12"/>
      <c r="G599" s="11"/>
      <c r="H599" s="11"/>
      <c r="I599" s="11"/>
      <c r="J599" s="11"/>
    </row>
    <row r="600" spans="2:10" s="9" customFormat="1" x14ac:dyDescent="0.2">
      <c r="B600" s="10"/>
      <c r="C600" s="11"/>
      <c r="D600" s="11"/>
      <c r="E600" s="12"/>
      <c r="F600" s="12"/>
      <c r="G600" s="11"/>
      <c r="H600" s="11"/>
      <c r="I600" s="11"/>
      <c r="J600" s="11"/>
    </row>
    <row r="601" spans="2:10" s="9" customFormat="1" x14ac:dyDescent="0.2">
      <c r="B601" s="10"/>
      <c r="C601" s="11"/>
      <c r="D601" s="11"/>
      <c r="E601" s="12"/>
      <c r="F601" s="12"/>
      <c r="G601" s="11"/>
      <c r="H601" s="11"/>
      <c r="I601" s="11"/>
      <c r="J601" s="11"/>
    </row>
    <row r="602" spans="2:10" s="9" customFormat="1" x14ac:dyDescent="0.2">
      <c r="B602" s="10"/>
      <c r="C602" s="11"/>
      <c r="D602" s="11"/>
      <c r="E602" s="12"/>
      <c r="F602" s="12"/>
      <c r="G602" s="11"/>
      <c r="H602" s="11"/>
      <c r="I602" s="11"/>
      <c r="J602" s="11"/>
    </row>
    <row r="603" spans="2:10" s="9" customFormat="1" x14ac:dyDescent="0.2">
      <c r="B603" s="10"/>
      <c r="C603" s="11"/>
      <c r="D603" s="11"/>
      <c r="E603" s="12"/>
      <c r="F603" s="12"/>
      <c r="G603" s="11"/>
      <c r="H603" s="11"/>
      <c r="I603" s="11"/>
      <c r="J603" s="11"/>
    </row>
    <row r="604" spans="2:10" s="9" customFormat="1" x14ac:dyDescent="0.2">
      <c r="B604" s="10"/>
      <c r="C604" s="11"/>
      <c r="D604" s="11"/>
      <c r="E604" s="12"/>
      <c r="F604" s="12"/>
      <c r="G604" s="11"/>
      <c r="H604" s="11"/>
      <c r="I604" s="11"/>
      <c r="J604" s="11"/>
    </row>
    <row r="605" spans="2:10" s="9" customFormat="1" x14ac:dyDescent="0.2">
      <c r="B605" s="10"/>
      <c r="C605" s="11"/>
      <c r="D605" s="11"/>
      <c r="E605" s="12"/>
      <c r="F605" s="12"/>
      <c r="G605" s="11"/>
      <c r="H605" s="11"/>
      <c r="I605" s="11"/>
      <c r="J605" s="11"/>
    </row>
    <row r="606" spans="2:10" s="9" customFormat="1" x14ac:dyDescent="0.2">
      <c r="B606" s="10"/>
      <c r="C606" s="11"/>
      <c r="D606" s="11"/>
      <c r="E606" s="12"/>
      <c r="F606" s="12"/>
      <c r="G606" s="11"/>
      <c r="H606" s="11"/>
      <c r="I606" s="11"/>
      <c r="J606" s="11"/>
    </row>
    <row r="607" spans="2:10" s="9" customFormat="1" x14ac:dyDescent="0.2">
      <c r="B607" s="10"/>
      <c r="C607" s="11"/>
      <c r="D607" s="11"/>
      <c r="E607" s="12"/>
      <c r="F607" s="12"/>
      <c r="G607" s="11"/>
      <c r="H607" s="11"/>
      <c r="I607" s="11"/>
      <c r="J607" s="11"/>
    </row>
    <row r="608" spans="2:10" s="9" customFormat="1" x14ac:dyDescent="0.2">
      <c r="B608" s="10"/>
      <c r="C608" s="11"/>
      <c r="D608" s="11"/>
      <c r="E608" s="12"/>
      <c r="F608" s="12"/>
      <c r="G608" s="11"/>
      <c r="H608" s="11"/>
      <c r="I608" s="11"/>
      <c r="J608" s="11"/>
    </row>
    <row r="609" spans="2:10" s="9" customFormat="1" x14ac:dyDescent="0.2">
      <c r="B609" s="10"/>
      <c r="C609" s="11"/>
      <c r="D609" s="11"/>
      <c r="E609" s="12"/>
      <c r="F609" s="12"/>
      <c r="G609" s="11"/>
      <c r="H609" s="11"/>
      <c r="I609" s="11"/>
      <c r="J609" s="11"/>
    </row>
    <row r="610" spans="2:10" s="9" customFormat="1" x14ac:dyDescent="0.2">
      <c r="B610" s="10"/>
      <c r="C610" s="11"/>
      <c r="D610" s="11"/>
      <c r="E610" s="12"/>
      <c r="F610" s="12"/>
      <c r="G610" s="11"/>
      <c r="H610" s="11"/>
      <c r="I610" s="11"/>
      <c r="J610" s="11"/>
    </row>
    <row r="611" spans="2:10" s="9" customFormat="1" x14ac:dyDescent="0.2">
      <c r="B611" s="10"/>
      <c r="C611" s="11"/>
      <c r="D611" s="11"/>
      <c r="E611" s="12"/>
      <c r="F611" s="12"/>
      <c r="G611" s="11"/>
      <c r="H611" s="11"/>
      <c r="I611" s="11"/>
      <c r="J611" s="11"/>
    </row>
    <row r="612" spans="2:10" s="9" customFormat="1" x14ac:dyDescent="0.2">
      <c r="B612" s="10"/>
      <c r="C612" s="11"/>
      <c r="D612" s="11"/>
      <c r="E612" s="12"/>
      <c r="F612" s="12"/>
      <c r="G612" s="11"/>
      <c r="H612" s="11"/>
      <c r="I612" s="11"/>
      <c r="J612" s="11"/>
    </row>
    <row r="613" spans="2:10" s="9" customFormat="1" x14ac:dyDescent="0.2">
      <c r="B613" s="10"/>
      <c r="C613" s="11"/>
      <c r="D613" s="11"/>
      <c r="E613" s="12"/>
      <c r="F613" s="12"/>
      <c r="G613" s="11"/>
      <c r="H613" s="11"/>
      <c r="I613" s="11"/>
      <c r="J613" s="11"/>
    </row>
    <row r="614" spans="2:10" s="9" customFormat="1" x14ac:dyDescent="0.2">
      <c r="B614" s="10"/>
      <c r="C614" s="11"/>
      <c r="D614" s="11"/>
      <c r="E614" s="12"/>
      <c r="F614" s="12"/>
      <c r="G614" s="11"/>
      <c r="H614" s="11"/>
      <c r="I614" s="11"/>
      <c r="J614" s="11"/>
    </row>
    <row r="615" spans="2:10" s="9" customFormat="1" x14ac:dyDescent="0.2">
      <c r="B615" s="10"/>
      <c r="C615" s="11"/>
      <c r="D615" s="11"/>
      <c r="E615" s="12"/>
      <c r="F615" s="12"/>
      <c r="G615" s="11"/>
      <c r="H615" s="11"/>
      <c r="I615" s="11"/>
      <c r="J615" s="11"/>
    </row>
    <row r="616" spans="2:10" s="9" customFormat="1" x14ac:dyDescent="0.2">
      <c r="B616" s="10"/>
      <c r="C616" s="11"/>
      <c r="D616" s="11"/>
      <c r="E616" s="12"/>
      <c r="F616" s="12"/>
      <c r="G616" s="11"/>
      <c r="H616" s="11"/>
      <c r="I616" s="11"/>
      <c r="J616" s="11"/>
    </row>
    <row r="617" spans="2:10" s="9" customFormat="1" x14ac:dyDescent="0.2">
      <c r="B617" s="10"/>
      <c r="C617" s="11"/>
      <c r="D617" s="11"/>
      <c r="E617" s="12"/>
      <c r="F617" s="12"/>
      <c r="G617" s="11"/>
      <c r="H617" s="11"/>
      <c r="I617" s="11"/>
      <c r="J617" s="11"/>
    </row>
    <row r="618" spans="2:10" s="9" customFormat="1" x14ac:dyDescent="0.2">
      <c r="B618" s="10"/>
      <c r="C618" s="11"/>
      <c r="D618" s="11"/>
      <c r="E618" s="12"/>
      <c r="F618" s="12"/>
      <c r="G618" s="11"/>
      <c r="H618" s="11"/>
      <c r="I618" s="11"/>
      <c r="J618" s="11"/>
    </row>
    <row r="619" spans="2:10" s="9" customFormat="1" x14ac:dyDescent="0.2">
      <c r="B619" s="10"/>
      <c r="C619" s="11"/>
      <c r="D619" s="11"/>
      <c r="E619" s="12"/>
      <c r="F619" s="12"/>
      <c r="G619" s="11"/>
      <c r="H619" s="11"/>
      <c r="I619" s="11"/>
      <c r="J619" s="11"/>
    </row>
    <row r="620" spans="2:10" s="9" customFormat="1" x14ac:dyDescent="0.2">
      <c r="B620" s="10"/>
      <c r="C620" s="11"/>
      <c r="D620" s="11"/>
      <c r="E620" s="12"/>
      <c r="F620" s="12"/>
      <c r="G620" s="11"/>
      <c r="H620" s="11"/>
      <c r="I620" s="11"/>
      <c r="J620" s="11"/>
    </row>
    <row r="621" spans="2:10" s="9" customFormat="1" x14ac:dyDescent="0.2">
      <c r="B621" s="10"/>
      <c r="C621" s="11"/>
      <c r="D621" s="11"/>
      <c r="E621" s="12"/>
      <c r="F621" s="12"/>
      <c r="G621" s="11"/>
      <c r="H621" s="11"/>
      <c r="I621" s="11"/>
      <c r="J621" s="11"/>
    </row>
    <row r="622" spans="2:10" s="9" customFormat="1" x14ac:dyDescent="0.2">
      <c r="B622" s="10"/>
      <c r="C622" s="11"/>
      <c r="D622" s="11"/>
      <c r="E622" s="12"/>
      <c r="F622" s="12"/>
      <c r="G622" s="11"/>
      <c r="H622" s="11"/>
      <c r="I622" s="11"/>
      <c r="J622" s="11"/>
    </row>
    <row r="623" spans="2:10" s="9" customFormat="1" x14ac:dyDescent="0.2">
      <c r="B623" s="10"/>
      <c r="C623" s="11"/>
      <c r="D623" s="11"/>
      <c r="E623" s="12"/>
      <c r="F623" s="12"/>
      <c r="G623" s="11"/>
      <c r="H623" s="11"/>
      <c r="I623" s="11"/>
      <c r="J623" s="11"/>
    </row>
    <row r="624" spans="2:10" s="9" customFormat="1" x14ac:dyDescent="0.2">
      <c r="B624" s="10"/>
      <c r="C624" s="11"/>
      <c r="D624" s="11"/>
      <c r="E624" s="12"/>
      <c r="F624" s="12"/>
      <c r="G624" s="11"/>
      <c r="H624" s="11"/>
      <c r="I624" s="11"/>
      <c r="J624" s="11"/>
    </row>
    <row r="625" spans="2:10" s="9" customFormat="1" x14ac:dyDescent="0.2">
      <c r="B625" s="10"/>
      <c r="C625" s="11"/>
      <c r="D625" s="11"/>
      <c r="E625" s="12"/>
      <c r="F625" s="12"/>
      <c r="G625" s="11"/>
      <c r="H625" s="11"/>
      <c r="I625" s="11"/>
      <c r="J625" s="11"/>
    </row>
    <row r="626" spans="2:10" s="9" customFormat="1" x14ac:dyDescent="0.2">
      <c r="B626" s="10"/>
      <c r="C626" s="11"/>
      <c r="D626" s="11"/>
      <c r="E626" s="12"/>
      <c r="F626" s="12"/>
      <c r="G626" s="11"/>
      <c r="H626" s="11"/>
      <c r="I626" s="11"/>
      <c r="J626" s="11"/>
    </row>
    <row r="627" spans="2:10" s="9" customFormat="1" x14ac:dyDescent="0.2">
      <c r="B627" s="10"/>
      <c r="C627" s="11"/>
      <c r="D627" s="11"/>
      <c r="E627" s="12"/>
      <c r="F627" s="12"/>
      <c r="G627" s="11"/>
      <c r="H627" s="11"/>
      <c r="I627" s="11"/>
      <c r="J627" s="11"/>
    </row>
    <row r="628" spans="2:10" s="9" customFormat="1" x14ac:dyDescent="0.2">
      <c r="B628" s="10"/>
      <c r="C628" s="11"/>
      <c r="D628" s="11"/>
      <c r="E628" s="12"/>
      <c r="F628" s="12"/>
      <c r="G628" s="11"/>
      <c r="H628" s="11"/>
      <c r="I628" s="11"/>
      <c r="J628" s="11"/>
    </row>
    <row r="629" spans="2:10" s="9" customFormat="1" x14ac:dyDescent="0.2">
      <c r="B629" s="10"/>
      <c r="C629" s="11"/>
      <c r="D629" s="11"/>
      <c r="E629" s="12"/>
      <c r="F629" s="12"/>
      <c r="G629" s="11"/>
      <c r="H629" s="11"/>
      <c r="I629" s="11"/>
      <c r="J629" s="11"/>
    </row>
    <row r="630" spans="2:10" s="9" customFormat="1" x14ac:dyDescent="0.2">
      <c r="B630" s="10"/>
      <c r="C630" s="11"/>
      <c r="D630" s="11"/>
      <c r="E630" s="12"/>
      <c r="F630" s="12"/>
      <c r="G630" s="11"/>
      <c r="H630" s="11"/>
      <c r="I630" s="11"/>
      <c r="J630" s="11"/>
    </row>
    <row r="631" spans="2:10" s="9" customFormat="1" x14ac:dyDescent="0.2">
      <c r="B631" s="10"/>
      <c r="C631" s="11"/>
      <c r="D631" s="11"/>
      <c r="E631" s="12"/>
      <c r="F631" s="12"/>
      <c r="G631" s="11"/>
      <c r="H631" s="11"/>
      <c r="I631" s="11"/>
      <c r="J631" s="11"/>
    </row>
    <row r="632" spans="2:10" s="9" customFormat="1" x14ac:dyDescent="0.2">
      <c r="B632" s="10"/>
      <c r="C632" s="11"/>
      <c r="D632" s="11"/>
      <c r="E632" s="12"/>
      <c r="F632" s="12"/>
      <c r="G632" s="11"/>
      <c r="H632" s="11"/>
      <c r="I632" s="11"/>
      <c r="J632" s="11"/>
    </row>
    <row r="633" spans="2:10" s="9" customFormat="1" x14ac:dyDescent="0.2">
      <c r="B633" s="10"/>
      <c r="C633" s="11"/>
      <c r="D633" s="11"/>
      <c r="E633" s="12"/>
      <c r="F633" s="12"/>
      <c r="G633" s="11"/>
      <c r="H633" s="11"/>
      <c r="I633" s="11"/>
      <c r="J633" s="11"/>
    </row>
    <row r="634" spans="2:10" s="9" customFormat="1" x14ac:dyDescent="0.2">
      <c r="B634" s="10"/>
      <c r="C634" s="11"/>
      <c r="D634" s="11"/>
      <c r="E634" s="12"/>
      <c r="F634" s="12"/>
      <c r="G634" s="11"/>
      <c r="H634" s="11"/>
      <c r="I634" s="11"/>
      <c r="J634" s="11"/>
    </row>
    <row r="635" spans="2:10" s="9" customFormat="1" x14ac:dyDescent="0.2">
      <c r="B635" s="10"/>
      <c r="C635" s="11"/>
      <c r="D635" s="11"/>
      <c r="E635" s="12"/>
      <c r="F635" s="12"/>
      <c r="G635" s="11"/>
      <c r="H635" s="11"/>
      <c r="I635" s="11"/>
      <c r="J635" s="11"/>
    </row>
    <row r="636" spans="2:10" s="9" customFormat="1" x14ac:dyDescent="0.2">
      <c r="B636" s="10"/>
      <c r="C636" s="11"/>
      <c r="D636" s="11"/>
      <c r="E636" s="12"/>
      <c r="F636" s="12"/>
      <c r="G636" s="11"/>
      <c r="H636" s="11"/>
      <c r="I636" s="11"/>
      <c r="J636" s="11"/>
    </row>
    <row r="637" spans="2:10" s="9" customFormat="1" x14ac:dyDescent="0.2">
      <c r="B637" s="10"/>
      <c r="C637" s="11"/>
      <c r="D637" s="11"/>
      <c r="E637" s="12"/>
      <c r="F637" s="12"/>
      <c r="G637" s="11"/>
      <c r="H637" s="11"/>
      <c r="I637" s="11"/>
      <c r="J637" s="11"/>
    </row>
    <row r="638" spans="2:10" s="9" customFormat="1" x14ac:dyDescent="0.2">
      <c r="B638" s="10"/>
      <c r="C638" s="11"/>
      <c r="D638" s="11"/>
      <c r="E638" s="12"/>
      <c r="F638" s="12"/>
      <c r="G638" s="11"/>
      <c r="H638" s="11"/>
      <c r="I638" s="11"/>
      <c r="J638" s="11"/>
    </row>
    <row r="639" spans="2:10" s="9" customFormat="1" x14ac:dyDescent="0.2">
      <c r="B639" s="10"/>
      <c r="C639" s="11"/>
      <c r="D639" s="11"/>
      <c r="E639" s="12"/>
      <c r="F639" s="12"/>
      <c r="G639" s="11"/>
      <c r="H639" s="11"/>
      <c r="I639" s="11"/>
      <c r="J639" s="11"/>
    </row>
    <row r="640" spans="2:10" s="9" customFormat="1" x14ac:dyDescent="0.2">
      <c r="B640" s="10"/>
      <c r="C640" s="11"/>
      <c r="D640" s="11"/>
      <c r="E640" s="12"/>
      <c r="F640" s="12"/>
      <c r="G640" s="11"/>
      <c r="H640" s="11"/>
      <c r="I640" s="11"/>
      <c r="J640" s="11"/>
    </row>
    <row r="641" spans="2:10" s="9" customFormat="1" x14ac:dyDescent="0.2">
      <c r="B641" s="10"/>
      <c r="C641" s="11"/>
      <c r="D641" s="11"/>
      <c r="E641" s="12"/>
      <c r="F641" s="12"/>
      <c r="G641" s="11"/>
      <c r="H641" s="11"/>
      <c r="I641" s="11"/>
      <c r="J641" s="11"/>
    </row>
    <row r="642" spans="2:10" s="9" customFormat="1" x14ac:dyDescent="0.2">
      <c r="B642" s="10"/>
      <c r="C642" s="11"/>
      <c r="D642" s="11"/>
      <c r="E642" s="12"/>
      <c r="F642" s="12"/>
      <c r="G642" s="11"/>
      <c r="H642" s="11"/>
      <c r="I642" s="11"/>
      <c r="J642" s="11"/>
    </row>
    <row r="643" spans="2:10" s="9" customFormat="1" x14ac:dyDescent="0.2">
      <c r="B643" s="10"/>
      <c r="C643" s="11"/>
      <c r="D643" s="11"/>
      <c r="E643" s="12"/>
      <c r="F643" s="12"/>
      <c r="G643" s="11"/>
      <c r="H643" s="11"/>
      <c r="I643" s="11"/>
      <c r="J643" s="11"/>
    </row>
    <row r="644" spans="2:10" s="9" customFormat="1" x14ac:dyDescent="0.2">
      <c r="B644" s="10"/>
      <c r="C644" s="11"/>
      <c r="D644" s="11"/>
      <c r="E644" s="12"/>
      <c r="F644" s="12"/>
      <c r="G644" s="11"/>
      <c r="H644" s="11"/>
      <c r="I644" s="11"/>
      <c r="J644" s="11"/>
    </row>
    <row r="645" spans="2:10" s="9" customFormat="1" x14ac:dyDescent="0.2">
      <c r="B645" s="10"/>
      <c r="C645" s="11"/>
      <c r="D645" s="11"/>
      <c r="E645" s="12"/>
      <c r="F645" s="12"/>
      <c r="G645" s="11"/>
      <c r="H645" s="11"/>
      <c r="I645" s="11"/>
      <c r="J645" s="11"/>
    </row>
    <row r="646" spans="2:10" s="9" customFormat="1" x14ac:dyDescent="0.2">
      <c r="B646" s="10"/>
      <c r="C646" s="11"/>
      <c r="D646" s="11"/>
      <c r="E646" s="12"/>
      <c r="F646" s="12"/>
      <c r="G646" s="11"/>
      <c r="H646" s="11"/>
      <c r="I646" s="11"/>
      <c r="J646" s="11"/>
    </row>
    <row r="647" spans="2:10" s="9" customFormat="1" x14ac:dyDescent="0.2">
      <c r="B647" s="10"/>
      <c r="C647" s="11"/>
      <c r="D647" s="11"/>
      <c r="E647" s="12"/>
      <c r="F647" s="12"/>
      <c r="G647" s="11"/>
      <c r="H647" s="11"/>
      <c r="I647" s="11"/>
      <c r="J647" s="11"/>
    </row>
    <row r="648" spans="2:10" s="9" customFormat="1" x14ac:dyDescent="0.2">
      <c r="B648" s="10"/>
      <c r="C648" s="11"/>
      <c r="D648" s="11"/>
      <c r="E648" s="12"/>
      <c r="F648" s="12"/>
      <c r="G648" s="11"/>
      <c r="H648" s="11"/>
      <c r="I648" s="11"/>
      <c r="J648" s="11"/>
    </row>
    <row r="649" spans="2:10" s="9" customFormat="1" x14ac:dyDescent="0.2">
      <c r="B649" s="10"/>
      <c r="C649" s="11"/>
      <c r="D649" s="11"/>
      <c r="E649" s="12"/>
      <c r="F649" s="12"/>
      <c r="G649" s="11"/>
      <c r="H649" s="11"/>
      <c r="I649" s="11"/>
      <c r="J649" s="11"/>
    </row>
    <row r="650" spans="2:10" s="9" customFormat="1" x14ac:dyDescent="0.2">
      <c r="B650" s="10"/>
      <c r="C650" s="11"/>
      <c r="D650" s="11"/>
      <c r="E650" s="12"/>
      <c r="F650" s="12"/>
      <c r="G650" s="11"/>
      <c r="H650" s="11"/>
      <c r="I650" s="11"/>
      <c r="J650" s="11"/>
    </row>
    <row r="651" spans="2:10" s="9" customFormat="1" x14ac:dyDescent="0.2">
      <c r="B651" s="10"/>
      <c r="C651" s="11"/>
      <c r="D651" s="11"/>
      <c r="E651" s="12"/>
      <c r="F651" s="12"/>
      <c r="G651" s="11"/>
      <c r="H651" s="11"/>
      <c r="I651" s="11"/>
      <c r="J651" s="11"/>
    </row>
    <row r="652" spans="2:10" s="9" customFormat="1" x14ac:dyDescent="0.2">
      <c r="B652" s="10"/>
      <c r="C652" s="11"/>
      <c r="D652" s="11"/>
      <c r="E652" s="12"/>
      <c r="F652" s="12"/>
      <c r="G652" s="11"/>
      <c r="H652" s="11"/>
      <c r="I652" s="11"/>
      <c r="J652" s="11"/>
    </row>
    <row r="653" spans="2:10" s="9" customFormat="1" x14ac:dyDescent="0.2">
      <c r="B653" s="10"/>
      <c r="C653" s="11"/>
      <c r="D653" s="11"/>
      <c r="E653" s="12"/>
      <c r="F653" s="12"/>
      <c r="G653" s="11"/>
      <c r="H653" s="11"/>
      <c r="I653" s="11"/>
      <c r="J653" s="11"/>
    </row>
    <row r="654" spans="2:10" s="9" customFormat="1" x14ac:dyDescent="0.2">
      <c r="B654" s="10"/>
      <c r="C654" s="11"/>
      <c r="D654" s="11"/>
      <c r="E654" s="12"/>
      <c r="F654" s="12"/>
      <c r="G654" s="11"/>
      <c r="H654" s="11"/>
      <c r="I654" s="11"/>
      <c r="J654" s="11"/>
    </row>
    <row r="655" spans="2:10" s="9" customFormat="1" x14ac:dyDescent="0.2">
      <c r="B655" s="10"/>
      <c r="C655" s="11"/>
      <c r="D655" s="11"/>
      <c r="E655" s="12"/>
      <c r="F655" s="12"/>
      <c r="G655" s="11"/>
      <c r="H655" s="11"/>
      <c r="I655" s="11"/>
      <c r="J655" s="11"/>
    </row>
    <row r="656" spans="2:10" s="9" customFormat="1" x14ac:dyDescent="0.2">
      <c r="B656" s="10"/>
      <c r="C656" s="11"/>
      <c r="D656" s="11"/>
      <c r="E656" s="12"/>
      <c r="F656" s="12"/>
      <c r="G656" s="11"/>
      <c r="H656" s="11"/>
      <c r="I656" s="11"/>
      <c r="J656" s="11"/>
    </row>
    <row r="657" spans="2:10" s="9" customFormat="1" x14ac:dyDescent="0.2">
      <c r="B657" s="10"/>
      <c r="C657" s="11"/>
      <c r="D657" s="11"/>
      <c r="E657" s="12"/>
      <c r="F657" s="12"/>
      <c r="G657" s="11"/>
      <c r="H657" s="11"/>
      <c r="I657" s="11"/>
      <c r="J657" s="11"/>
    </row>
    <row r="658" spans="2:10" s="9" customFormat="1" x14ac:dyDescent="0.2">
      <c r="B658" s="10"/>
      <c r="C658" s="11"/>
      <c r="D658" s="11"/>
      <c r="E658" s="12"/>
      <c r="F658" s="12"/>
      <c r="G658" s="11"/>
      <c r="H658" s="11"/>
      <c r="I658" s="11"/>
      <c r="J658" s="11"/>
    </row>
    <row r="659" spans="2:10" s="9" customFormat="1" x14ac:dyDescent="0.2">
      <c r="B659" s="10"/>
      <c r="C659" s="11"/>
      <c r="D659" s="11"/>
      <c r="E659" s="12"/>
      <c r="F659" s="12"/>
      <c r="G659" s="11"/>
      <c r="H659" s="11"/>
      <c r="I659" s="11"/>
      <c r="J659" s="11"/>
    </row>
    <row r="660" spans="2:10" s="9" customFormat="1" x14ac:dyDescent="0.2">
      <c r="B660" s="10"/>
      <c r="C660" s="11"/>
      <c r="D660" s="11"/>
      <c r="E660" s="12"/>
      <c r="F660" s="12"/>
      <c r="G660" s="11"/>
      <c r="H660" s="11"/>
      <c r="I660" s="11"/>
      <c r="J660" s="11"/>
    </row>
    <row r="661" spans="2:10" s="9" customFormat="1" x14ac:dyDescent="0.2">
      <c r="B661" s="10"/>
      <c r="C661" s="11"/>
      <c r="D661" s="11"/>
      <c r="E661" s="12"/>
      <c r="F661" s="12"/>
      <c r="G661" s="11"/>
      <c r="H661" s="11"/>
      <c r="I661" s="11"/>
      <c r="J661" s="11"/>
    </row>
    <row r="662" spans="2:10" s="9" customFormat="1" x14ac:dyDescent="0.2">
      <c r="B662" s="10"/>
      <c r="C662" s="11"/>
      <c r="D662" s="11"/>
      <c r="E662" s="12"/>
      <c r="F662" s="12"/>
      <c r="G662" s="11"/>
      <c r="H662" s="11"/>
      <c r="I662" s="11"/>
      <c r="J662" s="11"/>
    </row>
    <row r="663" spans="2:10" s="9" customFormat="1" x14ac:dyDescent="0.2">
      <c r="B663" s="10"/>
      <c r="C663" s="11"/>
      <c r="D663" s="11"/>
      <c r="E663" s="12"/>
      <c r="F663" s="12"/>
      <c r="G663" s="11"/>
      <c r="H663" s="11"/>
      <c r="I663" s="11"/>
      <c r="J663" s="11"/>
    </row>
    <row r="664" spans="2:10" s="9" customFormat="1" x14ac:dyDescent="0.2">
      <c r="B664" s="10"/>
      <c r="C664" s="11"/>
      <c r="D664" s="11"/>
      <c r="E664" s="12"/>
      <c r="F664" s="12"/>
      <c r="G664" s="11"/>
      <c r="H664" s="11"/>
      <c r="I664" s="11"/>
      <c r="J664" s="11"/>
    </row>
    <row r="665" spans="2:10" s="9" customFormat="1" x14ac:dyDescent="0.2">
      <c r="B665" s="10"/>
      <c r="C665" s="11"/>
      <c r="D665" s="11"/>
      <c r="E665" s="12"/>
      <c r="F665" s="12"/>
      <c r="G665" s="11"/>
      <c r="H665" s="11"/>
      <c r="I665" s="11"/>
      <c r="J665" s="11"/>
    </row>
    <row r="666" spans="2:10" s="9" customFormat="1" x14ac:dyDescent="0.2">
      <c r="B666" s="10"/>
      <c r="C666" s="11"/>
      <c r="D666" s="11"/>
      <c r="E666" s="12"/>
      <c r="F666" s="12"/>
      <c r="G666" s="11"/>
      <c r="H666" s="11"/>
      <c r="I666" s="11"/>
      <c r="J666" s="11"/>
    </row>
    <row r="667" spans="2:10" s="9" customFormat="1" x14ac:dyDescent="0.2">
      <c r="B667" s="10"/>
      <c r="C667" s="11"/>
      <c r="D667" s="11"/>
      <c r="E667" s="12"/>
      <c r="F667" s="12"/>
      <c r="G667" s="11"/>
      <c r="H667" s="11"/>
      <c r="I667" s="11"/>
      <c r="J667" s="11"/>
    </row>
    <row r="668" spans="2:10" s="9" customFormat="1" x14ac:dyDescent="0.2">
      <c r="B668" s="10"/>
      <c r="C668" s="11"/>
      <c r="D668" s="11"/>
      <c r="E668" s="12"/>
      <c r="F668" s="12"/>
      <c r="G668" s="11"/>
      <c r="H668" s="11"/>
      <c r="I668" s="11"/>
      <c r="J668" s="11"/>
    </row>
    <row r="669" spans="2:10" s="9" customFormat="1" x14ac:dyDescent="0.2">
      <c r="B669" s="10"/>
      <c r="C669" s="11"/>
      <c r="D669" s="11"/>
      <c r="E669" s="12"/>
      <c r="F669" s="12"/>
      <c r="G669" s="11"/>
      <c r="H669" s="11"/>
      <c r="I669" s="11"/>
      <c r="J669" s="11"/>
    </row>
    <row r="670" spans="2:10" s="9" customFormat="1" x14ac:dyDescent="0.2">
      <c r="B670" s="10"/>
      <c r="C670" s="11"/>
      <c r="D670" s="11"/>
      <c r="E670" s="12"/>
      <c r="F670" s="12"/>
      <c r="G670" s="11"/>
      <c r="H670" s="11"/>
      <c r="I670" s="11"/>
      <c r="J670" s="11"/>
    </row>
    <row r="671" spans="2:10" s="9" customFormat="1" x14ac:dyDescent="0.2">
      <c r="B671" s="10"/>
      <c r="C671" s="11"/>
      <c r="D671" s="11"/>
      <c r="E671" s="12"/>
      <c r="F671" s="12"/>
      <c r="G671" s="11"/>
      <c r="H671" s="11"/>
      <c r="I671" s="11"/>
      <c r="J671" s="11"/>
    </row>
    <row r="672" spans="2:10" s="9" customFormat="1" x14ac:dyDescent="0.2">
      <c r="B672" s="10"/>
      <c r="C672" s="11"/>
      <c r="D672" s="11"/>
      <c r="E672" s="12"/>
      <c r="F672" s="12"/>
      <c r="G672" s="11"/>
      <c r="H672" s="11"/>
      <c r="I672" s="11"/>
      <c r="J672" s="11"/>
    </row>
    <row r="673" spans="2:10" s="9" customFormat="1" x14ac:dyDescent="0.2">
      <c r="B673" s="10"/>
      <c r="C673" s="11"/>
      <c r="D673" s="11"/>
      <c r="E673" s="12"/>
      <c r="F673" s="12"/>
      <c r="G673" s="11"/>
      <c r="H673" s="11"/>
      <c r="I673" s="11"/>
      <c r="J673" s="11"/>
    </row>
    <row r="674" spans="2:10" s="9" customFormat="1" x14ac:dyDescent="0.2">
      <c r="B674" s="10"/>
      <c r="C674" s="11"/>
      <c r="D674" s="11"/>
      <c r="E674" s="12"/>
      <c r="F674" s="12"/>
      <c r="G674" s="11"/>
      <c r="H674" s="11"/>
      <c r="I674" s="11"/>
      <c r="J674" s="11"/>
    </row>
    <row r="675" spans="2:10" s="9" customFormat="1" x14ac:dyDescent="0.2">
      <c r="B675" s="10"/>
      <c r="C675" s="11"/>
      <c r="D675" s="11"/>
      <c r="E675" s="12"/>
      <c r="F675" s="12"/>
      <c r="G675" s="11"/>
      <c r="H675" s="11"/>
      <c r="I675" s="11"/>
      <c r="J675" s="11"/>
    </row>
    <row r="676" spans="2:10" s="9" customFormat="1" x14ac:dyDescent="0.2">
      <c r="B676" s="10"/>
      <c r="C676" s="11"/>
      <c r="D676" s="11"/>
      <c r="E676" s="12"/>
      <c r="F676" s="12"/>
      <c r="G676" s="11"/>
      <c r="H676" s="11"/>
      <c r="I676" s="11"/>
      <c r="J676" s="11"/>
    </row>
    <row r="677" spans="2:10" s="9" customFormat="1" x14ac:dyDescent="0.2">
      <c r="B677" s="10"/>
      <c r="C677" s="11"/>
      <c r="D677" s="11"/>
      <c r="E677" s="12"/>
      <c r="F677" s="12"/>
      <c r="G677" s="11"/>
      <c r="H677" s="11"/>
      <c r="I677" s="11"/>
      <c r="J677" s="11"/>
    </row>
    <row r="678" spans="2:10" s="9" customFormat="1" x14ac:dyDescent="0.2">
      <c r="B678" s="10"/>
      <c r="C678" s="11"/>
      <c r="D678" s="11"/>
      <c r="E678" s="12"/>
      <c r="F678" s="12"/>
      <c r="G678" s="11"/>
      <c r="H678" s="11"/>
      <c r="I678" s="11"/>
      <c r="J678" s="11"/>
    </row>
    <row r="679" spans="2:10" s="9" customFormat="1" x14ac:dyDescent="0.2">
      <c r="B679" s="10"/>
      <c r="C679" s="11"/>
      <c r="D679" s="11"/>
      <c r="E679" s="12"/>
      <c r="F679" s="12"/>
      <c r="G679" s="11"/>
      <c r="H679" s="11"/>
      <c r="I679" s="11"/>
      <c r="J679" s="11"/>
    </row>
    <row r="680" spans="2:10" s="9" customFormat="1" x14ac:dyDescent="0.2">
      <c r="B680" s="10"/>
      <c r="C680" s="11"/>
      <c r="D680" s="11"/>
      <c r="E680" s="12"/>
      <c r="F680" s="12"/>
      <c r="G680" s="11"/>
      <c r="H680" s="11"/>
      <c r="I680" s="11"/>
      <c r="J680" s="11"/>
    </row>
    <row r="681" spans="2:10" s="9" customFormat="1" x14ac:dyDescent="0.2">
      <c r="B681" s="10"/>
      <c r="C681" s="11"/>
      <c r="D681" s="11"/>
      <c r="E681" s="12"/>
      <c r="F681" s="12"/>
      <c r="G681" s="11"/>
      <c r="H681" s="11"/>
      <c r="I681" s="11"/>
      <c r="J681" s="11"/>
    </row>
    <row r="682" spans="2:10" s="9" customFormat="1" x14ac:dyDescent="0.2">
      <c r="B682" s="10"/>
      <c r="C682" s="11"/>
      <c r="D682" s="11"/>
      <c r="E682" s="12"/>
      <c r="F682" s="12"/>
      <c r="G682" s="11"/>
      <c r="H682" s="11"/>
      <c r="I682" s="11"/>
      <c r="J682" s="11"/>
    </row>
    <row r="683" spans="2:10" s="9" customFormat="1" x14ac:dyDescent="0.2">
      <c r="B683" s="10"/>
      <c r="C683" s="11"/>
      <c r="D683" s="11"/>
      <c r="E683" s="12"/>
      <c r="F683" s="12"/>
      <c r="G683" s="11"/>
      <c r="H683" s="11"/>
      <c r="I683" s="11"/>
      <c r="J683" s="11"/>
    </row>
    <row r="684" spans="2:10" s="9" customFormat="1" x14ac:dyDescent="0.2">
      <c r="B684" s="10"/>
      <c r="C684" s="11"/>
      <c r="D684" s="11"/>
      <c r="E684" s="12"/>
      <c r="F684" s="12"/>
      <c r="G684" s="11"/>
      <c r="H684" s="11"/>
      <c r="I684" s="11"/>
      <c r="J684" s="11"/>
    </row>
    <row r="685" spans="2:10" s="9" customFormat="1" x14ac:dyDescent="0.2">
      <c r="B685" s="10"/>
      <c r="C685" s="11"/>
      <c r="D685" s="11"/>
      <c r="E685" s="12"/>
      <c r="F685" s="12"/>
      <c r="G685" s="11"/>
      <c r="H685" s="11"/>
      <c r="I685" s="11"/>
      <c r="J685" s="11"/>
    </row>
    <row r="686" spans="2:10" s="9" customFormat="1" x14ac:dyDescent="0.2">
      <c r="B686" s="10"/>
      <c r="C686" s="11"/>
      <c r="D686" s="11"/>
      <c r="E686" s="12"/>
      <c r="F686" s="12"/>
      <c r="G686" s="11"/>
      <c r="H686" s="11"/>
      <c r="I686" s="11"/>
      <c r="J686" s="11"/>
    </row>
    <row r="687" spans="2:10" s="9" customFormat="1" x14ac:dyDescent="0.2">
      <c r="B687" s="10"/>
      <c r="C687" s="11"/>
      <c r="D687" s="11"/>
      <c r="E687" s="12"/>
      <c r="F687" s="12"/>
      <c r="G687" s="11"/>
      <c r="H687" s="11"/>
      <c r="I687" s="11"/>
      <c r="J687" s="11"/>
    </row>
    <row r="688" spans="2:10" s="9" customFormat="1" x14ac:dyDescent="0.2">
      <c r="B688" s="10"/>
      <c r="C688" s="11"/>
      <c r="D688" s="11"/>
      <c r="E688" s="12"/>
      <c r="F688" s="12"/>
      <c r="G688" s="11"/>
      <c r="H688" s="11"/>
      <c r="I688" s="11"/>
      <c r="J688" s="11"/>
    </row>
    <row r="689" spans="2:10" s="9" customFormat="1" x14ac:dyDescent="0.2">
      <c r="B689" s="10"/>
      <c r="C689" s="11"/>
      <c r="D689" s="11"/>
      <c r="E689" s="12"/>
      <c r="F689" s="12"/>
      <c r="G689" s="11"/>
      <c r="H689" s="11"/>
      <c r="I689" s="11"/>
      <c r="J689" s="11"/>
    </row>
    <row r="690" spans="2:10" s="9" customFormat="1" x14ac:dyDescent="0.2">
      <c r="B690" s="10"/>
      <c r="C690" s="11"/>
      <c r="D690" s="11"/>
      <c r="E690" s="12"/>
      <c r="F690" s="12"/>
      <c r="G690" s="11"/>
      <c r="H690" s="11"/>
      <c r="I690" s="11"/>
      <c r="J690" s="11"/>
    </row>
    <row r="691" spans="2:10" s="9" customFormat="1" x14ac:dyDescent="0.2">
      <c r="B691" s="10"/>
      <c r="C691" s="11"/>
      <c r="D691" s="11"/>
      <c r="E691" s="12"/>
      <c r="F691" s="12"/>
      <c r="G691" s="11"/>
      <c r="H691" s="11"/>
      <c r="I691" s="11"/>
      <c r="J691" s="11"/>
    </row>
    <row r="692" spans="2:10" s="9" customFormat="1" x14ac:dyDescent="0.2">
      <c r="B692" s="10"/>
      <c r="C692" s="11"/>
      <c r="D692" s="11"/>
      <c r="E692" s="12"/>
      <c r="F692" s="12"/>
      <c r="G692" s="11"/>
      <c r="H692" s="11"/>
      <c r="I692" s="11"/>
      <c r="J692" s="11"/>
    </row>
    <row r="693" spans="2:10" s="9" customFormat="1" x14ac:dyDescent="0.2">
      <c r="B693" s="10"/>
      <c r="C693" s="11"/>
      <c r="D693" s="11"/>
      <c r="E693" s="12"/>
      <c r="F693" s="12"/>
      <c r="G693" s="11"/>
      <c r="H693" s="11"/>
      <c r="I693" s="11"/>
      <c r="J693" s="11"/>
    </row>
    <row r="694" spans="2:10" s="9" customFormat="1" x14ac:dyDescent="0.2">
      <c r="B694" s="10"/>
      <c r="C694" s="11"/>
      <c r="D694" s="11"/>
      <c r="E694" s="12"/>
      <c r="F694" s="12"/>
      <c r="G694" s="11"/>
      <c r="H694" s="11"/>
      <c r="I694" s="11"/>
      <c r="J694" s="11"/>
    </row>
    <row r="695" spans="2:10" s="9" customFormat="1" x14ac:dyDescent="0.2">
      <c r="B695" s="10"/>
      <c r="C695" s="11"/>
      <c r="D695" s="11"/>
      <c r="E695" s="12"/>
      <c r="F695" s="12"/>
      <c r="G695" s="11"/>
      <c r="H695" s="11"/>
      <c r="I695" s="11"/>
      <c r="J695" s="11"/>
    </row>
    <row r="696" spans="2:10" s="9" customFormat="1" x14ac:dyDescent="0.2">
      <c r="B696" s="10"/>
      <c r="C696" s="11"/>
      <c r="D696" s="11"/>
      <c r="E696" s="12"/>
      <c r="F696" s="12"/>
      <c r="G696" s="11"/>
      <c r="H696" s="11"/>
      <c r="I696" s="11"/>
      <c r="J696" s="11"/>
    </row>
    <row r="697" spans="2:10" s="9" customFormat="1" x14ac:dyDescent="0.2">
      <c r="B697" s="10"/>
      <c r="C697" s="11"/>
      <c r="D697" s="11"/>
      <c r="E697" s="12"/>
      <c r="F697" s="12"/>
      <c r="G697" s="11"/>
      <c r="H697" s="11"/>
      <c r="I697" s="11"/>
      <c r="J697" s="11"/>
    </row>
    <row r="698" spans="2:10" s="9" customFormat="1" x14ac:dyDescent="0.2">
      <c r="B698" s="10"/>
      <c r="C698" s="11"/>
      <c r="D698" s="11"/>
      <c r="E698" s="12"/>
      <c r="F698" s="12"/>
      <c r="G698" s="11"/>
      <c r="H698" s="11"/>
      <c r="I698" s="11"/>
      <c r="J698" s="11"/>
    </row>
    <row r="699" spans="2:10" s="9" customFormat="1" x14ac:dyDescent="0.2">
      <c r="B699" s="10"/>
      <c r="C699" s="11"/>
      <c r="D699" s="11"/>
      <c r="E699" s="12"/>
      <c r="F699" s="12"/>
      <c r="G699" s="11"/>
      <c r="H699" s="11"/>
      <c r="I699" s="11"/>
      <c r="J699" s="11"/>
    </row>
    <row r="700" spans="2:10" s="9" customFormat="1" x14ac:dyDescent="0.2">
      <c r="B700" s="10"/>
      <c r="C700" s="11"/>
      <c r="D700" s="11"/>
      <c r="E700" s="12"/>
      <c r="F700" s="12"/>
      <c r="G700" s="11"/>
      <c r="H700" s="11"/>
      <c r="I700" s="11"/>
      <c r="J700" s="11"/>
    </row>
    <row r="701" spans="2:10" s="9" customFormat="1" x14ac:dyDescent="0.2">
      <c r="B701" s="10"/>
      <c r="C701" s="11"/>
      <c r="D701" s="11"/>
      <c r="E701" s="12"/>
      <c r="F701" s="12"/>
      <c r="G701" s="11"/>
      <c r="H701" s="11"/>
      <c r="I701" s="11"/>
      <c r="J701" s="11"/>
    </row>
    <row r="702" spans="2:10" s="9" customFormat="1" x14ac:dyDescent="0.2">
      <c r="B702" s="10"/>
      <c r="C702" s="11"/>
      <c r="D702" s="11"/>
      <c r="E702" s="12"/>
      <c r="F702" s="12"/>
      <c r="G702" s="11"/>
      <c r="H702" s="11"/>
      <c r="I702" s="11"/>
      <c r="J702" s="11"/>
    </row>
    <row r="703" spans="2:10" s="9" customFormat="1" x14ac:dyDescent="0.2">
      <c r="B703" s="10"/>
      <c r="C703" s="11"/>
      <c r="D703" s="11"/>
      <c r="E703" s="12"/>
      <c r="F703" s="12"/>
      <c r="G703" s="11"/>
      <c r="H703" s="11"/>
      <c r="I703" s="11"/>
      <c r="J703" s="11"/>
    </row>
    <row r="704" spans="2:10" s="9" customFormat="1" x14ac:dyDescent="0.2">
      <c r="B704" s="10"/>
      <c r="C704" s="11"/>
      <c r="D704" s="11"/>
      <c r="E704" s="12"/>
      <c r="F704" s="12"/>
      <c r="G704" s="11"/>
      <c r="H704" s="11"/>
      <c r="I704" s="11"/>
      <c r="J704" s="11"/>
    </row>
    <row r="705" spans="2:10" s="9" customFormat="1" x14ac:dyDescent="0.2">
      <c r="B705" s="10"/>
      <c r="C705" s="11"/>
      <c r="D705" s="11"/>
      <c r="E705" s="12"/>
      <c r="F705" s="12"/>
      <c r="G705" s="11"/>
      <c r="H705" s="11"/>
      <c r="I705" s="11"/>
      <c r="J705" s="11"/>
    </row>
    <row r="706" spans="2:10" s="9" customFormat="1" x14ac:dyDescent="0.2">
      <c r="B706" s="10"/>
      <c r="C706" s="11"/>
      <c r="D706" s="11"/>
      <c r="E706" s="12"/>
      <c r="F706" s="12"/>
      <c r="G706" s="11"/>
      <c r="H706" s="11"/>
      <c r="I706" s="11"/>
      <c r="J706" s="11"/>
    </row>
    <row r="707" spans="2:10" s="9" customFormat="1" x14ac:dyDescent="0.2">
      <c r="B707" s="10"/>
      <c r="C707" s="11"/>
      <c r="D707" s="11"/>
      <c r="E707" s="12"/>
      <c r="F707" s="12"/>
      <c r="G707" s="11"/>
      <c r="H707" s="11"/>
      <c r="I707" s="11"/>
      <c r="J707" s="11"/>
    </row>
    <row r="708" spans="2:10" s="9" customFormat="1" x14ac:dyDescent="0.2">
      <c r="B708" s="10"/>
      <c r="C708" s="11"/>
      <c r="D708" s="11"/>
      <c r="E708" s="12"/>
      <c r="F708" s="12"/>
      <c r="G708" s="11"/>
      <c r="H708" s="11"/>
      <c r="I708" s="11"/>
      <c r="J708" s="11"/>
    </row>
    <row r="709" spans="2:10" s="9" customFormat="1" x14ac:dyDescent="0.2">
      <c r="B709" s="10"/>
      <c r="C709" s="11"/>
      <c r="D709" s="11"/>
      <c r="E709" s="12"/>
      <c r="F709" s="12"/>
      <c r="G709" s="11"/>
      <c r="H709" s="11"/>
      <c r="I709" s="11"/>
      <c r="J709" s="11"/>
    </row>
    <row r="710" spans="2:10" s="9" customFormat="1" x14ac:dyDescent="0.2">
      <c r="B710" s="10"/>
      <c r="C710" s="11"/>
      <c r="D710" s="11"/>
      <c r="E710" s="12"/>
      <c r="F710" s="12"/>
      <c r="G710" s="11"/>
      <c r="H710" s="11"/>
      <c r="I710" s="11"/>
      <c r="J710" s="11"/>
    </row>
    <row r="711" spans="2:10" s="9" customFormat="1" x14ac:dyDescent="0.2">
      <c r="B711" s="10"/>
      <c r="C711" s="11"/>
      <c r="D711" s="11"/>
      <c r="E711" s="12"/>
      <c r="F711" s="12"/>
      <c r="G711" s="11"/>
      <c r="H711" s="11"/>
      <c r="I711" s="11"/>
      <c r="J711" s="11"/>
    </row>
    <row r="712" spans="2:10" s="9" customFormat="1" x14ac:dyDescent="0.2">
      <c r="B712" s="10"/>
      <c r="C712" s="11"/>
      <c r="D712" s="11"/>
      <c r="E712" s="12"/>
      <c r="F712" s="12"/>
      <c r="G712" s="11"/>
      <c r="H712" s="11"/>
      <c r="I712" s="11"/>
      <c r="J712" s="11"/>
    </row>
    <row r="713" spans="2:10" s="9" customFormat="1" x14ac:dyDescent="0.2">
      <c r="B713" s="10"/>
      <c r="C713" s="11"/>
      <c r="D713" s="11"/>
      <c r="E713" s="12"/>
      <c r="F713" s="12"/>
      <c r="G713" s="11"/>
      <c r="H713" s="11"/>
      <c r="I713" s="11"/>
      <c r="J713" s="11"/>
    </row>
    <row r="714" spans="2:10" s="9" customFormat="1" x14ac:dyDescent="0.2">
      <c r="B714" s="10"/>
      <c r="C714" s="11"/>
      <c r="D714" s="11"/>
      <c r="E714" s="12"/>
      <c r="F714" s="12"/>
      <c r="G714" s="11"/>
      <c r="H714" s="11"/>
      <c r="I714" s="11"/>
      <c r="J714" s="11"/>
    </row>
    <row r="715" spans="2:10" s="9" customFormat="1" x14ac:dyDescent="0.2">
      <c r="B715" s="10"/>
      <c r="C715" s="11"/>
      <c r="D715" s="11"/>
      <c r="E715" s="12"/>
      <c r="F715" s="12"/>
      <c r="G715" s="11"/>
      <c r="H715" s="11"/>
      <c r="I715" s="11"/>
      <c r="J715" s="11"/>
    </row>
    <row r="716" spans="2:10" s="9" customFormat="1" x14ac:dyDescent="0.2">
      <c r="B716" s="10"/>
      <c r="C716" s="11"/>
      <c r="D716" s="11"/>
      <c r="E716" s="12"/>
      <c r="F716" s="12"/>
      <c r="G716" s="11"/>
      <c r="H716" s="11"/>
      <c r="I716" s="11"/>
      <c r="J716" s="11"/>
    </row>
    <row r="717" spans="2:10" s="9" customFormat="1" x14ac:dyDescent="0.2">
      <c r="B717" s="10"/>
      <c r="C717" s="11"/>
      <c r="D717" s="11"/>
      <c r="E717" s="12"/>
      <c r="F717" s="12"/>
      <c r="G717" s="11"/>
      <c r="H717" s="11"/>
      <c r="I717" s="11"/>
      <c r="J717" s="11"/>
    </row>
    <row r="718" spans="2:10" s="9" customFormat="1" x14ac:dyDescent="0.2">
      <c r="B718" s="10"/>
      <c r="C718" s="11"/>
      <c r="D718" s="11"/>
      <c r="E718" s="12"/>
      <c r="F718" s="12"/>
      <c r="G718" s="11"/>
      <c r="H718" s="11"/>
      <c r="I718" s="11"/>
      <c r="J718" s="11"/>
    </row>
    <row r="719" spans="2:10" s="9" customFormat="1" x14ac:dyDescent="0.2">
      <c r="B719" s="10"/>
      <c r="C719" s="11"/>
      <c r="D719" s="11"/>
      <c r="E719" s="12"/>
      <c r="F719" s="12"/>
      <c r="G719" s="11"/>
      <c r="H719" s="11"/>
      <c r="I719" s="11"/>
      <c r="J719" s="11"/>
    </row>
    <row r="720" spans="2:10" s="9" customFormat="1" x14ac:dyDescent="0.2">
      <c r="B720" s="10"/>
      <c r="C720" s="11"/>
      <c r="D720" s="11"/>
      <c r="E720" s="12"/>
      <c r="F720" s="12"/>
      <c r="G720" s="11"/>
      <c r="H720" s="11"/>
      <c r="I720" s="11"/>
      <c r="J720" s="11"/>
    </row>
    <row r="721" spans="2:10" s="9" customFormat="1" x14ac:dyDescent="0.2">
      <c r="B721" s="10"/>
      <c r="C721" s="11"/>
      <c r="D721" s="11"/>
      <c r="E721" s="12"/>
      <c r="F721" s="12"/>
      <c r="G721" s="11"/>
      <c r="H721" s="11"/>
      <c r="I721" s="11"/>
      <c r="J721" s="11"/>
    </row>
    <row r="722" spans="2:10" s="9" customFormat="1" x14ac:dyDescent="0.2">
      <c r="B722" s="10"/>
      <c r="C722" s="11"/>
      <c r="D722" s="11"/>
      <c r="E722" s="12"/>
      <c r="F722" s="12"/>
      <c r="G722" s="11"/>
      <c r="H722" s="11"/>
      <c r="I722" s="11"/>
      <c r="J722" s="11"/>
    </row>
    <row r="723" spans="2:10" s="9" customFormat="1" x14ac:dyDescent="0.2">
      <c r="B723" s="10"/>
      <c r="C723" s="11"/>
      <c r="D723" s="11"/>
      <c r="E723" s="12"/>
      <c r="F723" s="12"/>
      <c r="G723" s="11"/>
      <c r="H723" s="11"/>
      <c r="I723" s="11"/>
      <c r="J723" s="11"/>
    </row>
    <row r="724" spans="2:10" s="9" customFormat="1" x14ac:dyDescent="0.2">
      <c r="B724" s="10"/>
      <c r="C724" s="11"/>
      <c r="D724" s="11"/>
      <c r="E724" s="12"/>
      <c r="F724" s="12"/>
      <c r="G724" s="11"/>
      <c r="H724" s="11"/>
      <c r="I724" s="11"/>
      <c r="J724" s="11"/>
    </row>
    <row r="725" spans="2:10" s="9" customFormat="1" x14ac:dyDescent="0.2">
      <c r="B725" s="10"/>
      <c r="C725" s="11"/>
      <c r="D725" s="11"/>
      <c r="E725" s="12"/>
      <c r="F725" s="12"/>
      <c r="G725" s="11"/>
      <c r="H725" s="11"/>
      <c r="I725" s="11"/>
      <c r="J725" s="11"/>
    </row>
    <row r="726" spans="2:10" s="9" customFormat="1" x14ac:dyDescent="0.2">
      <c r="B726" s="10"/>
      <c r="C726" s="11"/>
      <c r="D726" s="11"/>
      <c r="E726" s="12"/>
      <c r="F726" s="12"/>
      <c r="G726" s="11"/>
      <c r="H726" s="11"/>
      <c r="I726" s="11"/>
      <c r="J726" s="11"/>
    </row>
    <row r="727" spans="2:10" s="9" customFormat="1" x14ac:dyDescent="0.2">
      <c r="B727" s="10"/>
      <c r="C727" s="11"/>
      <c r="D727" s="11"/>
      <c r="E727" s="12"/>
      <c r="F727" s="12"/>
      <c r="G727" s="11"/>
      <c r="H727" s="11"/>
      <c r="I727" s="11"/>
      <c r="J727" s="11"/>
    </row>
    <row r="728" spans="2:10" s="9" customFormat="1" x14ac:dyDescent="0.2">
      <c r="B728" s="10"/>
      <c r="C728" s="11"/>
      <c r="D728" s="11"/>
      <c r="E728" s="12"/>
      <c r="F728" s="12"/>
      <c r="G728" s="11"/>
      <c r="H728" s="11"/>
      <c r="I728" s="11"/>
      <c r="J728" s="11"/>
    </row>
    <row r="729" spans="2:10" s="9" customFormat="1" x14ac:dyDescent="0.2">
      <c r="B729" s="10"/>
      <c r="C729" s="11"/>
      <c r="D729" s="11"/>
      <c r="E729" s="12"/>
      <c r="F729" s="12"/>
      <c r="G729" s="11"/>
      <c r="H729" s="11"/>
      <c r="I729" s="11"/>
      <c r="J729" s="11"/>
    </row>
    <row r="730" spans="2:10" s="9" customFormat="1" x14ac:dyDescent="0.2">
      <c r="B730" s="10"/>
      <c r="C730" s="11"/>
      <c r="D730" s="11"/>
      <c r="E730" s="12"/>
      <c r="F730" s="12"/>
      <c r="G730" s="11"/>
      <c r="H730" s="11"/>
      <c r="I730" s="11"/>
      <c r="J730" s="11"/>
    </row>
    <row r="731" spans="2:10" s="9" customFormat="1" x14ac:dyDescent="0.2">
      <c r="B731" s="10"/>
      <c r="C731" s="11"/>
      <c r="D731" s="11"/>
      <c r="E731" s="12"/>
      <c r="F731" s="12"/>
      <c r="G731" s="11"/>
      <c r="H731" s="11"/>
      <c r="I731" s="11"/>
      <c r="J731" s="11"/>
    </row>
    <row r="732" spans="2:10" s="9" customFormat="1" x14ac:dyDescent="0.2">
      <c r="B732" s="10"/>
      <c r="C732" s="11"/>
      <c r="D732" s="11"/>
      <c r="E732" s="12"/>
      <c r="F732" s="12"/>
      <c r="G732" s="11"/>
      <c r="H732" s="11"/>
      <c r="I732" s="11"/>
      <c r="J732" s="11"/>
    </row>
    <row r="733" spans="2:10" s="9" customFormat="1" x14ac:dyDescent="0.2">
      <c r="B733" s="10"/>
      <c r="C733" s="11"/>
      <c r="D733" s="11"/>
      <c r="E733" s="12"/>
      <c r="F733" s="12"/>
      <c r="G733" s="11"/>
      <c r="H733" s="11"/>
      <c r="I733" s="11"/>
      <c r="J733" s="11"/>
    </row>
    <row r="734" spans="2:10" s="9" customFormat="1" x14ac:dyDescent="0.2">
      <c r="B734" s="10"/>
      <c r="C734" s="11"/>
      <c r="D734" s="11"/>
      <c r="E734" s="12"/>
      <c r="F734" s="12"/>
      <c r="G734" s="11"/>
      <c r="H734" s="11"/>
      <c r="I734" s="11"/>
      <c r="J734" s="11"/>
    </row>
    <row r="735" spans="2:10" s="9" customFormat="1" x14ac:dyDescent="0.2">
      <c r="B735" s="10"/>
      <c r="C735" s="11"/>
      <c r="D735" s="11"/>
      <c r="E735" s="12"/>
      <c r="F735" s="12"/>
      <c r="G735" s="11"/>
      <c r="H735" s="11"/>
      <c r="I735" s="11"/>
      <c r="J735" s="11"/>
    </row>
    <row r="736" spans="2:10" s="9" customFormat="1" x14ac:dyDescent="0.2">
      <c r="B736" s="10"/>
      <c r="C736" s="11"/>
      <c r="D736" s="11"/>
      <c r="E736" s="12"/>
      <c r="F736" s="12"/>
      <c r="G736" s="11"/>
      <c r="H736" s="11"/>
      <c r="I736" s="11"/>
      <c r="J736" s="11"/>
    </row>
    <row r="737" spans="2:10" s="9" customFormat="1" x14ac:dyDescent="0.2">
      <c r="B737" s="10"/>
      <c r="C737" s="11"/>
      <c r="D737" s="11"/>
      <c r="E737" s="12"/>
      <c r="F737" s="12"/>
      <c r="G737" s="11"/>
      <c r="H737" s="11"/>
      <c r="I737" s="11"/>
      <c r="J737" s="11"/>
    </row>
    <row r="738" spans="2:10" s="9" customFormat="1" x14ac:dyDescent="0.2">
      <c r="B738" s="10"/>
      <c r="C738" s="11"/>
      <c r="D738" s="11"/>
      <c r="E738" s="12"/>
      <c r="F738" s="12"/>
      <c r="G738" s="11"/>
      <c r="H738" s="11"/>
      <c r="I738" s="11"/>
      <c r="J738" s="11"/>
    </row>
    <row r="739" spans="2:10" s="9" customFormat="1" x14ac:dyDescent="0.2">
      <c r="B739" s="10"/>
      <c r="C739" s="11"/>
      <c r="D739" s="11"/>
      <c r="E739" s="12"/>
      <c r="F739" s="12"/>
      <c r="G739" s="11"/>
      <c r="H739" s="11"/>
      <c r="I739" s="11"/>
      <c r="J739" s="11"/>
    </row>
    <row r="740" spans="2:10" s="9" customFormat="1" x14ac:dyDescent="0.2">
      <c r="B740" s="10"/>
      <c r="C740" s="11"/>
      <c r="D740" s="11"/>
      <c r="E740" s="12"/>
      <c r="F740" s="12"/>
      <c r="G740" s="11"/>
      <c r="H740" s="11"/>
      <c r="I740" s="11"/>
      <c r="J740" s="11"/>
    </row>
    <row r="741" spans="2:10" s="9" customFormat="1" x14ac:dyDescent="0.2">
      <c r="B741" s="10"/>
      <c r="C741" s="11"/>
      <c r="D741" s="11"/>
      <c r="E741" s="12"/>
      <c r="F741" s="12"/>
      <c r="G741" s="11"/>
      <c r="H741" s="11"/>
      <c r="I741" s="11"/>
      <c r="J741" s="11"/>
    </row>
    <row r="742" spans="2:10" s="9" customFormat="1" x14ac:dyDescent="0.2">
      <c r="B742" s="10"/>
      <c r="C742" s="11"/>
      <c r="D742" s="11"/>
      <c r="E742" s="12"/>
      <c r="F742" s="12"/>
      <c r="G742" s="11"/>
      <c r="H742" s="11"/>
      <c r="I742" s="11"/>
      <c r="J742" s="11"/>
    </row>
    <row r="743" spans="2:10" s="9" customFormat="1" x14ac:dyDescent="0.2">
      <c r="B743" s="10"/>
      <c r="C743" s="11"/>
      <c r="D743" s="11"/>
      <c r="E743" s="12"/>
      <c r="F743" s="12"/>
      <c r="G743" s="11"/>
      <c r="H743" s="11"/>
      <c r="I743" s="11"/>
      <c r="J743" s="11"/>
    </row>
    <row r="744" spans="2:10" s="9" customFormat="1" x14ac:dyDescent="0.2">
      <c r="B744" s="10"/>
      <c r="C744" s="11"/>
      <c r="D744" s="11"/>
      <c r="E744" s="12"/>
      <c r="F744" s="12"/>
      <c r="G744" s="11"/>
      <c r="H744" s="11"/>
      <c r="I744" s="11"/>
      <c r="J744" s="11"/>
    </row>
    <row r="745" spans="2:10" s="9" customFormat="1" x14ac:dyDescent="0.2">
      <c r="B745" s="10"/>
      <c r="C745" s="11"/>
      <c r="D745" s="11"/>
      <c r="E745" s="12"/>
      <c r="F745" s="12"/>
      <c r="G745" s="11"/>
      <c r="H745" s="11"/>
      <c r="I745" s="11"/>
      <c r="J745" s="11"/>
    </row>
    <row r="746" spans="2:10" s="9" customFormat="1" x14ac:dyDescent="0.2">
      <c r="B746" s="10"/>
      <c r="C746" s="11"/>
      <c r="D746" s="11"/>
      <c r="E746" s="12"/>
      <c r="F746" s="12"/>
      <c r="G746" s="11"/>
      <c r="H746" s="11"/>
      <c r="I746" s="11"/>
      <c r="J746" s="11"/>
    </row>
    <row r="747" spans="2:10" s="9" customFormat="1" x14ac:dyDescent="0.2">
      <c r="B747" s="10"/>
      <c r="C747" s="11"/>
      <c r="D747" s="11"/>
      <c r="E747" s="12"/>
      <c r="F747" s="12"/>
      <c r="G747" s="11"/>
      <c r="H747" s="11"/>
      <c r="I747" s="11"/>
      <c r="J747" s="11"/>
    </row>
    <row r="748" spans="2:10" s="9" customFormat="1" x14ac:dyDescent="0.2">
      <c r="B748" s="10"/>
      <c r="C748" s="11"/>
      <c r="D748" s="11"/>
      <c r="E748" s="12"/>
      <c r="F748" s="12"/>
      <c r="G748" s="11"/>
      <c r="H748" s="11"/>
      <c r="I748" s="11"/>
      <c r="J748" s="11"/>
    </row>
    <row r="749" spans="2:10" s="9" customFormat="1" x14ac:dyDescent="0.2">
      <c r="B749" s="10"/>
      <c r="C749" s="11"/>
      <c r="D749" s="11"/>
      <c r="E749" s="12"/>
      <c r="F749" s="12"/>
      <c r="G749" s="11"/>
      <c r="H749" s="11"/>
      <c r="I749" s="11"/>
      <c r="J749" s="11"/>
    </row>
    <row r="750" spans="2:10" s="9" customFormat="1" x14ac:dyDescent="0.2">
      <c r="B750" s="10"/>
      <c r="C750" s="11"/>
      <c r="D750" s="11"/>
      <c r="E750" s="12"/>
      <c r="F750" s="12"/>
      <c r="G750" s="11"/>
      <c r="H750" s="11"/>
      <c r="I750" s="11"/>
      <c r="J750" s="11"/>
    </row>
    <row r="751" spans="2:10" s="9" customFormat="1" x14ac:dyDescent="0.2">
      <c r="B751" s="10"/>
      <c r="C751" s="11"/>
      <c r="D751" s="11"/>
      <c r="E751" s="12"/>
      <c r="F751" s="12"/>
      <c r="G751" s="11"/>
      <c r="H751" s="11"/>
      <c r="I751" s="11"/>
      <c r="J751" s="11"/>
    </row>
    <row r="752" spans="2:10" s="9" customFormat="1" x14ac:dyDescent="0.2">
      <c r="B752" s="10"/>
      <c r="C752" s="11"/>
      <c r="D752" s="11"/>
      <c r="E752" s="12"/>
      <c r="F752" s="12"/>
      <c r="G752" s="11"/>
      <c r="H752" s="11"/>
      <c r="I752" s="11"/>
      <c r="J752" s="11"/>
    </row>
    <row r="753" spans="2:10" s="9" customFormat="1" x14ac:dyDescent="0.2">
      <c r="B753" s="10"/>
      <c r="C753" s="11"/>
      <c r="D753" s="11"/>
      <c r="E753" s="12"/>
      <c r="F753" s="12"/>
      <c r="G753" s="11"/>
      <c r="H753" s="11"/>
      <c r="I753" s="11"/>
      <c r="J753" s="11"/>
    </row>
    <row r="754" spans="2:10" s="9" customFormat="1" x14ac:dyDescent="0.2">
      <c r="B754" s="10"/>
      <c r="C754" s="11"/>
      <c r="D754" s="11"/>
      <c r="E754" s="12"/>
      <c r="F754" s="12"/>
      <c r="G754" s="11"/>
      <c r="H754" s="11"/>
      <c r="I754" s="11"/>
      <c r="J754" s="11"/>
    </row>
    <row r="755" spans="2:10" s="9" customFormat="1" x14ac:dyDescent="0.2">
      <c r="B755" s="10"/>
      <c r="C755" s="11"/>
      <c r="D755" s="11"/>
      <c r="E755" s="12"/>
      <c r="F755" s="12"/>
      <c r="G755" s="11"/>
      <c r="H755" s="11"/>
      <c r="I755" s="11"/>
      <c r="J755" s="11"/>
    </row>
    <row r="756" spans="2:10" s="9" customFormat="1" x14ac:dyDescent="0.2">
      <c r="B756" s="10"/>
      <c r="C756" s="11"/>
      <c r="D756" s="11"/>
      <c r="E756" s="12"/>
      <c r="F756" s="12"/>
      <c r="G756" s="11"/>
      <c r="H756" s="11"/>
      <c r="I756" s="11"/>
      <c r="J756" s="11"/>
    </row>
    <row r="757" spans="2:10" s="9" customFormat="1" x14ac:dyDescent="0.2">
      <c r="B757" s="10"/>
      <c r="C757" s="11"/>
      <c r="D757" s="11"/>
      <c r="E757" s="12"/>
      <c r="F757" s="12"/>
      <c r="G757" s="11"/>
      <c r="H757" s="11"/>
      <c r="I757" s="11"/>
      <c r="J757" s="11"/>
    </row>
    <row r="758" spans="2:10" s="9" customFormat="1" x14ac:dyDescent="0.2">
      <c r="B758" s="10"/>
      <c r="C758" s="11"/>
      <c r="D758" s="11"/>
      <c r="E758" s="12"/>
      <c r="F758" s="12"/>
      <c r="G758" s="11"/>
      <c r="H758" s="11"/>
      <c r="I758" s="11"/>
      <c r="J758" s="11"/>
    </row>
    <row r="759" spans="2:10" s="9" customFormat="1" x14ac:dyDescent="0.2">
      <c r="B759" s="10"/>
      <c r="C759" s="11"/>
      <c r="D759" s="11"/>
      <c r="E759" s="12"/>
      <c r="F759" s="12"/>
      <c r="G759" s="11"/>
      <c r="H759" s="11"/>
      <c r="I759" s="11"/>
      <c r="J759" s="11"/>
    </row>
    <row r="760" spans="2:10" s="9" customFormat="1" x14ac:dyDescent="0.2">
      <c r="B760" s="10"/>
      <c r="C760" s="11"/>
      <c r="D760" s="11"/>
      <c r="E760" s="12"/>
      <c r="F760" s="12"/>
      <c r="G760" s="11"/>
      <c r="H760" s="11"/>
      <c r="I760" s="11"/>
      <c r="J760" s="11"/>
    </row>
    <row r="761" spans="2:10" s="9" customFormat="1" x14ac:dyDescent="0.2">
      <c r="B761" s="10"/>
      <c r="C761" s="11"/>
      <c r="D761" s="11"/>
      <c r="E761" s="12"/>
      <c r="F761" s="12"/>
      <c r="G761" s="11"/>
      <c r="H761" s="11"/>
      <c r="I761" s="11"/>
      <c r="J761" s="11"/>
    </row>
    <row r="762" spans="2:10" s="9" customFormat="1" x14ac:dyDescent="0.2">
      <c r="B762" s="10"/>
      <c r="C762" s="11"/>
      <c r="D762" s="11"/>
      <c r="E762" s="12"/>
      <c r="F762" s="12"/>
      <c r="G762" s="11"/>
      <c r="H762" s="11"/>
      <c r="I762" s="11"/>
      <c r="J762" s="11"/>
    </row>
    <row r="763" spans="2:10" s="9" customFormat="1" x14ac:dyDescent="0.2">
      <c r="B763" s="10"/>
      <c r="C763" s="11"/>
      <c r="D763" s="11"/>
      <c r="E763" s="12"/>
      <c r="F763" s="12"/>
      <c r="G763" s="11"/>
      <c r="H763" s="11"/>
      <c r="I763" s="11"/>
      <c r="J763" s="11"/>
    </row>
    <row r="764" spans="2:10" s="9" customFormat="1" x14ac:dyDescent="0.2">
      <c r="B764" s="10"/>
      <c r="C764" s="11"/>
      <c r="D764" s="11"/>
      <c r="E764" s="12"/>
      <c r="F764" s="12"/>
      <c r="G764" s="11"/>
      <c r="H764" s="11"/>
      <c r="I764" s="11"/>
      <c r="J764" s="11"/>
    </row>
    <row r="765" spans="2:10" s="9" customFormat="1" x14ac:dyDescent="0.2">
      <c r="B765" s="10"/>
      <c r="C765" s="11"/>
      <c r="D765" s="11"/>
      <c r="E765" s="12"/>
      <c r="F765" s="12"/>
      <c r="G765" s="11"/>
      <c r="H765" s="11"/>
      <c r="I765" s="11"/>
      <c r="J765" s="11"/>
    </row>
    <row r="766" spans="2:10" s="9" customFormat="1" x14ac:dyDescent="0.2">
      <c r="B766" s="10"/>
      <c r="C766" s="11"/>
      <c r="D766" s="11"/>
      <c r="E766" s="12"/>
      <c r="F766" s="12"/>
      <c r="G766" s="11"/>
      <c r="H766" s="11"/>
      <c r="I766" s="11"/>
      <c r="J766" s="11"/>
    </row>
    <row r="767" spans="2:10" s="9" customFormat="1" x14ac:dyDescent="0.2">
      <c r="B767" s="10"/>
      <c r="C767" s="11"/>
      <c r="D767" s="11"/>
      <c r="E767" s="12"/>
      <c r="F767" s="12"/>
      <c r="G767" s="11"/>
      <c r="H767" s="11"/>
      <c r="I767" s="11"/>
      <c r="J767" s="11"/>
    </row>
    <row r="768" spans="2:10" s="9" customFormat="1" x14ac:dyDescent="0.2">
      <c r="B768" s="10"/>
      <c r="C768" s="11"/>
      <c r="D768" s="11"/>
      <c r="E768" s="12"/>
      <c r="F768" s="12"/>
      <c r="G768" s="11"/>
      <c r="H768" s="11"/>
      <c r="I768" s="11"/>
      <c r="J768" s="11"/>
    </row>
    <row r="769" spans="2:10" s="9" customFormat="1" x14ac:dyDescent="0.2">
      <c r="B769" s="10"/>
      <c r="C769" s="11"/>
      <c r="D769" s="11"/>
      <c r="E769" s="12"/>
      <c r="F769" s="12"/>
      <c r="G769" s="11"/>
      <c r="H769" s="11"/>
      <c r="I769" s="11"/>
      <c r="J769" s="11"/>
    </row>
    <row r="770" spans="2:10" s="9" customFormat="1" x14ac:dyDescent="0.2">
      <c r="B770" s="10"/>
      <c r="C770" s="11"/>
      <c r="D770" s="11"/>
      <c r="E770" s="12"/>
      <c r="F770" s="12"/>
      <c r="G770" s="11"/>
      <c r="H770" s="11"/>
      <c r="I770" s="11"/>
      <c r="J770" s="11"/>
    </row>
    <row r="771" spans="2:10" s="9" customFormat="1" x14ac:dyDescent="0.2">
      <c r="B771" s="10"/>
      <c r="C771" s="11"/>
      <c r="D771" s="11"/>
      <c r="E771" s="12"/>
      <c r="F771" s="12"/>
      <c r="G771" s="11"/>
      <c r="H771" s="11"/>
      <c r="I771" s="11"/>
      <c r="J771" s="11"/>
    </row>
    <row r="772" spans="2:10" s="9" customFormat="1" x14ac:dyDescent="0.2">
      <c r="B772" s="10"/>
      <c r="C772" s="11"/>
      <c r="D772" s="11"/>
      <c r="E772" s="12"/>
      <c r="F772" s="12"/>
      <c r="G772" s="11"/>
      <c r="H772" s="11"/>
      <c r="I772" s="11"/>
      <c r="J772" s="11"/>
    </row>
    <row r="773" spans="2:10" s="9" customFormat="1" x14ac:dyDescent="0.2">
      <c r="B773" s="10"/>
      <c r="C773" s="11"/>
      <c r="D773" s="11"/>
      <c r="E773" s="12"/>
      <c r="F773" s="12"/>
      <c r="G773" s="11"/>
      <c r="H773" s="11"/>
      <c r="I773" s="11"/>
      <c r="J773" s="11"/>
    </row>
    <row r="774" spans="2:10" s="9" customFormat="1" x14ac:dyDescent="0.2">
      <c r="B774" s="10"/>
      <c r="C774" s="11"/>
      <c r="D774" s="11"/>
      <c r="E774" s="12"/>
      <c r="F774" s="12"/>
      <c r="G774" s="11"/>
      <c r="H774" s="11"/>
      <c r="I774" s="11"/>
      <c r="J774" s="11"/>
    </row>
    <row r="775" spans="2:10" s="9" customFormat="1" x14ac:dyDescent="0.2">
      <c r="B775" s="10"/>
      <c r="C775" s="11"/>
      <c r="D775" s="11"/>
      <c r="E775" s="12"/>
      <c r="F775" s="12"/>
      <c r="G775" s="11"/>
      <c r="H775" s="11"/>
      <c r="I775" s="11"/>
      <c r="J775" s="11"/>
    </row>
    <row r="776" spans="2:10" s="9" customFormat="1" x14ac:dyDescent="0.2">
      <c r="B776" s="10"/>
      <c r="C776" s="11"/>
      <c r="D776" s="11"/>
      <c r="E776" s="12"/>
      <c r="F776" s="12"/>
      <c r="G776" s="11"/>
      <c r="H776" s="11"/>
      <c r="I776" s="11"/>
      <c r="J776" s="11"/>
    </row>
    <row r="777" spans="2:10" s="9" customFormat="1" x14ac:dyDescent="0.2">
      <c r="B777" s="10"/>
      <c r="C777" s="11"/>
      <c r="D777" s="11"/>
      <c r="E777" s="12"/>
      <c r="F777" s="12"/>
      <c r="G777" s="11"/>
      <c r="H777" s="11"/>
      <c r="I777" s="11"/>
      <c r="J777" s="11"/>
    </row>
    <row r="778" spans="2:10" s="9" customFormat="1" x14ac:dyDescent="0.2">
      <c r="B778" s="10"/>
      <c r="C778" s="11"/>
      <c r="D778" s="11"/>
      <c r="E778" s="12"/>
      <c r="F778" s="12"/>
      <c r="G778" s="11"/>
      <c r="H778" s="11"/>
      <c r="I778" s="11"/>
      <c r="J778" s="11"/>
    </row>
    <row r="779" spans="2:10" s="9" customFormat="1" x14ac:dyDescent="0.2">
      <c r="B779" s="10"/>
      <c r="C779" s="11"/>
      <c r="D779" s="11"/>
      <c r="E779" s="12"/>
      <c r="F779" s="12"/>
      <c r="G779" s="11"/>
      <c r="H779" s="11"/>
      <c r="I779" s="11"/>
      <c r="J779" s="11"/>
    </row>
    <row r="780" spans="2:10" s="9" customFormat="1" x14ac:dyDescent="0.2">
      <c r="B780" s="10"/>
      <c r="C780" s="11"/>
      <c r="D780" s="11"/>
      <c r="E780" s="12"/>
      <c r="F780" s="12"/>
      <c r="G780" s="11"/>
      <c r="H780" s="11"/>
      <c r="I780" s="11"/>
      <c r="J780" s="11"/>
    </row>
    <row r="781" spans="2:10" s="9" customFormat="1" x14ac:dyDescent="0.2">
      <c r="B781" s="10"/>
      <c r="C781" s="11"/>
      <c r="D781" s="11"/>
      <c r="E781" s="12"/>
      <c r="F781" s="12"/>
      <c r="G781" s="11"/>
      <c r="H781" s="11"/>
      <c r="I781" s="11"/>
      <c r="J781" s="11"/>
    </row>
    <row r="782" spans="2:10" s="9" customFormat="1" x14ac:dyDescent="0.2">
      <c r="B782" s="10"/>
      <c r="C782" s="11"/>
      <c r="D782" s="11"/>
      <c r="E782" s="12"/>
      <c r="F782" s="12"/>
      <c r="G782" s="11"/>
      <c r="H782" s="11"/>
      <c r="I782" s="11"/>
      <c r="J782" s="11"/>
    </row>
    <row r="783" spans="2:10" s="9" customFormat="1" x14ac:dyDescent="0.2">
      <c r="B783" s="10"/>
      <c r="C783" s="11"/>
      <c r="D783" s="11"/>
      <c r="E783" s="12"/>
      <c r="F783" s="12"/>
      <c r="G783" s="11"/>
      <c r="H783" s="11"/>
      <c r="I783" s="11"/>
      <c r="J783" s="11"/>
    </row>
    <row r="784" spans="2:10" s="9" customFormat="1" x14ac:dyDescent="0.2">
      <c r="B784" s="10"/>
      <c r="C784" s="11"/>
      <c r="D784" s="11"/>
      <c r="E784" s="12"/>
      <c r="F784" s="12"/>
      <c r="G784" s="11"/>
      <c r="H784" s="11"/>
      <c r="I784" s="11"/>
      <c r="J784" s="11"/>
    </row>
    <row r="785" spans="2:10" s="9" customFormat="1" x14ac:dyDescent="0.2">
      <c r="B785" s="10"/>
      <c r="C785" s="11"/>
      <c r="D785" s="11"/>
      <c r="E785" s="12"/>
      <c r="F785" s="12"/>
      <c r="G785" s="11"/>
      <c r="H785" s="11"/>
      <c r="I785" s="11"/>
      <c r="J785" s="11"/>
    </row>
    <row r="786" spans="2:10" s="9" customFormat="1" x14ac:dyDescent="0.2">
      <c r="B786" s="10"/>
      <c r="C786" s="11"/>
      <c r="D786" s="11"/>
      <c r="E786" s="12"/>
      <c r="F786" s="12"/>
      <c r="G786" s="11"/>
      <c r="H786" s="11"/>
      <c r="I786" s="11"/>
      <c r="J786" s="11"/>
    </row>
    <row r="787" spans="2:10" s="9" customFormat="1" x14ac:dyDescent="0.2">
      <c r="B787" s="10"/>
      <c r="C787" s="11"/>
      <c r="D787" s="11"/>
      <c r="E787" s="12"/>
      <c r="F787" s="12"/>
      <c r="G787" s="11"/>
      <c r="H787" s="11"/>
      <c r="I787" s="11"/>
      <c r="J787" s="11"/>
    </row>
    <row r="788" spans="2:10" s="9" customFormat="1" x14ac:dyDescent="0.2">
      <c r="B788" s="10"/>
      <c r="C788" s="11"/>
      <c r="D788" s="11"/>
      <c r="E788" s="12"/>
      <c r="F788" s="12"/>
      <c r="G788" s="11"/>
      <c r="H788" s="11"/>
      <c r="I788" s="11"/>
      <c r="J788" s="11"/>
    </row>
    <row r="789" spans="2:10" s="9" customFormat="1" x14ac:dyDescent="0.2">
      <c r="B789" s="10"/>
      <c r="C789" s="11"/>
      <c r="D789" s="11"/>
      <c r="E789" s="12"/>
      <c r="F789" s="12"/>
      <c r="G789" s="11"/>
      <c r="H789" s="11"/>
      <c r="I789" s="11"/>
      <c r="J789" s="11"/>
    </row>
    <row r="790" spans="2:10" s="9" customFormat="1" x14ac:dyDescent="0.2">
      <c r="B790" s="10"/>
      <c r="C790" s="11"/>
      <c r="D790" s="11"/>
      <c r="E790" s="12"/>
      <c r="F790" s="12"/>
      <c r="G790" s="11"/>
      <c r="H790" s="11"/>
      <c r="I790" s="11"/>
      <c r="J790" s="11"/>
    </row>
    <row r="791" spans="2:10" s="9" customFormat="1" x14ac:dyDescent="0.2">
      <c r="B791" s="10"/>
      <c r="C791" s="11"/>
      <c r="D791" s="11"/>
      <c r="E791" s="12"/>
      <c r="F791" s="12"/>
      <c r="G791" s="11"/>
      <c r="H791" s="11"/>
      <c r="I791" s="11"/>
      <c r="J791" s="11"/>
    </row>
    <row r="792" spans="2:10" s="9" customFormat="1" x14ac:dyDescent="0.2">
      <c r="B792" s="10"/>
      <c r="C792" s="11"/>
      <c r="D792" s="11"/>
      <c r="E792" s="12"/>
      <c r="F792" s="12"/>
      <c r="G792" s="11"/>
      <c r="H792" s="11"/>
      <c r="I792" s="11"/>
      <c r="J792" s="11"/>
    </row>
    <row r="793" spans="2:10" s="9" customFormat="1" x14ac:dyDescent="0.2">
      <c r="B793" s="10"/>
      <c r="C793" s="11"/>
      <c r="D793" s="11"/>
      <c r="E793" s="12"/>
      <c r="F793" s="12"/>
      <c r="G793" s="11"/>
      <c r="H793" s="11"/>
      <c r="I793" s="11"/>
      <c r="J793" s="11"/>
    </row>
    <row r="794" spans="2:10" s="9" customFormat="1" x14ac:dyDescent="0.2">
      <c r="B794" s="10"/>
      <c r="C794" s="11"/>
      <c r="D794" s="11"/>
      <c r="E794" s="12"/>
      <c r="F794" s="12"/>
      <c r="G794" s="11"/>
      <c r="H794" s="11"/>
      <c r="I794" s="11"/>
      <c r="J794" s="11"/>
    </row>
    <row r="795" spans="2:10" s="9" customFormat="1" x14ac:dyDescent="0.2">
      <c r="B795" s="10"/>
      <c r="C795" s="11"/>
      <c r="D795" s="11"/>
      <c r="E795" s="12"/>
      <c r="F795" s="12"/>
      <c r="G795" s="11"/>
      <c r="H795" s="11"/>
      <c r="I795" s="11"/>
      <c r="J795" s="11"/>
    </row>
    <row r="796" spans="2:10" s="9" customFormat="1" x14ac:dyDescent="0.2">
      <c r="B796" s="10"/>
      <c r="C796" s="11"/>
      <c r="D796" s="11"/>
      <c r="E796" s="12"/>
      <c r="F796" s="12"/>
      <c r="G796" s="11"/>
      <c r="H796" s="11"/>
      <c r="I796" s="11"/>
      <c r="J796" s="11"/>
    </row>
    <row r="797" spans="2:10" s="9" customFormat="1" x14ac:dyDescent="0.2">
      <c r="B797" s="10"/>
      <c r="C797" s="11"/>
      <c r="D797" s="11"/>
      <c r="E797" s="12"/>
      <c r="F797" s="12"/>
      <c r="G797" s="11"/>
      <c r="H797" s="11"/>
      <c r="I797" s="11"/>
      <c r="J797" s="11"/>
    </row>
    <row r="798" spans="2:10" s="9" customFormat="1" x14ac:dyDescent="0.2">
      <c r="B798" s="10"/>
      <c r="C798" s="11"/>
      <c r="D798" s="11"/>
      <c r="E798" s="12"/>
      <c r="F798" s="12"/>
      <c r="G798" s="11"/>
      <c r="H798" s="11"/>
      <c r="I798" s="11"/>
      <c r="J798" s="11"/>
    </row>
    <row r="799" spans="2:10" s="9" customFormat="1" x14ac:dyDescent="0.2">
      <c r="B799" s="10"/>
      <c r="C799" s="11"/>
      <c r="D799" s="11"/>
      <c r="E799" s="12"/>
      <c r="F799" s="12"/>
      <c r="G799" s="11"/>
      <c r="H799" s="11"/>
      <c r="I799" s="11"/>
      <c r="J799" s="11"/>
    </row>
    <row r="800" spans="2:10" s="9" customFormat="1" x14ac:dyDescent="0.2">
      <c r="B800" s="10"/>
      <c r="C800" s="11"/>
      <c r="D800" s="11"/>
      <c r="E800" s="12"/>
      <c r="F800" s="12"/>
      <c r="G800" s="11"/>
      <c r="H800" s="11"/>
      <c r="I800" s="11"/>
      <c r="J800" s="11"/>
    </row>
    <row r="801" spans="2:10" s="9" customFormat="1" x14ac:dyDescent="0.2">
      <c r="B801" s="10"/>
      <c r="C801" s="11"/>
      <c r="D801" s="11"/>
      <c r="E801" s="12"/>
      <c r="F801" s="12"/>
      <c r="G801" s="11"/>
      <c r="H801" s="11"/>
      <c r="I801" s="11"/>
      <c r="J801" s="11"/>
    </row>
    <row r="802" spans="2:10" s="9" customFormat="1" x14ac:dyDescent="0.2">
      <c r="B802" s="10"/>
      <c r="C802" s="11"/>
      <c r="D802" s="11"/>
      <c r="E802" s="12"/>
      <c r="F802" s="12"/>
      <c r="G802" s="11"/>
      <c r="H802" s="11"/>
      <c r="I802" s="11"/>
      <c r="J802" s="11"/>
    </row>
    <row r="803" spans="2:10" s="9" customFormat="1" x14ac:dyDescent="0.2">
      <c r="B803" s="10"/>
      <c r="C803" s="11"/>
      <c r="D803" s="11"/>
      <c r="E803" s="12"/>
      <c r="F803" s="12"/>
      <c r="G803" s="11"/>
      <c r="H803" s="11"/>
      <c r="I803" s="11"/>
      <c r="J803" s="11"/>
    </row>
    <row r="804" spans="2:10" s="9" customFormat="1" x14ac:dyDescent="0.2">
      <c r="B804" s="10"/>
      <c r="C804" s="11"/>
      <c r="D804" s="11"/>
      <c r="E804" s="12"/>
      <c r="F804" s="12"/>
      <c r="G804" s="11"/>
      <c r="H804" s="11"/>
      <c r="I804" s="11"/>
      <c r="J804" s="11"/>
    </row>
    <row r="805" spans="2:10" s="9" customFormat="1" x14ac:dyDescent="0.2">
      <c r="B805" s="10"/>
      <c r="C805" s="11"/>
      <c r="D805" s="11"/>
      <c r="E805" s="12"/>
      <c r="F805" s="12"/>
      <c r="G805" s="11"/>
      <c r="H805" s="11"/>
      <c r="I805" s="11"/>
      <c r="J805" s="11"/>
    </row>
    <row r="806" spans="2:10" s="9" customFormat="1" x14ac:dyDescent="0.2">
      <c r="B806" s="10"/>
      <c r="C806" s="11"/>
      <c r="D806" s="11"/>
      <c r="E806" s="12"/>
      <c r="F806" s="12"/>
      <c r="G806" s="11"/>
      <c r="H806" s="11"/>
      <c r="I806" s="11"/>
      <c r="J806" s="11"/>
    </row>
    <row r="807" spans="2:10" s="9" customFormat="1" x14ac:dyDescent="0.2">
      <c r="B807" s="10"/>
      <c r="C807" s="11"/>
      <c r="D807" s="11"/>
      <c r="E807" s="12"/>
      <c r="F807" s="12"/>
      <c r="G807" s="11"/>
      <c r="H807" s="11"/>
      <c r="I807" s="11"/>
      <c r="J807" s="11"/>
    </row>
    <row r="808" spans="2:10" s="9" customFormat="1" x14ac:dyDescent="0.2">
      <c r="B808" s="10"/>
      <c r="C808" s="11"/>
      <c r="D808" s="11"/>
      <c r="E808" s="12"/>
      <c r="F808" s="12"/>
      <c r="G808" s="11"/>
      <c r="H808" s="11"/>
      <c r="I808" s="11"/>
      <c r="J808" s="11"/>
    </row>
    <row r="809" spans="2:10" s="9" customFormat="1" x14ac:dyDescent="0.2">
      <c r="B809" s="10"/>
      <c r="C809" s="11"/>
      <c r="D809" s="11"/>
      <c r="E809" s="12"/>
      <c r="F809" s="12"/>
      <c r="G809" s="11"/>
      <c r="H809" s="11"/>
      <c r="I809" s="11"/>
      <c r="J809" s="11"/>
    </row>
    <row r="810" spans="2:10" s="9" customFormat="1" x14ac:dyDescent="0.2">
      <c r="B810" s="10"/>
      <c r="C810" s="11"/>
      <c r="D810" s="11"/>
      <c r="E810" s="12"/>
      <c r="F810" s="12"/>
      <c r="G810" s="11"/>
      <c r="H810" s="11"/>
      <c r="I810" s="11"/>
      <c r="J810" s="11"/>
    </row>
    <row r="811" spans="2:10" s="9" customFormat="1" x14ac:dyDescent="0.2">
      <c r="B811" s="10"/>
      <c r="C811" s="11"/>
      <c r="D811" s="11"/>
      <c r="E811" s="12"/>
      <c r="F811" s="12"/>
      <c r="G811" s="11"/>
      <c r="H811" s="11"/>
      <c r="I811" s="11"/>
      <c r="J811" s="11"/>
    </row>
    <row r="812" spans="2:10" s="9" customFormat="1" x14ac:dyDescent="0.2">
      <c r="B812" s="10"/>
      <c r="C812" s="11"/>
      <c r="D812" s="11"/>
      <c r="E812" s="12"/>
      <c r="F812" s="12"/>
      <c r="G812" s="11"/>
      <c r="H812" s="11"/>
      <c r="I812" s="11"/>
      <c r="J812" s="11"/>
    </row>
    <row r="813" spans="2:10" s="9" customFormat="1" x14ac:dyDescent="0.2">
      <c r="B813" s="10"/>
      <c r="C813" s="11"/>
      <c r="D813" s="11"/>
      <c r="E813" s="12"/>
      <c r="F813" s="12"/>
      <c r="G813" s="11"/>
      <c r="H813" s="11"/>
      <c r="I813" s="11"/>
      <c r="J813" s="11"/>
    </row>
    <row r="814" spans="2:10" s="9" customFormat="1" x14ac:dyDescent="0.2">
      <c r="B814" s="10"/>
      <c r="C814" s="11"/>
      <c r="D814" s="11"/>
      <c r="E814" s="12"/>
      <c r="F814" s="12"/>
      <c r="G814" s="11"/>
      <c r="H814" s="11"/>
      <c r="I814" s="11"/>
      <c r="J814" s="11"/>
    </row>
    <row r="815" spans="2:10" s="9" customFormat="1" x14ac:dyDescent="0.2">
      <c r="B815" s="10"/>
      <c r="C815" s="11"/>
      <c r="D815" s="11"/>
      <c r="E815" s="12"/>
      <c r="F815" s="12"/>
      <c r="G815" s="11"/>
      <c r="H815" s="11"/>
      <c r="I815" s="11"/>
      <c r="J815" s="11"/>
    </row>
    <row r="816" spans="2:10" s="9" customFormat="1" x14ac:dyDescent="0.2">
      <c r="B816" s="10"/>
      <c r="C816" s="11"/>
      <c r="D816" s="11"/>
      <c r="E816" s="12"/>
      <c r="F816" s="12"/>
      <c r="G816" s="11"/>
      <c r="H816" s="11"/>
      <c r="I816" s="11"/>
      <c r="J816" s="11"/>
    </row>
    <row r="817" spans="2:10" s="9" customFormat="1" x14ac:dyDescent="0.2">
      <c r="B817" s="10"/>
      <c r="C817" s="11"/>
      <c r="D817" s="11"/>
      <c r="E817" s="12"/>
      <c r="F817" s="12"/>
      <c r="G817" s="11"/>
      <c r="H817" s="11"/>
      <c r="I817" s="11"/>
      <c r="J817" s="11"/>
    </row>
    <row r="818" spans="2:10" s="9" customFormat="1" x14ac:dyDescent="0.2">
      <c r="B818" s="10"/>
      <c r="C818" s="11"/>
      <c r="D818" s="11"/>
      <c r="E818" s="12"/>
      <c r="F818" s="12"/>
      <c r="G818" s="11"/>
      <c r="H818" s="11"/>
      <c r="I818" s="11"/>
      <c r="J818" s="11"/>
    </row>
    <row r="819" spans="2:10" s="9" customFormat="1" x14ac:dyDescent="0.2">
      <c r="B819" s="10"/>
      <c r="C819" s="11"/>
      <c r="D819" s="11"/>
      <c r="E819" s="12"/>
      <c r="F819" s="12"/>
      <c r="G819" s="11"/>
      <c r="H819" s="11"/>
      <c r="I819" s="11"/>
      <c r="J819" s="11"/>
    </row>
    <row r="820" spans="2:10" s="9" customFormat="1" x14ac:dyDescent="0.2">
      <c r="B820" s="10"/>
      <c r="C820" s="11"/>
      <c r="D820" s="11"/>
      <c r="E820" s="12"/>
      <c r="F820" s="12"/>
      <c r="G820" s="11"/>
      <c r="H820" s="11"/>
      <c r="I820" s="11"/>
      <c r="J820" s="11"/>
    </row>
    <row r="821" spans="2:10" s="9" customFormat="1" x14ac:dyDescent="0.2">
      <c r="B821" s="10"/>
      <c r="C821" s="11"/>
      <c r="D821" s="11"/>
      <c r="E821" s="12"/>
      <c r="F821" s="12"/>
      <c r="G821" s="11"/>
      <c r="H821" s="11"/>
      <c r="I821" s="11"/>
      <c r="J821" s="11"/>
    </row>
    <row r="822" spans="2:10" s="9" customFormat="1" x14ac:dyDescent="0.2">
      <c r="B822" s="10"/>
      <c r="C822" s="11"/>
      <c r="D822" s="11"/>
      <c r="E822" s="12"/>
      <c r="F822" s="12"/>
      <c r="G822" s="11"/>
      <c r="H822" s="11"/>
      <c r="I822" s="11"/>
      <c r="J822" s="11"/>
    </row>
    <row r="823" spans="2:10" s="9" customFormat="1" x14ac:dyDescent="0.2">
      <c r="B823" s="10"/>
      <c r="C823" s="11"/>
      <c r="D823" s="11"/>
      <c r="E823" s="12"/>
      <c r="F823" s="12"/>
      <c r="G823" s="11"/>
      <c r="H823" s="11"/>
      <c r="I823" s="11"/>
      <c r="J823" s="11"/>
    </row>
    <row r="824" spans="2:10" s="9" customFormat="1" x14ac:dyDescent="0.2">
      <c r="B824" s="10"/>
      <c r="C824" s="11"/>
      <c r="D824" s="11"/>
      <c r="E824" s="12"/>
      <c r="F824" s="12"/>
      <c r="G824" s="11"/>
      <c r="H824" s="11"/>
      <c r="I824" s="11"/>
      <c r="J824" s="11"/>
    </row>
    <row r="825" spans="2:10" s="9" customFormat="1" x14ac:dyDescent="0.2">
      <c r="B825" s="10"/>
      <c r="C825" s="11"/>
      <c r="D825" s="11"/>
      <c r="E825" s="12"/>
      <c r="F825" s="12"/>
      <c r="G825" s="11"/>
      <c r="H825" s="11"/>
      <c r="I825" s="11"/>
      <c r="J825" s="11"/>
    </row>
    <row r="826" spans="2:10" s="9" customFormat="1" x14ac:dyDescent="0.2">
      <c r="B826" s="10"/>
      <c r="C826" s="11"/>
      <c r="D826" s="11"/>
      <c r="E826" s="12"/>
      <c r="F826" s="12"/>
      <c r="G826" s="11"/>
      <c r="H826" s="11"/>
      <c r="I826" s="11"/>
      <c r="J826" s="11"/>
    </row>
    <row r="827" spans="2:10" s="9" customFormat="1" x14ac:dyDescent="0.2">
      <c r="B827" s="10"/>
      <c r="C827" s="11"/>
      <c r="D827" s="11"/>
      <c r="E827" s="12"/>
      <c r="F827" s="12"/>
      <c r="G827" s="11"/>
      <c r="H827" s="11"/>
      <c r="I827" s="11"/>
      <c r="J827" s="11"/>
    </row>
    <row r="828" spans="2:10" s="9" customFormat="1" x14ac:dyDescent="0.2">
      <c r="B828" s="10"/>
      <c r="C828" s="11"/>
      <c r="D828" s="11"/>
      <c r="E828" s="12"/>
      <c r="F828" s="12"/>
      <c r="G828" s="11"/>
      <c r="H828" s="11"/>
      <c r="I828" s="11"/>
      <c r="J828" s="11"/>
    </row>
    <row r="829" spans="2:10" s="9" customFormat="1" x14ac:dyDescent="0.2">
      <c r="B829" s="10"/>
      <c r="C829" s="11"/>
      <c r="D829" s="11"/>
      <c r="E829" s="12"/>
      <c r="F829" s="12"/>
      <c r="G829" s="11"/>
      <c r="H829" s="11"/>
      <c r="I829" s="11"/>
      <c r="J829" s="11"/>
    </row>
    <row r="830" spans="2:10" s="9" customFormat="1" x14ac:dyDescent="0.2">
      <c r="B830" s="10"/>
      <c r="C830" s="11"/>
      <c r="D830" s="11"/>
      <c r="E830" s="12"/>
      <c r="F830" s="12"/>
      <c r="G830" s="11"/>
      <c r="H830" s="11"/>
      <c r="I830" s="11"/>
      <c r="J830" s="11"/>
    </row>
    <row r="831" spans="2:10" s="9" customFormat="1" x14ac:dyDescent="0.2">
      <c r="B831" s="10"/>
      <c r="C831" s="11"/>
      <c r="D831" s="11"/>
      <c r="E831" s="12"/>
      <c r="F831" s="12"/>
      <c r="G831" s="11"/>
      <c r="H831" s="11"/>
      <c r="I831" s="11"/>
      <c r="J831" s="11"/>
    </row>
    <row r="832" spans="2:10" s="9" customFormat="1" x14ac:dyDescent="0.2">
      <c r="B832" s="10"/>
      <c r="C832" s="11"/>
      <c r="D832" s="11"/>
      <c r="E832" s="12"/>
      <c r="F832" s="12"/>
      <c r="G832" s="11"/>
      <c r="H832" s="11"/>
      <c r="I832" s="11"/>
      <c r="J832" s="11"/>
    </row>
    <row r="833" spans="2:10" s="9" customFormat="1" x14ac:dyDescent="0.2">
      <c r="B833" s="10"/>
      <c r="C833" s="11"/>
      <c r="D833" s="11"/>
      <c r="E833" s="12"/>
      <c r="F833" s="12"/>
      <c r="G833" s="11"/>
      <c r="H833" s="11"/>
      <c r="I833" s="11"/>
      <c r="J833" s="11"/>
    </row>
    <row r="834" spans="2:10" s="9" customFormat="1" x14ac:dyDescent="0.2">
      <c r="B834" s="10"/>
      <c r="C834" s="11"/>
      <c r="D834" s="11"/>
      <c r="E834" s="12"/>
      <c r="F834" s="12"/>
      <c r="G834" s="11"/>
      <c r="H834" s="11"/>
      <c r="I834" s="11"/>
      <c r="J834" s="11"/>
    </row>
    <row r="835" spans="2:10" s="9" customFormat="1" x14ac:dyDescent="0.2">
      <c r="B835" s="10"/>
      <c r="C835" s="11"/>
      <c r="D835" s="11"/>
      <c r="E835" s="12"/>
      <c r="F835" s="12"/>
      <c r="G835" s="11"/>
      <c r="H835" s="11"/>
      <c r="I835" s="11"/>
      <c r="J835" s="11"/>
    </row>
    <row r="836" spans="2:10" s="9" customFormat="1" x14ac:dyDescent="0.2">
      <c r="B836" s="10"/>
      <c r="C836" s="11"/>
      <c r="D836" s="11"/>
      <c r="E836" s="12"/>
      <c r="F836" s="12"/>
      <c r="G836" s="11"/>
      <c r="H836" s="11"/>
      <c r="I836" s="11"/>
      <c r="J836" s="11"/>
    </row>
    <row r="837" spans="2:10" s="9" customFormat="1" x14ac:dyDescent="0.2">
      <c r="B837" s="10"/>
      <c r="C837" s="11"/>
      <c r="D837" s="11"/>
      <c r="E837" s="12"/>
      <c r="F837" s="12"/>
      <c r="G837" s="11"/>
      <c r="H837" s="11"/>
      <c r="I837" s="11"/>
      <c r="J837" s="11"/>
    </row>
    <row r="838" spans="2:10" s="9" customFormat="1" x14ac:dyDescent="0.2">
      <c r="B838" s="10"/>
      <c r="C838" s="11"/>
      <c r="D838" s="11"/>
      <c r="E838" s="12"/>
      <c r="F838" s="12"/>
      <c r="G838" s="11"/>
      <c r="H838" s="11"/>
      <c r="I838" s="11"/>
      <c r="J838" s="11"/>
    </row>
    <row r="839" spans="2:10" s="9" customFormat="1" x14ac:dyDescent="0.2">
      <c r="B839" s="10"/>
      <c r="C839" s="11"/>
      <c r="D839" s="11"/>
      <c r="E839" s="12"/>
      <c r="F839" s="12"/>
      <c r="G839" s="11"/>
      <c r="H839" s="11"/>
      <c r="I839" s="11"/>
      <c r="J839" s="11"/>
    </row>
    <row r="840" spans="2:10" s="9" customFormat="1" x14ac:dyDescent="0.2">
      <c r="B840" s="10"/>
      <c r="C840" s="11"/>
      <c r="D840" s="11"/>
      <c r="E840" s="12"/>
      <c r="F840" s="12"/>
      <c r="G840" s="11"/>
      <c r="H840" s="11"/>
      <c r="I840" s="11"/>
      <c r="J840" s="11"/>
    </row>
    <row r="841" spans="2:10" s="9" customFormat="1" x14ac:dyDescent="0.2">
      <c r="B841" s="10"/>
      <c r="C841" s="11"/>
      <c r="D841" s="11"/>
      <c r="E841" s="12"/>
      <c r="F841" s="12"/>
      <c r="G841" s="11"/>
      <c r="H841" s="11"/>
      <c r="I841" s="11"/>
      <c r="J841" s="11"/>
    </row>
    <row r="842" spans="2:10" s="9" customFormat="1" x14ac:dyDescent="0.2">
      <c r="B842" s="10"/>
      <c r="C842" s="11"/>
      <c r="D842" s="11"/>
      <c r="E842" s="12"/>
      <c r="F842" s="12"/>
      <c r="G842" s="11"/>
      <c r="H842" s="11"/>
      <c r="I842" s="11"/>
      <c r="J842" s="11"/>
    </row>
    <row r="843" spans="2:10" s="9" customFormat="1" x14ac:dyDescent="0.2">
      <c r="B843" s="10"/>
      <c r="C843" s="11"/>
      <c r="D843" s="11"/>
      <c r="E843" s="12"/>
      <c r="F843" s="12"/>
      <c r="G843" s="11"/>
      <c r="H843" s="11"/>
      <c r="I843" s="11"/>
      <c r="J843" s="11"/>
    </row>
    <row r="844" spans="2:10" s="9" customFormat="1" x14ac:dyDescent="0.2">
      <c r="B844" s="10"/>
      <c r="C844" s="11"/>
      <c r="D844" s="11"/>
      <c r="E844" s="12"/>
      <c r="F844" s="12"/>
      <c r="G844" s="11"/>
      <c r="H844" s="11"/>
      <c r="I844" s="11"/>
      <c r="J844" s="11"/>
    </row>
    <row r="845" spans="2:10" s="9" customFormat="1" x14ac:dyDescent="0.2">
      <c r="B845" s="10"/>
      <c r="C845" s="11"/>
      <c r="D845" s="11"/>
      <c r="E845" s="12"/>
      <c r="F845" s="12"/>
      <c r="G845" s="11"/>
      <c r="H845" s="11"/>
      <c r="I845" s="11"/>
      <c r="J845" s="11"/>
    </row>
    <row r="846" spans="2:10" s="9" customFormat="1" x14ac:dyDescent="0.2">
      <c r="B846" s="10"/>
      <c r="C846" s="11"/>
      <c r="D846" s="11"/>
      <c r="E846" s="12"/>
      <c r="F846" s="12"/>
      <c r="G846" s="11"/>
      <c r="H846" s="11"/>
      <c r="I846" s="11"/>
      <c r="J846" s="11"/>
    </row>
    <row r="847" spans="2:10" s="9" customFormat="1" x14ac:dyDescent="0.2">
      <c r="B847" s="10"/>
      <c r="C847" s="11"/>
      <c r="D847" s="11"/>
      <c r="E847" s="12"/>
      <c r="F847" s="12"/>
      <c r="G847" s="11"/>
      <c r="H847" s="11"/>
      <c r="I847" s="11"/>
      <c r="J847" s="11"/>
    </row>
    <row r="848" spans="2:10" s="9" customFormat="1" x14ac:dyDescent="0.2">
      <c r="B848" s="10"/>
      <c r="C848" s="11"/>
      <c r="D848" s="11"/>
      <c r="E848" s="12"/>
      <c r="F848" s="12"/>
      <c r="G848" s="11"/>
      <c r="H848" s="11"/>
      <c r="I848" s="11"/>
      <c r="J848" s="11"/>
    </row>
    <row r="849" spans="2:10" s="9" customFormat="1" x14ac:dyDescent="0.2">
      <c r="B849" s="10"/>
      <c r="C849" s="11"/>
      <c r="D849" s="11"/>
      <c r="E849" s="12"/>
      <c r="F849" s="12"/>
      <c r="G849" s="11"/>
      <c r="H849" s="11"/>
      <c r="I849" s="11"/>
      <c r="J849" s="11"/>
    </row>
    <row r="850" spans="2:10" s="9" customFormat="1" x14ac:dyDescent="0.2">
      <c r="B850" s="10"/>
      <c r="C850" s="11"/>
      <c r="D850" s="11"/>
      <c r="E850" s="12"/>
      <c r="F850" s="12"/>
      <c r="G850" s="11"/>
      <c r="H850" s="11"/>
      <c r="I850" s="11"/>
      <c r="J850" s="11"/>
    </row>
    <row r="851" spans="2:10" s="9" customFormat="1" x14ac:dyDescent="0.2">
      <c r="B851" s="10"/>
      <c r="C851" s="11"/>
      <c r="D851" s="11"/>
      <c r="E851" s="12"/>
      <c r="F851" s="12"/>
      <c r="G851" s="11"/>
      <c r="H851" s="11"/>
      <c r="I851" s="11"/>
      <c r="J851" s="11"/>
    </row>
    <row r="852" spans="2:10" s="9" customFormat="1" x14ac:dyDescent="0.2">
      <c r="B852" s="10"/>
      <c r="C852" s="11"/>
      <c r="D852" s="11"/>
      <c r="E852" s="12"/>
      <c r="F852" s="12"/>
      <c r="G852" s="11"/>
      <c r="H852" s="11"/>
      <c r="I852" s="11"/>
      <c r="J852" s="11"/>
    </row>
    <row r="853" spans="2:10" s="9" customFormat="1" x14ac:dyDescent="0.2">
      <c r="B853" s="10"/>
      <c r="C853" s="11"/>
      <c r="D853" s="11"/>
      <c r="E853" s="12"/>
      <c r="F853" s="12"/>
      <c r="G853" s="11"/>
      <c r="H853" s="11"/>
      <c r="I853" s="11"/>
      <c r="J853" s="11"/>
    </row>
    <row r="854" spans="2:10" s="9" customFormat="1" x14ac:dyDescent="0.2">
      <c r="B854" s="10"/>
      <c r="C854" s="11"/>
      <c r="D854" s="11"/>
      <c r="E854" s="12"/>
      <c r="F854" s="12"/>
      <c r="G854" s="11"/>
      <c r="H854" s="11"/>
      <c r="I854" s="11"/>
      <c r="J854" s="11"/>
    </row>
    <row r="855" spans="2:10" s="9" customFormat="1" x14ac:dyDescent="0.2">
      <c r="B855" s="10"/>
      <c r="C855" s="11"/>
      <c r="D855" s="11"/>
      <c r="E855" s="12"/>
      <c r="F855" s="12"/>
      <c r="G855" s="11"/>
      <c r="H855" s="11"/>
      <c r="I855" s="11"/>
      <c r="J855" s="11"/>
    </row>
    <row r="856" spans="2:10" s="9" customFormat="1" x14ac:dyDescent="0.2">
      <c r="B856" s="10"/>
      <c r="C856" s="11"/>
      <c r="D856" s="11"/>
      <c r="E856" s="12"/>
      <c r="F856" s="12"/>
      <c r="G856" s="11"/>
      <c r="H856" s="11"/>
      <c r="I856" s="11"/>
      <c r="J856" s="11"/>
    </row>
    <row r="857" spans="2:10" s="9" customFormat="1" x14ac:dyDescent="0.2">
      <c r="B857" s="10"/>
      <c r="C857" s="11"/>
      <c r="D857" s="11"/>
      <c r="E857" s="12"/>
      <c r="F857" s="12"/>
      <c r="G857" s="11"/>
      <c r="H857" s="11"/>
      <c r="I857" s="11"/>
      <c r="J857" s="11"/>
    </row>
    <row r="858" spans="2:10" s="9" customFormat="1" x14ac:dyDescent="0.2">
      <c r="B858" s="10"/>
      <c r="C858" s="11"/>
      <c r="D858" s="11"/>
      <c r="E858" s="12"/>
      <c r="F858" s="12"/>
      <c r="G858" s="11"/>
      <c r="H858" s="11"/>
      <c r="I858" s="11"/>
      <c r="J858" s="11"/>
    </row>
    <row r="859" spans="2:10" s="9" customFormat="1" x14ac:dyDescent="0.2">
      <c r="B859" s="10"/>
      <c r="C859" s="11"/>
      <c r="D859" s="11"/>
      <c r="E859" s="12"/>
      <c r="F859" s="12"/>
      <c r="G859" s="11"/>
      <c r="H859" s="11"/>
      <c r="I859" s="11"/>
      <c r="J859" s="11"/>
    </row>
    <row r="860" spans="2:10" s="9" customFormat="1" x14ac:dyDescent="0.2">
      <c r="B860" s="10"/>
      <c r="C860" s="11"/>
      <c r="D860" s="11"/>
      <c r="E860" s="12"/>
      <c r="F860" s="12"/>
      <c r="G860" s="11"/>
      <c r="H860" s="11"/>
      <c r="I860" s="11"/>
      <c r="J860" s="11"/>
    </row>
    <row r="861" spans="2:10" s="9" customFormat="1" x14ac:dyDescent="0.2">
      <c r="B861" s="10"/>
      <c r="C861" s="11"/>
      <c r="D861" s="11"/>
      <c r="E861" s="12"/>
      <c r="F861" s="12"/>
      <c r="G861" s="11"/>
      <c r="H861" s="11"/>
      <c r="I861" s="11"/>
      <c r="J861" s="11"/>
    </row>
    <row r="862" spans="2:10" s="9" customFormat="1" x14ac:dyDescent="0.2">
      <c r="B862" s="10"/>
      <c r="C862" s="11"/>
      <c r="D862" s="11"/>
      <c r="E862" s="12"/>
      <c r="F862" s="12"/>
      <c r="G862" s="11"/>
      <c r="H862" s="11"/>
      <c r="I862" s="11"/>
      <c r="J862" s="11"/>
    </row>
    <row r="863" spans="2:10" s="9" customFormat="1" x14ac:dyDescent="0.2">
      <c r="B863" s="10"/>
      <c r="C863" s="11"/>
      <c r="D863" s="11"/>
      <c r="E863" s="12"/>
      <c r="F863" s="12"/>
      <c r="G863" s="11"/>
      <c r="H863" s="11"/>
      <c r="I863" s="11"/>
      <c r="J863" s="11"/>
    </row>
    <row r="864" spans="2:10" s="9" customFormat="1" x14ac:dyDescent="0.2">
      <c r="B864" s="10"/>
      <c r="C864" s="11"/>
      <c r="D864" s="11"/>
      <c r="E864" s="12"/>
      <c r="F864" s="12"/>
      <c r="G864" s="11"/>
      <c r="H864" s="11"/>
      <c r="I864" s="11"/>
      <c r="J864" s="11"/>
    </row>
    <row r="865" spans="2:10" s="9" customFormat="1" x14ac:dyDescent="0.2">
      <c r="B865" s="10"/>
      <c r="C865" s="11"/>
      <c r="D865" s="11"/>
      <c r="E865" s="12"/>
      <c r="F865" s="12"/>
      <c r="G865" s="11"/>
      <c r="H865" s="11"/>
      <c r="I865" s="11"/>
      <c r="J865" s="11"/>
    </row>
    <row r="866" spans="2:10" s="9" customFormat="1" x14ac:dyDescent="0.2">
      <c r="B866" s="10"/>
      <c r="C866" s="11"/>
      <c r="D866" s="11"/>
      <c r="E866" s="12"/>
      <c r="F866" s="12"/>
      <c r="G866" s="11"/>
      <c r="H866" s="11"/>
      <c r="I866" s="11"/>
      <c r="J866" s="11"/>
    </row>
    <row r="867" spans="2:10" s="9" customFormat="1" x14ac:dyDescent="0.2">
      <c r="B867" s="10"/>
      <c r="C867" s="11"/>
      <c r="D867" s="11"/>
      <c r="E867" s="12"/>
      <c r="F867" s="12"/>
      <c r="G867" s="11"/>
      <c r="H867" s="11"/>
      <c r="I867" s="11"/>
      <c r="J867" s="11"/>
    </row>
    <row r="868" spans="2:10" s="9" customFormat="1" x14ac:dyDescent="0.2">
      <c r="B868" s="10"/>
      <c r="C868" s="11"/>
      <c r="D868" s="11"/>
      <c r="E868" s="12"/>
      <c r="F868" s="12"/>
      <c r="G868" s="11"/>
      <c r="H868" s="11"/>
      <c r="I868" s="11"/>
      <c r="J868" s="11"/>
    </row>
    <row r="869" spans="2:10" s="9" customFormat="1" x14ac:dyDescent="0.2">
      <c r="B869" s="10"/>
      <c r="C869" s="11"/>
      <c r="D869" s="11"/>
      <c r="E869" s="12"/>
      <c r="F869" s="12"/>
      <c r="G869" s="11"/>
      <c r="H869" s="11"/>
      <c r="I869" s="11"/>
      <c r="J869" s="11"/>
    </row>
    <row r="870" spans="2:10" s="9" customFormat="1" x14ac:dyDescent="0.2">
      <c r="B870" s="10"/>
      <c r="C870" s="11"/>
      <c r="D870" s="11"/>
      <c r="E870" s="12"/>
      <c r="F870" s="12"/>
      <c r="G870" s="11"/>
      <c r="H870" s="11"/>
      <c r="I870" s="11"/>
      <c r="J870" s="11"/>
    </row>
    <row r="871" spans="2:10" s="9" customFormat="1" x14ac:dyDescent="0.2">
      <c r="B871" s="10"/>
      <c r="C871" s="11"/>
      <c r="D871" s="11"/>
      <c r="E871" s="12"/>
      <c r="F871" s="12"/>
      <c r="G871" s="11"/>
      <c r="H871" s="11"/>
      <c r="I871" s="11"/>
      <c r="J871" s="11"/>
    </row>
    <row r="872" spans="2:10" s="9" customFormat="1" x14ac:dyDescent="0.2">
      <c r="B872" s="10"/>
      <c r="C872" s="11"/>
      <c r="D872" s="11"/>
      <c r="E872" s="12"/>
      <c r="F872" s="12"/>
      <c r="G872" s="11"/>
      <c r="H872" s="11"/>
      <c r="I872" s="11"/>
      <c r="J872" s="11"/>
    </row>
    <row r="873" spans="2:10" s="9" customFormat="1" x14ac:dyDescent="0.2">
      <c r="B873" s="10"/>
      <c r="C873" s="11"/>
      <c r="D873" s="11"/>
      <c r="E873" s="12"/>
      <c r="F873" s="12"/>
      <c r="G873" s="11"/>
      <c r="H873" s="11"/>
      <c r="I873" s="11"/>
      <c r="J873" s="11"/>
    </row>
    <row r="874" spans="2:10" s="9" customFormat="1" x14ac:dyDescent="0.2">
      <c r="B874" s="10"/>
      <c r="C874" s="11"/>
      <c r="D874" s="11"/>
      <c r="E874" s="12"/>
      <c r="F874" s="12"/>
      <c r="G874" s="11"/>
      <c r="H874" s="11"/>
      <c r="I874" s="11"/>
      <c r="J874" s="11"/>
    </row>
    <row r="875" spans="2:10" s="9" customFormat="1" x14ac:dyDescent="0.2">
      <c r="B875" s="10"/>
      <c r="C875" s="11"/>
      <c r="D875" s="11"/>
      <c r="E875" s="12"/>
      <c r="F875" s="12"/>
      <c r="G875" s="11"/>
      <c r="H875" s="11"/>
      <c r="I875" s="11"/>
      <c r="J875" s="11"/>
    </row>
    <row r="876" spans="2:10" s="9" customFormat="1" x14ac:dyDescent="0.2">
      <c r="B876" s="10"/>
      <c r="C876" s="11"/>
      <c r="D876" s="11"/>
      <c r="E876" s="12"/>
      <c r="F876" s="12"/>
      <c r="G876" s="11"/>
      <c r="H876" s="11"/>
      <c r="I876" s="11"/>
      <c r="J876" s="11"/>
    </row>
    <row r="877" spans="2:10" s="9" customFormat="1" x14ac:dyDescent="0.2">
      <c r="B877" s="10"/>
      <c r="C877" s="11"/>
      <c r="D877" s="11"/>
      <c r="E877" s="12"/>
      <c r="F877" s="12"/>
      <c r="G877" s="11"/>
      <c r="H877" s="11"/>
      <c r="I877" s="11"/>
      <c r="J877" s="11"/>
    </row>
    <row r="878" spans="2:10" s="9" customFormat="1" x14ac:dyDescent="0.2">
      <c r="B878" s="10"/>
      <c r="C878" s="11"/>
      <c r="D878" s="11"/>
      <c r="E878" s="12"/>
      <c r="F878" s="12"/>
      <c r="G878" s="11"/>
      <c r="H878" s="11"/>
      <c r="I878" s="11"/>
      <c r="J878" s="11"/>
    </row>
    <row r="879" spans="2:10" s="9" customFormat="1" x14ac:dyDescent="0.2">
      <c r="B879" s="10"/>
      <c r="C879" s="11"/>
      <c r="D879" s="11"/>
      <c r="E879" s="12"/>
      <c r="F879" s="12"/>
      <c r="G879" s="11"/>
      <c r="H879" s="11"/>
      <c r="I879" s="11"/>
      <c r="J879" s="11"/>
    </row>
    <row r="880" spans="2:10" s="9" customFormat="1" x14ac:dyDescent="0.2">
      <c r="B880" s="10"/>
      <c r="C880" s="11"/>
      <c r="D880" s="11"/>
      <c r="E880" s="12"/>
      <c r="F880" s="12"/>
      <c r="G880" s="11"/>
      <c r="H880" s="11"/>
      <c r="I880" s="11"/>
      <c r="J880" s="11"/>
    </row>
    <row r="881" spans="2:10" s="9" customFormat="1" x14ac:dyDescent="0.2">
      <c r="B881" s="10"/>
      <c r="C881" s="11"/>
      <c r="D881" s="11"/>
      <c r="E881" s="12"/>
      <c r="F881" s="12"/>
      <c r="G881" s="11"/>
      <c r="H881" s="11"/>
      <c r="I881" s="11"/>
      <c r="J881" s="11"/>
    </row>
    <row r="882" spans="2:10" s="9" customFormat="1" x14ac:dyDescent="0.2">
      <c r="B882" s="10"/>
      <c r="C882" s="11"/>
      <c r="D882" s="11"/>
      <c r="E882" s="12"/>
      <c r="F882" s="12"/>
      <c r="G882" s="11"/>
      <c r="H882" s="11"/>
      <c r="I882" s="11"/>
      <c r="J882" s="11"/>
    </row>
    <row r="883" spans="2:10" s="9" customFormat="1" x14ac:dyDescent="0.2">
      <c r="B883" s="10"/>
      <c r="C883" s="11"/>
      <c r="D883" s="11"/>
      <c r="E883" s="12"/>
      <c r="F883" s="12"/>
      <c r="G883" s="11"/>
      <c r="H883" s="11"/>
      <c r="I883" s="11"/>
      <c r="J883" s="11"/>
    </row>
    <row r="884" spans="2:10" s="9" customFormat="1" x14ac:dyDescent="0.2">
      <c r="B884" s="10"/>
      <c r="C884" s="11"/>
      <c r="D884" s="11"/>
      <c r="E884" s="12"/>
      <c r="F884" s="12"/>
      <c r="G884" s="11"/>
      <c r="H884" s="11"/>
      <c r="I884" s="11"/>
      <c r="J884" s="11"/>
    </row>
    <row r="885" spans="2:10" s="9" customFormat="1" x14ac:dyDescent="0.2">
      <c r="B885" s="10"/>
      <c r="C885" s="11"/>
      <c r="D885" s="11"/>
      <c r="E885" s="12"/>
      <c r="F885" s="12"/>
      <c r="G885" s="11"/>
      <c r="H885" s="11"/>
      <c r="I885" s="11"/>
      <c r="J885" s="11"/>
    </row>
    <row r="886" spans="2:10" s="9" customFormat="1" x14ac:dyDescent="0.2">
      <c r="B886" s="10"/>
      <c r="C886" s="11"/>
      <c r="D886" s="11"/>
      <c r="E886" s="12"/>
      <c r="F886" s="12"/>
      <c r="G886" s="11"/>
      <c r="H886" s="11"/>
      <c r="I886" s="11"/>
      <c r="J886" s="11"/>
    </row>
    <row r="887" spans="2:10" s="9" customFormat="1" x14ac:dyDescent="0.2">
      <c r="B887" s="10"/>
      <c r="C887" s="11"/>
      <c r="D887" s="11"/>
      <c r="E887" s="12"/>
      <c r="F887" s="12"/>
      <c r="G887" s="11"/>
      <c r="H887" s="11"/>
      <c r="I887" s="11"/>
      <c r="J887" s="11"/>
    </row>
    <row r="888" spans="2:10" s="9" customFormat="1" x14ac:dyDescent="0.2">
      <c r="B888" s="10"/>
      <c r="C888" s="11"/>
      <c r="D888" s="11"/>
      <c r="E888" s="12"/>
      <c r="F888" s="12"/>
      <c r="G888" s="11"/>
      <c r="H888" s="11"/>
      <c r="I888" s="11"/>
      <c r="J888" s="11"/>
    </row>
    <row r="889" spans="2:10" s="9" customFormat="1" x14ac:dyDescent="0.2">
      <c r="B889" s="10"/>
      <c r="C889" s="11"/>
      <c r="D889" s="11"/>
      <c r="E889" s="12"/>
      <c r="F889" s="12"/>
      <c r="G889" s="11"/>
      <c r="H889" s="11"/>
      <c r="I889" s="11"/>
      <c r="J889" s="11"/>
    </row>
    <row r="890" spans="2:10" s="9" customFormat="1" x14ac:dyDescent="0.2">
      <c r="B890" s="10"/>
      <c r="C890" s="11"/>
      <c r="D890" s="11"/>
      <c r="E890" s="12"/>
      <c r="F890" s="12"/>
      <c r="G890" s="11"/>
      <c r="H890" s="11"/>
      <c r="I890" s="11"/>
      <c r="J890" s="11"/>
    </row>
    <row r="891" spans="2:10" s="9" customFormat="1" x14ac:dyDescent="0.2">
      <c r="B891" s="10"/>
      <c r="C891" s="11"/>
      <c r="D891" s="11"/>
      <c r="E891" s="12"/>
      <c r="F891" s="12"/>
      <c r="G891" s="11"/>
      <c r="H891" s="11"/>
      <c r="I891" s="11"/>
      <c r="J891" s="11"/>
    </row>
    <row r="892" spans="2:10" s="9" customFormat="1" x14ac:dyDescent="0.2">
      <c r="B892" s="10"/>
      <c r="C892" s="11"/>
      <c r="D892" s="11"/>
      <c r="E892" s="12"/>
      <c r="F892" s="12"/>
      <c r="G892" s="11"/>
      <c r="H892" s="11"/>
      <c r="I892" s="11"/>
      <c r="J892" s="11"/>
    </row>
    <row r="893" spans="2:10" s="9" customFormat="1" x14ac:dyDescent="0.2">
      <c r="B893" s="10"/>
      <c r="C893" s="11"/>
      <c r="D893" s="11"/>
      <c r="E893" s="12"/>
      <c r="F893" s="12"/>
      <c r="G893" s="11"/>
      <c r="H893" s="11"/>
      <c r="I893" s="11"/>
      <c r="J893" s="11"/>
    </row>
    <row r="894" spans="2:10" s="9" customFormat="1" x14ac:dyDescent="0.2">
      <c r="B894" s="10"/>
      <c r="C894" s="11"/>
      <c r="D894" s="11"/>
      <c r="E894" s="12"/>
      <c r="F894" s="12"/>
      <c r="G894" s="11"/>
      <c r="H894" s="11"/>
      <c r="I894" s="11"/>
      <c r="J894" s="11"/>
    </row>
    <row r="895" spans="2:10" s="9" customFormat="1" x14ac:dyDescent="0.2">
      <c r="B895" s="10"/>
      <c r="C895" s="11"/>
      <c r="D895" s="11"/>
      <c r="E895" s="12"/>
      <c r="F895" s="12"/>
      <c r="G895" s="11"/>
      <c r="H895" s="11"/>
      <c r="I895" s="11"/>
      <c r="J895" s="11"/>
    </row>
    <row r="896" spans="2:10" s="9" customFormat="1" x14ac:dyDescent="0.2">
      <c r="B896" s="10"/>
      <c r="C896" s="11"/>
      <c r="D896" s="11"/>
      <c r="E896" s="12"/>
      <c r="F896" s="12"/>
      <c r="G896" s="11"/>
      <c r="H896" s="11"/>
      <c r="I896" s="11"/>
      <c r="J896" s="11"/>
    </row>
    <row r="897" spans="2:10" s="9" customFormat="1" x14ac:dyDescent="0.2">
      <c r="B897" s="10"/>
      <c r="C897" s="11"/>
      <c r="D897" s="11"/>
      <c r="E897" s="12"/>
      <c r="F897" s="12"/>
      <c r="G897" s="11"/>
      <c r="H897" s="11"/>
      <c r="I897" s="11"/>
      <c r="J897" s="11"/>
    </row>
    <row r="898" spans="2:10" s="9" customFormat="1" x14ac:dyDescent="0.2">
      <c r="B898" s="10"/>
      <c r="C898" s="11"/>
      <c r="D898" s="11"/>
      <c r="E898" s="12"/>
      <c r="F898" s="12"/>
      <c r="G898" s="11"/>
      <c r="H898" s="11"/>
      <c r="I898" s="11"/>
      <c r="J898" s="11"/>
    </row>
    <row r="899" spans="2:10" s="9" customFormat="1" x14ac:dyDescent="0.2">
      <c r="B899" s="10"/>
      <c r="C899" s="11"/>
      <c r="D899" s="11"/>
      <c r="E899" s="12"/>
      <c r="F899" s="12"/>
      <c r="G899" s="11"/>
      <c r="H899" s="11"/>
      <c r="I899" s="11"/>
      <c r="J899" s="11"/>
    </row>
    <row r="900" spans="2:10" s="9" customFormat="1" x14ac:dyDescent="0.2">
      <c r="B900" s="10"/>
      <c r="C900" s="11"/>
      <c r="D900" s="11"/>
      <c r="E900" s="12"/>
      <c r="F900" s="12"/>
      <c r="G900" s="11"/>
      <c r="H900" s="11"/>
      <c r="I900" s="11"/>
      <c r="J900" s="11"/>
    </row>
    <row r="901" spans="2:10" s="9" customFormat="1" x14ac:dyDescent="0.2">
      <c r="B901" s="10"/>
      <c r="C901" s="11"/>
      <c r="D901" s="11"/>
      <c r="E901" s="12"/>
      <c r="F901" s="12"/>
      <c r="G901" s="11"/>
      <c r="H901" s="11"/>
      <c r="I901" s="11"/>
      <c r="J901" s="11"/>
    </row>
    <row r="902" spans="2:10" s="9" customFormat="1" x14ac:dyDescent="0.2">
      <c r="B902" s="10"/>
      <c r="C902" s="11"/>
      <c r="D902" s="11"/>
      <c r="E902" s="12"/>
      <c r="F902" s="12"/>
      <c r="G902" s="11"/>
      <c r="H902" s="11"/>
      <c r="I902" s="11"/>
      <c r="J902" s="11"/>
    </row>
    <row r="903" spans="2:10" s="9" customFormat="1" x14ac:dyDescent="0.2">
      <c r="B903" s="10"/>
      <c r="C903" s="11"/>
      <c r="D903" s="11"/>
      <c r="E903" s="12"/>
      <c r="F903" s="12"/>
      <c r="G903" s="11"/>
      <c r="H903" s="11"/>
      <c r="I903" s="11"/>
      <c r="J903" s="11"/>
    </row>
    <row r="904" spans="2:10" s="9" customFormat="1" x14ac:dyDescent="0.2">
      <c r="B904" s="10"/>
      <c r="C904" s="11"/>
      <c r="D904" s="11"/>
      <c r="E904" s="12"/>
      <c r="F904" s="12"/>
      <c r="G904" s="11"/>
      <c r="H904" s="11"/>
      <c r="I904" s="11"/>
      <c r="J904" s="11"/>
    </row>
    <row r="905" spans="2:10" s="9" customFormat="1" x14ac:dyDescent="0.2">
      <c r="B905" s="10"/>
      <c r="C905" s="11"/>
      <c r="D905" s="11"/>
      <c r="E905" s="12"/>
      <c r="F905" s="12"/>
      <c r="G905" s="11"/>
      <c r="H905" s="11"/>
      <c r="I905" s="11"/>
      <c r="J905" s="11"/>
    </row>
    <row r="906" spans="2:10" s="9" customFormat="1" x14ac:dyDescent="0.2">
      <c r="B906" s="10"/>
      <c r="C906" s="11"/>
      <c r="D906" s="11"/>
      <c r="E906" s="12"/>
      <c r="F906" s="12"/>
      <c r="G906" s="11"/>
      <c r="H906" s="11"/>
      <c r="I906" s="11"/>
      <c r="J906" s="11"/>
    </row>
    <row r="907" spans="2:10" s="9" customFormat="1" x14ac:dyDescent="0.2">
      <c r="B907" s="10"/>
      <c r="C907" s="11"/>
      <c r="D907" s="11"/>
      <c r="E907" s="12"/>
      <c r="F907" s="12"/>
      <c r="G907" s="11"/>
      <c r="H907" s="11"/>
      <c r="I907" s="11"/>
      <c r="J907" s="11"/>
    </row>
    <row r="908" spans="2:10" s="9" customFormat="1" x14ac:dyDescent="0.2">
      <c r="B908" s="10"/>
      <c r="C908" s="11"/>
      <c r="D908" s="11"/>
      <c r="E908" s="12"/>
      <c r="F908" s="12"/>
      <c r="G908" s="11"/>
      <c r="H908" s="11"/>
      <c r="I908" s="11"/>
      <c r="J908" s="11"/>
    </row>
    <row r="909" spans="2:10" s="9" customFormat="1" x14ac:dyDescent="0.2">
      <c r="B909" s="10"/>
      <c r="C909" s="11"/>
      <c r="D909" s="11"/>
      <c r="E909" s="12"/>
      <c r="F909" s="12"/>
      <c r="G909" s="11"/>
      <c r="H909" s="11"/>
      <c r="I909" s="11"/>
      <c r="J909" s="11"/>
    </row>
    <row r="910" spans="2:10" s="9" customFormat="1" x14ac:dyDescent="0.2">
      <c r="B910" s="10"/>
      <c r="C910" s="11"/>
      <c r="D910" s="11"/>
      <c r="E910" s="12"/>
      <c r="F910" s="12"/>
      <c r="G910" s="11"/>
      <c r="H910" s="11"/>
      <c r="I910" s="11"/>
      <c r="J910" s="11"/>
    </row>
    <row r="911" spans="2:10" s="9" customFormat="1" x14ac:dyDescent="0.2">
      <c r="B911" s="10"/>
      <c r="C911" s="11"/>
      <c r="D911" s="11"/>
      <c r="E911" s="12"/>
      <c r="F911" s="12"/>
      <c r="G911" s="11"/>
      <c r="H911" s="11"/>
      <c r="I911" s="11"/>
      <c r="J911" s="11"/>
    </row>
    <row r="912" spans="2:10" s="9" customFormat="1" x14ac:dyDescent="0.2">
      <c r="B912" s="10"/>
      <c r="C912" s="11"/>
      <c r="D912" s="11"/>
      <c r="E912" s="12"/>
      <c r="F912" s="12"/>
      <c r="G912" s="11"/>
      <c r="H912" s="11"/>
      <c r="I912" s="11"/>
      <c r="J912" s="11"/>
    </row>
    <row r="913" spans="2:10" s="9" customFormat="1" x14ac:dyDescent="0.2">
      <c r="B913" s="10"/>
      <c r="C913" s="11"/>
      <c r="D913" s="11"/>
      <c r="E913" s="12"/>
      <c r="F913" s="12"/>
      <c r="G913" s="11"/>
      <c r="H913" s="11"/>
      <c r="I913" s="11"/>
      <c r="J913" s="11"/>
    </row>
    <row r="914" spans="2:10" s="9" customFormat="1" x14ac:dyDescent="0.2">
      <c r="B914" s="10"/>
      <c r="C914" s="11"/>
      <c r="D914" s="11"/>
      <c r="E914" s="12"/>
      <c r="F914" s="12"/>
      <c r="G914" s="11"/>
      <c r="H914" s="11"/>
      <c r="I914" s="11"/>
      <c r="J914" s="11"/>
    </row>
    <row r="915" spans="2:10" s="9" customFormat="1" x14ac:dyDescent="0.2">
      <c r="B915" s="10"/>
      <c r="C915" s="11"/>
      <c r="D915" s="11"/>
      <c r="E915" s="12"/>
      <c r="F915" s="12"/>
      <c r="G915" s="11"/>
      <c r="H915" s="11"/>
      <c r="I915" s="11"/>
      <c r="J915" s="11"/>
    </row>
    <row r="916" spans="2:10" s="9" customFormat="1" x14ac:dyDescent="0.2">
      <c r="B916" s="10"/>
      <c r="C916" s="11"/>
      <c r="D916" s="11"/>
      <c r="E916" s="12"/>
      <c r="F916" s="12"/>
      <c r="G916" s="11"/>
      <c r="H916" s="11"/>
      <c r="I916" s="11"/>
      <c r="J916" s="11"/>
    </row>
    <row r="917" spans="2:10" s="9" customFormat="1" x14ac:dyDescent="0.2">
      <c r="B917" s="10"/>
      <c r="C917" s="11"/>
      <c r="D917" s="11"/>
      <c r="E917" s="12"/>
      <c r="F917" s="12"/>
      <c r="G917" s="11"/>
      <c r="H917" s="11"/>
      <c r="I917" s="11"/>
      <c r="J917" s="11"/>
    </row>
    <row r="918" spans="2:10" s="9" customFormat="1" x14ac:dyDescent="0.2">
      <c r="B918" s="10"/>
      <c r="C918" s="11"/>
      <c r="D918" s="11"/>
      <c r="E918" s="12"/>
      <c r="F918" s="12"/>
      <c r="G918" s="11"/>
      <c r="H918" s="11"/>
      <c r="I918" s="11"/>
      <c r="J918" s="11"/>
    </row>
    <row r="919" spans="2:10" s="9" customFormat="1" x14ac:dyDescent="0.2">
      <c r="B919" s="10"/>
      <c r="C919" s="11"/>
      <c r="D919" s="11"/>
      <c r="E919" s="12"/>
      <c r="F919" s="12"/>
      <c r="G919" s="11"/>
      <c r="H919" s="11"/>
      <c r="I919" s="11"/>
      <c r="J919" s="11"/>
    </row>
    <row r="920" spans="2:10" s="9" customFormat="1" x14ac:dyDescent="0.2">
      <c r="B920" s="10"/>
      <c r="C920" s="11"/>
      <c r="D920" s="11"/>
      <c r="E920" s="12"/>
      <c r="F920" s="12"/>
      <c r="G920" s="11"/>
      <c r="H920" s="11"/>
      <c r="I920" s="11"/>
      <c r="J920" s="11"/>
    </row>
    <row r="921" spans="2:10" s="9" customFormat="1" x14ac:dyDescent="0.2">
      <c r="B921" s="10"/>
      <c r="C921" s="11"/>
      <c r="D921" s="11"/>
      <c r="E921" s="12"/>
      <c r="F921" s="12"/>
      <c r="G921" s="11"/>
      <c r="H921" s="11"/>
      <c r="I921" s="11"/>
      <c r="J921" s="11"/>
    </row>
    <row r="922" spans="2:10" s="9" customFormat="1" x14ac:dyDescent="0.2">
      <c r="B922" s="10"/>
      <c r="C922" s="11"/>
      <c r="D922" s="11"/>
      <c r="E922" s="12"/>
      <c r="F922" s="12"/>
      <c r="G922" s="11"/>
      <c r="H922" s="11"/>
      <c r="I922" s="11"/>
      <c r="J922" s="11"/>
    </row>
    <row r="923" spans="2:10" s="9" customFormat="1" x14ac:dyDescent="0.2">
      <c r="B923" s="10"/>
      <c r="C923" s="11"/>
      <c r="D923" s="11"/>
      <c r="E923" s="12"/>
      <c r="F923" s="12"/>
      <c r="G923" s="11"/>
      <c r="H923" s="11"/>
      <c r="I923" s="11"/>
      <c r="J923" s="11"/>
    </row>
    <row r="924" spans="2:10" s="9" customFormat="1" x14ac:dyDescent="0.2">
      <c r="B924" s="10"/>
      <c r="C924" s="11"/>
      <c r="D924" s="11"/>
      <c r="E924" s="12"/>
      <c r="F924" s="12"/>
      <c r="G924" s="11"/>
      <c r="H924" s="11"/>
      <c r="I924" s="11"/>
      <c r="J924" s="11"/>
    </row>
    <row r="925" spans="2:10" s="9" customFormat="1" x14ac:dyDescent="0.2">
      <c r="B925" s="10"/>
      <c r="C925" s="11"/>
      <c r="D925" s="11"/>
      <c r="E925" s="12"/>
      <c r="F925" s="12"/>
      <c r="G925" s="11"/>
      <c r="H925" s="11"/>
      <c r="I925" s="11"/>
      <c r="J925" s="11"/>
    </row>
    <row r="926" spans="2:10" s="9" customFormat="1" x14ac:dyDescent="0.2">
      <c r="B926" s="10"/>
      <c r="C926" s="11"/>
      <c r="D926" s="11"/>
      <c r="E926" s="12"/>
      <c r="F926" s="12"/>
      <c r="G926" s="11"/>
      <c r="H926" s="11"/>
      <c r="I926" s="11"/>
      <c r="J926" s="11"/>
    </row>
    <row r="927" spans="2:10" s="9" customFormat="1" x14ac:dyDescent="0.2">
      <c r="B927" s="10"/>
      <c r="C927" s="11"/>
      <c r="D927" s="11"/>
      <c r="E927" s="12"/>
      <c r="F927" s="12"/>
      <c r="G927" s="11"/>
      <c r="H927" s="11"/>
      <c r="I927" s="11"/>
      <c r="J927" s="11"/>
    </row>
    <row r="928" spans="2:10" s="9" customFormat="1" x14ac:dyDescent="0.2">
      <c r="B928" s="10"/>
      <c r="C928" s="11"/>
      <c r="D928" s="11"/>
      <c r="E928" s="12"/>
      <c r="F928" s="12"/>
      <c r="G928" s="11"/>
      <c r="H928" s="11"/>
      <c r="I928" s="11"/>
      <c r="J928" s="11"/>
    </row>
  </sheetData>
  <mergeCells count="1">
    <mergeCell ref="K2:L2"/>
  </mergeCells>
  <pageMargins left="0.78740157480314965" right="0.51181102362204722" top="1.7322834645669292" bottom="0.78740157480314965" header="0.39370078740157483" footer="0.51181102362204722"/>
  <pageSetup paperSize="9" orientation="landscape" r:id="rId1"/>
  <headerFooter scaleWithDoc="0" alignWithMargins="0">
    <oddHeader xml:space="preserve">&amp;L&amp;"Verdana,Standard"&amp;11Prozessgruppe
&amp;"Verdana,Fett"PR&amp;"Verdana,Standard"&amp;10
&amp;K000000
&amp;C&amp;G&amp;R&amp;"Verdana,Fett"&amp;18FM-209
&amp;10
&amp;12Zelldaten Produktion&amp;10
&amp;8
</oddHeader>
    <oddFooter>&amp;L09.02.2017/SB&amp;CFM-209.A.Zelldaten Produktion&amp;R&amp;"Verdana,Standard"&amp;9Seite &amp;P von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928"/>
  <sheetViews>
    <sheetView showRuler="0" zoomScaleNormal="100" workbookViewId="0">
      <pane ySplit="2" topLeftCell="A35" activePane="bottomLeft" state="frozen"/>
      <selection pane="bottomLeft" activeCell="C38" sqref="C38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9.5703125" style="2" customWidth="1"/>
    <col min="5" max="6" width="13.28515625" style="3" customWidth="1"/>
    <col min="7" max="7" width="13.28515625" style="31" customWidth="1"/>
    <col min="8" max="8" width="10" style="2" bestFit="1" customWidth="1"/>
    <col min="9" max="10" width="12.28515625" style="2" customWidth="1"/>
    <col min="11" max="11" width="29.5703125" customWidth="1"/>
    <col min="12" max="12" width="51.28515625" customWidth="1"/>
    <col min="13" max="13" width="8.7109375" customWidth="1"/>
    <col min="14" max="14" width="12" style="9" customWidth="1"/>
    <col min="15" max="15" width="12.42578125" style="9" customWidth="1"/>
    <col min="16" max="45" width="11.28515625" style="9"/>
  </cols>
  <sheetData>
    <row r="1" spans="2:15" s="9" customFormat="1" x14ac:dyDescent="0.2">
      <c r="G1" s="29"/>
    </row>
    <row r="2" spans="2:15" ht="32.25" x14ac:dyDescent="0.2">
      <c r="B2" s="4" t="s">
        <v>0</v>
      </c>
      <c r="C2" s="4" t="s">
        <v>8</v>
      </c>
      <c r="D2" s="8" t="s">
        <v>4</v>
      </c>
      <c r="E2" s="5" t="s">
        <v>361</v>
      </c>
      <c r="F2" s="5" t="s">
        <v>362</v>
      </c>
      <c r="G2" s="5" t="s">
        <v>7</v>
      </c>
      <c r="H2" s="5" t="s">
        <v>6</v>
      </c>
      <c r="I2" s="5" t="s">
        <v>5</v>
      </c>
      <c r="J2" s="5" t="s">
        <v>1</v>
      </c>
      <c r="K2" s="158" t="s">
        <v>2</v>
      </c>
      <c r="L2" s="159"/>
      <c r="M2" s="4" t="s">
        <v>3</v>
      </c>
      <c r="N2" s="27" t="s">
        <v>360</v>
      </c>
      <c r="O2" s="27">
        <v>2017</v>
      </c>
    </row>
    <row r="3" spans="2:15" x14ac:dyDescent="0.2">
      <c r="B3" s="13" t="s">
        <v>226</v>
      </c>
      <c r="C3" s="13" t="s">
        <v>167</v>
      </c>
      <c r="D3" s="14">
        <v>4.9000000000000004</v>
      </c>
      <c r="E3" s="24"/>
      <c r="F3" s="15">
        <v>1.9139999999999999</v>
      </c>
      <c r="G3" s="15">
        <v>1.899</v>
      </c>
      <c r="H3" s="7">
        <f t="shared" ref="H3:H12" si="0">F3-G3</f>
        <v>1.4999999999999902E-2</v>
      </c>
      <c r="I3" s="6" t="s">
        <v>183</v>
      </c>
      <c r="J3" s="15" t="s">
        <v>202</v>
      </c>
      <c r="K3" s="15"/>
      <c r="L3" s="13"/>
      <c r="M3" s="6"/>
    </row>
    <row r="4" spans="2:15" x14ac:dyDescent="0.2">
      <c r="B4" s="13" t="s">
        <v>227</v>
      </c>
      <c r="C4" s="13" t="s">
        <v>41</v>
      </c>
      <c r="D4" s="14">
        <v>5.0999999999999996</v>
      </c>
      <c r="E4" s="24"/>
      <c r="F4" s="15">
        <v>1.913</v>
      </c>
      <c r="G4" s="15">
        <v>1.9</v>
      </c>
      <c r="H4" s="7">
        <f t="shared" si="0"/>
        <v>1.3000000000000123E-2</v>
      </c>
      <c r="I4" s="6" t="s">
        <v>41</v>
      </c>
      <c r="J4" s="6" t="s">
        <v>41</v>
      </c>
      <c r="K4" s="15"/>
      <c r="L4" s="15"/>
      <c r="M4" s="6"/>
    </row>
    <row r="5" spans="2:15" x14ac:dyDescent="0.2">
      <c r="B5" s="13" t="s">
        <v>228</v>
      </c>
      <c r="C5" s="13" t="s">
        <v>41</v>
      </c>
      <c r="D5" s="14">
        <v>5.5</v>
      </c>
      <c r="E5" s="24"/>
      <c r="F5" s="15">
        <v>1.923</v>
      </c>
      <c r="G5" s="15">
        <v>1.909</v>
      </c>
      <c r="H5" s="7">
        <f t="shared" si="0"/>
        <v>1.4000000000000012E-2</v>
      </c>
      <c r="I5" s="6" t="s">
        <v>41</v>
      </c>
      <c r="J5" s="6" t="s">
        <v>41</v>
      </c>
      <c r="K5" s="19"/>
      <c r="L5" s="13"/>
      <c r="M5" s="6"/>
    </row>
    <row r="6" spans="2:15" x14ac:dyDescent="0.2">
      <c r="B6" s="13" t="s">
        <v>229</v>
      </c>
      <c r="C6" s="13" t="s">
        <v>230</v>
      </c>
      <c r="D6" s="14">
        <v>7.1</v>
      </c>
      <c r="E6" s="24"/>
      <c r="F6" s="15">
        <v>1.917</v>
      </c>
      <c r="G6" s="15">
        <v>1.905</v>
      </c>
      <c r="H6" s="7">
        <f t="shared" si="0"/>
        <v>1.2000000000000011E-2</v>
      </c>
      <c r="I6" s="6" t="s">
        <v>41</v>
      </c>
      <c r="J6" s="6" t="s">
        <v>41</v>
      </c>
      <c r="K6" s="19"/>
      <c r="L6" s="13"/>
      <c r="M6" s="6"/>
    </row>
    <row r="7" spans="2:15" x14ac:dyDescent="0.2">
      <c r="B7" s="13" t="s">
        <v>231</v>
      </c>
      <c r="C7" s="13" t="s">
        <v>41</v>
      </c>
      <c r="D7" s="14">
        <v>6.3</v>
      </c>
      <c r="E7" s="24"/>
      <c r="F7" s="15">
        <v>1.91</v>
      </c>
      <c r="G7" s="15">
        <v>1.895</v>
      </c>
      <c r="H7" s="7">
        <f t="shared" si="0"/>
        <v>1.4999999999999902E-2</v>
      </c>
      <c r="I7" s="6" t="s">
        <v>41</v>
      </c>
      <c r="J7" s="6" t="s">
        <v>41</v>
      </c>
      <c r="K7" s="13"/>
      <c r="L7" s="20"/>
      <c r="M7" s="6"/>
    </row>
    <row r="8" spans="2:15" x14ac:dyDescent="0.2">
      <c r="B8" s="13" t="s">
        <v>232</v>
      </c>
      <c r="C8" s="13" t="s">
        <v>41</v>
      </c>
      <c r="D8" s="14">
        <v>7</v>
      </c>
      <c r="E8" s="24"/>
      <c r="F8" s="15">
        <v>1.913</v>
      </c>
      <c r="G8" s="15">
        <v>1.899</v>
      </c>
      <c r="H8" s="7">
        <f t="shared" si="0"/>
        <v>1.4000000000000012E-2</v>
      </c>
      <c r="I8" s="6" t="s">
        <v>41</v>
      </c>
      <c r="J8" s="6" t="s">
        <v>41</v>
      </c>
      <c r="K8" s="13"/>
      <c r="L8" s="13"/>
      <c r="M8" s="6"/>
    </row>
    <row r="9" spans="2:15" x14ac:dyDescent="0.2">
      <c r="B9" s="13" t="s">
        <v>233</v>
      </c>
      <c r="C9" s="13" t="s">
        <v>41</v>
      </c>
      <c r="D9" s="14">
        <v>7</v>
      </c>
      <c r="E9" s="24"/>
      <c r="F9" s="15">
        <v>1.9039999999999999</v>
      </c>
      <c r="G9" s="15">
        <v>1.89</v>
      </c>
      <c r="H9" s="7">
        <f t="shared" si="0"/>
        <v>1.4000000000000012E-2</v>
      </c>
      <c r="I9" s="6" t="s">
        <v>41</v>
      </c>
      <c r="J9" s="6" t="s">
        <v>41</v>
      </c>
      <c r="K9" s="19"/>
      <c r="L9" s="13"/>
      <c r="M9" s="6"/>
    </row>
    <row r="10" spans="2:15" x14ac:dyDescent="0.2">
      <c r="B10" s="13" t="s">
        <v>234</v>
      </c>
      <c r="C10" s="13" t="s">
        <v>41</v>
      </c>
      <c r="D10" s="16">
        <v>8.1999999999999993</v>
      </c>
      <c r="E10" s="24"/>
      <c r="F10" s="15">
        <v>1.91</v>
      </c>
      <c r="G10" s="15">
        <v>1.8939999999999999</v>
      </c>
      <c r="H10" s="7">
        <f t="shared" si="0"/>
        <v>1.6000000000000014E-2</v>
      </c>
      <c r="I10" s="6" t="s">
        <v>41</v>
      </c>
      <c r="J10" s="6" t="s">
        <v>41</v>
      </c>
      <c r="K10" s="15"/>
      <c r="L10" s="13"/>
      <c r="M10" s="6"/>
      <c r="O10" s="28"/>
    </row>
    <row r="11" spans="2:15" x14ac:dyDescent="0.2">
      <c r="B11" s="13" t="s">
        <v>235</v>
      </c>
      <c r="C11" s="13" t="s">
        <v>41</v>
      </c>
      <c r="D11" s="16">
        <v>5.2</v>
      </c>
      <c r="E11" s="24"/>
      <c r="F11" s="15">
        <v>1.901</v>
      </c>
      <c r="G11" s="15">
        <v>1.887</v>
      </c>
      <c r="H11" s="7">
        <f t="shared" si="0"/>
        <v>1.4000000000000012E-2</v>
      </c>
      <c r="I11" s="6" t="s">
        <v>41</v>
      </c>
      <c r="J11" s="6" t="s">
        <v>41</v>
      </c>
      <c r="K11" s="15"/>
      <c r="L11" s="13"/>
      <c r="M11" s="6"/>
    </row>
    <row r="12" spans="2:15" x14ac:dyDescent="0.2">
      <c r="B12" s="13" t="s">
        <v>236</v>
      </c>
      <c r="C12" s="13" t="s">
        <v>41</v>
      </c>
      <c r="D12" s="16">
        <v>5.2</v>
      </c>
      <c r="E12" s="24"/>
      <c r="F12" s="15">
        <v>1.8819999999999999</v>
      </c>
      <c r="G12" s="15">
        <v>1.871</v>
      </c>
      <c r="H12" s="7">
        <f t="shared" si="0"/>
        <v>1.0999999999999899E-2</v>
      </c>
      <c r="I12" s="6" t="s">
        <v>41</v>
      </c>
      <c r="J12" s="6" t="s">
        <v>41</v>
      </c>
      <c r="K12" s="15"/>
      <c r="L12" s="13"/>
      <c r="M12" s="6"/>
    </row>
    <row r="13" spans="2:15" x14ac:dyDescent="0.2">
      <c r="B13" s="13" t="s">
        <v>237</v>
      </c>
      <c r="C13" s="13" t="s">
        <v>129</v>
      </c>
      <c r="D13" s="16"/>
      <c r="E13" s="24"/>
      <c r="F13" s="6"/>
      <c r="G13" s="7"/>
      <c r="H13" s="7"/>
      <c r="I13" s="6" t="s">
        <v>314</v>
      </c>
      <c r="J13" s="6" t="s">
        <v>315</v>
      </c>
      <c r="K13" s="15"/>
      <c r="L13" s="13"/>
      <c r="M13" s="6"/>
    </row>
    <row r="14" spans="2:15" x14ac:dyDescent="0.2">
      <c r="B14" s="13"/>
      <c r="C14" s="13" t="s">
        <v>129</v>
      </c>
      <c r="D14" s="16"/>
      <c r="E14" s="24"/>
      <c r="F14" s="15"/>
      <c r="G14" s="15"/>
      <c r="H14" s="15"/>
      <c r="I14" s="7"/>
      <c r="J14" s="7"/>
      <c r="K14" s="15"/>
      <c r="L14" s="13"/>
      <c r="M14" s="6"/>
    </row>
    <row r="15" spans="2:15" x14ac:dyDescent="0.2">
      <c r="B15" s="13"/>
      <c r="C15" s="13" t="s">
        <v>41</v>
      </c>
      <c r="D15" s="16"/>
      <c r="E15" s="24"/>
      <c r="F15" s="15"/>
      <c r="G15" s="15"/>
      <c r="H15" s="15"/>
      <c r="I15" s="7"/>
      <c r="J15" s="7"/>
      <c r="K15" s="15"/>
      <c r="L15" s="13"/>
      <c r="M15" s="6"/>
    </row>
    <row r="16" spans="2:15" x14ac:dyDescent="0.2">
      <c r="B16" s="13"/>
      <c r="C16" s="13" t="s">
        <v>41</v>
      </c>
      <c r="D16" s="16"/>
      <c r="E16" s="24"/>
      <c r="F16" s="15"/>
      <c r="G16" s="15"/>
      <c r="H16" s="15"/>
      <c r="I16" s="7"/>
      <c r="J16" s="7"/>
      <c r="K16" s="15"/>
      <c r="L16" s="13"/>
      <c r="M16" s="6"/>
    </row>
    <row r="17" spans="2:13" x14ac:dyDescent="0.2">
      <c r="B17" s="13"/>
      <c r="C17" s="13" t="s">
        <v>41</v>
      </c>
      <c r="D17" s="16"/>
      <c r="E17" s="24"/>
      <c r="F17" s="15"/>
      <c r="G17" s="15"/>
      <c r="H17" s="15"/>
      <c r="I17" s="7"/>
      <c r="J17" s="7"/>
      <c r="K17" s="15"/>
      <c r="L17" s="13"/>
      <c r="M17" s="6"/>
    </row>
    <row r="18" spans="2:13" x14ac:dyDescent="0.2">
      <c r="B18" s="13"/>
      <c r="C18" s="13" t="s">
        <v>41</v>
      </c>
      <c r="D18" s="16"/>
      <c r="E18" s="24"/>
      <c r="F18" s="15"/>
      <c r="G18" s="15"/>
      <c r="H18" s="15"/>
      <c r="I18" s="7"/>
      <c r="J18" s="7"/>
      <c r="K18" s="15"/>
      <c r="L18" s="13"/>
      <c r="M18" s="6"/>
    </row>
    <row r="19" spans="2:13" x14ac:dyDescent="0.2">
      <c r="B19" s="13"/>
      <c r="C19" s="13" t="s">
        <v>41</v>
      </c>
      <c r="D19" s="16"/>
      <c r="E19" s="24"/>
      <c r="F19" s="15"/>
      <c r="G19" s="15"/>
      <c r="H19" s="15"/>
      <c r="I19" s="7"/>
      <c r="J19" s="7"/>
      <c r="K19" s="18"/>
      <c r="L19" s="13"/>
      <c r="M19" s="6"/>
    </row>
    <row r="20" spans="2:13" x14ac:dyDescent="0.2">
      <c r="B20" s="13"/>
      <c r="C20" s="13" t="s">
        <v>41</v>
      </c>
      <c r="D20" s="16"/>
      <c r="E20" s="24"/>
      <c r="F20" s="15"/>
      <c r="G20" s="15"/>
      <c r="H20" s="15"/>
      <c r="I20" s="7"/>
      <c r="J20" s="7"/>
      <c r="K20" s="15"/>
      <c r="L20" s="13"/>
      <c r="M20" s="6"/>
    </row>
    <row r="21" spans="2:13" x14ac:dyDescent="0.2">
      <c r="B21" s="13"/>
      <c r="C21" s="13" t="s">
        <v>41</v>
      </c>
      <c r="D21" s="16"/>
      <c r="E21" s="24"/>
      <c r="F21" s="15"/>
      <c r="G21" s="15"/>
      <c r="H21" s="15"/>
      <c r="I21" s="7"/>
      <c r="J21" s="7"/>
      <c r="K21" s="21"/>
      <c r="L21" s="13"/>
      <c r="M21" s="6"/>
    </row>
    <row r="22" spans="2:13" x14ac:dyDescent="0.2">
      <c r="B22" s="13"/>
      <c r="C22" s="15" t="s">
        <v>41</v>
      </c>
      <c r="D22" s="16"/>
      <c r="E22" s="24"/>
      <c r="F22" s="15"/>
      <c r="G22" s="15"/>
      <c r="H22" s="15"/>
      <c r="I22" s="7"/>
      <c r="J22" s="7"/>
      <c r="K22" s="21"/>
      <c r="L22" s="13"/>
      <c r="M22" s="6"/>
    </row>
    <row r="23" spans="2:13" x14ac:dyDescent="0.2">
      <c r="B23" s="13"/>
      <c r="C23" s="13" t="s">
        <v>41</v>
      </c>
      <c r="D23" s="16"/>
      <c r="E23" s="24"/>
      <c r="F23" s="15"/>
      <c r="G23" s="15"/>
      <c r="H23" s="15"/>
      <c r="I23" s="7"/>
      <c r="J23" s="7"/>
      <c r="K23" s="15"/>
      <c r="L23" s="13"/>
      <c r="M23" s="6"/>
    </row>
    <row r="24" spans="2:13" x14ac:dyDescent="0.2">
      <c r="B24" s="13"/>
      <c r="C24" s="13" t="s">
        <v>41</v>
      </c>
      <c r="D24" s="16"/>
      <c r="E24" s="24"/>
      <c r="F24" s="15"/>
      <c r="G24" s="15"/>
      <c r="H24" s="15"/>
      <c r="I24" s="7"/>
      <c r="J24" s="7"/>
      <c r="K24" s="15"/>
      <c r="L24" s="13"/>
      <c r="M24" s="6"/>
    </row>
    <row r="25" spans="2:13" x14ac:dyDescent="0.2">
      <c r="B25" s="13" t="s">
        <v>238</v>
      </c>
      <c r="C25" s="13" t="s">
        <v>230</v>
      </c>
      <c r="D25" s="16">
        <v>6.5</v>
      </c>
      <c r="E25" s="24"/>
      <c r="F25" s="15">
        <v>1.8819999999999999</v>
      </c>
      <c r="G25" s="15">
        <v>1.8660000000000001</v>
      </c>
      <c r="H25" s="7">
        <f t="shared" ref="H25:H47" si="1">F25-G25</f>
        <v>1.5999999999999792E-2</v>
      </c>
      <c r="I25" s="7" t="s">
        <v>183</v>
      </c>
      <c r="J25" s="7" t="s">
        <v>202</v>
      </c>
      <c r="K25" s="15"/>
      <c r="L25" s="13"/>
      <c r="M25" s="6"/>
    </row>
    <row r="26" spans="2:13" x14ac:dyDescent="0.2">
      <c r="B26" s="13" t="s">
        <v>239</v>
      </c>
      <c r="C26" s="13" t="s">
        <v>41</v>
      </c>
      <c r="D26" s="16">
        <v>4</v>
      </c>
      <c r="E26" s="24"/>
      <c r="F26" s="15">
        <v>1.9039999999999999</v>
      </c>
      <c r="G26" s="15">
        <v>1.891</v>
      </c>
      <c r="H26" s="7">
        <f t="shared" si="1"/>
        <v>1.2999999999999901E-2</v>
      </c>
      <c r="I26" s="7" t="s">
        <v>41</v>
      </c>
      <c r="J26" s="7" t="s">
        <v>41</v>
      </c>
      <c r="K26" s="15"/>
      <c r="L26" s="13"/>
      <c r="M26" s="6"/>
    </row>
    <row r="27" spans="2:13" x14ac:dyDescent="0.2">
      <c r="B27" s="13" t="s">
        <v>240</v>
      </c>
      <c r="C27" s="13" t="s">
        <v>41</v>
      </c>
      <c r="D27" s="14">
        <v>2.8</v>
      </c>
      <c r="E27" s="24"/>
      <c r="F27" s="7">
        <v>1.9</v>
      </c>
      <c r="G27" s="7">
        <v>1.887</v>
      </c>
      <c r="H27" s="7">
        <f t="shared" si="1"/>
        <v>1.2999999999999901E-2</v>
      </c>
      <c r="I27" s="6" t="s">
        <v>41</v>
      </c>
      <c r="J27" s="6" t="s">
        <v>41</v>
      </c>
      <c r="K27" s="15"/>
      <c r="L27" s="13"/>
      <c r="M27" s="6"/>
    </row>
    <row r="28" spans="2:13" x14ac:dyDescent="0.2">
      <c r="B28" s="13" t="s">
        <v>241</v>
      </c>
      <c r="C28" s="13" t="s">
        <v>41</v>
      </c>
      <c r="D28" s="14">
        <v>10.7</v>
      </c>
      <c r="E28" s="24"/>
      <c r="F28" s="7">
        <v>1.8959999999999999</v>
      </c>
      <c r="G28" s="7">
        <v>1.89</v>
      </c>
      <c r="H28" s="7">
        <f t="shared" si="1"/>
        <v>6.0000000000000053E-3</v>
      </c>
      <c r="I28" s="6" t="s">
        <v>41</v>
      </c>
      <c r="J28" s="6" t="s">
        <v>41</v>
      </c>
      <c r="K28" s="15"/>
      <c r="L28" s="13"/>
      <c r="M28" s="6"/>
    </row>
    <row r="29" spans="2:13" x14ac:dyDescent="0.2">
      <c r="B29" s="13" t="s">
        <v>242</v>
      </c>
      <c r="C29" s="13" t="s">
        <v>41</v>
      </c>
      <c r="D29" s="14">
        <v>6.7</v>
      </c>
      <c r="E29" s="24"/>
      <c r="F29" s="7">
        <v>1.899</v>
      </c>
      <c r="G29" s="7">
        <v>1.885</v>
      </c>
      <c r="H29" s="7">
        <f t="shared" si="1"/>
        <v>1.4000000000000012E-2</v>
      </c>
      <c r="I29" s="6" t="s">
        <v>41</v>
      </c>
      <c r="J29" s="6" t="s">
        <v>41</v>
      </c>
      <c r="K29" s="15"/>
      <c r="L29" s="13"/>
      <c r="M29" s="6"/>
    </row>
    <row r="30" spans="2:13" x14ac:dyDescent="0.2">
      <c r="B30" s="13" t="s">
        <v>243</v>
      </c>
      <c r="C30" s="13" t="s">
        <v>41</v>
      </c>
      <c r="D30" s="14">
        <v>6.1</v>
      </c>
      <c r="E30" s="24"/>
      <c r="F30" s="7">
        <v>1.8720000000000001</v>
      </c>
      <c r="G30" s="7">
        <v>1.8580000000000001</v>
      </c>
      <c r="H30" s="7">
        <f t="shared" si="1"/>
        <v>1.4000000000000012E-2</v>
      </c>
      <c r="I30" s="6" t="s">
        <v>41</v>
      </c>
      <c r="J30" s="6" t="s">
        <v>41</v>
      </c>
      <c r="K30" s="15"/>
      <c r="L30" s="13"/>
      <c r="M30" s="6"/>
    </row>
    <row r="31" spans="2:13" x14ac:dyDescent="0.2">
      <c r="B31" s="13" t="s">
        <v>244</v>
      </c>
      <c r="C31" s="13" t="s">
        <v>41</v>
      </c>
      <c r="D31" s="14">
        <v>10.6</v>
      </c>
      <c r="E31" s="24"/>
      <c r="F31" s="7">
        <v>1.9059999999999999</v>
      </c>
      <c r="G31" s="7">
        <v>1.897</v>
      </c>
      <c r="H31" s="7">
        <f t="shared" si="1"/>
        <v>8.999999999999897E-3</v>
      </c>
      <c r="I31" s="6" t="s">
        <v>41</v>
      </c>
      <c r="J31" s="6" t="s">
        <v>41</v>
      </c>
      <c r="K31" s="15"/>
      <c r="L31" s="13"/>
      <c r="M31" s="6"/>
    </row>
    <row r="32" spans="2:13" x14ac:dyDescent="0.2">
      <c r="B32" s="13" t="s">
        <v>245</v>
      </c>
      <c r="C32" s="13" t="s">
        <v>41</v>
      </c>
      <c r="D32" s="14">
        <v>6.7</v>
      </c>
      <c r="E32" s="24"/>
      <c r="F32" s="7">
        <v>1.8859999999999999</v>
      </c>
      <c r="G32" s="7">
        <v>1.871</v>
      </c>
      <c r="H32" s="7">
        <f t="shared" si="1"/>
        <v>1.4999999999999902E-2</v>
      </c>
      <c r="I32" s="6" t="s">
        <v>41</v>
      </c>
      <c r="J32" s="6" t="s">
        <v>41</v>
      </c>
      <c r="K32" s="15"/>
      <c r="L32" s="13"/>
      <c r="M32" s="6"/>
    </row>
    <row r="33" spans="2:13" x14ac:dyDescent="0.2">
      <c r="B33" s="13" t="s">
        <v>246</v>
      </c>
      <c r="C33" s="13" t="s">
        <v>41</v>
      </c>
      <c r="D33" s="14">
        <v>7.8</v>
      </c>
      <c r="E33" s="24"/>
      <c r="F33" s="7">
        <v>1.8919999999999999</v>
      </c>
      <c r="G33" s="7">
        <v>1.88</v>
      </c>
      <c r="H33" s="7">
        <f t="shared" si="1"/>
        <v>1.2000000000000011E-2</v>
      </c>
      <c r="I33" s="6" t="s">
        <v>41</v>
      </c>
      <c r="J33" s="6" t="s">
        <v>41</v>
      </c>
      <c r="K33" s="15"/>
      <c r="L33" s="13"/>
      <c r="M33" s="6"/>
    </row>
    <row r="34" spans="2:13" x14ac:dyDescent="0.2">
      <c r="B34" s="13" t="s">
        <v>247</v>
      </c>
      <c r="C34" s="13" t="s">
        <v>41</v>
      </c>
      <c r="D34" s="14">
        <v>7.3</v>
      </c>
      <c r="E34" s="24"/>
      <c r="F34" s="7">
        <v>1.901</v>
      </c>
      <c r="G34" s="7">
        <v>1.889</v>
      </c>
      <c r="H34" s="7">
        <f t="shared" si="1"/>
        <v>1.2000000000000011E-2</v>
      </c>
      <c r="I34" s="6" t="s">
        <v>41</v>
      </c>
      <c r="J34" s="6" t="s">
        <v>41</v>
      </c>
      <c r="K34" s="15"/>
      <c r="L34" s="22"/>
      <c r="M34" s="6"/>
    </row>
    <row r="35" spans="2:13" x14ac:dyDescent="0.2">
      <c r="B35" s="13" t="s">
        <v>248</v>
      </c>
      <c r="C35" s="13" t="s">
        <v>41</v>
      </c>
      <c r="D35" s="14">
        <v>4.7</v>
      </c>
      <c r="E35" s="24"/>
      <c r="F35" s="7">
        <v>1.901</v>
      </c>
      <c r="G35" s="7">
        <v>1.889</v>
      </c>
      <c r="H35" s="7">
        <f t="shared" si="1"/>
        <v>1.2000000000000011E-2</v>
      </c>
      <c r="I35" s="6" t="s">
        <v>316</v>
      </c>
      <c r="J35" s="6" t="s">
        <v>317</v>
      </c>
      <c r="K35" s="40" t="s">
        <v>532</v>
      </c>
      <c r="L35" s="22" t="s">
        <v>318</v>
      </c>
      <c r="M35" s="6"/>
    </row>
    <row r="36" spans="2:13" x14ac:dyDescent="0.2">
      <c r="B36" s="13" t="s">
        <v>249</v>
      </c>
      <c r="C36" s="13" t="s">
        <v>41</v>
      </c>
      <c r="D36" s="13">
        <v>5.8</v>
      </c>
      <c r="E36" s="24"/>
      <c r="F36" s="7">
        <v>1.9139999999999999</v>
      </c>
      <c r="G36" s="7">
        <v>1.9019999999999999</v>
      </c>
      <c r="H36" s="7">
        <f t="shared" si="1"/>
        <v>1.2000000000000011E-2</v>
      </c>
      <c r="I36" s="6" t="s">
        <v>316</v>
      </c>
      <c r="J36" s="6" t="s">
        <v>41</v>
      </c>
      <c r="K36" s="40" t="s">
        <v>531</v>
      </c>
      <c r="L36" s="20" t="s">
        <v>319</v>
      </c>
      <c r="M36" s="6"/>
    </row>
    <row r="37" spans="2:13" x14ac:dyDescent="0.2">
      <c r="B37" s="13" t="s">
        <v>250</v>
      </c>
      <c r="C37" s="13" t="s">
        <v>41</v>
      </c>
      <c r="D37" s="13">
        <v>6.7</v>
      </c>
      <c r="E37" s="24"/>
      <c r="F37" s="7">
        <v>1.903</v>
      </c>
      <c r="G37" s="7">
        <v>1.8919999999999999</v>
      </c>
      <c r="H37" s="7">
        <f t="shared" si="1"/>
        <v>1.1000000000000121E-2</v>
      </c>
      <c r="I37" s="6" t="s">
        <v>320</v>
      </c>
      <c r="J37" s="6" t="s">
        <v>321</v>
      </c>
      <c r="K37" s="15"/>
      <c r="L37" s="22" t="s">
        <v>322</v>
      </c>
      <c r="M37" s="6"/>
    </row>
    <row r="38" spans="2:13" x14ac:dyDescent="0.2">
      <c r="B38" s="13" t="s">
        <v>251</v>
      </c>
      <c r="C38" s="13" t="s">
        <v>252</v>
      </c>
      <c r="D38" s="14">
        <v>7.1</v>
      </c>
      <c r="E38" s="24"/>
      <c r="F38" s="7">
        <v>1.8979999999999999</v>
      </c>
      <c r="G38" s="7">
        <v>1.885</v>
      </c>
      <c r="H38" s="7">
        <f t="shared" si="1"/>
        <v>1.2999999999999901E-2</v>
      </c>
      <c r="I38" s="6" t="s">
        <v>183</v>
      </c>
      <c r="J38" s="6" t="s">
        <v>202</v>
      </c>
      <c r="K38" s="15"/>
      <c r="L38" s="13"/>
      <c r="M38" s="6"/>
    </row>
    <row r="39" spans="2:13" x14ac:dyDescent="0.2">
      <c r="B39" s="13" t="s">
        <v>253</v>
      </c>
      <c r="C39" s="13" t="s">
        <v>41</v>
      </c>
      <c r="D39" s="14">
        <v>6.6</v>
      </c>
      <c r="E39" s="24"/>
      <c r="F39" s="7">
        <v>1.8919999999999999</v>
      </c>
      <c r="G39" s="7">
        <v>1.8759999999999999</v>
      </c>
      <c r="H39" s="7">
        <f t="shared" si="1"/>
        <v>1.6000000000000014E-2</v>
      </c>
      <c r="I39" s="6" t="s">
        <v>41</v>
      </c>
      <c r="J39" s="6" t="s">
        <v>41</v>
      </c>
      <c r="K39" s="15"/>
      <c r="L39" s="13"/>
      <c r="M39" s="6"/>
    </row>
    <row r="40" spans="2:13" x14ac:dyDescent="0.2">
      <c r="B40" s="13" t="s">
        <v>254</v>
      </c>
      <c r="C40" s="13" t="s">
        <v>41</v>
      </c>
      <c r="D40" s="14">
        <v>6.9</v>
      </c>
      <c r="E40" s="24"/>
      <c r="F40" s="7">
        <v>1.8839999999999999</v>
      </c>
      <c r="G40" s="7">
        <v>1.87</v>
      </c>
      <c r="H40" s="7">
        <f t="shared" si="1"/>
        <v>1.399999999999979E-2</v>
      </c>
      <c r="I40" s="6" t="s">
        <v>41</v>
      </c>
      <c r="J40" s="6" t="s">
        <v>41</v>
      </c>
      <c r="K40" s="15"/>
      <c r="L40" s="22"/>
      <c r="M40" s="6"/>
    </row>
    <row r="41" spans="2:13" x14ac:dyDescent="0.2">
      <c r="B41" s="13" t="s">
        <v>255</v>
      </c>
      <c r="C41" s="13" t="s">
        <v>41</v>
      </c>
      <c r="D41" s="14">
        <v>10.8</v>
      </c>
      <c r="E41" s="24"/>
      <c r="F41" s="7">
        <v>1.91</v>
      </c>
      <c r="G41" s="7">
        <v>1.899</v>
      </c>
      <c r="H41" s="7">
        <f t="shared" si="1"/>
        <v>1.0999999999999899E-2</v>
      </c>
      <c r="I41" s="6" t="s">
        <v>41</v>
      </c>
      <c r="J41" s="6" t="s">
        <v>41</v>
      </c>
      <c r="K41" s="15"/>
      <c r="L41" s="13"/>
      <c r="M41" s="6"/>
    </row>
    <row r="42" spans="2:13" x14ac:dyDescent="0.2">
      <c r="B42" s="13" t="s">
        <v>256</v>
      </c>
      <c r="C42" s="13" t="s">
        <v>41</v>
      </c>
      <c r="D42" s="14">
        <v>6.6</v>
      </c>
      <c r="E42" s="24"/>
      <c r="F42" s="7">
        <v>1.9039999999999999</v>
      </c>
      <c r="G42" s="7">
        <v>1.893</v>
      </c>
      <c r="H42" s="7">
        <f t="shared" si="1"/>
        <v>1.0999999999999899E-2</v>
      </c>
      <c r="I42" s="6" t="s">
        <v>41</v>
      </c>
      <c r="J42" s="6" t="s">
        <v>41</v>
      </c>
      <c r="K42" s="15"/>
      <c r="L42" s="13"/>
      <c r="M42" s="6"/>
    </row>
    <row r="43" spans="2:13" x14ac:dyDescent="0.2">
      <c r="B43" s="13" t="s">
        <v>257</v>
      </c>
      <c r="C43" s="13" t="s">
        <v>41</v>
      </c>
      <c r="D43" s="14">
        <v>4.0999999999999996</v>
      </c>
      <c r="E43" s="24"/>
      <c r="F43" s="7">
        <v>1.8740000000000001</v>
      </c>
      <c r="G43" s="7">
        <v>1.861</v>
      </c>
      <c r="H43" s="7">
        <f t="shared" si="1"/>
        <v>1.3000000000000123E-2</v>
      </c>
      <c r="I43" s="6" t="s">
        <v>41</v>
      </c>
      <c r="J43" s="6" t="s">
        <v>41</v>
      </c>
      <c r="K43" s="15"/>
      <c r="L43" s="13"/>
      <c r="M43" s="6"/>
    </row>
    <row r="44" spans="2:13" x14ac:dyDescent="0.2">
      <c r="B44" s="13" t="s">
        <v>258</v>
      </c>
      <c r="C44" s="13" t="s">
        <v>41</v>
      </c>
      <c r="D44" s="14">
        <v>5.9</v>
      </c>
      <c r="E44" s="24"/>
      <c r="F44" s="7">
        <v>1.9</v>
      </c>
      <c r="G44" s="7">
        <v>1.885</v>
      </c>
      <c r="H44" s="7">
        <f t="shared" si="1"/>
        <v>1.4999999999999902E-2</v>
      </c>
      <c r="I44" s="6" t="s">
        <v>41</v>
      </c>
      <c r="J44" s="6" t="s">
        <v>41</v>
      </c>
      <c r="K44" s="15"/>
      <c r="L44" s="13"/>
      <c r="M44" s="6"/>
    </row>
    <row r="45" spans="2:13" x14ac:dyDescent="0.2">
      <c r="B45" s="13" t="s">
        <v>259</v>
      </c>
      <c r="C45" s="13" t="s">
        <v>41</v>
      </c>
      <c r="D45" s="14">
        <v>6.6</v>
      </c>
      <c r="E45" s="24"/>
      <c r="F45" s="7">
        <v>1.903</v>
      </c>
      <c r="G45" s="7">
        <v>1.889</v>
      </c>
      <c r="H45" s="7">
        <f t="shared" si="1"/>
        <v>1.4000000000000012E-2</v>
      </c>
      <c r="I45" s="6" t="s">
        <v>41</v>
      </c>
      <c r="J45" s="6" t="s">
        <v>41</v>
      </c>
      <c r="K45" s="13"/>
      <c r="L45" s="13"/>
      <c r="M45" s="6"/>
    </row>
    <row r="46" spans="2:13" x14ac:dyDescent="0.2">
      <c r="B46" s="13" t="s">
        <v>260</v>
      </c>
      <c r="C46" s="13" t="s">
        <v>41</v>
      </c>
      <c r="D46" s="14">
        <v>6.1</v>
      </c>
      <c r="E46" s="24"/>
      <c r="F46" s="7">
        <v>1.89</v>
      </c>
      <c r="G46" s="7">
        <v>1.8759999999999999</v>
      </c>
      <c r="H46" s="7">
        <f t="shared" si="1"/>
        <v>1.4000000000000012E-2</v>
      </c>
      <c r="I46" s="6" t="s">
        <v>41</v>
      </c>
      <c r="J46" s="6" t="s">
        <v>41</v>
      </c>
      <c r="K46" s="13"/>
      <c r="L46" s="13"/>
      <c r="M46" s="6"/>
    </row>
    <row r="47" spans="2:13" x14ac:dyDescent="0.2">
      <c r="B47" s="13" t="s">
        <v>261</v>
      </c>
      <c r="C47" s="13" t="s">
        <v>41</v>
      </c>
      <c r="D47" s="14">
        <v>5.4</v>
      </c>
      <c r="E47" s="24"/>
      <c r="F47" s="7">
        <v>1.9059999999999999</v>
      </c>
      <c r="G47" s="7">
        <v>1.8959999999999999</v>
      </c>
      <c r="H47" s="7">
        <f t="shared" si="1"/>
        <v>1.0000000000000009E-2</v>
      </c>
      <c r="I47" s="6" t="s">
        <v>41</v>
      </c>
      <c r="J47" s="6" t="s">
        <v>41</v>
      </c>
      <c r="K47" s="13"/>
      <c r="L47" s="13"/>
      <c r="M47" s="6"/>
    </row>
    <row r="48" spans="2:13" x14ac:dyDescent="0.2">
      <c r="B48" s="13" t="s">
        <v>262</v>
      </c>
      <c r="C48" s="13" t="s">
        <v>129</v>
      </c>
      <c r="D48" s="13">
        <v>2.9</v>
      </c>
      <c r="E48" s="25">
        <v>1.8480000000000001</v>
      </c>
      <c r="F48" s="7">
        <v>3.7</v>
      </c>
      <c r="G48" s="7">
        <v>3.6779999999999999</v>
      </c>
      <c r="H48" s="7">
        <f t="shared" ref="H48" si="2">F48-G48</f>
        <v>2.2000000000000242E-2</v>
      </c>
      <c r="I48" s="6" t="s">
        <v>323</v>
      </c>
      <c r="J48" s="6" t="s">
        <v>324</v>
      </c>
      <c r="K48" s="13"/>
      <c r="L48" s="13" t="s">
        <v>325</v>
      </c>
      <c r="M48" s="6"/>
    </row>
    <row r="49" spans="2:13" x14ac:dyDescent="0.2">
      <c r="B49" s="13"/>
      <c r="C49" s="13" t="s">
        <v>41</v>
      </c>
      <c r="D49" s="13"/>
      <c r="E49" s="6">
        <v>1.8540000000000001</v>
      </c>
      <c r="F49" s="7"/>
      <c r="G49" s="7"/>
      <c r="H49" s="6"/>
      <c r="I49" s="6"/>
      <c r="J49" s="6"/>
      <c r="K49" s="13"/>
      <c r="L49" s="13" t="s">
        <v>325</v>
      </c>
      <c r="M49" s="6"/>
    </row>
    <row r="50" spans="2:13" x14ac:dyDescent="0.2">
      <c r="B50" s="13" t="s">
        <v>263</v>
      </c>
      <c r="C50" s="13" t="s">
        <v>129</v>
      </c>
      <c r="D50" s="14">
        <v>29.7</v>
      </c>
      <c r="E50" s="6">
        <v>1.8560000000000001</v>
      </c>
      <c r="F50" s="7">
        <v>3.714</v>
      </c>
      <c r="G50" s="7">
        <v>3.6880000000000002</v>
      </c>
      <c r="H50" s="7">
        <f t="shared" ref="H50" si="3">F50-G50</f>
        <v>2.5999999999999801E-2</v>
      </c>
      <c r="I50" s="6" t="s">
        <v>41</v>
      </c>
      <c r="J50" s="6" t="s">
        <v>41</v>
      </c>
      <c r="K50" s="15"/>
      <c r="L50" s="13"/>
      <c r="M50" s="6"/>
    </row>
    <row r="51" spans="2:13" x14ac:dyDescent="0.2">
      <c r="B51" s="13"/>
      <c r="C51" s="13" t="s">
        <v>41</v>
      </c>
      <c r="D51" s="14"/>
      <c r="E51" s="6">
        <v>1.857</v>
      </c>
      <c r="F51" s="7"/>
      <c r="G51" s="7"/>
      <c r="H51" s="6"/>
      <c r="I51" s="6"/>
      <c r="J51" s="6"/>
      <c r="K51" s="15"/>
      <c r="L51" s="15"/>
      <c r="M51" s="6"/>
    </row>
    <row r="52" spans="2:13" x14ac:dyDescent="0.2">
      <c r="B52" s="13" t="s">
        <v>264</v>
      </c>
      <c r="C52" s="13" t="s">
        <v>41</v>
      </c>
      <c r="D52" s="14">
        <v>24</v>
      </c>
      <c r="E52" s="6">
        <v>1.8480000000000001</v>
      </c>
      <c r="F52" s="7">
        <v>3.7010000000000001</v>
      </c>
      <c r="G52" s="7">
        <v>3.6709999999999998</v>
      </c>
      <c r="H52" s="7">
        <f t="shared" ref="H52" si="4">F52-G52</f>
        <v>3.0000000000000249E-2</v>
      </c>
      <c r="I52" s="6" t="s">
        <v>41</v>
      </c>
      <c r="J52" s="6" t="s">
        <v>41</v>
      </c>
      <c r="K52" s="15" t="s">
        <v>326</v>
      </c>
      <c r="L52" s="15"/>
      <c r="M52" s="6"/>
    </row>
    <row r="53" spans="2:13" x14ac:dyDescent="0.2">
      <c r="B53" s="13"/>
      <c r="C53" s="13" t="s">
        <v>41</v>
      </c>
      <c r="D53" s="14"/>
      <c r="E53" s="6">
        <v>1.8520000000000001</v>
      </c>
      <c r="F53" s="7"/>
      <c r="G53" s="7"/>
      <c r="H53" s="6"/>
      <c r="I53" s="6"/>
      <c r="J53" s="6"/>
      <c r="K53" s="15"/>
      <c r="L53" s="15"/>
      <c r="M53" s="6"/>
    </row>
    <row r="54" spans="2:13" x14ac:dyDescent="0.2">
      <c r="B54" s="13" t="s">
        <v>265</v>
      </c>
      <c r="C54" s="13" t="s">
        <v>41</v>
      </c>
      <c r="D54" s="14">
        <v>22.4</v>
      </c>
      <c r="E54" s="6">
        <v>1.85</v>
      </c>
      <c r="F54" s="7">
        <v>3.71</v>
      </c>
      <c r="G54" s="7">
        <v>3.6819999999999999</v>
      </c>
      <c r="H54" s="7">
        <f t="shared" ref="H54" si="5">F54-G54</f>
        <v>2.8000000000000025E-2</v>
      </c>
      <c r="I54" s="6" t="s">
        <v>41</v>
      </c>
      <c r="J54" s="6" t="s">
        <v>41</v>
      </c>
      <c r="K54" s="15" t="s">
        <v>327</v>
      </c>
      <c r="L54" s="13"/>
      <c r="M54" s="6"/>
    </row>
    <row r="55" spans="2:13" x14ac:dyDescent="0.2">
      <c r="B55" s="13"/>
      <c r="C55" s="13" t="s">
        <v>41</v>
      </c>
      <c r="D55" s="14"/>
      <c r="E55" s="6">
        <v>1.859</v>
      </c>
      <c r="F55" s="7"/>
      <c r="G55" s="7"/>
      <c r="H55" s="6"/>
      <c r="I55" s="6"/>
      <c r="J55" s="6"/>
      <c r="K55" s="21"/>
      <c r="L55" s="13"/>
      <c r="M55" s="6"/>
    </row>
    <row r="56" spans="2:13" x14ac:dyDescent="0.2">
      <c r="B56" s="13" t="s">
        <v>266</v>
      </c>
      <c r="C56" s="13" t="s">
        <v>41</v>
      </c>
      <c r="D56" s="14">
        <v>15.7</v>
      </c>
      <c r="E56" s="6">
        <v>1.863</v>
      </c>
      <c r="F56" s="7">
        <v>3.738</v>
      </c>
      <c r="G56" s="7">
        <v>3.7120000000000002</v>
      </c>
      <c r="H56" s="7">
        <f t="shared" ref="H56" si="6">F56-G56</f>
        <v>2.5999999999999801E-2</v>
      </c>
      <c r="I56" s="6" t="s">
        <v>41</v>
      </c>
      <c r="J56" s="6" t="s">
        <v>41</v>
      </c>
      <c r="K56" s="15"/>
      <c r="L56" s="13"/>
      <c r="M56" s="6"/>
    </row>
    <row r="57" spans="2:13" x14ac:dyDescent="0.2">
      <c r="B57" s="13"/>
      <c r="C57" s="13" t="s">
        <v>267</v>
      </c>
      <c r="D57" s="14"/>
      <c r="E57" s="6">
        <v>1.8740000000000001</v>
      </c>
      <c r="F57" s="7"/>
      <c r="G57" s="7"/>
      <c r="H57" s="6"/>
      <c r="I57" s="6"/>
      <c r="J57" s="6"/>
      <c r="K57" s="15"/>
      <c r="L57" s="13"/>
      <c r="M57" s="6"/>
    </row>
    <row r="58" spans="2:13" x14ac:dyDescent="0.2">
      <c r="B58" s="13" t="s">
        <v>268</v>
      </c>
      <c r="C58" s="13" t="s">
        <v>129</v>
      </c>
      <c r="D58" s="14">
        <v>2.9</v>
      </c>
      <c r="E58" s="6">
        <v>1.8380000000000001</v>
      </c>
      <c r="F58" s="7">
        <v>3.6789999999999998</v>
      </c>
      <c r="G58" s="7">
        <v>3.65</v>
      </c>
      <c r="H58" s="7">
        <f t="shared" ref="H58" si="7">F58-G58</f>
        <v>2.8999999999999915E-2</v>
      </c>
      <c r="I58" s="6" t="s">
        <v>41</v>
      </c>
      <c r="J58" s="6" t="s">
        <v>41</v>
      </c>
      <c r="K58" s="15"/>
      <c r="L58" s="13"/>
      <c r="M58" s="6"/>
    </row>
    <row r="59" spans="2:13" x14ac:dyDescent="0.2">
      <c r="B59" s="13"/>
      <c r="C59" s="13" t="s">
        <v>41</v>
      </c>
      <c r="D59" s="14"/>
      <c r="E59" s="15">
        <v>1.841</v>
      </c>
      <c r="F59" s="15"/>
      <c r="G59" s="15"/>
      <c r="H59" s="6"/>
      <c r="I59" s="7"/>
      <c r="J59" s="7"/>
      <c r="K59" s="15"/>
      <c r="L59" s="13"/>
      <c r="M59" s="6"/>
    </row>
    <row r="60" spans="2:13" x14ac:dyDescent="0.2">
      <c r="B60" s="13" t="s">
        <v>269</v>
      </c>
      <c r="C60" s="13" t="s">
        <v>41</v>
      </c>
      <c r="D60" s="13">
        <v>2.7</v>
      </c>
      <c r="E60" s="15">
        <v>1.833</v>
      </c>
      <c r="F60" s="15">
        <v>3.665</v>
      </c>
      <c r="G60" s="15">
        <v>3.6419999999999999</v>
      </c>
      <c r="H60" s="7">
        <f t="shared" ref="H60" si="8">F60-G60</f>
        <v>2.3000000000000131E-2</v>
      </c>
      <c r="I60" s="7" t="s">
        <v>41</v>
      </c>
      <c r="J60" s="7" t="s">
        <v>41</v>
      </c>
      <c r="K60" s="13"/>
      <c r="L60" s="13"/>
      <c r="M60" s="6"/>
    </row>
    <row r="61" spans="2:13" x14ac:dyDescent="0.2">
      <c r="B61" s="13"/>
      <c r="C61" s="13" t="s">
        <v>41</v>
      </c>
      <c r="D61" s="14"/>
      <c r="E61" s="15">
        <v>1.833</v>
      </c>
      <c r="F61" s="15"/>
      <c r="G61" s="15"/>
      <c r="H61" s="6"/>
      <c r="I61" s="7"/>
      <c r="J61" s="7"/>
      <c r="K61" s="15"/>
      <c r="L61" s="13"/>
      <c r="M61" s="6"/>
    </row>
    <row r="62" spans="2:13" x14ac:dyDescent="0.2">
      <c r="B62" s="13" t="s">
        <v>270</v>
      </c>
      <c r="C62" s="13" t="s">
        <v>41</v>
      </c>
      <c r="D62" s="14">
        <v>23.2</v>
      </c>
      <c r="E62" s="15">
        <v>1.8260000000000001</v>
      </c>
      <c r="F62" s="15">
        <v>3.6619999999999999</v>
      </c>
      <c r="G62" s="15">
        <v>3.6339999999999999</v>
      </c>
      <c r="H62" s="7">
        <f t="shared" ref="H62" si="9">F62-G62</f>
        <v>2.8000000000000025E-2</v>
      </c>
      <c r="I62" s="7" t="s">
        <v>41</v>
      </c>
      <c r="J62" s="7" t="s">
        <v>41</v>
      </c>
      <c r="K62" s="15"/>
      <c r="L62" s="13"/>
      <c r="M62" s="6"/>
    </row>
    <row r="63" spans="2:13" x14ac:dyDescent="0.2">
      <c r="B63" s="13"/>
      <c r="C63" s="13" t="s">
        <v>41</v>
      </c>
      <c r="D63" s="14"/>
      <c r="E63" s="15">
        <v>1.837</v>
      </c>
      <c r="F63" s="15"/>
      <c r="G63" s="15"/>
      <c r="H63" s="6"/>
      <c r="I63" s="7"/>
      <c r="J63" s="7"/>
      <c r="K63" s="15"/>
      <c r="L63" s="15"/>
      <c r="M63" s="6"/>
    </row>
    <row r="64" spans="2:13" x14ac:dyDescent="0.2">
      <c r="B64" s="13" t="s">
        <v>271</v>
      </c>
      <c r="C64" s="13" t="s">
        <v>41</v>
      </c>
      <c r="D64" s="14">
        <v>30.6</v>
      </c>
      <c r="E64" s="18">
        <v>1.8260000000000001</v>
      </c>
      <c r="F64" s="15">
        <v>3.6659999999999999</v>
      </c>
      <c r="G64" s="15">
        <v>3.6429999999999998</v>
      </c>
      <c r="H64" s="7">
        <f t="shared" ref="H64" si="10">F64-G64</f>
        <v>2.3000000000000131E-2</v>
      </c>
      <c r="I64" s="7" t="s">
        <v>41</v>
      </c>
      <c r="J64" s="7" t="s">
        <v>41</v>
      </c>
      <c r="K64" s="15"/>
      <c r="L64" s="13"/>
      <c r="M64" s="6"/>
    </row>
    <row r="65" spans="2:13" x14ac:dyDescent="0.2">
      <c r="B65" s="13"/>
      <c r="C65" s="13" t="s">
        <v>41</v>
      </c>
      <c r="D65" s="14"/>
      <c r="E65" s="15">
        <v>1.827</v>
      </c>
      <c r="F65" s="15"/>
      <c r="G65" s="15"/>
      <c r="H65" s="6"/>
      <c r="I65" s="7"/>
      <c r="J65" s="7"/>
      <c r="K65" s="15"/>
      <c r="L65" s="13"/>
      <c r="M65" s="6"/>
    </row>
    <row r="66" spans="2:13" x14ac:dyDescent="0.2">
      <c r="B66" s="13" t="s">
        <v>272</v>
      </c>
      <c r="C66" s="13" t="s">
        <v>41</v>
      </c>
      <c r="D66" s="14">
        <v>27.6</v>
      </c>
      <c r="E66" s="15">
        <v>1.845</v>
      </c>
      <c r="F66" s="15">
        <v>3.6850000000000001</v>
      </c>
      <c r="G66" s="15">
        <v>3.6640000000000001</v>
      </c>
      <c r="H66" s="7">
        <f t="shared" ref="H66:H68" si="11">F66-G66</f>
        <v>2.0999999999999908E-2</v>
      </c>
      <c r="I66" s="7" t="s">
        <v>41</v>
      </c>
      <c r="J66" s="7" t="s">
        <v>41</v>
      </c>
      <c r="K66" s="15"/>
      <c r="L66" s="13"/>
      <c r="M66" s="6"/>
    </row>
    <row r="67" spans="2:13" x14ac:dyDescent="0.2">
      <c r="B67" s="13"/>
      <c r="C67" s="13" t="s">
        <v>41</v>
      </c>
      <c r="D67" s="14"/>
      <c r="E67" s="15">
        <v>1.841</v>
      </c>
      <c r="F67" s="15"/>
      <c r="G67" s="15"/>
      <c r="H67" s="6"/>
      <c r="I67" s="7"/>
      <c r="J67" s="7"/>
      <c r="K67" s="15"/>
      <c r="L67" s="13"/>
      <c r="M67" s="6"/>
    </row>
    <row r="68" spans="2:13" x14ac:dyDescent="0.2">
      <c r="B68" s="32" t="s">
        <v>273</v>
      </c>
      <c r="C68" s="32" t="s">
        <v>41</v>
      </c>
      <c r="D68" s="33">
        <v>0.1</v>
      </c>
      <c r="E68" s="34">
        <v>1.863</v>
      </c>
      <c r="F68" s="35">
        <v>3.7229999999999999</v>
      </c>
      <c r="G68" s="34">
        <v>3.7069999999999999</v>
      </c>
      <c r="H68" s="34">
        <f t="shared" si="11"/>
        <v>1.6000000000000014E-2</v>
      </c>
      <c r="I68" s="35" t="s">
        <v>323</v>
      </c>
      <c r="J68" s="34" t="s">
        <v>357</v>
      </c>
      <c r="K68" s="36"/>
      <c r="L68" s="32" t="s">
        <v>363</v>
      </c>
      <c r="M68" s="6"/>
    </row>
    <row r="69" spans="2:13" x14ac:dyDescent="0.2">
      <c r="B69" s="32"/>
      <c r="C69" s="32" t="s">
        <v>41</v>
      </c>
      <c r="D69" s="32"/>
      <c r="E69" s="34">
        <v>1.86</v>
      </c>
      <c r="F69" s="36"/>
      <c r="G69" s="36"/>
      <c r="H69" s="36"/>
      <c r="I69" s="34"/>
      <c r="J69" s="34"/>
      <c r="K69" s="36"/>
      <c r="L69" s="37" t="s">
        <v>41</v>
      </c>
      <c r="M69" s="6"/>
    </row>
    <row r="70" spans="2:13" x14ac:dyDescent="0.2">
      <c r="B70" s="32" t="s">
        <v>274</v>
      </c>
      <c r="C70" s="32" t="s">
        <v>41</v>
      </c>
      <c r="D70" s="32">
        <v>0.7</v>
      </c>
      <c r="E70" s="38"/>
      <c r="F70" s="36">
        <v>1.8580000000000001</v>
      </c>
      <c r="G70" s="36">
        <v>1.8440000000000001</v>
      </c>
      <c r="H70" s="34">
        <f t="shared" ref="H70:H74" si="12">F70-G70</f>
        <v>1.4000000000000012E-2</v>
      </c>
      <c r="I70" s="35" t="s">
        <v>328</v>
      </c>
      <c r="J70" s="34" t="s">
        <v>191</v>
      </c>
      <c r="K70" s="36"/>
      <c r="L70" s="32" t="s">
        <v>41</v>
      </c>
      <c r="M70" s="6"/>
    </row>
    <row r="71" spans="2:13" x14ac:dyDescent="0.2">
      <c r="B71" s="32" t="s">
        <v>275</v>
      </c>
      <c r="C71" s="32" t="s">
        <v>41</v>
      </c>
      <c r="D71" s="32">
        <v>0.2</v>
      </c>
      <c r="E71" s="38"/>
      <c r="F71" s="36">
        <v>1.8420000000000001</v>
      </c>
      <c r="G71" s="36">
        <v>1.829</v>
      </c>
      <c r="H71" s="34">
        <f t="shared" si="12"/>
        <v>1.3000000000000123E-2</v>
      </c>
      <c r="I71" s="35" t="s">
        <v>41</v>
      </c>
      <c r="J71" s="35" t="s">
        <v>41</v>
      </c>
      <c r="K71" s="36"/>
      <c r="L71" s="32" t="s">
        <v>41</v>
      </c>
      <c r="M71" s="6"/>
    </row>
    <row r="72" spans="2:13" x14ac:dyDescent="0.2">
      <c r="B72" s="32" t="s">
        <v>276</v>
      </c>
      <c r="C72" s="32" t="s">
        <v>41</v>
      </c>
      <c r="D72" s="33">
        <v>0.8</v>
      </c>
      <c r="E72" s="38"/>
      <c r="F72" s="36">
        <v>1.833</v>
      </c>
      <c r="G72" s="36">
        <v>1.8220000000000001</v>
      </c>
      <c r="H72" s="34">
        <f t="shared" si="12"/>
        <v>1.0999999999999899E-2</v>
      </c>
      <c r="I72" s="35" t="s">
        <v>41</v>
      </c>
      <c r="J72" s="35" t="s">
        <v>41</v>
      </c>
      <c r="K72" s="36"/>
      <c r="L72" s="32" t="s">
        <v>41</v>
      </c>
      <c r="M72" s="6"/>
    </row>
    <row r="73" spans="2:13" x14ac:dyDescent="0.2">
      <c r="B73" s="32" t="s">
        <v>277</v>
      </c>
      <c r="C73" s="32" t="s">
        <v>41</v>
      </c>
      <c r="D73" s="33">
        <v>0</v>
      </c>
      <c r="E73" s="38"/>
      <c r="F73" s="36">
        <v>1.8320000000000001</v>
      </c>
      <c r="G73" s="36">
        <v>1.82</v>
      </c>
      <c r="H73" s="34">
        <f t="shared" si="12"/>
        <v>1.2000000000000011E-2</v>
      </c>
      <c r="I73" s="35" t="s">
        <v>41</v>
      </c>
      <c r="J73" s="35" t="s">
        <v>41</v>
      </c>
      <c r="K73" s="32"/>
      <c r="L73" s="32" t="s">
        <v>41</v>
      </c>
      <c r="M73" s="6"/>
    </row>
    <row r="74" spans="2:13" x14ac:dyDescent="0.2">
      <c r="B74" s="32" t="s">
        <v>278</v>
      </c>
      <c r="C74" s="32" t="s">
        <v>41</v>
      </c>
      <c r="D74" s="33">
        <v>0.2</v>
      </c>
      <c r="E74" s="38"/>
      <c r="F74" s="36">
        <v>1.831</v>
      </c>
      <c r="G74" s="36">
        <v>1.8169999999999999</v>
      </c>
      <c r="H74" s="34">
        <f t="shared" si="12"/>
        <v>1.4000000000000012E-2</v>
      </c>
      <c r="I74" s="35" t="s">
        <v>41</v>
      </c>
      <c r="J74" s="35" t="s">
        <v>41</v>
      </c>
      <c r="K74" s="32"/>
      <c r="L74" s="32" t="s">
        <v>41</v>
      </c>
      <c r="M74" s="6"/>
    </row>
    <row r="75" spans="2:13" x14ac:dyDescent="0.2">
      <c r="B75" s="13" t="s">
        <v>279</v>
      </c>
      <c r="C75" s="13" t="s">
        <v>41</v>
      </c>
      <c r="D75" s="14">
        <v>0.8</v>
      </c>
      <c r="E75" s="24"/>
      <c r="F75" s="6">
        <v>1.879</v>
      </c>
      <c r="G75" s="7">
        <v>1.87</v>
      </c>
      <c r="H75" s="7">
        <f t="shared" ref="H75:H94" si="13">F75-G75</f>
        <v>8.999999999999897E-3</v>
      </c>
      <c r="I75" s="6" t="s">
        <v>197</v>
      </c>
      <c r="J75" s="6" t="s">
        <v>329</v>
      </c>
      <c r="K75" s="13"/>
      <c r="L75" s="13" t="s">
        <v>330</v>
      </c>
      <c r="M75" s="6"/>
    </row>
    <row r="76" spans="2:13" x14ac:dyDescent="0.2">
      <c r="B76" s="13" t="s">
        <v>280</v>
      </c>
      <c r="C76" s="13" t="s">
        <v>281</v>
      </c>
      <c r="D76" s="14">
        <v>1.1000000000000001</v>
      </c>
      <c r="E76" s="24"/>
      <c r="F76" s="15">
        <v>1.8839999999999999</v>
      </c>
      <c r="G76" s="15">
        <v>1.879</v>
      </c>
      <c r="H76" s="7">
        <f t="shared" si="13"/>
        <v>4.9999999999998934E-3</v>
      </c>
      <c r="I76" s="6" t="s">
        <v>41</v>
      </c>
      <c r="J76" s="6" t="s">
        <v>41</v>
      </c>
      <c r="K76" s="13"/>
      <c r="L76" s="13" t="s">
        <v>331</v>
      </c>
      <c r="M76" s="6"/>
    </row>
    <row r="77" spans="2:13" x14ac:dyDescent="0.2">
      <c r="B77" s="13" t="s">
        <v>282</v>
      </c>
      <c r="C77" s="13" t="s">
        <v>283</v>
      </c>
      <c r="D77" s="14">
        <v>0.2</v>
      </c>
      <c r="E77" s="24"/>
      <c r="F77" s="15">
        <v>1.863</v>
      </c>
      <c r="G77" s="15">
        <v>1.857</v>
      </c>
      <c r="H77" s="7">
        <f t="shared" si="13"/>
        <v>6.0000000000000053E-3</v>
      </c>
      <c r="I77" s="6" t="s">
        <v>183</v>
      </c>
      <c r="J77" s="6" t="s">
        <v>332</v>
      </c>
      <c r="K77" s="13"/>
      <c r="L77" s="13">
        <v>23.02</v>
      </c>
      <c r="M77" s="6"/>
    </row>
    <row r="78" spans="2:13" x14ac:dyDescent="0.2">
      <c r="B78" s="13" t="s">
        <v>284</v>
      </c>
      <c r="C78" s="13" t="s">
        <v>252</v>
      </c>
      <c r="D78" s="14">
        <v>0.3</v>
      </c>
      <c r="E78" s="24"/>
      <c r="F78" s="15">
        <v>1.893</v>
      </c>
      <c r="G78" s="15">
        <v>1.881</v>
      </c>
      <c r="H78" s="7">
        <f t="shared" si="13"/>
        <v>1.2000000000000011E-2</v>
      </c>
      <c r="I78" s="6" t="s">
        <v>41</v>
      </c>
      <c r="J78" s="7" t="s">
        <v>333</v>
      </c>
      <c r="K78" s="13"/>
      <c r="L78" s="13" t="s">
        <v>41</v>
      </c>
      <c r="M78" s="6"/>
    </row>
    <row r="79" spans="2:13" x14ac:dyDescent="0.2">
      <c r="B79" s="13" t="s">
        <v>285</v>
      </c>
      <c r="C79" s="13" t="s">
        <v>41</v>
      </c>
      <c r="D79" s="14">
        <v>0.3</v>
      </c>
      <c r="E79" s="24"/>
      <c r="F79" s="15">
        <v>1.8759999999999999</v>
      </c>
      <c r="G79" s="15">
        <v>1.865</v>
      </c>
      <c r="H79" s="7">
        <f t="shared" si="13"/>
        <v>1.0999999999999899E-2</v>
      </c>
      <c r="I79" s="6" t="s">
        <v>41</v>
      </c>
      <c r="J79" s="6" t="s">
        <v>41</v>
      </c>
      <c r="K79" s="13"/>
      <c r="L79" s="13" t="s">
        <v>41</v>
      </c>
      <c r="M79" s="6"/>
    </row>
    <row r="80" spans="2:13" x14ac:dyDescent="0.2">
      <c r="B80" s="13" t="s">
        <v>286</v>
      </c>
      <c r="C80" s="13" t="s">
        <v>41</v>
      </c>
      <c r="D80" s="14">
        <v>0.3</v>
      </c>
      <c r="E80" s="24"/>
      <c r="F80" s="15">
        <v>1.89</v>
      </c>
      <c r="G80" s="15">
        <v>1.879</v>
      </c>
      <c r="H80" s="7">
        <f t="shared" si="13"/>
        <v>1.0999999999999899E-2</v>
      </c>
      <c r="I80" s="6" t="s">
        <v>41</v>
      </c>
      <c r="J80" s="6" t="s">
        <v>41</v>
      </c>
      <c r="K80" s="13"/>
      <c r="L80" s="13" t="s">
        <v>41</v>
      </c>
      <c r="M80" s="6"/>
    </row>
    <row r="81" spans="2:13" x14ac:dyDescent="0.2">
      <c r="B81" s="13" t="s">
        <v>287</v>
      </c>
      <c r="C81" s="13" t="s">
        <v>41</v>
      </c>
      <c r="D81" s="14">
        <v>0.4</v>
      </c>
      <c r="E81" s="24"/>
      <c r="F81" s="15">
        <v>1.879</v>
      </c>
      <c r="G81" s="15">
        <v>1.867</v>
      </c>
      <c r="H81" s="7">
        <f t="shared" si="13"/>
        <v>1.2000000000000011E-2</v>
      </c>
      <c r="I81" s="6" t="s">
        <v>41</v>
      </c>
      <c r="J81" s="6" t="s">
        <v>41</v>
      </c>
      <c r="K81" s="13"/>
      <c r="L81" s="13" t="s">
        <v>41</v>
      </c>
      <c r="M81" s="6"/>
    </row>
    <row r="82" spans="2:13" x14ac:dyDescent="0.2">
      <c r="B82" s="13" t="s">
        <v>288</v>
      </c>
      <c r="C82" s="13" t="s">
        <v>41</v>
      </c>
      <c r="D82" s="14">
        <v>0.4</v>
      </c>
      <c r="E82" s="24"/>
      <c r="F82" s="15">
        <v>1.889</v>
      </c>
      <c r="G82" s="15">
        <v>1.879</v>
      </c>
      <c r="H82" s="7">
        <f t="shared" si="13"/>
        <v>1.0000000000000009E-2</v>
      </c>
      <c r="I82" s="6" t="s">
        <v>41</v>
      </c>
      <c r="J82" s="6" t="s">
        <v>41</v>
      </c>
      <c r="K82" s="13"/>
      <c r="L82" s="13" t="s">
        <v>41</v>
      </c>
      <c r="M82" s="6"/>
    </row>
    <row r="83" spans="2:13" x14ac:dyDescent="0.2">
      <c r="B83" s="13" t="s">
        <v>289</v>
      </c>
      <c r="C83" s="13" t="s">
        <v>41</v>
      </c>
      <c r="D83" s="14">
        <v>0.2</v>
      </c>
      <c r="E83" s="24"/>
      <c r="F83" s="15">
        <v>1.89</v>
      </c>
      <c r="G83" s="15">
        <v>1.88</v>
      </c>
      <c r="H83" s="7">
        <f t="shared" si="13"/>
        <v>1.0000000000000009E-2</v>
      </c>
      <c r="I83" s="6" t="s">
        <v>41</v>
      </c>
      <c r="J83" s="6" t="s">
        <v>41</v>
      </c>
      <c r="K83" s="13"/>
      <c r="L83" s="13" t="s">
        <v>41</v>
      </c>
      <c r="M83" s="6"/>
    </row>
    <row r="84" spans="2:13" x14ac:dyDescent="0.2">
      <c r="B84" s="13" t="s">
        <v>290</v>
      </c>
      <c r="C84" s="13" t="s">
        <v>41</v>
      </c>
      <c r="D84" s="13">
        <v>0.4</v>
      </c>
      <c r="E84" s="24"/>
      <c r="F84" s="15">
        <v>1.881</v>
      </c>
      <c r="G84" s="15">
        <v>1.8680000000000001</v>
      </c>
      <c r="H84" s="7">
        <f t="shared" si="13"/>
        <v>1.2999999999999901E-2</v>
      </c>
      <c r="I84" s="6" t="s">
        <v>41</v>
      </c>
      <c r="J84" s="6" t="s">
        <v>41</v>
      </c>
      <c r="K84" s="13"/>
      <c r="L84" s="13" t="s">
        <v>41</v>
      </c>
      <c r="M84" s="6"/>
    </row>
    <row r="85" spans="2:13" x14ac:dyDescent="0.2">
      <c r="B85" s="13" t="s">
        <v>291</v>
      </c>
      <c r="C85" s="13" t="s">
        <v>41</v>
      </c>
      <c r="D85" s="14">
        <v>0.5</v>
      </c>
      <c r="E85" s="24"/>
      <c r="F85" s="15">
        <v>1.8759999999999999</v>
      </c>
      <c r="G85" s="15">
        <v>1.87</v>
      </c>
      <c r="H85" s="7">
        <f t="shared" si="13"/>
        <v>5.9999999999997833E-3</v>
      </c>
      <c r="I85" s="6" t="s">
        <v>41</v>
      </c>
      <c r="J85" s="6" t="s">
        <v>41</v>
      </c>
      <c r="K85" s="13"/>
      <c r="L85" s="13" t="s">
        <v>41</v>
      </c>
      <c r="M85" s="6"/>
    </row>
    <row r="86" spans="2:13" x14ac:dyDescent="0.2">
      <c r="B86" s="13" t="s">
        <v>292</v>
      </c>
      <c r="C86" s="13" t="s">
        <v>41</v>
      </c>
      <c r="D86" s="14">
        <v>7.1</v>
      </c>
      <c r="E86" s="7"/>
      <c r="F86" s="6">
        <v>1.887</v>
      </c>
      <c r="G86" s="7">
        <v>1.8759999999999999</v>
      </c>
      <c r="H86" s="7">
        <f t="shared" si="13"/>
        <v>1.1000000000000121E-2</v>
      </c>
      <c r="I86" s="6" t="s">
        <v>41</v>
      </c>
      <c r="J86" s="6" t="s">
        <v>41</v>
      </c>
      <c r="K86" s="15"/>
      <c r="L86" s="13">
        <v>24.02</v>
      </c>
      <c r="M86" s="6"/>
    </row>
    <row r="87" spans="2:13" x14ac:dyDescent="0.2">
      <c r="B87" s="13" t="s">
        <v>293</v>
      </c>
      <c r="C87" s="13" t="s">
        <v>41</v>
      </c>
      <c r="D87" s="14">
        <v>6.1</v>
      </c>
      <c r="E87" s="7"/>
      <c r="F87" s="6">
        <v>1.891</v>
      </c>
      <c r="G87" s="7">
        <v>1.877</v>
      </c>
      <c r="H87" s="7">
        <f t="shared" si="13"/>
        <v>1.4000000000000012E-2</v>
      </c>
      <c r="I87" s="6" t="s">
        <v>41</v>
      </c>
      <c r="J87" s="6" t="s">
        <v>41</v>
      </c>
      <c r="K87" s="15"/>
      <c r="L87" s="13" t="s">
        <v>41</v>
      </c>
      <c r="M87" s="6"/>
    </row>
    <row r="88" spans="2:13" x14ac:dyDescent="0.2">
      <c r="B88" s="13" t="s">
        <v>294</v>
      </c>
      <c r="C88" s="13" t="s">
        <v>295</v>
      </c>
      <c r="D88" s="14">
        <v>5.9</v>
      </c>
      <c r="E88" s="7"/>
      <c r="F88" s="15">
        <v>1.8819999999999999</v>
      </c>
      <c r="G88" s="15">
        <v>1.8680000000000001</v>
      </c>
      <c r="H88" s="7">
        <f t="shared" si="13"/>
        <v>1.399999999999979E-2</v>
      </c>
      <c r="I88" s="6" t="s">
        <v>41</v>
      </c>
      <c r="J88" s="6" t="s">
        <v>41</v>
      </c>
      <c r="K88" s="15" t="s">
        <v>334</v>
      </c>
      <c r="L88" s="13" t="s">
        <v>41</v>
      </c>
      <c r="M88" s="6"/>
    </row>
    <row r="89" spans="2:13" x14ac:dyDescent="0.2">
      <c r="B89" s="13" t="s">
        <v>296</v>
      </c>
      <c r="C89" s="13" t="s">
        <v>41</v>
      </c>
      <c r="D89" s="14">
        <v>5.6</v>
      </c>
      <c r="E89" s="7"/>
      <c r="F89" s="15">
        <v>1.8740000000000001</v>
      </c>
      <c r="G89" s="15">
        <v>1.859</v>
      </c>
      <c r="H89" s="7">
        <f t="shared" si="13"/>
        <v>1.5000000000000124E-2</v>
      </c>
      <c r="I89" s="6" t="s">
        <v>41</v>
      </c>
      <c r="J89" s="6" t="s">
        <v>41</v>
      </c>
      <c r="K89" s="15" t="s">
        <v>41</v>
      </c>
      <c r="L89" s="13" t="s">
        <v>41</v>
      </c>
      <c r="M89" s="6"/>
    </row>
    <row r="90" spans="2:13" x14ac:dyDescent="0.2">
      <c r="B90" s="13" t="s">
        <v>297</v>
      </c>
      <c r="C90" s="13" t="s">
        <v>41</v>
      </c>
      <c r="D90" s="14">
        <v>4.7</v>
      </c>
      <c r="E90" s="7"/>
      <c r="F90" s="15">
        <v>1.885</v>
      </c>
      <c r="G90" s="15">
        <v>1.8720000000000001</v>
      </c>
      <c r="H90" s="7">
        <f t="shared" si="13"/>
        <v>1.2999999999999901E-2</v>
      </c>
      <c r="I90" s="6" t="s">
        <v>41</v>
      </c>
      <c r="J90" s="6" t="s">
        <v>41</v>
      </c>
      <c r="K90" s="15" t="s">
        <v>41</v>
      </c>
      <c r="L90" s="13" t="s">
        <v>41</v>
      </c>
      <c r="M90" s="6"/>
    </row>
    <row r="91" spans="2:13" x14ac:dyDescent="0.2">
      <c r="B91" s="13" t="s">
        <v>298</v>
      </c>
      <c r="C91" s="13" t="s">
        <v>41</v>
      </c>
      <c r="D91" s="13">
        <v>5</v>
      </c>
      <c r="E91" s="7"/>
      <c r="F91" s="15">
        <v>1.8839999999999999</v>
      </c>
      <c r="G91" s="15">
        <v>1.87</v>
      </c>
      <c r="H91" s="7">
        <f t="shared" si="13"/>
        <v>1.399999999999979E-2</v>
      </c>
      <c r="I91" s="6" t="s">
        <v>41</v>
      </c>
      <c r="J91" s="6" t="s">
        <v>41</v>
      </c>
      <c r="K91" s="15" t="s">
        <v>41</v>
      </c>
      <c r="L91" s="20" t="s">
        <v>41</v>
      </c>
      <c r="M91" s="6"/>
    </row>
    <row r="92" spans="2:13" x14ac:dyDescent="0.2">
      <c r="B92" s="13" t="s">
        <v>299</v>
      </c>
      <c r="C92" s="13" t="s">
        <v>41</v>
      </c>
      <c r="D92" s="14">
        <v>4.0999999999999996</v>
      </c>
      <c r="E92" s="7"/>
      <c r="F92" s="15">
        <v>1.889</v>
      </c>
      <c r="G92" s="15">
        <v>1.875</v>
      </c>
      <c r="H92" s="7">
        <f t="shared" si="13"/>
        <v>1.4000000000000012E-2</v>
      </c>
      <c r="I92" s="6" t="s">
        <v>41</v>
      </c>
      <c r="J92" s="6" t="s">
        <v>41</v>
      </c>
      <c r="K92" s="15" t="s">
        <v>41</v>
      </c>
      <c r="L92" s="13" t="s">
        <v>41</v>
      </c>
      <c r="M92" s="6"/>
    </row>
    <row r="93" spans="2:13" x14ac:dyDescent="0.2">
      <c r="B93" s="13" t="s">
        <v>300</v>
      </c>
      <c r="C93" s="13" t="s">
        <v>41</v>
      </c>
      <c r="D93" s="14">
        <v>3.5</v>
      </c>
      <c r="E93" s="7"/>
      <c r="F93" s="15">
        <v>1.897</v>
      </c>
      <c r="G93" s="15">
        <v>1.883</v>
      </c>
      <c r="H93" s="7">
        <f t="shared" si="13"/>
        <v>1.4000000000000012E-2</v>
      </c>
      <c r="I93" s="6" t="s">
        <v>41</v>
      </c>
      <c r="J93" s="6" t="s">
        <v>41</v>
      </c>
      <c r="K93" s="15" t="s">
        <v>41</v>
      </c>
      <c r="L93" s="13" t="s">
        <v>41</v>
      </c>
      <c r="M93" s="6"/>
    </row>
    <row r="94" spans="2:13" x14ac:dyDescent="0.2">
      <c r="B94" s="13" t="s">
        <v>301</v>
      </c>
      <c r="C94" s="13" t="s">
        <v>41</v>
      </c>
      <c r="D94" s="14">
        <v>4.8</v>
      </c>
      <c r="E94" s="7"/>
      <c r="F94" s="15">
        <v>1.89</v>
      </c>
      <c r="G94" s="15">
        <v>1.875</v>
      </c>
      <c r="H94" s="7">
        <f t="shared" si="13"/>
        <v>1.4999999999999902E-2</v>
      </c>
      <c r="I94" s="6" t="s">
        <v>41</v>
      </c>
      <c r="J94" s="6" t="s">
        <v>41</v>
      </c>
      <c r="K94" s="15" t="s">
        <v>41</v>
      </c>
      <c r="L94" s="13" t="s">
        <v>41</v>
      </c>
      <c r="M94" s="6"/>
    </row>
    <row r="95" spans="2:13" x14ac:dyDescent="0.2">
      <c r="B95" s="13" t="s">
        <v>302</v>
      </c>
      <c r="C95" s="13" t="s">
        <v>303</v>
      </c>
      <c r="D95" s="14">
        <v>0.8</v>
      </c>
      <c r="E95" s="24"/>
      <c r="F95" s="15">
        <v>1.867</v>
      </c>
      <c r="G95" s="15">
        <v>5.5860000000000003</v>
      </c>
      <c r="H95" s="15">
        <v>5.5529999999999999</v>
      </c>
      <c r="I95" s="6" t="s">
        <v>335</v>
      </c>
      <c r="J95" s="7" t="s">
        <v>336</v>
      </c>
      <c r="K95" s="15" t="s">
        <v>41</v>
      </c>
      <c r="L95" s="13"/>
      <c r="M95" s="6"/>
    </row>
    <row r="96" spans="2:13" x14ac:dyDescent="0.2">
      <c r="B96" s="13"/>
      <c r="C96" s="13" t="s">
        <v>304</v>
      </c>
      <c r="D96" s="14"/>
      <c r="E96" s="24"/>
      <c r="F96" s="15">
        <v>1.855</v>
      </c>
      <c r="G96" s="15"/>
      <c r="H96" s="15"/>
      <c r="I96" s="7"/>
      <c r="J96" s="7"/>
      <c r="K96" s="15" t="s">
        <v>41</v>
      </c>
      <c r="L96" s="13"/>
      <c r="M96" s="6"/>
    </row>
    <row r="97" spans="2:13" x14ac:dyDescent="0.2">
      <c r="B97" s="13"/>
      <c r="C97" s="13" t="s">
        <v>305</v>
      </c>
      <c r="D97" s="14"/>
      <c r="E97" s="24"/>
      <c r="F97" s="15">
        <v>1.8640000000000001</v>
      </c>
      <c r="G97" s="15"/>
      <c r="H97" s="15"/>
      <c r="I97" s="7"/>
      <c r="J97" s="7"/>
      <c r="K97" s="15" t="s">
        <v>41</v>
      </c>
      <c r="L97" s="13"/>
      <c r="M97" s="6"/>
    </row>
    <row r="98" spans="2:13" x14ac:dyDescent="0.2">
      <c r="B98" s="13" t="s">
        <v>306</v>
      </c>
      <c r="C98" s="13" t="s">
        <v>307</v>
      </c>
      <c r="D98" s="14">
        <v>1</v>
      </c>
      <c r="E98" s="24"/>
      <c r="F98" s="15">
        <v>1.851</v>
      </c>
      <c r="G98" s="15">
        <v>5.5579999999999998</v>
      </c>
      <c r="H98" s="15">
        <v>5.52</v>
      </c>
      <c r="I98" s="6" t="s">
        <v>41</v>
      </c>
      <c r="J98" s="7" t="s">
        <v>41</v>
      </c>
      <c r="K98" s="15" t="s">
        <v>41</v>
      </c>
      <c r="L98" s="13"/>
      <c r="M98" s="6"/>
    </row>
    <row r="99" spans="2:13" x14ac:dyDescent="0.2">
      <c r="B99" s="13"/>
      <c r="C99" s="13" t="s">
        <v>308</v>
      </c>
      <c r="D99" s="14"/>
      <c r="E99" s="24"/>
      <c r="F99" s="15">
        <v>1.85</v>
      </c>
      <c r="G99" s="15"/>
      <c r="H99" s="15"/>
      <c r="I99" s="7"/>
      <c r="J99" s="7"/>
      <c r="K99" s="15" t="s">
        <v>41</v>
      </c>
      <c r="L99" s="13"/>
      <c r="M99" s="6"/>
    </row>
    <row r="100" spans="2:13" x14ac:dyDescent="0.2">
      <c r="B100" s="13"/>
      <c r="C100" s="13" t="s">
        <v>309</v>
      </c>
      <c r="D100" s="14"/>
      <c r="E100" s="24"/>
      <c r="F100" s="15">
        <v>1.8560000000000001</v>
      </c>
      <c r="G100" s="15"/>
      <c r="H100" s="15"/>
      <c r="I100" s="7"/>
      <c r="J100" s="7"/>
      <c r="K100" s="15" t="s">
        <v>41</v>
      </c>
      <c r="L100" s="20"/>
      <c r="M100" s="6"/>
    </row>
    <row r="101" spans="2:13" x14ac:dyDescent="0.2">
      <c r="B101" s="13" t="s">
        <v>310</v>
      </c>
      <c r="C101" s="13" t="s">
        <v>311</v>
      </c>
      <c r="D101" s="13">
        <v>0.2</v>
      </c>
      <c r="E101" s="24"/>
      <c r="F101" s="15">
        <v>1.8560000000000001</v>
      </c>
      <c r="G101" s="15">
        <v>5.5620000000000003</v>
      </c>
      <c r="H101" s="15">
        <v>5.5250000000000004</v>
      </c>
      <c r="I101" s="6" t="s">
        <v>41</v>
      </c>
      <c r="J101" s="7" t="s">
        <v>41</v>
      </c>
      <c r="K101" s="13" t="s">
        <v>41</v>
      </c>
      <c r="L101" s="13"/>
      <c r="M101" s="6"/>
    </row>
    <row r="102" spans="2:13" x14ac:dyDescent="0.2">
      <c r="B102" s="13"/>
      <c r="C102" s="13" t="s">
        <v>312</v>
      </c>
      <c r="D102" s="13"/>
      <c r="E102" s="24"/>
      <c r="F102" s="15">
        <v>1.853</v>
      </c>
      <c r="G102" s="15"/>
      <c r="H102" s="15"/>
      <c r="J102" s="7"/>
      <c r="K102" s="13" t="s">
        <v>41</v>
      </c>
      <c r="L102" s="13"/>
      <c r="M102" s="6"/>
    </row>
    <row r="103" spans="2:13" x14ac:dyDescent="0.2">
      <c r="B103" s="13"/>
      <c r="C103" s="13" t="s">
        <v>313</v>
      </c>
      <c r="D103" s="13"/>
      <c r="E103" s="24"/>
      <c r="F103" s="15">
        <v>1.853</v>
      </c>
      <c r="G103" s="15"/>
      <c r="H103" s="15"/>
      <c r="I103" s="6"/>
      <c r="J103" s="7"/>
      <c r="K103" s="13" t="s">
        <v>41</v>
      </c>
      <c r="L103" s="13"/>
      <c r="M103" s="6"/>
    </row>
    <row r="104" spans="2:13" x14ac:dyDescent="0.2">
      <c r="B104" s="13"/>
      <c r="C104" s="13"/>
      <c r="D104" s="13"/>
      <c r="E104" s="24"/>
      <c r="F104" s="15"/>
      <c r="G104" s="15"/>
      <c r="H104" s="15"/>
      <c r="I104" s="7"/>
      <c r="J104" s="7"/>
      <c r="K104" s="13"/>
      <c r="L104" s="13"/>
      <c r="M104" s="6"/>
    </row>
    <row r="105" spans="2:13" x14ac:dyDescent="0.2">
      <c r="B105" s="13"/>
      <c r="C105" s="13"/>
      <c r="D105" s="14"/>
      <c r="E105" s="24"/>
      <c r="F105" s="15"/>
      <c r="G105" s="15"/>
      <c r="H105" s="15"/>
      <c r="I105" s="7"/>
      <c r="J105" s="7"/>
      <c r="K105" s="15"/>
      <c r="L105" s="20"/>
      <c r="M105" s="6"/>
    </row>
    <row r="106" spans="2:13" x14ac:dyDescent="0.2">
      <c r="B106" s="13"/>
      <c r="C106" s="13"/>
      <c r="D106" s="14"/>
      <c r="E106" s="24"/>
      <c r="F106" s="15"/>
      <c r="G106" s="15"/>
      <c r="H106" s="15"/>
      <c r="I106" s="7"/>
      <c r="J106" s="7"/>
      <c r="K106" s="15"/>
      <c r="L106" s="13"/>
      <c r="M106" s="6"/>
    </row>
    <row r="107" spans="2:13" x14ac:dyDescent="0.2">
      <c r="B107" s="13"/>
      <c r="C107" s="13"/>
      <c r="D107" s="14"/>
      <c r="E107" s="24"/>
      <c r="F107" s="15"/>
      <c r="G107" s="15"/>
      <c r="H107" s="15"/>
      <c r="I107" s="7"/>
      <c r="J107" s="7"/>
      <c r="K107" s="15"/>
      <c r="L107" s="13"/>
      <c r="M107" s="6"/>
    </row>
    <row r="108" spans="2:13" x14ac:dyDescent="0.2">
      <c r="B108" s="13"/>
      <c r="C108" s="13"/>
      <c r="D108" s="14"/>
      <c r="E108" s="24"/>
      <c r="F108" s="15"/>
      <c r="G108" s="15"/>
      <c r="H108" s="15"/>
      <c r="I108" s="7"/>
      <c r="J108" s="7"/>
      <c r="K108" s="15"/>
      <c r="L108" s="13"/>
      <c r="M108" s="6"/>
    </row>
    <row r="109" spans="2:13" x14ac:dyDescent="0.2">
      <c r="B109" s="13"/>
      <c r="C109" s="13"/>
      <c r="D109" s="14"/>
      <c r="E109" s="24"/>
      <c r="F109" s="15"/>
      <c r="G109" s="15"/>
      <c r="H109" s="15"/>
      <c r="I109" s="7"/>
      <c r="J109" s="7"/>
      <c r="K109" s="15"/>
      <c r="L109" s="23"/>
      <c r="M109" s="6"/>
    </row>
    <row r="110" spans="2:13" x14ac:dyDescent="0.2">
      <c r="B110" s="13"/>
      <c r="C110" s="13"/>
      <c r="D110" s="14"/>
      <c r="E110" s="24"/>
      <c r="F110" s="15"/>
      <c r="G110" s="15"/>
      <c r="H110" s="15"/>
      <c r="I110" s="7"/>
      <c r="J110" s="7"/>
      <c r="K110" s="15"/>
      <c r="L110" s="13"/>
      <c r="M110" s="6"/>
    </row>
    <row r="111" spans="2:13" x14ac:dyDescent="0.2">
      <c r="B111" s="13"/>
      <c r="C111" s="13"/>
      <c r="D111" s="14"/>
      <c r="E111" s="24"/>
      <c r="F111" s="15"/>
      <c r="G111" s="15"/>
      <c r="H111" s="15"/>
      <c r="I111" s="7"/>
      <c r="J111" s="7"/>
      <c r="K111" s="15"/>
      <c r="L111" s="13"/>
      <c r="M111" s="6"/>
    </row>
    <row r="112" spans="2:13" x14ac:dyDescent="0.2">
      <c r="B112" s="13"/>
      <c r="C112" s="13"/>
      <c r="D112" s="13"/>
      <c r="E112" s="24"/>
      <c r="F112" s="15"/>
      <c r="G112" s="15"/>
      <c r="H112" s="15"/>
      <c r="I112" s="7"/>
      <c r="J112" s="7"/>
      <c r="K112" s="13"/>
      <c r="L112" s="13"/>
      <c r="M112" s="6"/>
    </row>
    <row r="113" spans="2:13" x14ac:dyDescent="0.2">
      <c r="B113" s="13"/>
      <c r="C113" s="13"/>
      <c r="D113" s="14"/>
      <c r="E113" s="24"/>
      <c r="F113" s="15"/>
      <c r="G113" s="15"/>
      <c r="H113" s="15"/>
      <c r="I113" s="7"/>
      <c r="J113" s="7"/>
      <c r="K113" s="15"/>
      <c r="L113" s="13"/>
      <c r="M113" s="6"/>
    </row>
    <row r="114" spans="2:13" x14ac:dyDescent="0.2">
      <c r="B114" s="13"/>
      <c r="C114" s="13"/>
      <c r="D114" s="14"/>
      <c r="E114" s="24"/>
      <c r="F114" s="15"/>
      <c r="G114" s="15"/>
      <c r="H114" s="15"/>
      <c r="I114" s="7"/>
      <c r="J114" s="7"/>
      <c r="K114" s="15"/>
      <c r="L114" s="13"/>
      <c r="M114" s="6"/>
    </row>
    <row r="115" spans="2:13" x14ac:dyDescent="0.2">
      <c r="B115" s="13"/>
      <c r="C115" s="13"/>
      <c r="D115" s="14"/>
      <c r="E115" s="24"/>
      <c r="F115" s="15"/>
      <c r="G115" s="15"/>
      <c r="H115" s="15"/>
      <c r="I115" s="7"/>
      <c r="J115" s="7"/>
      <c r="K115" s="15"/>
      <c r="L115" s="13"/>
      <c r="M115" s="6"/>
    </row>
    <row r="116" spans="2:13" x14ac:dyDescent="0.2">
      <c r="B116" s="13"/>
      <c r="C116" s="13"/>
      <c r="D116" s="14"/>
      <c r="E116" s="24"/>
      <c r="F116" s="15"/>
      <c r="G116" s="15"/>
      <c r="H116" s="15"/>
      <c r="I116" s="7"/>
      <c r="J116" s="7"/>
      <c r="K116" s="15"/>
      <c r="L116" s="13"/>
      <c r="M116" s="6"/>
    </row>
    <row r="117" spans="2:13" x14ac:dyDescent="0.2">
      <c r="B117" s="13"/>
      <c r="C117" s="13"/>
      <c r="D117" s="14"/>
      <c r="E117" s="24"/>
      <c r="F117" s="15"/>
      <c r="G117" s="15"/>
      <c r="H117" s="15"/>
      <c r="I117" s="7"/>
      <c r="J117" s="7"/>
      <c r="K117" s="15"/>
      <c r="L117" s="13"/>
      <c r="M117" s="6"/>
    </row>
    <row r="118" spans="2:13" x14ac:dyDescent="0.2">
      <c r="B118" s="13"/>
      <c r="C118" s="13"/>
      <c r="D118" s="14"/>
      <c r="E118" s="24"/>
      <c r="F118" s="15"/>
      <c r="G118" s="15"/>
      <c r="H118" s="15"/>
      <c r="I118" s="7"/>
      <c r="J118" s="7"/>
      <c r="K118" s="15"/>
      <c r="L118" s="13"/>
      <c r="M118" s="6"/>
    </row>
    <row r="119" spans="2:13" x14ac:dyDescent="0.2">
      <c r="B119" s="13"/>
      <c r="C119" s="13"/>
      <c r="D119" s="14"/>
      <c r="E119" s="24"/>
      <c r="F119" s="15"/>
      <c r="G119" s="15"/>
      <c r="H119" s="15"/>
      <c r="I119" s="7"/>
      <c r="J119" s="7"/>
      <c r="K119" s="15"/>
      <c r="L119" s="13"/>
      <c r="M119" s="6"/>
    </row>
    <row r="120" spans="2:13" x14ac:dyDescent="0.2">
      <c r="B120" s="13"/>
      <c r="C120" s="13"/>
      <c r="D120" s="13"/>
      <c r="E120" s="24"/>
      <c r="F120" s="15"/>
      <c r="G120" s="15"/>
      <c r="H120" s="15"/>
      <c r="I120" s="7"/>
      <c r="J120" s="7"/>
      <c r="K120" s="13"/>
      <c r="L120" s="13"/>
      <c r="M120" s="6"/>
    </row>
    <row r="121" spans="2:13" x14ac:dyDescent="0.2">
      <c r="B121" s="13"/>
      <c r="C121" s="13"/>
      <c r="D121" s="13"/>
      <c r="E121" s="24"/>
      <c r="F121" s="15"/>
      <c r="G121" s="15"/>
      <c r="H121" s="15"/>
      <c r="I121" s="7"/>
      <c r="J121" s="7"/>
      <c r="K121" s="13"/>
      <c r="L121" s="13"/>
      <c r="M121" s="6"/>
    </row>
    <row r="122" spans="2:13" x14ac:dyDescent="0.2">
      <c r="B122" s="13"/>
      <c r="C122" s="13"/>
      <c r="D122" s="13"/>
      <c r="E122" s="24"/>
      <c r="F122" s="15"/>
      <c r="G122" s="15"/>
      <c r="H122" s="15"/>
      <c r="I122" s="7"/>
      <c r="J122" s="7"/>
      <c r="K122" s="13"/>
      <c r="L122" s="13"/>
      <c r="M122" s="6"/>
    </row>
    <row r="123" spans="2:13" x14ac:dyDescent="0.2">
      <c r="B123" s="13"/>
      <c r="C123" s="13"/>
      <c r="D123" s="13"/>
      <c r="E123" s="24"/>
      <c r="F123" s="15"/>
      <c r="G123" s="15"/>
      <c r="H123" s="15"/>
      <c r="I123" s="7"/>
      <c r="J123" s="7"/>
      <c r="K123" s="13"/>
      <c r="L123" s="13"/>
      <c r="M123" s="6"/>
    </row>
    <row r="124" spans="2:13" x14ac:dyDescent="0.2">
      <c r="B124" s="13"/>
      <c r="C124" s="13"/>
      <c r="D124" s="13"/>
      <c r="E124" s="24"/>
      <c r="F124" s="15"/>
      <c r="G124" s="15"/>
      <c r="H124" s="15"/>
      <c r="I124" s="7"/>
      <c r="J124" s="7"/>
      <c r="K124" s="13"/>
      <c r="L124" s="13"/>
      <c r="M124" s="6"/>
    </row>
    <row r="125" spans="2:13" x14ac:dyDescent="0.2">
      <c r="B125" s="13"/>
      <c r="C125" s="13"/>
      <c r="D125" s="13"/>
      <c r="E125" s="24"/>
      <c r="F125" s="15"/>
      <c r="G125" s="15"/>
      <c r="H125" s="15"/>
      <c r="I125" s="7"/>
      <c r="J125" s="7"/>
      <c r="K125" s="13"/>
      <c r="L125" s="13"/>
      <c r="M125" s="6"/>
    </row>
    <row r="126" spans="2:13" x14ac:dyDescent="0.2">
      <c r="B126" s="13"/>
      <c r="C126" s="13"/>
      <c r="D126" s="13"/>
      <c r="E126" s="24"/>
      <c r="F126" s="15"/>
      <c r="G126" s="15"/>
      <c r="H126" s="15"/>
      <c r="I126" s="7"/>
      <c r="J126" s="7"/>
      <c r="K126" s="13"/>
      <c r="L126" s="13"/>
      <c r="M126" s="6"/>
    </row>
    <row r="127" spans="2:13" x14ac:dyDescent="0.2">
      <c r="B127" s="13"/>
      <c r="C127" s="13"/>
      <c r="D127" s="13"/>
      <c r="E127" s="24"/>
      <c r="F127" s="15"/>
      <c r="G127" s="15"/>
      <c r="H127" s="15"/>
      <c r="I127" s="7"/>
      <c r="J127" s="7"/>
      <c r="K127" s="13"/>
      <c r="L127" s="13"/>
      <c r="M127" s="6"/>
    </row>
    <row r="128" spans="2:13" x14ac:dyDescent="0.2">
      <c r="B128" s="13"/>
      <c r="C128" s="13"/>
      <c r="D128" s="14"/>
      <c r="E128" s="24"/>
      <c r="F128" s="15"/>
      <c r="G128" s="15"/>
      <c r="H128" s="15"/>
      <c r="I128" s="7"/>
      <c r="J128" s="7"/>
      <c r="K128" s="15"/>
      <c r="L128" s="13"/>
      <c r="M128" s="6"/>
    </row>
    <row r="129" spans="2:13" x14ac:dyDescent="0.2">
      <c r="B129" s="13"/>
      <c r="C129" s="13"/>
      <c r="D129" s="14"/>
      <c r="E129" s="24"/>
      <c r="F129" s="15"/>
      <c r="G129" s="15"/>
      <c r="H129" s="15"/>
      <c r="I129" s="7"/>
      <c r="J129" s="7"/>
      <c r="K129" s="15"/>
      <c r="L129" s="13"/>
      <c r="M129" s="6"/>
    </row>
    <row r="130" spans="2:13" x14ac:dyDescent="0.2">
      <c r="B130" s="13"/>
      <c r="C130" s="13"/>
      <c r="D130" s="14"/>
      <c r="E130" s="24"/>
      <c r="F130" s="15"/>
      <c r="G130" s="15"/>
      <c r="H130" s="15"/>
      <c r="I130" s="7"/>
      <c r="J130" s="7"/>
      <c r="K130" s="15"/>
      <c r="L130" s="13"/>
      <c r="M130" s="6"/>
    </row>
    <row r="131" spans="2:13" x14ac:dyDescent="0.2">
      <c r="B131" s="13"/>
      <c r="C131" s="13"/>
      <c r="D131" s="14"/>
      <c r="E131" s="24"/>
      <c r="F131" s="15"/>
      <c r="G131" s="15"/>
      <c r="H131" s="15"/>
      <c r="I131" s="7"/>
      <c r="J131" s="7"/>
      <c r="K131" s="15"/>
      <c r="L131" s="13"/>
      <c r="M131" s="6"/>
    </row>
    <row r="132" spans="2:13" x14ac:dyDescent="0.2">
      <c r="B132" s="13"/>
      <c r="C132" s="13"/>
      <c r="D132" s="14"/>
      <c r="E132" s="24"/>
      <c r="F132" s="15"/>
      <c r="G132" s="15"/>
      <c r="H132" s="15"/>
      <c r="I132" s="7"/>
      <c r="J132" s="7"/>
      <c r="K132" s="15"/>
      <c r="L132" s="13"/>
      <c r="M132" s="6"/>
    </row>
    <row r="133" spans="2:13" x14ac:dyDescent="0.2">
      <c r="B133" s="13"/>
      <c r="C133" s="13"/>
      <c r="D133" s="14"/>
      <c r="E133" s="24"/>
      <c r="F133" s="15"/>
      <c r="G133" s="15"/>
      <c r="H133" s="15"/>
      <c r="I133" s="7"/>
      <c r="J133" s="7"/>
      <c r="K133" s="15"/>
      <c r="L133" s="13"/>
      <c r="M133" s="6"/>
    </row>
    <row r="134" spans="2:13" x14ac:dyDescent="0.2">
      <c r="B134" s="6"/>
      <c r="C134" s="6"/>
      <c r="D134" s="6"/>
      <c r="E134" s="7"/>
      <c r="F134" s="7"/>
      <c r="G134" s="7"/>
      <c r="H134" s="7"/>
      <c r="I134" s="7"/>
      <c r="J134" s="5"/>
      <c r="K134" s="6"/>
      <c r="L134" s="6"/>
      <c r="M134" s="6"/>
    </row>
    <row r="135" spans="2:13" x14ac:dyDescent="0.2">
      <c r="B135" s="6"/>
      <c r="C135" s="6"/>
      <c r="D135" s="6"/>
      <c r="E135" s="7"/>
      <c r="F135" s="7"/>
      <c r="G135" s="7"/>
      <c r="H135" s="7"/>
      <c r="I135" s="7"/>
      <c r="J135" s="5"/>
      <c r="K135" s="6"/>
      <c r="L135" s="6"/>
      <c r="M135" s="6"/>
    </row>
    <row r="136" spans="2:13" x14ac:dyDescent="0.2">
      <c r="B136" s="6"/>
      <c r="C136" s="6"/>
      <c r="D136" s="6"/>
      <c r="E136" s="7"/>
      <c r="F136" s="7"/>
      <c r="G136" s="7"/>
      <c r="H136" s="7"/>
      <c r="I136" s="7"/>
      <c r="J136" s="5"/>
      <c r="K136" s="6"/>
      <c r="L136" s="6"/>
      <c r="M136" s="6"/>
    </row>
    <row r="137" spans="2:13" x14ac:dyDescent="0.2">
      <c r="B137" s="6"/>
      <c r="C137" s="6"/>
      <c r="D137" s="6"/>
      <c r="E137" s="7"/>
      <c r="F137" s="7"/>
      <c r="G137" s="7"/>
      <c r="H137" s="7"/>
      <c r="I137" s="7"/>
      <c r="J137" s="5"/>
      <c r="K137" s="6"/>
      <c r="L137" s="6"/>
      <c r="M137" s="6"/>
    </row>
    <row r="138" spans="2:13" x14ac:dyDescent="0.2">
      <c r="B138" s="6"/>
      <c r="C138" s="6"/>
      <c r="D138" s="6"/>
      <c r="E138" s="7"/>
      <c r="F138" s="7"/>
      <c r="G138" s="7"/>
      <c r="H138" s="7"/>
      <c r="I138" s="7"/>
      <c r="J138" s="5"/>
      <c r="K138" s="6"/>
      <c r="L138" s="6"/>
      <c r="M138" s="6"/>
    </row>
    <row r="139" spans="2:13" x14ac:dyDescent="0.2">
      <c r="B139" s="6"/>
      <c r="C139" s="6"/>
      <c r="D139" s="6"/>
      <c r="E139" s="7"/>
      <c r="F139" s="7"/>
      <c r="G139" s="7"/>
      <c r="H139" s="7"/>
      <c r="I139" s="7"/>
      <c r="J139" s="5"/>
      <c r="K139" s="6"/>
      <c r="L139" s="6"/>
      <c r="M139" s="6"/>
    </row>
    <row r="140" spans="2:13" x14ac:dyDescent="0.2">
      <c r="B140" s="6"/>
      <c r="C140" s="6"/>
      <c r="D140" s="6"/>
      <c r="E140" s="7"/>
      <c r="F140" s="7"/>
      <c r="G140" s="7"/>
      <c r="H140" s="7"/>
      <c r="I140" s="7"/>
      <c r="J140" s="5"/>
      <c r="K140" s="6"/>
      <c r="L140" s="6"/>
      <c r="M140" s="6"/>
    </row>
    <row r="141" spans="2:13" x14ac:dyDescent="0.2">
      <c r="B141" s="6"/>
      <c r="C141" s="6"/>
      <c r="D141" s="6"/>
      <c r="E141" s="7"/>
      <c r="F141" s="7"/>
      <c r="G141" s="7"/>
      <c r="H141" s="7"/>
      <c r="I141" s="7"/>
      <c r="J141" s="5"/>
      <c r="K141" s="6"/>
      <c r="L141" s="6"/>
      <c r="M141" s="6"/>
    </row>
    <row r="142" spans="2:13" x14ac:dyDescent="0.2">
      <c r="B142" s="6"/>
      <c r="C142" s="6"/>
      <c r="D142" s="6"/>
      <c r="E142" s="7"/>
      <c r="F142" s="7"/>
      <c r="G142" s="7"/>
      <c r="H142" s="7"/>
      <c r="I142" s="7"/>
      <c r="J142" s="5"/>
      <c r="K142" s="6"/>
      <c r="L142" s="6"/>
      <c r="M142" s="6"/>
    </row>
    <row r="143" spans="2:13" x14ac:dyDescent="0.2">
      <c r="B143" s="6"/>
      <c r="C143" s="6"/>
      <c r="D143" s="6"/>
      <c r="E143" s="7"/>
      <c r="F143" s="7"/>
      <c r="G143" s="7"/>
      <c r="H143" s="7"/>
      <c r="I143" s="7"/>
      <c r="J143" s="5"/>
      <c r="K143" s="6"/>
      <c r="L143" s="6"/>
      <c r="M143" s="6"/>
    </row>
    <row r="144" spans="2:13" x14ac:dyDescent="0.2">
      <c r="B144" s="6"/>
      <c r="C144" s="6"/>
      <c r="D144" s="6"/>
      <c r="E144" s="7"/>
      <c r="F144" s="7"/>
      <c r="G144" s="7"/>
      <c r="H144" s="7"/>
      <c r="I144" s="7"/>
      <c r="J144" s="5"/>
      <c r="K144" s="6"/>
      <c r="L144" s="6"/>
      <c r="M144" s="6"/>
    </row>
    <row r="145" spans="2:13" x14ac:dyDescent="0.2">
      <c r="B145" s="6"/>
      <c r="C145" s="6"/>
      <c r="D145" s="6"/>
      <c r="E145" s="7"/>
      <c r="F145" s="7"/>
      <c r="G145" s="7"/>
      <c r="H145" s="7"/>
      <c r="I145" s="7"/>
      <c r="J145" s="5"/>
      <c r="K145" s="6"/>
      <c r="L145" s="6"/>
      <c r="M145" s="6"/>
    </row>
    <row r="146" spans="2:13" x14ac:dyDescent="0.2">
      <c r="B146" s="6"/>
      <c r="C146" s="6"/>
      <c r="D146" s="6"/>
      <c r="E146" s="7"/>
      <c r="F146" s="7"/>
      <c r="G146" s="7"/>
      <c r="H146" s="7"/>
      <c r="I146" s="7"/>
      <c r="J146" s="5"/>
      <c r="K146" s="6"/>
      <c r="L146" s="6"/>
      <c r="M146" s="6"/>
    </row>
    <row r="147" spans="2:13" x14ac:dyDescent="0.2">
      <c r="B147" s="6"/>
      <c r="C147" s="6"/>
      <c r="D147" s="6"/>
      <c r="E147" s="7"/>
      <c r="F147" s="7"/>
      <c r="G147" s="7"/>
      <c r="H147" s="7"/>
      <c r="I147" s="7"/>
      <c r="J147" s="5"/>
      <c r="K147" s="6"/>
      <c r="L147" s="6"/>
      <c r="M147" s="6"/>
    </row>
    <row r="148" spans="2:13" x14ac:dyDescent="0.2">
      <c r="B148" s="6"/>
      <c r="C148" s="6"/>
      <c r="D148" s="6"/>
      <c r="E148" s="7"/>
      <c r="F148" s="7"/>
      <c r="G148" s="7"/>
      <c r="H148" s="7"/>
      <c r="I148" s="7"/>
      <c r="J148" s="5"/>
      <c r="K148" s="6"/>
      <c r="L148" s="6"/>
      <c r="M148" s="6"/>
    </row>
    <row r="149" spans="2:13" x14ac:dyDescent="0.2">
      <c r="B149" s="6"/>
      <c r="C149" s="6"/>
      <c r="D149" s="6"/>
      <c r="E149" s="7"/>
      <c r="F149" s="7"/>
      <c r="G149" s="7"/>
      <c r="H149" s="7"/>
      <c r="I149" s="7"/>
      <c r="J149" s="5"/>
      <c r="K149" s="6"/>
      <c r="L149" s="6"/>
      <c r="M149" s="6"/>
    </row>
    <row r="150" spans="2:13" x14ac:dyDescent="0.2">
      <c r="B150" s="6"/>
      <c r="C150" s="6"/>
      <c r="D150" s="6"/>
      <c r="E150" s="7"/>
      <c r="F150" s="7"/>
      <c r="G150" s="7"/>
      <c r="H150" s="7"/>
      <c r="I150" s="7"/>
      <c r="J150" s="5"/>
      <c r="K150" s="6"/>
      <c r="L150" s="6"/>
      <c r="M150" s="6"/>
    </row>
    <row r="151" spans="2:13" x14ac:dyDescent="0.2">
      <c r="B151" s="6"/>
      <c r="C151" s="6"/>
      <c r="D151" s="6"/>
      <c r="E151" s="7"/>
      <c r="F151" s="7"/>
      <c r="G151" s="7"/>
      <c r="H151" s="7"/>
      <c r="I151" s="7"/>
      <c r="J151" s="5"/>
      <c r="K151" s="6"/>
      <c r="L151" s="6"/>
      <c r="M151" s="6"/>
    </row>
    <row r="152" spans="2:13" x14ac:dyDescent="0.2">
      <c r="B152" s="6"/>
      <c r="C152" s="6"/>
      <c r="D152" s="6"/>
      <c r="E152" s="7"/>
      <c r="F152" s="7"/>
      <c r="G152" s="7"/>
      <c r="H152" s="7"/>
      <c r="I152" s="7"/>
      <c r="J152" s="5"/>
      <c r="K152" s="6"/>
      <c r="L152" s="6"/>
      <c r="M152" s="6"/>
    </row>
    <row r="153" spans="2:13" x14ac:dyDescent="0.2">
      <c r="B153" s="6"/>
      <c r="C153" s="6"/>
      <c r="D153" s="6"/>
      <c r="E153" s="7"/>
      <c r="F153" s="7"/>
      <c r="G153" s="7"/>
      <c r="H153" s="7"/>
      <c r="I153" s="7"/>
      <c r="J153" s="5"/>
      <c r="K153" s="6"/>
      <c r="L153" s="6"/>
      <c r="M153" s="6"/>
    </row>
    <row r="154" spans="2:13" x14ac:dyDescent="0.2">
      <c r="B154" s="6"/>
      <c r="C154" s="6"/>
      <c r="D154" s="6"/>
      <c r="E154" s="7"/>
      <c r="F154" s="7"/>
      <c r="G154" s="7"/>
      <c r="H154" s="7"/>
      <c r="I154" s="7"/>
      <c r="J154" s="5"/>
      <c r="K154" s="6"/>
      <c r="L154" s="6"/>
      <c r="M154" s="6"/>
    </row>
    <row r="155" spans="2:13" x14ac:dyDescent="0.2">
      <c r="B155" s="6"/>
      <c r="C155" s="6"/>
      <c r="D155" s="6"/>
      <c r="E155" s="7"/>
      <c r="F155" s="7"/>
      <c r="G155" s="7"/>
      <c r="H155" s="7"/>
      <c r="I155" s="7"/>
      <c r="J155" s="5"/>
      <c r="K155" s="6"/>
      <c r="L155" s="6"/>
      <c r="M155" s="6"/>
    </row>
    <row r="156" spans="2:13" x14ac:dyDescent="0.2">
      <c r="B156" s="6"/>
      <c r="C156" s="6"/>
      <c r="D156" s="6"/>
      <c r="E156" s="7"/>
      <c r="F156" s="7"/>
      <c r="G156" s="7"/>
      <c r="H156" s="7"/>
      <c r="I156" s="7"/>
      <c r="J156" s="5"/>
      <c r="K156" s="6"/>
      <c r="L156" s="6"/>
      <c r="M156" s="6"/>
    </row>
    <row r="157" spans="2:13" x14ac:dyDescent="0.2">
      <c r="B157" s="6"/>
      <c r="C157" s="6"/>
      <c r="D157" s="6"/>
      <c r="E157" s="7"/>
      <c r="F157" s="7"/>
      <c r="G157" s="7"/>
      <c r="H157" s="7"/>
      <c r="I157" s="7"/>
      <c r="J157" s="5"/>
      <c r="K157" s="6"/>
      <c r="L157" s="6"/>
      <c r="M157" s="6"/>
    </row>
    <row r="158" spans="2:13" x14ac:dyDescent="0.2">
      <c r="B158" s="6"/>
      <c r="C158" s="6"/>
      <c r="D158" s="6"/>
      <c r="E158" s="7"/>
      <c r="F158" s="7"/>
      <c r="G158" s="7"/>
      <c r="H158" s="7"/>
      <c r="I158" s="7"/>
      <c r="J158" s="5"/>
      <c r="K158" s="6"/>
      <c r="L158" s="6"/>
      <c r="M158" s="6"/>
    </row>
    <row r="159" spans="2:13" x14ac:dyDescent="0.2">
      <c r="B159" s="6"/>
      <c r="C159" s="6"/>
      <c r="D159" s="6"/>
      <c r="E159" s="7"/>
      <c r="F159" s="7"/>
      <c r="G159" s="7"/>
      <c r="H159" s="7"/>
      <c r="I159" s="7"/>
      <c r="J159" s="5"/>
      <c r="K159" s="6"/>
      <c r="L159" s="6"/>
      <c r="M159" s="6"/>
    </row>
    <row r="160" spans="2:13" x14ac:dyDescent="0.2">
      <c r="B160" s="6"/>
      <c r="C160" s="6"/>
      <c r="D160" s="6"/>
      <c r="E160" s="7"/>
      <c r="F160" s="7"/>
      <c r="G160" s="7"/>
      <c r="H160" s="7"/>
      <c r="I160" s="7"/>
      <c r="J160" s="5"/>
      <c r="K160" s="6"/>
      <c r="L160" s="6"/>
      <c r="M160" s="6"/>
    </row>
    <row r="161" spans="2:13" x14ac:dyDescent="0.2">
      <c r="B161" s="6"/>
      <c r="C161" s="6"/>
      <c r="D161" s="6"/>
      <c r="E161" s="7"/>
      <c r="F161" s="7"/>
      <c r="G161" s="7"/>
      <c r="H161" s="7"/>
      <c r="I161" s="7"/>
      <c r="J161" s="5"/>
      <c r="K161" s="6"/>
      <c r="L161" s="6"/>
      <c r="M161" s="6"/>
    </row>
    <row r="162" spans="2:13" x14ac:dyDescent="0.2">
      <c r="B162" s="6"/>
      <c r="C162" s="6"/>
      <c r="D162" s="6"/>
      <c r="E162" s="7"/>
      <c r="F162" s="7"/>
      <c r="G162" s="7"/>
      <c r="H162" s="7"/>
      <c r="I162" s="7"/>
      <c r="J162" s="5"/>
      <c r="K162" s="6"/>
      <c r="L162" s="6"/>
      <c r="M162" s="6"/>
    </row>
    <row r="163" spans="2:13" x14ac:dyDescent="0.2">
      <c r="B163" s="6"/>
      <c r="C163" s="6"/>
      <c r="D163" s="6"/>
      <c r="E163" s="7"/>
      <c r="F163" s="7"/>
      <c r="G163" s="7"/>
      <c r="H163" s="7"/>
      <c r="I163" s="7"/>
      <c r="J163" s="5"/>
      <c r="K163" s="6"/>
      <c r="L163" s="6"/>
      <c r="M163" s="6"/>
    </row>
    <row r="164" spans="2:13" x14ac:dyDescent="0.2">
      <c r="B164" s="6"/>
      <c r="C164" s="6"/>
      <c r="D164" s="6"/>
      <c r="E164" s="7"/>
      <c r="F164" s="7"/>
      <c r="G164" s="7"/>
      <c r="H164" s="7"/>
      <c r="I164" s="7"/>
      <c r="J164" s="5"/>
      <c r="K164" s="6"/>
      <c r="L164" s="6"/>
      <c r="M164" s="6"/>
    </row>
    <row r="165" spans="2:13" x14ac:dyDescent="0.2">
      <c r="B165" s="6"/>
      <c r="C165" s="6"/>
      <c r="D165" s="6"/>
      <c r="E165" s="7"/>
      <c r="F165" s="7"/>
      <c r="G165" s="7"/>
      <c r="H165" s="7"/>
      <c r="I165" s="7"/>
      <c r="J165" s="5"/>
      <c r="K165" s="6"/>
      <c r="L165" s="6"/>
      <c r="M165" s="6"/>
    </row>
    <row r="166" spans="2:13" x14ac:dyDescent="0.2">
      <c r="B166" s="6"/>
      <c r="C166" s="6"/>
      <c r="D166" s="6"/>
      <c r="E166" s="7"/>
      <c r="F166" s="7"/>
      <c r="G166" s="7"/>
      <c r="H166" s="7"/>
      <c r="I166" s="7"/>
      <c r="J166" s="5"/>
      <c r="K166" s="6"/>
      <c r="L166" s="6"/>
      <c r="M166" s="6"/>
    </row>
    <row r="167" spans="2:13" x14ac:dyDescent="0.2">
      <c r="B167" s="6"/>
      <c r="C167" s="6"/>
      <c r="D167" s="6"/>
      <c r="E167" s="7"/>
      <c r="F167" s="7"/>
      <c r="G167" s="7"/>
      <c r="H167" s="7"/>
      <c r="I167" s="7"/>
      <c r="J167" s="5"/>
      <c r="K167" s="6"/>
      <c r="L167" s="6"/>
      <c r="M167" s="6"/>
    </row>
    <row r="168" spans="2:13" x14ac:dyDescent="0.2">
      <c r="B168" s="6"/>
      <c r="C168" s="6"/>
      <c r="D168" s="6"/>
      <c r="E168" s="7"/>
      <c r="F168" s="7"/>
      <c r="G168" s="7"/>
      <c r="H168" s="7"/>
      <c r="I168" s="7"/>
      <c r="J168" s="5"/>
      <c r="K168" s="6"/>
      <c r="L168" s="6"/>
      <c r="M168" s="6"/>
    </row>
    <row r="169" spans="2:13" x14ac:dyDescent="0.2">
      <c r="B169" s="6"/>
      <c r="C169" s="6"/>
      <c r="D169" s="6"/>
      <c r="E169" s="7"/>
      <c r="F169" s="7"/>
      <c r="G169" s="7"/>
      <c r="H169" s="7"/>
      <c r="I169" s="7"/>
      <c r="J169" s="5"/>
      <c r="K169" s="6"/>
      <c r="L169" s="6"/>
      <c r="M169" s="6"/>
    </row>
    <row r="170" spans="2:13" x14ac:dyDescent="0.2">
      <c r="B170" s="6"/>
      <c r="C170" s="6"/>
      <c r="D170" s="6"/>
      <c r="E170" s="7"/>
      <c r="F170" s="7"/>
      <c r="G170" s="7"/>
      <c r="H170" s="7"/>
      <c r="I170" s="7"/>
      <c r="J170" s="5"/>
      <c r="K170" s="6"/>
      <c r="L170" s="6"/>
      <c r="M170" s="6"/>
    </row>
    <row r="171" spans="2:13" x14ac:dyDescent="0.2">
      <c r="B171" s="6"/>
      <c r="C171" s="6"/>
      <c r="D171" s="6"/>
      <c r="E171" s="7"/>
      <c r="F171" s="7"/>
      <c r="G171" s="7"/>
      <c r="H171" s="7"/>
      <c r="I171" s="7"/>
      <c r="J171" s="5"/>
      <c r="K171" s="6"/>
      <c r="L171" s="6"/>
      <c r="M171" s="6"/>
    </row>
    <row r="172" spans="2:13" x14ac:dyDescent="0.2">
      <c r="B172" s="6"/>
      <c r="C172" s="6"/>
      <c r="D172" s="6"/>
      <c r="E172" s="7"/>
      <c r="F172" s="7"/>
      <c r="G172" s="7"/>
      <c r="H172" s="7"/>
      <c r="I172" s="7"/>
      <c r="J172" s="5"/>
      <c r="K172" s="6"/>
      <c r="L172" s="6"/>
      <c r="M172" s="6"/>
    </row>
    <row r="173" spans="2:13" x14ac:dyDescent="0.2">
      <c r="B173" s="6"/>
      <c r="C173" s="6"/>
      <c r="D173" s="6"/>
      <c r="E173" s="7"/>
      <c r="F173" s="7"/>
      <c r="G173" s="7"/>
      <c r="H173" s="7"/>
      <c r="I173" s="7"/>
      <c r="J173" s="5"/>
      <c r="K173" s="6"/>
      <c r="L173" s="6"/>
      <c r="M173" s="6"/>
    </row>
    <row r="174" spans="2:13" x14ac:dyDescent="0.2">
      <c r="B174" s="6"/>
      <c r="C174" s="6"/>
      <c r="D174" s="6"/>
      <c r="E174" s="7"/>
      <c r="F174" s="7"/>
      <c r="G174" s="7"/>
      <c r="H174" s="7"/>
      <c r="I174" s="7"/>
      <c r="J174" s="5"/>
      <c r="K174" s="6"/>
      <c r="L174" s="6"/>
      <c r="M174" s="6"/>
    </row>
    <row r="175" spans="2:13" x14ac:dyDescent="0.2">
      <c r="B175" s="6"/>
      <c r="C175" s="6"/>
      <c r="D175" s="6"/>
      <c r="E175" s="7"/>
      <c r="F175" s="7"/>
      <c r="G175" s="7"/>
      <c r="H175" s="7"/>
      <c r="I175" s="7"/>
      <c r="J175" s="5"/>
      <c r="K175" s="6"/>
      <c r="L175" s="6"/>
      <c r="M175" s="6"/>
    </row>
    <row r="176" spans="2:13" x14ac:dyDescent="0.2">
      <c r="B176" s="6"/>
      <c r="C176" s="6"/>
      <c r="D176" s="6"/>
      <c r="E176" s="7"/>
      <c r="F176" s="7"/>
      <c r="G176" s="7"/>
      <c r="H176" s="7"/>
      <c r="I176" s="7"/>
      <c r="J176" s="5"/>
      <c r="K176" s="6"/>
      <c r="L176" s="6"/>
      <c r="M176" s="6"/>
    </row>
    <row r="177" spans="2:13" x14ac:dyDescent="0.2">
      <c r="B177" s="6"/>
      <c r="C177" s="6"/>
      <c r="D177" s="6"/>
      <c r="E177" s="7"/>
      <c r="F177" s="7"/>
      <c r="G177" s="7"/>
      <c r="H177" s="7"/>
      <c r="I177" s="7"/>
      <c r="J177" s="5"/>
      <c r="K177" s="6"/>
      <c r="L177" s="6"/>
      <c r="M177" s="6"/>
    </row>
    <row r="178" spans="2:13" x14ac:dyDescent="0.2">
      <c r="B178" s="6"/>
      <c r="C178" s="6"/>
      <c r="D178" s="6"/>
      <c r="E178" s="7"/>
      <c r="F178" s="7"/>
      <c r="G178" s="7"/>
      <c r="H178" s="7"/>
      <c r="I178" s="7"/>
      <c r="J178" s="5"/>
      <c r="K178" s="6"/>
      <c r="L178" s="6"/>
      <c r="M178" s="6"/>
    </row>
    <row r="179" spans="2:13" x14ac:dyDescent="0.2">
      <c r="B179" s="6"/>
      <c r="C179" s="6"/>
      <c r="D179" s="6"/>
      <c r="E179" s="7"/>
      <c r="F179" s="7"/>
      <c r="G179" s="7"/>
      <c r="H179" s="7"/>
      <c r="I179" s="7"/>
      <c r="J179" s="5"/>
      <c r="K179" s="6"/>
      <c r="L179" s="6"/>
      <c r="M179" s="6"/>
    </row>
    <row r="180" spans="2:13" x14ac:dyDescent="0.2">
      <c r="B180" s="6"/>
      <c r="C180" s="6"/>
      <c r="D180" s="6"/>
      <c r="E180" s="7"/>
      <c r="F180" s="7"/>
      <c r="G180" s="7"/>
      <c r="H180" s="7"/>
      <c r="I180" s="7"/>
      <c r="J180" s="5"/>
      <c r="K180" s="6"/>
      <c r="L180" s="6"/>
      <c r="M180" s="6"/>
    </row>
    <row r="181" spans="2:13" x14ac:dyDescent="0.2">
      <c r="B181" s="6"/>
      <c r="C181" s="6"/>
      <c r="D181" s="6"/>
      <c r="E181" s="7"/>
      <c r="F181" s="7"/>
      <c r="G181" s="7"/>
      <c r="H181" s="7"/>
      <c r="I181" s="7"/>
      <c r="J181" s="5"/>
      <c r="K181" s="6"/>
      <c r="L181" s="6"/>
      <c r="M181" s="6"/>
    </row>
    <row r="182" spans="2:13" x14ac:dyDescent="0.2">
      <c r="B182" s="6"/>
      <c r="C182" s="6"/>
      <c r="D182" s="6"/>
      <c r="E182" s="7"/>
      <c r="F182" s="7"/>
      <c r="G182" s="7"/>
      <c r="H182" s="7"/>
      <c r="I182" s="7"/>
      <c r="J182" s="5"/>
      <c r="K182" s="6"/>
      <c r="L182" s="6"/>
      <c r="M182" s="6"/>
    </row>
    <row r="183" spans="2:13" x14ac:dyDescent="0.2">
      <c r="B183" s="6"/>
      <c r="C183" s="6"/>
      <c r="D183" s="6"/>
      <c r="E183" s="7"/>
      <c r="F183" s="7"/>
      <c r="G183" s="7"/>
      <c r="H183" s="7"/>
      <c r="I183" s="7"/>
      <c r="J183" s="5"/>
      <c r="K183" s="6"/>
      <c r="L183" s="6"/>
      <c r="M183" s="6"/>
    </row>
    <row r="184" spans="2:13" x14ac:dyDescent="0.2">
      <c r="B184" s="6"/>
      <c r="C184" s="6"/>
      <c r="D184" s="6"/>
      <c r="E184" s="7"/>
      <c r="F184" s="7"/>
      <c r="G184" s="7"/>
      <c r="H184" s="7"/>
      <c r="I184" s="7"/>
      <c r="J184" s="5"/>
      <c r="K184" s="6"/>
      <c r="L184" s="6"/>
      <c r="M184" s="6"/>
    </row>
    <row r="185" spans="2:13" x14ac:dyDescent="0.2">
      <c r="B185" s="6"/>
      <c r="C185" s="6"/>
      <c r="D185" s="6"/>
      <c r="E185" s="7"/>
      <c r="F185" s="7"/>
      <c r="G185" s="7"/>
      <c r="H185" s="7"/>
      <c r="I185" s="7"/>
      <c r="J185" s="5"/>
      <c r="K185" s="6"/>
      <c r="L185" s="6"/>
      <c r="M185" s="6"/>
    </row>
    <row r="186" spans="2:13" x14ac:dyDescent="0.2">
      <c r="B186" s="6"/>
      <c r="C186" s="6"/>
      <c r="D186" s="6"/>
      <c r="E186" s="7"/>
      <c r="F186" s="7"/>
      <c r="G186" s="7"/>
      <c r="H186" s="7"/>
      <c r="I186" s="7"/>
      <c r="J186" s="5"/>
      <c r="K186" s="6"/>
      <c r="L186" s="6"/>
      <c r="M186" s="6"/>
    </row>
    <row r="187" spans="2:13" x14ac:dyDescent="0.2">
      <c r="B187" s="6"/>
      <c r="C187" s="6"/>
      <c r="D187" s="6"/>
      <c r="E187" s="7"/>
      <c r="F187" s="7"/>
      <c r="G187" s="7"/>
      <c r="H187" s="7"/>
      <c r="I187" s="7"/>
      <c r="J187" s="5"/>
      <c r="K187" s="6"/>
      <c r="L187" s="6"/>
      <c r="M187" s="6"/>
    </row>
    <row r="188" spans="2:13" x14ac:dyDescent="0.2">
      <c r="B188" s="6"/>
      <c r="C188" s="6"/>
      <c r="D188" s="6"/>
      <c r="E188" s="7"/>
      <c r="F188" s="7"/>
      <c r="G188" s="7"/>
      <c r="H188" s="7"/>
      <c r="I188" s="7"/>
      <c r="J188" s="5"/>
      <c r="K188" s="6"/>
      <c r="L188" s="6"/>
      <c r="M188" s="6"/>
    </row>
    <row r="189" spans="2:13" x14ac:dyDescent="0.2">
      <c r="B189" s="6"/>
      <c r="C189" s="6"/>
      <c r="D189" s="6"/>
      <c r="E189" s="7"/>
      <c r="F189" s="7"/>
      <c r="G189" s="7"/>
      <c r="H189" s="7"/>
      <c r="I189" s="7"/>
      <c r="J189" s="5"/>
      <c r="K189" s="6"/>
      <c r="L189" s="6"/>
      <c r="M189" s="6"/>
    </row>
    <row r="190" spans="2:13" x14ac:dyDescent="0.2">
      <c r="B190" s="6"/>
      <c r="C190" s="6"/>
      <c r="D190" s="6"/>
      <c r="E190" s="7"/>
      <c r="F190" s="7"/>
      <c r="G190" s="7"/>
      <c r="H190" s="7"/>
      <c r="I190" s="7"/>
      <c r="J190" s="5"/>
      <c r="K190" s="6"/>
      <c r="L190" s="6"/>
      <c r="M190" s="6"/>
    </row>
    <row r="191" spans="2:13" x14ac:dyDescent="0.2">
      <c r="B191" s="6"/>
      <c r="C191" s="6"/>
      <c r="D191" s="6"/>
      <c r="E191" s="7"/>
      <c r="F191" s="7"/>
      <c r="G191" s="7"/>
      <c r="H191" s="7"/>
      <c r="I191" s="7"/>
      <c r="J191" s="5"/>
      <c r="K191" s="6"/>
      <c r="L191" s="6"/>
      <c r="M191" s="6"/>
    </row>
    <row r="192" spans="2:13" x14ac:dyDescent="0.2">
      <c r="B192" s="6"/>
      <c r="C192" s="6"/>
      <c r="D192" s="6"/>
      <c r="E192" s="7"/>
      <c r="F192" s="7"/>
      <c r="G192" s="7"/>
      <c r="H192" s="7"/>
      <c r="I192" s="7"/>
      <c r="J192" s="5"/>
      <c r="K192" s="6"/>
      <c r="L192" s="6"/>
      <c r="M192" s="6"/>
    </row>
    <row r="193" spans="2:13" x14ac:dyDescent="0.2">
      <c r="B193" s="6"/>
      <c r="C193" s="6"/>
      <c r="D193" s="6"/>
      <c r="E193" s="7"/>
      <c r="F193" s="7"/>
      <c r="G193" s="7"/>
      <c r="H193" s="7"/>
      <c r="I193" s="7"/>
      <c r="J193" s="5"/>
      <c r="K193" s="6"/>
      <c r="L193" s="6"/>
      <c r="M193" s="6"/>
    </row>
    <row r="194" spans="2:13" x14ac:dyDescent="0.2">
      <c r="B194" s="6"/>
      <c r="C194" s="6"/>
      <c r="D194" s="6"/>
      <c r="E194" s="7"/>
      <c r="F194" s="7"/>
      <c r="G194" s="7"/>
      <c r="H194" s="7"/>
      <c r="I194" s="7"/>
      <c r="J194" s="5"/>
      <c r="K194" s="6"/>
      <c r="L194" s="6"/>
      <c r="M194" s="6"/>
    </row>
    <row r="195" spans="2:13" x14ac:dyDescent="0.2">
      <c r="B195" s="6"/>
      <c r="C195" s="6"/>
      <c r="D195" s="6"/>
      <c r="E195" s="7"/>
      <c r="F195" s="7"/>
      <c r="G195" s="7"/>
      <c r="H195" s="7"/>
      <c r="I195" s="7"/>
      <c r="J195" s="5"/>
      <c r="K195" s="6"/>
      <c r="L195" s="6"/>
      <c r="M195" s="6"/>
    </row>
    <row r="196" spans="2:13" x14ac:dyDescent="0.2">
      <c r="B196" s="6"/>
      <c r="C196" s="6"/>
      <c r="D196" s="6"/>
      <c r="E196" s="7"/>
      <c r="F196" s="7"/>
      <c r="G196" s="7"/>
      <c r="H196" s="7"/>
      <c r="I196" s="7"/>
      <c r="J196" s="5"/>
      <c r="K196" s="6"/>
      <c r="L196" s="6"/>
      <c r="M196" s="6"/>
    </row>
    <row r="197" spans="2:13" x14ac:dyDescent="0.2">
      <c r="B197" s="6"/>
      <c r="C197" s="6"/>
      <c r="D197" s="6"/>
      <c r="E197" s="7"/>
      <c r="F197" s="7"/>
      <c r="G197" s="7"/>
      <c r="H197" s="7"/>
      <c r="I197" s="7"/>
      <c r="J197" s="5"/>
      <c r="K197" s="6"/>
      <c r="L197" s="6"/>
      <c r="M197" s="6"/>
    </row>
    <row r="198" spans="2:13" x14ac:dyDescent="0.2">
      <c r="B198" s="6"/>
      <c r="C198" s="6"/>
      <c r="D198" s="6"/>
      <c r="E198" s="7"/>
      <c r="F198" s="7"/>
      <c r="G198" s="7"/>
      <c r="H198" s="7"/>
      <c r="I198" s="7"/>
      <c r="J198" s="5"/>
      <c r="K198" s="6"/>
      <c r="L198" s="6"/>
      <c r="M198" s="6"/>
    </row>
    <row r="199" spans="2:13" x14ac:dyDescent="0.2">
      <c r="B199" s="6"/>
      <c r="C199" s="6"/>
      <c r="D199" s="6"/>
      <c r="E199" s="7"/>
      <c r="F199" s="7"/>
      <c r="G199" s="7"/>
      <c r="H199" s="7"/>
      <c r="I199" s="7"/>
      <c r="J199" s="5"/>
      <c r="K199" s="6"/>
      <c r="L199" s="6"/>
      <c r="M199" s="6"/>
    </row>
    <row r="200" spans="2:13" x14ac:dyDescent="0.2">
      <c r="B200" s="6"/>
      <c r="C200" s="6"/>
      <c r="D200" s="6"/>
      <c r="E200" s="7"/>
      <c r="F200" s="7"/>
      <c r="G200" s="7"/>
      <c r="H200" s="7"/>
      <c r="I200" s="7"/>
      <c r="J200" s="5"/>
      <c r="K200" s="6"/>
      <c r="L200" s="6"/>
      <c r="M200" s="6"/>
    </row>
    <row r="201" spans="2:13" x14ac:dyDescent="0.2">
      <c r="B201" s="6"/>
      <c r="C201" s="6"/>
      <c r="D201" s="6"/>
      <c r="E201" s="7"/>
      <c r="F201" s="7"/>
      <c r="G201" s="7"/>
      <c r="H201" s="7"/>
      <c r="I201" s="7"/>
      <c r="J201" s="5"/>
      <c r="K201" s="6"/>
      <c r="L201" s="6"/>
      <c r="M201" s="6"/>
    </row>
    <row r="202" spans="2:13" s="9" customFormat="1" x14ac:dyDescent="0.2">
      <c r="B202" s="10"/>
      <c r="C202" s="11"/>
      <c r="D202" s="11"/>
      <c r="E202" s="12"/>
      <c r="F202" s="12"/>
      <c r="G202" s="30"/>
      <c r="H202" s="11"/>
      <c r="I202" s="11"/>
      <c r="J202" s="11"/>
    </row>
    <row r="203" spans="2:13" s="9" customFormat="1" x14ac:dyDescent="0.2">
      <c r="B203" s="10"/>
      <c r="C203" s="11"/>
      <c r="D203" s="11"/>
      <c r="E203" s="12"/>
      <c r="F203" s="12"/>
      <c r="G203" s="30"/>
      <c r="H203" s="11"/>
      <c r="I203" s="11"/>
      <c r="J203" s="11"/>
    </row>
    <row r="204" spans="2:13" s="9" customFormat="1" x14ac:dyDescent="0.2">
      <c r="B204" s="10"/>
      <c r="C204" s="11"/>
      <c r="D204" s="11"/>
      <c r="E204" s="12"/>
      <c r="F204" s="12"/>
      <c r="G204" s="30"/>
      <c r="H204" s="11"/>
      <c r="I204" s="11"/>
      <c r="J204" s="11"/>
    </row>
    <row r="205" spans="2:13" s="9" customFormat="1" x14ac:dyDescent="0.2">
      <c r="B205" s="10"/>
      <c r="C205" s="11"/>
      <c r="D205" s="11"/>
      <c r="E205" s="12"/>
      <c r="F205" s="12"/>
      <c r="G205" s="30"/>
      <c r="H205" s="11"/>
      <c r="I205" s="11"/>
      <c r="J205" s="11"/>
    </row>
    <row r="206" spans="2:13" s="9" customFormat="1" x14ac:dyDescent="0.2">
      <c r="B206" s="10"/>
      <c r="C206" s="11"/>
      <c r="D206" s="11"/>
      <c r="E206" s="12"/>
      <c r="F206" s="12"/>
      <c r="G206" s="30"/>
      <c r="H206" s="11"/>
      <c r="I206" s="11"/>
      <c r="J206" s="11"/>
    </row>
    <row r="207" spans="2:13" s="9" customFormat="1" x14ac:dyDescent="0.2">
      <c r="B207" s="10"/>
      <c r="C207" s="11"/>
      <c r="D207" s="11"/>
      <c r="E207" s="12"/>
      <c r="F207" s="12"/>
      <c r="G207" s="30"/>
      <c r="H207" s="11"/>
      <c r="I207" s="11"/>
      <c r="J207" s="11"/>
    </row>
    <row r="208" spans="2:13" s="9" customFormat="1" x14ac:dyDescent="0.2">
      <c r="B208" s="10"/>
      <c r="C208" s="11"/>
      <c r="D208" s="11"/>
      <c r="E208" s="12"/>
      <c r="F208" s="12"/>
      <c r="G208" s="30"/>
      <c r="H208" s="11"/>
      <c r="I208" s="11"/>
      <c r="J208" s="11"/>
    </row>
    <row r="209" spans="2:10" s="9" customFormat="1" x14ac:dyDescent="0.2">
      <c r="B209" s="10"/>
      <c r="C209" s="11"/>
      <c r="D209" s="11"/>
      <c r="E209" s="12"/>
      <c r="F209" s="12"/>
      <c r="G209" s="30"/>
      <c r="H209" s="11"/>
      <c r="I209" s="11"/>
      <c r="J209" s="11"/>
    </row>
    <row r="210" spans="2:10" s="9" customFormat="1" x14ac:dyDescent="0.2">
      <c r="B210" s="10"/>
      <c r="C210" s="11"/>
      <c r="D210" s="11"/>
      <c r="E210" s="12"/>
      <c r="F210" s="12"/>
      <c r="G210" s="30"/>
      <c r="H210" s="11"/>
      <c r="I210" s="11"/>
      <c r="J210" s="11"/>
    </row>
    <row r="211" spans="2:10" s="9" customFormat="1" x14ac:dyDescent="0.2">
      <c r="B211" s="10"/>
      <c r="C211" s="11"/>
      <c r="D211" s="11"/>
      <c r="E211" s="12"/>
      <c r="F211" s="12"/>
      <c r="G211" s="30"/>
      <c r="H211" s="11"/>
      <c r="I211" s="11"/>
      <c r="J211" s="11"/>
    </row>
    <row r="212" spans="2:10" s="9" customFormat="1" x14ac:dyDescent="0.2">
      <c r="B212" s="10"/>
      <c r="C212" s="11"/>
      <c r="D212" s="11"/>
      <c r="E212" s="12"/>
      <c r="F212" s="12"/>
      <c r="G212" s="30"/>
      <c r="H212" s="11"/>
      <c r="I212" s="11"/>
      <c r="J212" s="11"/>
    </row>
    <row r="213" spans="2:10" s="9" customFormat="1" x14ac:dyDescent="0.2">
      <c r="B213" s="10"/>
      <c r="C213" s="11"/>
      <c r="D213" s="11"/>
      <c r="E213" s="12"/>
      <c r="F213" s="12"/>
      <c r="G213" s="30"/>
      <c r="H213" s="11"/>
      <c r="I213" s="11"/>
      <c r="J213" s="11"/>
    </row>
    <row r="214" spans="2:10" s="9" customFormat="1" x14ac:dyDescent="0.2">
      <c r="B214" s="10"/>
      <c r="C214" s="11"/>
      <c r="D214" s="11"/>
      <c r="E214" s="12"/>
      <c r="F214" s="12"/>
      <c r="G214" s="30"/>
      <c r="H214" s="11"/>
      <c r="I214" s="11"/>
      <c r="J214" s="11"/>
    </row>
    <row r="215" spans="2:10" s="9" customFormat="1" x14ac:dyDescent="0.2">
      <c r="B215" s="10"/>
      <c r="C215" s="11"/>
      <c r="D215" s="11"/>
      <c r="E215" s="12"/>
      <c r="F215" s="12"/>
      <c r="G215" s="30"/>
      <c r="H215" s="11"/>
      <c r="I215" s="11"/>
      <c r="J215" s="11"/>
    </row>
    <row r="216" spans="2:10" s="9" customFormat="1" x14ac:dyDescent="0.2">
      <c r="B216" s="10"/>
      <c r="C216" s="11"/>
      <c r="D216" s="11"/>
      <c r="E216" s="12"/>
      <c r="F216" s="12"/>
      <c r="G216" s="30"/>
      <c r="H216" s="11"/>
      <c r="I216" s="11"/>
      <c r="J216" s="11"/>
    </row>
    <row r="217" spans="2:10" s="9" customFormat="1" x14ac:dyDescent="0.2">
      <c r="B217" s="10"/>
      <c r="C217" s="11"/>
      <c r="D217" s="11"/>
      <c r="E217" s="12"/>
      <c r="F217" s="12"/>
      <c r="G217" s="30"/>
      <c r="H217" s="11"/>
      <c r="I217" s="11"/>
      <c r="J217" s="11"/>
    </row>
    <row r="218" spans="2:10" s="9" customFormat="1" x14ac:dyDescent="0.2">
      <c r="B218" s="10"/>
      <c r="C218" s="11"/>
      <c r="D218" s="11"/>
      <c r="E218" s="12"/>
      <c r="F218" s="12"/>
      <c r="G218" s="30"/>
      <c r="H218" s="11"/>
      <c r="I218" s="11"/>
      <c r="J218" s="11"/>
    </row>
    <row r="219" spans="2:10" s="9" customFormat="1" x14ac:dyDescent="0.2">
      <c r="B219" s="10"/>
      <c r="C219" s="11"/>
      <c r="D219" s="11"/>
      <c r="E219" s="12"/>
      <c r="F219" s="12"/>
      <c r="G219" s="30"/>
      <c r="H219" s="11"/>
      <c r="I219" s="11"/>
      <c r="J219" s="11"/>
    </row>
    <row r="220" spans="2:10" s="9" customFormat="1" x14ac:dyDescent="0.2">
      <c r="B220" s="10"/>
      <c r="C220" s="11"/>
      <c r="D220" s="11"/>
      <c r="E220" s="12"/>
      <c r="F220" s="12"/>
      <c r="G220" s="30"/>
      <c r="H220" s="11"/>
      <c r="I220" s="11"/>
      <c r="J220" s="11"/>
    </row>
    <row r="221" spans="2:10" s="9" customFormat="1" x14ac:dyDescent="0.2">
      <c r="B221" s="10"/>
      <c r="C221" s="11"/>
      <c r="D221" s="11"/>
      <c r="E221" s="12"/>
      <c r="F221" s="12"/>
      <c r="G221" s="30"/>
      <c r="H221" s="11"/>
      <c r="I221" s="11"/>
      <c r="J221" s="11"/>
    </row>
    <row r="222" spans="2:10" s="9" customFormat="1" x14ac:dyDescent="0.2">
      <c r="B222" s="10"/>
      <c r="C222" s="11"/>
      <c r="D222" s="11"/>
      <c r="E222" s="12"/>
      <c r="F222" s="12"/>
      <c r="G222" s="30"/>
      <c r="H222" s="11"/>
      <c r="I222" s="11"/>
      <c r="J222" s="11"/>
    </row>
    <row r="223" spans="2:10" s="9" customFormat="1" x14ac:dyDescent="0.2">
      <c r="B223" s="10"/>
      <c r="C223" s="11"/>
      <c r="D223" s="11"/>
      <c r="E223" s="12"/>
      <c r="F223" s="12"/>
      <c r="G223" s="30"/>
      <c r="H223" s="11"/>
      <c r="I223" s="11"/>
      <c r="J223" s="11"/>
    </row>
    <row r="224" spans="2:10" s="9" customFormat="1" x14ac:dyDescent="0.2">
      <c r="B224" s="10"/>
      <c r="C224" s="11"/>
      <c r="D224" s="11"/>
      <c r="E224" s="12"/>
      <c r="F224" s="12"/>
      <c r="G224" s="30"/>
      <c r="H224" s="11"/>
      <c r="I224" s="11"/>
      <c r="J224" s="11"/>
    </row>
    <row r="225" spans="2:10" s="9" customFormat="1" x14ac:dyDescent="0.2">
      <c r="B225" s="10"/>
      <c r="C225" s="11"/>
      <c r="D225" s="11"/>
      <c r="E225" s="12"/>
      <c r="F225" s="12"/>
      <c r="G225" s="30"/>
      <c r="H225" s="11"/>
      <c r="I225" s="11"/>
      <c r="J225" s="11"/>
    </row>
    <row r="226" spans="2:10" s="9" customFormat="1" x14ac:dyDescent="0.2">
      <c r="B226" s="10"/>
      <c r="C226" s="11"/>
      <c r="D226" s="11"/>
      <c r="E226" s="12"/>
      <c r="F226" s="12"/>
      <c r="G226" s="30"/>
      <c r="H226" s="11"/>
      <c r="I226" s="11"/>
      <c r="J226" s="11"/>
    </row>
    <row r="227" spans="2:10" s="9" customFormat="1" x14ac:dyDescent="0.2">
      <c r="B227" s="10"/>
      <c r="C227" s="11"/>
      <c r="D227" s="11"/>
      <c r="E227" s="12"/>
      <c r="F227" s="12"/>
      <c r="G227" s="30"/>
      <c r="H227" s="11"/>
      <c r="I227" s="11"/>
      <c r="J227" s="11"/>
    </row>
    <row r="228" spans="2:10" s="9" customFormat="1" x14ac:dyDescent="0.2">
      <c r="B228" s="10"/>
      <c r="C228" s="11"/>
      <c r="D228" s="11"/>
      <c r="E228" s="12"/>
      <c r="F228" s="12"/>
      <c r="G228" s="30"/>
      <c r="H228" s="11"/>
      <c r="I228" s="11"/>
      <c r="J228" s="11"/>
    </row>
    <row r="229" spans="2:10" s="9" customFormat="1" x14ac:dyDescent="0.2">
      <c r="B229" s="10"/>
      <c r="C229" s="11"/>
      <c r="D229" s="11"/>
      <c r="E229" s="12"/>
      <c r="F229" s="12"/>
      <c r="G229" s="30"/>
      <c r="H229" s="11"/>
      <c r="I229" s="11"/>
      <c r="J229" s="11"/>
    </row>
    <row r="230" spans="2:10" s="9" customFormat="1" x14ac:dyDescent="0.2">
      <c r="B230" s="10"/>
      <c r="C230" s="11"/>
      <c r="D230" s="11"/>
      <c r="E230" s="12"/>
      <c r="F230" s="12"/>
      <c r="G230" s="30"/>
      <c r="H230" s="11"/>
      <c r="I230" s="11"/>
      <c r="J230" s="11"/>
    </row>
    <row r="231" spans="2:10" s="9" customFormat="1" x14ac:dyDescent="0.2">
      <c r="B231" s="10"/>
      <c r="C231" s="11"/>
      <c r="D231" s="11"/>
      <c r="E231" s="12"/>
      <c r="F231" s="12"/>
      <c r="G231" s="30"/>
      <c r="H231" s="11"/>
      <c r="I231" s="11"/>
      <c r="J231" s="11"/>
    </row>
    <row r="232" spans="2:10" s="9" customFormat="1" x14ac:dyDescent="0.2">
      <c r="B232" s="10"/>
      <c r="C232" s="11"/>
      <c r="D232" s="11"/>
      <c r="E232" s="12"/>
      <c r="F232" s="12"/>
      <c r="G232" s="30"/>
      <c r="H232" s="11"/>
      <c r="I232" s="11"/>
      <c r="J232" s="11"/>
    </row>
    <row r="233" spans="2:10" s="9" customFormat="1" x14ac:dyDescent="0.2">
      <c r="B233" s="10"/>
      <c r="C233" s="11"/>
      <c r="D233" s="11"/>
      <c r="E233" s="12"/>
      <c r="F233" s="12"/>
      <c r="G233" s="30"/>
      <c r="H233" s="11"/>
      <c r="I233" s="11"/>
      <c r="J233" s="11"/>
    </row>
    <row r="234" spans="2:10" s="9" customFormat="1" x14ac:dyDescent="0.2">
      <c r="B234" s="10"/>
      <c r="C234" s="11"/>
      <c r="D234" s="11"/>
      <c r="E234" s="12"/>
      <c r="F234" s="12"/>
      <c r="G234" s="30"/>
      <c r="H234" s="11"/>
      <c r="I234" s="11"/>
      <c r="J234" s="11"/>
    </row>
    <row r="235" spans="2:10" s="9" customFormat="1" x14ac:dyDescent="0.2">
      <c r="B235" s="10"/>
      <c r="C235" s="11"/>
      <c r="D235" s="11"/>
      <c r="E235" s="12"/>
      <c r="F235" s="12"/>
      <c r="G235" s="30"/>
      <c r="H235" s="11"/>
      <c r="I235" s="11"/>
      <c r="J235" s="11"/>
    </row>
    <row r="236" spans="2:10" s="9" customFormat="1" x14ac:dyDescent="0.2">
      <c r="B236" s="10"/>
      <c r="C236" s="11"/>
      <c r="D236" s="11"/>
      <c r="E236" s="12"/>
      <c r="F236" s="12"/>
      <c r="G236" s="30"/>
      <c r="H236" s="11"/>
      <c r="I236" s="11"/>
      <c r="J236" s="11"/>
    </row>
    <row r="237" spans="2:10" s="9" customFormat="1" x14ac:dyDescent="0.2">
      <c r="B237" s="10"/>
      <c r="C237" s="11"/>
      <c r="D237" s="11"/>
      <c r="E237" s="12"/>
      <c r="F237" s="12"/>
      <c r="G237" s="30"/>
      <c r="H237" s="11"/>
      <c r="I237" s="11"/>
      <c r="J237" s="11"/>
    </row>
    <row r="238" spans="2:10" s="9" customFormat="1" x14ac:dyDescent="0.2">
      <c r="B238" s="10"/>
      <c r="C238" s="11"/>
      <c r="D238" s="11"/>
      <c r="E238" s="12"/>
      <c r="F238" s="12"/>
      <c r="G238" s="30"/>
      <c r="H238" s="11"/>
      <c r="I238" s="11"/>
      <c r="J238" s="11"/>
    </row>
    <row r="239" spans="2:10" s="9" customFormat="1" x14ac:dyDescent="0.2">
      <c r="B239" s="10"/>
      <c r="C239" s="11"/>
      <c r="D239" s="11"/>
      <c r="E239" s="12"/>
      <c r="F239" s="12"/>
      <c r="G239" s="30"/>
      <c r="H239" s="11"/>
      <c r="I239" s="11"/>
      <c r="J239" s="11"/>
    </row>
    <row r="240" spans="2:10" s="9" customFormat="1" x14ac:dyDescent="0.2">
      <c r="B240" s="10"/>
      <c r="C240" s="11"/>
      <c r="D240" s="11"/>
      <c r="E240" s="12"/>
      <c r="F240" s="12"/>
      <c r="G240" s="30"/>
      <c r="H240" s="11"/>
      <c r="I240" s="11"/>
      <c r="J240" s="11"/>
    </row>
    <row r="241" spans="2:10" s="9" customFormat="1" x14ac:dyDescent="0.2">
      <c r="B241" s="10"/>
      <c r="C241" s="11"/>
      <c r="D241" s="11"/>
      <c r="E241" s="12"/>
      <c r="F241" s="12"/>
      <c r="G241" s="30"/>
      <c r="H241" s="11"/>
      <c r="I241" s="11"/>
      <c r="J241" s="11"/>
    </row>
    <row r="242" spans="2:10" s="9" customFormat="1" x14ac:dyDescent="0.2">
      <c r="B242" s="10"/>
      <c r="C242" s="11"/>
      <c r="D242" s="11"/>
      <c r="E242" s="12"/>
      <c r="F242" s="12"/>
      <c r="G242" s="30"/>
      <c r="H242" s="11"/>
      <c r="I242" s="11"/>
      <c r="J242" s="11"/>
    </row>
    <row r="243" spans="2:10" s="9" customFormat="1" x14ac:dyDescent="0.2">
      <c r="B243" s="10"/>
      <c r="C243" s="11"/>
      <c r="D243" s="11"/>
      <c r="E243" s="12"/>
      <c r="F243" s="12"/>
      <c r="G243" s="30"/>
      <c r="H243" s="11"/>
      <c r="I243" s="11"/>
      <c r="J243" s="11"/>
    </row>
    <row r="244" spans="2:10" s="9" customFormat="1" x14ac:dyDescent="0.2">
      <c r="B244" s="10"/>
      <c r="C244" s="11"/>
      <c r="D244" s="11"/>
      <c r="E244" s="12"/>
      <c r="F244" s="12"/>
      <c r="G244" s="30"/>
      <c r="H244" s="11"/>
      <c r="I244" s="11"/>
      <c r="J244" s="11"/>
    </row>
    <row r="245" spans="2:10" s="9" customFormat="1" x14ac:dyDescent="0.2">
      <c r="B245" s="10"/>
      <c r="C245" s="11"/>
      <c r="D245" s="11"/>
      <c r="E245" s="12"/>
      <c r="F245" s="12"/>
      <c r="G245" s="30"/>
      <c r="H245" s="11"/>
      <c r="I245" s="11"/>
      <c r="J245" s="11"/>
    </row>
    <row r="246" spans="2:10" s="9" customFormat="1" x14ac:dyDescent="0.2">
      <c r="B246" s="10"/>
      <c r="C246" s="11"/>
      <c r="D246" s="11"/>
      <c r="E246" s="12"/>
      <c r="F246" s="12"/>
      <c r="G246" s="30"/>
      <c r="H246" s="11"/>
      <c r="I246" s="11"/>
      <c r="J246" s="11"/>
    </row>
    <row r="247" spans="2:10" s="9" customFormat="1" x14ac:dyDescent="0.2">
      <c r="B247" s="10"/>
      <c r="C247" s="11"/>
      <c r="D247" s="11"/>
      <c r="E247" s="12"/>
      <c r="F247" s="12"/>
      <c r="G247" s="30"/>
      <c r="H247" s="11"/>
      <c r="I247" s="11"/>
      <c r="J247" s="11"/>
    </row>
    <row r="248" spans="2:10" s="9" customFormat="1" x14ac:dyDescent="0.2">
      <c r="B248" s="10"/>
      <c r="C248" s="11"/>
      <c r="D248" s="11"/>
      <c r="E248" s="12"/>
      <c r="F248" s="12"/>
      <c r="G248" s="30"/>
      <c r="H248" s="11"/>
      <c r="I248" s="11"/>
      <c r="J248" s="11"/>
    </row>
    <row r="249" spans="2:10" s="9" customFormat="1" x14ac:dyDescent="0.2">
      <c r="B249" s="10"/>
      <c r="C249" s="11"/>
      <c r="D249" s="11"/>
      <c r="E249" s="12"/>
      <c r="F249" s="12"/>
      <c r="G249" s="30"/>
      <c r="H249" s="11"/>
      <c r="I249" s="11"/>
      <c r="J249" s="11"/>
    </row>
    <row r="250" spans="2:10" s="9" customFormat="1" x14ac:dyDescent="0.2">
      <c r="B250" s="10"/>
      <c r="C250" s="11"/>
      <c r="D250" s="11"/>
      <c r="E250" s="12"/>
      <c r="F250" s="12"/>
      <c r="G250" s="30"/>
      <c r="H250" s="11"/>
      <c r="I250" s="11"/>
      <c r="J250" s="11"/>
    </row>
    <row r="251" spans="2:10" s="9" customFormat="1" x14ac:dyDescent="0.2">
      <c r="B251" s="10"/>
      <c r="C251" s="11"/>
      <c r="D251" s="11"/>
      <c r="E251" s="12"/>
      <c r="F251" s="12"/>
      <c r="G251" s="30"/>
      <c r="H251" s="11"/>
      <c r="I251" s="11"/>
      <c r="J251" s="11"/>
    </row>
    <row r="252" spans="2:10" s="9" customFormat="1" x14ac:dyDescent="0.2">
      <c r="B252" s="10"/>
      <c r="C252" s="11"/>
      <c r="D252" s="11"/>
      <c r="E252" s="12"/>
      <c r="F252" s="12"/>
      <c r="G252" s="30"/>
      <c r="H252" s="11"/>
      <c r="I252" s="11"/>
      <c r="J252" s="11"/>
    </row>
    <row r="253" spans="2:10" s="9" customFormat="1" x14ac:dyDescent="0.2">
      <c r="B253" s="10"/>
      <c r="C253" s="11"/>
      <c r="D253" s="11"/>
      <c r="E253" s="12"/>
      <c r="F253" s="12"/>
      <c r="G253" s="30"/>
      <c r="H253" s="11"/>
      <c r="I253" s="11"/>
      <c r="J253" s="11"/>
    </row>
    <row r="254" spans="2:10" s="9" customFormat="1" x14ac:dyDescent="0.2">
      <c r="B254" s="10"/>
      <c r="C254" s="11"/>
      <c r="D254" s="11"/>
      <c r="E254" s="12"/>
      <c r="F254" s="12"/>
      <c r="G254" s="30"/>
      <c r="H254" s="11"/>
      <c r="I254" s="11"/>
      <c r="J254" s="11"/>
    </row>
    <row r="255" spans="2:10" s="9" customFormat="1" x14ac:dyDescent="0.2">
      <c r="B255" s="10"/>
      <c r="C255" s="11"/>
      <c r="D255" s="11"/>
      <c r="E255" s="12"/>
      <c r="F255" s="12"/>
      <c r="G255" s="30"/>
      <c r="H255" s="11"/>
      <c r="I255" s="11"/>
      <c r="J255" s="11"/>
    </row>
    <row r="256" spans="2:10" s="9" customFormat="1" x14ac:dyDescent="0.2">
      <c r="B256" s="10"/>
      <c r="C256" s="11"/>
      <c r="D256" s="11"/>
      <c r="E256" s="12"/>
      <c r="F256" s="12"/>
      <c r="G256" s="30"/>
      <c r="H256" s="11"/>
      <c r="I256" s="11"/>
      <c r="J256" s="11"/>
    </row>
    <row r="257" spans="2:10" s="9" customFormat="1" x14ac:dyDescent="0.2">
      <c r="B257" s="10"/>
      <c r="C257" s="11"/>
      <c r="D257" s="11"/>
      <c r="E257" s="12"/>
      <c r="F257" s="12"/>
      <c r="G257" s="30"/>
      <c r="H257" s="11"/>
      <c r="I257" s="11"/>
      <c r="J257" s="11"/>
    </row>
    <row r="258" spans="2:10" s="9" customFormat="1" x14ac:dyDescent="0.2">
      <c r="B258" s="10"/>
      <c r="C258" s="11"/>
      <c r="D258" s="11"/>
      <c r="E258" s="12"/>
      <c r="F258" s="12"/>
      <c r="G258" s="30"/>
      <c r="H258" s="11"/>
      <c r="I258" s="11"/>
      <c r="J258" s="11"/>
    </row>
    <row r="259" spans="2:10" s="9" customFormat="1" x14ac:dyDescent="0.2">
      <c r="B259" s="10"/>
      <c r="C259" s="11"/>
      <c r="D259" s="11"/>
      <c r="E259" s="12"/>
      <c r="F259" s="12"/>
      <c r="G259" s="30"/>
      <c r="H259" s="11"/>
      <c r="I259" s="11"/>
      <c r="J259" s="11"/>
    </row>
    <row r="260" spans="2:10" s="9" customFormat="1" x14ac:dyDescent="0.2">
      <c r="B260" s="10"/>
      <c r="C260" s="11"/>
      <c r="D260" s="11"/>
      <c r="E260" s="12"/>
      <c r="F260" s="12"/>
      <c r="G260" s="30"/>
      <c r="H260" s="11"/>
      <c r="I260" s="11"/>
      <c r="J260" s="11"/>
    </row>
    <row r="261" spans="2:10" s="9" customFormat="1" x14ac:dyDescent="0.2">
      <c r="B261" s="10"/>
      <c r="C261" s="11"/>
      <c r="D261" s="11"/>
      <c r="E261" s="12"/>
      <c r="F261" s="12"/>
      <c r="G261" s="30"/>
      <c r="H261" s="11"/>
      <c r="I261" s="11"/>
      <c r="J261" s="11"/>
    </row>
    <row r="262" spans="2:10" s="9" customFormat="1" x14ac:dyDescent="0.2">
      <c r="B262" s="10"/>
      <c r="C262" s="11"/>
      <c r="D262" s="11"/>
      <c r="E262" s="12"/>
      <c r="F262" s="12"/>
      <c r="G262" s="30"/>
      <c r="H262" s="11"/>
      <c r="I262" s="11"/>
      <c r="J262" s="11"/>
    </row>
    <row r="263" spans="2:10" s="9" customFormat="1" x14ac:dyDescent="0.2">
      <c r="B263" s="10"/>
      <c r="C263" s="11"/>
      <c r="D263" s="11"/>
      <c r="E263" s="12"/>
      <c r="F263" s="12"/>
      <c r="G263" s="30"/>
      <c r="H263" s="11"/>
      <c r="I263" s="11"/>
      <c r="J263" s="11"/>
    </row>
    <row r="264" spans="2:10" s="9" customFormat="1" x14ac:dyDescent="0.2">
      <c r="B264" s="10"/>
      <c r="C264" s="11"/>
      <c r="D264" s="11"/>
      <c r="E264" s="12"/>
      <c r="F264" s="12"/>
      <c r="G264" s="30"/>
      <c r="H264" s="11"/>
      <c r="I264" s="11"/>
      <c r="J264" s="11"/>
    </row>
    <row r="265" spans="2:10" s="9" customFormat="1" x14ac:dyDescent="0.2">
      <c r="B265" s="10"/>
      <c r="C265" s="11"/>
      <c r="D265" s="11"/>
      <c r="E265" s="12"/>
      <c r="F265" s="12"/>
      <c r="G265" s="30"/>
      <c r="H265" s="11"/>
      <c r="I265" s="11"/>
      <c r="J265" s="11"/>
    </row>
    <row r="266" spans="2:10" s="9" customFormat="1" x14ac:dyDescent="0.2">
      <c r="B266" s="10"/>
      <c r="C266" s="11"/>
      <c r="D266" s="11"/>
      <c r="E266" s="12"/>
      <c r="F266" s="12"/>
      <c r="G266" s="30"/>
      <c r="H266" s="11"/>
      <c r="I266" s="11"/>
      <c r="J266" s="11"/>
    </row>
    <row r="267" spans="2:10" s="9" customFormat="1" x14ac:dyDescent="0.2">
      <c r="B267" s="10"/>
      <c r="C267" s="11"/>
      <c r="D267" s="11"/>
      <c r="E267" s="12"/>
      <c r="F267" s="12"/>
      <c r="G267" s="30"/>
      <c r="H267" s="11"/>
      <c r="I267" s="11"/>
      <c r="J267" s="11"/>
    </row>
    <row r="268" spans="2:10" s="9" customFormat="1" x14ac:dyDescent="0.2">
      <c r="B268" s="10"/>
      <c r="C268" s="11"/>
      <c r="D268" s="11"/>
      <c r="E268" s="12"/>
      <c r="F268" s="12"/>
      <c r="G268" s="30"/>
      <c r="H268" s="11"/>
      <c r="I268" s="11"/>
      <c r="J268" s="11"/>
    </row>
    <row r="269" spans="2:10" s="9" customFormat="1" x14ac:dyDescent="0.2">
      <c r="B269" s="10"/>
      <c r="C269" s="11"/>
      <c r="D269" s="11"/>
      <c r="E269" s="12"/>
      <c r="F269" s="12"/>
      <c r="G269" s="30"/>
      <c r="H269" s="11"/>
      <c r="I269" s="11"/>
      <c r="J269" s="11"/>
    </row>
    <row r="270" spans="2:10" s="9" customFormat="1" x14ac:dyDescent="0.2">
      <c r="B270" s="10"/>
      <c r="C270" s="11"/>
      <c r="D270" s="11"/>
      <c r="E270" s="12"/>
      <c r="F270" s="12"/>
      <c r="G270" s="30"/>
      <c r="H270" s="11"/>
      <c r="I270" s="11"/>
      <c r="J270" s="11"/>
    </row>
    <row r="271" spans="2:10" s="9" customFormat="1" x14ac:dyDescent="0.2">
      <c r="B271" s="10"/>
      <c r="C271" s="11"/>
      <c r="D271" s="11"/>
      <c r="E271" s="12"/>
      <c r="F271" s="12"/>
      <c r="G271" s="30"/>
      <c r="H271" s="11"/>
      <c r="I271" s="11"/>
      <c r="J271" s="11"/>
    </row>
    <row r="272" spans="2:10" s="9" customFormat="1" x14ac:dyDescent="0.2">
      <c r="B272" s="10"/>
      <c r="C272" s="11"/>
      <c r="D272" s="11"/>
      <c r="E272" s="12"/>
      <c r="F272" s="12"/>
      <c r="G272" s="30"/>
      <c r="H272" s="11"/>
      <c r="I272" s="11"/>
      <c r="J272" s="11"/>
    </row>
    <row r="273" spans="2:10" s="9" customFormat="1" x14ac:dyDescent="0.2">
      <c r="B273" s="10"/>
      <c r="C273" s="11"/>
      <c r="D273" s="11"/>
      <c r="E273" s="12"/>
      <c r="F273" s="12"/>
      <c r="G273" s="30"/>
      <c r="H273" s="11"/>
      <c r="I273" s="11"/>
      <c r="J273" s="11"/>
    </row>
    <row r="274" spans="2:10" s="9" customFormat="1" x14ac:dyDescent="0.2">
      <c r="B274" s="10"/>
      <c r="C274" s="11"/>
      <c r="D274" s="11"/>
      <c r="E274" s="12"/>
      <c r="F274" s="12"/>
      <c r="G274" s="30"/>
      <c r="H274" s="11"/>
      <c r="I274" s="11"/>
      <c r="J274" s="11"/>
    </row>
    <row r="275" spans="2:10" s="9" customFormat="1" x14ac:dyDescent="0.2">
      <c r="B275" s="10"/>
      <c r="C275" s="11"/>
      <c r="D275" s="11"/>
      <c r="E275" s="12"/>
      <c r="F275" s="12"/>
      <c r="G275" s="30"/>
      <c r="H275" s="11"/>
      <c r="I275" s="11"/>
      <c r="J275" s="11"/>
    </row>
    <row r="276" spans="2:10" s="9" customFormat="1" x14ac:dyDescent="0.2">
      <c r="B276" s="10"/>
      <c r="C276" s="11"/>
      <c r="D276" s="11"/>
      <c r="E276" s="12"/>
      <c r="F276" s="12"/>
      <c r="G276" s="30"/>
      <c r="H276" s="11"/>
      <c r="I276" s="11"/>
      <c r="J276" s="11"/>
    </row>
    <row r="277" spans="2:10" s="9" customFormat="1" x14ac:dyDescent="0.2">
      <c r="B277" s="10"/>
      <c r="C277" s="11"/>
      <c r="D277" s="11"/>
      <c r="E277" s="12"/>
      <c r="F277" s="12"/>
      <c r="G277" s="30"/>
      <c r="H277" s="11"/>
      <c r="I277" s="11"/>
      <c r="J277" s="11"/>
    </row>
    <row r="278" spans="2:10" s="9" customFormat="1" x14ac:dyDescent="0.2">
      <c r="B278" s="10"/>
      <c r="C278" s="11"/>
      <c r="D278" s="11"/>
      <c r="E278" s="12"/>
      <c r="F278" s="12"/>
      <c r="G278" s="30"/>
      <c r="H278" s="11"/>
      <c r="I278" s="11"/>
      <c r="J278" s="11"/>
    </row>
    <row r="279" spans="2:10" s="9" customFormat="1" x14ac:dyDescent="0.2">
      <c r="B279" s="10"/>
      <c r="C279" s="11"/>
      <c r="D279" s="11"/>
      <c r="E279" s="12"/>
      <c r="F279" s="12"/>
      <c r="G279" s="30"/>
      <c r="H279" s="11"/>
      <c r="I279" s="11"/>
      <c r="J279" s="11"/>
    </row>
    <row r="280" spans="2:10" s="9" customFormat="1" x14ac:dyDescent="0.2">
      <c r="B280" s="10"/>
      <c r="C280" s="11"/>
      <c r="D280" s="11"/>
      <c r="E280" s="12"/>
      <c r="F280" s="12"/>
      <c r="G280" s="30"/>
      <c r="H280" s="11"/>
      <c r="I280" s="11"/>
      <c r="J280" s="11"/>
    </row>
    <row r="281" spans="2:10" s="9" customFormat="1" x14ac:dyDescent="0.2">
      <c r="B281" s="10"/>
      <c r="C281" s="11"/>
      <c r="D281" s="11"/>
      <c r="E281" s="12"/>
      <c r="F281" s="12"/>
      <c r="G281" s="30"/>
      <c r="H281" s="11"/>
      <c r="I281" s="11"/>
      <c r="J281" s="11"/>
    </row>
    <row r="282" spans="2:10" s="9" customFormat="1" x14ac:dyDescent="0.2">
      <c r="B282" s="10"/>
      <c r="C282" s="11"/>
      <c r="D282" s="11"/>
      <c r="E282" s="12"/>
      <c r="F282" s="12"/>
      <c r="G282" s="30"/>
      <c r="H282" s="11"/>
      <c r="I282" s="11"/>
      <c r="J282" s="11"/>
    </row>
    <row r="283" spans="2:10" s="9" customFormat="1" x14ac:dyDescent="0.2">
      <c r="B283" s="10"/>
      <c r="C283" s="11"/>
      <c r="D283" s="11"/>
      <c r="E283" s="12"/>
      <c r="F283" s="12"/>
      <c r="G283" s="30"/>
      <c r="H283" s="11"/>
      <c r="I283" s="11"/>
      <c r="J283" s="11"/>
    </row>
    <row r="284" spans="2:10" s="9" customFormat="1" x14ac:dyDescent="0.2">
      <c r="B284" s="10"/>
      <c r="C284" s="11"/>
      <c r="D284" s="11"/>
      <c r="E284" s="12"/>
      <c r="F284" s="12"/>
      <c r="G284" s="30"/>
      <c r="H284" s="11"/>
      <c r="I284" s="11"/>
      <c r="J284" s="11"/>
    </row>
    <row r="285" spans="2:10" s="9" customFormat="1" x14ac:dyDescent="0.2">
      <c r="B285" s="10"/>
      <c r="C285" s="11"/>
      <c r="D285" s="11"/>
      <c r="E285" s="12"/>
      <c r="F285" s="12"/>
      <c r="G285" s="30"/>
      <c r="H285" s="11"/>
      <c r="I285" s="11"/>
      <c r="J285" s="11"/>
    </row>
    <row r="286" spans="2:10" s="9" customFormat="1" x14ac:dyDescent="0.2">
      <c r="B286" s="10"/>
      <c r="C286" s="11"/>
      <c r="D286" s="11"/>
      <c r="E286" s="12"/>
      <c r="F286" s="12"/>
      <c r="G286" s="30"/>
      <c r="H286" s="11"/>
      <c r="I286" s="11"/>
      <c r="J286" s="11"/>
    </row>
    <row r="287" spans="2:10" s="9" customFormat="1" x14ac:dyDescent="0.2">
      <c r="B287" s="10"/>
      <c r="C287" s="11"/>
      <c r="D287" s="11"/>
      <c r="E287" s="12"/>
      <c r="F287" s="12"/>
      <c r="G287" s="30"/>
      <c r="H287" s="11"/>
      <c r="I287" s="11"/>
      <c r="J287" s="11"/>
    </row>
    <row r="288" spans="2:10" s="9" customFormat="1" x14ac:dyDescent="0.2">
      <c r="B288" s="10"/>
      <c r="C288" s="11"/>
      <c r="D288" s="11"/>
      <c r="E288" s="12"/>
      <c r="F288" s="12"/>
      <c r="G288" s="30"/>
      <c r="H288" s="11"/>
      <c r="I288" s="11"/>
      <c r="J288" s="11"/>
    </row>
    <row r="289" spans="2:10" s="9" customFormat="1" x14ac:dyDescent="0.2">
      <c r="B289" s="10"/>
      <c r="C289" s="11"/>
      <c r="D289" s="11"/>
      <c r="E289" s="12"/>
      <c r="F289" s="12"/>
      <c r="G289" s="30"/>
      <c r="H289" s="11"/>
      <c r="I289" s="11"/>
      <c r="J289" s="11"/>
    </row>
    <row r="290" spans="2:10" s="9" customFormat="1" x14ac:dyDescent="0.2">
      <c r="B290" s="10"/>
      <c r="C290" s="11"/>
      <c r="D290" s="11"/>
      <c r="E290" s="12"/>
      <c r="F290" s="12"/>
      <c r="G290" s="30"/>
      <c r="H290" s="11"/>
      <c r="I290" s="11"/>
      <c r="J290" s="11"/>
    </row>
    <row r="291" spans="2:10" s="9" customFormat="1" x14ac:dyDescent="0.2">
      <c r="B291" s="10"/>
      <c r="C291" s="11"/>
      <c r="D291" s="11"/>
      <c r="E291" s="12"/>
      <c r="F291" s="12"/>
      <c r="G291" s="30"/>
      <c r="H291" s="11"/>
      <c r="I291" s="11"/>
      <c r="J291" s="11"/>
    </row>
    <row r="292" spans="2:10" s="9" customFormat="1" x14ac:dyDescent="0.2">
      <c r="B292" s="10"/>
      <c r="C292" s="11"/>
      <c r="D292" s="11"/>
      <c r="E292" s="12"/>
      <c r="F292" s="12"/>
      <c r="G292" s="30"/>
      <c r="H292" s="11"/>
      <c r="I292" s="11"/>
      <c r="J292" s="11"/>
    </row>
    <row r="293" spans="2:10" s="9" customFormat="1" x14ac:dyDescent="0.2">
      <c r="B293" s="10"/>
      <c r="C293" s="11"/>
      <c r="D293" s="11"/>
      <c r="E293" s="12"/>
      <c r="F293" s="12"/>
      <c r="G293" s="30"/>
      <c r="H293" s="11"/>
      <c r="I293" s="11"/>
      <c r="J293" s="11"/>
    </row>
    <row r="294" spans="2:10" s="9" customFormat="1" x14ac:dyDescent="0.2">
      <c r="B294" s="10"/>
      <c r="C294" s="11"/>
      <c r="D294" s="11"/>
      <c r="E294" s="12"/>
      <c r="F294" s="12"/>
      <c r="G294" s="30"/>
      <c r="H294" s="11"/>
      <c r="I294" s="11"/>
      <c r="J294" s="11"/>
    </row>
    <row r="295" spans="2:10" s="9" customFormat="1" x14ac:dyDescent="0.2">
      <c r="B295" s="10"/>
      <c r="C295" s="11"/>
      <c r="D295" s="11"/>
      <c r="E295" s="12"/>
      <c r="F295" s="12"/>
      <c r="G295" s="30"/>
      <c r="H295" s="11"/>
      <c r="I295" s="11"/>
      <c r="J295" s="11"/>
    </row>
    <row r="296" spans="2:10" s="9" customFormat="1" x14ac:dyDescent="0.2">
      <c r="B296" s="10"/>
      <c r="C296" s="11"/>
      <c r="D296" s="11"/>
      <c r="E296" s="12"/>
      <c r="F296" s="12"/>
      <c r="G296" s="30"/>
      <c r="H296" s="11"/>
      <c r="I296" s="11"/>
      <c r="J296" s="11"/>
    </row>
    <row r="297" spans="2:10" s="9" customFormat="1" x14ac:dyDescent="0.2">
      <c r="B297" s="10"/>
      <c r="C297" s="11"/>
      <c r="D297" s="11"/>
      <c r="E297" s="12"/>
      <c r="F297" s="12"/>
      <c r="G297" s="30"/>
      <c r="H297" s="11"/>
      <c r="I297" s="11"/>
      <c r="J297" s="11"/>
    </row>
    <row r="298" spans="2:10" s="9" customFormat="1" x14ac:dyDescent="0.2">
      <c r="B298" s="10"/>
      <c r="C298" s="11"/>
      <c r="D298" s="11"/>
      <c r="E298" s="12"/>
      <c r="F298" s="12"/>
      <c r="G298" s="30"/>
      <c r="H298" s="11"/>
      <c r="I298" s="11"/>
      <c r="J298" s="11"/>
    </row>
    <row r="299" spans="2:10" s="9" customFormat="1" x14ac:dyDescent="0.2">
      <c r="B299" s="10"/>
      <c r="C299" s="11"/>
      <c r="D299" s="11"/>
      <c r="E299" s="12"/>
      <c r="F299" s="12"/>
      <c r="G299" s="30"/>
      <c r="H299" s="11"/>
      <c r="I299" s="11"/>
      <c r="J299" s="11"/>
    </row>
    <row r="300" spans="2:10" s="9" customFormat="1" x14ac:dyDescent="0.2">
      <c r="B300" s="10"/>
      <c r="C300" s="11"/>
      <c r="D300" s="11"/>
      <c r="E300" s="12"/>
      <c r="F300" s="12"/>
      <c r="G300" s="30"/>
      <c r="H300" s="11"/>
      <c r="I300" s="11"/>
      <c r="J300" s="11"/>
    </row>
    <row r="301" spans="2:10" s="9" customFormat="1" x14ac:dyDescent="0.2">
      <c r="B301" s="10"/>
      <c r="C301" s="11"/>
      <c r="D301" s="11"/>
      <c r="E301" s="12"/>
      <c r="F301" s="12"/>
      <c r="G301" s="30"/>
      <c r="H301" s="11"/>
      <c r="I301" s="11"/>
      <c r="J301" s="11"/>
    </row>
    <row r="302" spans="2:10" s="9" customFormat="1" x14ac:dyDescent="0.2">
      <c r="B302" s="10"/>
      <c r="C302" s="11"/>
      <c r="D302" s="11"/>
      <c r="E302" s="12"/>
      <c r="F302" s="12"/>
      <c r="G302" s="30"/>
      <c r="H302" s="11"/>
      <c r="I302" s="11"/>
      <c r="J302" s="11"/>
    </row>
    <row r="303" spans="2:10" s="9" customFormat="1" x14ac:dyDescent="0.2">
      <c r="B303" s="10"/>
      <c r="C303" s="11"/>
      <c r="D303" s="11"/>
      <c r="E303" s="12"/>
      <c r="F303" s="12"/>
      <c r="G303" s="30"/>
      <c r="H303" s="11"/>
      <c r="I303" s="11"/>
      <c r="J303" s="11"/>
    </row>
    <row r="304" spans="2:10" s="9" customFormat="1" x14ac:dyDescent="0.2">
      <c r="B304" s="10"/>
      <c r="C304" s="11"/>
      <c r="D304" s="11"/>
      <c r="E304" s="12"/>
      <c r="F304" s="12"/>
      <c r="G304" s="30"/>
      <c r="H304" s="11"/>
      <c r="I304" s="11"/>
      <c r="J304" s="11"/>
    </row>
    <row r="305" spans="2:10" s="9" customFormat="1" x14ac:dyDescent="0.2">
      <c r="B305" s="10"/>
      <c r="C305" s="11"/>
      <c r="D305" s="11"/>
      <c r="E305" s="12"/>
      <c r="F305" s="12"/>
      <c r="G305" s="30"/>
      <c r="H305" s="11"/>
      <c r="I305" s="11"/>
      <c r="J305" s="11"/>
    </row>
    <row r="306" spans="2:10" s="9" customFormat="1" x14ac:dyDescent="0.2">
      <c r="B306" s="10"/>
      <c r="C306" s="11"/>
      <c r="D306" s="11"/>
      <c r="E306" s="12"/>
      <c r="F306" s="12"/>
      <c r="G306" s="30"/>
      <c r="H306" s="11"/>
      <c r="I306" s="11"/>
      <c r="J306" s="11"/>
    </row>
    <row r="307" spans="2:10" s="9" customFormat="1" x14ac:dyDescent="0.2">
      <c r="B307" s="10"/>
      <c r="C307" s="11"/>
      <c r="D307" s="11"/>
      <c r="E307" s="12"/>
      <c r="F307" s="12"/>
      <c r="G307" s="30"/>
      <c r="H307" s="11"/>
      <c r="I307" s="11"/>
      <c r="J307" s="11"/>
    </row>
    <row r="308" spans="2:10" s="9" customFormat="1" x14ac:dyDescent="0.2">
      <c r="B308" s="10"/>
      <c r="C308" s="11"/>
      <c r="D308" s="11"/>
      <c r="E308" s="12"/>
      <c r="F308" s="12"/>
      <c r="G308" s="30"/>
      <c r="H308" s="11"/>
      <c r="I308" s="11"/>
      <c r="J308" s="11"/>
    </row>
    <row r="309" spans="2:10" s="9" customFormat="1" x14ac:dyDescent="0.2">
      <c r="B309" s="10"/>
      <c r="C309" s="11"/>
      <c r="D309" s="11"/>
      <c r="E309" s="12"/>
      <c r="F309" s="12"/>
      <c r="G309" s="30"/>
      <c r="H309" s="11"/>
      <c r="I309" s="11"/>
      <c r="J309" s="11"/>
    </row>
    <row r="310" spans="2:10" s="9" customFormat="1" x14ac:dyDescent="0.2">
      <c r="B310" s="10"/>
      <c r="C310" s="11"/>
      <c r="D310" s="11"/>
      <c r="E310" s="12"/>
      <c r="F310" s="12"/>
      <c r="G310" s="30"/>
      <c r="H310" s="11"/>
      <c r="I310" s="11"/>
      <c r="J310" s="11"/>
    </row>
    <row r="311" spans="2:10" s="9" customFormat="1" x14ac:dyDescent="0.2">
      <c r="B311" s="10"/>
      <c r="C311" s="11"/>
      <c r="D311" s="11"/>
      <c r="E311" s="12"/>
      <c r="F311" s="12"/>
      <c r="G311" s="30"/>
      <c r="H311" s="11"/>
      <c r="I311" s="11"/>
      <c r="J311" s="11"/>
    </row>
    <row r="312" spans="2:10" s="9" customFormat="1" x14ac:dyDescent="0.2">
      <c r="B312" s="10"/>
      <c r="C312" s="11"/>
      <c r="D312" s="11"/>
      <c r="E312" s="12"/>
      <c r="F312" s="12"/>
      <c r="G312" s="30"/>
      <c r="H312" s="11"/>
      <c r="I312" s="11"/>
      <c r="J312" s="11"/>
    </row>
    <row r="313" spans="2:10" s="9" customFormat="1" x14ac:dyDescent="0.2">
      <c r="B313" s="10"/>
      <c r="C313" s="11"/>
      <c r="D313" s="11"/>
      <c r="E313" s="12"/>
      <c r="F313" s="12"/>
      <c r="G313" s="30"/>
      <c r="H313" s="11"/>
      <c r="I313" s="11"/>
      <c r="J313" s="11"/>
    </row>
    <row r="314" spans="2:10" s="9" customFormat="1" x14ac:dyDescent="0.2">
      <c r="B314" s="10"/>
      <c r="C314" s="11"/>
      <c r="D314" s="11"/>
      <c r="E314" s="12"/>
      <c r="F314" s="12"/>
      <c r="G314" s="30"/>
      <c r="H314" s="11"/>
      <c r="I314" s="11"/>
      <c r="J314" s="11"/>
    </row>
    <row r="315" spans="2:10" s="9" customFormat="1" x14ac:dyDescent="0.2">
      <c r="B315" s="10"/>
      <c r="C315" s="11"/>
      <c r="D315" s="11"/>
      <c r="E315" s="12"/>
      <c r="F315" s="12"/>
      <c r="G315" s="30"/>
      <c r="H315" s="11"/>
      <c r="I315" s="11"/>
      <c r="J315" s="11"/>
    </row>
    <row r="316" spans="2:10" s="9" customFormat="1" x14ac:dyDescent="0.2">
      <c r="B316" s="10"/>
      <c r="C316" s="11"/>
      <c r="D316" s="11"/>
      <c r="E316" s="12"/>
      <c r="F316" s="12"/>
      <c r="G316" s="30"/>
      <c r="H316" s="11"/>
      <c r="I316" s="11"/>
      <c r="J316" s="11"/>
    </row>
    <row r="317" spans="2:10" s="9" customFormat="1" x14ac:dyDescent="0.2">
      <c r="B317" s="10"/>
      <c r="C317" s="11"/>
      <c r="D317" s="11"/>
      <c r="E317" s="12"/>
      <c r="F317" s="12"/>
      <c r="G317" s="30"/>
      <c r="H317" s="11"/>
      <c r="I317" s="11"/>
      <c r="J317" s="11"/>
    </row>
    <row r="318" spans="2:10" s="9" customFormat="1" x14ac:dyDescent="0.2">
      <c r="B318" s="10"/>
      <c r="C318" s="11"/>
      <c r="D318" s="11"/>
      <c r="E318" s="12"/>
      <c r="F318" s="12"/>
      <c r="G318" s="30"/>
      <c r="H318" s="11"/>
      <c r="I318" s="11"/>
      <c r="J318" s="11"/>
    </row>
    <row r="319" spans="2:10" s="9" customFormat="1" x14ac:dyDescent="0.2">
      <c r="B319" s="10"/>
      <c r="C319" s="11"/>
      <c r="D319" s="11"/>
      <c r="E319" s="12"/>
      <c r="F319" s="12"/>
      <c r="G319" s="30"/>
      <c r="H319" s="11"/>
      <c r="I319" s="11"/>
      <c r="J319" s="11"/>
    </row>
    <row r="320" spans="2:10" s="9" customFormat="1" x14ac:dyDescent="0.2">
      <c r="B320" s="10"/>
      <c r="C320" s="11"/>
      <c r="D320" s="11"/>
      <c r="E320" s="12"/>
      <c r="F320" s="12"/>
      <c r="G320" s="30"/>
      <c r="H320" s="11"/>
      <c r="I320" s="11"/>
      <c r="J320" s="11"/>
    </row>
    <row r="321" spans="2:10" s="9" customFormat="1" x14ac:dyDescent="0.2">
      <c r="B321" s="10"/>
      <c r="C321" s="11"/>
      <c r="D321" s="11"/>
      <c r="E321" s="12"/>
      <c r="F321" s="12"/>
      <c r="G321" s="30"/>
      <c r="H321" s="11"/>
      <c r="I321" s="11"/>
      <c r="J321" s="11"/>
    </row>
    <row r="322" spans="2:10" s="9" customFormat="1" x14ac:dyDescent="0.2">
      <c r="B322" s="10"/>
      <c r="C322" s="11"/>
      <c r="D322" s="11"/>
      <c r="E322" s="12"/>
      <c r="F322" s="12"/>
      <c r="G322" s="30"/>
      <c r="H322" s="11"/>
      <c r="I322" s="11"/>
      <c r="J322" s="11"/>
    </row>
    <row r="323" spans="2:10" s="9" customFormat="1" x14ac:dyDescent="0.2">
      <c r="B323" s="10"/>
      <c r="C323" s="11"/>
      <c r="D323" s="11"/>
      <c r="E323" s="12"/>
      <c r="F323" s="12"/>
      <c r="G323" s="30"/>
      <c r="H323" s="11"/>
      <c r="I323" s="11"/>
      <c r="J323" s="11"/>
    </row>
    <row r="324" spans="2:10" s="9" customFormat="1" x14ac:dyDescent="0.2">
      <c r="B324" s="10"/>
      <c r="C324" s="11"/>
      <c r="D324" s="11"/>
      <c r="E324" s="12"/>
      <c r="F324" s="12"/>
      <c r="G324" s="30"/>
      <c r="H324" s="11"/>
      <c r="I324" s="11"/>
      <c r="J324" s="11"/>
    </row>
    <row r="325" spans="2:10" s="9" customFormat="1" x14ac:dyDescent="0.2">
      <c r="B325" s="10"/>
      <c r="C325" s="11"/>
      <c r="D325" s="11"/>
      <c r="E325" s="12"/>
      <c r="F325" s="12"/>
      <c r="G325" s="30"/>
      <c r="H325" s="11"/>
      <c r="I325" s="11"/>
      <c r="J325" s="11"/>
    </row>
    <row r="326" spans="2:10" s="9" customFormat="1" x14ac:dyDescent="0.2">
      <c r="B326" s="10"/>
      <c r="C326" s="11"/>
      <c r="D326" s="11"/>
      <c r="E326" s="12"/>
      <c r="F326" s="12"/>
      <c r="G326" s="30"/>
      <c r="H326" s="11"/>
      <c r="I326" s="11"/>
      <c r="J326" s="11"/>
    </row>
    <row r="327" spans="2:10" s="9" customFormat="1" x14ac:dyDescent="0.2">
      <c r="B327" s="10"/>
      <c r="C327" s="11"/>
      <c r="D327" s="11"/>
      <c r="E327" s="12"/>
      <c r="F327" s="12"/>
      <c r="G327" s="30"/>
      <c r="H327" s="11"/>
      <c r="I327" s="11"/>
      <c r="J327" s="11"/>
    </row>
    <row r="328" spans="2:10" s="9" customFormat="1" x14ac:dyDescent="0.2">
      <c r="B328" s="10"/>
      <c r="C328" s="11"/>
      <c r="D328" s="11"/>
      <c r="E328" s="12"/>
      <c r="F328" s="12"/>
      <c r="G328" s="30"/>
      <c r="H328" s="11"/>
      <c r="I328" s="11"/>
      <c r="J328" s="11"/>
    </row>
    <row r="329" spans="2:10" s="9" customFormat="1" x14ac:dyDescent="0.2">
      <c r="B329" s="10"/>
      <c r="C329" s="11"/>
      <c r="D329" s="11"/>
      <c r="E329" s="12"/>
      <c r="F329" s="12"/>
      <c r="G329" s="30"/>
      <c r="H329" s="11"/>
      <c r="I329" s="11"/>
      <c r="J329" s="11"/>
    </row>
    <row r="330" spans="2:10" s="9" customFormat="1" x14ac:dyDescent="0.2">
      <c r="B330" s="10"/>
      <c r="C330" s="11"/>
      <c r="D330" s="11"/>
      <c r="E330" s="12"/>
      <c r="F330" s="12"/>
      <c r="G330" s="30"/>
      <c r="H330" s="11"/>
      <c r="I330" s="11"/>
      <c r="J330" s="11"/>
    </row>
    <row r="331" spans="2:10" s="9" customFormat="1" x14ac:dyDescent="0.2">
      <c r="B331" s="10"/>
      <c r="C331" s="11"/>
      <c r="D331" s="11"/>
      <c r="E331" s="12"/>
      <c r="F331" s="12"/>
      <c r="G331" s="30"/>
      <c r="H331" s="11"/>
      <c r="I331" s="11"/>
      <c r="J331" s="11"/>
    </row>
    <row r="332" spans="2:10" s="9" customFormat="1" x14ac:dyDescent="0.2">
      <c r="B332" s="10"/>
      <c r="C332" s="11"/>
      <c r="D332" s="11"/>
      <c r="E332" s="12"/>
      <c r="F332" s="12"/>
      <c r="G332" s="30"/>
      <c r="H332" s="11"/>
      <c r="I332" s="11"/>
      <c r="J332" s="11"/>
    </row>
    <row r="333" spans="2:10" s="9" customFormat="1" x14ac:dyDescent="0.2">
      <c r="B333" s="10"/>
      <c r="C333" s="11"/>
      <c r="D333" s="11"/>
      <c r="E333" s="12"/>
      <c r="F333" s="12"/>
      <c r="G333" s="30"/>
      <c r="H333" s="11"/>
      <c r="I333" s="11"/>
      <c r="J333" s="11"/>
    </row>
    <row r="334" spans="2:10" s="9" customFormat="1" x14ac:dyDescent="0.2">
      <c r="B334" s="10"/>
      <c r="C334" s="11"/>
      <c r="D334" s="11"/>
      <c r="E334" s="12"/>
      <c r="F334" s="12"/>
      <c r="G334" s="30"/>
      <c r="H334" s="11"/>
      <c r="I334" s="11"/>
      <c r="J334" s="11"/>
    </row>
    <row r="335" spans="2:10" s="9" customFormat="1" x14ac:dyDescent="0.2">
      <c r="B335" s="10"/>
      <c r="C335" s="11"/>
      <c r="D335" s="11"/>
      <c r="E335" s="12"/>
      <c r="F335" s="12"/>
      <c r="G335" s="30"/>
      <c r="H335" s="11"/>
      <c r="I335" s="11"/>
      <c r="J335" s="11"/>
    </row>
    <row r="336" spans="2:10" s="9" customFormat="1" x14ac:dyDescent="0.2">
      <c r="B336" s="10"/>
      <c r="C336" s="11"/>
      <c r="D336" s="11"/>
      <c r="E336" s="12"/>
      <c r="F336" s="12"/>
      <c r="G336" s="30"/>
      <c r="H336" s="11"/>
      <c r="I336" s="11"/>
      <c r="J336" s="11"/>
    </row>
    <row r="337" spans="2:10" s="9" customFormat="1" x14ac:dyDescent="0.2">
      <c r="B337" s="10"/>
      <c r="C337" s="11"/>
      <c r="D337" s="11"/>
      <c r="E337" s="12"/>
      <c r="F337" s="12"/>
      <c r="G337" s="30"/>
      <c r="H337" s="11"/>
      <c r="I337" s="11"/>
      <c r="J337" s="11"/>
    </row>
    <row r="338" spans="2:10" s="9" customFormat="1" x14ac:dyDescent="0.2">
      <c r="B338" s="10"/>
      <c r="C338" s="11"/>
      <c r="D338" s="11"/>
      <c r="E338" s="12"/>
      <c r="F338" s="12"/>
      <c r="G338" s="30"/>
      <c r="H338" s="11"/>
      <c r="I338" s="11"/>
      <c r="J338" s="11"/>
    </row>
    <row r="339" spans="2:10" s="9" customFormat="1" x14ac:dyDescent="0.2">
      <c r="B339" s="10"/>
      <c r="C339" s="11"/>
      <c r="D339" s="11"/>
      <c r="E339" s="12"/>
      <c r="F339" s="12"/>
      <c r="G339" s="30"/>
      <c r="H339" s="11"/>
      <c r="I339" s="11"/>
      <c r="J339" s="11"/>
    </row>
    <row r="340" spans="2:10" s="9" customFormat="1" x14ac:dyDescent="0.2">
      <c r="B340" s="10"/>
      <c r="C340" s="11"/>
      <c r="D340" s="11"/>
      <c r="E340" s="12"/>
      <c r="F340" s="12"/>
      <c r="G340" s="30"/>
      <c r="H340" s="11"/>
      <c r="I340" s="11"/>
      <c r="J340" s="11"/>
    </row>
    <row r="341" spans="2:10" s="9" customFormat="1" x14ac:dyDescent="0.2">
      <c r="B341" s="10"/>
      <c r="C341" s="11"/>
      <c r="D341" s="11"/>
      <c r="E341" s="12"/>
      <c r="F341" s="12"/>
      <c r="G341" s="30"/>
      <c r="H341" s="11"/>
      <c r="I341" s="11"/>
      <c r="J341" s="11"/>
    </row>
    <row r="342" spans="2:10" s="9" customFormat="1" x14ac:dyDescent="0.2">
      <c r="B342" s="10"/>
      <c r="C342" s="11"/>
      <c r="D342" s="11"/>
      <c r="E342" s="12"/>
      <c r="F342" s="12"/>
      <c r="G342" s="30"/>
      <c r="H342" s="11"/>
      <c r="I342" s="11"/>
      <c r="J342" s="11"/>
    </row>
    <row r="343" spans="2:10" s="9" customFormat="1" x14ac:dyDescent="0.2">
      <c r="B343" s="10"/>
      <c r="C343" s="11"/>
      <c r="D343" s="11"/>
      <c r="E343" s="12"/>
      <c r="F343" s="12"/>
      <c r="G343" s="30"/>
      <c r="H343" s="11"/>
      <c r="I343" s="11"/>
      <c r="J343" s="11"/>
    </row>
    <row r="344" spans="2:10" s="9" customFormat="1" x14ac:dyDescent="0.2">
      <c r="B344" s="10"/>
      <c r="C344" s="11"/>
      <c r="D344" s="11"/>
      <c r="E344" s="12"/>
      <c r="F344" s="12"/>
      <c r="G344" s="30"/>
      <c r="H344" s="11"/>
      <c r="I344" s="11"/>
      <c r="J344" s="11"/>
    </row>
    <row r="345" spans="2:10" s="9" customFormat="1" x14ac:dyDescent="0.2">
      <c r="B345" s="10"/>
      <c r="C345" s="11"/>
      <c r="D345" s="11"/>
      <c r="E345" s="12"/>
      <c r="F345" s="12"/>
      <c r="G345" s="30"/>
      <c r="H345" s="11"/>
      <c r="I345" s="11"/>
      <c r="J345" s="11"/>
    </row>
    <row r="346" spans="2:10" s="9" customFormat="1" x14ac:dyDescent="0.2">
      <c r="B346" s="10"/>
      <c r="C346" s="11"/>
      <c r="D346" s="11"/>
      <c r="E346" s="12"/>
      <c r="F346" s="12"/>
      <c r="G346" s="30"/>
      <c r="H346" s="11"/>
      <c r="I346" s="11"/>
      <c r="J346" s="11"/>
    </row>
    <row r="347" spans="2:10" s="9" customFormat="1" x14ac:dyDescent="0.2">
      <c r="B347" s="10"/>
      <c r="C347" s="11"/>
      <c r="D347" s="11"/>
      <c r="E347" s="12"/>
      <c r="F347" s="12"/>
      <c r="G347" s="30"/>
      <c r="H347" s="11"/>
      <c r="I347" s="11"/>
      <c r="J347" s="11"/>
    </row>
    <row r="348" spans="2:10" s="9" customFormat="1" x14ac:dyDescent="0.2">
      <c r="B348" s="10"/>
      <c r="C348" s="11"/>
      <c r="D348" s="11"/>
      <c r="E348" s="12"/>
      <c r="F348" s="12"/>
      <c r="G348" s="30"/>
      <c r="H348" s="11"/>
      <c r="I348" s="11"/>
      <c r="J348" s="11"/>
    </row>
    <row r="349" spans="2:10" s="9" customFormat="1" x14ac:dyDescent="0.2">
      <c r="B349" s="10"/>
      <c r="C349" s="11"/>
      <c r="D349" s="11"/>
      <c r="E349" s="12"/>
      <c r="F349" s="12"/>
      <c r="G349" s="30"/>
      <c r="H349" s="11"/>
      <c r="I349" s="11"/>
      <c r="J349" s="11"/>
    </row>
    <row r="350" spans="2:10" s="9" customFormat="1" x14ac:dyDescent="0.2">
      <c r="B350" s="10"/>
      <c r="C350" s="11"/>
      <c r="D350" s="11"/>
      <c r="E350" s="12"/>
      <c r="F350" s="12"/>
      <c r="G350" s="30"/>
      <c r="H350" s="11"/>
      <c r="I350" s="11"/>
      <c r="J350" s="11"/>
    </row>
    <row r="351" spans="2:10" s="9" customFormat="1" x14ac:dyDescent="0.2">
      <c r="B351" s="10"/>
      <c r="C351" s="11"/>
      <c r="D351" s="11"/>
      <c r="E351" s="12"/>
      <c r="F351" s="12"/>
      <c r="G351" s="30"/>
      <c r="H351" s="11"/>
      <c r="I351" s="11"/>
      <c r="J351" s="11"/>
    </row>
    <row r="352" spans="2:10" s="9" customFormat="1" x14ac:dyDescent="0.2">
      <c r="B352" s="10"/>
      <c r="C352" s="11"/>
      <c r="D352" s="11"/>
      <c r="E352" s="12"/>
      <c r="F352" s="12"/>
      <c r="G352" s="30"/>
      <c r="H352" s="11"/>
      <c r="I352" s="11"/>
      <c r="J352" s="11"/>
    </row>
    <row r="353" spans="2:10" s="9" customFormat="1" x14ac:dyDescent="0.2">
      <c r="B353" s="10"/>
      <c r="C353" s="11"/>
      <c r="D353" s="11"/>
      <c r="E353" s="12"/>
      <c r="F353" s="12"/>
      <c r="G353" s="30"/>
      <c r="H353" s="11"/>
      <c r="I353" s="11"/>
      <c r="J353" s="11"/>
    </row>
    <row r="354" spans="2:10" s="9" customFormat="1" x14ac:dyDescent="0.2">
      <c r="B354" s="10"/>
      <c r="C354" s="11"/>
      <c r="D354" s="11"/>
      <c r="E354" s="12"/>
      <c r="F354" s="12"/>
      <c r="G354" s="30"/>
      <c r="H354" s="11"/>
      <c r="I354" s="11"/>
      <c r="J354" s="11"/>
    </row>
    <row r="355" spans="2:10" s="9" customFormat="1" x14ac:dyDescent="0.2">
      <c r="B355" s="10"/>
      <c r="C355" s="11"/>
      <c r="D355" s="11"/>
      <c r="E355" s="12"/>
      <c r="F355" s="12"/>
      <c r="G355" s="30"/>
      <c r="H355" s="11"/>
      <c r="I355" s="11"/>
      <c r="J355" s="11"/>
    </row>
    <row r="356" spans="2:10" s="9" customFormat="1" x14ac:dyDescent="0.2">
      <c r="B356" s="10"/>
      <c r="C356" s="11"/>
      <c r="D356" s="11"/>
      <c r="E356" s="12"/>
      <c r="F356" s="12"/>
      <c r="G356" s="30"/>
      <c r="H356" s="11"/>
      <c r="I356" s="11"/>
      <c r="J356" s="11"/>
    </row>
    <row r="357" spans="2:10" s="9" customFormat="1" x14ac:dyDescent="0.2">
      <c r="B357" s="10"/>
      <c r="C357" s="11"/>
      <c r="D357" s="11"/>
      <c r="E357" s="12"/>
      <c r="F357" s="12"/>
      <c r="G357" s="30"/>
      <c r="H357" s="11"/>
      <c r="I357" s="11"/>
      <c r="J357" s="11"/>
    </row>
    <row r="358" spans="2:10" s="9" customFormat="1" x14ac:dyDescent="0.2">
      <c r="B358" s="10"/>
      <c r="C358" s="11"/>
      <c r="D358" s="11"/>
      <c r="E358" s="12"/>
      <c r="F358" s="12"/>
      <c r="G358" s="30"/>
      <c r="H358" s="11"/>
      <c r="I358" s="11"/>
      <c r="J358" s="11"/>
    </row>
    <row r="359" spans="2:10" s="9" customFormat="1" x14ac:dyDescent="0.2">
      <c r="B359" s="10"/>
      <c r="C359" s="11"/>
      <c r="D359" s="11"/>
      <c r="E359" s="12"/>
      <c r="F359" s="12"/>
      <c r="G359" s="30"/>
      <c r="H359" s="11"/>
      <c r="I359" s="11"/>
      <c r="J359" s="11"/>
    </row>
    <row r="360" spans="2:10" s="9" customFormat="1" x14ac:dyDescent="0.2">
      <c r="B360" s="10"/>
      <c r="C360" s="11"/>
      <c r="D360" s="11"/>
      <c r="E360" s="12"/>
      <c r="F360" s="12"/>
      <c r="G360" s="30"/>
      <c r="H360" s="11"/>
      <c r="I360" s="11"/>
      <c r="J360" s="11"/>
    </row>
    <row r="361" spans="2:10" s="9" customFormat="1" x14ac:dyDescent="0.2">
      <c r="B361" s="10"/>
      <c r="C361" s="11"/>
      <c r="D361" s="11"/>
      <c r="E361" s="12"/>
      <c r="F361" s="12"/>
      <c r="G361" s="30"/>
      <c r="H361" s="11"/>
      <c r="I361" s="11"/>
      <c r="J361" s="11"/>
    </row>
    <row r="362" spans="2:10" s="9" customFormat="1" x14ac:dyDescent="0.2">
      <c r="B362" s="10"/>
      <c r="C362" s="11"/>
      <c r="D362" s="11"/>
      <c r="E362" s="12"/>
      <c r="F362" s="12"/>
      <c r="G362" s="30"/>
      <c r="H362" s="11"/>
      <c r="I362" s="11"/>
      <c r="J362" s="11"/>
    </row>
    <row r="363" spans="2:10" s="9" customFormat="1" x14ac:dyDescent="0.2">
      <c r="B363" s="10"/>
      <c r="C363" s="11"/>
      <c r="D363" s="11"/>
      <c r="E363" s="12"/>
      <c r="F363" s="12"/>
      <c r="G363" s="30"/>
      <c r="H363" s="11"/>
      <c r="I363" s="11"/>
      <c r="J363" s="11"/>
    </row>
    <row r="364" spans="2:10" s="9" customFormat="1" x14ac:dyDescent="0.2">
      <c r="B364" s="10"/>
      <c r="C364" s="11"/>
      <c r="D364" s="11"/>
      <c r="E364" s="12"/>
      <c r="F364" s="12"/>
      <c r="G364" s="30"/>
      <c r="H364" s="11"/>
      <c r="I364" s="11"/>
      <c r="J364" s="11"/>
    </row>
    <row r="365" spans="2:10" s="9" customFormat="1" x14ac:dyDescent="0.2">
      <c r="B365" s="10"/>
      <c r="C365" s="11"/>
      <c r="D365" s="11"/>
      <c r="E365" s="12"/>
      <c r="F365" s="12"/>
      <c r="G365" s="30"/>
      <c r="H365" s="11"/>
      <c r="I365" s="11"/>
      <c r="J365" s="11"/>
    </row>
    <row r="366" spans="2:10" s="9" customFormat="1" x14ac:dyDescent="0.2">
      <c r="B366" s="10"/>
      <c r="C366" s="11"/>
      <c r="D366" s="11"/>
      <c r="E366" s="12"/>
      <c r="F366" s="12"/>
      <c r="G366" s="30"/>
      <c r="H366" s="11"/>
      <c r="I366" s="11"/>
      <c r="J366" s="11"/>
    </row>
    <row r="367" spans="2:10" s="9" customFormat="1" x14ac:dyDescent="0.2">
      <c r="B367" s="10"/>
      <c r="C367" s="11"/>
      <c r="D367" s="11"/>
      <c r="E367" s="12"/>
      <c r="F367" s="12"/>
      <c r="G367" s="30"/>
      <c r="H367" s="11"/>
      <c r="I367" s="11"/>
      <c r="J367" s="11"/>
    </row>
    <row r="368" spans="2:10" s="9" customFormat="1" x14ac:dyDescent="0.2">
      <c r="B368" s="10"/>
      <c r="C368" s="11"/>
      <c r="D368" s="11"/>
      <c r="E368" s="12"/>
      <c r="F368" s="12"/>
      <c r="G368" s="30"/>
      <c r="H368" s="11"/>
      <c r="I368" s="11"/>
      <c r="J368" s="11"/>
    </row>
    <row r="369" spans="2:10" s="9" customFormat="1" x14ac:dyDescent="0.2">
      <c r="B369" s="10"/>
      <c r="C369" s="11"/>
      <c r="D369" s="11"/>
      <c r="E369" s="12"/>
      <c r="F369" s="12"/>
      <c r="G369" s="30"/>
      <c r="H369" s="11"/>
      <c r="I369" s="11"/>
      <c r="J369" s="11"/>
    </row>
    <row r="370" spans="2:10" s="9" customFormat="1" x14ac:dyDescent="0.2">
      <c r="B370" s="10"/>
      <c r="C370" s="11"/>
      <c r="D370" s="11"/>
      <c r="E370" s="12"/>
      <c r="F370" s="12"/>
      <c r="G370" s="30"/>
      <c r="H370" s="11"/>
      <c r="I370" s="11"/>
      <c r="J370" s="11"/>
    </row>
    <row r="371" spans="2:10" s="9" customFormat="1" x14ac:dyDescent="0.2">
      <c r="B371" s="10"/>
      <c r="C371" s="11"/>
      <c r="D371" s="11"/>
      <c r="E371" s="12"/>
      <c r="F371" s="12"/>
      <c r="G371" s="30"/>
      <c r="H371" s="11"/>
      <c r="I371" s="11"/>
      <c r="J371" s="11"/>
    </row>
    <row r="372" spans="2:10" s="9" customFormat="1" x14ac:dyDescent="0.2">
      <c r="B372" s="10"/>
      <c r="C372" s="11"/>
      <c r="D372" s="11"/>
      <c r="E372" s="12"/>
      <c r="F372" s="12"/>
      <c r="G372" s="30"/>
      <c r="H372" s="11"/>
      <c r="I372" s="11"/>
      <c r="J372" s="11"/>
    </row>
    <row r="373" spans="2:10" s="9" customFormat="1" x14ac:dyDescent="0.2">
      <c r="B373" s="10"/>
      <c r="C373" s="11"/>
      <c r="D373" s="11"/>
      <c r="E373" s="12"/>
      <c r="F373" s="12"/>
      <c r="G373" s="30"/>
      <c r="H373" s="11"/>
      <c r="I373" s="11"/>
      <c r="J373" s="11"/>
    </row>
    <row r="374" spans="2:10" s="9" customFormat="1" x14ac:dyDescent="0.2">
      <c r="B374" s="10"/>
      <c r="C374" s="11"/>
      <c r="D374" s="11"/>
      <c r="E374" s="12"/>
      <c r="F374" s="12"/>
      <c r="G374" s="30"/>
      <c r="H374" s="11"/>
      <c r="I374" s="11"/>
      <c r="J374" s="11"/>
    </row>
    <row r="375" spans="2:10" s="9" customFormat="1" x14ac:dyDescent="0.2">
      <c r="B375" s="10"/>
      <c r="C375" s="11"/>
      <c r="D375" s="11"/>
      <c r="E375" s="12"/>
      <c r="F375" s="12"/>
      <c r="G375" s="30"/>
      <c r="H375" s="11"/>
      <c r="I375" s="11"/>
      <c r="J375" s="11"/>
    </row>
    <row r="376" spans="2:10" s="9" customFormat="1" x14ac:dyDescent="0.2">
      <c r="B376" s="10"/>
      <c r="C376" s="11"/>
      <c r="D376" s="11"/>
      <c r="E376" s="12"/>
      <c r="F376" s="12"/>
      <c r="G376" s="30"/>
      <c r="H376" s="11"/>
      <c r="I376" s="11"/>
      <c r="J376" s="11"/>
    </row>
    <row r="377" spans="2:10" s="9" customFormat="1" x14ac:dyDescent="0.2">
      <c r="B377" s="10"/>
      <c r="C377" s="11"/>
      <c r="D377" s="11"/>
      <c r="E377" s="12"/>
      <c r="F377" s="12"/>
      <c r="G377" s="30"/>
      <c r="H377" s="11"/>
      <c r="I377" s="11"/>
      <c r="J377" s="11"/>
    </row>
    <row r="378" spans="2:10" s="9" customFormat="1" x14ac:dyDescent="0.2">
      <c r="B378" s="10"/>
      <c r="C378" s="11"/>
      <c r="D378" s="11"/>
      <c r="E378" s="12"/>
      <c r="F378" s="12"/>
      <c r="G378" s="30"/>
      <c r="H378" s="11"/>
      <c r="I378" s="11"/>
      <c r="J378" s="11"/>
    </row>
    <row r="379" spans="2:10" s="9" customFormat="1" x14ac:dyDescent="0.2">
      <c r="B379" s="10"/>
      <c r="C379" s="11"/>
      <c r="D379" s="11"/>
      <c r="E379" s="12"/>
      <c r="F379" s="12"/>
      <c r="G379" s="30"/>
      <c r="H379" s="11"/>
      <c r="I379" s="11"/>
      <c r="J379" s="11"/>
    </row>
    <row r="380" spans="2:10" s="9" customFormat="1" x14ac:dyDescent="0.2">
      <c r="B380" s="10"/>
      <c r="C380" s="11"/>
      <c r="D380" s="11"/>
      <c r="E380" s="12"/>
      <c r="F380" s="12"/>
      <c r="G380" s="30"/>
      <c r="H380" s="11"/>
      <c r="I380" s="11"/>
      <c r="J380" s="11"/>
    </row>
    <row r="381" spans="2:10" s="9" customFormat="1" x14ac:dyDescent="0.2">
      <c r="B381" s="10"/>
      <c r="C381" s="11"/>
      <c r="D381" s="11"/>
      <c r="E381" s="12"/>
      <c r="F381" s="12"/>
      <c r="G381" s="30"/>
      <c r="H381" s="11"/>
      <c r="I381" s="11"/>
      <c r="J381" s="11"/>
    </row>
    <row r="382" spans="2:10" s="9" customFormat="1" x14ac:dyDescent="0.2">
      <c r="B382" s="10"/>
      <c r="C382" s="11"/>
      <c r="D382" s="11"/>
      <c r="E382" s="12"/>
      <c r="F382" s="12"/>
      <c r="G382" s="30"/>
      <c r="H382" s="11"/>
      <c r="I382" s="11"/>
      <c r="J382" s="11"/>
    </row>
    <row r="383" spans="2:10" s="9" customFormat="1" x14ac:dyDescent="0.2">
      <c r="B383" s="10"/>
      <c r="C383" s="11"/>
      <c r="D383" s="11"/>
      <c r="E383" s="12"/>
      <c r="F383" s="12"/>
      <c r="G383" s="30"/>
      <c r="H383" s="11"/>
      <c r="I383" s="11"/>
      <c r="J383" s="11"/>
    </row>
    <row r="384" spans="2:10" s="9" customFormat="1" x14ac:dyDescent="0.2">
      <c r="B384" s="10"/>
      <c r="C384" s="11"/>
      <c r="D384" s="11"/>
      <c r="E384" s="12"/>
      <c r="F384" s="12"/>
      <c r="G384" s="30"/>
      <c r="H384" s="11"/>
      <c r="I384" s="11"/>
      <c r="J384" s="11"/>
    </row>
    <row r="385" spans="2:10" s="9" customFormat="1" x14ac:dyDescent="0.2">
      <c r="B385" s="10"/>
      <c r="C385" s="11"/>
      <c r="D385" s="11"/>
      <c r="E385" s="12"/>
      <c r="F385" s="12"/>
      <c r="G385" s="30"/>
      <c r="H385" s="11"/>
      <c r="I385" s="11"/>
      <c r="J385" s="11"/>
    </row>
    <row r="386" spans="2:10" s="9" customFormat="1" x14ac:dyDescent="0.2">
      <c r="B386" s="10"/>
      <c r="C386" s="11"/>
      <c r="D386" s="11"/>
      <c r="E386" s="12"/>
      <c r="F386" s="12"/>
      <c r="G386" s="30"/>
      <c r="H386" s="11"/>
      <c r="I386" s="11"/>
      <c r="J386" s="11"/>
    </row>
    <row r="387" spans="2:10" s="9" customFormat="1" x14ac:dyDescent="0.2">
      <c r="B387" s="10"/>
      <c r="C387" s="11"/>
      <c r="D387" s="11"/>
      <c r="E387" s="12"/>
      <c r="F387" s="12"/>
      <c r="G387" s="30"/>
      <c r="H387" s="11"/>
      <c r="I387" s="11"/>
      <c r="J387" s="11"/>
    </row>
    <row r="388" spans="2:10" s="9" customFormat="1" x14ac:dyDescent="0.2">
      <c r="B388" s="10"/>
      <c r="C388" s="11"/>
      <c r="D388" s="11"/>
      <c r="E388" s="12"/>
      <c r="F388" s="12"/>
      <c r="G388" s="30"/>
      <c r="H388" s="11"/>
      <c r="I388" s="11"/>
      <c r="J388" s="11"/>
    </row>
    <row r="389" spans="2:10" s="9" customFormat="1" x14ac:dyDescent="0.2">
      <c r="B389" s="10"/>
      <c r="C389" s="11"/>
      <c r="D389" s="11"/>
      <c r="E389" s="12"/>
      <c r="F389" s="12"/>
      <c r="G389" s="30"/>
      <c r="H389" s="11"/>
      <c r="I389" s="11"/>
      <c r="J389" s="11"/>
    </row>
    <row r="390" spans="2:10" s="9" customFormat="1" x14ac:dyDescent="0.2">
      <c r="B390" s="10"/>
      <c r="C390" s="11"/>
      <c r="D390" s="11"/>
      <c r="E390" s="12"/>
      <c r="F390" s="12"/>
      <c r="G390" s="30"/>
      <c r="H390" s="11"/>
      <c r="I390" s="11"/>
      <c r="J390" s="11"/>
    </row>
    <row r="391" spans="2:10" s="9" customFormat="1" x14ac:dyDescent="0.2">
      <c r="B391" s="10"/>
      <c r="C391" s="11"/>
      <c r="D391" s="11"/>
      <c r="E391" s="12"/>
      <c r="F391" s="12"/>
      <c r="G391" s="30"/>
      <c r="H391" s="11"/>
      <c r="I391" s="11"/>
      <c r="J391" s="11"/>
    </row>
    <row r="392" spans="2:10" s="9" customFormat="1" x14ac:dyDescent="0.2">
      <c r="B392" s="10"/>
      <c r="C392" s="11"/>
      <c r="D392" s="11"/>
      <c r="E392" s="12"/>
      <c r="F392" s="12"/>
      <c r="G392" s="30"/>
      <c r="H392" s="11"/>
      <c r="I392" s="11"/>
      <c r="J392" s="11"/>
    </row>
    <row r="393" spans="2:10" s="9" customFormat="1" x14ac:dyDescent="0.2">
      <c r="B393" s="10"/>
      <c r="C393" s="11"/>
      <c r="D393" s="11"/>
      <c r="E393" s="12"/>
      <c r="F393" s="12"/>
      <c r="G393" s="30"/>
      <c r="H393" s="11"/>
      <c r="I393" s="11"/>
      <c r="J393" s="11"/>
    </row>
    <row r="394" spans="2:10" s="9" customFormat="1" x14ac:dyDescent="0.2">
      <c r="B394" s="10"/>
      <c r="C394" s="11"/>
      <c r="D394" s="11"/>
      <c r="E394" s="12"/>
      <c r="F394" s="12"/>
      <c r="G394" s="30"/>
      <c r="H394" s="11"/>
      <c r="I394" s="11"/>
      <c r="J394" s="11"/>
    </row>
    <row r="395" spans="2:10" s="9" customFormat="1" x14ac:dyDescent="0.2">
      <c r="B395" s="10"/>
      <c r="C395" s="11"/>
      <c r="D395" s="11"/>
      <c r="E395" s="12"/>
      <c r="F395" s="12"/>
      <c r="G395" s="30"/>
      <c r="H395" s="11"/>
      <c r="I395" s="11"/>
      <c r="J395" s="11"/>
    </row>
    <row r="396" spans="2:10" s="9" customFormat="1" x14ac:dyDescent="0.2">
      <c r="B396" s="10"/>
      <c r="C396" s="11"/>
      <c r="D396" s="11"/>
      <c r="E396" s="12"/>
      <c r="F396" s="12"/>
      <c r="G396" s="30"/>
      <c r="H396" s="11"/>
      <c r="I396" s="11"/>
      <c r="J396" s="11"/>
    </row>
    <row r="397" spans="2:10" s="9" customFormat="1" x14ac:dyDescent="0.2">
      <c r="B397" s="10"/>
      <c r="C397" s="11"/>
      <c r="D397" s="11"/>
      <c r="E397" s="12"/>
      <c r="F397" s="12"/>
      <c r="G397" s="30"/>
      <c r="H397" s="11"/>
      <c r="I397" s="11"/>
      <c r="J397" s="11"/>
    </row>
    <row r="398" spans="2:10" s="9" customFormat="1" x14ac:dyDescent="0.2">
      <c r="B398" s="10"/>
      <c r="C398" s="11"/>
      <c r="D398" s="11"/>
      <c r="E398" s="12"/>
      <c r="F398" s="12"/>
      <c r="G398" s="30"/>
      <c r="H398" s="11"/>
      <c r="I398" s="11"/>
      <c r="J398" s="11"/>
    </row>
    <row r="399" spans="2:10" s="9" customFormat="1" x14ac:dyDescent="0.2">
      <c r="B399" s="10"/>
      <c r="C399" s="11"/>
      <c r="D399" s="11"/>
      <c r="E399" s="12"/>
      <c r="F399" s="12"/>
      <c r="G399" s="30"/>
      <c r="H399" s="11"/>
      <c r="I399" s="11"/>
      <c r="J399" s="11"/>
    </row>
    <row r="400" spans="2:10" s="9" customFormat="1" x14ac:dyDescent="0.2">
      <c r="B400" s="10"/>
      <c r="C400" s="11"/>
      <c r="D400" s="11"/>
      <c r="E400" s="12"/>
      <c r="F400" s="12"/>
      <c r="G400" s="30"/>
      <c r="H400" s="11"/>
      <c r="I400" s="11"/>
      <c r="J400" s="11"/>
    </row>
    <row r="401" spans="2:10" s="9" customFormat="1" x14ac:dyDescent="0.2">
      <c r="B401" s="10"/>
      <c r="C401" s="11"/>
      <c r="D401" s="11"/>
      <c r="E401" s="12"/>
      <c r="F401" s="12"/>
      <c r="G401" s="30"/>
      <c r="H401" s="11"/>
      <c r="I401" s="11"/>
      <c r="J401" s="11"/>
    </row>
    <row r="402" spans="2:10" s="9" customFormat="1" x14ac:dyDescent="0.2">
      <c r="B402" s="10"/>
      <c r="C402" s="11"/>
      <c r="D402" s="11"/>
      <c r="E402" s="12"/>
      <c r="F402" s="12"/>
      <c r="G402" s="30"/>
      <c r="H402" s="11"/>
      <c r="I402" s="11"/>
      <c r="J402" s="11"/>
    </row>
    <row r="403" spans="2:10" s="9" customFormat="1" x14ac:dyDescent="0.2">
      <c r="B403" s="10"/>
      <c r="C403" s="11"/>
      <c r="D403" s="11"/>
      <c r="E403" s="12"/>
      <c r="F403" s="12"/>
      <c r="G403" s="30"/>
      <c r="H403" s="11"/>
      <c r="I403" s="11"/>
      <c r="J403" s="11"/>
    </row>
    <row r="404" spans="2:10" s="9" customFormat="1" x14ac:dyDescent="0.2">
      <c r="B404" s="10"/>
      <c r="C404" s="11"/>
      <c r="D404" s="11"/>
      <c r="E404" s="12"/>
      <c r="F404" s="12"/>
      <c r="G404" s="30"/>
      <c r="H404" s="11"/>
      <c r="I404" s="11"/>
      <c r="J404" s="11"/>
    </row>
    <row r="405" spans="2:10" s="9" customFormat="1" x14ac:dyDescent="0.2">
      <c r="B405" s="10"/>
      <c r="C405" s="11"/>
      <c r="D405" s="11"/>
      <c r="E405" s="12"/>
      <c r="F405" s="12"/>
      <c r="G405" s="30"/>
      <c r="H405" s="11"/>
      <c r="I405" s="11"/>
      <c r="J405" s="11"/>
    </row>
    <row r="406" spans="2:10" s="9" customFormat="1" x14ac:dyDescent="0.2">
      <c r="B406" s="10"/>
      <c r="C406" s="11"/>
      <c r="D406" s="11"/>
      <c r="E406" s="12"/>
      <c r="F406" s="12"/>
      <c r="G406" s="30"/>
      <c r="H406" s="11"/>
      <c r="I406" s="11"/>
      <c r="J406" s="11"/>
    </row>
    <row r="407" spans="2:10" s="9" customFormat="1" x14ac:dyDescent="0.2">
      <c r="B407" s="10"/>
      <c r="C407" s="11"/>
      <c r="D407" s="11"/>
      <c r="E407" s="12"/>
      <c r="F407" s="12"/>
      <c r="G407" s="30"/>
      <c r="H407" s="11"/>
      <c r="I407" s="11"/>
      <c r="J407" s="11"/>
    </row>
    <row r="408" spans="2:10" s="9" customFormat="1" x14ac:dyDescent="0.2">
      <c r="B408" s="10"/>
      <c r="C408" s="11"/>
      <c r="D408" s="11"/>
      <c r="E408" s="12"/>
      <c r="F408" s="12"/>
      <c r="G408" s="30"/>
      <c r="H408" s="11"/>
      <c r="I408" s="11"/>
      <c r="J408" s="11"/>
    </row>
    <row r="409" spans="2:10" s="9" customFormat="1" x14ac:dyDescent="0.2">
      <c r="B409" s="10"/>
      <c r="C409" s="11"/>
      <c r="D409" s="11"/>
      <c r="E409" s="12"/>
      <c r="F409" s="12"/>
      <c r="G409" s="30"/>
      <c r="H409" s="11"/>
      <c r="I409" s="11"/>
      <c r="J409" s="11"/>
    </row>
    <row r="410" spans="2:10" s="9" customFormat="1" x14ac:dyDescent="0.2">
      <c r="B410" s="10"/>
      <c r="C410" s="11"/>
      <c r="D410" s="11"/>
      <c r="E410" s="12"/>
      <c r="F410" s="12"/>
      <c r="G410" s="30"/>
      <c r="H410" s="11"/>
      <c r="I410" s="11"/>
      <c r="J410" s="11"/>
    </row>
    <row r="411" spans="2:10" s="9" customFormat="1" x14ac:dyDescent="0.2">
      <c r="B411" s="10"/>
      <c r="C411" s="11"/>
      <c r="D411" s="11"/>
      <c r="E411" s="12"/>
      <c r="F411" s="12"/>
      <c r="G411" s="30"/>
      <c r="H411" s="11"/>
      <c r="I411" s="11"/>
      <c r="J411" s="11"/>
    </row>
    <row r="412" spans="2:10" s="9" customFormat="1" x14ac:dyDescent="0.2">
      <c r="B412" s="10"/>
      <c r="C412" s="11"/>
      <c r="D412" s="11"/>
      <c r="E412" s="12"/>
      <c r="F412" s="12"/>
      <c r="G412" s="30"/>
      <c r="H412" s="11"/>
      <c r="I412" s="11"/>
      <c r="J412" s="11"/>
    </row>
    <row r="413" spans="2:10" s="9" customFormat="1" x14ac:dyDescent="0.2">
      <c r="B413" s="10"/>
      <c r="C413" s="11"/>
      <c r="D413" s="11"/>
      <c r="E413" s="12"/>
      <c r="F413" s="12"/>
      <c r="G413" s="30"/>
      <c r="H413" s="11"/>
      <c r="I413" s="11"/>
      <c r="J413" s="11"/>
    </row>
    <row r="414" spans="2:10" s="9" customFormat="1" x14ac:dyDescent="0.2">
      <c r="B414" s="10"/>
      <c r="C414" s="11"/>
      <c r="D414" s="11"/>
      <c r="E414" s="12"/>
      <c r="F414" s="12"/>
      <c r="G414" s="30"/>
      <c r="H414" s="11"/>
      <c r="I414" s="11"/>
      <c r="J414" s="11"/>
    </row>
    <row r="415" spans="2:10" s="9" customFormat="1" x14ac:dyDescent="0.2">
      <c r="B415" s="10"/>
      <c r="C415" s="11"/>
      <c r="D415" s="11"/>
      <c r="E415" s="12"/>
      <c r="F415" s="12"/>
      <c r="G415" s="30"/>
      <c r="H415" s="11"/>
      <c r="I415" s="11"/>
      <c r="J415" s="11"/>
    </row>
    <row r="416" spans="2:10" s="9" customFormat="1" x14ac:dyDescent="0.2">
      <c r="B416" s="10"/>
      <c r="C416" s="11"/>
      <c r="D416" s="11"/>
      <c r="E416" s="12"/>
      <c r="F416" s="12"/>
      <c r="G416" s="30"/>
      <c r="H416" s="11"/>
      <c r="I416" s="11"/>
      <c r="J416" s="11"/>
    </row>
    <row r="417" spans="2:10" s="9" customFormat="1" x14ac:dyDescent="0.2">
      <c r="B417" s="10"/>
      <c r="C417" s="11"/>
      <c r="D417" s="11"/>
      <c r="E417" s="12"/>
      <c r="F417" s="12"/>
      <c r="G417" s="30"/>
      <c r="H417" s="11"/>
      <c r="I417" s="11"/>
      <c r="J417" s="11"/>
    </row>
    <row r="418" spans="2:10" s="9" customFormat="1" x14ac:dyDescent="0.2">
      <c r="B418" s="10"/>
      <c r="C418" s="11"/>
      <c r="D418" s="11"/>
      <c r="E418" s="12"/>
      <c r="F418" s="12"/>
      <c r="G418" s="30"/>
      <c r="H418" s="11"/>
      <c r="I418" s="11"/>
      <c r="J418" s="11"/>
    </row>
    <row r="419" spans="2:10" s="9" customFormat="1" x14ac:dyDescent="0.2">
      <c r="B419" s="10"/>
      <c r="C419" s="11"/>
      <c r="D419" s="11"/>
      <c r="E419" s="12"/>
      <c r="F419" s="12"/>
      <c r="G419" s="30"/>
      <c r="H419" s="11"/>
      <c r="I419" s="11"/>
      <c r="J419" s="11"/>
    </row>
    <row r="420" spans="2:10" s="9" customFormat="1" x14ac:dyDescent="0.2">
      <c r="B420" s="10"/>
      <c r="C420" s="11"/>
      <c r="D420" s="11"/>
      <c r="E420" s="12"/>
      <c r="F420" s="12"/>
      <c r="G420" s="30"/>
      <c r="H420" s="11"/>
      <c r="I420" s="11"/>
      <c r="J420" s="11"/>
    </row>
    <row r="421" spans="2:10" s="9" customFormat="1" x14ac:dyDescent="0.2">
      <c r="B421" s="10"/>
      <c r="C421" s="11"/>
      <c r="D421" s="11"/>
      <c r="E421" s="12"/>
      <c r="F421" s="12"/>
      <c r="G421" s="30"/>
      <c r="H421" s="11"/>
      <c r="I421" s="11"/>
      <c r="J421" s="11"/>
    </row>
    <row r="422" spans="2:10" s="9" customFormat="1" x14ac:dyDescent="0.2">
      <c r="B422" s="10"/>
      <c r="C422" s="11"/>
      <c r="D422" s="11"/>
      <c r="E422" s="12"/>
      <c r="F422" s="12"/>
      <c r="G422" s="30"/>
      <c r="H422" s="11"/>
      <c r="I422" s="11"/>
      <c r="J422" s="11"/>
    </row>
    <row r="423" spans="2:10" s="9" customFormat="1" x14ac:dyDescent="0.2">
      <c r="B423" s="10"/>
      <c r="C423" s="11"/>
      <c r="D423" s="11"/>
      <c r="E423" s="12"/>
      <c r="F423" s="12"/>
      <c r="G423" s="30"/>
      <c r="H423" s="11"/>
      <c r="I423" s="11"/>
      <c r="J423" s="11"/>
    </row>
    <row r="424" spans="2:10" s="9" customFormat="1" x14ac:dyDescent="0.2">
      <c r="B424" s="10"/>
      <c r="C424" s="11"/>
      <c r="D424" s="11"/>
      <c r="E424" s="12"/>
      <c r="F424" s="12"/>
      <c r="G424" s="30"/>
      <c r="H424" s="11"/>
      <c r="I424" s="11"/>
      <c r="J424" s="11"/>
    </row>
    <row r="425" spans="2:10" s="9" customFormat="1" x14ac:dyDescent="0.2">
      <c r="B425" s="10"/>
      <c r="C425" s="11"/>
      <c r="D425" s="11"/>
      <c r="E425" s="12"/>
      <c r="F425" s="12"/>
      <c r="G425" s="30"/>
      <c r="H425" s="11"/>
      <c r="I425" s="11"/>
      <c r="J425" s="11"/>
    </row>
    <row r="426" spans="2:10" s="9" customFormat="1" x14ac:dyDescent="0.2">
      <c r="B426" s="10"/>
      <c r="C426" s="11"/>
      <c r="D426" s="11"/>
      <c r="E426" s="12"/>
      <c r="F426" s="12"/>
      <c r="G426" s="30"/>
      <c r="H426" s="11"/>
      <c r="I426" s="11"/>
      <c r="J426" s="11"/>
    </row>
    <row r="427" spans="2:10" s="9" customFormat="1" x14ac:dyDescent="0.2">
      <c r="B427" s="10"/>
      <c r="C427" s="11"/>
      <c r="D427" s="11"/>
      <c r="E427" s="12"/>
      <c r="F427" s="12"/>
      <c r="G427" s="30"/>
      <c r="H427" s="11"/>
      <c r="I427" s="11"/>
      <c r="J427" s="11"/>
    </row>
    <row r="428" spans="2:10" s="9" customFormat="1" x14ac:dyDescent="0.2">
      <c r="B428" s="10"/>
      <c r="C428" s="11"/>
      <c r="D428" s="11"/>
      <c r="E428" s="12"/>
      <c r="F428" s="12"/>
      <c r="G428" s="30"/>
      <c r="H428" s="11"/>
      <c r="I428" s="11"/>
      <c r="J428" s="11"/>
    </row>
    <row r="429" spans="2:10" s="9" customFormat="1" x14ac:dyDescent="0.2">
      <c r="B429" s="10"/>
      <c r="C429" s="11"/>
      <c r="D429" s="11"/>
      <c r="E429" s="12"/>
      <c r="F429" s="12"/>
      <c r="G429" s="30"/>
      <c r="H429" s="11"/>
      <c r="I429" s="11"/>
      <c r="J429" s="11"/>
    </row>
    <row r="430" spans="2:10" s="9" customFormat="1" x14ac:dyDescent="0.2">
      <c r="B430" s="10"/>
      <c r="C430" s="11"/>
      <c r="D430" s="11"/>
      <c r="E430" s="12"/>
      <c r="F430" s="12"/>
      <c r="G430" s="30"/>
      <c r="H430" s="11"/>
      <c r="I430" s="11"/>
      <c r="J430" s="11"/>
    </row>
    <row r="431" spans="2:10" s="9" customFormat="1" x14ac:dyDescent="0.2">
      <c r="B431" s="10"/>
      <c r="C431" s="11"/>
      <c r="D431" s="11"/>
      <c r="E431" s="12"/>
      <c r="F431" s="12"/>
      <c r="G431" s="30"/>
      <c r="H431" s="11"/>
      <c r="I431" s="11"/>
      <c r="J431" s="11"/>
    </row>
    <row r="432" spans="2:10" s="9" customFormat="1" x14ac:dyDescent="0.2">
      <c r="B432" s="10"/>
      <c r="C432" s="11"/>
      <c r="D432" s="11"/>
      <c r="E432" s="12"/>
      <c r="F432" s="12"/>
      <c r="G432" s="30"/>
      <c r="H432" s="11"/>
      <c r="I432" s="11"/>
      <c r="J432" s="11"/>
    </row>
    <row r="433" spans="2:10" s="9" customFormat="1" x14ac:dyDescent="0.2">
      <c r="B433" s="10"/>
      <c r="C433" s="11"/>
      <c r="D433" s="11"/>
      <c r="E433" s="12"/>
      <c r="F433" s="12"/>
      <c r="G433" s="30"/>
      <c r="H433" s="11"/>
      <c r="I433" s="11"/>
      <c r="J433" s="11"/>
    </row>
    <row r="434" spans="2:10" s="9" customFormat="1" x14ac:dyDescent="0.2">
      <c r="B434" s="10"/>
      <c r="C434" s="11"/>
      <c r="D434" s="11"/>
      <c r="E434" s="12"/>
      <c r="F434" s="12"/>
      <c r="G434" s="30"/>
      <c r="H434" s="11"/>
      <c r="I434" s="11"/>
      <c r="J434" s="11"/>
    </row>
    <row r="435" spans="2:10" s="9" customFormat="1" x14ac:dyDescent="0.2">
      <c r="B435" s="10"/>
      <c r="C435" s="11"/>
      <c r="D435" s="11"/>
      <c r="E435" s="12"/>
      <c r="F435" s="12"/>
      <c r="G435" s="30"/>
      <c r="H435" s="11"/>
      <c r="I435" s="11"/>
      <c r="J435" s="11"/>
    </row>
    <row r="436" spans="2:10" s="9" customFormat="1" x14ac:dyDescent="0.2">
      <c r="B436" s="10"/>
      <c r="C436" s="11"/>
      <c r="D436" s="11"/>
      <c r="E436" s="12"/>
      <c r="F436" s="12"/>
      <c r="G436" s="30"/>
      <c r="H436" s="11"/>
      <c r="I436" s="11"/>
      <c r="J436" s="11"/>
    </row>
    <row r="437" spans="2:10" s="9" customFormat="1" x14ac:dyDescent="0.2">
      <c r="B437" s="10"/>
      <c r="C437" s="11"/>
      <c r="D437" s="11"/>
      <c r="E437" s="12"/>
      <c r="F437" s="12"/>
      <c r="G437" s="30"/>
      <c r="H437" s="11"/>
      <c r="I437" s="11"/>
      <c r="J437" s="11"/>
    </row>
    <row r="438" spans="2:10" s="9" customFormat="1" x14ac:dyDescent="0.2">
      <c r="B438" s="10"/>
      <c r="C438" s="11"/>
      <c r="D438" s="11"/>
      <c r="E438" s="12"/>
      <c r="F438" s="12"/>
      <c r="G438" s="30"/>
      <c r="H438" s="11"/>
      <c r="I438" s="11"/>
      <c r="J438" s="11"/>
    </row>
    <row r="439" spans="2:10" s="9" customFormat="1" x14ac:dyDescent="0.2">
      <c r="B439" s="10"/>
      <c r="C439" s="11"/>
      <c r="D439" s="11"/>
      <c r="E439" s="12"/>
      <c r="F439" s="12"/>
      <c r="G439" s="30"/>
      <c r="H439" s="11"/>
      <c r="I439" s="11"/>
      <c r="J439" s="11"/>
    </row>
    <row r="440" spans="2:10" s="9" customFormat="1" x14ac:dyDescent="0.2">
      <c r="B440" s="10"/>
      <c r="C440" s="11"/>
      <c r="D440" s="11"/>
      <c r="E440" s="12"/>
      <c r="F440" s="12"/>
      <c r="G440" s="30"/>
      <c r="H440" s="11"/>
      <c r="I440" s="11"/>
      <c r="J440" s="11"/>
    </row>
    <row r="441" spans="2:10" s="9" customFormat="1" x14ac:dyDescent="0.2">
      <c r="B441" s="10"/>
      <c r="C441" s="11"/>
      <c r="D441" s="11"/>
      <c r="E441" s="12"/>
      <c r="F441" s="12"/>
      <c r="G441" s="30"/>
      <c r="H441" s="11"/>
      <c r="I441" s="11"/>
      <c r="J441" s="11"/>
    </row>
    <row r="442" spans="2:10" s="9" customFormat="1" x14ac:dyDescent="0.2">
      <c r="B442" s="10"/>
      <c r="C442" s="11"/>
      <c r="D442" s="11"/>
      <c r="E442" s="12"/>
      <c r="F442" s="12"/>
      <c r="G442" s="30"/>
      <c r="H442" s="11"/>
      <c r="I442" s="11"/>
      <c r="J442" s="11"/>
    </row>
    <row r="443" spans="2:10" s="9" customFormat="1" x14ac:dyDescent="0.2">
      <c r="B443" s="10"/>
      <c r="C443" s="11"/>
      <c r="D443" s="11"/>
      <c r="E443" s="12"/>
      <c r="F443" s="12"/>
      <c r="G443" s="30"/>
      <c r="H443" s="11"/>
      <c r="I443" s="11"/>
      <c r="J443" s="11"/>
    </row>
    <row r="444" spans="2:10" s="9" customFormat="1" x14ac:dyDescent="0.2">
      <c r="B444" s="10"/>
      <c r="C444" s="11"/>
      <c r="D444" s="11"/>
      <c r="E444" s="12"/>
      <c r="F444" s="12"/>
      <c r="G444" s="30"/>
      <c r="H444" s="11"/>
      <c r="I444" s="11"/>
      <c r="J444" s="11"/>
    </row>
    <row r="445" spans="2:10" s="9" customFormat="1" x14ac:dyDescent="0.2">
      <c r="B445" s="10"/>
      <c r="C445" s="11"/>
      <c r="D445" s="11"/>
      <c r="E445" s="12"/>
      <c r="F445" s="12"/>
      <c r="G445" s="30"/>
      <c r="H445" s="11"/>
      <c r="I445" s="11"/>
      <c r="J445" s="11"/>
    </row>
    <row r="446" spans="2:10" s="9" customFormat="1" x14ac:dyDescent="0.2">
      <c r="B446" s="10"/>
      <c r="C446" s="11"/>
      <c r="D446" s="11"/>
      <c r="E446" s="12"/>
      <c r="F446" s="12"/>
      <c r="G446" s="30"/>
      <c r="H446" s="11"/>
      <c r="I446" s="11"/>
      <c r="J446" s="11"/>
    </row>
    <row r="447" spans="2:10" s="9" customFormat="1" x14ac:dyDescent="0.2">
      <c r="B447" s="10"/>
      <c r="C447" s="11"/>
      <c r="D447" s="11"/>
      <c r="E447" s="12"/>
      <c r="F447" s="12"/>
      <c r="G447" s="30"/>
      <c r="H447" s="11"/>
      <c r="I447" s="11"/>
      <c r="J447" s="11"/>
    </row>
    <row r="448" spans="2:10" s="9" customFormat="1" x14ac:dyDescent="0.2">
      <c r="B448" s="10"/>
      <c r="C448" s="11"/>
      <c r="D448" s="11"/>
      <c r="E448" s="12"/>
      <c r="F448" s="12"/>
      <c r="G448" s="30"/>
      <c r="H448" s="11"/>
      <c r="I448" s="11"/>
      <c r="J448" s="11"/>
    </row>
    <row r="449" spans="2:10" s="9" customFormat="1" x14ac:dyDescent="0.2">
      <c r="B449" s="10"/>
      <c r="C449" s="11"/>
      <c r="D449" s="11"/>
      <c r="E449" s="12"/>
      <c r="F449" s="12"/>
      <c r="G449" s="30"/>
      <c r="H449" s="11"/>
      <c r="I449" s="11"/>
      <c r="J449" s="11"/>
    </row>
    <row r="450" spans="2:10" s="9" customFormat="1" x14ac:dyDescent="0.2">
      <c r="B450" s="10"/>
      <c r="C450" s="11"/>
      <c r="D450" s="11"/>
      <c r="E450" s="12"/>
      <c r="F450" s="12"/>
      <c r="G450" s="30"/>
      <c r="H450" s="11"/>
      <c r="I450" s="11"/>
      <c r="J450" s="11"/>
    </row>
    <row r="451" spans="2:10" s="9" customFormat="1" x14ac:dyDescent="0.2">
      <c r="B451" s="10"/>
      <c r="C451" s="11"/>
      <c r="D451" s="11"/>
      <c r="E451" s="12"/>
      <c r="F451" s="12"/>
      <c r="G451" s="30"/>
      <c r="H451" s="11"/>
      <c r="I451" s="11"/>
      <c r="J451" s="11"/>
    </row>
    <row r="452" spans="2:10" s="9" customFormat="1" x14ac:dyDescent="0.2">
      <c r="B452" s="10"/>
      <c r="C452" s="11"/>
      <c r="D452" s="11"/>
      <c r="E452" s="12"/>
      <c r="F452" s="12"/>
      <c r="G452" s="30"/>
      <c r="H452" s="11"/>
      <c r="I452" s="11"/>
      <c r="J452" s="11"/>
    </row>
    <row r="453" spans="2:10" s="9" customFormat="1" x14ac:dyDescent="0.2">
      <c r="B453" s="10"/>
      <c r="C453" s="11"/>
      <c r="D453" s="11"/>
      <c r="E453" s="12"/>
      <c r="F453" s="12"/>
      <c r="G453" s="30"/>
      <c r="H453" s="11"/>
      <c r="I453" s="11"/>
      <c r="J453" s="11"/>
    </row>
    <row r="454" spans="2:10" s="9" customFormat="1" x14ac:dyDescent="0.2">
      <c r="B454" s="10"/>
      <c r="C454" s="11"/>
      <c r="D454" s="11"/>
      <c r="E454" s="12"/>
      <c r="F454" s="12"/>
      <c r="G454" s="30"/>
      <c r="H454" s="11"/>
      <c r="I454" s="11"/>
      <c r="J454" s="11"/>
    </row>
    <row r="455" spans="2:10" s="9" customFormat="1" x14ac:dyDescent="0.2">
      <c r="B455" s="10"/>
      <c r="C455" s="11"/>
      <c r="D455" s="11"/>
      <c r="E455" s="12"/>
      <c r="F455" s="12"/>
      <c r="G455" s="30"/>
      <c r="H455" s="11"/>
      <c r="I455" s="11"/>
      <c r="J455" s="11"/>
    </row>
    <row r="456" spans="2:10" s="9" customFormat="1" x14ac:dyDescent="0.2">
      <c r="B456" s="10"/>
      <c r="C456" s="11"/>
      <c r="D456" s="11"/>
      <c r="E456" s="12"/>
      <c r="F456" s="12"/>
      <c r="G456" s="30"/>
      <c r="H456" s="11"/>
      <c r="I456" s="11"/>
      <c r="J456" s="11"/>
    </row>
    <row r="457" spans="2:10" s="9" customFormat="1" x14ac:dyDescent="0.2">
      <c r="B457" s="10"/>
      <c r="C457" s="11"/>
      <c r="D457" s="11"/>
      <c r="E457" s="12"/>
      <c r="F457" s="12"/>
      <c r="G457" s="30"/>
      <c r="H457" s="11"/>
      <c r="I457" s="11"/>
      <c r="J457" s="11"/>
    </row>
    <row r="458" spans="2:10" s="9" customFormat="1" x14ac:dyDescent="0.2">
      <c r="B458" s="10"/>
      <c r="C458" s="11"/>
      <c r="D458" s="11"/>
      <c r="E458" s="12"/>
      <c r="F458" s="12"/>
      <c r="G458" s="30"/>
      <c r="H458" s="11"/>
      <c r="I458" s="11"/>
      <c r="J458" s="11"/>
    </row>
    <row r="459" spans="2:10" s="9" customFormat="1" x14ac:dyDescent="0.2">
      <c r="B459" s="10"/>
      <c r="C459" s="11"/>
      <c r="D459" s="11"/>
      <c r="E459" s="12"/>
      <c r="F459" s="12"/>
      <c r="G459" s="30"/>
      <c r="H459" s="11"/>
      <c r="I459" s="11"/>
      <c r="J459" s="11"/>
    </row>
    <row r="460" spans="2:10" s="9" customFormat="1" x14ac:dyDescent="0.2">
      <c r="B460" s="10"/>
      <c r="C460" s="11"/>
      <c r="D460" s="11"/>
      <c r="E460" s="12"/>
      <c r="F460" s="12"/>
      <c r="G460" s="30"/>
      <c r="H460" s="11"/>
      <c r="I460" s="11"/>
      <c r="J460" s="11"/>
    </row>
    <row r="461" spans="2:10" s="9" customFormat="1" x14ac:dyDescent="0.2">
      <c r="B461" s="10"/>
      <c r="C461" s="11"/>
      <c r="D461" s="11"/>
      <c r="E461" s="12"/>
      <c r="F461" s="12"/>
      <c r="G461" s="30"/>
      <c r="H461" s="11"/>
      <c r="I461" s="11"/>
      <c r="J461" s="11"/>
    </row>
    <row r="462" spans="2:10" s="9" customFormat="1" x14ac:dyDescent="0.2">
      <c r="B462" s="10"/>
      <c r="C462" s="11"/>
      <c r="D462" s="11"/>
      <c r="E462" s="12"/>
      <c r="F462" s="12"/>
      <c r="G462" s="30"/>
      <c r="H462" s="11"/>
      <c r="I462" s="11"/>
      <c r="J462" s="11"/>
    </row>
    <row r="463" spans="2:10" s="9" customFormat="1" x14ac:dyDescent="0.2">
      <c r="B463" s="10"/>
      <c r="C463" s="11"/>
      <c r="D463" s="11"/>
      <c r="E463" s="12"/>
      <c r="F463" s="12"/>
      <c r="G463" s="30"/>
      <c r="H463" s="11"/>
      <c r="I463" s="11"/>
      <c r="J463" s="11"/>
    </row>
    <row r="464" spans="2:10" s="9" customFormat="1" x14ac:dyDescent="0.2">
      <c r="B464" s="10"/>
      <c r="C464" s="11"/>
      <c r="D464" s="11"/>
      <c r="E464" s="12"/>
      <c r="F464" s="12"/>
      <c r="G464" s="30"/>
      <c r="H464" s="11"/>
      <c r="I464" s="11"/>
      <c r="J464" s="11"/>
    </row>
    <row r="465" spans="2:10" s="9" customFormat="1" x14ac:dyDescent="0.2">
      <c r="B465" s="10"/>
      <c r="C465" s="11"/>
      <c r="D465" s="11"/>
      <c r="E465" s="12"/>
      <c r="F465" s="12"/>
      <c r="G465" s="30"/>
      <c r="H465" s="11"/>
      <c r="I465" s="11"/>
      <c r="J465" s="11"/>
    </row>
    <row r="466" spans="2:10" s="9" customFormat="1" x14ac:dyDescent="0.2">
      <c r="B466" s="10"/>
      <c r="C466" s="11"/>
      <c r="D466" s="11"/>
      <c r="E466" s="12"/>
      <c r="F466" s="12"/>
      <c r="G466" s="30"/>
      <c r="H466" s="11"/>
      <c r="I466" s="11"/>
      <c r="J466" s="11"/>
    </row>
    <row r="467" spans="2:10" s="9" customFormat="1" x14ac:dyDescent="0.2">
      <c r="B467" s="10"/>
      <c r="C467" s="11"/>
      <c r="D467" s="11"/>
      <c r="E467" s="12"/>
      <c r="F467" s="12"/>
      <c r="G467" s="30"/>
      <c r="H467" s="11"/>
      <c r="I467" s="11"/>
      <c r="J467" s="11"/>
    </row>
    <row r="468" spans="2:10" s="9" customFormat="1" x14ac:dyDescent="0.2">
      <c r="B468" s="10"/>
      <c r="C468" s="11"/>
      <c r="D468" s="11"/>
      <c r="E468" s="12"/>
      <c r="F468" s="12"/>
      <c r="G468" s="30"/>
      <c r="H468" s="11"/>
      <c r="I468" s="11"/>
      <c r="J468" s="11"/>
    </row>
    <row r="469" spans="2:10" s="9" customFormat="1" x14ac:dyDescent="0.2">
      <c r="B469" s="10"/>
      <c r="C469" s="11"/>
      <c r="D469" s="11"/>
      <c r="E469" s="12"/>
      <c r="F469" s="12"/>
      <c r="G469" s="30"/>
      <c r="H469" s="11"/>
      <c r="I469" s="11"/>
      <c r="J469" s="11"/>
    </row>
    <row r="470" spans="2:10" s="9" customFormat="1" x14ac:dyDescent="0.2">
      <c r="B470" s="10"/>
      <c r="C470" s="11"/>
      <c r="D470" s="11"/>
      <c r="E470" s="12"/>
      <c r="F470" s="12"/>
      <c r="G470" s="30"/>
      <c r="H470" s="11"/>
      <c r="I470" s="11"/>
      <c r="J470" s="11"/>
    </row>
    <row r="471" spans="2:10" s="9" customFormat="1" x14ac:dyDescent="0.2">
      <c r="B471" s="10"/>
      <c r="C471" s="11"/>
      <c r="D471" s="11"/>
      <c r="E471" s="12"/>
      <c r="F471" s="12"/>
      <c r="G471" s="30"/>
      <c r="H471" s="11"/>
      <c r="I471" s="11"/>
      <c r="J471" s="11"/>
    </row>
    <row r="472" spans="2:10" s="9" customFormat="1" x14ac:dyDescent="0.2">
      <c r="B472" s="10"/>
      <c r="C472" s="11"/>
      <c r="D472" s="11"/>
      <c r="E472" s="12"/>
      <c r="F472" s="12"/>
      <c r="G472" s="30"/>
      <c r="H472" s="11"/>
      <c r="I472" s="11"/>
      <c r="J472" s="11"/>
    </row>
    <row r="473" spans="2:10" s="9" customFormat="1" x14ac:dyDescent="0.2">
      <c r="B473" s="10"/>
      <c r="C473" s="11"/>
      <c r="D473" s="11"/>
      <c r="E473" s="12"/>
      <c r="F473" s="12"/>
      <c r="G473" s="30"/>
      <c r="H473" s="11"/>
      <c r="I473" s="11"/>
      <c r="J473" s="11"/>
    </row>
    <row r="474" spans="2:10" s="9" customFormat="1" x14ac:dyDescent="0.2">
      <c r="B474" s="10"/>
      <c r="C474" s="11"/>
      <c r="D474" s="11"/>
      <c r="E474" s="12"/>
      <c r="F474" s="12"/>
      <c r="G474" s="30"/>
      <c r="H474" s="11"/>
      <c r="I474" s="11"/>
      <c r="J474" s="11"/>
    </row>
    <row r="475" spans="2:10" s="9" customFormat="1" x14ac:dyDescent="0.2">
      <c r="B475" s="10"/>
      <c r="C475" s="11"/>
      <c r="D475" s="11"/>
      <c r="E475" s="12"/>
      <c r="F475" s="12"/>
      <c r="G475" s="30"/>
      <c r="H475" s="11"/>
      <c r="I475" s="11"/>
      <c r="J475" s="11"/>
    </row>
    <row r="476" spans="2:10" s="9" customFormat="1" x14ac:dyDescent="0.2">
      <c r="B476" s="10"/>
      <c r="C476" s="11"/>
      <c r="D476" s="11"/>
      <c r="E476" s="12"/>
      <c r="F476" s="12"/>
      <c r="G476" s="30"/>
      <c r="H476" s="11"/>
      <c r="I476" s="11"/>
      <c r="J476" s="11"/>
    </row>
    <row r="477" spans="2:10" s="9" customFormat="1" x14ac:dyDescent="0.2">
      <c r="B477" s="10"/>
      <c r="C477" s="11"/>
      <c r="D477" s="11"/>
      <c r="E477" s="12"/>
      <c r="F477" s="12"/>
      <c r="G477" s="30"/>
      <c r="H477" s="11"/>
      <c r="I477" s="11"/>
      <c r="J477" s="11"/>
    </row>
    <row r="478" spans="2:10" s="9" customFormat="1" x14ac:dyDescent="0.2">
      <c r="B478" s="10"/>
      <c r="C478" s="11"/>
      <c r="D478" s="11"/>
      <c r="E478" s="12"/>
      <c r="F478" s="12"/>
      <c r="G478" s="30"/>
      <c r="H478" s="11"/>
      <c r="I478" s="11"/>
      <c r="J478" s="11"/>
    </row>
    <row r="479" spans="2:10" s="9" customFormat="1" x14ac:dyDescent="0.2">
      <c r="B479" s="10"/>
      <c r="C479" s="11"/>
      <c r="D479" s="11"/>
      <c r="E479" s="12"/>
      <c r="F479" s="12"/>
      <c r="G479" s="30"/>
      <c r="H479" s="11"/>
      <c r="I479" s="11"/>
      <c r="J479" s="11"/>
    </row>
    <row r="480" spans="2:10" s="9" customFormat="1" x14ac:dyDescent="0.2">
      <c r="B480" s="10"/>
      <c r="C480" s="11"/>
      <c r="D480" s="11"/>
      <c r="E480" s="12"/>
      <c r="F480" s="12"/>
      <c r="G480" s="30"/>
      <c r="H480" s="11"/>
      <c r="I480" s="11"/>
      <c r="J480" s="11"/>
    </row>
    <row r="481" spans="2:10" s="9" customFormat="1" x14ac:dyDescent="0.2">
      <c r="B481" s="10"/>
      <c r="C481" s="11"/>
      <c r="D481" s="11"/>
      <c r="E481" s="12"/>
      <c r="F481" s="12"/>
      <c r="G481" s="30"/>
      <c r="H481" s="11"/>
      <c r="I481" s="11"/>
      <c r="J481" s="11"/>
    </row>
    <row r="482" spans="2:10" s="9" customFormat="1" x14ac:dyDescent="0.2">
      <c r="B482" s="10"/>
      <c r="C482" s="11"/>
      <c r="D482" s="11"/>
      <c r="E482" s="12"/>
      <c r="F482" s="12"/>
      <c r="G482" s="30"/>
      <c r="H482" s="11"/>
      <c r="I482" s="11"/>
      <c r="J482" s="11"/>
    </row>
    <row r="483" spans="2:10" s="9" customFormat="1" x14ac:dyDescent="0.2">
      <c r="B483" s="10"/>
      <c r="C483" s="11"/>
      <c r="D483" s="11"/>
      <c r="E483" s="12"/>
      <c r="F483" s="12"/>
      <c r="G483" s="30"/>
      <c r="H483" s="11"/>
      <c r="I483" s="11"/>
      <c r="J483" s="11"/>
    </row>
    <row r="484" spans="2:10" s="9" customFormat="1" x14ac:dyDescent="0.2">
      <c r="B484" s="10"/>
      <c r="C484" s="11"/>
      <c r="D484" s="11"/>
      <c r="E484" s="12"/>
      <c r="F484" s="12"/>
      <c r="G484" s="30"/>
      <c r="H484" s="11"/>
      <c r="I484" s="11"/>
      <c r="J484" s="11"/>
    </row>
    <row r="485" spans="2:10" s="9" customFormat="1" x14ac:dyDescent="0.2">
      <c r="B485" s="10"/>
      <c r="C485" s="11"/>
      <c r="D485" s="11"/>
      <c r="E485" s="12"/>
      <c r="F485" s="12"/>
      <c r="G485" s="30"/>
      <c r="H485" s="11"/>
      <c r="I485" s="11"/>
      <c r="J485" s="11"/>
    </row>
    <row r="486" spans="2:10" s="9" customFormat="1" x14ac:dyDescent="0.2">
      <c r="B486" s="10"/>
      <c r="C486" s="11"/>
      <c r="D486" s="11"/>
      <c r="E486" s="12"/>
      <c r="F486" s="12"/>
      <c r="G486" s="30"/>
      <c r="H486" s="11"/>
      <c r="I486" s="11"/>
      <c r="J486" s="11"/>
    </row>
    <row r="487" spans="2:10" s="9" customFormat="1" x14ac:dyDescent="0.2">
      <c r="B487" s="10"/>
      <c r="C487" s="11"/>
      <c r="D487" s="11"/>
      <c r="E487" s="12"/>
      <c r="F487" s="12"/>
      <c r="G487" s="30"/>
      <c r="H487" s="11"/>
      <c r="I487" s="11"/>
      <c r="J487" s="11"/>
    </row>
    <row r="488" spans="2:10" s="9" customFormat="1" x14ac:dyDescent="0.2">
      <c r="B488" s="10"/>
      <c r="C488" s="11"/>
      <c r="D488" s="11"/>
      <c r="E488" s="12"/>
      <c r="F488" s="12"/>
      <c r="G488" s="30"/>
      <c r="H488" s="11"/>
      <c r="I488" s="11"/>
      <c r="J488" s="11"/>
    </row>
    <row r="489" spans="2:10" s="9" customFormat="1" x14ac:dyDescent="0.2">
      <c r="B489" s="10"/>
      <c r="C489" s="11"/>
      <c r="D489" s="11"/>
      <c r="E489" s="12"/>
      <c r="F489" s="12"/>
      <c r="G489" s="30"/>
      <c r="H489" s="11"/>
      <c r="I489" s="11"/>
      <c r="J489" s="11"/>
    </row>
    <row r="490" spans="2:10" s="9" customFormat="1" x14ac:dyDescent="0.2">
      <c r="B490" s="10"/>
      <c r="C490" s="11"/>
      <c r="D490" s="11"/>
      <c r="E490" s="12"/>
      <c r="F490" s="12"/>
      <c r="G490" s="30"/>
      <c r="H490" s="11"/>
      <c r="I490" s="11"/>
      <c r="J490" s="11"/>
    </row>
    <row r="491" spans="2:10" s="9" customFormat="1" x14ac:dyDescent="0.2">
      <c r="B491" s="10"/>
      <c r="C491" s="11"/>
      <c r="D491" s="11"/>
      <c r="E491" s="12"/>
      <c r="F491" s="12"/>
      <c r="G491" s="30"/>
      <c r="H491" s="11"/>
      <c r="I491" s="11"/>
      <c r="J491" s="11"/>
    </row>
    <row r="492" spans="2:10" s="9" customFormat="1" x14ac:dyDescent="0.2">
      <c r="B492" s="10"/>
      <c r="C492" s="11"/>
      <c r="D492" s="11"/>
      <c r="E492" s="12"/>
      <c r="F492" s="12"/>
      <c r="G492" s="30"/>
      <c r="H492" s="11"/>
      <c r="I492" s="11"/>
      <c r="J492" s="11"/>
    </row>
    <row r="493" spans="2:10" s="9" customFormat="1" x14ac:dyDescent="0.2">
      <c r="B493" s="10"/>
      <c r="C493" s="11"/>
      <c r="D493" s="11"/>
      <c r="E493" s="12"/>
      <c r="F493" s="12"/>
      <c r="G493" s="30"/>
      <c r="H493" s="11"/>
      <c r="I493" s="11"/>
      <c r="J493" s="11"/>
    </row>
    <row r="494" spans="2:10" s="9" customFormat="1" x14ac:dyDescent="0.2">
      <c r="B494" s="10"/>
      <c r="C494" s="11"/>
      <c r="D494" s="11"/>
      <c r="E494" s="12"/>
      <c r="F494" s="12"/>
      <c r="G494" s="30"/>
      <c r="H494" s="11"/>
      <c r="I494" s="11"/>
      <c r="J494" s="11"/>
    </row>
    <row r="495" spans="2:10" s="9" customFormat="1" x14ac:dyDescent="0.2">
      <c r="B495" s="10"/>
      <c r="C495" s="11"/>
      <c r="D495" s="11"/>
      <c r="E495" s="12"/>
      <c r="F495" s="12"/>
      <c r="G495" s="30"/>
      <c r="H495" s="11"/>
      <c r="I495" s="11"/>
      <c r="J495" s="11"/>
    </row>
    <row r="496" spans="2:10" s="9" customFormat="1" x14ac:dyDescent="0.2">
      <c r="B496" s="10"/>
      <c r="C496" s="11"/>
      <c r="D496" s="11"/>
      <c r="E496" s="12"/>
      <c r="F496" s="12"/>
      <c r="G496" s="30"/>
      <c r="H496" s="11"/>
      <c r="I496" s="11"/>
      <c r="J496" s="11"/>
    </row>
    <row r="497" spans="2:10" s="9" customFormat="1" x14ac:dyDescent="0.2">
      <c r="B497" s="10"/>
      <c r="C497" s="11"/>
      <c r="D497" s="11"/>
      <c r="E497" s="12"/>
      <c r="F497" s="12"/>
      <c r="G497" s="30"/>
      <c r="H497" s="11"/>
      <c r="I497" s="11"/>
      <c r="J497" s="11"/>
    </row>
    <row r="498" spans="2:10" s="9" customFormat="1" x14ac:dyDescent="0.2">
      <c r="B498" s="10"/>
      <c r="C498" s="11"/>
      <c r="D498" s="11"/>
      <c r="E498" s="12"/>
      <c r="F498" s="12"/>
      <c r="G498" s="30"/>
      <c r="H498" s="11"/>
      <c r="I498" s="11"/>
      <c r="J498" s="11"/>
    </row>
    <row r="499" spans="2:10" s="9" customFormat="1" x14ac:dyDescent="0.2">
      <c r="B499" s="10"/>
      <c r="C499" s="11"/>
      <c r="D499" s="11"/>
      <c r="E499" s="12"/>
      <c r="F499" s="12"/>
      <c r="G499" s="30"/>
      <c r="H499" s="11"/>
      <c r="I499" s="11"/>
      <c r="J499" s="11"/>
    </row>
    <row r="500" spans="2:10" s="9" customFormat="1" x14ac:dyDescent="0.2">
      <c r="B500" s="10"/>
      <c r="C500" s="11"/>
      <c r="D500" s="11"/>
      <c r="E500" s="12"/>
      <c r="F500" s="12"/>
      <c r="G500" s="30"/>
      <c r="H500" s="11"/>
      <c r="I500" s="11"/>
      <c r="J500" s="11"/>
    </row>
    <row r="501" spans="2:10" s="9" customFormat="1" x14ac:dyDescent="0.2">
      <c r="B501" s="10"/>
      <c r="C501" s="11"/>
      <c r="D501" s="11"/>
      <c r="E501" s="12"/>
      <c r="F501" s="12"/>
      <c r="G501" s="30"/>
      <c r="H501" s="11"/>
      <c r="I501" s="11"/>
      <c r="J501" s="11"/>
    </row>
    <row r="502" spans="2:10" s="9" customFormat="1" x14ac:dyDescent="0.2">
      <c r="B502" s="10"/>
      <c r="C502" s="11"/>
      <c r="D502" s="11"/>
      <c r="E502" s="12"/>
      <c r="F502" s="12"/>
      <c r="G502" s="30"/>
      <c r="H502" s="11"/>
      <c r="I502" s="11"/>
      <c r="J502" s="11"/>
    </row>
    <row r="503" spans="2:10" s="9" customFormat="1" x14ac:dyDescent="0.2">
      <c r="B503" s="10"/>
      <c r="C503" s="11"/>
      <c r="D503" s="11"/>
      <c r="E503" s="12"/>
      <c r="F503" s="12"/>
      <c r="G503" s="30"/>
      <c r="H503" s="11"/>
      <c r="I503" s="11"/>
      <c r="J503" s="11"/>
    </row>
    <row r="504" spans="2:10" s="9" customFormat="1" x14ac:dyDescent="0.2">
      <c r="B504" s="10"/>
      <c r="C504" s="11"/>
      <c r="D504" s="11"/>
      <c r="E504" s="12"/>
      <c r="F504" s="12"/>
      <c r="G504" s="30"/>
      <c r="H504" s="11"/>
      <c r="I504" s="11"/>
      <c r="J504" s="11"/>
    </row>
    <row r="505" spans="2:10" s="9" customFormat="1" x14ac:dyDescent="0.2">
      <c r="B505" s="10"/>
      <c r="C505" s="11"/>
      <c r="D505" s="11"/>
      <c r="E505" s="12"/>
      <c r="F505" s="12"/>
      <c r="G505" s="30"/>
      <c r="H505" s="11"/>
      <c r="I505" s="11"/>
      <c r="J505" s="11"/>
    </row>
    <row r="506" spans="2:10" s="9" customFormat="1" x14ac:dyDescent="0.2">
      <c r="B506" s="10"/>
      <c r="C506" s="11"/>
      <c r="D506" s="11"/>
      <c r="E506" s="12"/>
      <c r="F506" s="12"/>
      <c r="G506" s="30"/>
      <c r="H506" s="11"/>
      <c r="I506" s="11"/>
      <c r="J506" s="11"/>
    </row>
    <row r="507" spans="2:10" s="9" customFormat="1" x14ac:dyDescent="0.2">
      <c r="B507" s="10"/>
      <c r="C507" s="11"/>
      <c r="D507" s="11"/>
      <c r="E507" s="12"/>
      <c r="F507" s="12"/>
      <c r="G507" s="30"/>
      <c r="H507" s="11"/>
      <c r="I507" s="11"/>
      <c r="J507" s="11"/>
    </row>
    <row r="508" spans="2:10" s="9" customFormat="1" x14ac:dyDescent="0.2">
      <c r="B508" s="10"/>
      <c r="C508" s="11"/>
      <c r="D508" s="11"/>
      <c r="E508" s="12"/>
      <c r="F508" s="12"/>
      <c r="G508" s="30"/>
      <c r="H508" s="11"/>
      <c r="I508" s="11"/>
      <c r="J508" s="11"/>
    </row>
    <row r="509" spans="2:10" s="9" customFormat="1" x14ac:dyDescent="0.2">
      <c r="B509" s="10"/>
      <c r="C509" s="11"/>
      <c r="D509" s="11"/>
      <c r="E509" s="12"/>
      <c r="F509" s="12"/>
      <c r="G509" s="30"/>
      <c r="H509" s="11"/>
      <c r="I509" s="11"/>
      <c r="J509" s="11"/>
    </row>
    <row r="510" spans="2:10" s="9" customFormat="1" x14ac:dyDescent="0.2">
      <c r="B510" s="10"/>
      <c r="C510" s="11"/>
      <c r="D510" s="11"/>
      <c r="E510" s="12"/>
      <c r="F510" s="12"/>
      <c r="G510" s="30"/>
      <c r="H510" s="11"/>
      <c r="I510" s="11"/>
      <c r="J510" s="11"/>
    </row>
    <row r="511" spans="2:10" s="9" customFormat="1" x14ac:dyDescent="0.2">
      <c r="B511" s="10"/>
      <c r="C511" s="11"/>
      <c r="D511" s="11"/>
      <c r="E511" s="12"/>
      <c r="F511" s="12"/>
      <c r="G511" s="30"/>
      <c r="H511" s="11"/>
      <c r="I511" s="11"/>
      <c r="J511" s="11"/>
    </row>
    <row r="512" spans="2:10" s="9" customFormat="1" x14ac:dyDescent="0.2">
      <c r="B512" s="10"/>
      <c r="C512" s="11"/>
      <c r="D512" s="11"/>
      <c r="E512" s="12"/>
      <c r="F512" s="12"/>
      <c r="G512" s="30"/>
      <c r="H512" s="11"/>
      <c r="I512" s="11"/>
      <c r="J512" s="11"/>
    </row>
    <row r="513" spans="2:10" s="9" customFormat="1" x14ac:dyDescent="0.2">
      <c r="B513" s="10"/>
      <c r="C513" s="11"/>
      <c r="D513" s="11"/>
      <c r="E513" s="12"/>
      <c r="F513" s="12"/>
      <c r="G513" s="30"/>
      <c r="H513" s="11"/>
      <c r="I513" s="11"/>
      <c r="J513" s="11"/>
    </row>
    <row r="514" spans="2:10" s="9" customFormat="1" x14ac:dyDescent="0.2">
      <c r="B514" s="10"/>
      <c r="C514" s="11"/>
      <c r="D514" s="11"/>
      <c r="E514" s="12"/>
      <c r="F514" s="12"/>
      <c r="G514" s="30"/>
      <c r="H514" s="11"/>
      <c r="I514" s="11"/>
      <c r="J514" s="11"/>
    </row>
    <row r="515" spans="2:10" s="9" customFormat="1" x14ac:dyDescent="0.2">
      <c r="B515" s="10"/>
      <c r="C515" s="11"/>
      <c r="D515" s="11"/>
      <c r="E515" s="12"/>
      <c r="F515" s="12"/>
      <c r="G515" s="30"/>
      <c r="H515" s="11"/>
      <c r="I515" s="11"/>
      <c r="J515" s="11"/>
    </row>
    <row r="516" spans="2:10" s="9" customFormat="1" x14ac:dyDescent="0.2">
      <c r="B516" s="10"/>
      <c r="C516" s="11"/>
      <c r="D516" s="11"/>
      <c r="E516" s="12"/>
      <c r="F516" s="12"/>
      <c r="G516" s="30"/>
      <c r="H516" s="11"/>
      <c r="I516" s="11"/>
      <c r="J516" s="11"/>
    </row>
    <row r="517" spans="2:10" s="9" customFormat="1" x14ac:dyDescent="0.2">
      <c r="B517" s="10"/>
      <c r="C517" s="11"/>
      <c r="D517" s="11"/>
      <c r="E517" s="12"/>
      <c r="F517" s="12"/>
      <c r="G517" s="30"/>
      <c r="H517" s="11"/>
      <c r="I517" s="11"/>
      <c r="J517" s="11"/>
    </row>
    <row r="518" spans="2:10" s="9" customFormat="1" x14ac:dyDescent="0.2">
      <c r="B518" s="10"/>
      <c r="C518" s="11"/>
      <c r="D518" s="11"/>
      <c r="E518" s="12"/>
      <c r="F518" s="12"/>
      <c r="G518" s="30"/>
      <c r="H518" s="11"/>
      <c r="I518" s="11"/>
      <c r="J518" s="11"/>
    </row>
    <row r="519" spans="2:10" s="9" customFormat="1" x14ac:dyDescent="0.2">
      <c r="B519" s="10"/>
      <c r="C519" s="11"/>
      <c r="D519" s="11"/>
      <c r="E519" s="12"/>
      <c r="F519" s="12"/>
      <c r="G519" s="30"/>
      <c r="H519" s="11"/>
      <c r="I519" s="11"/>
      <c r="J519" s="11"/>
    </row>
    <row r="520" spans="2:10" s="9" customFormat="1" x14ac:dyDescent="0.2">
      <c r="B520" s="10"/>
      <c r="C520" s="11"/>
      <c r="D520" s="11"/>
      <c r="E520" s="12"/>
      <c r="F520" s="12"/>
      <c r="G520" s="30"/>
      <c r="H520" s="11"/>
      <c r="I520" s="11"/>
      <c r="J520" s="11"/>
    </row>
    <row r="521" spans="2:10" s="9" customFormat="1" x14ac:dyDescent="0.2">
      <c r="B521" s="10"/>
      <c r="C521" s="11"/>
      <c r="D521" s="11"/>
      <c r="E521" s="12"/>
      <c r="F521" s="12"/>
      <c r="G521" s="30"/>
      <c r="H521" s="11"/>
      <c r="I521" s="11"/>
      <c r="J521" s="11"/>
    </row>
    <row r="522" spans="2:10" s="9" customFormat="1" x14ac:dyDescent="0.2">
      <c r="B522" s="10"/>
      <c r="C522" s="11"/>
      <c r="D522" s="11"/>
      <c r="E522" s="12"/>
      <c r="F522" s="12"/>
      <c r="G522" s="30"/>
      <c r="H522" s="11"/>
      <c r="I522" s="11"/>
      <c r="J522" s="11"/>
    </row>
    <row r="523" spans="2:10" s="9" customFormat="1" x14ac:dyDescent="0.2">
      <c r="B523" s="10"/>
      <c r="C523" s="11"/>
      <c r="D523" s="11"/>
      <c r="E523" s="12"/>
      <c r="F523" s="12"/>
      <c r="G523" s="30"/>
      <c r="H523" s="11"/>
      <c r="I523" s="11"/>
      <c r="J523" s="11"/>
    </row>
    <row r="524" spans="2:10" s="9" customFormat="1" x14ac:dyDescent="0.2">
      <c r="B524" s="10"/>
      <c r="C524" s="11"/>
      <c r="D524" s="11"/>
      <c r="E524" s="12"/>
      <c r="F524" s="12"/>
      <c r="G524" s="30"/>
      <c r="H524" s="11"/>
      <c r="I524" s="11"/>
      <c r="J524" s="11"/>
    </row>
    <row r="525" spans="2:10" s="9" customFormat="1" x14ac:dyDescent="0.2">
      <c r="B525" s="10"/>
      <c r="C525" s="11"/>
      <c r="D525" s="11"/>
      <c r="E525" s="12"/>
      <c r="F525" s="12"/>
      <c r="G525" s="30"/>
      <c r="H525" s="11"/>
      <c r="I525" s="11"/>
      <c r="J525" s="11"/>
    </row>
    <row r="526" spans="2:10" s="9" customFormat="1" x14ac:dyDescent="0.2">
      <c r="B526" s="10"/>
      <c r="C526" s="11"/>
      <c r="D526" s="11"/>
      <c r="E526" s="12"/>
      <c r="F526" s="12"/>
      <c r="G526" s="30"/>
      <c r="H526" s="11"/>
      <c r="I526" s="11"/>
      <c r="J526" s="11"/>
    </row>
    <row r="527" spans="2:10" s="9" customFormat="1" x14ac:dyDescent="0.2">
      <c r="B527" s="10"/>
      <c r="C527" s="11"/>
      <c r="D527" s="11"/>
      <c r="E527" s="12"/>
      <c r="F527" s="12"/>
      <c r="G527" s="30"/>
      <c r="H527" s="11"/>
      <c r="I527" s="11"/>
      <c r="J527" s="11"/>
    </row>
    <row r="528" spans="2:10" s="9" customFormat="1" x14ac:dyDescent="0.2">
      <c r="B528" s="10"/>
      <c r="C528" s="11"/>
      <c r="D528" s="11"/>
      <c r="E528" s="12"/>
      <c r="F528" s="12"/>
      <c r="G528" s="30"/>
      <c r="H528" s="11"/>
      <c r="I528" s="11"/>
      <c r="J528" s="11"/>
    </row>
    <row r="529" spans="2:10" s="9" customFormat="1" x14ac:dyDescent="0.2">
      <c r="B529" s="10"/>
      <c r="C529" s="11"/>
      <c r="D529" s="11"/>
      <c r="E529" s="12"/>
      <c r="F529" s="12"/>
      <c r="G529" s="30"/>
      <c r="H529" s="11"/>
      <c r="I529" s="11"/>
      <c r="J529" s="11"/>
    </row>
    <row r="530" spans="2:10" s="9" customFormat="1" x14ac:dyDescent="0.2">
      <c r="B530" s="10"/>
      <c r="C530" s="11"/>
      <c r="D530" s="11"/>
      <c r="E530" s="12"/>
      <c r="F530" s="12"/>
      <c r="G530" s="30"/>
      <c r="H530" s="11"/>
      <c r="I530" s="11"/>
      <c r="J530" s="11"/>
    </row>
    <row r="531" spans="2:10" s="9" customFormat="1" x14ac:dyDescent="0.2">
      <c r="B531" s="10"/>
      <c r="C531" s="11"/>
      <c r="D531" s="11"/>
      <c r="E531" s="12"/>
      <c r="F531" s="12"/>
      <c r="G531" s="30"/>
      <c r="H531" s="11"/>
      <c r="I531" s="11"/>
      <c r="J531" s="11"/>
    </row>
    <row r="532" spans="2:10" s="9" customFormat="1" x14ac:dyDescent="0.2">
      <c r="B532" s="10"/>
      <c r="C532" s="11"/>
      <c r="D532" s="11"/>
      <c r="E532" s="12"/>
      <c r="F532" s="12"/>
      <c r="G532" s="30"/>
      <c r="H532" s="11"/>
      <c r="I532" s="11"/>
      <c r="J532" s="11"/>
    </row>
    <row r="533" spans="2:10" s="9" customFormat="1" x14ac:dyDescent="0.2">
      <c r="B533" s="10"/>
      <c r="C533" s="11"/>
      <c r="D533" s="11"/>
      <c r="E533" s="12"/>
      <c r="F533" s="12"/>
      <c r="G533" s="30"/>
      <c r="H533" s="11"/>
      <c r="I533" s="11"/>
      <c r="J533" s="11"/>
    </row>
    <row r="534" spans="2:10" s="9" customFormat="1" x14ac:dyDescent="0.2">
      <c r="B534" s="10"/>
      <c r="C534" s="11"/>
      <c r="D534" s="11"/>
      <c r="E534" s="12"/>
      <c r="F534" s="12"/>
      <c r="G534" s="30"/>
      <c r="H534" s="11"/>
      <c r="I534" s="11"/>
      <c r="J534" s="11"/>
    </row>
    <row r="535" spans="2:10" s="9" customFormat="1" x14ac:dyDescent="0.2">
      <c r="B535" s="10"/>
      <c r="C535" s="11"/>
      <c r="D535" s="11"/>
      <c r="E535" s="12"/>
      <c r="F535" s="12"/>
      <c r="G535" s="30"/>
      <c r="H535" s="11"/>
      <c r="I535" s="11"/>
      <c r="J535" s="11"/>
    </row>
    <row r="536" spans="2:10" s="9" customFormat="1" x14ac:dyDescent="0.2">
      <c r="B536" s="10"/>
      <c r="C536" s="11"/>
      <c r="D536" s="11"/>
      <c r="E536" s="12"/>
      <c r="F536" s="12"/>
      <c r="G536" s="30"/>
      <c r="H536" s="11"/>
      <c r="I536" s="11"/>
      <c r="J536" s="11"/>
    </row>
    <row r="537" spans="2:10" s="9" customFormat="1" x14ac:dyDescent="0.2">
      <c r="B537" s="10"/>
      <c r="C537" s="11"/>
      <c r="D537" s="11"/>
      <c r="E537" s="12"/>
      <c r="F537" s="12"/>
      <c r="G537" s="30"/>
      <c r="H537" s="11"/>
      <c r="I537" s="11"/>
      <c r="J537" s="11"/>
    </row>
    <row r="538" spans="2:10" s="9" customFormat="1" x14ac:dyDescent="0.2">
      <c r="B538" s="10"/>
      <c r="C538" s="11"/>
      <c r="D538" s="11"/>
      <c r="E538" s="12"/>
      <c r="F538" s="12"/>
      <c r="G538" s="30"/>
      <c r="H538" s="11"/>
      <c r="I538" s="11"/>
      <c r="J538" s="11"/>
    </row>
    <row r="539" spans="2:10" s="9" customFormat="1" x14ac:dyDescent="0.2">
      <c r="B539" s="10"/>
      <c r="C539" s="11"/>
      <c r="D539" s="11"/>
      <c r="E539" s="12"/>
      <c r="F539" s="12"/>
      <c r="G539" s="30"/>
      <c r="H539" s="11"/>
      <c r="I539" s="11"/>
      <c r="J539" s="11"/>
    </row>
    <row r="540" spans="2:10" s="9" customFormat="1" x14ac:dyDescent="0.2">
      <c r="B540" s="10"/>
      <c r="C540" s="11"/>
      <c r="D540" s="11"/>
      <c r="E540" s="12"/>
      <c r="F540" s="12"/>
      <c r="G540" s="30"/>
      <c r="H540" s="11"/>
      <c r="I540" s="11"/>
      <c r="J540" s="11"/>
    </row>
    <row r="541" spans="2:10" s="9" customFormat="1" x14ac:dyDescent="0.2">
      <c r="B541" s="10"/>
      <c r="C541" s="11"/>
      <c r="D541" s="11"/>
      <c r="E541" s="12"/>
      <c r="F541" s="12"/>
      <c r="G541" s="30"/>
      <c r="H541" s="11"/>
      <c r="I541" s="11"/>
      <c r="J541" s="11"/>
    </row>
    <row r="542" spans="2:10" s="9" customFormat="1" x14ac:dyDescent="0.2">
      <c r="B542" s="10"/>
      <c r="C542" s="11"/>
      <c r="D542" s="11"/>
      <c r="E542" s="12"/>
      <c r="F542" s="12"/>
      <c r="G542" s="30"/>
      <c r="H542" s="11"/>
      <c r="I542" s="11"/>
      <c r="J542" s="11"/>
    </row>
    <row r="543" spans="2:10" s="9" customFormat="1" x14ac:dyDescent="0.2">
      <c r="B543" s="10"/>
      <c r="C543" s="11"/>
      <c r="D543" s="11"/>
      <c r="E543" s="12"/>
      <c r="F543" s="12"/>
      <c r="G543" s="30"/>
      <c r="H543" s="11"/>
      <c r="I543" s="11"/>
      <c r="J543" s="11"/>
    </row>
    <row r="544" spans="2:10" s="9" customFormat="1" x14ac:dyDescent="0.2">
      <c r="B544" s="10"/>
      <c r="C544" s="11"/>
      <c r="D544" s="11"/>
      <c r="E544" s="12"/>
      <c r="F544" s="12"/>
      <c r="G544" s="30"/>
      <c r="H544" s="11"/>
      <c r="I544" s="11"/>
      <c r="J544" s="11"/>
    </row>
    <row r="545" spans="2:10" s="9" customFormat="1" x14ac:dyDescent="0.2">
      <c r="B545" s="10"/>
      <c r="C545" s="11"/>
      <c r="D545" s="11"/>
      <c r="E545" s="12"/>
      <c r="F545" s="12"/>
      <c r="G545" s="30"/>
      <c r="H545" s="11"/>
      <c r="I545" s="11"/>
      <c r="J545" s="11"/>
    </row>
    <row r="546" spans="2:10" s="9" customFormat="1" x14ac:dyDescent="0.2">
      <c r="B546" s="10"/>
      <c r="C546" s="11"/>
      <c r="D546" s="11"/>
      <c r="E546" s="12"/>
      <c r="F546" s="12"/>
      <c r="G546" s="30"/>
      <c r="H546" s="11"/>
      <c r="I546" s="11"/>
      <c r="J546" s="11"/>
    </row>
    <row r="547" spans="2:10" s="9" customFormat="1" x14ac:dyDescent="0.2">
      <c r="B547" s="10"/>
      <c r="C547" s="11"/>
      <c r="D547" s="11"/>
      <c r="E547" s="12"/>
      <c r="F547" s="12"/>
      <c r="G547" s="30"/>
      <c r="H547" s="11"/>
      <c r="I547" s="11"/>
      <c r="J547" s="11"/>
    </row>
    <row r="548" spans="2:10" s="9" customFormat="1" x14ac:dyDescent="0.2">
      <c r="B548" s="10"/>
      <c r="C548" s="11"/>
      <c r="D548" s="11"/>
      <c r="E548" s="12"/>
      <c r="F548" s="12"/>
      <c r="G548" s="30"/>
      <c r="H548" s="11"/>
      <c r="I548" s="11"/>
      <c r="J548" s="11"/>
    </row>
    <row r="549" spans="2:10" s="9" customFormat="1" x14ac:dyDescent="0.2">
      <c r="B549" s="10"/>
      <c r="C549" s="11"/>
      <c r="D549" s="11"/>
      <c r="E549" s="12"/>
      <c r="F549" s="12"/>
      <c r="G549" s="30"/>
      <c r="H549" s="11"/>
      <c r="I549" s="11"/>
      <c r="J549" s="11"/>
    </row>
    <row r="550" spans="2:10" s="9" customFormat="1" x14ac:dyDescent="0.2">
      <c r="B550" s="10"/>
      <c r="C550" s="11"/>
      <c r="D550" s="11"/>
      <c r="E550" s="12"/>
      <c r="F550" s="12"/>
      <c r="G550" s="30"/>
      <c r="H550" s="11"/>
      <c r="I550" s="11"/>
      <c r="J550" s="11"/>
    </row>
    <row r="551" spans="2:10" s="9" customFormat="1" x14ac:dyDescent="0.2">
      <c r="B551" s="10"/>
      <c r="C551" s="11"/>
      <c r="D551" s="11"/>
      <c r="E551" s="12"/>
      <c r="F551" s="12"/>
      <c r="G551" s="30"/>
      <c r="H551" s="11"/>
      <c r="I551" s="11"/>
      <c r="J551" s="11"/>
    </row>
    <row r="552" spans="2:10" s="9" customFormat="1" x14ac:dyDescent="0.2">
      <c r="B552" s="10"/>
      <c r="C552" s="11"/>
      <c r="D552" s="11"/>
      <c r="E552" s="12"/>
      <c r="F552" s="12"/>
      <c r="G552" s="30"/>
      <c r="H552" s="11"/>
      <c r="I552" s="11"/>
      <c r="J552" s="11"/>
    </row>
    <row r="553" spans="2:10" s="9" customFormat="1" x14ac:dyDescent="0.2">
      <c r="B553" s="10"/>
      <c r="C553" s="11"/>
      <c r="D553" s="11"/>
      <c r="E553" s="12"/>
      <c r="F553" s="12"/>
      <c r="G553" s="30"/>
      <c r="H553" s="11"/>
      <c r="I553" s="11"/>
      <c r="J553" s="11"/>
    </row>
    <row r="554" spans="2:10" s="9" customFormat="1" x14ac:dyDescent="0.2">
      <c r="B554" s="10"/>
      <c r="C554" s="11"/>
      <c r="D554" s="11"/>
      <c r="E554" s="12"/>
      <c r="F554" s="12"/>
      <c r="G554" s="30"/>
      <c r="H554" s="11"/>
      <c r="I554" s="11"/>
      <c r="J554" s="11"/>
    </row>
    <row r="555" spans="2:10" s="9" customFormat="1" x14ac:dyDescent="0.2">
      <c r="B555" s="10"/>
      <c r="C555" s="11"/>
      <c r="D555" s="11"/>
      <c r="E555" s="12"/>
      <c r="F555" s="12"/>
      <c r="G555" s="30"/>
      <c r="H555" s="11"/>
      <c r="I555" s="11"/>
      <c r="J555" s="11"/>
    </row>
    <row r="556" spans="2:10" s="9" customFormat="1" x14ac:dyDescent="0.2">
      <c r="B556" s="10"/>
      <c r="C556" s="11"/>
      <c r="D556" s="11"/>
      <c r="E556" s="12"/>
      <c r="F556" s="12"/>
      <c r="G556" s="30"/>
      <c r="H556" s="11"/>
      <c r="I556" s="11"/>
      <c r="J556" s="11"/>
    </row>
    <row r="557" spans="2:10" s="9" customFormat="1" x14ac:dyDescent="0.2">
      <c r="B557" s="10"/>
      <c r="C557" s="11"/>
      <c r="D557" s="11"/>
      <c r="E557" s="12"/>
      <c r="F557" s="12"/>
      <c r="G557" s="30"/>
      <c r="H557" s="11"/>
      <c r="I557" s="11"/>
      <c r="J557" s="11"/>
    </row>
    <row r="558" spans="2:10" s="9" customFormat="1" x14ac:dyDescent="0.2">
      <c r="B558" s="10"/>
      <c r="C558" s="11"/>
      <c r="D558" s="11"/>
      <c r="E558" s="12"/>
      <c r="F558" s="12"/>
      <c r="G558" s="30"/>
      <c r="H558" s="11"/>
      <c r="I558" s="11"/>
      <c r="J558" s="11"/>
    </row>
    <row r="559" spans="2:10" s="9" customFormat="1" x14ac:dyDescent="0.2">
      <c r="B559" s="10"/>
      <c r="C559" s="11"/>
      <c r="D559" s="11"/>
      <c r="E559" s="12"/>
      <c r="F559" s="12"/>
      <c r="G559" s="30"/>
      <c r="H559" s="11"/>
      <c r="I559" s="11"/>
      <c r="J559" s="11"/>
    </row>
    <row r="560" spans="2:10" s="9" customFormat="1" x14ac:dyDescent="0.2">
      <c r="B560" s="10"/>
      <c r="C560" s="11"/>
      <c r="D560" s="11"/>
      <c r="E560" s="12"/>
      <c r="F560" s="12"/>
      <c r="G560" s="30"/>
      <c r="H560" s="11"/>
      <c r="I560" s="11"/>
      <c r="J560" s="11"/>
    </row>
    <row r="561" spans="2:10" s="9" customFormat="1" x14ac:dyDescent="0.2">
      <c r="B561" s="10"/>
      <c r="C561" s="11"/>
      <c r="D561" s="11"/>
      <c r="E561" s="12"/>
      <c r="F561" s="12"/>
      <c r="G561" s="30"/>
      <c r="H561" s="11"/>
      <c r="I561" s="11"/>
      <c r="J561" s="11"/>
    </row>
    <row r="562" spans="2:10" s="9" customFormat="1" x14ac:dyDescent="0.2">
      <c r="B562" s="10"/>
      <c r="C562" s="11"/>
      <c r="D562" s="11"/>
      <c r="E562" s="12"/>
      <c r="F562" s="12"/>
      <c r="G562" s="30"/>
      <c r="H562" s="11"/>
      <c r="I562" s="11"/>
      <c r="J562" s="11"/>
    </row>
    <row r="563" spans="2:10" s="9" customFormat="1" x14ac:dyDescent="0.2">
      <c r="B563" s="10"/>
      <c r="C563" s="11"/>
      <c r="D563" s="11"/>
      <c r="E563" s="12"/>
      <c r="F563" s="12"/>
      <c r="G563" s="30"/>
      <c r="H563" s="11"/>
      <c r="I563" s="11"/>
      <c r="J563" s="11"/>
    </row>
    <row r="564" spans="2:10" s="9" customFormat="1" x14ac:dyDescent="0.2">
      <c r="B564" s="10"/>
      <c r="C564" s="11"/>
      <c r="D564" s="11"/>
      <c r="E564" s="12"/>
      <c r="F564" s="12"/>
      <c r="G564" s="30"/>
      <c r="H564" s="11"/>
      <c r="I564" s="11"/>
      <c r="J564" s="11"/>
    </row>
    <row r="565" spans="2:10" s="9" customFormat="1" x14ac:dyDescent="0.2">
      <c r="B565" s="10"/>
      <c r="C565" s="11"/>
      <c r="D565" s="11"/>
      <c r="E565" s="12"/>
      <c r="F565" s="12"/>
      <c r="G565" s="30"/>
      <c r="H565" s="11"/>
      <c r="I565" s="11"/>
      <c r="J565" s="11"/>
    </row>
    <row r="566" spans="2:10" s="9" customFormat="1" x14ac:dyDescent="0.2">
      <c r="B566" s="10"/>
      <c r="C566" s="11"/>
      <c r="D566" s="11"/>
      <c r="E566" s="12"/>
      <c r="F566" s="12"/>
      <c r="G566" s="30"/>
      <c r="H566" s="11"/>
      <c r="I566" s="11"/>
      <c r="J566" s="11"/>
    </row>
    <row r="567" spans="2:10" s="9" customFormat="1" x14ac:dyDescent="0.2">
      <c r="B567" s="10"/>
      <c r="C567" s="11"/>
      <c r="D567" s="11"/>
      <c r="E567" s="12"/>
      <c r="F567" s="12"/>
      <c r="G567" s="30"/>
      <c r="H567" s="11"/>
      <c r="I567" s="11"/>
      <c r="J567" s="11"/>
    </row>
    <row r="568" spans="2:10" s="9" customFormat="1" x14ac:dyDescent="0.2">
      <c r="B568" s="10"/>
      <c r="C568" s="11"/>
      <c r="D568" s="11"/>
      <c r="E568" s="12"/>
      <c r="F568" s="12"/>
      <c r="G568" s="30"/>
      <c r="H568" s="11"/>
      <c r="I568" s="11"/>
      <c r="J568" s="11"/>
    </row>
    <row r="569" spans="2:10" s="9" customFormat="1" x14ac:dyDescent="0.2">
      <c r="B569" s="10"/>
      <c r="C569" s="11"/>
      <c r="D569" s="11"/>
      <c r="E569" s="12"/>
      <c r="F569" s="12"/>
      <c r="G569" s="30"/>
      <c r="H569" s="11"/>
      <c r="I569" s="11"/>
      <c r="J569" s="11"/>
    </row>
    <row r="570" spans="2:10" s="9" customFormat="1" x14ac:dyDescent="0.2">
      <c r="B570" s="10"/>
      <c r="C570" s="11"/>
      <c r="D570" s="11"/>
      <c r="E570" s="12"/>
      <c r="F570" s="12"/>
      <c r="G570" s="30"/>
      <c r="H570" s="11"/>
      <c r="I570" s="11"/>
      <c r="J570" s="11"/>
    </row>
    <row r="571" spans="2:10" s="9" customFormat="1" x14ac:dyDescent="0.2">
      <c r="B571" s="10"/>
      <c r="C571" s="11"/>
      <c r="D571" s="11"/>
      <c r="E571" s="12"/>
      <c r="F571" s="12"/>
      <c r="G571" s="30"/>
      <c r="H571" s="11"/>
      <c r="I571" s="11"/>
      <c r="J571" s="11"/>
    </row>
    <row r="572" spans="2:10" s="9" customFormat="1" x14ac:dyDescent="0.2">
      <c r="B572" s="10"/>
      <c r="C572" s="11"/>
      <c r="D572" s="11"/>
      <c r="E572" s="12"/>
      <c r="F572" s="12"/>
      <c r="G572" s="30"/>
      <c r="H572" s="11"/>
      <c r="I572" s="11"/>
      <c r="J572" s="11"/>
    </row>
    <row r="573" spans="2:10" s="9" customFormat="1" x14ac:dyDescent="0.2">
      <c r="B573" s="10"/>
      <c r="C573" s="11"/>
      <c r="D573" s="11"/>
      <c r="E573" s="12"/>
      <c r="F573" s="12"/>
      <c r="G573" s="30"/>
      <c r="H573" s="11"/>
      <c r="I573" s="11"/>
      <c r="J573" s="11"/>
    </row>
    <row r="574" spans="2:10" s="9" customFormat="1" x14ac:dyDescent="0.2">
      <c r="B574" s="10"/>
      <c r="C574" s="11"/>
      <c r="D574" s="11"/>
      <c r="E574" s="12"/>
      <c r="F574" s="12"/>
      <c r="G574" s="30"/>
      <c r="H574" s="11"/>
      <c r="I574" s="11"/>
      <c r="J574" s="11"/>
    </row>
    <row r="575" spans="2:10" s="9" customFormat="1" x14ac:dyDescent="0.2">
      <c r="B575" s="10"/>
      <c r="C575" s="11"/>
      <c r="D575" s="11"/>
      <c r="E575" s="12"/>
      <c r="F575" s="12"/>
      <c r="G575" s="30"/>
      <c r="H575" s="11"/>
      <c r="I575" s="11"/>
      <c r="J575" s="11"/>
    </row>
    <row r="576" spans="2:10" s="9" customFormat="1" x14ac:dyDescent="0.2">
      <c r="B576" s="10"/>
      <c r="C576" s="11"/>
      <c r="D576" s="11"/>
      <c r="E576" s="12"/>
      <c r="F576" s="12"/>
      <c r="G576" s="30"/>
      <c r="H576" s="11"/>
      <c r="I576" s="11"/>
      <c r="J576" s="11"/>
    </row>
    <row r="577" spans="2:10" s="9" customFormat="1" x14ac:dyDescent="0.2">
      <c r="B577" s="10"/>
      <c r="C577" s="11"/>
      <c r="D577" s="11"/>
      <c r="E577" s="12"/>
      <c r="F577" s="12"/>
      <c r="G577" s="30"/>
      <c r="H577" s="11"/>
      <c r="I577" s="11"/>
      <c r="J577" s="11"/>
    </row>
    <row r="578" spans="2:10" s="9" customFormat="1" x14ac:dyDescent="0.2">
      <c r="B578" s="10"/>
      <c r="C578" s="11"/>
      <c r="D578" s="11"/>
      <c r="E578" s="12"/>
      <c r="F578" s="12"/>
      <c r="G578" s="30"/>
      <c r="H578" s="11"/>
      <c r="I578" s="11"/>
      <c r="J578" s="11"/>
    </row>
    <row r="579" spans="2:10" s="9" customFormat="1" x14ac:dyDescent="0.2">
      <c r="B579" s="10"/>
      <c r="C579" s="11"/>
      <c r="D579" s="11"/>
      <c r="E579" s="12"/>
      <c r="F579" s="12"/>
      <c r="G579" s="30"/>
      <c r="H579" s="11"/>
      <c r="I579" s="11"/>
      <c r="J579" s="11"/>
    </row>
    <row r="580" spans="2:10" s="9" customFormat="1" x14ac:dyDescent="0.2">
      <c r="B580" s="10"/>
      <c r="C580" s="11"/>
      <c r="D580" s="11"/>
      <c r="E580" s="12"/>
      <c r="F580" s="12"/>
      <c r="G580" s="30"/>
      <c r="H580" s="11"/>
      <c r="I580" s="11"/>
      <c r="J580" s="11"/>
    </row>
    <row r="581" spans="2:10" s="9" customFormat="1" x14ac:dyDescent="0.2">
      <c r="B581" s="10"/>
      <c r="C581" s="11"/>
      <c r="D581" s="11"/>
      <c r="E581" s="12"/>
      <c r="F581" s="12"/>
      <c r="G581" s="30"/>
      <c r="H581" s="11"/>
      <c r="I581" s="11"/>
      <c r="J581" s="11"/>
    </row>
    <row r="582" spans="2:10" s="9" customFormat="1" x14ac:dyDescent="0.2">
      <c r="B582" s="10"/>
      <c r="C582" s="11"/>
      <c r="D582" s="11"/>
      <c r="E582" s="12"/>
      <c r="F582" s="12"/>
      <c r="G582" s="30"/>
      <c r="H582" s="11"/>
      <c r="I582" s="11"/>
      <c r="J582" s="11"/>
    </row>
    <row r="583" spans="2:10" s="9" customFormat="1" x14ac:dyDescent="0.2">
      <c r="B583" s="10"/>
      <c r="C583" s="11"/>
      <c r="D583" s="11"/>
      <c r="E583" s="12"/>
      <c r="F583" s="12"/>
      <c r="G583" s="30"/>
      <c r="H583" s="11"/>
      <c r="I583" s="11"/>
      <c r="J583" s="11"/>
    </row>
    <row r="584" spans="2:10" s="9" customFormat="1" x14ac:dyDescent="0.2">
      <c r="B584" s="10"/>
      <c r="C584" s="11"/>
      <c r="D584" s="11"/>
      <c r="E584" s="12"/>
      <c r="F584" s="12"/>
      <c r="G584" s="30"/>
      <c r="H584" s="11"/>
      <c r="I584" s="11"/>
      <c r="J584" s="11"/>
    </row>
    <row r="585" spans="2:10" s="9" customFormat="1" x14ac:dyDescent="0.2">
      <c r="B585" s="10"/>
      <c r="C585" s="11"/>
      <c r="D585" s="11"/>
      <c r="E585" s="12"/>
      <c r="F585" s="12"/>
      <c r="G585" s="30"/>
      <c r="H585" s="11"/>
      <c r="I585" s="11"/>
      <c r="J585" s="11"/>
    </row>
    <row r="586" spans="2:10" s="9" customFormat="1" x14ac:dyDescent="0.2">
      <c r="B586" s="10"/>
      <c r="C586" s="11"/>
      <c r="D586" s="11"/>
      <c r="E586" s="12"/>
      <c r="F586" s="12"/>
      <c r="G586" s="30"/>
      <c r="H586" s="11"/>
      <c r="I586" s="11"/>
      <c r="J586" s="11"/>
    </row>
    <row r="587" spans="2:10" s="9" customFormat="1" x14ac:dyDescent="0.2">
      <c r="B587" s="10"/>
      <c r="C587" s="11"/>
      <c r="D587" s="11"/>
      <c r="E587" s="12"/>
      <c r="F587" s="12"/>
      <c r="G587" s="30"/>
      <c r="H587" s="11"/>
      <c r="I587" s="11"/>
      <c r="J587" s="11"/>
    </row>
    <row r="588" spans="2:10" s="9" customFormat="1" x14ac:dyDescent="0.2">
      <c r="B588" s="10"/>
      <c r="C588" s="11"/>
      <c r="D588" s="11"/>
      <c r="E588" s="12"/>
      <c r="F588" s="12"/>
      <c r="G588" s="30"/>
      <c r="H588" s="11"/>
      <c r="I588" s="11"/>
      <c r="J588" s="11"/>
    </row>
    <row r="589" spans="2:10" s="9" customFormat="1" x14ac:dyDescent="0.2">
      <c r="B589" s="10"/>
      <c r="C589" s="11"/>
      <c r="D589" s="11"/>
      <c r="E589" s="12"/>
      <c r="F589" s="12"/>
      <c r="G589" s="30"/>
      <c r="H589" s="11"/>
      <c r="I589" s="11"/>
      <c r="J589" s="11"/>
    </row>
    <row r="590" spans="2:10" s="9" customFormat="1" x14ac:dyDescent="0.2">
      <c r="B590" s="10"/>
      <c r="C590" s="11"/>
      <c r="D590" s="11"/>
      <c r="E590" s="12"/>
      <c r="F590" s="12"/>
      <c r="G590" s="30"/>
      <c r="H590" s="11"/>
      <c r="I590" s="11"/>
      <c r="J590" s="11"/>
    </row>
    <row r="591" spans="2:10" s="9" customFormat="1" x14ac:dyDescent="0.2">
      <c r="B591" s="10"/>
      <c r="C591" s="11"/>
      <c r="D591" s="11"/>
      <c r="E591" s="12"/>
      <c r="F591" s="12"/>
      <c r="G591" s="30"/>
      <c r="H591" s="11"/>
      <c r="I591" s="11"/>
      <c r="J591" s="11"/>
    </row>
    <row r="592" spans="2:10" s="9" customFormat="1" x14ac:dyDescent="0.2">
      <c r="B592" s="10"/>
      <c r="C592" s="11"/>
      <c r="D592" s="11"/>
      <c r="E592" s="12"/>
      <c r="F592" s="12"/>
      <c r="G592" s="30"/>
      <c r="H592" s="11"/>
      <c r="I592" s="11"/>
      <c r="J592" s="11"/>
    </row>
    <row r="593" spans="2:10" s="9" customFormat="1" x14ac:dyDescent="0.2">
      <c r="B593" s="10"/>
      <c r="C593" s="11"/>
      <c r="D593" s="11"/>
      <c r="E593" s="12"/>
      <c r="F593" s="12"/>
      <c r="G593" s="30"/>
      <c r="H593" s="11"/>
      <c r="I593" s="11"/>
      <c r="J593" s="11"/>
    </row>
    <row r="594" spans="2:10" s="9" customFormat="1" x14ac:dyDescent="0.2">
      <c r="B594" s="10"/>
      <c r="C594" s="11"/>
      <c r="D594" s="11"/>
      <c r="E594" s="12"/>
      <c r="F594" s="12"/>
      <c r="G594" s="30"/>
      <c r="H594" s="11"/>
      <c r="I594" s="11"/>
      <c r="J594" s="11"/>
    </row>
    <row r="595" spans="2:10" s="9" customFormat="1" x14ac:dyDescent="0.2">
      <c r="B595" s="10"/>
      <c r="C595" s="11"/>
      <c r="D595" s="11"/>
      <c r="E595" s="12"/>
      <c r="F595" s="12"/>
      <c r="G595" s="30"/>
      <c r="H595" s="11"/>
      <c r="I595" s="11"/>
      <c r="J595" s="11"/>
    </row>
    <row r="596" spans="2:10" s="9" customFormat="1" x14ac:dyDescent="0.2">
      <c r="B596" s="10"/>
      <c r="C596" s="11"/>
      <c r="D596" s="11"/>
      <c r="E596" s="12"/>
      <c r="F596" s="12"/>
      <c r="G596" s="30"/>
      <c r="H596" s="11"/>
      <c r="I596" s="11"/>
      <c r="J596" s="11"/>
    </row>
    <row r="597" spans="2:10" s="9" customFormat="1" x14ac:dyDescent="0.2">
      <c r="B597" s="10"/>
      <c r="C597" s="11"/>
      <c r="D597" s="11"/>
      <c r="E597" s="12"/>
      <c r="F597" s="12"/>
      <c r="G597" s="30"/>
      <c r="H597" s="11"/>
      <c r="I597" s="11"/>
      <c r="J597" s="11"/>
    </row>
    <row r="598" spans="2:10" s="9" customFormat="1" x14ac:dyDescent="0.2">
      <c r="B598" s="10"/>
      <c r="C598" s="11"/>
      <c r="D598" s="11"/>
      <c r="E598" s="12"/>
      <c r="F598" s="12"/>
      <c r="G598" s="30"/>
      <c r="H598" s="11"/>
      <c r="I598" s="11"/>
      <c r="J598" s="11"/>
    </row>
    <row r="599" spans="2:10" s="9" customFormat="1" x14ac:dyDescent="0.2">
      <c r="B599" s="10"/>
      <c r="C599" s="11"/>
      <c r="D599" s="11"/>
      <c r="E599" s="12"/>
      <c r="F599" s="12"/>
      <c r="G599" s="30"/>
      <c r="H599" s="11"/>
      <c r="I599" s="11"/>
      <c r="J599" s="11"/>
    </row>
    <row r="600" spans="2:10" s="9" customFormat="1" x14ac:dyDescent="0.2">
      <c r="B600" s="10"/>
      <c r="C600" s="11"/>
      <c r="D600" s="11"/>
      <c r="E600" s="12"/>
      <c r="F600" s="12"/>
      <c r="G600" s="30"/>
      <c r="H600" s="11"/>
      <c r="I600" s="11"/>
      <c r="J600" s="11"/>
    </row>
    <row r="601" spans="2:10" s="9" customFormat="1" x14ac:dyDescent="0.2">
      <c r="B601" s="10"/>
      <c r="C601" s="11"/>
      <c r="D601" s="11"/>
      <c r="E601" s="12"/>
      <c r="F601" s="12"/>
      <c r="G601" s="30"/>
      <c r="H601" s="11"/>
      <c r="I601" s="11"/>
      <c r="J601" s="11"/>
    </row>
    <row r="602" spans="2:10" s="9" customFormat="1" x14ac:dyDescent="0.2">
      <c r="B602" s="10"/>
      <c r="C602" s="11"/>
      <c r="D602" s="11"/>
      <c r="E602" s="12"/>
      <c r="F602" s="12"/>
      <c r="G602" s="30"/>
      <c r="H602" s="11"/>
      <c r="I602" s="11"/>
      <c r="J602" s="11"/>
    </row>
    <row r="603" spans="2:10" s="9" customFormat="1" x14ac:dyDescent="0.2">
      <c r="B603" s="10"/>
      <c r="C603" s="11"/>
      <c r="D603" s="11"/>
      <c r="E603" s="12"/>
      <c r="F603" s="12"/>
      <c r="G603" s="30"/>
      <c r="H603" s="11"/>
      <c r="I603" s="11"/>
      <c r="J603" s="11"/>
    </row>
    <row r="604" spans="2:10" s="9" customFormat="1" x14ac:dyDescent="0.2">
      <c r="B604" s="10"/>
      <c r="C604" s="11"/>
      <c r="D604" s="11"/>
      <c r="E604" s="12"/>
      <c r="F604" s="12"/>
      <c r="G604" s="30"/>
      <c r="H604" s="11"/>
      <c r="I604" s="11"/>
      <c r="J604" s="11"/>
    </row>
    <row r="605" spans="2:10" s="9" customFormat="1" x14ac:dyDescent="0.2">
      <c r="B605" s="10"/>
      <c r="C605" s="11"/>
      <c r="D605" s="11"/>
      <c r="E605" s="12"/>
      <c r="F605" s="12"/>
      <c r="G605" s="30"/>
      <c r="H605" s="11"/>
      <c r="I605" s="11"/>
      <c r="J605" s="11"/>
    </row>
    <row r="606" spans="2:10" s="9" customFormat="1" x14ac:dyDescent="0.2">
      <c r="B606" s="10"/>
      <c r="C606" s="11"/>
      <c r="D606" s="11"/>
      <c r="E606" s="12"/>
      <c r="F606" s="12"/>
      <c r="G606" s="30"/>
      <c r="H606" s="11"/>
      <c r="I606" s="11"/>
      <c r="J606" s="11"/>
    </row>
    <row r="607" spans="2:10" s="9" customFormat="1" x14ac:dyDescent="0.2">
      <c r="B607" s="10"/>
      <c r="C607" s="11"/>
      <c r="D607" s="11"/>
      <c r="E607" s="12"/>
      <c r="F607" s="12"/>
      <c r="G607" s="30"/>
      <c r="H607" s="11"/>
      <c r="I607" s="11"/>
      <c r="J607" s="11"/>
    </row>
    <row r="608" spans="2:10" s="9" customFormat="1" x14ac:dyDescent="0.2">
      <c r="B608" s="10"/>
      <c r="C608" s="11"/>
      <c r="D608" s="11"/>
      <c r="E608" s="12"/>
      <c r="F608" s="12"/>
      <c r="G608" s="30"/>
      <c r="H608" s="11"/>
      <c r="I608" s="11"/>
      <c r="J608" s="11"/>
    </row>
    <row r="609" spans="2:10" s="9" customFormat="1" x14ac:dyDescent="0.2">
      <c r="B609" s="10"/>
      <c r="C609" s="11"/>
      <c r="D609" s="11"/>
      <c r="E609" s="12"/>
      <c r="F609" s="12"/>
      <c r="G609" s="30"/>
      <c r="H609" s="11"/>
      <c r="I609" s="11"/>
      <c r="J609" s="11"/>
    </row>
    <row r="610" spans="2:10" s="9" customFormat="1" x14ac:dyDescent="0.2">
      <c r="B610" s="10"/>
      <c r="C610" s="11"/>
      <c r="D610" s="11"/>
      <c r="E610" s="12"/>
      <c r="F610" s="12"/>
      <c r="G610" s="30"/>
      <c r="H610" s="11"/>
      <c r="I610" s="11"/>
      <c r="J610" s="11"/>
    </row>
    <row r="611" spans="2:10" s="9" customFormat="1" x14ac:dyDescent="0.2">
      <c r="B611" s="10"/>
      <c r="C611" s="11"/>
      <c r="D611" s="11"/>
      <c r="E611" s="12"/>
      <c r="F611" s="12"/>
      <c r="G611" s="30"/>
      <c r="H611" s="11"/>
      <c r="I611" s="11"/>
      <c r="J611" s="11"/>
    </row>
    <row r="612" spans="2:10" s="9" customFormat="1" x14ac:dyDescent="0.2">
      <c r="B612" s="10"/>
      <c r="C612" s="11"/>
      <c r="D612" s="11"/>
      <c r="E612" s="12"/>
      <c r="F612" s="12"/>
      <c r="G612" s="30"/>
      <c r="H612" s="11"/>
      <c r="I612" s="11"/>
      <c r="J612" s="11"/>
    </row>
    <row r="613" spans="2:10" s="9" customFormat="1" x14ac:dyDescent="0.2">
      <c r="B613" s="10"/>
      <c r="C613" s="11"/>
      <c r="D613" s="11"/>
      <c r="E613" s="12"/>
      <c r="F613" s="12"/>
      <c r="G613" s="30"/>
      <c r="H613" s="11"/>
      <c r="I613" s="11"/>
      <c r="J613" s="11"/>
    </row>
    <row r="614" spans="2:10" s="9" customFormat="1" x14ac:dyDescent="0.2">
      <c r="B614" s="10"/>
      <c r="C614" s="11"/>
      <c r="D614" s="11"/>
      <c r="E614" s="12"/>
      <c r="F614" s="12"/>
      <c r="G614" s="30"/>
      <c r="H614" s="11"/>
      <c r="I614" s="11"/>
      <c r="J614" s="11"/>
    </row>
    <row r="615" spans="2:10" s="9" customFormat="1" x14ac:dyDescent="0.2">
      <c r="B615" s="10"/>
      <c r="C615" s="11"/>
      <c r="D615" s="11"/>
      <c r="E615" s="12"/>
      <c r="F615" s="12"/>
      <c r="G615" s="30"/>
      <c r="H615" s="11"/>
      <c r="I615" s="11"/>
      <c r="J615" s="11"/>
    </row>
    <row r="616" spans="2:10" s="9" customFormat="1" x14ac:dyDescent="0.2">
      <c r="B616" s="10"/>
      <c r="C616" s="11"/>
      <c r="D616" s="11"/>
      <c r="E616" s="12"/>
      <c r="F616" s="12"/>
      <c r="G616" s="30"/>
      <c r="H616" s="11"/>
      <c r="I616" s="11"/>
      <c r="J616" s="11"/>
    </row>
    <row r="617" spans="2:10" s="9" customFormat="1" x14ac:dyDescent="0.2">
      <c r="B617" s="10"/>
      <c r="C617" s="11"/>
      <c r="D617" s="11"/>
      <c r="E617" s="12"/>
      <c r="F617" s="12"/>
      <c r="G617" s="30"/>
      <c r="H617" s="11"/>
      <c r="I617" s="11"/>
      <c r="J617" s="11"/>
    </row>
    <row r="618" spans="2:10" s="9" customFormat="1" x14ac:dyDescent="0.2">
      <c r="B618" s="10"/>
      <c r="C618" s="11"/>
      <c r="D618" s="11"/>
      <c r="E618" s="12"/>
      <c r="F618" s="12"/>
      <c r="G618" s="30"/>
      <c r="H618" s="11"/>
      <c r="I618" s="11"/>
      <c r="J618" s="11"/>
    </row>
    <row r="619" spans="2:10" s="9" customFormat="1" x14ac:dyDescent="0.2">
      <c r="B619" s="10"/>
      <c r="C619" s="11"/>
      <c r="D619" s="11"/>
      <c r="E619" s="12"/>
      <c r="F619" s="12"/>
      <c r="G619" s="30"/>
      <c r="H619" s="11"/>
      <c r="I619" s="11"/>
      <c r="J619" s="11"/>
    </row>
    <row r="620" spans="2:10" s="9" customFormat="1" x14ac:dyDescent="0.2">
      <c r="B620" s="10"/>
      <c r="C620" s="11"/>
      <c r="D620" s="11"/>
      <c r="E620" s="12"/>
      <c r="F620" s="12"/>
      <c r="G620" s="30"/>
      <c r="H620" s="11"/>
      <c r="I620" s="11"/>
      <c r="J620" s="11"/>
    </row>
    <row r="621" spans="2:10" s="9" customFormat="1" x14ac:dyDescent="0.2">
      <c r="B621" s="10"/>
      <c r="C621" s="11"/>
      <c r="D621" s="11"/>
      <c r="E621" s="12"/>
      <c r="F621" s="12"/>
      <c r="G621" s="30"/>
      <c r="H621" s="11"/>
      <c r="I621" s="11"/>
      <c r="J621" s="11"/>
    </row>
    <row r="622" spans="2:10" s="9" customFormat="1" x14ac:dyDescent="0.2">
      <c r="B622" s="10"/>
      <c r="C622" s="11"/>
      <c r="D622" s="11"/>
      <c r="E622" s="12"/>
      <c r="F622" s="12"/>
      <c r="G622" s="30"/>
      <c r="H622" s="11"/>
      <c r="I622" s="11"/>
      <c r="J622" s="11"/>
    </row>
    <row r="623" spans="2:10" s="9" customFormat="1" x14ac:dyDescent="0.2">
      <c r="B623" s="10"/>
      <c r="C623" s="11"/>
      <c r="D623" s="11"/>
      <c r="E623" s="12"/>
      <c r="F623" s="12"/>
      <c r="G623" s="30"/>
      <c r="H623" s="11"/>
      <c r="I623" s="11"/>
      <c r="J623" s="11"/>
    </row>
    <row r="624" spans="2:10" s="9" customFormat="1" x14ac:dyDescent="0.2">
      <c r="B624" s="10"/>
      <c r="C624" s="11"/>
      <c r="D624" s="11"/>
      <c r="E624" s="12"/>
      <c r="F624" s="12"/>
      <c r="G624" s="30"/>
      <c r="H624" s="11"/>
      <c r="I624" s="11"/>
      <c r="J624" s="11"/>
    </row>
    <row r="625" spans="2:10" s="9" customFormat="1" x14ac:dyDescent="0.2">
      <c r="B625" s="10"/>
      <c r="C625" s="11"/>
      <c r="D625" s="11"/>
      <c r="E625" s="12"/>
      <c r="F625" s="12"/>
      <c r="G625" s="30"/>
      <c r="H625" s="11"/>
      <c r="I625" s="11"/>
      <c r="J625" s="11"/>
    </row>
    <row r="626" spans="2:10" s="9" customFormat="1" x14ac:dyDescent="0.2">
      <c r="B626" s="10"/>
      <c r="C626" s="11"/>
      <c r="D626" s="11"/>
      <c r="E626" s="12"/>
      <c r="F626" s="12"/>
      <c r="G626" s="30"/>
      <c r="H626" s="11"/>
      <c r="I626" s="11"/>
      <c r="J626" s="11"/>
    </row>
    <row r="627" spans="2:10" s="9" customFormat="1" x14ac:dyDescent="0.2">
      <c r="B627" s="10"/>
      <c r="C627" s="11"/>
      <c r="D627" s="11"/>
      <c r="E627" s="12"/>
      <c r="F627" s="12"/>
      <c r="G627" s="30"/>
      <c r="H627" s="11"/>
      <c r="I627" s="11"/>
      <c r="J627" s="11"/>
    </row>
    <row r="628" spans="2:10" s="9" customFormat="1" x14ac:dyDescent="0.2">
      <c r="B628" s="10"/>
      <c r="C628" s="11"/>
      <c r="D628" s="11"/>
      <c r="E628" s="12"/>
      <c r="F628" s="12"/>
      <c r="G628" s="30"/>
      <c r="H628" s="11"/>
      <c r="I628" s="11"/>
      <c r="J628" s="11"/>
    </row>
    <row r="629" spans="2:10" s="9" customFormat="1" x14ac:dyDescent="0.2">
      <c r="B629" s="10"/>
      <c r="C629" s="11"/>
      <c r="D629" s="11"/>
      <c r="E629" s="12"/>
      <c r="F629" s="12"/>
      <c r="G629" s="30"/>
      <c r="H629" s="11"/>
      <c r="I629" s="11"/>
      <c r="J629" s="11"/>
    </row>
    <row r="630" spans="2:10" s="9" customFormat="1" x14ac:dyDescent="0.2">
      <c r="B630" s="10"/>
      <c r="C630" s="11"/>
      <c r="D630" s="11"/>
      <c r="E630" s="12"/>
      <c r="F630" s="12"/>
      <c r="G630" s="30"/>
      <c r="H630" s="11"/>
      <c r="I630" s="11"/>
      <c r="J630" s="11"/>
    </row>
    <row r="631" spans="2:10" s="9" customFormat="1" x14ac:dyDescent="0.2">
      <c r="B631" s="10"/>
      <c r="C631" s="11"/>
      <c r="D631" s="11"/>
      <c r="E631" s="12"/>
      <c r="F631" s="12"/>
      <c r="G631" s="30"/>
      <c r="H631" s="11"/>
      <c r="I631" s="11"/>
      <c r="J631" s="11"/>
    </row>
    <row r="632" spans="2:10" s="9" customFormat="1" x14ac:dyDescent="0.2">
      <c r="B632" s="10"/>
      <c r="C632" s="11"/>
      <c r="D632" s="11"/>
      <c r="E632" s="12"/>
      <c r="F632" s="12"/>
      <c r="G632" s="30"/>
      <c r="H632" s="11"/>
      <c r="I632" s="11"/>
      <c r="J632" s="11"/>
    </row>
    <row r="633" spans="2:10" s="9" customFormat="1" x14ac:dyDescent="0.2">
      <c r="B633" s="10"/>
      <c r="C633" s="11"/>
      <c r="D633" s="11"/>
      <c r="E633" s="12"/>
      <c r="F633" s="12"/>
      <c r="G633" s="30"/>
      <c r="H633" s="11"/>
      <c r="I633" s="11"/>
      <c r="J633" s="11"/>
    </row>
    <row r="634" spans="2:10" s="9" customFormat="1" x14ac:dyDescent="0.2">
      <c r="B634" s="10"/>
      <c r="C634" s="11"/>
      <c r="D634" s="11"/>
      <c r="E634" s="12"/>
      <c r="F634" s="12"/>
      <c r="G634" s="30"/>
      <c r="H634" s="11"/>
      <c r="I634" s="11"/>
      <c r="J634" s="11"/>
    </row>
    <row r="635" spans="2:10" s="9" customFormat="1" x14ac:dyDescent="0.2">
      <c r="B635" s="10"/>
      <c r="C635" s="11"/>
      <c r="D635" s="11"/>
      <c r="E635" s="12"/>
      <c r="F635" s="12"/>
      <c r="G635" s="30"/>
      <c r="H635" s="11"/>
      <c r="I635" s="11"/>
      <c r="J635" s="11"/>
    </row>
    <row r="636" spans="2:10" s="9" customFormat="1" x14ac:dyDescent="0.2">
      <c r="B636" s="10"/>
      <c r="C636" s="11"/>
      <c r="D636" s="11"/>
      <c r="E636" s="12"/>
      <c r="F636" s="12"/>
      <c r="G636" s="30"/>
      <c r="H636" s="11"/>
      <c r="I636" s="11"/>
      <c r="J636" s="11"/>
    </row>
    <row r="637" spans="2:10" s="9" customFormat="1" x14ac:dyDescent="0.2">
      <c r="B637" s="10"/>
      <c r="C637" s="11"/>
      <c r="D637" s="11"/>
      <c r="E637" s="12"/>
      <c r="F637" s="12"/>
      <c r="G637" s="30"/>
      <c r="H637" s="11"/>
      <c r="I637" s="11"/>
      <c r="J637" s="11"/>
    </row>
    <row r="638" spans="2:10" s="9" customFormat="1" x14ac:dyDescent="0.2">
      <c r="B638" s="10"/>
      <c r="C638" s="11"/>
      <c r="D638" s="11"/>
      <c r="E638" s="12"/>
      <c r="F638" s="12"/>
      <c r="G638" s="30"/>
      <c r="H638" s="11"/>
      <c r="I638" s="11"/>
      <c r="J638" s="11"/>
    </row>
    <row r="639" spans="2:10" s="9" customFormat="1" x14ac:dyDescent="0.2">
      <c r="B639" s="10"/>
      <c r="C639" s="11"/>
      <c r="D639" s="11"/>
      <c r="E639" s="12"/>
      <c r="F639" s="12"/>
      <c r="G639" s="30"/>
      <c r="H639" s="11"/>
      <c r="I639" s="11"/>
      <c r="J639" s="11"/>
    </row>
    <row r="640" spans="2:10" s="9" customFormat="1" x14ac:dyDescent="0.2">
      <c r="B640" s="10"/>
      <c r="C640" s="11"/>
      <c r="D640" s="11"/>
      <c r="E640" s="12"/>
      <c r="F640" s="12"/>
      <c r="G640" s="30"/>
      <c r="H640" s="11"/>
      <c r="I640" s="11"/>
      <c r="J640" s="11"/>
    </row>
    <row r="641" spans="2:10" s="9" customFormat="1" x14ac:dyDescent="0.2">
      <c r="B641" s="10"/>
      <c r="C641" s="11"/>
      <c r="D641" s="11"/>
      <c r="E641" s="12"/>
      <c r="F641" s="12"/>
      <c r="G641" s="30"/>
      <c r="H641" s="11"/>
      <c r="I641" s="11"/>
      <c r="J641" s="11"/>
    </row>
    <row r="642" spans="2:10" s="9" customFormat="1" x14ac:dyDescent="0.2">
      <c r="B642" s="10"/>
      <c r="C642" s="11"/>
      <c r="D642" s="11"/>
      <c r="E642" s="12"/>
      <c r="F642" s="12"/>
      <c r="G642" s="30"/>
      <c r="H642" s="11"/>
      <c r="I642" s="11"/>
      <c r="J642" s="11"/>
    </row>
    <row r="643" spans="2:10" s="9" customFormat="1" x14ac:dyDescent="0.2">
      <c r="B643" s="10"/>
      <c r="C643" s="11"/>
      <c r="D643" s="11"/>
      <c r="E643" s="12"/>
      <c r="F643" s="12"/>
      <c r="G643" s="30"/>
      <c r="H643" s="11"/>
      <c r="I643" s="11"/>
      <c r="J643" s="11"/>
    </row>
    <row r="644" spans="2:10" s="9" customFormat="1" x14ac:dyDescent="0.2">
      <c r="B644" s="10"/>
      <c r="C644" s="11"/>
      <c r="D644" s="11"/>
      <c r="E644" s="12"/>
      <c r="F644" s="12"/>
      <c r="G644" s="30"/>
      <c r="H644" s="11"/>
      <c r="I644" s="11"/>
      <c r="J644" s="11"/>
    </row>
    <row r="645" spans="2:10" s="9" customFormat="1" x14ac:dyDescent="0.2">
      <c r="B645" s="10"/>
      <c r="C645" s="11"/>
      <c r="D645" s="11"/>
      <c r="E645" s="12"/>
      <c r="F645" s="12"/>
      <c r="G645" s="30"/>
      <c r="H645" s="11"/>
      <c r="I645" s="11"/>
      <c r="J645" s="11"/>
    </row>
    <row r="646" spans="2:10" s="9" customFormat="1" x14ac:dyDescent="0.2">
      <c r="B646" s="10"/>
      <c r="C646" s="11"/>
      <c r="D646" s="11"/>
      <c r="E646" s="12"/>
      <c r="F646" s="12"/>
      <c r="G646" s="30"/>
      <c r="H646" s="11"/>
      <c r="I646" s="11"/>
      <c r="J646" s="11"/>
    </row>
    <row r="647" spans="2:10" s="9" customFormat="1" x14ac:dyDescent="0.2">
      <c r="B647" s="10"/>
      <c r="C647" s="11"/>
      <c r="D647" s="11"/>
      <c r="E647" s="12"/>
      <c r="F647" s="12"/>
      <c r="G647" s="30"/>
      <c r="H647" s="11"/>
      <c r="I647" s="11"/>
      <c r="J647" s="11"/>
    </row>
    <row r="648" spans="2:10" s="9" customFormat="1" x14ac:dyDescent="0.2">
      <c r="B648" s="10"/>
      <c r="C648" s="11"/>
      <c r="D648" s="11"/>
      <c r="E648" s="12"/>
      <c r="F648" s="12"/>
      <c r="G648" s="30"/>
      <c r="H648" s="11"/>
      <c r="I648" s="11"/>
      <c r="J648" s="11"/>
    </row>
    <row r="649" spans="2:10" s="9" customFormat="1" x14ac:dyDescent="0.2">
      <c r="B649" s="10"/>
      <c r="C649" s="11"/>
      <c r="D649" s="11"/>
      <c r="E649" s="12"/>
      <c r="F649" s="12"/>
      <c r="G649" s="30"/>
      <c r="H649" s="11"/>
      <c r="I649" s="11"/>
      <c r="J649" s="11"/>
    </row>
    <row r="650" spans="2:10" s="9" customFormat="1" x14ac:dyDescent="0.2">
      <c r="B650" s="10"/>
      <c r="C650" s="11"/>
      <c r="D650" s="11"/>
      <c r="E650" s="12"/>
      <c r="F650" s="12"/>
      <c r="G650" s="30"/>
      <c r="H650" s="11"/>
      <c r="I650" s="11"/>
      <c r="J650" s="11"/>
    </row>
    <row r="651" spans="2:10" s="9" customFormat="1" x14ac:dyDescent="0.2">
      <c r="B651" s="10"/>
      <c r="C651" s="11"/>
      <c r="D651" s="11"/>
      <c r="E651" s="12"/>
      <c r="F651" s="12"/>
      <c r="G651" s="30"/>
      <c r="H651" s="11"/>
      <c r="I651" s="11"/>
      <c r="J651" s="11"/>
    </row>
    <row r="652" spans="2:10" s="9" customFormat="1" x14ac:dyDescent="0.2">
      <c r="B652" s="10"/>
      <c r="C652" s="11"/>
      <c r="D652" s="11"/>
      <c r="E652" s="12"/>
      <c r="F652" s="12"/>
      <c r="G652" s="30"/>
      <c r="H652" s="11"/>
      <c r="I652" s="11"/>
      <c r="J652" s="11"/>
    </row>
    <row r="653" spans="2:10" s="9" customFormat="1" x14ac:dyDescent="0.2">
      <c r="B653" s="10"/>
      <c r="C653" s="11"/>
      <c r="D653" s="11"/>
      <c r="E653" s="12"/>
      <c r="F653" s="12"/>
      <c r="G653" s="30"/>
      <c r="H653" s="11"/>
      <c r="I653" s="11"/>
      <c r="J653" s="11"/>
    </row>
    <row r="654" spans="2:10" s="9" customFormat="1" x14ac:dyDescent="0.2">
      <c r="B654" s="10"/>
      <c r="C654" s="11"/>
      <c r="D654" s="11"/>
      <c r="E654" s="12"/>
      <c r="F654" s="12"/>
      <c r="G654" s="30"/>
      <c r="H654" s="11"/>
      <c r="I654" s="11"/>
      <c r="J654" s="11"/>
    </row>
    <row r="655" spans="2:10" s="9" customFormat="1" x14ac:dyDescent="0.2">
      <c r="B655" s="10"/>
      <c r="C655" s="11"/>
      <c r="D655" s="11"/>
      <c r="E655" s="12"/>
      <c r="F655" s="12"/>
      <c r="G655" s="30"/>
      <c r="H655" s="11"/>
      <c r="I655" s="11"/>
      <c r="J655" s="11"/>
    </row>
    <row r="656" spans="2:10" s="9" customFormat="1" x14ac:dyDescent="0.2">
      <c r="B656" s="10"/>
      <c r="C656" s="11"/>
      <c r="D656" s="11"/>
      <c r="E656" s="12"/>
      <c r="F656" s="12"/>
      <c r="G656" s="30"/>
      <c r="H656" s="11"/>
      <c r="I656" s="11"/>
      <c r="J656" s="11"/>
    </row>
    <row r="657" spans="2:10" s="9" customFormat="1" x14ac:dyDescent="0.2">
      <c r="B657" s="10"/>
      <c r="C657" s="11"/>
      <c r="D657" s="11"/>
      <c r="E657" s="12"/>
      <c r="F657" s="12"/>
      <c r="G657" s="30"/>
      <c r="H657" s="11"/>
      <c r="I657" s="11"/>
      <c r="J657" s="11"/>
    </row>
    <row r="658" spans="2:10" s="9" customFormat="1" x14ac:dyDescent="0.2">
      <c r="B658" s="10"/>
      <c r="C658" s="11"/>
      <c r="D658" s="11"/>
      <c r="E658" s="12"/>
      <c r="F658" s="12"/>
      <c r="G658" s="30"/>
      <c r="H658" s="11"/>
      <c r="I658" s="11"/>
      <c r="J658" s="11"/>
    </row>
    <row r="659" spans="2:10" s="9" customFormat="1" x14ac:dyDescent="0.2">
      <c r="B659" s="10"/>
      <c r="C659" s="11"/>
      <c r="D659" s="11"/>
      <c r="E659" s="12"/>
      <c r="F659" s="12"/>
      <c r="G659" s="30"/>
      <c r="H659" s="11"/>
      <c r="I659" s="11"/>
      <c r="J659" s="11"/>
    </row>
    <row r="660" spans="2:10" s="9" customFormat="1" x14ac:dyDescent="0.2">
      <c r="B660" s="10"/>
      <c r="C660" s="11"/>
      <c r="D660" s="11"/>
      <c r="E660" s="12"/>
      <c r="F660" s="12"/>
      <c r="G660" s="30"/>
      <c r="H660" s="11"/>
      <c r="I660" s="11"/>
      <c r="J660" s="11"/>
    </row>
    <row r="661" spans="2:10" s="9" customFormat="1" x14ac:dyDescent="0.2">
      <c r="B661" s="10"/>
      <c r="C661" s="11"/>
      <c r="D661" s="11"/>
      <c r="E661" s="12"/>
      <c r="F661" s="12"/>
      <c r="G661" s="30"/>
      <c r="H661" s="11"/>
      <c r="I661" s="11"/>
      <c r="J661" s="11"/>
    </row>
    <row r="662" spans="2:10" s="9" customFormat="1" x14ac:dyDescent="0.2">
      <c r="B662" s="10"/>
      <c r="C662" s="11"/>
      <c r="D662" s="11"/>
      <c r="E662" s="12"/>
      <c r="F662" s="12"/>
      <c r="G662" s="30"/>
      <c r="H662" s="11"/>
      <c r="I662" s="11"/>
      <c r="J662" s="11"/>
    </row>
    <row r="663" spans="2:10" s="9" customFormat="1" x14ac:dyDescent="0.2">
      <c r="B663" s="10"/>
      <c r="C663" s="11"/>
      <c r="D663" s="11"/>
      <c r="E663" s="12"/>
      <c r="F663" s="12"/>
      <c r="G663" s="30"/>
      <c r="H663" s="11"/>
      <c r="I663" s="11"/>
      <c r="J663" s="11"/>
    </row>
    <row r="664" spans="2:10" s="9" customFormat="1" x14ac:dyDescent="0.2">
      <c r="B664" s="10"/>
      <c r="C664" s="11"/>
      <c r="D664" s="11"/>
      <c r="E664" s="12"/>
      <c r="F664" s="12"/>
      <c r="G664" s="30"/>
      <c r="H664" s="11"/>
      <c r="I664" s="11"/>
      <c r="J664" s="11"/>
    </row>
    <row r="665" spans="2:10" s="9" customFormat="1" x14ac:dyDescent="0.2">
      <c r="B665" s="10"/>
      <c r="C665" s="11"/>
      <c r="D665" s="11"/>
      <c r="E665" s="12"/>
      <c r="F665" s="12"/>
      <c r="G665" s="30"/>
      <c r="H665" s="11"/>
      <c r="I665" s="11"/>
      <c r="J665" s="11"/>
    </row>
    <row r="666" spans="2:10" s="9" customFormat="1" x14ac:dyDescent="0.2">
      <c r="B666" s="10"/>
      <c r="C666" s="11"/>
      <c r="D666" s="11"/>
      <c r="E666" s="12"/>
      <c r="F666" s="12"/>
      <c r="G666" s="30"/>
      <c r="H666" s="11"/>
      <c r="I666" s="11"/>
      <c r="J666" s="11"/>
    </row>
    <row r="667" spans="2:10" s="9" customFormat="1" x14ac:dyDescent="0.2">
      <c r="B667" s="10"/>
      <c r="C667" s="11"/>
      <c r="D667" s="11"/>
      <c r="E667" s="12"/>
      <c r="F667" s="12"/>
      <c r="G667" s="30"/>
      <c r="H667" s="11"/>
      <c r="I667" s="11"/>
      <c r="J667" s="11"/>
    </row>
    <row r="668" spans="2:10" s="9" customFormat="1" x14ac:dyDescent="0.2">
      <c r="B668" s="10"/>
      <c r="C668" s="11"/>
      <c r="D668" s="11"/>
      <c r="E668" s="12"/>
      <c r="F668" s="12"/>
      <c r="G668" s="30"/>
      <c r="H668" s="11"/>
      <c r="I668" s="11"/>
      <c r="J668" s="11"/>
    </row>
    <row r="669" spans="2:10" s="9" customFormat="1" x14ac:dyDescent="0.2">
      <c r="B669" s="10"/>
      <c r="C669" s="11"/>
      <c r="D669" s="11"/>
      <c r="E669" s="12"/>
      <c r="F669" s="12"/>
      <c r="G669" s="30"/>
      <c r="H669" s="11"/>
      <c r="I669" s="11"/>
      <c r="J669" s="11"/>
    </row>
    <row r="670" spans="2:10" s="9" customFormat="1" x14ac:dyDescent="0.2">
      <c r="B670" s="10"/>
      <c r="C670" s="11"/>
      <c r="D670" s="11"/>
      <c r="E670" s="12"/>
      <c r="F670" s="12"/>
      <c r="G670" s="30"/>
      <c r="H670" s="11"/>
      <c r="I670" s="11"/>
      <c r="J670" s="11"/>
    </row>
    <row r="671" spans="2:10" s="9" customFormat="1" x14ac:dyDescent="0.2">
      <c r="B671" s="10"/>
      <c r="C671" s="11"/>
      <c r="D671" s="11"/>
      <c r="E671" s="12"/>
      <c r="F671" s="12"/>
      <c r="G671" s="30"/>
      <c r="H671" s="11"/>
      <c r="I671" s="11"/>
      <c r="J671" s="11"/>
    </row>
    <row r="672" spans="2:10" s="9" customFormat="1" x14ac:dyDescent="0.2">
      <c r="B672" s="10"/>
      <c r="C672" s="11"/>
      <c r="D672" s="11"/>
      <c r="E672" s="12"/>
      <c r="F672" s="12"/>
      <c r="G672" s="30"/>
      <c r="H672" s="11"/>
      <c r="I672" s="11"/>
      <c r="J672" s="11"/>
    </row>
    <row r="673" spans="2:10" s="9" customFormat="1" x14ac:dyDescent="0.2">
      <c r="B673" s="10"/>
      <c r="C673" s="11"/>
      <c r="D673" s="11"/>
      <c r="E673" s="12"/>
      <c r="F673" s="12"/>
      <c r="G673" s="30"/>
      <c r="H673" s="11"/>
      <c r="I673" s="11"/>
      <c r="J673" s="11"/>
    </row>
    <row r="674" spans="2:10" s="9" customFormat="1" x14ac:dyDescent="0.2">
      <c r="B674" s="10"/>
      <c r="C674" s="11"/>
      <c r="D674" s="11"/>
      <c r="E674" s="12"/>
      <c r="F674" s="12"/>
      <c r="G674" s="30"/>
      <c r="H674" s="11"/>
      <c r="I674" s="11"/>
      <c r="J674" s="11"/>
    </row>
    <row r="675" spans="2:10" s="9" customFormat="1" x14ac:dyDescent="0.2">
      <c r="B675" s="10"/>
      <c r="C675" s="11"/>
      <c r="D675" s="11"/>
      <c r="E675" s="12"/>
      <c r="F675" s="12"/>
      <c r="G675" s="30"/>
      <c r="H675" s="11"/>
      <c r="I675" s="11"/>
      <c r="J675" s="11"/>
    </row>
    <row r="676" spans="2:10" s="9" customFormat="1" x14ac:dyDescent="0.2">
      <c r="B676" s="10"/>
      <c r="C676" s="11"/>
      <c r="D676" s="11"/>
      <c r="E676" s="12"/>
      <c r="F676" s="12"/>
      <c r="G676" s="30"/>
      <c r="H676" s="11"/>
      <c r="I676" s="11"/>
      <c r="J676" s="11"/>
    </row>
    <row r="677" spans="2:10" s="9" customFormat="1" x14ac:dyDescent="0.2">
      <c r="B677" s="10"/>
      <c r="C677" s="11"/>
      <c r="D677" s="11"/>
      <c r="E677" s="12"/>
      <c r="F677" s="12"/>
      <c r="G677" s="30"/>
      <c r="H677" s="11"/>
      <c r="I677" s="11"/>
      <c r="J677" s="11"/>
    </row>
    <row r="678" spans="2:10" s="9" customFormat="1" x14ac:dyDescent="0.2">
      <c r="B678" s="10"/>
      <c r="C678" s="11"/>
      <c r="D678" s="11"/>
      <c r="E678" s="12"/>
      <c r="F678" s="12"/>
      <c r="G678" s="30"/>
      <c r="H678" s="11"/>
      <c r="I678" s="11"/>
      <c r="J678" s="11"/>
    </row>
    <row r="679" spans="2:10" s="9" customFormat="1" x14ac:dyDescent="0.2">
      <c r="B679" s="10"/>
      <c r="C679" s="11"/>
      <c r="D679" s="11"/>
      <c r="E679" s="12"/>
      <c r="F679" s="12"/>
      <c r="G679" s="30"/>
      <c r="H679" s="11"/>
      <c r="I679" s="11"/>
      <c r="J679" s="11"/>
    </row>
    <row r="680" spans="2:10" s="9" customFormat="1" x14ac:dyDescent="0.2">
      <c r="B680" s="10"/>
      <c r="C680" s="11"/>
      <c r="D680" s="11"/>
      <c r="E680" s="12"/>
      <c r="F680" s="12"/>
      <c r="G680" s="30"/>
      <c r="H680" s="11"/>
      <c r="I680" s="11"/>
      <c r="J680" s="11"/>
    </row>
    <row r="681" spans="2:10" s="9" customFormat="1" x14ac:dyDescent="0.2">
      <c r="B681" s="10"/>
      <c r="C681" s="11"/>
      <c r="D681" s="11"/>
      <c r="E681" s="12"/>
      <c r="F681" s="12"/>
      <c r="G681" s="30"/>
      <c r="H681" s="11"/>
      <c r="I681" s="11"/>
      <c r="J681" s="11"/>
    </row>
    <row r="682" spans="2:10" s="9" customFormat="1" x14ac:dyDescent="0.2">
      <c r="B682" s="10"/>
      <c r="C682" s="11"/>
      <c r="D682" s="11"/>
      <c r="E682" s="12"/>
      <c r="F682" s="12"/>
      <c r="G682" s="30"/>
      <c r="H682" s="11"/>
      <c r="I682" s="11"/>
      <c r="J682" s="11"/>
    </row>
    <row r="683" spans="2:10" s="9" customFormat="1" x14ac:dyDescent="0.2">
      <c r="B683" s="10"/>
      <c r="C683" s="11"/>
      <c r="D683" s="11"/>
      <c r="E683" s="12"/>
      <c r="F683" s="12"/>
      <c r="G683" s="30"/>
      <c r="H683" s="11"/>
      <c r="I683" s="11"/>
      <c r="J683" s="11"/>
    </row>
    <row r="684" spans="2:10" s="9" customFormat="1" x14ac:dyDescent="0.2">
      <c r="B684" s="10"/>
      <c r="C684" s="11"/>
      <c r="D684" s="11"/>
      <c r="E684" s="12"/>
      <c r="F684" s="12"/>
      <c r="G684" s="30"/>
      <c r="H684" s="11"/>
      <c r="I684" s="11"/>
      <c r="J684" s="11"/>
    </row>
    <row r="685" spans="2:10" s="9" customFormat="1" x14ac:dyDescent="0.2">
      <c r="B685" s="10"/>
      <c r="C685" s="11"/>
      <c r="D685" s="11"/>
      <c r="E685" s="12"/>
      <c r="F685" s="12"/>
      <c r="G685" s="30"/>
      <c r="H685" s="11"/>
      <c r="I685" s="11"/>
      <c r="J685" s="11"/>
    </row>
    <row r="686" spans="2:10" s="9" customFormat="1" x14ac:dyDescent="0.2">
      <c r="B686" s="10"/>
      <c r="C686" s="11"/>
      <c r="D686" s="11"/>
      <c r="E686" s="12"/>
      <c r="F686" s="12"/>
      <c r="G686" s="30"/>
      <c r="H686" s="11"/>
      <c r="I686" s="11"/>
      <c r="J686" s="11"/>
    </row>
    <row r="687" spans="2:10" s="9" customFormat="1" x14ac:dyDescent="0.2">
      <c r="B687" s="10"/>
      <c r="C687" s="11"/>
      <c r="D687" s="11"/>
      <c r="E687" s="12"/>
      <c r="F687" s="12"/>
      <c r="G687" s="30"/>
      <c r="H687" s="11"/>
      <c r="I687" s="11"/>
      <c r="J687" s="11"/>
    </row>
    <row r="688" spans="2:10" s="9" customFormat="1" x14ac:dyDescent="0.2">
      <c r="B688" s="10"/>
      <c r="C688" s="11"/>
      <c r="D688" s="11"/>
      <c r="E688" s="12"/>
      <c r="F688" s="12"/>
      <c r="G688" s="30"/>
      <c r="H688" s="11"/>
      <c r="I688" s="11"/>
      <c r="J688" s="11"/>
    </row>
    <row r="689" spans="2:10" s="9" customFormat="1" x14ac:dyDescent="0.2">
      <c r="B689" s="10"/>
      <c r="C689" s="11"/>
      <c r="D689" s="11"/>
      <c r="E689" s="12"/>
      <c r="F689" s="12"/>
      <c r="G689" s="30"/>
      <c r="H689" s="11"/>
      <c r="I689" s="11"/>
      <c r="J689" s="11"/>
    </row>
    <row r="690" spans="2:10" s="9" customFormat="1" x14ac:dyDescent="0.2">
      <c r="B690" s="10"/>
      <c r="C690" s="11"/>
      <c r="D690" s="11"/>
      <c r="E690" s="12"/>
      <c r="F690" s="12"/>
      <c r="G690" s="30"/>
      <c r="H690" s="11"/>
      <c r="I690" s="11"/>
      <c r="J690" s="11"/>
    </row>
    <row r="691" spans="2:10" s="9" customFormat="1" x14ac:dyDescent="0.2">
      <c r="B691" s="10"/>
      <c r="C691" s="11"/>
      <c r="D691" s="11"/>
      <c r="E691" s="12"/>
      <c r="F691" s="12"/>
      <c r="G691" s="30"/>
      <c r="H691" s="11"/>
      <c r="I691" s="11"/>
      <c r="J691" s="11"/>
    </row>
    <row r="692" spans="2:10" s="9" customFormat="1" x14ac:dyDescent="0.2">
      <c r="B692" s="10"/>
      <c r="C692" s="11"/>
      <c r="D692" s="11"/>
      <c r="E692" s="12"/>
      <c r="F692" s="12"/>
      <c r="G692" s="30"/>
      <c r="H692" s="11"/>
      <c r="I692" s="11"/>
      <c r="J692" s="11"/>
    </row>
    <row r="693" spans="2:10" s="9" customFormat="1" x14ac:dyDescent="0.2">
      <c r="B693" s="10"/>
      <c r="C693" s="11"/>
      <c r="D693" s="11"/>
      <c r="E693" s="12"/>
      <c r="F693" s="12"/>
      <c r="G693" s="30"/>
      <c r="H693" s="11"/>
      <c r="I693" s="11"/>
      <c r="J693" s="11"/>
    </row>
    <row r="694" spans="2:10" s="9" customFormat="1" x14ac:dyDescent="0.2">
      <c r="B694" s="10"/>
      <c r="C694" s="11"/>
      <c r="D694" s="11"/>
      <c r="E694" s="12"/>
      <c r="F694" s="12"/>
      <c r="G694" s="30"/>
      <c r="H694" s="11"/>
      <c r="I694" s="11"/>
      <c r="J694" s="11"/>
    </row>
    <row r="695" spans="2:10" s="9" customFormat="1" x14ac:dyDescent="0.2">
      <c r="B695" s="10"/>
      <c r="C695" s="11"/>
      <c r="D695" s="11"/>
      <c r="E695" s="12"/>
      <c r="F695" s="12"/>
      <c r="G695" s="30"/>
      <c r="H695" s="11"/>
      <c r="I695" s="11"/>
      <c r="J695" s="11"/>
    </row>
    <row r="696" spans="2:10" s="9" customFormat="1" x14ac:dyDescent="0.2">
      <c r="B696" s="10"/>
      <c r="C696" s="11"/>
      <c r="D696" s="11"/>
      <c r="E696" s="12"/>
      <c r="F696" s="12"/>
      <c r="G696" s="30"/>
      <c r="H696" s="11"/>
      <c r="I696" s="11"/>
      <c r="J696" s="11"/>
    </row>
    <row r="697" spans="2:10" s="9" customFormat="1" x14ac:dyDescent="0.2">
      <c r="B697" s="10"/>
      <c r="C697" s="11"/>
      <c r="D697" s="11"/>
      <c r="E697" s="12"/>
      <c r="F697" s="12"/>
      <c r="G697" s="30"/>
      <c r="H697" s="11"/>
      <c r="I697" s="11"/>
      <c r="J697" s="11"/>
    </row>
    <row r="698" spans="2:10" s="9" customFormat="1" x14ac:dyDescent="0.2">
      <c r="B698" s="10"/>
      <c r="C698" s="11"/>
      <c r="D698" s="11"/>
      <c r="E698" s="12"/>
      <c r="F698" s="12"/>
      <c r="G698" s="30"/>
      <c r="H698" s="11"/>
      <c r="I698" s="11"/>
      <c r="J698" s="11"/>
    </row>
    <row r="699" spans="2:10" s="9" customFormat="1" x14ac:dyDescent="0.2">
      <c r="B699" s="10"/>
      <c r="C699" s="11"/>
      <c r="D699" s="11"/>
      <c r="E699" s="12"/>
      <c r="F699" s="12"/>
      <c r="G699" s="30"/>
      <c r="H699" s="11"/>
      <c r="I699" s="11"/>
      <c r="J699" s="11"/>
    </row>
    <row r="700" spans="2:10" s="9" customFormat="1" x14ac:dyDescent="0.2">
      <c r="B700" s="10"/>
      <c r="C700" s="11"/>
      <c r="D700" s="11"/>
      <c r="E700" s="12"/>
      <c r="F700" s="12"/>
      <c r="G700" s="30"/>
      <c r="H700" s="11"/>
      <c r="I700" s="11"/>
      <c r="J700" s="11"/>
    </row>
    <row r="701" spans="2:10" s="9" customFormat="1" x14ac:dyDescent="0.2">
      <c r="B701" s="10"/>
      <c r="C701" s="11"/>
      <c r="D701" s="11"/>
      <c r="E701" s="12"/>
      <c r="F701" s="12"/>
      <c r="G701" s="30"/>
      <c r="H701" s="11"/>
      <c r="I701" s="11"/>
      <c r="J701" s="11"/>
    </row>
    <row r="702" spans="2:10" s="9" customFormat="1" x14ac:dyDescent="0.2">
      <c r="B702" s="10"/>
      <c r="C702" s="11"/>
      <c r="D702" s="11"/>
      <c r="E702" s="12"/>
      <c r="F702" s="12"/>
      <c r="G702" s="30"/>
      <c r="H702" s="11"/>
      <c r="I702" s="11"/>
      <c r="J702" s="11"/>
    </row>
    <row r="703" spans="2:10" s="9" customFormat="1" x14ac:dyDescent="0.2">
      <c r="B703" s="10"/>
      <c r="C703" s="11"/>
      <c r="D703" s="11"/>
      <c r="E703" s="12"/>
      <c r="F703" s="12"/>
      <c r="G703" s="30"/>
      <c r="H703" s="11"/>
      <c r="I703" s="11"/>
      <c r="J703" s="11"/>
    </row>
    <row r="704" spans="2:10" s="9" customFormat="1" x14ac:dyDescent="0.2">
      <c r="B704" s="10"/>
      <c r="C704" s="11"/>
      <c r="D704" s="11"/>
      <c r="E704" s="12"/>
      <c r="F704" s="12"/>
      <c r="G704" s="30"/>
      <c r="H704" s="11"/>
      <c r="I704" s="11"/>
      <c r="J704" s="11"/>
    </row>
    <row r="705" spans="2:10" s="9" customFormat="1" x14ac:dyDescent="0.2">
      <c r="B705" s="10"/>
      <c r="C705" s="11"/>
      <c r="D705" s="11"/>
      <c r="E705" s="12"/>
      <c r="F705" s="12"/>
      <c r="G705" s="30"/>
      <c r="H705" s="11"/>
      <c r="I705" s="11"/>
      <c r="J705" s="11"/>
    </row>
    <row r="706" spans="2:10" s="9" customFormat="1" x14ac:dyDescent="0.2">
      <c r="B706" s="10"/>
      <c r="C706" s="11"/>
      <c r="D706" s="11"/>
      <c r="E706" s="12"/>
      <c r="F706" s="12"/>
      <c r="G706" s="30"/>
      <c r="H706" s="11"/>
      <c r="I706" s="11"/>
      <c r="J706" s="11"/>
    </row>
    <row r="707" spans="2:10" s="9" customFormat="1" x14ac:dyDescent="0.2">
      <c r="B707" s="10"/>
      <c r="C707" s="11"/>
      <c r="D707" s="11"/>
      <c r="E707" s="12"/>
      <c r="F707" s="12"/>
      <c r="G707" s="30"/>
      <c r="H707" s="11"/>
      <c r="I707" s="11"/>
      <c r="J707" s="11"/>
    </row>
    <row r="708" spans="2:10" s="9" customFormat="1" x14ac:dyDescent="0.2">
      <c r="B708" s="10"/>
      <c r="C708" s="11"/>
      <c r="D708" s="11"/>
      <c r="E708" s="12"/>
      <c r="F708" s="12"/>
      <c r="G708" s="30"/>
      <c r="H708" s="11"/>
      <c r="I708" s="11"/>
      <c r="J708" s="11"/>
    </row>
    <row r="709" spans="2:10" s="9" customFormat="1" x14ac:dyDescent="0.2">
      <c r="B709" s="10"/>
      <c r="C709" s="11"/>
      <c r="D709" s="11"/>
      <c r="E709" s="12"/>
      <c r="F709" s="12"/>
      <c r="G709" s="30"/>
      <c r="H709" s="11"/>
      <c r="I709" s="11"/>
      <c r="J709" s="11"/>
    </row>
    <row r="710" spans="2:10" s="9" customFormat="1" x14ac:dyDescent="0.2">
      <c r="B710" s="10"/>
      <c r="C710" s="11"/>
      <c r="D710" s="11"/>
      <c r="E710" s="12"/>
      <c r="F710" s="12"/>
      <c r="G710" s="30"/>
      <c r="H710" s="11"/>
      <c r="I710" s="11"/>
      <c r="J710" s="11"/>
    </row>
    <row r="711" spans="2:10" s="9" customFormat="1" x14ac:dyDescent="0.2">
      <c r="B711" s="10"/>
      <c r="C711" s="11"/>
      <c r="D711" s="11"/>
      <c r="E711" s="12"/>
      <c r="F711" s="12"/>
      <c r="G711" s="30"/>
      <c r="H711" s="11"/>
      <c r="I711" s="11"/>
      <c r="J711" s="11"/>
    </row>
    <row r="712" spans="2:10" s="9" customFormat="1" x14ac:dyDescent="0.2">
      <c r="B712" s="10"/>
      <c r="C712" s="11"/>
      <c r="D712" s="11"/>
      <c r="E712" s="12"/>
      <c r="F712" s="12"/>
      <c r="G712" s="30"/>
      <c r="H712" s="11"/>
      <c r="I712" s="11"/>
      <c r="J712" s="11"/>
    </row>
    <row r="713" spans="2:10" s="9" customFormat="1" x14ac:dyDescent="0.2">
      <c r="B713" s="10"/>
      <c r="C713" s="11"/>
      <c r="D713" s="11"/>
      <c r="E713" s="12"/>
      <c r="F713" s="12"/>
      <c r="G713" s="30"/>
      <c r="H713" s="11"/>
      <c r="I713" s="11"/>
      <c r="J713" s="11"/>
    </row>
    <row r="714" spans="2:10" s="9" customFormat="1" x14ac:dyDescent="0.2">
      <c r="B714" s="10"/>
      <c r="C714" s="11"/>
      <c r="D714" s="11"/>
      <c r="E714" s="12"/>
      <c r="F714" s="12"/>
      <c r="G714" s="30"/>
      <c r="H714" s="11"/>
      <c r="I714" s="11"/>
      <c r="J714" s="11"/>
    </row>
    <row r="715" spans="2:10" s="9" customFormat="1" x14ac:dyDescent="0.2">
      <c r="B715" s="10"/>
      <c r="C715" s="11"/>
      <c r="D715" s="11"/>
      <c r="E715" s="12"/>
      <c r="F715" s="12"/>
      <c r="G715" s="30"/>
      <c r="H715" s="11"/>
      <c r="I715" s="11"/>
      <c r="J715" s="11"/>
    </row>
    <row r="716" spans="2:10" s="9" customFormat="1" x14ac:dyDescent="0.2">
      <c r="B716" s="10"/>
      <c r="C716" s="11"/>
      <c r="D716" s="11"/>
      <c r="E716" s="12"/>
      <c r="F716" s="12"/>
      <c r="G716" s="30"/>
      <c r="H716" s="11"/>
      <c r="I716" s="11"/>
      <c r="J716" s="11"/>
    </row>
    <row r="717" spans="2:10" s="9" customFormat="1" x14ac:dyDescent="0.2">
      <c r="B717" s="10"/>
      <c r="C717" s="11"/>
      <c r="D717" s="11"/>
      <c r="E717" s="12"/>
      <c r="F717" s="12"/>
      <c r="G717" s="30"/>
      <c r="H717" s="11"/>
      <c r="I717" s="11"/>
      <c r="J717" s="11"/>
    </row>
    <row r="718" spans="2:10" s="9" customFormat="1" x14ac:dyDescent="0.2">
      <c r="B718" s="10"/>
      <c r="C718" s="11"/>
      <c r="D718" s="11"/>
      <c r="E718" s="12"/>
      <c r="F718" s="12"/>
      <c r="G718" s="30"/>
      <c r="H718" s="11"/>
      <c r="I718" s="11"/>
      <c r="J718" s="11"/>
    </row>
    <row r="719" spans="2:10" s="9" customFormat="1" x14ac:dyDescent="0.2">
      <c r="B719" s="10"/>
      <c r="C719" s="11"/>
      <c r="D719" s="11"/>
      <c r="E719" s="12"/>
      <c r="F719" s="12"/>
      <c r="G719" s="30"/>
      <c r="H719" s="11"/>
      <c r="I719" s="11"/>
      <c r="J719" s="11"/>
    </row>
    <row r="720" spans="2:10" s="9" customFormat="1" x14ac:dyDescent="0.2">
      <c r="B720" s="10"/>
      <c r="C720" s="11"/>
      <c r="D720" s="11"/>
      <c r="E720" s="12"/>
      <c r="F720" s="12"/>
      <c r="G720" s="30"/>
      <c r="H720" s="11"/>
      <c r="I720" s="11"/>
      <c r="J720" s="11"/>
    </row>
    <row r="721" spans="2:10" s="9" customFormat="1" x14ac:dyDescent="0.2">
      <c r="B721" s="10"/>
      <c r="C721" s="11"/>
      <c r="D721" s="11"/>
      <c r="E721" s="12"/>
      <c r="F721" s="12"/>
      <c r="G721" s="30"/>
      <c r="H721" s="11"/>
      <c r="I721" s="11"/>
      <c r="J721" s="11"/>
    </row>
    <row r="722" spans="2:10" s="9" customFormat="1" x14ac:dyDescent="0.2">
      <c r="B722" s="10"/>
      <c r="C722" s="11"/>
      <c r="D722" s="11"/>
      <c r="E722" s="12"/>
      <c r="F722" s="12"/>
      <c r="G722" s="30"/>
      <c r="H722" s="11"/>
      <c r="I722" s="11"/>
      <c r="J722" s="11"/>
    </row>
    <row r="723" spans="2:10" s="9" customFormat="1" x14ac:dyDescent="0.2">
      <c r="B723" s="10"/>
      <c r="C723" s="11"/>
      <c r="D723" s="11"/>
      <c r="E723" s="12"/>
      <c r="F723" s="12"/>
      <c r="G723" s="30"/>
      <c r="H723" s="11"/>
      <c r="I723" s="11"/>
      <c r="J723" s="11"/>
    </row>
    <row r="724" spans="2:10" s="9" customFormat="1" x14ac:dyDescent="0.2">
      <c r="B724" s="10"/>
      <c r="C724" s="11"/>
      <c r="D724" s="11"/>
      <c r="E724" s="12"/>
      <c r="F724" s="12"/>
      <c r="G724" s="30"/>
      <c r="H724" s="11"/>
      <c r="I724" s="11"/>
      <c r="J724" s="11"/>
    </row>
    <row r="725" spans="2:10" s="9" customFormat="1" x14ac:dyDescent="0.2">
      <c r="B725" s="10"/>
      <c r="C725" s="11"/>
      <c r="D725" s="11"/>
      <c r="E725" s="12"/>
      <c r="F725" s="12"/>
      <c r="G725" s="30"/>
      <c r="H725" s="11"/>
      <c r="I725" s="11"/>
      <c r="J725" s="11"/>
    </row>
    <row r="726" spans="2:10" s="9" customFormat="1" x14ac:dyDescent="0.2">
      <c r="B726" s="10"/>
      <c r="C726" s="11"/>
      <c r="D726" s="11"/>
      <c r="E726" s="12"/>
      <c r="F726" s="12"/>
      <c r="G726" s="30"/>
      <c r="H726" s="11"/>
      <c r="I726" s="11"/>
      <c r="J726" s="11"/>
    </row>
    <row r="727" spans="2:10" s="9" customFormat="1" x14ac:dyDescent="0.2">
      <c r="B727" s="10"/>
      <c r="C727" s="11"/>
      <c r="D727" s="11"/>
      <c r="E727" s="12"/>
      <c r="F727" s="12"/>
      <c r="G727" s="30"/>
      <c r="H727" s="11"/>
      <c r="I727" s="11"/>
      <c r="J727" s="11"/>
    </row>
    <row r="728" spans="2:10" s="9" customFormat="1" x14ac:dyDescent="0.2">
      <c r="B728" s="10"/>
      <c r="C728" s="11"/>
      <c r="D728" s="11"/>
      <c r="E728" s="12"/>
      <c r="F728" s="12"/>
      <c r="G728" s="30"/>
      <c r="H728" s="11"/>
      <c r="I728" s="11"/>
      <c r="J728" s="11"/>
    </row>
    <row r="729" spans="2:10" s="9" customFormat="1" x14ac:dyDescent="0.2">
      <c r="B729" s="10"/>
      <c r="C729" s="11"/>
      <c r="D729" s="11"/>
      <c r="E729" s="12"/>
      <c r="F729" s="12"/>
      <c r="G729" s="30"/>
      <c r="H729" s="11"/>
      <c r="I729" s="11"/>
      <c r="J729" s="11"/>
    </row>
    <row r="730" spans="2:10" s="9" customFormat="1" x14ac:dyDescent="0.2">
      <c r="B730" s="10"/>
      <c r="C730" s="11"/>
      <c r="D730" s="11"/>
      <c r="E730" s="12"/>
      <c r="F730" s="12"/>
      <c r="G730" s="30"/>
      <c r="H730" s="11"/>
      <c r="I730" s="11"/>
      <c r="J730" s="11"/>
    </row>
    <row r="731" spans="2:10" s="9" customFormat="1" x14ac:dyDescent="0.2">
      <c r="B731" s="10"/>
      <c r="C731" s="11"/>
      <c r="D731" s="11"/>
      <c r="E731" s="12"/>
      <c r="F731" s="12"/>
      <c r="G731" s="30"/>
      <c r="H731" s="11"/>
      <c r="I731" s="11"/>
      <c r="J731" s="11"/>
    </row>
    <row r="732" spans="2:10" s="9" customFormat="1" x14ac:dyDescent="0.2">
      <c r="B732" s="10"/>
      <c r="C732" s="11"/>
      <c r="D732" s="11"/>
      <c r="E732" s="12"/>
      <c r="F732" s="12"/>
      <c r="G732" s="30"/>
      <c r="H732" s="11"/>
      <c r="I732" s="11"/>
      <c r="J732" s="11"/>
    </row>
    <row r="733" spans="2:10" s="9" customFormat="1" x14ac:dyDescent="0.2">
      <c r="B733" s="10"/>
      <c r="C733" s="11"/>
      <c r="D733" s="11"/>
      <c r="E733" s="12"/>
      <c r="F733" s="12"/>
      <c r="G733" s="30"/>
      <c r="H733" s="11"/>
      <c r="I733" s="11"/>
      <c r="J733" s="11"/>
    </row>
    <row r="734" spans="2:10" s="9" customFormat="1" x14ac:dyDescent="0.2">
      <c r="B734" s="10"/>
      <c r="C734" s="11"/>
      <c r="D734" s="11"/>
      <c r="E734" s="12"/>
      <c r="F734" s="12"/>
      <c r="G734" s="30"/>
      <c r="H734" s="11"/>
      <c r="I734" s="11"/>
      <c r="J734" s="11"/>
    </row>
    <row r="735" spans="2:10" s="9" customFormat="1" x14ac:dyDescent="0.2">
      <c r="B735" s="10"/>
      <c r="C735" s="11"/>
      <c r="D735" s="11"/>
      <c r="E735" s="12"/>
      <c r="F735" s="12"/>
      <c r="G735" s="30"/>
      <c r="H735" s="11"/>
      <c r="I735" s="11"/>
      <c r="J735" s="11"/>
    </row>
    <row r="736" spans="2:10" s="9" customFormat="1" x14ac:dyDescent="0.2">
      <c r="B736" s="10"/>
      <c r="C736" s="11"/>
      <c r="D736" s="11"/>
      <c r="E736" s="12"/>
      <c r="F736" s="12"/>
      <c r="G736" s="30"/>
      <c r="H736" s="11"/>
      <c r="I736" s="11"/>
      <c r="J736" s="11"/>
    </row>
    <row r="737" spans="2:10" s="9" customFormat="1" x14ac:dyDescent="0.2">
      <c r="B737" s="10"/>
      <c r="C737" s="11"/>
      <c r="D737" s="11"/>
      <c r="E737" s="12"/>
      <c r="F737" s="12"/>
      <c r="G737" s="30"/>
      <c r="H737" s="11"/>
      <c r="I737" s="11"/>
      <c r="J737" s="11"/>
    </row>
    <row r="738" spans="2:10" s="9" customFormat="1" x14ac:dyDescent="0.2">
      <c r="B738" s="10"/>
      <c r="C738" s="11"/>
      <c r="D738" s="11"/>
      <c r="E738" s="12"/>
      <c r="F738" s="12"/>
      <c r="G738" s="30"/>
      <c r="H738" s="11"/>
      <c r="I738" s="11"/>
      <c r="J738" s="11"/>
    </row>
    <row r="739" spans="2:10" s="9" customFormat="1" x14ac:dyDescent="0.2">
      <c r="B739" s="10"/>
      <c r="C739" s="11"/>
      <c r="D739" s="11"/>
      <c r="E739" s="12"/>
      <c r="F739" s="12"/>
      <c r="G739" s="30"/>
      <c r="H739" s="11"/>
      <c r="I739" s="11"/>
      <c r="J739" s="11"/>
    </row>
    <row r="740" spans="2:10" s="9" customFormat="1" x14ac:dyDescent="0.2">
      <c r="B740" s="10"/>
      <c r="C740" s="11"/>
      <c r="D740" s="11"/>
      <c r="E740" s="12"/>
      <c r="F740" s="12"/>
      <c r="G740" s="30"/>
      <c r="H740" s="11"/>
      <c r="I740" s="11"/>
      <c r="J740" s="11"/>
    </row>
    <row r="741" spans="2:10" s="9" customFormat="1" x14ac:dyDescent="0.2">
      <c r="B741" s="10"/>
      <c r="C741" s="11"/>
      <c r="D741" s="11"/>
      <c r="E741" s="12"/>
      <c r="F741" s="12"/>
      <c r="G741" s="30"/>
      <c r="H741" s="11"/>
      <c r="I741" s="11"/>
      <c r="J741" s="11"/>
    </row>
    <row r="742" spans="2:10" s="9" customFormat="1" x14ac:dyDescent="0.2">
      <c r="B742" s="10"/>
      <c r="C742" s="11"/>
      <c r="D742" s="11"/>
      <c r="E742" s="12"/>
      <c r="F742" s="12"/>
      <c r="G742" s="30"/>
      <c r="H742" s="11"/>
      <c r="I742" s="11"/>
      <c r="J742" s="11"/>
    </row>
    <row r="743" spans="2:10" s="9" customFormat="1" x14ac:dyDescent="0.2">
      <c r="B743" s="10"/>
      <c r="C743" s="11"/>
      <c r="D743" s="11"/>
      <c r="E743" s="12"/>
      <c r="F743" s="12"/>
      <c r="G743" s="30"/>
      <c r="H743" s="11"/>
      <c r="I743" s="11"/>
      <c r="J743" s="11"/>
    </row>
    <row r="744" spans="2:10" s="9" customFormat="1" x14ac:dyDescent="0.2">
      <c r="B744" s="10"/>
      <c r="C744" s="11"/>
      <c r="D744" s="11"/>
      <c r="E744" s="12"/>
      <c r="F744" s="12"/>
      <c r="G744" s="30"/>
      <c r="H744" s="11"/>
      <c r="I744" s="11"/>
      <c r="J744" s="11"/>
    </row>
    <row r="745" spans="2:10" s="9" customFormat="1" x14ac:dyDescent="0.2">
      <c r="B745" s="10"/>
      <c r="C745" s="11"/>
      <c r="D745" s="11"/>
      <c r="E745" s="12"/>
      <c r="F745" s="12"/>
      <c r="G745" s="30"/>
      <c r="H745" s="11"/>
      <c r="I745" s="11"/>
      <c r="J745" s="11"/>
    </row>
    <row r="746" spans="2:10" s="9" customFormat="1" x14ac:dyDescent="0.2">
      <c r="B746" s="10"/>
      <c r="C746" s="11"/>
      <c r="D746" s="11"/>
      <c r="E746" s="12"/>
      <c r="F746" s="12"/>
      <c r="G746" s="30"/>
      <c r="H746" s="11"/>
      <c r="I746" s="11"/>
      <c r="J746" s="11"/>
    </row>
    <row r="747" spans="2:10" s="9" customFormat="1" x14ac:dyDescent="0.2">
      <c r="B747" s="10"/>
      <c r="C747" s="11"/>
      <c r="D747" s="11"/>
      <c r="E747" s="12"/>
      <c r="F747" s="12"/>
      <c r="G747" s="30"/>
      <c r="H747" s="11"/>
      <c r="I747" s="11"/>
      <c r="J747" s="11"/>
    </row>
    <row r="748" spans="2:10" s="9" customFormat="1" x14ac:dyDescent="0.2">
      <c r="B748" s="10"/>
      <c r="C748" s="11"/>
      <c r="D748" s="11"/>
      <c r="E748" s="12"/>
      <c r="F748" s="12"/>
      <c r="G748" s="30"/>
      <c r="H748" s="11"/>
      <c r="I748" s="11"/>
      <c r="J748" s="11"/>
    </row>
    <row r="749" spans="2:10" s="9" customFormat="1" x14ac:dyDescent="0.2">
      <c r="B749" s="10"/>
      <c r="C749" s="11"/>
      <c r="D749" s="11"/>
      <c r="E749" s="12"/>
      <c r="F749" s="12"/>
      <c r="G749" s="30"/>
      <c r="H749" s="11"/>
      <c r="I749" s="11"/>
      <c r="J749" s="11"/>
    </row>
    <row r="750" spans="2:10" s="9" customFormat="1" x14ac:dyDescent="0.2">
      <c r="B750" s="10"/>
      <c r="C750" s="11"/>
      <c r="D750" s="11"/>
      <c r="E750" s="12"/>
      <c r="F750" s="12"/>
      <c r="G750" s="30"/>
      <c r="H750" s="11"/>
      <c r="I750" s="11"/>
      <c r="J750" s="11"/>
    </row>
    <row r="751" spans="2:10" s="9" customFormat="1" x14ac:dyDescent="0.2">
      <c r="B751" s="10"/>
      <c r="C751" s="11"/>
      <c r="D751" s="11"/>
      <c r="E751" s="12"/>
      <c r="F751" s="12"/>
      <c r="G751" s="30"/>
      <c r="H751" s="11"/>
      <c r="I751" s="11"/>
      <c r="J751" s="11"/>
    </row>
    <row r="752" spans="2:10" s="9" customFormat="1" x14ac:dyDescent="0.2">
      <c r="B752" s="10"/>
      <c r="C752" s="11"/>
      <c r="D752" s="11"/>
      <c r="E752" s="12"/>
      <c r="F752" s="12"/>
      <c r="G752" s="30"/>
      <c r="H752" s="11"/>
      <c r="I752" s="11"/>
      <c r="J752" s="11"/>
    </row>
    <row r="753" spans="2:10" s="9" customFormat="1" x14ac:dyDescent="0.2">
      <c r="B753" s="10"/>
      <c r="C753" s="11"/>
      <c r="D753" s="11"/>
      <c r="E753" s="12"/>
      <c r="F753" s="12"/>
      <c r="G753" s="30"/>
      <c r="H753" s="11"/>
      <c r="I753" s="11"/>
      <c r="J753" s="11"/>
    </row>
    <row r="754" spans="2:10" s="9" customFormat="1" x14ac:dyDescent="0.2">
      <c r="B754" s="10"/>
      <c r="C754" s="11"/>
      <c r="D754" s="11"/>
      <c r="E754" s="12"/>
      <c r="F754" s="12"/>
      <c r="G754" s="30"/>
      <c r="H754" s="11"/>
      <c r="I754" s="11"/>
      <c r="J754" s="11"/>
    </row>
    <row r="755" spans="2:10" s="9" customFormat="1" x14ac:dyDescent="0.2">
      <c r="B755" s="10"/>
      <c r="C755" s="11"/>
      <c r="D755" s="11"/>
      <c r="E755" s="12"/>
      <c r="F755" s="12"/>
      <c r="G755" s="30"/>
      <c r="H755" s="11"/>
      <c r="I755" s="11"/>
      <c r="J755" s="11"/>
    </row>
    <row r="756" spans="2:10" s="9" customFormat="1" x14ac:dyDescent="0.2">
      <c r="B756" s="10"/>
      <c r="C756" s="11"/>
      <c r="D756" s="11"/>
      <c r="E756" s="12"/>
      <c r="F756" s="12"/>
      <c r="G756" s="30"/>
      <c r="H756" s="11"/>
      <c r="I756" s="11"/>
      <c r="J756" s="11"/>
    </row>
    <row r="757" spans="2:10" s="9" customFormat="1" x14ac:dyDescent="0.2">
      <c r="B757" s="10"/>
      <c r="C757" s="11"/>
      <c r="D757" s="11"/>
      <c r="E757" s="12"/>
      <c r="F757" s="12"/>
      <c r="G757" s="30"/>
      <c r="H757" s="11"/>
      <c r="I757" s="11"/>
      <c r="J757" s="11"/>
    </row>
    <row r="758" spans="2:10" s="9" customFormat="1" x14ac:dyDescent="0.2">
      <c r="B758" s="10"/>
      <c r="C758" s="11"/>
      <c r="D758" s="11"/>
      <c r="E758" s="12"/>
      <c r="F758" s="12"/>
      <c r="G758" s="30"/>
      <c r="H758" s="11"/>
      <c r="I758" s="11"/>
      <c r="J758" s="11"/>
    </row>
    <row r="759" spans="2:10" s="9" customFormat="1" x14ac:dyDescent="0.2">
      <c r="B759" s="10"/>
      <c r="C759" s="11"/>
      <c r="D759" s="11"/>
      <c r="E759" s="12"/>
      <c r="F759" s="12"/>
      <c r="G759" s="30"/>
      <c r="H759" s="11"/>
      <c r="I759" s="11"/>
      <c r="J759" s="11"/>
    </row>
    <row r="760" spans="2:10" s="9" customFormat="1" x14ac:dyDescent="0.2">
      <c r="B760" s="10"/>
      <c r="C760" s="11"/>
      <c r="D760" s="11"/>
      <c r="E760" s="12"/>
      <c r="F760" s="12"/>
      <c r="G760" s="30"/>
      <c r="H760" s="11"/>
      <c r="I760" s="11"/>
      <c r="J760" s="11"/>
    </row>
    <row r="761" spans="2:10" s="9" customFormat="1" x14ac:dyDescent="0.2">
      <c r="B761" s="10"/>
      <c r="C761" s="11"/>
      <c r="D761" s="11"/>
      <c r="E761" s="12"/>
      <c r="F761" s="12"/>
      <c r="G761" s="30"/>
      <c r="H761" s="11"/>
      <c r="I761" s="11"/>
      <c r="J761" s="11"/>
    </row>
    <row r="762" spans="2:10" s="9" customFormat="1" x14ac:dyDescent="0.2">
      <c r="B762" s="10"/>
      <c r="C762" s="11"/>
      <c r="D762" s="11"/>
      <c r="E762" s="12"/>
      <c r="F762" s="12"/>
      <c r="G762" s="30"/>
      <c r="H762" s="11"/>
      <c r="I762" s="11"/>
      <c r="J762" s="11"/>
    </row>
    <row r="763" spans="2:10" s="9" customFormat="1" x14ac:dyDescent="0.2">
      <c r="B763" s="10"/>
      <c r="C763" s="11"/>
      <c r="D763" s="11"/>
      <c r="E763" s="12"/>
      <c r="F763" s="12"/>
      <c r="G763" s="30"/>
      <c r="H763" s="11"/>
      <c r="I763" s="11"/>
      <c r="J763" s="11"/>
    </row>
    <row r="764" spans="2:10" s="9" customFormat="1" x14ac:dyDescent="0.2">
      <c r="B764" s="10"/>
      <c r="C764" s="11"/>
      <c r="D764" s="11"/>
      <c r="E764" s="12"/>
      <c r="F764" s="12"/>
      <c r="G764" s="30"/>
      <c r="H764" s="11"/>
      <c r="I764" s="11"/>
      <c r="J764" s="11"/>
    </row>
    <row r="765" spans="2:10" s="9" customFormat="1" x14ac:dyDescent="0.2">
      <c r="B765" s="10"/>
      <c r="C765" s="11"/>
      <c r="D765" s="11"/>
      <c r="E765" s="12"/>
      <c r="F765" s="12"/>
      <c r="G765" s="30"/>
      <c r="H765" s="11"/>
      <c r="I765" s="11"/>
      <c r="J765" s="11"/>
    </row>
    <row r="766" spans="2:10" s="9" customFormat="1" x14ac:dyDescent="0.2">
      <c r="B766" s="10"/>
      <c r="C766" s="11"/>
      <c r="D766" s="11"/>
      <c r="E766" s="12"/>
      <c r="F766" s="12"/>
      <c r="G766" s="30"/>
      <c r="H766" s="11"/>
      <c r="I766" s="11"/>
      <c r="J766" s="11"/>
    </row>
    <row r="767" spans="2:10" s="9" customFormat="1" x14ac:dyDescent="0.2">
      <c r="B767" s="10"/>
      <c r="C767" s="11"/>
      <c r="D767" s="11"/>
      <c r="E767" s="12"/>
      <c r="F767" s="12"/>
      <c r="G767" s="30"/>
      <c r="H767" s="11"/>
      <c r="I767" s="11"/>
      <c r="J767" s="11"/>
    </row>
    <row r="768" spans="2:10" s="9" customFormat="1" x14ac:dyDescent="0.2">
      <c r="B768" s="10"/>
      <c r="C768" s="11"/>
      <c r="D768" s="11"/>
      <c r="E768" s="12"/>
      <c r="F768" s="12"/>
      <c r="G768" s="30"/>
      <c r="H768" s="11"/>
      <c r="I768" s="11"/>
      <c r="J768" s="11"/>
    </row>
    <row r="769" spans="2:10" s="9" customFormat="1" x14ac:dyDescent="0.2">
      <c r="B769" s="10"/>
      <c r="C769" s="11"/>
      <c r="D769" s="11"/>
      <c r="E769" s="12"/>
      <c r="F769" s="12"/>
      <c r="G769" s="30"/>
      <c r="H769" s="11"/>
      <c r="I769" s="11"/>
      <c r="J769" s="11"/>
    </row>
    <row r="770" spans="2:10" s="9" customFormat="1" x14ac:dyDescent="0.2">
      <c r="B770" s="10"/>
      <c r="C770" s="11"/>
      <c r="D770" s="11"/>
      <c r="E770" s="12"/>
      <c r="F770" s="12"/>
      <c r="G770" s="30"/>
      <c r="H770" s="11"/>
      <c r="I770" s="11"/>
      <c r="J770" s="11"/>
    </row>
    <row r="771" spans="2:10" s="9" customFormat="1" x14ac:dyDescent="0.2">
      <c r="B771" s="10"/>
      <c r="C771" s="11"/>
      <c r="D771" s="11"/>
      <c r="E771" s="12"/>
      <c r="F771" s="12"/>
      <c r="G771" s="30"/>
      <c r="H771" s="11"/>
      <c r="I771" s="11"/>
      <c r="J771" s="11"/>
    </row>
    <row r="772" spans="2:10" s="9" customFormat="1" x14ac:dyDescent="0.2">
      <c r="B772" s="10"/>
      <c r="C772" s="11"/>
      <c r="D772" s="11"/>
      <c r="E772" s="12"/>
      <c r="F772" s="12"/>
      <c r="G772" s="30"/>
      <c r="H772" s="11"/>
      <c r="I772" s="11"/>
      <c r="J772" s="11"/>
    </row>
    <row r="773" spans="2:10" s="9" customFormat="1" x14ac:dyDescent="0.2">
      <c r="B773" s="10"/>
      <c r="C773" s="11"/>
      <c r="D773" s="11"/>
      <c r="E773" s="12"/>
      <c r="F773" s="12"/>
      <c r="G773" s="30"/>
      <c r="H773" s="11"/>
      <c r="I773" s="11"/>
      <c r="J773" s="11"/>
    </row>
    <row r="774" spans="2:10" s="9" customFormat="1" x14ac:dyDescent="0.2">
      <c r="B774" s="10"/>
      <c r="C774" s="11"/>
      <c r="D774" s="11"/>
      <c r="E774" s="12"/>
      <c r="F774" s="12"/>
      <c r="G774" s="30"/>
      <c r="H774" s="11"/>
      <c r="I774" s="11"/>
      <c r="J774" s="11"/>
    </row>
    <row r="775" spans="2:10" s="9" customFormat="1" x14ac:dyDescent="0.2">
      <c r="B775" s="10"/>
      <c r="C775" s="11"/>
      <c r="D775" s="11"/>
      <c r="E775" s="12"/>
      <c r="F775" s="12"/>
      <c r="G775" s="30"/>
      <c r="H775" s="11"/>
      <c r="I775" s="11"/>
      <c r="J775" s="11"/>
    </row>
    <row r="776" spans="2:10" s="9" customFormat="1" x14ac:dyDescent="0.2">
      <c r="B776" s="10"/>
      <c r="C776" s="11"/>
      <c r="D776" s="11"/>
      <c r="E776" s="12"/>
      <c r="F776" s="12"/>
      <c r="G776" s="30"/>
      <c r="H776" s="11"/>
      <c r="I776" s="11"/>
      <c r="J776" s="11"/>
    </row>
    <row r="777" spans="2:10" s="9" customFormat="1" x14ac:dyDescent="0.2">
      <c r="B777" s="10"/>
      <c r="C777" s="11"/>
      <c r="D777" s="11"/>
      <c r="E777" s="12"/>
      <c r="F777" s="12"/>
      <c r="G777" s="30"/>
      <c r="H777" s="11"/>
      <c r="I777" s="11"/>
      <c r="J777" s="11"/>
    </row>
    <row r="778" spans="2:10" s="9" customFormat="1" x14ac:dyDescent="0.2">
      <c r="B778" s="10"/>
      <c r="C778" s="11"/>
      <c r="D778" s="11"/>
      <c r="E778" s="12"/>
      <c r="F778" s="12"/>
      <c r="G778" s="30"/>
      <c r="H778" s="11"/>
      <c r="I778" s="11"/>
      <c r="J778" s="11"/>
    </row>
    <row r="779" spans="2:10" s="9" customFormat="1" x14ac:dyDescent="0.2">
      <c r="B779" s="10"/>
      <c r="C779" s="11"/>
      <c r="D779" s="11"/>
      <c r="E779" s="12"/>
      <c r="F779" s="12"/>
      <c r="G779" s="30"/>
      <c r="H779" s="11"/>
      <c r="I779" s="11"/>
      <c r="J779" s="11"/>
    </row>
    <row r="780" spans="2:10" s="9" customFormat="1" x14ac:dyDescent="0.2">
      <c r="B780" s="10"/>
      <c r="C780" s="11"/>
      <c r="D780" s="11"/>
      <c r="E780" s="12"/>
      <c r="F780" s="12"/>
      <c r="G780" s="30"/>
      <c r="H780" s="11"/>
      <c r="I780" s="11"/>
      <c r="J780" s="11"/>
    </row>
    <row r="781" spans="2:10" s="9" customFormat="1" x14ac:dyDescent="0.2">
      <c r="B781" s="10"/>
      <c r="C781" s="11"/>
      <c r="D781" s="11"/>
      <c r="E781" s="12"/>
      <c r="F781" s="12"/>
      <c r="G781" s="30"/>
      <c r="H781" s="11"/>
      <c r="I781" s="11"/>
      <c r="J781" s="11"/>
    </row>
    <row r="782" spans="2:10" s="9" customFormat="1" x14ac:dyDescent="0.2">
      <c r="B782" s="10"/>
      <c r="C782" s="11"/>
      <c r="D782" s="11"/>
      <c r="E782" s="12"/>
      <c r="F782" s="12"/>
      <c r="G782" s="30"/>
      <c r="H782" s="11"/>
      <c r="I782" s="11"/>
      <c r="J782" s="11"/>
    </row>
    <row r="783" spans="2:10" s="9" customFormat="1" x14ac:dyDescent="0.2">
      <c r="B783" s="10"/>
      <c r="C783" s="11"/>
      <c r="D783" s="11"/>
      <c r="E783" s="12"/>
      <c r="F783" s="12"/>
      <c r="G783" s="30"/>
      <c r="H783" s="11"/>
      <c r="I783" s="11"/>
      <c r="J783" s="11"/>
    </row>
    <row r="784" spans="2:10" s="9" customFormat="1" x14ac:dyDescent="0.2">
      <c r="B784" s="10"/>
      <c r="C784" s="11"/>
      <c r="D784" s="11"/>
      <c r="E784" s="12"/>
      <c r="F784" s="12"/>
      <c r="G784" s="30"/>
      <c r="H784" s="11"/>
      <c r="I784" s="11"/>
      <c r="J784" s="11"/>
    </row>
    <row r="785" spans="2:10" s="9" customFormat="1" x14ac:dyDescent="0.2">
      <c r="B785" s="10"/>
      <c r="C785" s="11"/>
      <c r="D785" s="11"/>
      <c r="E785" s="12"/>
      <c r="F785" s="12"/>
      <c r="G785" s="30"/>
      <c r="H785" s="11"/>
      <c r="I785" s="11"/>
      <c r="J785" s="11"/>
    </row>
    <row r="786" spans="2:10" s="9" customFormat="1" x14ac:dyDescent="0.2">
      <c r="B786" s="10"/>
      <c r="C786" s="11"/>
      <c r="D786" s="11"/>
      <c r="E786" s="12"/>
      <c r="F786" s="12"/>
      <c r="G786" s="30"/>
      <c r="H786" s="11"/>
      <c r="I786" s="11"/>
      <c r="J786" s="11"/>
    </row>
    <row r="787" spans="2:10" s="9" customFormat="1" x14ac:dyDescent="0.2">
      <c r="B787" s="10"/>
      <c r="C787" s="11"/>
      <c r="D787" s="11"/>
      <c r="E787" s="12"/>
      <c r="F787" s="12"/>
      <c r="G787" s="30"/>
      <c r="H787" s="11"/>
      <c r="I787" s="11"/>
      <c r="J787" s="11"/>
    </row>
    <row r="788" spans="2:10" s="9" customFormat="1" x14ac:dyDescent="0.2">
      <c r="B788" s="10"/>
      <c r="C788" s="11"/>
      <c r="D788" s="11"/>
      <c r="E788" s="12"/>
      <c r="F788" s="12"/>
      <c r="G788" s="30"/>
      <c r="H788" s="11"/>
      <c r="I788" s="11"/>
      <c r="J788" s="11"/>
    </row>
    <row r="789" spans="2:10" s="9" customFormat="1" x14ac:dyDescent="0.2">
      <c r="B789" s="10"/>
      <c r="C789" s="11"/>
      <c r="D789" s="11"/>
      <c r="E789" s="12"/>
      <c r="F789" s="12"/>
      <c r="G789" s="30"/>
      <c r="H789" s="11"/>
      <c r="I789" s="11"/>
      <c r="J789" s="11"/>
    </row>
    <row r="790" spans="2:10" s="9" customFormat="1" x14ac:dyDescent="0.2">
      <c r="B790" s="10"/>
      <c r="C790" s="11"/>
      <c r="D790" s="11"/>
      <c r="E790" s="12"/>
      <c r="F790" s="12"/>
      <c r="G790" s="30"/>
      <c r="H790" s="11"/>
      <c r="I790" s="11"/>
      <c r="J790" s="11"/>
    </row>
    <row r="791" spans="2:10" s="9" customFormat="1" x14ac:dyDescent="0.2">
      <c r="B791" s="10"/>
      <c r="C791" s="11"/>
      <c r="D791" s="11"/>
      <c r="E791" s="12"/>
      <c r="F791" s="12"/>
      <c r="G791" s="30"/>
      <c r="H791" s="11"/>
      <c r="I791" s="11"/>
      <c r="J791" s="11"/>
    </row>
    <row r="792" spans="2:10" s="9" customFormat="1" x14ac:dyDescent="0.2">
      <c r="B792" s="10"/>
      <c r="C792" s="11"/>
      <c r="D792" s="11"/>
      <c r="E792" s="12"/>
      <c r="F792" s="12"/>
      <c r="G792" s="30"/>
      <c r="H792" s="11"/>
      <c r="I792" s="11"/>
      <c r="J792" s="11"/>
    </row>
    <row r="793" spans="2:10" s="9" customFormat="1" x14ac:dyDescent="0.2">
      <c r="B793" s="10"/>
      <c r="C793" s="11"/>
      <c r="D793" s="11"/>
      <c r="E793" s="12"/>
      <c r="F793" s="12"/>
      <c r="G793" s="30"/>
      <c r="H793" s="11"/>
      <c r="I793" s="11"/>
      <c r="J793" s="11"/>
    </row>
    <row r="794" spans="2:10" s="9" customFormat="1" x14ac:dyDescent="0.2">
      <c r="B794" s="10"/>
      <c r="C794" s="11"/>
      <c r="D794" s="11"/>
      <c r="E794" s="12"/>
      <c r="F794" s="12"/>
      <c r="G794" s="30"/>
      <c r="H794" s="11"/>
      <c r="I794" s="11"/>
      <c r="J794" s="11"/>
    </row>
    <row r="795" spans="2:10" s="9" customFormat="1" x14ac:dyDescent="0.2">
      <c r="B795" s="10"/>
      <c r="C795" s="11"/>
      <c r="D795" s="11"/>
      <c r="E795" s="12"/>
      <c r="F795" s="12"/>
      <c r="G795" s="30"/>
      <c r="H795" s="11"/>
      <c r="I795" s="11"/>
      <c r="J795" s="11"/>
    </row>
    <row r="796" spans="2:10" s="9" customFormat="1" x14ac:dyDescent="0.2">
      <c r="B796" s="10"/>
      <c r="C796" s="11"/>
      <c r="D796" s="11"/>
      <c r="E796" s="12"/>
      <c r="F796" s="12"/>
      <c r="G796" s="30"/>
      <c r="H796" s="11"/>
      <c r="I796" s="11"/>
      <c r="J796" s="11"/>
    </row>
    <row r="797" spans="2:10" s="9" customFormat="1" x14ac:dyDescent="0.2">
      <c r="B797" s="10"/>
      <c r="C797" s="11"/>
      <c r="D797" s="11"/>
      <c r="E797" s="12"/>
      <c r="F797" s="12"/>
      <c r="G797" s="30"/>
      <c r="H797" s="11"/>
      <c r="I797" s="11"/>
      <c r="J797" s="11"/>
    </row>
    <row r="798" spans="2:10" s="9" customFormat="1" x14ac:dyDescent="0.2">
      <c r="B798" s="10"/>
      <c r="C798" s="11"/>
      <c r="D798" s="11"/>
      <c r="E798" s="12"/>
      <c r="F798" s="12"/>
      <c r="G798" s="30"/>
      <c r="H798" s="11"/>
      <c r="I798" s="11"/>
      <c r="J798" s="11"/>
    </row>
    <row r="799" spans="2:10" s="9" customFormat="1" x14ac:dyDescent="0.2">
      <c r="B799" s="10"/>
      <c r="C799" s="11"/>
      <c r="D799" s="11"/>
      <c r="E799" s="12"/>
      <c r="F799" s="12"/>
      <c r="G799" s="30"/>
      <c r="H799" s="11"/>
      <c r="I799" s="11"/>
      <c r="J799" s="11"/>
    </row>
    <row r="800" spans="2:10" s="9" customFormat="1" x14ac:dyDescent="0.2">
      <c r="B800" s="10"/>
      <c r="C800" s="11"/>
      <c r="D800" s="11"/>
      <c r="E800" s="12"/>
      <c r="F800" s="12"/>
      <c r="G800" s="30"/>
      <c r="H800" s="11"/>
      <c r="I800" s="11"/>
      <c r="J800" s="11"/>
    </row>
    <row r="801" spans="2:10" s="9" customFormat="1" x14ac:dyDescent="0.2">
      <c r="B801" s="10"/>
      <c r="C801" s="11"/>
      <c r="D801" s="11"/>
      <c r="E801" s="12"/>
      <c r="F801" s="12"/>
      <c r="G801" s="30"/>
      <c r="H801" s="11"/>
      <c r="I801" s="11"/>
      <c r="J801" s="11"/>
    </row>
    <row r="802" spans="2:10" s="9" customFormat="1" x14ac:dyDescent="0.2">
      <c r="B802" s="10"/>
      <c r="C802" s="11"/>
      <c r="D802" s="11"/>
      <c r="E802" s="12"/>
      <c r="F802" s="12"/>
      <c r="G802" s="30"/>
      <c r="H802" s="11"/>
      <c r="I802" s="11"/>
      <c r="J802" s="11"/>
    </row>
    <row r="803" spans="2:10" s="9" customFormat="1" x14ac:dyDescent="0.2">
      <c r="B803" s="10"/>
      <c r="C803" s="11"/>
      <c r="D803" s="11"/>
      <c r="E803" s="12"/>
      <c r="F803" s="12"/>
      <c r="G803" s="30"/>
      <c r="H803" s="11"/>
      <c r="I803" s="11"/>
      <c r="J803" s="11"/>
    </row>
    <row r="804" spans="2:10" s="9" customFormat="1" x14ac:dyDescent="0.2">
      <c r="B804" s="10"/>
      <c r="C804" s="11"/>
      <c r="D804" s="11"/>
      <c r="E804" s="12"/>
      <c r="F804" s="12"/>
      <c r="G804" s="30"/>
      <c r="H804" s="11"/>
      <c r="I804" s="11"/>
      <c r="J804" s="11"/>
    </row>
    <row r="805" spans="2:10" s="9" customFormat="1" x14ac:dyDescent="0.2">
      <c r="B805" s="10"/>
      <c r="C805" s="11"/>
      <c r="D805" s="11"/>
      <c r="E805" s="12"/>
      <c r="F805" s="12"/>
      <c r="G805" s="30"/>
      <c r="H805" s="11"/>
      <c r="I805" s="11"/>
      <c r="J805" s="11"/>
    </row>
    <row r="806" spans="2:10" s="9" customFormat="1" x14ac:dyDescent="0.2">
      <c r="B806" s="10"/>
      <c r="C806" s="11"/>
      <c r="D806" s="11"/>
      <c r="E806" s="12"/>
      <c r="F806" s="12"/>
      <c r="G806" s="30"/>
      <c r="H806" s="11"/>
      <c r="I806" s="11"/>
      <c r="J806" s="11"/>
    </row>
    <row r="807" spans="2:10" s="9" customFormat="1" x14ac:dyDescent="0.2">
      <c r="B807" s="10"/>
      <c r="C807" s="11"/>
      <c r="D807" s="11"/>
      <c r="E807" s="12"/>
      <c r="F807" s="12"/>
      <c r="G807" s="30"/>
      <c r="H807" s="11"/>
      <c r="I807" s="11"/>
      <c r="J807" s="11"/>
    </row>
    <row r="808" spans="2:10" s="9" customFormat="1" x14ac:dyDescent="0.2">
      <c r="B808" s="10"/>
      <c r="C808" s="11"/>
      <c r="D808" s="11"/>
      <c r="E808" s="12"/>
      <c r="F808" s="12"/>
      <c r="G808" s="30"/>
      <c r="H808" s="11"/>
      <c r="I808" s="11"/>
      <c r="J808" s="11"/>
    </row>
    <row r="809" spans="2:10" s="9" customFormat="1" x14ac:dyDescent="0.2">
      <c r="B809" s="10"/>
      <c r="C809" s="11"/>
      <c r="D809" s="11"/>
      <c r="E809" s="12"/>
      <c r="F809" s="12"/>
      <c r="G809" s="30"/>
      <c r="H809" s="11"/>
      <c r="I809" s="11"/>
      <c r="J809" s="11"/>
    </row>
    <row r="810" spans="2:10" s="9" customFormat="1" x14ac:dyDescent="0.2">
      <c r="B810" s="10"/>
      <c r="C810" s="11"/>
      <c r="D810" s="11"/>
      <c r="E810" s="12"/>
      <c r="F810" s="12"/>
      <c r="G810" s="30"/>
      <c r="H810" s="11"/>
      <c r="I810" s="11"/>
      <c r="J810" s="11"/>
    </row>
    <row r="811" spans="2:10" s="9" customFormat="1" x14ac:dyDescent="0.2">
      <c r="B811" s="10"/>
      <c r="C811" s="11"/>
      <c r="D811" s="11"/>
      <c r="E811" s="12"/>
      <c r="F811" s="12"/>
      <c r="G811" s="30"/>
      <c r="H811" s="11"/>
      <c r="I811" s="11"/>
      <c r="J811" s="11"/>
    </row>
    <row r="812" spans="2:10" s="9" customFormat="1" x14ac:dyDescent="0.2">
      <c r="B812" s="10"/>
      <c r="C812" s="11"/>
      <c r="D812" s="11"/>
      <c r="E812" s="12"/>
      <c r="F812" s="12"/>
      <c r="G812" s="30"/>
      <c r="H812" s="11"/>
      <c r="I812" s="11"/>
      <c r="J812" s="11"/>
    </row>
    <row r="813" spans="2:10" s="9" customFormat="1" x14ac:dyDescent="0.2">
      <c r="B813" s="10"/>
      <c r="C813" s="11"/>
      <c r="D813" s="11"/>
      <c r="E813" s="12"/>
      <c r="F813" s="12"/>
      <c r="G813" s="30"/>
      <c r="H813" s="11"/>
      <c r="I813" s="11"/>
      <c r="J813" s="11"/>
    </row>
    <row r="814" spans="2:10" s="9" customFormat="1" x14ac:dyDescent="0.2">
      <c r="B814" s="10"/>
      <c r="C814" s="11"/>
      <c r="D814" s="11"/>
      <c r="E814" s="12"/>
      <c r="F814" s="12"/>
      <c r="G814" s="30"/>
      <c r="H814" s="11"/>
      <c r="I814" s="11"/>
      <c r="J814" s="11"/>
    </row>
    <row r="815" spans="2:10" s="9" customFormat="1" x14ac:dyDescent="0.2">
      <c r="B815" s="10"/>
      <c r="C815" s="11"/>
      <c r="D815" s="11"/>
      <c r="E815" s="12"/>
      <c r="F815" s="12"/>
      <c r="G815" s="30"/>
      <c r="H815" s="11"/>
      <c r="I815" s="11"/>
      <c r="J815" s="11"/>
    </row>
    <row r="816" spans="2:10" s="9" customFormat="1" x14ac:dyDescent="0.2">
      <c r="B816" s="10"/>
      <c r="C816" s="11"/>
      <c r="D816" s="11"/>
      <c r="E816" s="12"/>
      <c r="F816" s="12"/>
      <c r="G816" s="30"/>
      <c r="H816" s="11"/>
      <c r="I816" s="11"/>
      <c r="J816" s="11"/>
    </row>
    <row r="817" spans="2:10" s="9" customFormat="1" x14ac:dyDescent="0.2">
      <c r="B817" s="10"/>
      <c r="C817" s="11"/>
      <c r="D817" s="11"/>
      <c r="E817" s="12"/>
      <c r="F817" s="12"/>
      <c r="G817" s="30"/>
      <c r="H817" s="11"/>
      <c r="I817" s="11"/>
      <c r="J817" s="11"/>
    </row>
    <row r="818" spans="2:10" s="9" customFormat="1" x14ac:dyDescent="0.2">
      <c r="B818" s="10"/>
      <c r="C818" s="11"/>
      <c r="D818" s="11"/>
      <c r="E818" s="12"/>
      <c r="F818" s="12"/>
      <c r="G818" s="30"/>
      <c r="H818" s="11"/>
      <c r="I818" s="11"/>
      <c r="J818" s="11"/>
    </row>
    <row r="819" spans="2:10" s="9" customFormat="1" x14ac:dyDescent="0.2">
      <c r="B819" s="10"/>
      <c r="C819" s="11"/>
      <c r="D819" s="11"/>
      <c r="E819" s="12"/>
      <c r="F819" s="12"/>
      <c r="G819" s="30"/>
      <c r="H819" s="11"/>
      <c r="I819" s="11"/>
      <c r="J819" s="11"/>
    </row>
    <row r="820" spans="2:10" s="9" customFormat="1" x14ac:dyDescent="0.2">
      <c r="B820" s="10"/>
      <c r="C820" s="11"/>
      <c r="D820" s="11"/>
      <c r="E820" s="12"/>
      <c r="F820" s="12"/>
      <c r="G820" s="30"/>
      <c r="H820" s="11"/>
      <c r="I820" s="11"/>
      <c r="J820" s="11"/>
    </row>
    <row r="821" spans="2:10" s="9" customFormat="1" x14ac:dyDescent="0.2">
      <c r="B821" s="10"/>
      <c r="C821" s="11"/>
      <c r="D821" s="11"/>
      <c r="E821" s="12"/>
      <c r="F821" s="12"/>
      <c r="G821" s="30"/>
      <c r="H821" s="11"/>
      <c r="I821" s="11"/>
      <c r="J821" s="11"/>
    </row>
    <row r="822" spans="2:10" s="9" customFormat="1" x14ac:dyDescent="0.2">
      <c r="B822" s="10"/>
      <c r="C822" s="11"/>
      <c r="D822" s="11"/>
      <c r="E822" s="12"/>
      <c r="F822" s="12"/>
      <c r="G822" s="30"/>
      <c r="H822" s="11"/>
      <c r="I822" s="11"/>
      <c r="J822" s="11"/>
    </row>
    <row r="823" spans="2:10" s="9" customFormat="1" x14ac:dyDescent="0.2">
      <c r="B823" s="10"/>
      <c r="C823" s="11"/>
      <c r="D823" s="11"/>
      <c r="E823" s="12"/>
      <c r="F823" s="12"/>
      <c r="G823" s="30"/>
      <c r="H823" s="11"/>
      <c r="I823" s="11"/>
      <c r="J823" s="11"/>
    </row>
    <row r="824" spans="2:10" s="9" customFormat="1" x14ac:dyDescent="0.2">
      <c r="B824" s="10"/>
      <c r="C824" s="11"/>
      <c r="D824" s="11"/>
      <c r="E824" s="12"/>
      <c r="F824" s="12"/>
      <c r="G824" s="30"/>
      <c r="H824" s="11"/>
      <c r="I824" s="11"/>
      <c r="J824" s="11"/>
    </row>
    <row r="825" spans="2:10" s="9" customFormat="1" x14ac:dyDescent="0.2">
      <c r="B825" s="10"/>
      <c r="C825" s="11"/>
      <c r="D825" s="11"/>
      <c r="E825" s="12"/>
      <c r="F825" s="12"/>
      <c r="G825" s="30"/>
      <c r="H825" s="11"/>
      <c r="I825" s="11"/>
      <c r="J825" s="11"/>
    </row>
    <row r="826" spans="2:10" s="9" customFormat="1" x14ac:dyDescent="0.2">
      <c r="B826" s="10"/>
      <c r="C826" s="11"/>
      <c r="D826" s="11"/>
      <c r="E826" s="12"/>
      <c r="F826" s="12"/>
      <c r="G826" s="30"/>
      <c r="H826" s="11"/>
      <c r="I826" s="11"/>
      <c r="J826" s="11"/>
    </row>
    <row r="827" spans="2:10" s="9" customFormat="1" x14ac:dyDescent="0.2">
      <c r="B827" s="10"/>
      <c r="C827" s="11"/>
      <c r="D827" s="11"/>
      <c r="E827" s="12"/>
      <c r="F827" s="12"/>
      <c r="G827" s="30"/>
      <c r="H827" s="11"/>
      <c r="I827" s="11"/>
      <c r="J827" s="11"/>
    </row>
    <row r="828" spans="2:10" s="9" customFormat="1" x14ac:dyDescent="0.2">
      <c r="B828" s="10"/>
      <c r="C828" s="11"/>
      <c r="D828" s="11"/>
      <c r="E828" s="12"/>
      <c r="F828" s="12"/>
      <c r="G828" s="30"/>
      <c r="H828" s="11"/>
      <c r="I828" s="11"/>
      <c r="J828" s="11"/>
    </row>
    <row r="829" spans="2:10" s="9" customFormat="1" x14ac:dyDescent="0.2">
      <c r="B829" s="10"/>
      <c r="C829" s="11"/>
      <c r="D829" s="11"/>
      <c r="E829" s="12"/>
      <c r="F829" s="12"/>
      <c r="G829" s="30"/>
      <c r="H829" s="11"/>
      <c r="I829" s="11"/>
      <c r="J829" s="11"/>
    </row>
    <row r="830" spans="2:10" s="9" customFormat="1" x14ac:dyDescent="0.2">
      <c r="B830" s="10"/>
      <c r="C830" s="11"/>
      <c r="D830" s="11"/>
      <c r="E830" s="12"/>
      <c r="F830" s="12"/>
      <c r="G830" s="30"/>
      <c r="H830" s="11"/>
      <c r="I830" s="11"/>
      <c r="J830" s="11"/>
    </row>
    <row r="831" spans="2:10" s="9" customFormat="1" x14ac:dyDescent="0.2">
      <c r="B831" s="10"/>
      <c r="C831" s="11"/>
      <c r="D831" s="11"/>
      <c r="E831" s="12"/>
      <c r="F831" s="12"/>
      <c r="G831" s="30"/>
      <c r="H831" s="11"/>
      <c r="I831" s="11"/>
      <c r="J831" s="11"/>
    </row>
    <row r="832" spans="2:10" s="9" customFormat="1" x14ac:dyDescent="0.2">
      <c r="B832" s="10"/>
      <c r="C832" s="11"/>
      <c r="D832" s="11"/>
      <c r="E832" s="12"/>
      <c r="F832" s="12"/>
      <c r="G832" s="30"/>
      <c r="H832" s="11"/>
      <c r="I832" s="11"/>
      <c r="J832" s="11"/>
    </row>
    <row r="833" spans="2:10" s="9" customFormat="1" x14ac:dyDescent="0.2">
      <c r="B833" s="10"/>
      <c r="C833" s="11"/>
      <c r="D833" s="11"/>
      <c r="E833" s="12"/>
      <c r="F833" s="12"/>
      <c r="G833" s="30"/>
      <c r="H833" s="11"/>
      <c r="I833" s="11"/>
      <c r="J833" s="11"/>
    </row>
    <row r="834" spans="2:10" s="9" customFormat="1" x14ac:dyDescent="0.2">
      <c r="B834" s="10"/>
      <c r="C834" s="11"/>
      <c r="D834" s="11"/>
      <c r="E834" s="12"/>
      <c r="F834" s="12"/>
      <c r="G834" s="30"/>
      <c r="H834" s="11"/>
      <c r="I834" s="11"/>
      <c r="J834" s="11"/>
    </row>
    <row r="835" spans="2:10" s="9" customFormat="1" x14ac:dyDescent="0.2">
      <c r="B835" s="10"/>
      <c r="C835" s="11"/>
      <c r="D835" s="11"/>
      <c r="E835" s="12"/>
      <c r="F835" s="12"/>
      <c r="G835" s="30"/>
      <c r="H835" s="11"/>
      <c r="I835" s="11"/>
      <c r="J835" s="11"/>
    </row>
    <row r="836" spans="2:10" s="9" customFormat="1" x14ac:dyDescent="0.2">
      <c r="B836" s="10"/>
      <c r="C836" s="11"/>
      <c r="D836" s="11"/>
      <c r="E836" s="12"/>
      <c r="F836" s="12"/>
      <c r="G836" s="30"/>
      <c r="H836" s="11"/>
      <c r="I836" s="11"/>
      <c r="J836" s="11"/>
    </row>
    <row r="837" spans="2:10" s="9" customFormat="1" x14ac:dyDescent="0.2">
      <c r="B837" s="10"/>
      <c r="C837" s="11"/>
      <c r="D837" s="11"/>
      <c r="E837" s="12"/>
      <c r="F837" s="12"/>
      <c r="G837" s="30"/>
      <c r="H837" s="11"/>
      <c r="I837" s="11"/>
      <c r="J837" s="11"/>
    </row>
    <row r="838" spans="2:10" s="9" customFormat="1" x14ac:dyDescent="0.2">
      <c r="B838" s="10"/>
      <c r="C838" s="11"/>
      <c r="D838" s="11"/>
      <c r="E838" s="12"/>
      <c r="F838" s="12"/>
      <c r="G838" s="30"/>
      <c r="H838" s="11"/>
      <c r="I838" s="11"/>
      <c r="J838" s="11"/>
    </row>
    <row r="839" spans="2:10" s="9" customFormat="1" x14ac:dyDescent="0.2">
      <c r="B839" s="10"/>
      <c r="C839" s="11"/>
      <c r="D839" s="11"/>
      <c r="E839" s="12"/>
      <c r="F839" s="12"/>
      <c r="G839" s="30"/>
      <c r="H839" s="11"/>
      <c r="I839" s="11"/>
      <c r="J839" s="11"/>
    </row>
    <row r="840" spans="2:10" s="9" customFormat="1" x14ac:dyDescent="0.2">
      <c r="B840" s="10"/>
      <c r="C840" s="11"/>
      <c r="D840" s="11"/>
      <c r="E840" s="12"/>
      <c r="F840" s="12"/>
      <c r="G840" s="30"/>
      <c r="H840" s="11"/>
      <c r="I840" s="11"/>
      <c r="J840" s="11"/>
    </row>
    <row r="841" spans="2:10" s="9" customFormat="1" x14ac:dyDescent="0.2">
      <c r="B841" s="10"/>
      <c r="C841" s="11"/>
      <c r="D841" s="11"/>
      <c r="E841" s="12"/>
      <c r="F841" s="12"/>
      <c r="G841" s="30"/>
      <c r="H841" s="11"/>
      <c r="I841" s="11"/>
      <c r="J841" s="11"/>
    </row>
    <row r="842" spans="2:10" s="9" customFormat="1" x14ac:dyDescent="0.2">
      <c r="B842" s="10"/>
      <c r="C842" s="11"/>
      <c r="D842" s="11"/>
      <c r="E842" s="12"/>
      <c r="F842" s="12"/>
      <c r="G842" s="30"/>
      <c r="H842" s="11"/>
      <c r="I842" s="11"/>
      <c r="J842" s="11"/>
    </row>
    <row r="843" spans="2:10" s="9" customFormat="1" x14ac:dyDescent="0.2">
      <c r="B843" s="10"/>
      <c r="C843" s="11"/>
      <c r="D843" s="11"/>
      <c r="E843" s="12"/>
      <c r="F843" s="12"/>
      <c r="G843" s="30"/>
      <c r="H843" s="11"/>
      <c r="I843" s="11"/>
      <c r="J843" s="11"/>
    </row>
    <row r="844" spans="2:10" s="9" customFormat="1" x14ac:dyDescent="0.2">
      <c r="B844" s="10"/>
      <c r="C844" s="11"/>
      <c r="D844" s="11"/>
      <c r="E844" s="12"/>
      <c r="F844" s="12"/>
      <c r="G844" s="30"/>
      <c r="H844" s="11"/>
      <c r="I844" s="11"/>
      <c r="J844" s="11"/>
    </row>
    <row r="845" spans="2:10" s="9" customFormat="1" x14ac:dyDescent="0.2">
      <c r="B845" s="10"/>
      <c r="C845" s="11"/>
      <c r="D845" s="11"/>
      <c r="E845" s="12"/>
      <c r="F845" s="12"/>
      <c r="G845" s="30"/>
      <c r="H845" s="11"/>
      <c r="I845" s="11"/>
      <c r="J845" s="11"/>
    </row>
    <row r="846" spans="2:10" s="9" customFormat="1" x14ac:dyDescent="0.2">
      <c r="B846" s="10"/>
      <c r="C846" s="11"/>
      <c r="D846" s="11"/>
      <c r="E846" s="12"/>
      <c r="F846" s="12"/>
      <c r="G846" s="30"/>
      <c r="H846" s="11"/>
      <c r="I846" s="11"/>
      <c r="J846" s="11"/>
    </row>
    <row r="847" spans="2:10" s="9" customFormat="1" x14ac:dyDescent="0.2">
      <c r="B847" s="10"/>
      <c r="C847" s="11"/>
      <c r="D847" s="11"/>
      <c r="E847" s="12"/>
      <c r="F847" s="12"/>
      <c r="G847" s="30"/>
      <c r="H847" s="11"/>
      <c r="I847" s="11"/>
      <c r="J847" s="11"/>
    </row>
    <row r="848" spans="2:10" s="9" customFormat="1" x14ac:dyDescent="0.2">
      <c r="B848" s="10"/>
      <c r="C848" s="11"/>
      <c r="D848" s="11"/>
      <c r="E848" s="12"/>
      <c r="F848" s="12"/>
      <c r="G848" s="30"/>
      <c r="H848" s="11"/>
      <c r="I848" s="11"/>
      <c r="J848" s="11"/>
    </row>
    <row r="849" spans="2:10" s="9" customFormat="1" x14ac:dyDescent="0.2">
      <c r="B849" s="10"/>
      <c r="C849" s="11"/>
      <c r="D849" s="11"/>
      <c r="E849" s="12"/>
      <c r="F849" s="12"/>
      <c r="G849" s="30"/>
      <c r="H849" s="11"/>
      <c r="I849" s="11"/>
      <c r="J849" s="11"/>
    </row>
    <row r="850" spans="2:10" s="9" customFormat="1" x14ac:dyDescent="0.2">
      <c r="B850" s="10"/>
      <c r="C850" s="11"/>
      <c r="D850" s="11"/>
      <c r="E850" s="12"/>
      <c r="F850" s="12"/>
      <c r="G850" s="30"/>
      <c r="H850" s="11"/>
      <c r="I850" s="11"/>
      <c r="J850" s="11"/>
    </row>
    <row r="851" spans="2:10" s="9" customFormat="1" x14ac:dyDescent="0.2">
      <c r="B851" s="10"/>
      <c r="C851" s="11"/>
      <c r="D851" s="11"/>
      <c r="E851" s="12"/>
      <c r="F851" s="12"/>
      <c r="G851" s="30"/>
      <c r="H851" s="11"/>
      <c r="I851" s="11"/>
      <c r="J851" s="11"/>
    </row>
    <row r="852" spans="2:10" s="9" customFormat="1" x14ac:dyDescent="0.2">
      <c r="B852" s="10"/>
      <c r="C852" s="11"/>
      <c r="D852" s="11"/>
      <c r="E852" s="12"/>
      <c r="F852" s="12"/>
      <c r="G852" s="30"/>
      <c r="H852" s="11"/>
      <c r="I852" s="11"/>
      <c r="J852" s="11"/>
    </row>
    <row r="853" spans="2:10" s="9" customFormat="1" x14ac:dyDescent="0.2">
      <c r="B853" s="10"/>
      <c r="C853" s="11"/>
      <c r="D853" s="11"/>
      <c r="E853" s="12"/>
      <c r="F853" s="12"/>
      <c r="G853" s="30"/>
      <c r="H853" s="11"/>
      <c r="I853" s="11"/>
      <c r="J853" s="11"/>
    </row>
    <row r="854" spans="2:10" s="9" customFormat="1" x14ac:dyDescent="0.2">
      <c r="B854" s="10"/>
      <c r="C854" s="11"/>
      <c r="D854" s="11"/>
      <c r="E854" s="12"/>
      <c r="F854" s="12"/>
      <c r="G854" s="30"/>
      <c r="H854" s="11"/>
      <c r="I854" s="11"/>
      <c r="J854" s="11"/>
    </row>
    <row r="855" spans="2:10" s="9" customFormat="1" x14ac:dyDescent="0.2">
      <c r="B855" s="10"/>
      <c r="C855" s="11"/>
      <c r="D855" s="11"/>
      <c r="E855" s="12"/>
      <c r="F855" s="12"/>
      <c r="G855" s="30"/>
      <c r="H855" s="11"/>
      <c r="I855" s="11"/>
      <c r="J855" s="11"/>
    </row>
    <row r="856" spans="2:10" s="9" customFormat="1" x14ac:dyDescent="0.2">
      <c r="B856" s="10"/>
      <c r="C856" s="11"/>
      <c r="D856" s="11"/>
      <c r="E856" s="12"/>
      <c r="F856" s="12"/>
      <c r="G856" s="30"/>
      <c r="H856" s="11"/>
      <c r="I856" s="11"/>
      <c r="J856" s="11"/>
    </row>
    <row r="857" spans="2:10" s="9" customFormat="1" x14ac:dyDescent="0.2">
      <c r="B857" s="10"/>
      <c r="C857" s="11"/>
      <c r="D857" s="11"/>
      <c r="E857" s="12"/>
      <c r="F857" s="12"/>
      <c r="G857" s="30"/>
      <c r="H857" s="11"/>
      <c r="I857" s="11"/>
      <c r="J857" s="11"/>
    </row>
    <row r="858" spans="2:10" s="9" customFormat="1" x14ac:dyDescent="0.2">
      <c r="B858" s="10"/>
      <c r="C858" s="11"/>
      <c r="D858" s="11"/>
      <c r="E858" s="12"/>
      <c r="F858" s="12"/>
      <c r="G858" s="30"/>
      <c r="H858" s="11"/>
      <c r="I858" s="11"/>
      <c r="J858" s="11"/>
    </row>
    <row r="859" spans="2:10" s="9" customFormat="1" x14ac:dyDescent="0.2">
      <c r="B859" s="10"/>
      <c r="C859" s="11"/>
      <c r="D859" s="11"/>
      <c r="E859" s="12"/>
      <c r="F859" s="12"/>
      <c r="G859" s="30"/>
      <c r="H859" s="11"/>
      <c r="I859" s="11"/>
      <c r="J859" s="11"/>
    </row>
    <row r="860" spans="2:10" s="9" customFormat="1" x14ac:dyDescent="0.2">
      <c r="B860" s="10"/>
      <c r="C860" s="11"/>
      <c r="D860" s="11"/>
      <c r="E860" s="12"/>
      <c r="F860" s="12"/>
      <c r="G860" s="30"/>
      <c r="H860" s="11"/>
      <c r="I860" s="11"/>
      <c r="J860" s="11"/>
    </row>
    <row r="861" spans="2:10" s="9" customFormat="1" x14ac:dyDescent="0.2">
      <c r="B861" s="10"/>
      <c r="C861" s="11"/>
      <c r="D861" s="11"/>
      <c r="E861" s="12"/>
      <c r="F861" s="12"/>
      <c r="G861" s="30"/>
      <c r="H861" s="11"/>
      <c r="I861" s="11"/>
      <c r="J861" s="11"/>
    </row>
    <row r="862" spans="2:10" s="9" customFormat="1" x14ac:dyDescent="0.2">
      <c r="B862" s="10"/>
      <c r="C862" s="11"/>
      <c r="D862" s="11"/>
      <c r="E862" s="12"/>
      <c r="F862" s="12"/>
      <c r="G862" s="30"/>
      <c r="H862" s="11"/>
      <c r="I862" s="11"/>
      <c r="J862" s="11"/>
    </row>
    <row r="863" spans="2:10" s="9" customFormat="1" x14ac:dyDescent="0.2">
      <c r="B863" s="10"/>
      <c r="C863" s="11"/>
      <c r="D863" s="11"/>
      <c r="E863" s="12"/>
      <c r="F863" s="12"/>
      <c r="G863" s="30"/>
      <c r="H863" s="11"/>
      <c r="I863" s="11"/>
      <c r="J863" s="11"/>
    </row>
    <row r="864" spans="2:10" s="9" customFormat="1" x14ac:dyDescent="0.2">
      <c r="B864" s="10"/>
      <c r="C864" s="11"/>
      <c r="D864" s="11"/>
      <c r="E864" s="12"/>
      <c r="F864" s="12"/>
      <c r="G864" s="30"/>
      <c r="H864" s="11"/>
      <c r="I864" s="11"/>
      <c r="J864" s="11"/>
    </row>
    <row r="865" spans="2:10" s="9" customFormat="1" x14ac:dyDescent="0.2">
      <c r="B865" s="10"/>
      <c r="C865" s="11"/>
      <c r="D865" s="11"/>
      <c r="E865" s="12"/>
      <c r="F865" s="12"/>
      <c r="G865" s="30"/>
      <c r="H865" s="11"/>
      <c r="I865" s="11"/>
      <c r="J865" s="11"/>
    </row>
    <row r="866" spans="2:10" s="9" customFormat="1" x14ac:dyDescent="0.2">
      <c r="B866" s="10"/>
      <c r="C866" s="11"/>
      <c r="D866" s="11"/>
      <c r="E866" s="12"/>
      <c r="F866" s="12"/>
      <c r="G866" s="30"/>
      <c r="H866" s="11"/>
      <c r="I866" s="11"/>
      <c r="J866" s="11"/>
    </row>
    <row r="867" spans="2:10" s="9" customFormat="1" x14ac:dyDescent="0.2">
      <c r="B867" s="10"/>
      <c r="C867" s="11"/>
      <c r="D867" s="11"/>
      <c r="E867" s="12"/>
      <c r="F867" s="12"/>
      <c r="G867" s="30"/>
      <c r="H867" s="11"/>
      <c r="I867" s="11"/>
      <c r="J867" s="11"/>
    </row>
    <row r="868" spans="2:10" s="9" customFormat="1" x14ac:dyDescent="0.2">
      <c r="B868" s="10"/>
      <c r="C868" s="11"/>
      <c r="D868" s="11"/>
      <c r="E868" s="12"/>
      <c r="F868" s="12"/>
      <c r="G868" s="30"/>
      <c r="H868" s="11"/>
      <c r="I868" s="11"/>
      <c r="J868" s="11"/>
    </row>
    <row r="869" spans="2:10" s="9" customFormat="1" x14ac:dyDescent="0.2">
      <c r="B869" s="10"/>
      <c r="C869" s="11"/>
      <c r="D869" s="11"/>
      <c r="E869" s="12"/>
      <c r="F869" s="12"/>
      <c r="G869" s="30"/>
      <c r="H869" s="11"/>
      <c r="I869" s="11"/>
      <c r="J869" s="11"/>
    </row>
    <row r="870" spans="2:10" s="9" customFormat="1" x14ac:dyDescent="0.2">
      <c r="B870" s="10"/>
      <c r="C870" s="11"/>
      <c r="D870" s="11"/>
      <c r="E870" s="12"/>
      <c r="F870" s="12"/>
      <c r="G870" s="30"/>
      <c r="H870" s="11"/>
      <c r="I870" s="11"/>
      <c r="J870" s="11"/>
    </row>
    <row r="871" spans="2:10" s="9" customFormat="1" x14ac:dyDescent="0.2">
      <c r="B871" s="10"/>
      <c r="C871" s="11"/>
      <c r="D871" s="11"/>
      <c r="E871" s="12"/>
      <c r="F871" s="12"/>
      <c r="G871" s="30"/>
      <c r="H871" s="11"/>
      <c r="I871" s="11"/>
      <c r="J871" s="11"/>
    </row>
    <row r="872" spans="2:10" s="9" customFormat="1" x14ac:dyDescent="0.2">
      <c r="B872" s="10"/>
      <c r="C872" s="11"/>
      <c r="D872" s="11"/>
      <c r="E872" s="12"/>
      <c r="F872" s="12"/>
      <c r="G872" s="30"/>
      <c r="H872" s="11"/>
      <c r="I872" s="11"/>
      <c r="J872" s="11"/>
    </row>
    <row r="873" spans="2:10" s="9" customFormat="1" x14ac:dyDescent="0.2">
      <c r="B873" s="10"/>
      <c r="C873" s="11"/>
      <c r="D873" s="11"/>
      <c r="E873" s="12"/>
      <c r="F873" s="12"/>
      <c r="G873" s="30"/>
      <c r="H873" s="11"/>
      <c r="I873" s="11"/>
      <c r="J873" s="11"/>
    </row>
    <row r="874" spans="2:10" s="9" customFormat="1" x14ac:dyDescent="0.2">
      <c r="B874" s="10"/>
      <c r="C874" s="11"/>
      <c r="D874" s="11"/>
      <c r="E874" s="12"/>
      <c r="F874" s="12"/>
      <c r="G874" s="30"/>
      <c r="H874" s="11"/>
      <c r="I874" s="11"/>
      <c r="J874" s="11"/>
    </row>
    <row r="875" spans="2:10" s="9" customFormat="1" x14ac:dyDescent="0.2">
      <c r="B875" s="10"/>
      <c r="C875" s="11"/>
      <c r="D875" s="11"/>
      <c r="E875" s="12"/>
      <c r="F875" s="12"/>
      <c r="G875" s="30"/>
      <c r="H875" s="11"/>
      <c r="I875" s="11"/>
      <c r="J875" s="11"/>
    </row>
    <row r="876" spans="2:10" s="9" customFormat="1" x14ac:dyDescent="0.2">
      <c r="B876" s="10"/>
      <c r="C876" s="11"/>
      <c r="D876" s="11"/>
      <c r="E876" s="12"/>
      <c r="F876" s="12"/>
      <c r="G876" s="30"/>
      <c r="H876" s="11"/>
      <c r="I876" s="11"/>
      <c r="J876" s="11"/>
    </row>
    <row r="877" spans="2:10" s="9" customFormat="1" x14ac:dyDescent="0.2">
      <c r="B877" s="10"/>
      <c r="C877" s="11"/>
      <c r="D877" s="11"/>
      <c r="E877" s="12"/>
      <c r="F877" s="12"/>
      <c r="G877" s="30"/>
      <c r="H877" s="11"/>
      <c r="I877" s="11"/>
      <c r="J877" s="11"/>
    </row>
    <row r="878" spans="2:10" s="9" customFormat="1" x14ac:dyDescent="0.2">
      <c r="B878" s="10"/>
      <c r="C878" s="11"/>
      <c r="D878" s="11"/>
      <c r="E878" s="12"/>
      <c r="F878" s="12"/>
      <c r="G878" s="30"/>
      <c r="H878" s="11"/>
      <c r="I878" s="11"/>
      <c r="J878" s="11"/>
    </row>
    <row r="879" spans="2:10" s="9" customFormat="1" x14ac:dyDescent="0.2">
      <c r="B879" s="10"/>
      <c r="C879" s="11"/>
      <c r="D879" s="11"/>
      <c r="E879" s="12"/>
      <c r="F879" s="12"/>
      <c r="G879" s="30"/>
      <c r="H879" s="11"/>
      <c r="I879" s="11"/>
      <c r="J879" s="11"/>
    </row>
    <row r="880" spans="2:10" s="9" customFormat="1" x14ac:dyDescent="0.2">
      <c r="B880" s="10"/>
      <c r="C880" s="11"/>
      <c r="D880" s="11"/>
      <c r="E880" s="12"/>
      <c r="F880" s="12"/>
      <c r="G880" s="30"/>
      <c r="H880" s="11"/>
      <c r="I880" s="11"/>
      <c r="J880" s="11"/>
    </row>
    <row r="881" spans="2:10" s="9" customFormat="1" x14ac:dyDescent="0.2">
      <c r="B881" s="10"/>
      <c r="C881" s="11"/>
      <c r="D881" s="11"/>
      <c r="E881" s="12"/>
      <c r="F881" s="12"/>
      <c r="G881" s="30"/>
      <c r="H881" s="11"/>
      <c r="I881" s="11"/>
      <c r="J881" s="11"/>
    </row>
    <row r="882" spans="2:10" s="9" customFormat="1" x14ac:dyDescent="0.2">
      <c r="B882" s="10"/>
      <c r="C882" s="11"/>
      <c r="D882" s="11"/>
      <c r="E882" s="12"/>
      <c r="F882" s="12"/>
      <c r="G882" s="30"/>
      <c r="H882" s="11"/>
      <c r="I882" s="11"/>
      <c r="J882" s="11"/>
    </row>
    <row r="883" spans="2:10" s="9" customFormat="1" x14ac:dyDescent="0.2">
      <c r="B883" s="10"/>
      <c r="C883" s="11"/>
      <c r="D883" s="11"/>
      <c r="E883" s="12"/>
      <c r="F883" s="12"/>
      <c r="G883" s="30"/>
      <c r="H883" s="11"/>
      <c r="I883" s="11"/>
      <c r="J883" s="11"/>
    </row>
    <row r="884" spans="2:10" s="9" customFormat="1" x14ac:dyDescent="0.2">
      <c r="B884" s="10"/>
      <c r="C884" s="11"/>
      <c r="D884" s="11"/>
      <c r="E884" s="12"/>
      <c r="F884" s="12"/>
      <c r="G884" s="30"/>
      <c r="H884" s="11"/>
      <c r="I884" s="11"/>
      <c r="J884" s="11"/>
    </row>
    <row r="885" spans="2:10" s="9" customFormat="1" x14ac:dyDescent="0.2">
      <c r="B885" s="10"/>
      <c r="C885" s="11"/>
      <c r="D885" s="11"/>
      <c r="E885" s="12"/>
      <c r="F885" s="12"/>
      <c r="G885" s="30"/>
      <c r="H885" s="11"/>
      <c r="I885" s="11"/>
      <c r="J885" s="11"/>
    </row>
    <row r="886" spans="2:10" s="9" customFormat="1" x14ac:dyDescent="0.2">
      <c r="B886" s="10"/>
      <c r="C886" s="11"/>
      <c r="D886" s="11"/>
      <c r="E886" s="12"/>
      <c r="F886" s="12"/>
      <c r="G886" s="30"/>
      <c r="H886" s="11"/>
      <c r="I886" s="11"/>
      <c r="J886" s="11"/>
    </row>
    <row r="887" spans="2:10" s="9" customFormat="1" x14ac:dyDescent="0.2">
      <c r="B887" s="10"/>
      <c r="C887" s="11"/>
      <c r="D887" s="11"/>
      <c r="E887" s="12"/>
      <c r="F887" s="12"/>
      <c r="G887" s="30"/>
      <c r="H887" s="11"/>
      <c r="I887" s="11"/>
      <c r="J887" s="11"/>
    </row>
    <row r="888" spans="2:10" s="9" customFormat="1" x14ac:dyDescent="0.2">
      <c r="B888" s="10"/>
      <c r="C888" s="11"/>
      <c r="D888" s="11"/>
      <c r="E888" s="12"/>
      <c r="F888" s="12"/>
      <c r="G888" s="30"/>
      <c r="H888" s="11"/>
      <c r="I888" s="11"/>
      <c r="J888" s="11"/>
    </row>
    <row r="889" spans="2:10" s="9" customFormat="1" x14ac:dyDescent="0.2">
      <c r="B889" s="10"/>
      <c r="C889" s="11"/>
      <c r="D889" s="11"/>
      <c r="E889" s="12"/>
      <c r="F889" s="12"/>
      <c r="G889" s="30"/>
      <c r="H889" s="11"/>
      <c r="I889" s="11"/>
      <c r="J889" s="11"/>
    </row>
    <row r="890" spans="2:10" s="9" customFormat="1" x14ac:dyDescent="0.2">
      <c r="B890" s="10"/>
      <c r="C890" s="11"/>
      <c r="D890" s="11"/>
      <c r="E890" s="12"/>
      <c r="F890" s="12"/>
      <c r="G890" s="30"/>
      <c r="H890" s="11"/>
      <c r="I890" s="11"/>
      <c r="J890" s="11"/>
    </row>
    <row r="891" spans="2:10" s="9" customFormat="1" x14ac:dyDescent="0.2">
      <c r="B891" s="10"/>
      <c r="C891" s="11"/>
      <c r="D891" s="11"/>
      <c r="E891" s="12"/>
      <c r="F891" s="12"/>
      <c r="G891" s="30"/>
      <c r="H891" s="11"/>
      <c r="I891" s="11"/>
      <c r="J891" s="11"/>
    </row>
    <row r="892" spans="2:10" s="9" customFormat="1" x14ac:dyDescent="0.2">
      <c r="B892" s="10"/>
      <c r="C892" s="11"/>
      <c r="D892" s="11"/>
      <c r="E892" s="12"/>
      <c r="F892" s="12"/>
      <c r="G892" s="30"/>
      <c r="H892" s="11"/>
      <c r="I892" s="11"/>
      <c r="J892" s="11"/>
    </row>
    <row r="893" spans="2:10" s="9" customFormat="1" x14ac:dyDescent="0.2">
      <c r="B893" s="10"/>
      <c r="C893" s="11"/>
      <c r="D893" s="11"/>
      <c r="E893" s="12"/>
      <c r="F893" s="12"/>
      <c r="G893" s="30"/>
      <c r="H893" s="11"/>
      <c r="I893" s="11"/>
      <c r="J893" s="11"/>
    </row>
    <row r="894" spans="2:10" s="9" customFormat="1" x14ac:dyDescent="0.2">
      <c r="B894" s="10"/>
      <c r="C894" s="11"/>
      <c r="D894" s="11"/>
      <c r="E894" s="12"/>
      <c r="F894" s="12"/>
      <c r="G894" s="30"/>
      <c r="H894" s="11"/>
      <c r="I894" s="11"/>
      <c r="J894" s="11"/>
    </row>
    <row r="895" spans="2:10" s="9" customFormat="1" x14ac:dyDescent="0.2">
      <c r="B895" s="10"/>
      <c r="C895" s="11"/>
      <c r="D895" s="11"/>
      <c r="E895" s="12"/>
      <c r="F895" s="12"/>
      <c r="G895" s="30"/>
      <c r="H895" s="11"/>
      <c r="I895" s="11"/>
      <c r="J895" s="11"/>
    </row>
    <row r="896" spans="2:10" s="9" customFormat="1" x14ac:dyDescent="0.2">
      <c r="B896" s="10"/>
      <c r="C896" s="11"/>
      <c r="D896" s="11"/>
      <c r="E896" s="12"/>
      <c r="F896" s="12"/>
      <c r="G896" s="30"/>
      <c r="H896" s="11"/>
      <c r="I896" s="11"/>
      <c r="J896" s="11"/>
    </row>
    <row r="897" spans="2:10" s="9" customFormat="1" x14ac:dyDescent="0.2">
      <c r="B897" s="10"/>
      <c r="C897" s="11"/>
      <c r="D897" s="11"/>
      <c r="E897" s="12"/>
      <c r="F897" s="12"/>
      <c r="G897" s="30"/>
      <c r="H897" s="11"/>
      <c r="I897" s="11"/>
      <c r="J897" s="11"/>
    </row>
    <row r="898" spans="2:10" s="9" customFormat="1" x14ac:dyDescent="0.2">
      <c r="B898" s="10"/>
      <c r="C898" s="11"/>
      <c r="D898" s="11"/>
      <c r="E898" s="12"/>
      <c r="F898" s="12"/>
      <c r="G898" s="30"/>
      <c r="H898" s="11"/>
      <c r="I898" s="11"/>
      <c r="J898" s="11"/>
    </row>
    <row r="899" spans="2:10" s="9" customFormat="1" x14ac:dyDescent="0.2">
      <c r="B899" s="10"/>
      <c r="C899" s="11"/>
      <c r="D899" s="11"/>
      <c r="E899" s="12"/>
      <c r="F899" s="12"/>
      <c r="G899" s="30"/>
      <c r="H899" s="11"/>
      <c r="I899" s="11"/>
      <c r="J899" s="11"/>
    </row>
    <row r="900" spans="2:10" s="9" customFormat="1" x14ac:dyDescent="0.2">
      <c r="B900" s="10"/>
      <c r="C900" s="11"/>
      <c r="D900" s="11"/>
      <c r="E900" s="12"/>
      <c r="F900" s="12"/>
      <c r="G900" s="30"/>
      <c r="H900" s="11"/>
      <c r="I900" s="11"/>
      <c r="J900" s="11"/>
    </row>
    <row r="901" spans="2:10" s="9" customFormat="1" x14ac:dyDescent="0.2">
      <c r="B901" s="10"/>
      <c r="C901" s="11"/>
      <c r="D901" s="11"/>
      <c r="E901" s="12"/>
      <c r="F901" s="12"/>
      <c r="G901" s="30"/>
      <c r="H901" s="11"/>
      <c r="I901" s="11"/>
      <c r="J901" s="11"/>
    </row>
    <row r="902" spans="2:10" s="9" customFormat="1" x14ac:dyDescent="0.2">
      <c r="B902" s="10"/>
      <c r="C902" s="11"/>
      <c r="D902" s="11"/>
      <c r="E902" s="12"/>
      <c r="F902" s="12"/>
      <c r="G902" s="30"/>
      <c r="H902" s="11"/>
      <c r="I902" s="11"/>
      <c r="J902" s="11"/>
    </row>
    <row r="903" spans="2:10" s="9" customFormat="1" x14ac:dyDescent="0.2">
      <c r="B903" s="10"/>
      <c r="C903" s="11"/>
      <c r="D903" s="11"/>
      <c r="E903" s="12"/>
      <c r="F903" s="12"/>
      <c r="G903" s="30"/>
      <c r="H903" s="11"/>
      <c r="I903" s="11"/>
      <c r="J903" s="11"/>
    </row>
    <row r="904" spans="2:10" s="9" customFormat="1" x14ac:dyDescent="0.2">
      <c r="B904" s="10"/>
      <c r="C904" s="11"/>
      <c r="D904" s="11"/>
      <c r="E904" s="12"/>
      <c r="F904" s="12"/>
      <c r="G904" s="30"/>
      <c r="H904" s="11"/>
      <c r="I904" s="11"/>
      <c r="J904" s="11"/>
    </row>
    <row r="905" spans="2:10" s="9" customFormat="1" x14ac:dyDescent="0.2">
      <c r="B905" s="10"/>
      <c r="C905" s="11"/>
      <c r="D905" s="11"/>
      <c r="E905" s="12"/>
      <c r="F905" s="12"/>
      <c r="G905" s="30"/>
      <c r="H905" s="11"/>
      <c r="I905" s="11"/>
      <c r="J905" s="11"/>
    </row>
    <row r="906" spans="2:10" s="9" customFormat="1" x14ac:dyDescent="0.2">
      <c r="B906" s="10"/>
      <c r="C906" s="11"/>
      <c r="D906" s="11"/>
      <c r="E906" s="12"/>
      <c r="F906" s="12"/>
      <c r="G906" s="30"/>
      <c r="H906" s="11"/>
      <c r="I906" s="11"/>
      <c r="J906" s="11"/>
    </row>
    <row r="907" spans="2:10" s="9" customFormat="1" x14ac:dyDescent="0.2">
      <c r="B907" s="10"/>
      <c r="C907" s="11"/>
      <c r="D907" s="11"/>
      <c r="E907" s="12"/>
      <c r="F907" s="12"/>
      <c r="G907" s="30"/>
      <c r="H907" s="11"/>
      <c r="I907" s="11"/>
      <c r="J907" s="11"/>
    </row>
    <row r="908" spans="2:10" s="9" customFormat="1" x14ac:dyDescent="0.2">
      <c r="B908" s="10"/>
      <c r="C908" s="11"/>
      <c r="D908" s="11"/>
      <c r="E908" s="12"/>
      <c r="F908" s="12"/>
      <c r="G908" s="30"/>
      <c r="H908" s="11"/>
      <c r="I908" s="11"/>
      <c r="J908" s="11"/>
    </row>
    <row r="909" spans="2:10" s="9" customFormat="1" x14ac:dyDescent="0.2">
      <c r="B909" s="10"/>
      <c r="C909" s="11"/>
      <c r="D909" s="11"/>
      <c r="E909" s="12"/>
      <c r="F909" s="12"/>
      <c r="G909" s="30"/>
      <c r="H909" s="11"/>
      <c r="I909" s="11"/>
      <c r="J909" s="11"/>
    </row>
    <row r="910" spans="2:10" s="9" customFormat="1" x14ac:dyDescent="0.2">
      <c r="B910" s="10"/>
      <c r="C910" s="11"/>
      <c r="D910" s="11"/>
      <c r="E910" s="12"/>
      <c r="F910" s="12"/>
      <c r="G910" s="30"/>
      <c r="H910" s="11"/>
      <c r="I910" s="11"/>
      <c r="J910" s="11"/>
    </row>
    <row r="911" spans="2:10" s="9" customFormat="1" x14ac:dyDescent="0.2">
      <c r="B911" s="10"/>
      <c r="C911" s="11"/>
      <c r="D911" s="11"/>
      <c r="E911" s="12"/>
      <c r="F911" s="12"/>
      <c r="G911" s="30"/>
      <c r="H911" s="11"/>
      <c r="I911" s="11"/>
      <c r="J911" s="11"/>
    </row>
    <row r="912" spans="2:10" s="9" customFormat="1" x14ac:dyDescent="0.2">
      <c r="B912" s="10"/>
      <c r="C912" s="11"/>
      <c r="D912" s="11"/>
      <c r="E912" s="12"/>
      <c r="F912" s="12"/>
      <c r="G912" s="30"/>
      <c r="H912" s="11"/>
      <c r="I912" s="11"/>
      <c r="J912" s="11"/>
    </row>
    <row r="913" spans="2:10" s="9" customFormat="1" x14ac:dyDescent="0.2">
      <c r="B913" s="10"/>
      <c r="C913" s="11"/>
      <c r="D913" s="11"/>
      <c r="E913" s="12"/>
      <c r="F913" s="12"/>
      <c r="G913" s="30"/>
      <c r="H913" s="11"/>
      <c r="I913" s="11"/>
      <c r="J913" s="11"/>
    </row>
    <row r="914" spans="2:10" s="9" customFormat="1" x14ac:dyDescent="0.2">
      <c r="B914" s="10"/>
      <c r="C914" s="11"/>
      <c r="D914" s="11"/>
      <c r="E914" s="12"/>
      <c r="F914" s="12"/>
      <c r="G914" s="30"/>
      <c r="H914" s="11"/>
      <c r="I914" s="11"/>
      <c r="J914" s="11"/>
    </row>
    <row r="915" spans="2:10" s="9" customFormat="1" x14ac:dyDescent="0.2">
      <c r="B915" s="10"/>
      <c r="C915" s="11"/>
      <c r="D915" s="11"/>
      <c r="E915" s="12"/>
      <c r="F915" s="12"/>
      <c r="G915" s="30"/>
      <c r="H915" s="11"/>
      <c r="I915" s="11"/>
      <c r="J915" s="11"/>
    </row>
    <row r="916" spans="2:10" s="9" customFormat="1" x14ac:dyDescent="0.2">
      <c r="B916" s="10"/>
      <c r="C916" s="11"/>
      <c r="D916" s="11"/>
      <c r="E916" s="12"/>
      <c r="F916" s="12"/>
      <c r="G916" s="30"/>
      <c r="H916" s="11"/>
      <c r="I916" s="11"/>
      <c r="J916" s="11"/>
    </row>
    <row r="917" spans="2:10" s="9" customFormat="1" x14ac:dyDescent="0.2">
      <c r="B917" s="10"/>
      <c r="C917" s="11"/>
      <c r="D917" s="11"/>
      <c r="E917" s="12"/>
      <c r="F917" s="12"/>
      <c r="G917" s="30"/>
      <c r="H917" s="11"/>
      <c r="I917" s="11"/>
      <c r="J917" s="11"/>
    </row>
    <row r="918" spans="2:10" s="9" customFormat="1" x14ac:dyDescent="0.2">
      <c r="B918" s="10"/>
      <c r="C918" s="11"/>
      <c r="D918" s="11"/>
      <c r="E918" s="12"/>
      <c r="F918" s="12"/>
      <c r="G918" s="30"/>
      <c r="H918" s="11"/>
      <c r="I918" s="11"/>
      <c r="J918" s="11"/>
    </row>
    <row r="919" spans="2:10" s="9" customFormat="1" x14ac:dyDescent="0.2">
      <c r="B919" s="10"/>
      <c r="C919" s="11"/>
      <c r="D919" s="11"/>
      <c r="E919" s="12"/>
      <c r="F919" s="12"/>
      <c r="G919" s="30"/>
      <c r="H919" s="11"/>
      <c r="I919" s="11"/>
      <c r="J919" s="11"/>
    </row>
    <row r="920" spans="2:10" s="9" customFormat="1" x14ac:dyDescent="0.2">
      <c r="B920" s="10"/>
      <c r="C920" s="11"/>
      <c r="D920" s="11"/>
      <c r="E920" s="12"/>
      <c r="F920" s="12"/>
      <c r="G920" s="30"/>
      <c r="H920" s="11"/>
      <c r="I920" s="11"/>
      <c r="J920" s="11"/>
    </row>
    <row r="921" spans="2:10" s="9" customFormat="1" x14ac:dyDescent="0.2">
      <c r="B921" s="10"/>
      <c r="C921" s="11"/>
      <c r="D921" s="11"/>
      <c r="E921" s="12"/>
      <c r="F921" s="12"/>
      <c r="G921" s="30"/>
      <c r="H921" s="11"/>
      <c r="I921" s="11"/>
      <c r="J921" s="11"/>
    </row>
    <row r="922" spans="2:10" s="9" customFormat="1" x14ac:dyDescent="0.2">
      <c r="B922" s="10"/>
      <c r="C922" s="11"/>
      <c r="D922" s="11"/>
      <c r="E922" s="12"/>
      <c r="F922" s="12"/>
      <c r="G922" s="30"/>
      <c r="H922" s="11"/>
      <c r="I922" s="11"/>
      <c r="J922" s="11"/>
    </row>
    <row r="923" spans="2:10" s="9" customFormat="1" x14ac:dyDescent="0.2">
      <c r="B923" s="10"/>
      <c r="C923" s="11"/>
      <c r="D923" s="11"/>
      <c r="E923" s="12"/>
      <c r="F923" s="12"/>
      <c r="G923" s="30"/>
      <c r="H923" s="11"/>
      <c r="I923" s="11"/>
      <c r="J923" s="11"/>
    </row>
    <row r="924" spans="2:10" s="9" customFormat="1" x14ac:dyDescent="0.2">
      <c r="B924" s="10"/>
      <c r="C924" s="11"/>
      <c r="D924" s="11"/>
      <c r="E924" s="12"/>
      <c r="F924" s="12"/>
      <c r="G924" s="30"/>
      <c r="H924" s="11"/>
      <c r="I924" s="11"/>
      <c r="J924" s="11"/>
    </row>
    <row r="925" spans="2:10" s="9" customFormat="1" x14ac:dyDescent="0.2">
      <c r="B925" s="10"/>
      <c r="C925" s="11"/>
      <c r="D925" s="11"/>
      <c r="E925" s="12"/>
      <c r="F925" s="12"/>
      <c r="G925" s="30"/>
      <c r="H925" s="11"/>
      <c r="I925" s="11"/>
      <c r="J925" s="11"/>
    </row>
    <row r="926" spans="2:10" s="9" customFormat="1" x14ac:dyDescent="0.2">
      <c r="B926" s="10"/>
      <c r="C926" s="11"/>
      <c r="D926" s="11"/>
      <c r="E926" s="12"/>
      <c r="F926" s="12"/>
      <c r="G926" s="30"/>
      <c r="H926" s="11"/>
      <c r="I926" s="11"/>
      <c r="J926" s="11"/>
    </row>
    <row r="927" spans="2:10" s="9" customFormat="1" x14ac:dyDescent="0.2">
      <c r="B927" s="10"/>
      <c r="C927" s="11"/>
      <c r="D927" s="11"/>
      <c r="E927" s="12"/>
      <c r="F927" s="12"/>
      <c r="G927" s="30"/>
      <c r="H927" s="11"/>
      <c r="I927" s="11"/>
      <c r="J927" s="11"/>
    </row>
    <row r="928" spans="2:10" s="9" customFormat="1" x14ac:dyDescent="0.2">
      <c r="B928" s="10"/>
      <c r="C928" s="11"/>
      <c r="D928" s="11"/>
      <c r="E928" s="12"/>
      <c r="F928" s="12"/>
      <c r="G928" s="30"/>
      <c r="H928" s="11"/>
      <c r="I928" s="11"/>
      <c r="J928" s="11"/>
    </row>
  </sheetData>
  <mergeCells count="1">
    <mergeCell ref="K2:L2"/>
  </mergeCells>
  <pageMargins left="0.78740157480314965" right="0.51181102362204722" top="1.7322834645669292" bottom="0.78740157480314965" header="0.39370078740157483" footer="0.51181102362204722"/>
  <pageSetup paperSize="9" orientation="landscape" r:id="rId1"/>
  <headerFooter scaleWithDoc="0" alignWithMargins="0">
    <oddHeader xml:space="preserve">&amp;L&amp;"Verdana,Standard"&amp;11Prozessgruppe
&amp;"Verdana,Fett"PR&amp;"Verdana,Standard"&amp;10
&amp;K000000
&amp;C&amp;G&amp;R&amp;"Verdana,Fett"&amp;18FM-209
&amp;10
&amp;12Zelldaten Produktion&amp;10
&amp;8
</oddHeader>
    <oddFooter>&amp;L09.02.2017/SB&amp;CFM-209.A.Zelldaten Produktion&amp;R&amp;"Verdana,Standard"&amp;9Seite &amp;P von &amp;N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929"/>
  <sheetViews>
    <sheetView showRuler="0" zoomScaleNormal="100" workbookViewId="0">
      <pane ySplit="2" topLeftCell="A42" activePane="bottomLeft" state="frozen"/>
      <selection pane="bottomLeft" activeCell="C55" sqref="C55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9.5703125" style="2" customWidth="1"/>
    <col min="5" max="6" width="13.28515625" style="3" customWidth="1"/>
    <col min="7" max="7" width="13.28515625" style="2" customWidth="1"/>
    <col min="8" max="8" width="10" style="2" bestFit="1" customWidth="1"/>
    <col min="9" max="10" width="12.28515625" style="2" customWidth="1"/>
    <col min="11" max="11" width="29.5703125" customWidth="1"/>
    <col min="12" max="12" width="53.85546875" customWidth="1"/>
    <col min="13" max="13" width="8.7109375" customWidth="1"/>
    <col min="14" max="14" width="12" style="9" customWidth="1"/>
    <col min="15" max="15" width="12.42578125" style="9" customWidth="1"/>
    <col min="16" max="45" width="11.28515625" style="9"/>
  </cols>
  <sheetData>
    <row r="1" spans="2:15" s="9" customFormat="1" x14ac:dyDescent="0.2"/>
    <row r="2" spans="2:15" ht="32.25" x14ac:dyDescent="0.2">
      <c r="B2" s="4" t="s">
        <v>0</v>
      </c>
      <c r="C2" s="4" t="s">
        <v>8</v>
      </c>
      <c r="D2" s="8" t="s">
        <v>4</v>
      </c>
      <c r="E2" s="5" t="s">
        <v>361</v>
      </c>
      <c r="F2" s="5" t="s">
        <v>362</v>
      </c>
      <c r="G2" s="5" t="s">
        <v>7</v>
      </c>
      <c r="H2" s="5" t="s">
        <v>6</v>
      </c>
      <c r="I2" s="5" t="s">
        <v>5</v>
      </c>
      <c r="J2" s="5" t="s">
        <v>1</v>
      </c>
      <c r="K2" s="158" t="s">
        <v>2</v>
      </c>
      <c r="L2" s="159"/>
      <c r="M2" s="4" t="s">
        <v>3</v>
      </c>
      <c r="N2" s="27" t="s">
        <v>360</v>
      </c>
      <c r="O2" s="27">
        <v>2017</v>
      </c>
    </row>
    <row r="3" spans="2:15" x14ac:dyDescent="0.2">
      <c r="B3" s="13" t="s">
        <v>337</v>
      </c>
      <c r="C3" s="13" t="s">
        <v>338</v>
      </c>
      <c r="D3" s="14">
        <v>0.2</v>
      </c>
      <c r="E3" s="15">
        <v>1.8779999999999999</v>
      </c>
      <c r="F3" s="15">
        <v>3.76</v>
      </c>
      <c r="G3" s="15">
        <v>3.7370000000000001</v>
      </c>
      <c r="H3" s="7">
        <f>F3-G3</f>
        <v>2.2999999999999687E-2</v>
      </c>
      <c r="I3" s="13" t="s">
        <v>323</v>
      </c>
      <c r="J3" s="15" t="s">
        <v>324</v>
      </c>
      <c r="K3" s="15"/>
      <c r="L3" s="13"/>
      <c r="M3" s="6"/>
      <c r="O3" s="26"/>
    </row>
    <row r="4" spans="2:15" x14ac:dyDescent="0.2">
      <c r="B4" s="13"/>
      <c r="C4" s="13" t="s">
        <v>339</v>
      </c>
      <c r="D4" s="14"/>
      <c r="E4" s="15">
        <v>1.8819999999999999</v>
      </c>
      <c r="F4" s="15"/>
      <c r="G4" s="15"/>
      <c r="H4" s="7"/>
      <c r="I4" s="13"/>
      <c r="J4" s="15"/>
      <c r="K4" s="15"/>
      <c r="L4" s="15"/>
      <c r="M4" s="6"/>
    </row>
    <row r="5" spans="2:15" x14ac:dyDescent="0.2">
      <c r="B5" s="13" t="s">
        <v>340</v>
      </c>
      <c r="C5" s="13" t="s">
        <v>41</v>
      </c>
      <c r="D5" s="14">
        <v>0.3</v>
      </c>
      <c r="E5" s="15">
        <v>1.875</v>
      </c>
      <c r="F5" s="15">
        <v>3.7549999999999999</v>
      </c>
      <c r="G5" s="15">
        <v>3.7280000000000002</v>
      </c>
      <c r="H5" s="7">
        <f t="shared" ref="H5:H20" si="0">F5-G5</f>
        <v>2.6999999999999691E-2</v>
      </c>
      <c r="I5" s="13" t="s">
        <v>41</v>
      </c>
      <c r="J5" s="15" t="s">
        <v>41</v>
      </c>
      <c r="K5" s="19"/>
      <c r="L5" s="13"/>
      <c r="M5" s="6"/>
    </row>
    <row r="6" spans="2:15" x14ac:dyDescent="0.2">
      <c r="B6" s="13"/>
      <c r="C6" s="13" t="s">
        <v>41</v>
      </c>
      <c r="D6" s="14"/>
      <c r="E6" s="15">
        <v>1.879</v>
      </c>
      <c r="F6" s="15"/>
      <c r="G6" s="15"/>
      <c r="H6" s="7"/>
      <c r="I6" s="13"/>
      <c r="J6" s="15"/>
      <c r="K6" s="19"/>
      <c r="L6" s="13"/>
      <c r="M6" s="6"/>
    </row>
    <row r="7" spans="2:15" x14ac:dyDescent="0.2">
      <c r="B7" s="13" t="s">
        <v>341</v>
      </c>
      <c r="C7" s="13" t="s">
        <v>41</v>
      </c>
      <c r="D7" s="14">
        <v>0.7</v>
      </c>
      <c r="E7" s="13">
        <v>1.8839999999999999</v>
      </c>
      <c r="F7" s="13">
        <v>3.7810000000000001</v>
      </c>
      <c r="G7" s="13">
        <v>3.7570000000000001</v>
      </c>
      <c r="H7" s="7">
        <f t="shared" si="0"/>
        <v>2.4000000000000021E-2</v>
      </c>
      <c r="I7" s="13" t="s">
        <v>41</v>
      </c>
      <c r="J7" s="15" t="s">
        <v>41</v>
      </c>
      <c r="K7" s="13"/>
      <c r="L7" s="20"/>
      <c r="M7" s="6"/>
    </row>
    <row r="8" spans="2:15" x14ac:dyDescent="0.2">
      <c r="B8" s="13"/>
      <c r="C8" s="13" t="s">
        <v>41</v>
      </c>
      <c r="D8" s="14"/>
      <c r="E8" s="13">
        <v>1.897</v>
      </c>
      <c r="F8" s="13"/>
      <c r="G8" s="13"/>
      <c r="H8" s="7"/>
      <c r="I8" s="13"/>
      <c r="J8" s="15"/>
      <c r="K8" s="13"/>
      <c r="L8" s="13"/>
      <c r="M8" s="6"/>
    </row>
    <row r="9" spans="2:15" x14ac:dyDescent="0.2">
      <c r="B9" s="13" t="s">
        <v>342</v>
      </c>
      <c r="C9" s="13" t="s">
        <v>41</v>
      </c>
      <c r="D9" s="14">
        <v>0.5</v>
      </c>
      <c r="E9" s="15">
        <v>1.86</v>
      </c>
      <c r="F9" s="15">
        <v>3.722</v>
      </c>
      <c r="G9" s="15">
        <v>3.694</v>
      </c>
      <c r="H9" s="7">
        <f t="shared" si="0"/>
        <v>2.8000000000000025E-2</v>
      </c>
      <c r="I9" s="13" t="s">
        <v>41</v>
      </c>
      <c r="J9" s="15" t="s">
        <v>41</v>
      </c>
      <c r="K9" s="19"/>
      <c r="L9" s="13"/>
      <c r="M9" s="6"/>
    </row>
    <row r="10" spans="2:15" x14ac:dyDescent="0.2">
      <c r="B10" s="13"/>
      <c r="C10" s="13" t="s">
        <v>41</v>
      </c>
      <c r="D10" s="16"/>
      <c r="E10" s="15">
        <v>1.861</v>
      </c>
      <c r="F10" s="15"/>
      <c r="G10" s="15"/>
      <c r="H10" s="7"/>
      <c r="I10" s="13"/>
      <c r="J10" s="15"/>
      <c r="K10" s="15"/>
      <c r="L10" s="13"/>
      <c r="M10" s="6"/>
    </row>
    <row r="11" spans="2:15" x14ac:dyDescent="0.2">
      <c r="B11" s="13" t="s">
        <v>343</v>
      </c>
      <c r="C11" s="13" t="s">
        <v>41</v>
      </c>
      <c r="D11" s="16">
        <v>0</v>
      </c>
      <c r="E11" s="15"/>
      <c r="F11" s="15">
        <v>1.8859999999999999</v>
      </c>
      <c r="G11" s="15">
        <v>1.8720000000000001</v>
      </c>
      <c r="H11" s="7">
        <f t="shared" si="0"/>
        <v>1.399999999999979E-2</v>
      </c>
      <c r="I11" s="13" t="s">
        <v>328</v>
      </c>
      <c r="J11" s="15" t="s">
        <v>191</v>
      </c>
      <c r="K11" s="15"/>
      <c r="L11" s="13"/>
      <c r="M11" s="6"/>
    </row>
    <row r="12" spans="2:15" x14ac:dyDescent="0.2">
      <c r="B12" s="13" t="s">
        <v>344</v>
      </c>
      <c r="C12" s="13" t="s">
        <v>41</v>
      </c>
      <c r="D12" s="16">
        <v>0.4</v>
      </c>
      <c r="E12" s="15"/>
      <c r="F12" s="15">
        <v>1.8839999999999999</v>
      </c>
      <c r="G12" s="15">
        <v>1.87</v>
      </c>
      <c r="H12" s="7">
        <f t="shared" si="0"/>
        <v>1.399999999999979E-2</v>
      </c>
      <c r="I12" s="15" t="s">
        <v>41</v>
      </c>
      <c r="J12" s="15" t="s">
        <v>41</v>
      </c>
      <c r="K12" s="15" t="s">
        <v>364</v>
      </c>
      <c r="L12" s="13"/>
      <c r="M12" s="6"/>
    </row>
    <row r="13" spans="2:15" x14ac:dyDescent="0.2">
      <c r="B13" s="13" t="s">
        <v>345</v>
      </c>
      <c r="C13" s="13" t="s">
        <v>41</v>
      </c>
      <c r="D13" s="16">
        <v>0.3</v>
      </c>
      <c r="E13" s="15"/>
      <c r="F13" s="15">
        <v>1.885</v>
      </c>
      <c r="G13" s="15">
        <v>1.8720000000000001</v>
      </c>
      <c r="H13" s="7">
        <f t="shared" si="0"/>
        <v>1.2999999999999901E-2</v>
      </c>
      <c r="I13" s="15" t="s">
        <v>41</v>
      </c>
      <c r="J13" s="15" t="s">
        <v>41</v>
      </c>
      <c r="K13" s="15" t="s">
        <v>364</v>
      </c>
      <c r="L13" s="13"/>
      <c r="M13" s="6"/>
    </row>
    <row r="14" spans="2:15" x14ac:dyDescent="0.2">
      <c r="B14" s="13" t="s">
        <v>346</v>
      </c>
      <c r="C14" s="13" t="s">
        <v>41</v>
      </c>
      <c r="D14" s="16">
        <v>0.2</v>
      </c>
      <c r="E14" s="15"/>
      <c r="F14" s="15">
        <v>1.893</v>
      </c>
      <c r="G14" s="15">
        <v>1.883</v>
      </c>
      <c r="H14" s="7">
        <f t="shared" si="0"/>
        <v>1.0000000000000009E-2</v>
      </c>
      <c r="I14" s="15" t="s">
        <v>41</v>
      </c>
      <c r="J14" s="15" t="s">
        <v>41</v>
      </c>
      <c r="K14" s="15" t="s">
        <v>462</v>
      </c>
      <c r="L14" s="13"/>
      <c r="M14" s="6"/>
    </row>
    <row r="15" spans="2:15" x14ac:dyDescent="0.2">
      <c r="B15" s="13" t="s">
        <v>347</v>
      </c>
      <c r="C15" s="13" t="s">
        <v>41</v>
      </c>
      <c r="D15" s="16">
        <v>0</v>
      </c>
      <c r="E15" s="15"/>
      <c r="F15" s="15">
        <v>1.881</v>
      </c>
      <c r="G15" s="15">
        <v>1.8680000000000001</v>
      </c>
      <c r="H15" s="7">
        <f t="shared" si="0"/>
        <v>1.2999999999999901E-2</v>
      </c>
      <c r="I15" s="15" t="s">
        <v>41</v>
      </c>
      <c r="J15" s="15" t="s">
        <v>41</v>
      </c>
      <c r="K15" s="15"/>
      <c r="L15" s="13"/>
      <c r="M15" s="6"/>
    </row>
    <row r="16" spans="2:15" x14ac:dyDescent="0.2">
      <c r="B16" s="13" t="s">
        <v>348</v>
      </c>
      <c r="C16" s="13" t="s">
        <v>41</v>
      </c>
      <c r="D16" s="16">
        <v>0</v>
      </c>
      <c r="E16" s="15"/>
      <c r="F16" s="15">
        <v>1.8779999999999999</v>
      </c>
      <c r="G16" s="15">
        <v>1.8640000000000001</v>
      </c>
      <c r="H16" s="7">
        <f t="shared" si="0"/>
        <v>1.399999999999979E-2</v>
      </c>
      <c r="I16" s="15" t="s">
        <v>41</v>
      </c>
      <c r="J16" s="15" t="s">
        <v>41</v>
      </c>
      <c r="K16" s="15"/>
      <c r="L16" s="13"/>
      <c r="M16" s="6"/>
    </row>
    <row r="17" spans="2:13" x14ac:dyDescent="0.2">
      <c r="B17" s="13" t="s">
        <v>349</v>
      </c>
      <c r="C17" s="13" t="s">
        <v>41</v>
      </c>
      <c r="D17" s="16">
        <v>0.5</v>
      </c>
      <c r="E17" s="15"/>
      <c r="F17" s="15">
        <v>1.9159999999999999</v>
      </c>
      <c r="G17" s="15">
        <v>1.9059999999999999</v>
      </c>
      <c r="H17" s="7">
        <f t="shared" si="0"/>
        <v>1.0000000000000009E-2</v>
      </c>
      <c r="I17" s="15" t="s">
        <v>352</v>
      </c>
      <c r="J17" s="15" t="s">
        <v>379</v>
      </c>
      <c r="K17" s="13" t="s">
        <v>354</v>
      </c>
      <c r="L17" s="13"/>
      <c r="M17" s="6"/>
    </row>
    <row r="18" spans="2:13" x14ac:dyDescent="0.2">
      <c r="B18" s="13" t="s">
        <v>350</v>
      </c>
      <c r="C18" s="13" t="s">
        <v>41</v>
      </c>
      <c r="D18" s="16">
        <v>0.3</v>
      </c>
      <c r="E18" s="15"/>
      <c r="F18" s="15">
        <v>1.891</v>
      </c>
      <c r="G18" s="15">
        <v>1.879</v>
      </c>
      <c r="H18" s="7">
        <f t="shared" si="0"/>
        <v>1.2000000000000011E-2</v>
      </c>
      <c r="I18" s="15" t="s">
        <v>352</v>
      </c>
      <c r="J18" s="15" t="s">
        <v>41</v>
      </c>
      <c r="K18" s="13" t="s">
        <v>355</v>
      </c>
      <c r="L18" s="13"/>
      <c r="M18" s="6"/>
    </row>
    <row r="19" spans="2:13" x14ac:dyDescent="0.2">
      <c r="B19" s="13" t="s">
        <v>351</v>
      </c>
      <c r="C19" s="13" t="s">
        <v>41</v>
      </c>
      <c r="D19" s="16">
        <v>0.3</v>
      </c>
      <c r="E19" s="15"/>
      <c r="F19" s="15">
        <v>1.907</v>
      </c>
      <c r="G19" s="15">
        <v>1.8939999999999999</v>
      </c>
      <c r="H19" s="7">
        <f t="shared" si="0"/>
        <v>1.3000000000000123E-2</v>
      </c>
      <c r="I19" s="15" t="s">
        <v>352</v>
      </c>
      <c r="J19" s="15" t="s">
        <v>380</v>
      </c>
      <c r="K19" s="13" t="s">
        <v>356</v>
      </c>
      <c r="L19" s="13"/>
      <c r="M19" s="6"/>
    </row>
    <row r="20" spans="2:13" x14ac:dyDescent="0.2">
      <c r="B20" s="13" t="s">
        <v>358</v>
      </c>
      <c r="C20" s="13" t="s">
        <v>41</v>
      </c>
      <c r="D20" s="16">
        <v>0.2</v>
      </c>
      <c r="E20" s="15">
        <v>1.8420000000000001</v>
      </c>
      <c r="F20" s="15">
        <v>5.4989999999999997</v>
      </c>
      <c r="G20" s="15">
        <v>5.4589999999999996</v>
      </c>
      <c r="H20" s="7">
        <f t="shared" si="0"/>
        <v>4.0000000000000036E-2</v>
      </c>
      <c r="I20" s="15" t="s">
        <v>335</v>
      </c>
      <c r="J20" s="15" t="s">
        <v>359</v>
      </c>
      <c r="K20" s="13"/>
      <c r="L20" s="13"/>
      <c r="M20" s="6"/>
    </row>
    <row r="21" spans="2:13" x14ac:dyDescent="0.2">
      <c r="B21" s="13"/>
      <c r="C21" s="13" t="s">
        <v>41</v>
      </c>
      <c r="D21" s="16"/>
      <c r="E21" s="15">
        <v>1.829</v>
      </c>
      <c r="F21" s="15"/>
      <c r="G21" s="15"/>
      <c r="H21" s="7"/>
      <c r="I21" s="15"/>
      <c r="J21" s="15"/>
      <c r="K21" s="13"/>
      <c r="L21" s="13"/>
      <c r="M21" s="6"/>
    </row>
    <row r="22" spans="2:13" x14ac:dyDescent="0.2">
      <c r="B22" s="13"/>
      <c r="C22" s="13" t="s">
        <v>41</v>
      </c>
      <c r="D22" s="16"/>
      <c r="E22" s="15">
        <v>1.8280000000000001</v>
      </c>
      <c r="F22" s="15"/>
      <c r="G22" s="15"/>
      <c r="H22" s="7"/>
      <c r="I22" s="15"/>
      <c r="J22" s="15"/>
      <c r="K22" s="13"/>
      <c r="L22" s="13"/>
      <c r="M22" s="6"/>
    </row>
    <row r="23" spans="2:13" x14ac:dyDescent="0.2">
      <c r="B23" s="13" t="s">
        <v>404</v>
      </c>
      <c r="C23" s="13" t="s">
        <v>295</v>
      </c>
      <c r="D23" s="16">
        <v>0.2</v>
      </c>
      <c r="E23" s="15"/>
      <c r="F23" s="15">
        <v>1.919</v>
      </c>
      <c r="G23" s="15">
        <v>1.9039999999999999</v>
      </c>
      <c r="H23" s="7">
        <f t="shared" ref="H23:H33" si="1">F23-G23</f>
        <v>1.5000000000000124E-2</v>
      </c>
      <c r="I23" s="15" t="s">
        <v>200</v>
      </c>
      <c r="J23" s="15" t="s">
        <v>377</v>
      </c>
      <c r="K23" s="13" t="s">
        <v>366</v>
      </c>
      <c r="L23" s="13"/>
      <c r="M23" s="6"/>
    </row>
    <row r="24" spans="2:13" x14ac:dyDescent="0.2">
      <c r="B24" s="13" t="s">
        <v>368</v>
      </c>
      <c r="C24" s="13" t="s">
        <v>41</v>
      </c>
      <c r="D24" s="16">
        <v>0.5</v>
      </c>
      <c r="E24" s="15"/>
      <c r="F24" s="15">
        <v>1.9159999999999999</v>
      </c>
      <c r="G24" s="15">
        <v>1.9039999999999999</v>
      </c>
      <c r="H24" s="7">
        <f t="shared" si="1"/>
        <v>1.2000000000000011E-2</v>
      </c>
      <c r="I24" s="15" t="s">
        <v>200</v>
      </c>
      <c r="J24" s="15" t="s">
        <v>41</v>
      </c>
      <c r="K24" s="13" t="s">
        <v>367</v>
      </c>
      <c r="L24" s="13"/>
      <c r="M24" s="6"/>
    </row>
    <row r="25" spans="2:13" x14ac:dyDescent="0.2">
      <c r="B25" s="13" t="s">
        <v>369</v>
      </c>
      <c r="C25" s="13" t="s">
        <v>41</v>
      </c>
      <c r="D25" s="16">
        <v>0.7</v>
      </c>
      <c r="E25" s="17"/>
      <c r="F25" s="17">
        <v>1.9179999999999999</v>
      </c>
      <c r="G25" s="17">
        <v>1.9119999999999999</v>
      </c>
      <c r="H25" s="7">
        <f t="shared" si="1"/>
        <v>6.0000000000000053E-3</v>
      </c>
      <c r="I25" s="15" t="s">
        <v>200</v>
      </c>
      <c r="J25" s="15" t="s">
        <v>378</v>
      </c>
      <c r="K25" s="13" t="s">
        <v>365</v>
      </c>
      <c r="L25" s="13"/>
      <c r="M25" s="6"/>
    </row>
    <row r="26" spans="2:13" x14ac:dyDescent="0.2">
      <c r="B26" s="13" t="s">
        <v>370</v>
      </c>
      <c r="C26" s="13" t="s">
        <v>41</v>
      </c>
      <c r="D26" s="16">
        <v>0.1</v>
      </c>
      <c r="E26" s="17"/>
      <c r="F26" s="17">
        <v>1.881</v>
      </c>
      <c r="G26" s="17">
        <v>1.867</v>
      </c>
      <c r="H26" s="7">
        <f t="shared" si="1"/>
        <v>1.4000000000000012E-2</v>
      </c>
      <c r="I26" s="15" t="s">
        <v>183</v>
      </c>
      <c r="J26" s="15" t="s">
        <v>392</v>
      </c>
      <c r="K26" s="15"/>
      <c r="L26" s="13"/>
      <c r="M26" s="6"/>
    </row>
    <row r="27" spans="2:13" x14ac:dyDescent="0.2">
      <c r="B27" s="13" t="s">
        <v>371</v>
      </c>
      <c r="C27" s="13" t="s">
        <v>41</v>
      </c>
      <c r="D27" s="16">
        <v>0.4</v>
      </c>
      <c r="E27" s="17"/>
      <c r="F27" s="17">
        <v>1.8640000000000001</v>
      </c>
      <c r="G27" s="17">
        <v>1.85</v>
      </c>
      <c r="H27" s="7">
        <f t="shared" si="1"/>
        <v>1.4000000000000012E-2</v>
      </c>
      <c r="I27" s="15" t="s">
        <v>41</v>
      </c>
      <c r="J27" s="15" t="s">
        <v>41</v>
      </c>
      <c r="K27" s="15"/>
      <c r="L27" s="13"/>
      <c r="M27" s="6"/>
    </row>
    <row r="28" spans="2:13" x14ac:dyDescent="0.2">
      <c r="B28" s="13" t="s">
        <v>372</v>
      </c>
      <c r="C28" s="13" t="s">
        <v>41</v>
      </c>
      <c r="D28" s="14">
        <v>0.2</v>
      </c>
      <c r="E28" s="15"/>
      <c r="F28" s="15">
        <v>1.861</v>
      </c>
      <c r="G28" s="15">
        <v>1.847</v>
      </c>
      <c r="H28" s="7">
        <f t="shared" si="1"/>
        <v>1.4000000000000012E-2</v>
      </c>
      <c r="I28" s="15" t="s">
        <v>41</v>
      </c>
      <c r="J28" s="15" t="s">
        <v>41</v>
      </c>
      <c r="K28" s="15"/>
      <c r="L28" s="13"/>
      <c r="M28" s="6"/>
    </row>
    <row r="29" spans="2:13" x14ac:dyDescent="0.2">
      <c r="B29" s="13" t="s">
        <v>373</v>
      </c>
      <c r="C29" s="13" t="s">
        <v>41</v>
      </c>
      <c r="D29" s="14">
        <v>0.5</v>
      </c>
      <c r="E29" s="15"/>
      <c r="F29" s="15">
        <v>1.8819999999999999</v>
      </c>
      <c r="G29" s="15">
        <v>1.8660000000000001</v>
      </c>
      <c r="H29" s="7">
        <f t="shared" si="1"/>
        <v>1.5999999999999792E-2</v>
      </c>
      <c r="I29" s="15" t="s">
        <v>41</v>
      </c>
      <c r="J29" s="15" t="s">
        <v>41</v>
      </c>
      <c r="K29" s="15"/>
      <c r="L29" s="13"/>
      <c r="M29" s="6"/>
    </row>
    <row r="30" spans="2:13" x14ac:dyDescent="0.2">
      <c r="B30" s="13" t="s">
        <v>374</v>
      </c>
      <c r="C30" s="13" t="s">
        <v>41</v>
      </c>
      <c r="D30" s="14">
        <v>0.3</v>
      </c>
      <c r="E30" s="15"/>
      <c r="F30" s="15">
        <v>1.881</v>
      </c>
      <c r="G30" s="15">
        <v>1.8660000000000001</v>
      </c>
      <c r="H30" s="7">
        <f t="shared" si="1"/>
        <v>1.4999999999999902E-2</v>
      </c>
      <c r="I30" s="15" t="s">
        <v>41</v>
      </c>
      <c r="J30" s="15" t="s">
        <v>41</v>
      </c>
      <c r="K30" s="15"/>
      <c r="L30" s="13"/>
      <c r="M30" s="6"/>
    </row>
    <row r="31" spans="2:13" x14ac:dyDescent="0.2">
      <c r="B31" s="13" t="s">
        <v>375</v>
      </c>
      <c r="C31" s="13" t="s">
        <v>41</v>
      </c>
      <c r="D31" s="14">
        <v>0.3</v>
      </c>
      <c r="E31" s="15"/>
      <c r="F31" s="15">
        <v>1.8779999999999999</v>
      </c>
      <c r="G31" s="15">
        <v>1.8640000000000001</v>
      </c>
      <c r="H31" s="7">
        <f t="shared" si="1"/>
        <v>1.399999999999979E-2</v>
      </c>
      <c r="I31" s="15" t="s">
        <v>41</v>
      </c>
      <c r="J31" s="15" t="s">
        <v>41</v>
      </c>
      <c r="K31" s="15"/>
      <c r="L31" s="13"/>
      <c r="M31" s="6"/>
    </row>
    <row r="32" spans="2:13" x14ac:dyDescent="0.2">
      <c r="B32" s="13" t="s">
        <v>376</v>
      </c>
      <c r="C32" s="13" t="s">
        <v>41</v>
      </c>
      <c r="D32" s="14">
        <v>0.2</v>
      </c>
      <c r="E32" s="15"/>
      <c r="F32" s="15">
        <v>1.89</v>
      </c>
      <c r="G32" s="15">
        <v>1.8759999999999999</v>
      </c>
      <c r="H32" s="7">
        <f t="shared" si="1"/>
        <v>1.4000000000000012E-2</v>
      </c>
      <c r="I32" s="15" t="s">
        <v>41</v>
      </c>
      <c r="J32" s="15" t="s">
        <v>41</v>
      </c>
      <c r="K32" s="15"/>
      <c r="L32" s="13"/>
      <c r="M32" s="6"/>
    </row>
    <row r="33" spans="2:13" x14ac:dyDescent="0.2">
      <c r="B33" s="13" t="s">
        <v>382</v>
      </c>
      <c r="C33" s="13" t="s">
        <v>339</v>
      </c>
      <c r="D33" s="13">
        <v>0.3</v>
      </c>
      <c r="E33" s="15">
        <v>1.8480000000000001</v>
      </c>
      <c r="F33" s="15">
        <v>3.702</v>
      </c>
      <c r="G33" s="15">
        <v>3.677</v>
      </c>
      <c r="H33" s="7">
        <f t="shared" si="1"/>
        <v>2.4999999999999911E-2</v>
      </c>
      <c r="I33" s="15" t="s">
        <v>323</v>
      </c>
      <c r="J33" s="15" t="s">
        <v>353</v>
      </c>
      <c r="K33" s="15"/>
      <c r="L33" s="13"/>
      <c r="M33" s="6"/>
    </row>
    <row r="34" spans="2:13" x14ac:dyDescent="0.2">
      <c r="B34" s="13"/>
      <c r="C34" s="13" t="s">
        <v>381</v>
      </c>
      <c r="D34" s="14"/>
      <c r="E34" s="15">
        <v>1.853</v>
      </c>
      <c r="F34" s="15"/>
      <c r="G34" s="15"/>
      <c r="H34" s="7"/>
      <c r="I34" s="15"/>
      <c r="J34" s="15"/>
      <c r="K34" s="15"/>
      <c r="L34" s="13"/>
      <c r="M34" s="6"/>
    </row>
    <row r="35" spans="2:13" x14ac:dyDescent="0.2">
      <c r="B35" s="13" t="s">
        <v>383</v>
      </c>
      <c r="C35" s="13" t="s">
        <v>41</v>
      </c>
      <c r="D35" s="14">
        <v>0.3</v>
      </c>
      <c r="E35" s="15">
        <v>1.855</v>
      </c>
      <c r="F35" s="15">
        <v>3.71</v>
      </c>
      <c r="G35" s="15">
        <v>3.6819999999999999</v>
      </c>
      <c r="H35" s="7">
        <f t="shared" ref="H35" si="2">F35-G35</f>
        <v>2.8000000000000025E-2</v>
      </c>
      <c r="I35" s="15" t="s">
        <v>41</v>
      </c>
      <c r="J35" s="15"/>
      <c r="K35" s="15"/>
      <c r="L35" s="22" t="s">
        <v>403</v>
      </c>
      <c r="M35" s="6"/>
    </row>
    <row r="36" spans="2:13" x14ac:dyDescent="0.2">
      <c r="B36" s="13"/>
      <c r="C36" s="13" t="s">
        <v>41</v>
      </c>
      <c r="D36" s="14"/>
      <c r="E36" s="15">
        <v>1.8540000000000001</v>
      </c>
      <c r="F36" s="15"/>
      <c r="G36" s="15"/>
      <c r="H36" s="7"/>
      <c r="I36" s="15"/>
      <c r="J36" s="15"/>
      <c r="K36" s="15"/>
      <c r="L36" s="22"/>
      <c r="M36" s="6"/>
    </row>
    <row r="37" spans="2:13" x14ac:dyDescent="0.2">
      <c r="B37" s="13" t="s">
        <v>384</v>
      </c>
      <c r="C37" s="13" t="s">
        <v>41</v>
      </c>
      <c r="D37" s="13">
        <v>0.5</v>
      </c>
      <c r="E37" s="13">
        <v>1.8480000000000001</v>
      </c>
      <c r="F37" s="13">
        <v>3.7029999999999998</v>
      </c>
      <c r="G37" s="13">
        <v>3.6760000000000002</v>
      </c>
      <c r="H37" s="7">
        <f t="shared" ref="H37" si="3">F37-G37</f>
        <v>2.6999999999999691E-2</v>
      </c>
      <c r="I37" s="15" t="s">
        <v>41</v>
      </c>
      <c r="J37" s="13"/>
      <c r="K37" s="13"/>
      <c r="L37" s="20"/>
      <c r="M37" s="6"/>
    </row>
    <row r="38" spans="2:13" x14ac:dyDescent="0.2">
      <c r="B38" s="13"/>
      <c r="C38" s="13" t="s">
        <v>41</v>
      </c>
      <c r="D38" s="13"/>
      <c r="E38" s="13">
        <v>1.855</v>
      </c>
      <c r="F38" s="13"/>
      <c r="G38" s="13"/>
      <c r="H38" s="7"/>
      <c r="I38" s="13"/>
      <c r="J38" s="13"/>
      <c r="K38" s="15"/>
      <c r="L38" s="22"/>
      <c r="M38" s="6"/>
    </row>
    <row r="39" spans="2:13" x14ac:dyDescent="0.2">
      <c r="B39" s="13" t="s">
        <v>385</v>
      </c>
      <c r="C39" s="13" t="s">
        <v>41</v>
      </c>
      <c r="D39" s="14">
        <v>0.7</v>
      </c>
      <c r="E39" s="15">
        <v>1.855</v>
      </c>
      <c r="F39" s="15">
        <v>3.7109999999999999</v>
      </c>
      <c r="G39" s="15">
        <v>3.69</v>
      </c>
      <c r="H39" s="7">
        <f t="shared" ref="H39" si="4">F39-G39</f>
        <v>2.0999999999999908E-2</v>
      </c>
      <c r="I39" s="15" t="s">
        <v>41</v>
      </c>
      <c r="J39" s="15"/>
      <c r="K39" s="15"/>
      <c r="L39" s="13"/>
      <c r="M39" s="6"/>
    </row>
    <row r="40" spans="2:13" x14ac:dyDescent="0.2">
      <c r="B40" s="13"/>
      <c r="C40" s="13" t="s">
        <v>41</v>
      </c>
      <c r="D40" s="14"/>
      <c r="E40" s="15">
        <v>1.8560000000000001</v>
      </c>
      <c r="F40" s="15"/>
      <c r="G40" s="15"/>
      <c r="H40" s="7"/>
      <c r="I40" s="13"/>
      <c r="J40" s="15"/>
      <c r="K40" s="15"/>
      <c r="L40" s="13"/>
      <c r="M40" s="6"/>
    </row>
    <row r="41" spans="2:13" x14ac:dyDescent="0.2">
      <c r="B41" s="13" t="s">
        <v>386</v>
      </c>
      <c r="C41" s="13" t="s">
        <v>41</v>
      </c>
      <c r="D41" s="14">
        <v>0.3</v>
      </c>
      <c r="E41" s="15">
        <v>1.865</v>
      </c>
      <c r="F41" s="15">
        <v>3.7360000000000002</v>
      </c>
      <c r="G41" s="15">
        <v>3.714</v>
      </c>
      <c r="H41" s="7">
        <f t="shared" ref="H41:H43" si="5">F41-G41</f>
        <v>2.2000000000000242E-2</v>
      </c>
      <c r="I41" s="15" t="s">
        <v>323</v>
      </c>
      <c r="J41" s="13" t="s">
        <v>353</v>
      </c>
      <c r="K41" s="15" t="s">
        <v>387</v>
      </c>
      <c r="L41" s="22"/>
      <c r="M41" s="6"/>
    </row>
    <row r="42" spans="2:13" x14ac:dyDescent="0.2">
      <c r="B42" s="13"/>
      <c r="C42" s="13" t="s">
        <v>41</v>
      </c>
      <c r="D42" s="14"/>
      <c r="E42" s="15">
        <v>1.871</v>
      </c>
      <c r="F42" s="15"/>
      <c r="G42" s="15"/>
      <c r="H42" s="7"/>
      <c r="I42" s="13"/>
      <c r="J42" s="15"/>
      <c r="K42" s="15"/>
      <c r="L42" s="13"/>
      <c r="M42" s="6"/>
    </row>
    <row r="43" spans="2:13" x14ac:dyDescent="0.2">
      <c r="B43" s="13" t="s">
        <v>388</v>
      </c>
      <c r="C43" s="13" t="s">
        <v>41</v>
      </c>
      <c r="D43" s="14">
        <v>0.2</v>
      </c>
      <c r="E43" s="15">
        <v>1.855</v>
      </c>
      <c r="F43" s="15">
        <v>5.5579999999999998</v>
      </c>
      <c r="G43" s="15">
        <v>5.5179999999999998</v>
      </c>
      <c r="H43" s="7">
        <f t="shared" si="5"/>
        <v>4.0000000000000036E-2</v>
      </c>
      <c r="I43" s="15" t="s">
        <v>335</v>
      </c>
      <c r="J43" s="15" t="s">
        <v>391</v>
      </c>
      <c r="K43" s="15"/>
      <c r="L43" s="13"/>
      <c r="M43" s="6"/>
    </row>
    <row r="44" spans="2:13" x14ac:dyDescent="0.2">
      <c r="B44" s="13"/>
      <c r="C44" s="13" t="s">
        <v>41</v>
      </c>
      <c r="D44" s="14"/>
      <c r="E44" s="15">
        <v>1.847</v>
      </c>
      <c r="F44" s="15"/>
      <c r="G44" s="15"/>
      <c r="H44" s="7"/>
      <c r="I44" s="15"/>
      <c r="J44" s="15"/>
      <c r="K44" s="15"/>
      <c r="L44" s="13"/>
      <c r="M44" s="6"/>
    </row>
    <row r="45" spans="2:13" x14ac:dyDescent="0.2">
      <c r="B45" s="13"/>
      <c r="C45" s="13" t="s">
        <v>41</v>
      </c>
      <c r="D45" s="14"/>
      <c r="E45" s="15">
        <v>1.855</v>
      </c>
      <c r="F45" s="15"/>
      <c r="G45" s="15"/>
      <c r="H45" s="7"/>
      <c r="I45" s="15"/>
      <c r="J45" s="15"/>
      <c r="K45" s="15"/>
      <c r="L45" s="13"/>
      <c r="M45" s="6"/>
    </row>
    <row r="46" spans="2:13" x14ac:dyDescent="0.2">
      <c r="B46" s="13" t="s">
        <v>389</v>
      </c>
      <c r="C46" s="13" t="s">
        <v>41</v>
      </c>
      <c r="D46" s="14">
        <v>0</v>
      </c>
      <c r="E46" s="15">
        <v>1.8580000000000001</v>
      </c>
      <c r="F46" s="15">
        <v>5.5830000000000002</v>
      </c>
      <c r="G46" s="15">
        <v>5.5469999999999997</v>
      </c>
      <c r="H46" s="7">
        <f t="shared" ref="H46" si="6">F46-G46</f>
        <v>3.6000000000000476E-2</v>
      </c>
      <c r="I46" s="15" t="s">
        <v>41</v>
      </c>
      <c r="J46" s="15" t="s">
        <v>41</v>
      </c>
      <c r="K46" s="13"/>
      <c r="L46" s="13"/>
      <c r="M46" s="6"/>
    </row>
    <row r="47" spans="2:13" x14ac:dyDescent="0.2">
      <c r="B47" s="13"/>
      <c r="C47" s="13" t="s">
        <v>41</v>
      </c>
      <c r="D47" s="14"/>
      <c r="E47" s="15">
        <v>1.8660000000000001</v>
      </c>
      <c r="F47" s="15"/>
      <c r="G47" s="15"/>
      <c r="H47" s="7"/>
      <c r="I47" s="13"/>
      <c r="J47" s="13"/>
      <c r="K47" s="13"/>
      <c r="L47" s="13"/>
      <c r="M47" s="6"/>
    </row>
    <row r="48" spans="2:13" x14ac:dyDescent="0.2">
      <c r="B48" s="13"/>
      <c r="C48" s="13" t="s">
        <v>41</v>
      </c>
      <c r="D48" s="14"/>
      <c r="E48" s="15">
        <v>1.859</v>
      </c>
      <c r="F48" s="15"/>
      <c r="G48" s="15"/>
      <c r="H48" s="7"/>
      <c r="I48" s="13"/>
      <c r="J48" s="13"/>
      <c r="K48" s="13"/>
      <c r="L48" s="13"/>
      <c r="M48" s="6"/>
    </row>
    <row r="49" spans="2:13" x14ac:dyDescent="0.2">
      <c r="B49" s="13" t="s">
        <v>390</v>
      </c>
      <c r="C49" s="13" t="s">
        <v>41</v>
      </c>
      <c r="D49" s="13">
        <v>0.8</v>
      </c>
      <c r="E49" s="15">
        <v>1.84</v>
      </c>
      <c r="F49" s="15">
        <v>5.5179999999999998</v>
      </c>
      <c r="G49" s="13">
        <v>5.4950000000000001</v>
      </c>
      <c r="H49" s="7">
        <f t="shared" ref="H49" si="7">F49-G49</f>
        <v>2.2999999999999687E-2</v>
      </c>
      <c r="I49" s="15" t="s">
        <v>41</v>
      </c>
      <c r="J49" s="15" t="s">
        <v>41</v>
      </c>
      <c r="K49" s="13"/>
      <c r="L49" s="13"/>
      <c r="M49" s="6"/>
    </row>
    <row r="50" spans="2:13" x14ac:dyDescent="0.2">
      <c r="B50" s="13"/>
      <c r="C50" s="13" t="s">
        <v>41</v>
      </c>
      <c r="D50" s="13"/>
      <c r="E50" s="15">
        <v>1.8420000000000001</v>
      </c>
      <c r="F50" s="15"/>
      <c r="G50" s="13"/>
      <c r="H50" s="7"/>
      <c r="I50" s="13"/>
      <c r="J50" s="13"/>
      <c r="K50" s="13"/>
      <c r="L50" s="13"/>
      <c r="M50" s="6"/>
    </row>
    <row r="51" spans="2:13" x14ac:dyDescent="0.2">
      <c r="B51" s="13"/>
      <c r="C51" s="13" t="s">
        <v>41</v>
      </c>
      <c r="D51" s="14"/>
      <c r="E51" s="15">
        <v>1.8340000000000001</v>
      </c>
      <c r="F51" s="15"/>
      <c r="G51" s="15"/>
      <c r="H51" s="7"/>
      <c r="I51" s="13"/>
      <c r="J51" s="13"/>
      <c r="K51" s="15"/>
      <c r="L51" s="13"/>
      <c r="M51" s="6"/>
    </row>
    <row r="52" spans="2:13" x14ac:dyDescent="0.2">
      <c r="B52" s="13" t="s">
        <v>393</v>
      </c>
      <c r="C52" s="13" t="s">
        <v>295</v>
      </c>
      <c r="D52" s="14">
        <v>0.2</v>
      </c>
      <c r="E52" s="15"/>
      <c r="F52" s="15">
        <v>1.901</v>
      </c>
      <c r="G52" s="15">
        <v>1.8859999999999999</v>
      </c>
      <c r="H52" s="7">
        <f t="shared" ref="H52:H72" si="8">F52-G52</f>
        <v>1.5000000000000124E-2</v>
      </c>
      <c r="I52" s="15" t="s">
        <v>183</v>
      </c>
      <c r="J52" s="13" t="s">
        <v>392</v>
      </c>
      <c r="K52" s="15"/>
      <c r="L52" s="15"/>
      <c r="M52" s="6"/>
    </row>
    <row r="53" spans="2:13" x14ac:dyDescent="0.2">
      <c r="B53" s="13" t="s">
        <v>394</v>
      </c>
      <c r="C53" s="13" t="s">
        <v>41</v>
      </c>
      <c r="D53" s="14">
        <v>0.4</v>
      </c>
      <c r="E53" s="15"/>
      <c r="F53" s="15">
        <v>1.897</v>
      </c>
      <c r="G53" s="15">
        <v>1.881</v>
      </c>
      <c r="H53" s="7">
        <f t="shared" si="8"/>
        <v>1.6000000000000014E-2</v>
      </c>
      <c r="I53" s="15" t="s">
        <v>41</v>
      </c>
      <c r="J53" s="15" t="s">
        <v>41</v>
      </c>
      <c r="K53" s="15"/>
      <c r="L53" s="15"/>
      <c r="M53" s="6"/>
    </row>
    <row r="54" spans="2:13" x14ac:dyDescent="0.2">
      <c r="B54" s="13" t="s">
        <v>395</v>
      </c>
      <c r="C54" s="13" t="s">
        <v>41</v>
      </c>
      <c r="D54" s="14">
        <v>0.4</v>
      </c>
      <c r="E54" s="15"/>
      <c r="F54" s="15">
        <v>1.897</v>
      </c>
      <c r="G54" s="15">
        <v>1.8819999999999999</v>
      </c>
      <c r="H54" s="7">
        <f t="shared" si="8"/>
        <v>1.5000000000000124E-2</v>
      </c>
      <c r="I54" s="15" t="s">
        <v>41</v>
      </c>
      <c r="J54" s="15" t="s">
        <v>41</v>
      </c>
      <c r="K54" s="15"/>
      <c r="L54" s="15"/>
      <c r="M54" s="6"/>
    </row>
    <row r="55" spans="2:13" x14ac:dyDescent="0.2">
      <c r="B55" s="13" t="s">
        <v>396</v>
      </c>
      <c r="C55" s="13" t="s">
        <v>405</v>
      </c>
      <c r="D55" s="14">
        <v>0.2</v>
      </c>
      <c r="E55" s="15"/>
      <c r="F55" s="15">
        <v>1.9039999999999999</v>
      </c>
      <c r="G55" s="15">
        <v>1.891</v>
      </c>
      <c r="H55" s="7">
        <f t="shared" si="8"/>
        <v>1.2999999999999901E-2</v>
      </c>
      <c r="I55" s="15" t="s">
        <v>41</v>
      </c>
      <c r="J55" s="15" t="s">
        <v>41</v>
      </c>
      <c r="K55" s="15"/>
      <c r="L55" s="13"/>
      <c r="M55" s="6"/>
    </row>
    <row r="56" spans="2:13" x14ac:dyDescent="0.2">
      <c r="B56" s="13" t="s">
        <v>397</v>
      </c>
      <c r="C56" s="13" t="s">
        <v>41</v>
      </c>
      <c r="D56" s="14">
        <v>0.4</v>
      </c>
      <c r="E56" s="15"/>
      <c r="F56" s="15">
        <v>1.907</v>
      </c>
      <c r="G56" s="15">
        <v>1.893</v>
      </c>
      <c r="H56" s="7">
        <f t="shared" si="8"/>
        <v>1.4000000000000012E-2</v>
      </c>
      <c r="I56" s="15" t="s">
        <v>41</v>
      </c>
      <c r="J56" s="15" t="s">
        <v>41</v>
      </c>
      <c r="K56" s="21"/>
      <c r="L56" s="13"/>
      <c r="M56" s="6"/>
    </row>
    <row r="57" spans="2:13" x14ac:dyDescent="0.2">
      <c r="B57" s="13" t="s">
        <v>398</v>
      </c>
      <c r="C57" s="13" t="s">
        <v>41</v>
      </c>
      <c r="D57" s="14">
        <v>0.3</v>
      </c>
      <c r="E57" s="15"/>
      <c r="F57" s="15">
        <v>1.9039999999999999</v>
      </c>
      <c r="G57" s="15">
        <v>1.891</v>
      </c>
      <c r="H57" s="7">
        <f t="shared" si="8"/>
        <v>1.2999999999999901E-2</v>
      </c>
      <c r="I57" s="15" t="s">
        <v>41</v>
      </c>
      <c r="J57" s="15" t="s">
        <v>41</v>
      </c>
      <c r="K57" s="15"/>
      <c r="L57" s="13"/>
      <c r="M57" s="6"/>
    </row>
    <row r="58" spans="2:13" x14ac:dyDescent="0.2">
      <c r="B58" s="13" t="s">
        <v>399</v>
      </c>
      <c r="C58" s="13" t="s">
        <v>41</v>
      </c>
      <c r="D58" s="14">
        <v>0.2</v>
      </c>
      <c r="E58" s="15"/>
      <c r="F58" s="15">
        <v>1.91</v>
      </c>
      <c r="G58" s="15">
        <v>1.899</v>
      </c>
      <c r="H58" s="7">
        <f t="shared" si="8"/>
        <v>1.0999999999999899E-2</v>
      </c>
      <c r="I58" s="15" t="s">
        <v>41</v>
      </c>
      <c r="J58" s="15" t="s">
        <v>41</v>
      </c>
      <c r="K58" s="15"/>
      <c r="L58" s="13"/>
      <c r="M58" s="6"/>
    </row>
    <row r="59" spans="2:13" x14ac:dyDescent="0.2">
      <c r="B59" s="13" t="s">
        <v>400</v>
      </c>
      <c r="C59" s="13" t="s">
        <v>41</v>
      </c>
      <c r="D59" s="14">
        <v>0.2</v>
      </c>
      <c r="E59" s="15"/>
      <c r="F59" s="15">
        <v>1.901</v>
      </c>
      <c r="G59" s="15">
        <v>1.8879999999999999</v>
      </c>
      <c r="H59" s="7">
        <f t="shared" si="8"/>
        <v>1.3000000000000123E-2</v>
      </c>
      <c r="I59" s="15" t="s">
        <v>41</v>
      </c>
      <c r="J59" s="15" t="s">
        <v>41</v>
      </c>
      <c r="K59" s="15"/>
      <c r="L59" s="13"/>
      <c r="M59" s="6"/>
    </row>
    <row r="60" spans="2:13" x14ac:dyDescent="0.2">
      <c r="B60" s="13" t="s">
        <v>401</v>
      </c>
      <c r="C60" s="13" t="s">
        <v>41</v>
      </c>
      <c r="D60" s="14">
        <v>0.3</v>
      </c>
      <c r="E60" s="15"/>
      <c r="F60" s="15">
        <v>1.9</v>
      </c>
      <c r="G60" s="15">
        <v>1.895</v>
      </c>
      <c r="H60" s="7">
        <f t="shared" si="8"/>
        <v>4.9999999999998934E-3</v>
      </c>
      <c r="I60" s="15" t="s">
        <v>41</v>
      </c>
      <c r="J60" s="15" t="s">
        <v>41</v>
      </c>
      <c r="K60" s="15"/>
      <c r="L60" s="13"/>
      <c r="M60" s="6"/>
    </row>
    <row r="61" spans="2:13" x14ac:dyDescent="0.2">
      <c r="B61" s="13" t="s">
        <v>402</v>
      </c>
      <c r="C61" s="13" t="s">
        <v>41</v>
      </c>
      <c r="D61" s="13">
        <v>0.2</v>
      </c>
      <c r="E61" s="13"/>
      <c r="F61" s="15">
        <v>1.897</v>
      </c>
      <c r="G61" s="13">
        <v>1.887</v>
      </c>
      <c r="H61" s="7">
        <f t="shared" si="8"/>
        <v>1.0000000000000009E-2</v>
      </c>
      <c r="I61" s="15" t="s">
        <v>41</v>
      </c>
      <c r="J61" s="15" t="s">
        <v>41</v>
      </c>
      <c r="K61" s="13"/>
      <c r="L61" s="13"/>
      <c r="M61" s="6"/>
    </row>
    <row r="62" spans="2:13" x14ac:dyDescent="0.2">
      <c r="B62" s="13" t="s">
        <v>406</v>
      </c>
      <c r="C62" s="13" t="s">
        <v>41</v>
      </c>
      <c r="D62" s="14">
        <v>0.7</v>
      </c>
      <c r="E62" s="15"/>
      <c r="F62" s="15">
        <v>1.899</v>
      </c>
      <c r="G62" s="15">
        <v>1.889</v>
      </c>
      <c r="H62" s="7">
        <f t="shared" si="8"/>
        <v>1.0000000000000009E-2</v>
      </c>
      <c r="I62" s="13" t="s">
        <v>41</v>
      </c>
      <c r="J62" s="13" t="s">
        <v>41</v>
      </c>
      <c r="K62" s="15"/>
      <c r="L62" s="13"/>
      <c r="M62" s="6"/>
    </row>
    <row r="63" spans="2:13" x14ac:dyDescent="0.2">
      <c r="B63" s="13" t="s">
        <v>407</v>
      </c>
      <c r="C63" s="13" t="s">
        <v>41</v>
      </c>
      <c r="D63" s="14">
        <v>0.8</v>
      </c>
      <c r="E63" s="15"/>
      <c r="F63" s="15">
        <v>1.895</v>
      </c>
      <c r="G63" s="15">
        <v>1.883</v>
      </c>
      <c r="H63" s="7">
        <f t="shared" si="8"/>
        <v>1.2000000000000011E-2</v>
      </c>
      <c r="I63" s="13" t="s">
        <v>41</v>
      </c>
      <c r="J63" s="13" t="s">
        <v>41</v>
      </c>
      <c r="K63" s="15"/>
      <c r="L63" s="13"/>
      <c r="M63" s="6"/>
    </row>
    <row r="64" spans="2:13" x14ac:dyDescent="0.2">
      <c r="B64" s="13" t="s">
        <v>408</v>
      </c>
      <c r="C64" s="13" t="s">
        <v>41</v>
      </c>
      <c r="D64" s="14">
        <v>0.5</v>
      </c>
      <c r="E64" s="15"/>
      <c r="F64" s="15">
        <v>1.891</v>
      </c>
      <c r="G64" s="7">
        <v>1.8779999999999999</v>
      </c>
      <c r="H64" s="7">
        <f t="shared" si="8"/>
        <v>1.3000000000000123E-2</v>
      </c>
      <c r="I64" s="13" t="s">
        <v>41</v>
      </c>
      <c r="J64" s="13" t="s">
        <v>41</v>
      </c>
      <c r="K64" s="15"/>
      <c r="L64" s="15"/>
      <c r="M64" s="6"/>
    </row>
    <row r="65" spans="2:13" x14ac:dyDescent="0.2">
      <c r="B65" s="13" t="s">
        <v>409</v>
      </c>
      <c r="C65" s="13" t="s">
        <v>41</v>
      </c>
      <c r="D65" s="14">
        <v>0.6</v>
      </c>
      <c r="F65" s="15">
        <v>1.8939999999999999</v>
      </c>
      <c r="G65" s="15">
        <v>1.88</v>
      </c>
      <c r="H65" s="7">
        <f t="shared" si="8"/>
        <v>1.4000000000000012E-2</v>
      </c>
      <c r="I65" s="13" t="s">
        <v>41</v>
      </c>
      <c r="J65" s="13" t="s">
        <v>41</v>
      </c>
      <c r="K65" s="15"/>
      <c r="L65" s="13"/>
      <c r="M65" s="6"/>
    </row>
    <row r="66" spans="2:13" x14ac:dyDescent="0.2">
      <c r="B66" s="13" t="s">
        <v>410</v>
      </c>
      <c r="C66" s="13" t="s">
        <v>41</v>
      </c>
      <c r="D66" s="14">
        <v>0.7</v>
      </c>
      <c r="E66" s="15"/>
      <c r="F66" s="15">
        <v>1.9</v>
      </c>
      <c r="G66" s="15">
        <v>1.8859999999999999</v>
      </c>
      <c r="H66" s="7">
        <f t="shared" si="8"/>
        <v>1.4000000000000012E-2</v>
      </c>
      <c r="I66" s="13" t="s">
        <v>41</v>
      </c>
      <c r="J66" s="13" t="s">
        <v>41</v>
      </c>
      <c r="K66" s="15"/>
      <c r="L66" s="13"/>
      <c r="M66" s="6"/>
    </row>
    <row r="67" spans="2:13" x14ac:dyDescent="0.2">
      <c r="B67" s="13" t="s">
        <v>411</v>
      </c>
      <c r="C67" s="13" t="s">
        <v>41</v>
      </c>
      <c r="D67" s="14">
        <v>0.2</v>
      </c>
      <c r="E67" s="15"/>
      <c r="F67" s="15">
        <v>1.885</v>
      </c>
      <c r="G67" s="15">
        <v>1.87</v>
      </c>
      <c r="H67" s="7">
        <f t="shared" si="8"/>
        <v>1.4999999999999902E-2</v>
      </c>
      <c r="I67" s="13" t="s">
        <v>41</v>
      </c>
      <c r="J67" s="13" t="s">
        <v>41</v>
      </c>
      <c r="K67" s="15"/>
      <c r="L67" s="13"/>
      <c r="M67" s="6"/>
    </row>
    <row r="68" spans="2:13" x14ac:dyDescent="0.2">
      <c r="B68" s="13" t="s">
        <v>412</v>
      </c>
      <c r="C68" s="13" t="s">
        <v>41</v>
      </c>
      <c r="D68" s="14">
        <v>0.7</v>
      </c>
      <c r="E68" s="15"/>
      <c r="F68" s="15">
        <v>1.875</v>
      </c>
      <c r="G68" s="15">
        <v>1.8620000000000001</v>
      </c>
      <c r="H68" s="7">
        <f t="shared" si="8"/>
        <v>1.2999999999999901E-2</v>
      </c>
      <c r="I68" s="13" t="s">
        <v>41</v>
      </c>
      <c r="J68" s="13" t="s">
        <v>41</v>
      </c>
      <c r="K68" s="15"/>
      <c r="L68" s="13"/>
      <c r="M68" s="6"/>
    </row>
    <row r="69" spans="2:13" x14ac:dyDescent="0.2">
      <c r="B69" s="13" t="s">
        <v>413</v>
      </c>
      <c r="C69" s="13" t="s">
        <v>41</v>
      </c>
      <c r="D69" s="14">
        <v>0.4</v>
      </c>
      <c r="E69" s="15"/>
      <c r="F69" s="15">
        <v>1.885</v>
      </c>
      <c r="G69" s="15">
        <v>1.8740000000000001</v>
      </c>
      <c r="H69" s="7">
        <f t="shared" si="8"/>
        <v>1.0999999999999899E-2</v>
      </c>
      <c r="I69" s="13" t="s">
        <v>41</v>
      </c>
      <c r="J69" s="13" t="s">
        <v>41</v>
      </c>
      <c r="K69" s="15"/>
      <c r="L69" s="13"/>
      <c r="M69" s="6"/>
    </row>
    <row r="70" spans="2:13" x14ac:dyDescent="0.2">
      <c r="B70" s="13" t="s">
        <v>414</v>
      </c>
      <c r="C70" s="13" t="s">
        <v>41</v>
      </c>
      <c r="D70" s="13">
        <v>0.7</v>
      </c>
      <c r="E70" s="13"/>
      <c r="F70" s="15">
        <v>1.89</v>
      </c>
      <c r="G70" s="13">
        <v>1.877</v>
      </c>
      <c r="H70" s="7">
        <f t="shared" si="8"/>
        <v>1.2999999999999901E-2</v>
      </c>
      <c r="I70" s="13" t="s">
        <v>41</v>
      </c>
      <c r="J70" s="13" t="s">
        <v>41</v>
      </c>
      <c r="K70" s="15"/>
      <c r="L70" s="20"/>
      <c r="M70" s="6"/>
    </row>
    <row r="71" spans="2:13" x14ac:dyDescent="0.2">
      <c r="B71" s="13" t="s">
        <v>415</v>
      </c>
      <c r="C71" s="13" t="s">
        <v>41</v>
      </c>
      <c r="D71" s="13">
        <v>0.7</v>
      </c>
      <c r="E71" s="15"/>
      <c r="F71" s="15">
        <v>1.875</v>
      </c>
      <c r="G71" s="13">
        <v>1.861</v>
      </c>
      <c r="H71" s="7">
        <f t="shared" si="8"/>
        <v>1.4000000000000012E-2</v>
      </c>
      <c r="I71" s="13" t="s">
        <v>41</v>
      </c>
      <c r="J71" s="13" t="s">
        <v>41</v>
      </c>
      <c r="K71" s="15"/>
      <c r="L71" s="13"/>
      <c r="M71" s="6"/>
    </row>
    <row r="72" spans="2:13" x14ac:dyDescent="0.2">
      <c r="B72" s="13" t="s">
        <v>416</v>
      </c>
      <c r="C72" s="13" t="s">
        <v>381</v>
      </c>
      <c r="D72" s="13">
        <v>0.7</v>
      </c>
      <c r="E72" s="15">
        <v>1.865</v>
      </c>
      <c r="F72" s="15">
        <v>5.6029999999999998</v>
      </c>
      <c r="G72" s="13">
        <v>5.5629999999999997</v>
      </c>
      <c r="H72" s="7">
        <f t="shared" si="8"/>
        <v>4.0000000000000036E-2</v>
      </c>
      <c r="I72" s="15" t="s">
        <v>335</v>
      </c>
      <c r="J72" s="13" t="s">
        <v>391</v>
      </c>
      <c r="K72" s="15"/>
      <c r="L72" s="13"/>
      <c r="M72" s="6"/>
    </row>
    <row r="73" spans="2:13" x14ac:dyDescent="0.2">
      <c r="B73" s="13"/>
      <c r="C73" s="13" t="s">
        <v>41</v>
      </c>
      <c r="D73" s="14"/>
      <c r="E73" s="15">
        <v>1.87</v>
      </c>
      <c r="F73" s="15"/>
      <c r="G73" s="15"/>
      <c r="H73" s="7">
        <f>E73-G73</f>
        <v>1.87</v>
      </c>
      <c r="I73" s="15"/>
      <c r="J73" s="13"/>
      <c r="K73" s="15"/>
      <c r="L73" s="13"/>
      <c r="M73" s="6"/>
    </row>
    <row r="74" spans="2:13" x14ac:dyDescent="0.2">
      <c r="B74" s="13"/>
      <c r="C74" s="13" t="s">
        <v>418</v>
      </c>
      <c r="D74" s="14"/>
      <c r="E74" s="15">
        <v>1.8680000000000001</v>
      </c>
      <c r="F74" s="15"/>
      <c r="G74" s="15"/>
      <c r="H74" s="7">
        <f>E74-G74</f>
        <v>1.8680000000000001</v>
      </c>
      <c r="I74" s="15"/>
      <c r="J74" s="13"/>
      <c r="K74" s="13"/>
      <c r="L74" s="13"/>
      <c r="M74" s="6"/>
    </row>
    <row r="75" spans="2:13" x14ac:dyDescent="0.2">
      <c r="B75" s="13" t="s">
        <v>417</v>
      </c>
      <c r="C75" s="13" t="s">
        <v>41</v>
      </c>
      <c r="D75" s="14">
        <v>0.6</v>
      </c>
      <c r="E75" s="15">
        <v>1.839</v>
      </c>
      <c r="F75" s="15">
        <v>5.5250000000000004</v>
      </c>
      <c r="G75" s="15">
        <v>5.4829999999999997</v>
      </c>
      <c r="H75" s="7">
        <f t="shared" ref="H75" si="9">F75-G75</f>
        <v>4.2000000000000703E-2</v>
      </c>
      <c r="I75" s="15" t="s">
        <v>41</v>
      </c>
      <c r="J75" s="13" t="s">
        <v>41</v>
      </c>
      <c r="K75" s="13"/>
      <c r="L75" s="13"/>
      <c r="M75" s="6"/>
    </row>
    <row r="76" spans="2:13" x14ac:dyDescent="0.2">
      <c r="B76" s="13"/>
      <c r="C76" s="13" t="s">
        <v>41</v>
      </c>
      <c r="D76" s="14"/>
      <c r="E76" s="15">
        <v>1.84</v>
      </c>
      <c r="F76" s="15"/>
      <c r="G76" s="15"/>
      <c r="H76" s="7"/>
      <c r="I76" s="13"/>
      <c r="J76" s="13"/>
      <c r="K76" s="13"/>
      <c r="L76" s="13"/>
      <c r="M76" s="6"/>
    </row>
    <row r="77" spans="2:13" x14ac:dyDescent="0.2">
      <c r="B77" s="13"/>
      <c r="C77" s="13" t="s">
        <v>41</v>
      </c>
      <c r="D77" s="14"/>
      <c r="E77" s="15">
        <v>1.8460000000000001</v>
      </c>
      <c r="F77" s="15"/>
      <c r="G77" s="15"/>
      <c r="H77" s="7"/>
      <c r="I77" s="13"/>
      <c r="J77" s="13"/>
      <c r="K77" s="13"/>
      <c r="L77" s="13"/>
      <c r="M77" s="6"/>
    </row>
    <row r="78" spans="2:13" x14ac:dyDescent="0.2">
      <c r="B78" s="13" t="s">
        <v>427</v>
      </c>
      <c r="C78" s="39" t="s">
        <v>420</v>
      </c>
      <c r="D78" s="14">
        <v>0.3</v>
      </c>
      <c r="E78" s="15">
        <v>1.8680000000000001</v>
      </c>
      <c r="F78" s="15">
        <v>5.6449999999999996</v>
      </c>
      <c r="G78" s="15">
        <v>5.6239999999999997</v>
      </c>
      <c r="H78" s="7">
        <f t="shared" ref="H78" si="10">F78-G78</f>
        <v>2.0999999999999908E-2</v>
      </c>
      <c r="I78" s="15" t="s">
        <v>41</v>
      </c>
      <c r="J78" s="2" t="s">
        <v>419</v>
      </c>
      <c r="K78" s="13" t="s">
        <v>429</v>
      </c>
      <c r="L78" s="13" t="s">
        <v>428</v>
      </c>
      <c r="M78" s="6"/>
    </row>
    <row r="79" spans="2:13" x14ac:dyDescent="0.2">
      <c r="B79" s="13"/>
      <c r="C79" s="39" t="s">
        <v>421</v>
      </c>
      <c r="D79" s="14"/>
      <c r="E79" s="15">
        <v>1.8939999999999999</v>
      </c>
      <c r="F79" s="15"/>
      <c r="G79" s="15"/>
      <c r="H79" s="7"/>
      <c r="I79" s="13"/>
      <c r="J79" s="13"/>
      <c r="K79" s="13"/>
      <c r="L79" s="13"/>
      <c r="M79" s="6"/>
    </row>
    <row r="80" spans="2:13" x14ac:dyDescent="0.2">
      <c r="B80" s="13"/>
      <c r="C80" s="39" t="s">
        <v>422</v>
      </c>
      <c r="D80" s="14"/>
      <c r="E80" s="15">
        <v>1.8819999999999999</v>
      </c>
      <c r="F80" s="15"/>
      <c r="G80" s="15"/>
      <c r="H80" s="7"/>
      <c r="I80" s="13"/>
      <c r="J80" s="13"/>
      <c r="K80" s="13"/>
      <c r="L80" s="13"/>
      <c r="M80" s="6"/>
    </row>
    <row r="81" spans="2:13" x14ac:dyDescent="0.2">
      <c r="B81" s="13" t="s">
        <v>423</v>
      </c>
      <c r="C81" s="13" t="s">
        <v>418</v>
      </c>
      <c r="D81" s="14">
        <v>0.3</v>
      </c>
      <c r="E81" s="15">
        <v>1.853</v>
      </c>
      <c r="F81" s="15">
        <v>5.5730000000000004</v>
      </c>
      <c r="G81" s="15">
        <v>5.532</v>
      </c>
      <c r="H81" s="7">
        <f t="shared" ref="H81" si="11">F81-G81</f>
        <v>4.1000000000000369E-2</v>
      </c>
      <c r="I81" s="15" t="s">
        <v>335</v>
      </c>
      <c r="J81" s="13" t="s">
        <v>391</v>
      </c>
      <c r="K81" s="13"/>
      <c r="L81" s="13"/>
      <c r="M81" s="6"/>
    </row>
    <row r="82" spans="2:13" x14ac:dyDescent="0.2">
      <c r="B82" s="13"/>
      <c r="C82" s="13" t="s">
        <v>41</v>
      </c>
      <c r="D82" s="14"/>
      <c r="E82" s="15">
        <v>1.8540000000000001</v>
      </c>
      <c r="F82" s="15"/>
      <c r="G82" s="15"/>
      <c r="H82" s="7"/>
      <c r="I82" s="13"/>
      <c r="J82" s="13"/>
      <c r="K82" s="13" t="s">
        <v>426</v>
      </c>
      <c r="L82" s="13"/>
      <c r="M82" s="6"/>
    </row>
    <row r="83" spans="2:13" x14ac:dyDescent="0.2">
      <c r="B83" s="13"/>
      <c r="C83" s="13" t="s">
        <v>41</v>
      </c>
      <c r="D83" s="14"/>
      <c r="E83" s="15">
        <v>1.865</v>
      </c>
      <c r="F83" s="15"/>
      <c r="G83" s="15"/>
      <c r="H83" s="7"/>
      <c r="I83" s="13"/>
      <c r="J83" s="13"/>
      <c r="K83" s="13"/>
      <c r="L83" s="13"/>
      <c r="M83" s="6"/>
    </row>
    <row r="84" spans="2:13" x14ac:dyDescent="0.2">
      <c r="B84" s="13" t="s">
        <v>424</v>
      </c>
      <c r="C84" s="13" t="s">
        <v>41</v>
      </c>
      <c r="D84" s="14">
        <v>0.4</v>
      </c>
      <c r="E84" s="15">
        <v>1.86</v>
      </c>
      <c r="F84" s="15">
        <v>5.5890000000000004</v>
      </c>
      <c r="G84" s="15">
        <v>5.5529999999999999</v>
      </c>
      <c r="H84" s="7">
        <f t="shared" ref="H84" si="12">F84-G84</f>
        <v>3.6000000000000476E-2</v>
      </c>
      <c r="I84" s="13" t="s">
        <v>41</v>
      </c>
      <c r="J84" s="13" t="s">
        <v>41</v>
      </c>
      <c r="K84" s="13" t="s">
        <v>461</v>
      </c>
      <c r="L84" s="13"/>
      <c r="M84" s="6"/>
    </row>
    <row r="85" spans="2:13" x14ac:dyDescent="0.2">
      <c r="B85" s="13"/>
      <c r="C85" s="13" t="s">
        <v>41</v>
      </c>
      <c r="D85" s="13"/>
      <c r="E85" s="15">
        <v>1.863</v>
      </c>
      <c r="F85" s="15"/>
      <c r="G85" s="15"/>
      <c r="H85" s="7"/>
      <c r="I85" s="13"/>
      <c r="J85" s="13"/>
      <c r="K85" s="13" t="s">
        <v>461</v>
      </c>
      <c r="L85" s="13"/>
      <c r="M85" s="6"/>
    </row>
    <row r="86" spans="2:13" x14ac:dyDescent="0.2">
      <c r="B86" s="13"/>
      <c r="C86" s="13" t="s">
        <v>41</v>
      </c>
      <c r="D86" s="14"/>
      <c r="E86" s="15">
        <v>1.865</v>
      </c>
      <c r="F86" s="15"/>
      <c r="G86" s="15"/>
      <c r="H86" s="7"/>
      <c r="I86" s="13"/>
      <c r="J86" s="13"/>
      <c r="K86" s="13"/>
      <c r="L86" s="13"/>
      <c r="M86" s="6"/>
    </row>
    <row r="87" spans="2:13" x14ac:dyDescent="0.2">
      <c r="B87" s="13" t="s">
        <v>425</v>
      </c>
      <c r="C87" s="13" t="s">
        <v>41</v>
      </c>
      <c r="D87" s="14">
        <v>0.5</v>
      </c>
      <c r="E87" s="15">
        <v>1.8879999999999999</v>
      </c>
      <c r="F87" s="15">
        <v>5.6109999999999998</v>
      </c>
      <c r="G87" s="15">
        <v>5.5780000000000003</v>
      </c>
      <c r="H87" s="7">
        <f t="shared" ref="H87:H90" si="13">F87-G87</f>
        <v>3.2999999999999474E-2</v>
      </c>
      <c r="I87" s="13" t="s">
        <v>41</v>
      </c>
      <c r="J87" s="13" t="s">
        <v>41</v>
      </c>
      <c r="K87" s="13" t="s">
        <v>426</v>
      </c>
      <c r="L87" s="13"/>
      <c r="M87" s="6"/>
    </row>
    <row r="88" spans="2:13" x14ac:dyDescent="0.2">
      <c r="B88" s="13"/>
      <c r="C88" s="13" t="s">
        <v>41</v>
      </c>
      <c r="D88" s="14"/>
      <c r="E88" s="15">
        <v>1.86</v>
      </c>
      <c r="F88" s="15"/>
      <c r="G88" s="15"/>
      <c r="H88" s="7"/>
      <c r="I88" s="15"/>
      <c r="J88" s="15"/>
      <c r="K88" s="13" t="s">
        <v>426</v>
      </c>
      <c r="L88" s="13"/>
      <c r="M88" s="6"/>
    </row>
    <row r="89" spans="2:13" x14ac:dyDescent="0.2">
      <c r="B89" s="13"/>
      <c r="C89" s="13" t="s">
        <v>41</v>
      </c>
      <c r="D89" s="14"/>
      <c r="E89" s="15">
        <v>1.863</v>
      </c>
      <c r="F89" s="15"/>
      <c r="G89" s="15"/>
      <c r="H89" s="7"/>
      <c r="I89" s="13"/>
      <c r="K89" s="15"/>
      <c r="L89" s="13"/>
      <c r="M89" s="6"/>
    </row>
    <row r="90" spans="2:13" x14ac:dyDescent="0.2">
      <c r="B90" s="13" t="s">
        <v>431</v>
      </c>
      <c r="C90" s="13" t="s">
        <v>41</v>
      </c>
      <c r="D90" s="14">
        <v>0.7</v>
      </c>
      <c r="E90" s="15"/>
      <c r="F90" s="15">
        <v>1.8740000000000001</v>
      </c>
      <c r="G90" s="15">
        <v>1.86</v>
      </c>
      <c r="H90" s="7">
        <f t="shared" si="13"/>
        <v>1.4000000000000012E-2</v>
      </c>
      <c r="I90" s="15" t="s">
        <v>328</v>
      </c>
      <c r="J90" s="15" t="s">
        <v>430</v>
      </c>
      <c r="K90" s="15" t="s">
        <v>432</v>
      </c>
      <c r="L90" s="13" t="s">
        <v>428</v>
      </c>
      <c r="M90" s="6"/>
    </row>
    <row r="91" spans="2:13" x14ac:dyDescent="0.2">
      <c r="B91" s="13" t="s">
        <v>434</v>
      </c>
      <c r="C91" s="13" t="s">
        <v>41</v>
      </c>
      <c r="D91" s="14">
        <v>0.3</v>
      </c>
      <c r="E91" s="15"/>
      <c r="F91" s="15">
        <v>1.8959999999999999</v>
      </c>
      <c r="G91" s="15">
        <v>1.881</v>
      </c>
      <c r="H91" s="7">
        <f>F91-G91</f>
        <v>1.4999999999999902E-2</v>
      </c>
      <c r="I91" s="15" t="s">
        <v>435</v>
      </c>
      <c r="J91" s="13" t="s">
        <v>440</v>
      </c>
      <c r="K91" s="13" t="s">
        <v>433</v>
      </c>
      <c r="L91" s="13"/>
      <c r="M91" s="6"/>
    </row>
    <row r="92" spans="2:13" x14ac:dyDescent="0.2">
      <c r="B92" s="13" t="s">
        <v>436</v>
      </c>
      <c r="C92" s="13" t="s">
        <v>41</v>
      </c>
      <c r="D92" s="14">
        <v>0.2</v>
      </c>
      <c r="E92" s="15">
        <v>1.8480000000000001</v>
      </c>
      <c r="F92" s="15">
        <v>5.5350000000000001</v>
      </c>
      <c r="G92" s="15">
        <v>5.492</v>
      </c>
      <c r="H92" s="7">
        <f>F92-G92</f>
        <v>4.3000000000000149E-2</v>
      </c>
      <c r="I92" s="15" t="s">
        <v>335</v>
      </c>
      <c r="J92" s="15" t="s">
        <v>445</v>
      </c>
      <c r="K92" s="15"/>
      <c r="L92" s="20"/>
      <c r="M92" s="6"/>
    </row>
    <row r="93" spans="2:13" x14ac:dyDescent="0.2">
      <c r="B93" s="13"/>
      <c r="C93" s="13" t="s">
        <v>41</v>
      </c>
      <c r="D93" s="13"/>
      <c r="E93" s="15">
        <v>1.851</v>
      </c>
      <c r="F93" s="13"/>
      <c r="G93" s="13"/>
      <c r="H93" s="7"/>
      <c r="I93" s="13"/>
      <c r="J93" s="18"/>
      <c r="K93" s="15" t="s">
        <v>441</v>
      </c>
      <c r="L93" s="13"/>
      <c r="M93" s="6"/>
    </row>
    <row r="94" spans="2:13" x14ac:dyDescent="0.2">
      <c r="B94" s="13"/>
      <c r="C94" s="13" t="s">
        <v>41</v>
      </c>
      <c r="D94" s="14"/>
      <c r="E94" s="15">
        <v>1.8360000000000001</v>
      </c>
      <c r="F94" s="15"/>
      <c r="G94" s="15"/>
      <c r="H94" s="7"/>
      <c r="I94" s="13"/>
      <c r="J94" s="15"/>
      <c r="K94" s="15"/>
      <c r="L94" s="13"/>
      <c r="M94" s="6"/>
    </row>
    <row r="95" spans="2:13" x14ac:dyDescent="0.2">
      <c r="B95" s="13" t="s">
        <v>437</v>
      </c>
      <c r="C95" s="13" t="s">
        <v>41</v>
      </c>
      <c r="D95" s="14">
        <v>0.6</v>
      </c>
      <c r="E95" s="15">
        <v>1.847</v>
      </c>
      <c r="F95" s="15">
        <v>5.5540000000000003</v>
      </c>
      <c r="G95" s="15">
        <v>5.5119999999999996</v>
      </c>
      <c r="H95" s="7">
        <f t="shared" ref="H95" si="14">F95-G95</f>
        <v>4.2000000000000703E-2</v>
      </c>
      <c r="I95" s="13" t="s">
        <v>41</v>
      </c>
      <c r="J95" s="13" t="s">
        <v>41</v>
      </c>
      <c r="K95" s="15"/>
      <c r="L95" s="13"/>
      <c r="M95" s="6"/>
    </row>
    <row r="96" spans="2:13" x14ac:dyDescent="0.2">
      <c r="B96" s="13"/>
      <c r="C96" s="13" t="s">
        <v>41</v>
      </c>
      <c r="D96" s="14"/>
      <c r="E96" s="15">
        <v>1.855</v>
      </c>
      <c r="F96" s="15"/>
      <c r="G96" s="15"/>
      <c r="H96" s="7"/>
      <c r="I96" s="13"/>
      <c r="J96" s="15"/>
      <c r="K96" s="15"/>
      <c r="L96" s="13"/>
      <c r="M96" s="6"/>
    </row>
    <row r="97" spans="2:13" x14ac:dyDescent="0.2">
      <c r="B97" s="13"/>
      <c r="C97" s="13" t="s">
        <v>439</v>
      </c>
      <c r="D97" s="14"/>
      <c r="E97" s="15">
        <v>1.8520000000000001</v>
      </c>
      <c r="F97" s="15"/>
      <c r="G97" s="15"/>
      <c r="H97" s="7"/>
      <c r="I97" s="13"/>
      <c r="J97" s="15"/>
      <c r="K97" s="15"/>
      <c r="L97" s="13"/>
      <c r="M97" s="6"/>
    </row>
    <row r="98" spans="2:13" x14ac:dyDescent="0.2">
      <c r="B98" s="13" t="s">
        <v>438</v>
      </c>
      <c r="C98" s="13" t="s">
        <v>41</v>
      </c>
      <c r="D98" s="14">
        <v>0.4</v>
      </c>
      <c r="E98" s="15">
        <v>1.831</v>
      </c>
      <c r="F98" s="15">
        <v>5.5069999999999997</v>
      </c>
      <c r="G98" s="15">
        <v>5.4649999999999999</v>
      </c>
      <c r="H98" s="7">
        <f t="shared" ref="H98" si="15">F98-G98</f>
        <v>4.1999999999999815E-2</v>
      </c>
      <c r="I98" s="13" t="s">
        <v>41</v>
      </c>
      <c r="J98" s="13" t="s">
        <v>41</v>
      </c>
      <c r="K98" s="15"/>
      <c r="L98" s="13"/>
      <c r="M98" s="6"/>
    </row>
    <row r="99" spans="2:13" x14ac:dyDescent="0.2">
      <c r="B99" s="13"/>
      <c r="C99" s="13" t="s">
        <v>41</v>
      </c>
      <c r="D99" s="14"/>
      <c r="E99" s="15">
        <v>1.8360000000000001</v>
      </c>
      <c r="F99" s="15"/>
      <c r="G99" s="15"/>
      <c r="H99" s="7"/>
      <c r="I99" s="13"/>
      <c r="J99" s="15"/>
      <c r="K99" s="15"/>
      <c r="L99" s="13"/>
      <c r="M99" s="6"/>
    </row>
    <row r="100" spans="2:13" x14ac:dyDescent="0.2">
      <c r="B100" s="13"/>
      <c r="C100" s="13" t="s">
        <v>41</v>
      </c>
      <c r="D100" s="14"/>
      <c r="E100" s="15">
        <v>1.84</v>
      </c>
      <c r="F100" s="15"/>
      <c r="G100" s="15"/>
      <c r="H100" s="7"/>
      <c r="I100" s="13"/>
      <c r="J100" s="15"/>
      <c r="K100" s="15"/>
      <c r="L100" s="13"/>
      <c r="M100" s="6"/>
    </row>
    <row r="101" spans="2:13" x14ac:dyDescent="0.2">
      <c r="B101" s="13" t="s">
        <v>442</v>
      </c>
      <c r="C101" s="13" t="s">
        <v>41</v>
      </c>
      <c r="D101" s="13">
        <v>0.7</v>
      </c>
      <c r="E101" s="15">
        <v>1.8680000000000001</v>
      </c>
      <c r="F101" s="13">
        <v>5.6059999999999999</v>
      </c>
      <c r="G101" s="13">
        <v>5.5720000000000001</v>
      </c>
      <c r="H101" s="7">
        <f t="shared" ref="H101" si="16">F101-G101</f>
        <v>3.3999999999999808E-2</v>
      </c>
      <c r="I101" s="13" t="s">
        <v>41</v>
      </c>
      <c r="J101" s="13" t="s">
        <v>41</v>
      </c>
      <c r="K101" s="13"/>
      <c r="L101" s="13"/>
      <c r="M101" s="6"/>
    </row>
    <row r="102" spans="2:13" x14ac:dyDescent="0.2">
      <c r="B102" s="13"/>
      <c r="C102" s="13" t="s">
        <v>41</v>
      </c>
      <c r="D102" s="13"/>
      <c r="E102" s="15">
        <v>1.8660000000000001</v>
      </c>
      <c r="F102" s="13"/>
      <c r="G102" s="13"/>
      <c r="H102" s="13"/>
      <c r="I102" s="13"/>
      <c r="J102" s="13"/>
      <c r="K102" s="13"/>
      <c r="L102" s="13"/>
      <c r="M102" s="6"/>
    </row>
    <row r="103" spans="2:13" x14ac:dyDescent="0.2">
      <c r="B103" s="13"/>
      <c r="C103" s="13" t="s">
        <v>41</v>
      </c>
      <c r="D103" s="13"/>
      <c r="E103" s="15">
        <v>1.871</v>
      </c>
      <c r="F103" s="13"/>
      <c r="G103" s="13"/>
      <c r="H103" s="13"/>
      <c r="I103" s="13"/>
      <c r="J103" s="13"/>
      <c r="K103" s="13"/>
      <c r="L103" s="13"/>
      <c r="M103" s="6"/>
    </row>
    <row r="104" spans="2:13" x14ac:dyDescent="0.2">
      <c r="B104" s="13" t="s">
        <v>443</v>
      </c>
      <c r="C104" s="13" t="s">
        <v>41</v>
      </c>
      <c r="D104" s="13">
        <v>0.4</v>
      </c>
      <c r="E104" s="15">
        <v>1.863</v>
      </c>
      <c r="F104" s="13">
        <v>5.5880000000000001</v>
      </c>
      <c r="G104" s="13">
        <v>5.5519999999999996</v>
      </c>
      <c r="H104" s="7">
        <f t="shared" ref="H104" si="17">F104-G104</f>
        <v>3.6000000000000476E-2</v>
      </c>
      <c r="I104" s="13" t="s">
        <v>41</v>
      </c>
      <c r="J104" s="13" t="s">
        <v>41</v>
      </c>
      <c r="K104" s="13"/>
      <c r="L104" s="13"/>
      <c r="M104" s="6"/>
    </row>
    <row r="105" spans="2:13" x14ac:dyDescent="0.2">
      <c r="B105" s="13"/>
      <c r="C105" s="13" t="s">
        <v>41</v>
      </c>
      <c r="D105" s="13"/>
      <c r="E105" s="15">
        <v>1.865</v>
      </c>
      <c r="F105" s="13"/>
      <c r="G105" s="13"/>
      <c r="H105" s="13"/>
      <c r="I105" s="13"/>
      <c r="J105" s="13"/>
      <c r="K105" s="13"/>
      <c r="L105" s="13"/>
      <c r="M105" s="6"/>
    </row>
    <row r="106" spans="2:13" x14ac:dyDescent="0.2">
      <c r="B106" s="13"/>
      <c r="C106" s="13" t="s">
        <v>41</v>
      </c>
      <c r="D106" s="13"/>
      <c r="E106" s="15">
        <v>1.86</v>
      </c>
      <c r="F106" s="13"/>
      <c r="G106" s="13"/>
      <c r="H106" s="13"/>
      <c r="I106" s="13"/>
      <c r="J106" s="13"/>
      <c r="K106" s="13"/>
      <c r="L106" s="13"/>
      <c r="M106" s="6"/>
    </row>
    <row r="107" spans="2:13" x14ac:dyDescent="0.2">
      <c r="B107" s="13" t="s">
        <v>444</v>
      </c>
      <c r="C107" s="13" t="s">
        <v>41</v>
      </c>
      <c r="D107" s="14">
        <v>0</v>
      </c>
      <c r="E107" s="15">
        <v>1.8759999999999999</v>
      </c>
      <c r="F107" s="15">
        <v>5.6280000000000001</v>
      </c>
      <c r="G107" s="15">
        <v>5.59</v>
      </c>
      <c r="H107" s="7">
        <f t="shared" ref="H107" si="18">F107-G107</f>
        <v>3.8000000000000256E-2</v>
      </c>
      <c r="I107" s="13" t="s">
        <v>41</v>
      </c>
      <c r="J107" s="13" t="s">
        <v>41</v>
      </c>
      <c r="K107" s="15"/>
      <c r="L107" s="13"/>
      <c r="M107" s="6"/>
    </row>
    <row r="108" spans="2:13" x14ac:dyDescent="0.2">
      <c r="B108" s="13"/>
      <c r="C108" s="13" t="s">
        <v>41</v>
      </c>
      <c r="D108" s="14"/>
      <c r="E108" s="15">
        <v>1.8660000000000001</v>
      </c>
      <c r="F108" s="15"/>
      <c r="G108" s="15"/>
      <c r="H108" s="7"/>
      <c r="I108" s="13"/>
      <c r="J108" s="15"/>
      <c r="K108" s="15"/>
      <c r="L108" s="13"/>
      <c r="M108" s="6"/>
    </row>
    <row r="109" spans="2:13" x14ac:dyDescent="0.2">
      <c r="B109" s="13"/>
      <c r="C109" s="13" t="s">
        <v>41</v>
      </c>
      <c r="D109" s="14"/>
      <c r="E109" s="15">
        <v>1.8859999999999999</v>
      </c>
      <c r="F109" s="15"/>
      <c r="G109" s="15"/>
      <c r="H109" s="7"/>
      <c r="I109" s="13"/>
      <c r="J109" s="13"/>
      <c r="K109" s="15"/>
      <c r="L109" s="13"/>
      <c r="M109" s="6"/>
    </row>
    <row r="110" spans="2:13" x14ac:dyDescent="0.2">
      <c r="B110" s="13" t="s">
        <v>448</v>
      </c>
      <c r="C110" s="13" t="s">
        <v>41</v>
      </c>
      <c r="D110" s="14">
        <v>0.1</v>
      </c>
      <c r="E110" s="15">
        <v>1.8620000000000001</v>
      </c>
      <c r="F110" s="15">
        <v>3.7210000000000001</v>
      </c>
      <c r="G110" s="15">
        <v>3.6909999999999998</v>
      </c>
      <c r="H110" s="7">
        <f t="shared" ref="H110" si="19">F110-G110</f>
        <v>3.0000000000000249E-2</v>
      </c>
      <c r="I110" s="15" t="s">
        <v>323</v>
      </c>
      <c r="J110" s="13" t="s">
        <v>446</v>
      </c>
      <c r="K110" s="15"/>
      <c r="L110" s="23"/>
      <c r="M110" s="6"/>
    </row>
    <row r="111" spans="2:13" x14ac:dyDescent="0.2">
      <c r="B111" s="13"/>
      <c r="C111" s="13" t="s">
        <v>41</v>
      </c>
      <c r="D111" s="14"/>
      <c r="E111" s="15">
        <v>1.8580000000000001</v>
      </c>
      <c r="F111" s="15"/>
      <c r="G111" s="15"/>
      <c r="H111" s="7"/>
      <c r="I111" s="13"/>
      <c r="J111" s="13"/>
      <c r="K111" s="15" t="s">
        <v>460</v>
      </c>
      <c r="L111" s="13"/>
      <c r="M111" s="6"/>
    </row>
    <row r="112" spans="2:13" x14ac:dyDescent="0.2">
      <c r="B112" s="13" t="s">
        <v>449</v>
      </c>
      <c r="C112" s="13" t="s">
        <v>41</v>
      </c>
      <c r="D112" s="14">
        <v>0.3</v>
      </c>
      <c r="E112" s="15">
        <v>1.851</v>
      </c>
      <c r="F112" s="15">
        <v>3.7090000000000001</v>
      </c>
      <c r="G112" s="15">
        <v>3.6819999999999999</v>
      </c>
      <c r="H112" s="7">
        <f t="shared" ref="H112" si="20">F112-G112</f>
        <v>2.7000000000000135E-2</v>
      </c>
      <c r="I112" s="13" t="s">
        <v>41</v>
      </c>
      <c r="J112" s="13" t="s">
        <v>41</v>
      </c>
      <c r="K112" s="15"/>
      <c r="L112" s="13"/>
      <c r="M112" s="6"/>
    </row>
    <row r="113" spans="2:13" x14ac:dyDescent="0.2">
      <c r="B113" s="13"/>
      <c r="C113" s="13" t="s">
        <v>41</v>
      </c>
      <c r="D113" s="13"/>
      <c r="E113" s="15">
        <v>1.857</v>
      </c>
      <c r="F113" s="13"/>
      <c r="G113" s="13"/>
      <c r="H113" s="7"/>
      <c r="I113" s="13"/>
      <c r="J113" s="13"/>
      <c r="K113" s="13"/>
      <c r="L113" s="13"/>
      <c r="M113" s="6"/>
    </row>
    <row r="114" spans="2:13" x14ac:dyDescent="0.2">
      <c r="B114" s="13" t="s">
        <v>450</v>
      </c>
      <c r="C114" s="13" t="s">
        <v>41</v>
      </c>
      <c r="D114" s="14">
        <v>0.6</v>
      </c>
      <c r="E114" s="15">
        <v>1.869</v>
      </c>
      <c r="F114" s="15">
        <v>3.7480000000000002</v>
      </c>
      <c r="G114" s="15">
        <v>3.7290000000000001</v>
      </c>
      <c r="H114" s="7">
        <f t="shared" ref="H114" si="21">F114-G114</f>
        <v>1.9000000000000128E-2</v>
      </c>
      <c r="I114" s="13" t="s">
        <v>41</v>
      </c>
      <c r="J114" s="13" t="s">
        <v>41</v>
      </c>
      <c r="K114" s="15"/>
      <c r="L114" s="13"/>
      <c r="M114" s="6"/>
    </row>
    <row r="115" spans="2:13" x14ac:dyDescent="0.2">
      <c r="B115" s="13"/>
      <c r="C115" s="13" t="s">
        <v>41</v>
      </c>
      <c r="D115" s="14"/>
      <c r="E115" s="15">
        <v>1.8779999999999999</v>
      </c>
      <c r="F115" s="15"/>
      <c r="G115" s="15"/>
      <c r="H115" s="7"/>
      <c r="I115" s="15"/>
      <c r="J115" s="15"/>
      <c r="K115" s="15"/>
      <c r="L115" s="13"/>
      <c r="M115" s="6"/>
    </row>
    <row r="116" spans="2:13" x14ac:dyDescent="0.2">
      <c r="B116" s="13" t="s">
        <v>451</v>
      </c>
      <c r="C116" s="13" t="s">
        <v>41</v>
      </c>
      <c r="D116" s="14">
        <v>0.1</v>
      </c>
      <c r="E116" s="15">
        <v>1.877</v>
      </c>
      <c r="F116" s="15">
        <v>3.766</v>
      </c>
      <c r="G116" s="15">
        <v>3.7410000000000001</v>
      </c>
      <c r="H116" s="7">
        <f t="shared" ref="H116" si="22">F116-G116</f>
        <v>2.4999999999999911E-2</v>
      </c>
      <c r="I116" s="13" t="s">
        <v>41</v>
      </c>
      <c r="J116" s="13" t="s">
        <v>41</v>
      </c>
      <c r="K116" s="15"/>
      <c r="L116" s="13"/>
      <c r="M116" s="6"/>
    </row>
    <row r="117" spans="2:13" x14ac:dyDescent="0.2">
      <c r="B117" s="13"/>
      <c r="C117" s="13" t="s">
        <v>447</v>
      </c>
      <c r="D117" s="14"/>
      <c r="E117" s="15">
        <v>1.8879999999999999</v>
      </c>
      <c r="F117" s="15"/>
      <c r="G117" s="15"/>
      <c r="H117" s="7"/>
      <c r="I117" s="13"/>
      <c r="J117" s="13"/>
      <c r="K117" s="15"/>
      <c r="L117" s="13"/>
      <c r="M117" s="6"/>
    </row>
    <row r="118" spans="2:13" x14ac:dyDescent="0.2">
      <c r="B118" s="13" t="s">
        <v>452</v>
      </c>
      <c r="C118" s="13" t="s">
        <v>41</v>
      </c>
      <c r="D118" s="14">
        <v>0.3</v>
      </c>
      <c r="E118" s="15">
        <v>1.881</v>
      </c>
      <c r="F118" s="15">
        <v>3.7639999999999998</v>
      </c>
      <c r="G118" s="15">
        <v>3.74</v>
      </c>
      <c r="H118" s="7">
        <f t="shared" ref="H118:H130" si="23">F118-G118</f>
        <v>2.3999999999999577E-2</v>
      </c>
      <c r="I118" s="13" t="s">
        <v>41</v>
      </c>
      <c r="J118" s="13" t="s">
        <v>41</v>
      </c>
      <c r="K118" s="15"/>
      <c r="L118" s="13"/>
      <c r="M118" s="6"/>
    </row>
    <row r="119" spans="2:13" x14ac:dyDescent="0.2">
      <c r="B119" s="13"/>
      <c r="C119" s="13" t="s">
        <v>41</v>
      </c>
      <c r="D119" s="14"/>
      <c r="E119" s="15">
        <v>1.883</v>
      </c>
      <c r="F119" s="15"/>
      <c r="G119" s="15"/>
      <c r="H119" s="7"/>
      <c r="I119" s="13"/>
      <c r="J119" s="13"/>
      <c r="K119" s="15"/>
      <c r="L119" s="13"/>
      <c r="M119" s="6"/>
    </row>
    <row r="120" spans="2:13" x14ac:dyDescent="0.2">
      <c r="B120" s="13" t="s">
        <v>453</v>
      </c>
      <c r="C120" s="13" t="s">
        <v>41</v>
      </c>
      <c r="D120" s="14">
        <v>0.6</v>
      </c>
      <c r="E120" s="15">
        <v>1.8660000000000001</v>
      </c>
      <c r="F120" s="15">
        <v>3.74</v>
      </c>
      <c r="G120" s="15">
        <v>3.7170000000000001</v>
      </c>
      <c r="H120" s="7">
        <f t="shared" si="23"/>
        <v>2.3000000000000131E-2</v>
      </c>
      <c r="I120" s="13" t="s">
        <v>41</v>
      </c>
      <c r="J120" s="13" t="s">
        <v>41</v>
      </c>
      <c r="K120" s="15"/>
      <c r="L120" s="13"/>
      <c r="M120" s="6"/>
    </row>
    <row r="121" spans="2:13" x14ac:dyDescent="0.2">
      <c r="B121" s="13"/>
      <c r="C121" s="13" t="s">
        <v>41</v>
      </c>
      <c r="D121" s="13"/>
      <c r="E121" s="15">
        <v>1.8740000000000001</v>
      </c>
      <c r="F121" s="15"/>
      <c r="G121" s="13"/>
      <c r="H121" s="7"/>
      <c r="I121" s="13"/>
      <c r="J121" s="13"/>
      <c r="K121" s="13"/>
      <c r="L121" s="13"/>
      <c r="M121" s="6"/>
    </row>
    <row r="122" spans="2:13" x14ac:dyDescent="0.2">
      <c r="B122" s="13" t="s">
        <v>454</v>
      </c>
      <c r="C122" s="13" t="s">
        <v>41</v>
      </c>
      <c r="D122" s="13">
        <v>0.3</v>
      </c>
      <c r="E122" s="15">
        <v>1.8680000000000001</v>
      </c>
      <c r="F122" s="13">
        <v>3.7349999999999999</v>
      </c>
      <c r="G122" s="13">
        <v>3.7050000000000001</v>
      </c>
      <c r="H122" s="7">
        <f t="shared" si="23"/>
        <v>2.9999999999999805E-2</v>
      </c>
      <c r="I122" s="13" t="s">
        <v>41</v>
      </c>
      <c r="J122" s="13" t="s">
        <v>41</v>
      </c>
      <c r="K122" s="13"/>
      <c r="L122" s="13"/>
      <c r="M122" s="6"/>
    </row>
    <row r="123" spans="2:13" x14ac:dyDescent="0.2">
      <c r="B123" s="13"/>
      <c r="C123" s="13" t="s">
        <v>41</v>
      </c>
      <c r="D123" s="13"/>
      <c r="E123" s="15">
        <v>1.867</v>
      </c>
      <c r="F123" s="13"/>
      <c r="G123" s="13"/>
      <c r="H123" s="7"/>
      <c r="I123" s="15"/>
      <c r="J123" s="15"/>
      <c r="K123" s="13"/>
      <c r="L123" s="13"/>
      <c r="M123" s="6"/>
    </row>
    <row r="124" spans="2:13" x14ac:dyDescent="0.2">
      <c r="B124" s="13" t="s">
        <v>455</v>
      </c>
      <c r="C124" s="13" t="s">
        <v>41</v>
      </c>
      <c r="D124" s="13">
        <v>0.5</v>
      </c>
      <c r="E124" s="15">
        <v>1.869</v>
      </c>
      <c r="F124" s="13">
        <v>3.7370000000000001</v>
      </c>
      <c r="G124" s="13">
        <v>3.7120000000000002</v>
      </c>
      <c r="H124" s="7">
        <f t="shared" si="23"/>
        <v>2.4999999999999911E-2</v>
      </c>
      <c r="I124" s="13" t="s">
        <v>41</v>
      </c>
      <c r="J124" s="13" t="s">
        <v>41</v>
      </c>
      <c r="K124" s="13"/>
      <c r="L124" s="13"/>
      <c r="M124" s="6"/>
    </row>
    <row r="125" spans="2:13" x14ac:dyDescent="0.2">
      <c r="B125" s="13"/>
      <c r="C125" s="13" t="s">
        <v>41</v>
      </c>
      <c r="D125" s="13"/>
      <c r="E125" s="15">
        <v>1.8680000000000001</v>
      </c>
      <c r="F125" s="13"/>
      <c r="G125" s="13"/>
      <c r="H125" s="7"/>
      <c r="I125" s="13"/>
      <c r="J125" s="13"/>
      <c r="K125" s="13"/>
      <c r="L125" s="13"/>
      <c r="M125" s="6"/>
    </row>
    <row r="126" spans="2:13" x14ac:dyDescent="0.2">
      <c r="B126" s="13" t="s">
        <v>456</v>
      </c>
      <c r="C126" s="13" t="s">
        <v>41</v>
      </c>
      <c r="D126" s="13">
        <v>0.1</v>
      </c>
      <c r="E126" s="15">
        <v>1.843</v>
      </c>
      <c r="F126" s="13">
        <v>3.6840000000000002</v>
      </c>
      <c r="G126" s="13">
        <v>3.661</v>
      </c>
      <c r="H126" s="7">
        <f t="shared" si="23"/>
        <v>2.3000000000000131E-2</v>
      </c>
      <c r="I126" s="13" t="s">
        <v>41</v>
      </c>
      <c r="J126" s="13" t="s">
        <v>41</v>
      </c>
      <c r="K126" s="13"/>
      <c r="L126" s="13"/>
      <c r="M126" s="6"/>
    </row>
    <row r="127" spans="2:13" x14ac:dyDescent="0.2">
      <c r="B127" s="13"/>
      <c r="C127" s="13" t="s">
        <v>41</v>
      </c>
      <c r="D127" s="13"/>
      <c r="E127" s="15">
        <v>1.84</v>
      </c>
      <c r="F127" s="13"/>
      <c r="G127" s="13"/>
      <c r="H127" s="7"/>
      <c r="I127" s="13"/>
      <c r="J127" s="13"/>
      <c r="K127" s="13"/>
      <c r="L127" s="13"/>
      <c r="M127" s="6"/>
    </row>
    <row r="128" spans="2:13" x14ac:dyDescent="0.2">
      <c r="B128" s="13" t="s">
        <v>457</v>
      </c>
      <c r="C128" s="13" t="s">
        <v>41</v>
      </c>
      <c r="D128" s="13">
        <v>0.2</v>
      </c>
      <c r="E128" s="15">
        <v>1.8680000000000001</v>
      </c>
      <c r="F128" s="13">
        <v>3.742</v>
      </c>
      <c r="G128" s="13">
        <v>3.7160000000000002</v>
      </c>
      <c r="H128" s="7">
        <f t="shared" si="23"/>
        <v>2.5999999999999801E-2</v>
      </c>
      <c r="I128" s="13" t="s">
        <v>41</v>
      </c>
      <c r="J128" s="13" t="s">
        <v>41</v>
      </c>
      <c r="K128" s="13"/>
      <c r="L128" s="13"/>
      <c r="M128" s="6"/>
    </row>
    <row r="129" spans="2:13" x14ac:dyDescent="0.2">
      <c r="B129" s="13"/>
      <c r="C129" s="13" t="s">
        <v>41</v>
      </c>
      <c r="D129" s="14"/>
      <c r="E129" s="15">
        <v>1.8740000000000001</v>
      </c>
      <c r="F129" s="15"/>
      <c r="G129" s="15"/>
      <c r="H129" s="7"/>
      <c r="I129" s="13"/>
      <c r="J129" s="13"/>
      <c r="K129" s="15"/>
      <c r="L129" s="13"/>
      <c r="M129" s="6"/>
    </row>
    <row r="130" spans="2:13" x14ac:dyDescent="0.2">
      <c r="B130" s="13" t="s">
        <v>458</v>
      </c>
      <c r="C130" s="13" t="s">
        <v>41</v>
      </c>
      <c r="D130" s="14">
        <v>1</v>
      </c>
      <c r="E130" s="13">
        <v>1.8640000000000001</v>
      </c>
      <c r="F130" s="7">
        <v>3.738</v>
      </c>
      <c r="G130" s="13">
        <v>3.718</v>
      </c>
      <c r="H130" s="7">
        <f t="shared" si="23"/>
        <v>2.0000000000000018E-2</v>
      </c>
      <c r="I130" s="13" t="s">
        <v>41</v>
      </c>
      <c r="J130" s="13" t="s">
        <v>41</v>
      </c>
      <c r="K130" s="15"/>
      <c r="L130" s="13"/>
      <c r="M130" s="6"/>
    </row>
    <row r="131" spans="2:13" x14ac:dyDescent="0.2">
      <c r="B131" s="13"/>
      <c r="C131" s="13" t="s">
        <v>41</v>
      </c>
      <c r="D131" s="14"/>
      <c r="E131" s="15">
        <v>1.8740000000000001</v>
      </c>
      <c r="F131" s="7"/>
      <c r="G131" s="15"/>
      <c r="H131" s="7"/>
      <c r="I131" s="15"/>
      <c r="J131" s="15"/>
      <c r="K131" s="15"/>
      <c r="L131" s="13"/>
      <c r="M131" s="6"/>
    </row>
    <row r="132" spans="2:13" x14ac:dyDescent="0.2">
      <c r="B132" s="13" t="s">
        <v>465</v>
      </c>
      <c r="C132" s="13" t="s">
        <v>41</v>
      </c>
      <c r="D132" s="14">
        <v>0.7</v>
      </c>
      <c r="E132" s="15"/>
      <c r="F132" s="15">
        <v>1.8560000000000001</v>
      </c>
      <c r="G132" s="15">
        <v>1.843</v>
      </c>
      <c r="H132" s="7">
        <f t="shared" ref="H132:H137" si="24">F132-G132</f>
        <v>1.3000000000000123E-2</v>
      </c>
      <c r="I132" s="15" t="s">
        <v>328</v>
      </c>
      <c r="J132" s="13" t="s">
        <v>459</v>
      </c>
      <c r="K132" s="15"/>
      <c r="L132" s="13"/>
      <c r="M132" s="6"/>
    </row>
    <row r="133" spans="2:13" x14ac:dyDescent="0.2">
      <c r="B133" s="13" t="s">
        <v>466</v>
      </c>
      <c r="C133" s="13" t="s">
        <v>41</v>
      </c>
      <c r="D133" s="14">
        <v>0.6</v>
      </c>
      <c r="E133" s="15"/>
      <c r="F133" s="15">
        <v>1.8620000000000001</v>
      </c>
      <c r="G133" s="15">
        <v>1.85</v>
      </c>
      <c r="H133" s="7">
        <f t="shared" si="24"/>
        <v>1.2000000000000011E-2</v>
      </c>
      <c r="I133" s="13" t="s">
        <v>41</v>
      </c>
      <c r="J133" s="13" t="s">
        <v>41</v>
      </c>
      <c r="K133" s="15"/>
      <c r="L133" s="13"/>
      <c r="M133" s="6"/>
    </row>
    <row r="134" spans="2:13" x14ac:dyDescent="0.2">
      <c r="B134" s="13" t="s">
        <v>467</v>
      </c>
      <c r="C134" s="13" t="s">
        <v>41</v>
      </c>
      <c r="D134" s="14">
        <v>0.5</v>
      </c>
      <c r="E134" s="15"/>
      <c r="F134" s="15">
        <v>1.8660000000000001</v>
      </c>
      <c r="G134" s="15">
        <v>1.8540000000000001</v>
      </c>
      <c r="H134" s="7">
        <f t="shared" si="24"/>
        <v>1.2000000000000011E-2</v>
      </c>
      <c r="I134" s="13" t="s">
        <v>41</v>
      </c>
      <c r="J134" s="13" t="s">
        <v>41</v>
      </c>
      <c r="K134" s="15"/>
      <c r="L134" s="13"/>
      <c r="M134" s="6"/>
    </row>
    <row r="135" spans="2:13" x14ac:dyDescent="0.2">
      <c r="B135" s="13" t="s">
        <v>468</v>
      </c>
      <c r="C135" s="13" t="s">
        <v>41</v>
      </c>
      <c r="D135" s="6">
        <v>0.2</v>
      </c>
      <c r="E135" s="7"/>
      <c r="F135" s="7">
        <v>1.8759999999999999</v>
      </c>
      <c r="G135" s="7">
        <v>1.8640000000000001</v>
      </c>
      <c r="H135" s="7">
        <f t="shared" si="24"/>
        <v>1.1999999999999789E-2</v>
      </c>
      <c r="I135" s="13" t="s">
        <v>41</v>
      </c>
      <c r="J135" s="13" t="s">
        <v>41</v>
      </c>
      <c r="K135" s="6"/>
      <c r="L135" s="6"/>
      <c r="M135" s="6"/>
    </row>
    <row r="136" spans="2:13" x14ac:dyDescent="0.2">
      <c r="B136" s="13" t="s">
        <v>469</v>
      </c>
      <c r="C136" s="13" t="s">
        <v>471</v>
      </c>
      <c r="D136" s="6">
        <v>0.6</v>
      </c>
      <c r="E136" s="7"/>
      <c r="F136" s="7">
        <v>1.867</v>
      </c>
      <c r="G136" s="7">
        <v>1.855</v>
      </c>
      <c r="H136" s="7">
        <f t="shared" si="24"/>
        <v>1.2000000000000011E-2</v>
      </c>
      <c r="I136" s="13" t="s">
        <v>41</v>
      </c>
      <c r="J136" s="13" t="s">
        <v>41</v>
      </c>
      <c r="K136" s="6"/>
      <c r="L136" s="6"/>
      <c r="M136" s="6"/>
    </row>
    <row r="137" spans="2:13" x14ac:dyDescent="0.2">
      <c r="B137" s="13" t="s">
        <v>470</v>
      </c>
      <c r="C137" s="6"/>
      <c r="D137" s="6">
        <v>0.4</v>
      </c>
      <c r="E137" s="7"/>
      <c r="F137" s="7">
        <v>1.869</v>
      </c>
      <c r="G137" s="7">
        <v>1.8560000000000001</v>
      </c>
      <c r="H137" s="7">
        <f t="shared" si="24"/>
        <v>1.2999999999999901E-2</v>
      </c>
      <c r="I137" s="13" t="s">
        <v>41</v>
      </c>
      <c r="J137" s="13" t="s">
        <v>41</v>
      </c>
      <c r="K137" s="6"/>
      <c r="L137" s="6"/>
      <c r="M137" s="6"/>
    </row>
    <row r="138" spans="2:13" x14ac:dyDescent="0.2">
      <c r="B138" s="6"/>
      <c r="C138" s="6"/>
      <c r="D138" s="6"/>
      <c r="E138" s="7"/>
      <c r="F138" s="7"/>
      <c r="G138" s="7"/>
      <c r="H138" s="7"/>
      <c r="I138" s="7"/>
      <c r="J138" s="5"/>
      <c r="K138" s="6"/>
      <c r="L138" s="6"/>
      <c r="M138" s="6"/>
    </row>
    <row r="139" spans="2:13" x14ac:dyDescent="0.2">
      <c r="B139" s="6"/>
      <c r="C139" s="6"/>
      <c r="D139" s="6"/>
      <c r="E139" s="7"/>
      <c r="F139" s="7"/>
      <c r="G139" s="7"/>
      <c r="H139" s="7"/>
      <c r="I139" s="7"/>
      <c r="J139" s="5"/>
      <c r="K139" s="6"/>
      <c r="L139" s="6"/>
      <c r="M139" s="6"/>
    </row>
    <row r="140" spans="2:13" x14ac:dyDescent="0.2">
      <c r="B140" s="6"/>
      <c r="C140" s="6"/>
      <c r="D140" s="6"/>
      <c r="E140" s="7"/>
      <c r="F140" s="7"/>
      <c r="G140" s="7"/>
      <c r="H140" s="7"/>
      <c r="I140" s="7"/>
      <c r="J140" s="5"/>
      <c r="K140" s="6"/>
      <c r="L140" s="6"/>
      <c r="M140" s="6"/>
    </row>
    <row r="141" spans="2:13" x14ac:dyDescent="0.2">
      <c r="B141" s="6"/>
      <c r="C141" s="6"/>
      <c r="D141" s="6"/>
      <c r="E141" s="7"/>
      <c r="F141" s="7"/>
      <c r="G141" s="7"/>
      <c r="H141" s="7"/>
      <c r="I141" s="7"/>
      <c r="J141" s="5"/>
      <c r="K141" s="6"/>
      <c r="L141" s="6"/>
      <c r="M141" s="6"/>
    </row>
    <row r="142" spans="2:13" x14ac:dyDescent="0.2">
      <c r="B142" s="6"/>
      <c r="C142" s="6"/>
      <c r="D142" s="6"/>
      <c r="E142" s="7"/>
      <c r="F142" s="7"/>
      <c r="G142" s="7"/>
      <c r="H142" s="7"/>
      <c r="I142" s="7"/>
      <c r="J142" s="5"/>
      <c r="K142" s="6"/>
      <c r="L142" s="6"/>
      <c r="M142" s="6"/>
    </row>
    <row r="143" spans="2:13" x14ac:dyDescent="0.2">
      <c r="B143" s="6"/>
      <c r="C143" s="6"/>
      <c r="D143" s="6"/>
      <c r="E143" s="7"/>
      <c r="F143" s="7"/>
      <c r="G143" s="7"/>
      <c r="H143" s="7"/>
      <c r="I143" s="7"/>
      <c r="J143" s="5"/>
      <c r="K143" s="6"/>
      <c r="L143" s="6"/>
      <c r="M143" s="6"/>
    </row>
    <row r="144" spans="2:13" x14ac:dyDescent="0.2">
      <c r="B144" s="6"/>
      <c r="C144" s="6"/>
      <c r="D144" s="6"/>
      <c r="E144" s="7"/>
      <c r="F144" s="7"/>
      <c r="G144" s="7"/>
      <c r="H144" s="7"/>
      <c r="I144" s="7"/>
      <c r="J144" s="5"/>
      <c r="K144" s="6"/>
      <c r="L144" s="6"/>
      <c r="M144" s="6"/>
    </row>
    <row r="145" spans="2:13" x14ac:dyDescent="0.2">
      <c r="B145" s="6"/>
      <c r="C145" s="6"/>
      <c r="D145" s="6"/>
      <c r="E145" s="7"/>
      <c r="F145" s="7"/>
      <c r="G145" s="7"/>
      <c r="H145" s="7"/>
      <c r="I145" s="7"/>
      <c r="J145" s="5"/>
      <c r="K145" s="6"/>
      <c r="L145" s="6"/>
      <c r="M145" s="6"/>
    </row>
    <row r="146" spans="2:13" x14ac:dyDescent="0.2">
      <c r="B146" s="6"/>
      <c r="C146" s="6"/>
      <c r="D146" s="6"/>
      <c r="E146" s="7"/>
      <c r="F146" s="7"/>
      <c r="G146" s="7"/>
      <c r="H146" s="7"/>
      <c r="I146" s="7"/>
      <c r="J146" s="5"/>
      <c r="K146" s="6"/>
      <c r="L146" s="6"/>
      <c r="M146" s="6"/>
    </row>
    <row r="147" spans="2:13" x14ac:dyDescent="0.2">
      <c r="B147" s="6"/>
      <c r="C147" s="6"/>
      <c r="D147" s="6"/>
      <c r="E147" s="7"/>
      <c r="F147" s="7"/>
      <c r="G147" s="7"/>
      <c r="H147" s="7"/>
      <c r="I147" s="7"/>
      <c r="J147" s="5"/>
      <c r="K147" s="6"/>
      <c r="L147" s="6"/>
      <c r="M147" s="6"/>
    </row>
    <row r="148" spans="2:13" x14ac:dyDescent="0.2">
      <c r="B148" s="6"/>
      <c r="C148" s="6"/>
      <c r="D148" s="6"/>
      <c r="E148" s="7"/>
      <c r="F148" s="7"/>
      <c r="G148" s="7"/>
      <c r="H148" s="7"/>
      <c r="I148" s="7"/>
      <c r="J148" s="5"/>
      <c r="K148" s="6"/>
      <c r="L148" s="6"/>
      <c r="M148" s="6"/>
    </row>
    <row r="149" spans="2:13" x14ac:dyDescent="0.2">
      <c r="B149" s="6"/>
      <c r="C149" s="6"/>
      <c r="D149" s="6"/>
      <c r="E149" s="7"/>
      <c r="F149" s="7"/>
      <c r="G149" s="7"/>
      <c r="H149" s="7"/>
      <c r="I149" s="7"/>
      <c r="J149" s="5"/>
      <c r="K149" s="6"/>
      <c r="L149" s="6"/>
      <c r="M149" s="6"/>
    </row>
    <row r="150" spans="2:13" x14ac:dyDescent="0.2">
      <c r="B150" s="6"/>
      <c r="C150" s="6"/>
      <c r="D150" s="6"/>
      <c r="E150" s="7"/>
      <c r="F150" s="7"/>
      <c r="G150" s="7"/>
      <c r="H150" s="7"/>
      <c r="I150" s="7"/>
      <c r="J150" s="5"/>
      <c r="K150" s="6"/>
      <c r="L150" s="6"/>
      <c r="M150" s="6"/>
    </row>
    <row r="151" spans="2:13" x14ac:dyDescent="0.2">
      <c r="B151" s="6"/>
      <c r="C151" s="6"/>
      <c r="D151" s="6"/>
      <c r="E151" s="7"/>
      <c r="F151" s="7"/>
      <c r="G151" s="7"/>
      <c r="H151" s="7"/>
      <c r="I151" s="7"/>
      <c r="J151" s="5"/>
      <c r="K151" s="6"/>
      <c r="L151" s="6"/>
      <c r="M151" s="6"/>
    </row>
    <row r="152" spans="2:13" x14ac:dyDescent="0.2">
      <c r="B152" s="6"/>
      <c r="C152" s="6"/>
      <c r="D152" s="6"/>
      <c r="E152" s="7"/>
      <c r="F152" s="7"/>
      <c r="G152" s="7"/>
      <c r="H152" s="7"/>
      <c r="I152" s="7"/>
      <c r="J152" s="5"/>
      <c r="K152" s="6"/>
      <c r="L152" s="6"/>
      <c r="M152" s="6"/>
    </row>
    <row r="153" spans="2:13" x14ac:dyDescent="0.2">
      <c r="B153" s="6"/>
      <c r="C153" s="6"/>
      <c r="D153" s="6"/>
      <c r="E153" s="7"/>
      <c r="F153" s="7"/>
      <c r="G153" s="7"/>
      <c r="H153" s="7"/>
      <c r="I153" s="7"/>
      <c r="J153" s="5"/>
      <c r="K153" s="6"/>
      <c r="L153" s="6"/>
      <c r="M153" s="6"/>
    </row>
    <row r="154" spans="2:13" x14ac:dyDescent="0.2">
      <c r="B154" s="6"/>
      <c r="C154" s="6"/>
      <c r="D154" s="6"/>
      <c r="E154" s="7"/>
      <c r="F154" s="7"/>
      <c r="G154" s="7"/>
      <c r="H154" s="7"/>
      <c r="I154" s="7"/>
      <c r="J154" s="5"/>
      <c r="K154" s="6"/>
      <c r="L154" s="6"/>
      <c r="M154" s="6"/>
    </row>
    <row r="155" spans="2:13" x14ac:dyDescent="0.2">
      <c r="B155" s="6"/>
      <c r="C155" s="6"/>
      <c r="D155" s="6"/>
      <c r="E155" s="7"/>
      <c r="F155" s="7"/>
      <c r="G155" s="7"/>
      <c r="H155" s="7"/>
      <c r="I155" s="7"/>
      <c r="J155" s="5"/>
      <c r="K155" s="6"/>
      <c r="L155" s="6"/>
      <c r="M155" s="6"/>
    </row>
    <row r="156" spans="2:13" x14ac:dyDescent="0.2">
      <c r="B156" s="6"/>
      <c r="C156" s="6"/>
      <c r="D156" s="6"/>
      <c r="E156" s="7"/>
      <c r="F156" s="7"/>
      <c r="G156" s="7"/>
      <c r="H156" s="7"/>
      <c r="I156" s="7"/>
      <c r="J156" s="5"/>
      <c r="K156" s="6"/>
      <c r="L156" s="6"/>
      <c r="M156" s="6"/>
    </row>
    <row r="157" spans="2:13" x14ac:dyDescent="0.2">
      <c r="B157" s="6"/>
      <c r="C157" s="6"/>
      <c r="D157" s="6"/>
      <c r="E157" s="7"/>
      <c r="F157" s="7"/>
      <c r="G157" s="7"/>
      <c r="H157" s="7"/>
      <c r="I157" s="7"/>
      <c r="J157" s="5"/>
      <c r="K157" s="6"/>
      <c r="L157" s="6"/>
      <c r="M157" s="6"/>
    </row>
    <row r="158" spans="2:13" x14ac:dyDescent="0.2">
      <c r="B158" s="6"/>
      <c r="C158" s="6"/>
      <c r="D158" s="6"/>
      <c r="E158" s="7"/>
      <c r="F158" s="7"/>
      <c r="G158" s="7"/>
      <c r="H158" s="7"/>
      <c r="I158" s="7"/>
      <c r="J158" s="5"/>
      <c r="K158" s="6"/>
      <c r="L158" s="6"/>
      <c r="M158" s="6"/>
    </row>
    <row r="159" spans="2:13" x14ac:dyDescent="0.2">
      <c r="B159" s="6"/>
      <c r="C159" s="6"/>
      <c r="D159" s="6"/>
      <c r="E159" s="7"/>
      <c r="F159" s="7"/>
      <c r="G159" s="7"/>
      <c r="H159" s="7"/>
      <c r="I159" s="7"/>
      <c r="J159" s="5"/>
      <c r="K159" s="6"/>
      <c r="L159" s="6"/>
      <c r="M159" s="6"/>
    </row>
    <row r="160" spans="2:13" x14ac:dyDescent="0.2">
      <c r="B160" s="6"/>
      <c r="C160" s="6"/>
      <c r="D160" s="6"/>
      <c r="E160" s="7"/>
      <c r="F160" s="7"/>
      <c r="G160" s="7"/>
      <c r="H160" s="7"/>
      <c r="I160" s="7"/>
      <c r="J160" s="5"/>
      <c r="K160" s="6"/>
      <c r="L160" s="6"/>
      <c r="M160" s="6"/>
    </row>
    <row r="161" spans="2:13" x14ac:dyDescent="0.2">
      <c r="B161" s="6"/>
      <c r="C161" s="6"/>
      <c r="D161" s="6"/>
      <c r="E161" s="7"/>
      <c r="F161" s="7"/>
      <c r="G161" s="7"/>
      <c r="H161" s="7"/>
      <c r="I161" s="7"/>
      <c r="J161" s="5"/>
      <c r="K161" s="6"/>
      <c r="L161" s="6"/>
      <c r="M161" s="6"/>
    </row>
    <row r="162" spans="2:13" x14ac:dyDescent="0.2">
      <c r="B162" s="6"/>
      <c r="C162" s="6"/>
      <c r="D162" s="6"/>
      <c r="E162" s="7"/>
      <c r="F162" s="7"/>
      <c r="G162" s="7"/>
      <c r="H162" s="7"/>
      <c r="I162" s="7"/>
      <c r="J162" s="5"/>
      <c r="K162" s="6"/>
      <c r="L162" s="6"/>
      <c r="M162" s="6"/>
    </row>
    <row r="163" spans="2:13" x14ac:dyDescent="0.2">
      <c r="B163" s="6"/>
      <c r="C163" s="6"/>
      <c r="D163" s="6"/>
      <c r="E163" s="7"/>
      <c r="F163" s="7"/>
      <c r="G163" s="7"/>
      <c r="H163" s="7"/>
      <c r="I163" s="7"/>
      <c r="J163" s="5"/>
      <c r="K163" s="6"/>
      <c r="L163" s="6"/>
      <c r="M163" s="6"/>
    </row>
    <row r="164" spans="2:13" x14ac:dyDescent="0.2">
      <c r="B164" s="6"/>
      <c r="C164" s="6"/>
      <c r="D164" s="6"/>
      <c r="E164" s="7"/>
      <c r="F164" s="7"/>
      <c r="G164" s="7"/>
      <c r="H164" s="7"/>
      <c r="I164" s="7"/>
      <c r="J164" s="5"/>
      <c r="K164" s="6"/>
      <c r="L164" s="6"/>
      <c r="M164" s="6"/>
    </row>
    <row r="165" spans="2:13" x14ac:dyDescent="0.2">
      <c r="B165" s="6"/>
      <c r="C165" s="6"/>
      <c r="D165" s="6"/>
      <c r="E165" s="7"/>
      <c r="F165" s="7"/>
      <c r="G165" s="7"/>
      <c r="H165" s="7"/>
      <c r="I165" s="7"/>
      <c r="J165" s="5"/>
      <c r="K165" s="6"/>
      <c r="L165" s="6"/>
      <c r="M165" s="6"/>
    </row>
    <row r="166" spans="2:13" x14ac:dyDescent="0.2">
      <c r="B166" s="6"/>
      <c r="C166" s="6"/>
      <c r="D166" s="6"/>
      <c r="E166" s="7"/>
      <c r="F166" s="7"/>
      <c r="G166" s="7"/>
      <c r="H166" s="7"/>
      <c r="I166" s="7"/>
      <c r="J166" s="5"/>
      <c r="K166" s="6"/>
      <c r="L166" s="6"/>
      <c r="M166" s="6"/>
    </row>
    <row r="167" spans="2:13" x14ac:dyDescent="0.2">
      <c r="B167" s="6"/>
      <c r="C167" s="6"/>
      <c r="D167" s="6"/>
      <c r="E167" s="7"/>
      <c r="F167" s="7"/>
      <c r="G167" s="7"/>
      <c r="H167" s="7"/>
      <c r="I167" s="7"/>
      <c r="J167" s="5"/>
      <c r="K167" s="6"/>
      <c r="L167" s="6"/>
      <c r="M167" s="6"/>
    </row>
    <row r="168" spans="2:13" x14ac:dyDescent="0.2">
      <c r="B168" s="6"/>
      <c r="C168" s="6"/>
      <c r="D168" s="6"/>
      <c r="E168" s="7"/>
      <c r="F168" s="7"/>
      <c r="G168" s="7"/>
      <c r="H168" s="7"/>
      <c r="I168" s="7"/>
      <c r="J168" s="5"/>
      <c r="K168" s="6"/>
      <c r="L168" s="6"/>
      <c r="M168" s="6"/>
    </row>
    <row r="169" spans="2:13" x14ac:dyDescent="0.2">
      <c r="B169" s="6"/>
      <c r="C169" s="6"/>
      <c r="D169" s="6"/>
      <c r="E169" s="7"/>
      <c r="F169" s="7"/>
      <c r="G169" s="7"/>
      <c r="H169" s="7"/>
      <c r="I169" s="7"/>
      <c r="J169" s="5"/>
      <c r="K169" s="6"/>
      <c r="L169" s="6"/>
      <c r="M169" s="6"/>
    </row>
    <row r="170" spans="2:13" x14ac:dyDescent="0.2">
      <c r="B170" s="6"/>
      <c r="C170" s="6"/>
      <c r="D170" s="6"/>
      <c r="E170" s="7"/>
      <c r="F170" s="7"/>
      <c r="G170" s="7"/>
      <c r="H170" s="7"/>
      <c r="I170" s="7"/>
      <c r="J170" s="5"/>
      <c r="K170" s="6"/>
      <c r="L170" s="6"/>
      <c r="M170" s="6"/>
    </row>
    <row r="171" spans="2:13" x14ac:dyDescent="0.2">
      <c r="B171" s="6"/>
      <c r="C171" s="6"/>
      <c r="D171" s="6"/>
      <c r="E171" s="7"/>
      <c r="F171" s="7"/>
      <c r="G171" s="7"/>
      <c r="H171" s="7"/>
      <c r="I171" s="7"/>
      <c r="J171" s="5"/>
      <c r="K171" s="6"/>
      <c r="L171" s="6"/>
      <c r="M171" s="6"/>
    </row>
    <row r="172" spans="2:13" x14ac:dyDescent="0.2">
      <c r="B172" s="6"/>
      <c r="C172" s="6"/>
      <c r="D172" s="6"/>
      <c r="E172" s="7"/>
      <c r="F172" s="7"/>
      <c r="G172" s="7"/>
      <c r="H172" s="7"/>
      <c r="I172" s="7"/>
      <c r="J172" s="5"/>
      <c r="K172" s="6"/>
      <c r="L172" s="6"/>
      <c r="M172" s="6"/>
    </row>
    <row r="173" spans="2:13" x14ac:dyDescent="0.2">
      <c r="B173" s="6"/>
      <c r="C173" s="6"/>
      <c r="D173" s="6"/>
      <c r="E173" s="7"/>
      <c r="F173" s="7"/>
      <c r="G173" s="7"/>
      <c r="H173" s="7"/>
      <c r="I173" s="7"/>
      <c r="J173" s="5"/>
      <c r="K173" s="6"/>
      <c r="L173" s="6"/>
      <c r="M173" s="6"/>
    </row>
    <row r="174" spans="2:13" x14ac:dyDescent="0.2">
      <c r="B174" s="6"/>
      <c r="C174" s="6"/>
      <c r="D174" s="6"/>
      <c r="E174" s="7"/>
      <c r="F174" s="7"/>
      <c r="G174" s="7"/>
      <c r="H174" s="7"/>
      <c r="I174" s="7"/>
      <c r="J174" s="5"/>
      <c r="K174" s="6"/>
      <c r="L174" s="6"/>
      <c r="M174" s="6"/>
    </row>
    <row r="175" spans="2:13" x14ac:dyDescent="0.2">
      <c r="B175" s="6"/>
      <c r="C175" s="6"/>
      <c r="D175" s="6"/>
      <c r="E175" s="7"/>
      <c r="F175" s="7"/>
      <c r="G175" s="7"/>
      <c r="H175" s="7"/>
      <c r="I175" s="7"/>
      <c r="J175" s="5"/>
      <c r="K175" s="6"/>
      <c r="L175" s="6"/>
      <c r="M175" s="6"/>
    </row>
    <row r="176" spans="2:13" x14ac:dyDescent="0.2">
      <c r="B176" s="6"/>
      <c r="C176" s="6"/>
      <c r="D176" s="6"/>
      <c r="E176" s="7"/>
      <c r="F176" s="7"/>
      <c r="G176" s="7"/>
      <c r="H176" s="7"/>
      <c r="I176" s="7"/>
      <c r="J176" s="5"/>
      <c r="K176" s="6"/>
      <c r="L176" s="6"/>
      <c r="M176" s="6"/>
    </row>
    <row r="177" spans="2:13" x14ac:dyDescent="0.2">
      <c r="B177" s="6"/>
      <c r="C177" s="6"/>
      <c r="D177" s="6"/>
      <c r="E177" s="7"/>
      <c r="F177" s="7"/>
      <c r="G177" s="7"/>
      <c r="H177" s="7"/>
      <c r="I177" s="7"/>
      <c r="J177" s="5"/>
      <c r="K177" s="6"/>
      <c r="L177" s="6"/>
      <c r="M177" s="6"/>
    </row>
    <row r="178" spans="2:13" x14ac:dyDescent="0.2">
      <c r="B178" s="6"/>
      <c r="C178" s="6"/>
      <c r="D178" s="6"/>
      <c r="E178" s="7"/>
      <c r="F178" s="7"/>
      <c r="G178" s="7"/>
      <c r="H178" s="7"/>
      <c r="I178" s="7"/>
      <c r="J178" s="5"/>
      <c r="K178" s="6"/>
      <c r="L178" s="6"/>
      <c r="M178" s="6"/>
    </row>
    <row r="179" spans="2:13" x14ac:dyDescent="0.2">
      <c r="B179" s="6"/>
      <c r="C179" s="6"/>
      <c r="D179" s="6"/>
      <c r="E179" s="7"/>
      <c r="F179" s="7"/>
      <c r="G179" s="7"/>
      <c r="H179" s="7"/>
      <c r="I179" s="7"/>
      <c r="J179" s="5"/>
      <c r="K179" s="6"/>
      <c r="L179" s="6"/>
      <c r="M179" s="6"/>
    </row>
    <row r="180" spans="2:13" x14ac:dyDescent="0.2">
      <c r="B180" s="6"/>
      <c r="C180" s="6"/>
      <c r="D180" s="6"/>
      <c r="E180" s="7"/>
      <c r="F180" s="7"/>
      <c r="G180" s="7"/>
      <c r="H180" s="7"/>
      <c r="I180" s="7"/>
      <c r="J180" s="5"/>
      <c r="K180" s="6"/>
      <c r="L180" s="6"/>
      <c r="M180" s="6"/>
    </row>
    <row r="181" spans="2:13" x14ac:dyDescent="0.2">
      <c r="B181" s="6"/>
      <c r="C181" s="6"/>
      <c r="D181" s="6"/>
      <c r="E181" s="7"/>
      <c r="F181" s="7"/>
      <c r="G181" s="7"/>
      <c r="H181" s="7"/>
      <c r="I181" s="7"/>
      <c r="J181" s="5"/>
      <c r="K181" s="6"/>
      <c r="L181" s="6"/>
      <c r="M181" s="6"/>
    </row>
    <row r="182" spans="2:13" x14ac:dyDescent="0.2">
      <c r="B182" s="6"/>
      <c r="C182" s="6"/>
      <c r="D182" s="6"/>
      <c r="E182" s="7"/>
      <c r="F182" s="7"/>
      <c r="G182" s="7"/>
      <c r="H182" s="7"/>
      <c r="I182" s="7"/>
      <c r="J182" s="5"/>
      <c r="K182" s="6"/>
      <c r="L182" s="6"/>
      <c r="M182" s="6"/>
    </row>
    <row r="183" spans="2:13" x14ac:dyDescent="0.2">
      <c r="B183" s="6"/>
      <c r="C183" s="6"/>
      <c r="D183" s="6"/>
      <c r="E183" s="7"/>
      <c r="F183" s="7"/>
      <c r="G183" s="7"/>
      <c r="H183" s="7"/>
      <c r="I183" s="7"/>
      <c r="J183" s="5"/>
      <c r="K183" s="6"/>
      <c r="L183" s="6"/>
      <c r="M183" s="6"/>
    </row>
    <row r="184" spans="2:13" x14ac:dyDescent="0.2">
      <c r="B184" s="6"/>
      <c r="C184" s="6"/>
      <c r="D184" s="6"/>
      <c r="E184" s="7"/>
      <c r="F184" s="7"/>
      <c r="G184" s="7"/>
      <c r="H184" s="7"/>
      <c r="I184" s="7"/>
      <c r="J184" s="5"/>
      <c r="K184" s="6"/>
      <c r="L184" s="6"/>
      <c r="M184" s="6"/>
    </row>
    <row r="185" spans="2:13" x14ac:dyDescent="0.2">
      <c r="B185" s="6"/>
      <c r="C185" s="6"/>
      <c r="D185" s="6"/>
      <c r="E185" s="7"/>
      <c r="F185" s="7"/>
      <c r="G185" s="7"/>
      <c r="H185" s="7"/>
      <c r="I185" s="7"/>
      <c r="J185" s="5"/>
      <c r="K185" s="6"/>
      <c r="L185" s="6"/>
      <c r="M185" s="6"/>
    </row>
    <row r="186" spans="2:13" x14ac:dyDescent="0.2">
      <c r="B186" s="6"/>
      <c r="C186" s="6"/>
      <c r="D186" s="6"/>
      <c r="E186" s="7"/>
      <c r="F186" s="7"/>
      <c r="G186" s="7"/>
      <c r="H186" s="7"/>
      <c r="I186" s="7"/>
      <c r="J186" s="5"/>
      <c r="K186" s="6"/>
      <c r="L186" s="6"/>
      <c r="M186" s="6"/>
    </row>
    <row r="187" spans="2:13" x14ac:dyDescent="0.2">
      <c r="B187" s="6"/>
      <c r="C187" s="6"/>
      <c r="D187" s="6"/>
      <c r="E187" s="7"/>
      <c r="F187" s="7"/>
      <c r="G187" s="7"/>
      <c r="H187" s="7"/>
      <c r="I187" s="7"/>
      <c r="J187" s="5"/>
      <c r="K187" s="6"/>
      <c r="L187" s="6"/>
      <c r="M187" s="6"/>
    </row>
    <row r="188" spans="2:13" x14ac:dyDescent="0.2">
      <c r="B188" s="6"/>
      <c r="C188" s="6"/>
      <c r="D188" s="6"/>
      <c r="E188" s="7"/>
      <c r="F188" s="7"/>
      <c r="G188" s="7"/>
      <c r="H188" s="7"/>
      <c r="I188" s="7"/>
      <c r="J188" s="5"/>
      <c r="K188" s="6"/>
      <c r="L188" s="6"/>
      <c r="M188" s="6"/>
    </row>
    <row r="189" spans="2:13" x14ac:dyDescent="0.2">
      <c r="B189" s="6"/>
      <c r="C189" s="6"/>
      <c r="D189" s="6"/>
      <c r="E189" s="7"/>
      <c r="F189" s="7"/>
      <c r="G189" s="7"/>
      <c r="H189" s="7"/>
      <c r="I189" s="7"/>
      <c r="J189" s="5"/>
      <c r="K189" s="6"/>
      <c r="L189" s="6"/>
      <c r="M189" s="6"/>
    </row>
    <row r="190" spans="2:13" x14ac:dyDescent="0.2">
      <c r="B190" s="6"/>
      <c r="C190" s="6"/>
      <c r="D190" s="6"/>
      <c r="E190" s="7"/>
      <c r="F190" s="7"/>
      <c r="G190" s="7"/>
      <c r="H190" s="7"/>
      <c r="I190" s="7"/>
      <c r="J190" s="5"/>
      <c r="K190" s="6"/>
      <c r="L190" s="6"/>
      <c r="M190" s="6"/>
    </row>
    <row r="191" spans="2:13" x14ac:dyDescent="0.2">
      <c r="B191" s="6"/>
      <c r="C191" s="6"/>
      <c r="D191" s="6"/>
      <c r="E191" s="7"/>
      <c r="F191" s="7"/>
      <c r="G191" s="7"/>
      <c r="H191" s="7"/>
      <c r="I191" s="7"/>
      <c r="J191" s="5"/>
      <c r="K191" s="6"/>
      <c r="L191" s="6"/>
      <c r="M191" s="6"/>
    </row>
    <row r="192" spans="2:13" x14ac:dyDescent="0.2">
      <c r="B192" s="6"/>
      <c r="C192" s="6"/>
      <c r="D192" s="6"/>
      <c r="E192" s="7"/>
      <c r="F192" s="7"/>
      <c r="G192" s="7"/>
      <c r="H192" s="7"/>
      <c r="I192" s="7"/>
      <c r="J192" s="5"/>
      <c r="K192" s="6"/>
      <c r="L192" s="6"/>
      <c r="M192" s="6"/>
    </row>
    <row r="193" spans="2:13" x14ac:dyDescent="0.2">
      <c r="B193" s="6"/>
      <c r="C193" s="6"/>
      <c r="D193" s="6"/>
      <c r="E193" s="7"/>
      <c r="F193" s="7"/>
      <c r="G193" s="7"/>
      <c r="H193" s="7"/>
      <c r="I193" s="7"/>
      <c r="J193" s="5"/>
      <c r="K193" s="6"/>
      <c r="L193" s="6"/>
      <c r="M193" s="6"/>
    </row>
    <row r="194" spans="2:13" x14ac:dyDescent="0.2">
      <c r="B194" s="6"/>
      <c r="C194" s="6"/>
      <c r="D194" s="6"/>
      <c r="E194" s="7"/>
      <c r="F194" s="7"/>
      <c r="G194" s="7"/>
      <c r="H194" s="7"/>
      <c r="I194" s="7"/>
      <c r="J194" s="5"/>
      <c r="K194" s="6"/>
      <c r="L194" s="6"/>
      <c r="M194" s="6"/>
    </row>
    <row r="195" spans="2:13" x14ac:dyDescent="0.2">
      <c r="B195" s="6"/>
      <c r="C195" s="6"/>
      <c r="D195" s="6"/>
      <c r="E195" s="7"/>
      <c r="F195" s="7"/>
      <c r="G195" s="7"/>
      <c r="H195" s="7"/>
      <c r="I195" s="7"/>
      <c r="J195" s="5"/>
      <c r="K195" s="6"/>
      <c r="L195" s="6"/>
      <c r="M195" s="6"/>
    </row>
    <row r="196" spans="2:13" x14ac:dyDescent="0.2">
      <c r="B196" s="6"/>
      <c r="C196" s="6"/>
      <c r="D196" s="6"/>
      <c r="E196" s="7"/>
      <c r="F196" s="7"/>
      <c r="G196" s="7"/>
      <c r="H196" s="7"/>
      <c r="I196" s="7"/>
      <c r="J196" s="5"/>
      <c r="K196" s="6"/>
      <c r="L196" s="6"/>
      <c r="M196" s="6"/>
    </row>
    <row r="197" spans="2:13" x14ac:dyDescent="0.2">
      <c r="B197" s="6"/>
      <c r="C197" s="6"/>
      <c r="D197" s="6"/>
      <c r="E197" s="7"/>
      <c r="F197" s="7"/>
      <c r="G197" s="7"/>
      <c r="H197" s="7"/>
      <c r="I197" s="7"/>
      <c r="J197" s="5"/>
      <c r="K197" s="6"/>
      <c r="L197" s="6"/>
      <c r="M197" s="6"/>
    </row>
    <row r="198" spans="2:13" x14ac:dyDescent="0.2">
      <c r="B198" s="6"/>
      <c r="C198" s="6"/>
      <c r="D198" s="6"/>
      <c r="E198" s="7"/>
      <c r="F198" s="7"/>
      <c r="G198" s="7"/>
      <c r="H198" s="7"/>
      <c r="I198" s="7"/>
      <c r="J198" s="5"/>
      <c r="K198" s="6"/>
      <c r="L198" s="6"/>
      <c r="M198" s="6"/>
    </row>
    <row r="199" spans="2:13" x14ac:dyDescent="0.2">
      <c r="B199" s="6"/>
      <c r="C199" s="6"/>
      <c r="D199" s="6"/>
      <c r="E199" s="7"/>
      <c r="F199" s="7"/>
      <c r="G199" s="7"/>
      <c r="H199" s="7"/>
      <c r="I199" s="7"/>
      <c r="J199" s="5"/>
      <c r="K199" s="6"/>
      <c r="L199" s="6"/>
      <c r="M199" s="6"/>
    </row>
    <row r="200" spans="2:13" x14ac:dyDescent="0.2">
      <c r="B200" s="6"/>
      <c r="C200" s="6"/>
      <c r="D200" s="6"/>
      <c r="E200" s="7"/>
      <c r="F200" s="7"/>
      <c r="G200" s="7"/>
      <c r="H200" s="7"/>
      <c r="I200" s="7"/>
      <c r="J200" s="5"/>
      <c r="K200" s="6"/>
      <c r="L200" s="6"/>
      <c r="M200" s="6"/>
    </row>
    <row r="201" spans="2:13" x14ac:dyDescent="0.2">
      <c r="B201" s="6"/>
      <c r="C201" s="6"/>
      <c r="D201" s="6"/>
      <c r="E201" s="7"/>
      <c r="F201" s="7"/>
      <c r="G201" s="7"/>
      <c r="H201" s="7"/>
      <c r="I201" s="7"/>
      <c r="J201" s="5"/>
      <c r="K201" s="6"/>
      <c r="L201" s="6"/>
      <c r="M201" s="6"/>
    </row>
    <row r="202" spans="2:13" x14ac:dyDescent="0.2">
      <c r="B202" s="6"/>
      <c r="C202" s="6"/>
      <c r="D202" s="6"/>
      <c r="E202" s="7"/>
      <c r="F202" s="7"/>
      <c r="G202" s="7"/>
      <c r="H202" s="7"/>
      <c r="I202" s="7"/>
      <c r="J202" s="5"/>
      <c r="K202" s="6"/>
      <c r="L202" s="6"/>
      <c r="M202" s="6"/>
    </row>
    <row r="203" spans="2:13" s="9" customFormat="1" x14ac:dyDescent="0.2">
      <c r="B203" s="10"/>
      <c r="C203" s="11"/>
      <c r="D203" s="11"/>
      <c r="E203" s="12"/>
      <c r="F203" s="12"/>
      <c r="G203" s="11"/>
      <c r="H203" s="11"/>
      <c r="I203" s="11"/>
      <c r="J203" s="11"/>
    </row>
    <row r="204" spans="2:13" s="9" customFormat="1" x14ac:dyDescent="0.2">
      <c r="B204" s="10"/>
      <c r="C204" s="11"/>
      <c r="D204" s="11"/>
      <c r="E204" s="12"/>
      <c r="F204" s="12"/>
      <c r="G204" s="11"/>
      <c r="H204" s="11"/>
      <c r="I204" s="11"/>
      <c r="J204" s="11"/>
    </row>
    <row r="205" spans="2:13" s="9" customFormat="1" x14ac:dyDescent="0.2">
      <c r="B205" s="10"/>
      <c r="C205" s="11"/>
      <c r="D205" s="11"/>
      <c r="E205" s="12"/>
      <c r="F205" s="12"/>
      <c r="G205" s="11"/>
      <c r="H205" s="11"/>
      <c r="I205" s="11"/>
      <c r="J205" s="11"/>
    </row>
    <row r="206" spans="2:13" s="9" customFormat="1" x14ac:dyDescent="0.2">
      <c r="B206" s="10"/>
      <c r="C206" s="11"/>
      <c r="D206" s="11"/>
      <c r="E206" s="12"/>
      <c r="F206" s="12"/>
      <c r="G206" s="11"/>
      <c r="H206" s="11"/>
      <c r="I206" s="11"/>
      <c r="J206" s="11"/>
    </row>
    <row r="207" spans="2:13" s="9" customFormat="1" x14ac:dyDescent="0.2">
      <c r="B207" s="10"/>
      <c r="C207" s="11"/>
      <c r="D207" s="11"/>
      <c r="E207" s="12"/>
      <c r="F207" s="12"/>
      <c r="G207" s="11"/>
      <c r="H207" s="11"/>
      <c r="I207" s="11"/>
      <c r="J207" s="11"/>
    </row>
    <row r="208" spans="2:13" s="9" customFormat="1" x14ac:dyDescent="0.2">
      <c r="B208" s="10"/>
      <c r="C208" s="11"/>
      <c r="D208" s="11"/>
      <c r="E208" s="12"/>
      <c r="F208" s="12"/>
      <c r="G208" s="11"/>
      <c r="H208" s="11"/>
      <c r="I208" s="11"/>
      <c r="J208" s="11"/>
    </row>
    <row r="209" spans="2:10" s="9" customFormat="1" x14ac:dyDescent="0.2">
      <c r="B209" s="10"/>
      <c r="C209" s="11"/>
      <c r="D209" s="11"/>
      <c r="E209" s="12"/>
      <c r="F209" s="12"/>
      <c r="G209" s="11"/>
      <c r="H209" s="11"/>
      <c r="I209" s="11"/>
      <c r="J209" s="11"/>
    </row>
    <row r="210" spans="2:10" s="9" customFormat="1" x14ac:dyDescent="0.2">
      <c r="B210" s="10"/>
      <c r="C210" s="11"/>
      <c r="D210" s="11"/>
      <c r="E210" s="12"/>
      <c r="F210" s="12"/>
      <c r="G210" s="11"/>
      <c r="H210" s="11"/>
      <c r="I210" s="11"/>
      <c r="J210" s="11"/>
    </row>
    <row r="211" spans="2:10" s="9" customFormat="1" x14ac:dyDescent="0.2">
      <c r="B211" s="10"/>
      <c r="C211" s="11"/>
      <c r="D211" s="11"/>
      <c r="E211" s="12"/>
      <c r="F211" s="12"/>
      <c r="G211" s="11"/>
      <c r="H211" s="11"/>
      <c r="I211" s="11"/>
      <c r="J211" s="11"/>
    </row>
    <row r="212" spans="2:10" s="9" customFormat="1" x14ac:dyDescent="0.2">
      <c r="B212" s="10"/>
      <c r="C212" s="11"/>
      <c r="D212" s="11"/>
      <c r="E212" s="12"/>
      <c r="F212" s="12"/>
      <c r="G212" s="11"/>
      <c r="H212" s="11"/>
      <c r="I212" s="11"/>
      <c r="J212" s="11"/>
    </row>
    <row r="213" spans="2:10" s="9" customFormat="1" x14ac:dyDescent="0.2">
      <c r="B213" s="10"/>
      <c r="C213" s="11"/>
      <c r="D213" s="11"/>
      <c r="E213" s="12"/>
      <c r="F213" s="12"/>
      <c r="G213" s="11"/>
      <c r="H213" s="11"/>
      <c r="I213" s="11"/>
      <c r="J213" s="11"/>
    </row>
    <row r="214" spans="2:10" s="9" customFormat="1" x14ac:dyDescent="0.2">
      <c r="B214" s="10"/>
      <c r="C214" s="11"/>
      <c r="D214" s="11"/>
      <c r="E214" s="12"/>
      <c r="F214" s="12"/>
      <c r="G214" s="11"/>
      <c r="H214" s="11"/>
      <c r="I214" s="11"/>
      <c r="J214" s="11"/>
    </row>
    <row r="215" spans="2:10" s="9" customFormat="1" x14ac:dyDescent="0.2">
      <c r="B215" s="10"/>
      <c r="C215" s="11"/>
      <c r="D215" s="11"/>
      <c r="E215" s="12"/>
      <c r="F215" s="12"/>
      <c r="G215" s="11"/>
      <c r="H215" s="11"/>
      <c r="I215" s="11"/>
      <c r="J215" s="11"/>
    </row>
    <row r="216" spans="2:10" s="9" customFormat="1" x14ac:dyDescent="0.2">
      <c r="B216" s="10"/>
      <c r="C216" s="11"/>
      <c r="D216" s="11"/>
      <c r="E216" s="12"/>
      <c r="F216" s="12"/>
      <c r="G216" s="11"/>
      <c r="H216" s="11"/>
      <c r="I216" s="11"/>
      <c r="J216" s="11"/>
    </row>
    <row r="217" spans="2:10" s="9" customFormat="1" x14ac:dyDescent="0.2">
      <c r="B217" s="10"/>
      <c r="C217" s="11"/>
      <c r="D217" s="11"/>
      <c r="E217" s="12"/>
      <c r="F217" s="12"/>
      <c r="G217" s="11"/>
      <c r="H217" s="11"/>
      <c r="I217" s="11"/>
      <c r="J217" s="11"/>
    </row>
    <row r="218" spans="2:10" s="9" customFormat="1" x14ac:dyDescent="0.2">
      <c r="B218" s="10"/>
      <c r="C218" s="11"/>
      <c r="D218" s="11"/>
      <c r="E218" s="12"/>
      <c r="F218" s="12"/>
      <c r="G218" s="11"/>
      <c r="H218" s="11"/>
      <c r="I218" s="11"/>
      <c r="J218" s="11"/>
    </row>
    <row r="219" spans="2:10" s="9" customFormat="1" x14ac:dyDescent="0.2">
      <c r="B219" s="10"/>
      <c r="C219" s="11"/>
      <c r="D219" s="11"/>
      <c r="E219" s="12"/>
      <c r="F219" s="12"/>
      <c r="G219" s="11"/>
      <c r="H219" s="11"/>
      <c r="I219" s="11"/>
      <c r="J219" s="11"/>
    </row>
    <row r="220" spans="2:10" s="9" customFormat="1" x14ac:dyDescent="0.2">
      <c r="B220" s="10"/>
      <c r="C220" s="11"/>
      <c r="D220" s="11"/>
      <c r="E220" s="12"/>
      <c r="F220" s="12"/>
      <c r="G220" s="11"/>
      <c r="H220" s="11"/>
      <c r="I220" s="11"/>
      <c r="J220" s="11"/>
    </row>
    <row r="221" spans="2:10" s="9" customFormat="1" x14ac:dyDescent="0.2">
      <c r="B221" s="10"/>
      <c r="C221" s="11"/>
      <c r="D221" s="11"/>
      <c r="E221" s="12"/>
      <c r="F221" s="12"/>
      <c r="G221" s="11"/>
      <c r="H221" s="11"/>
      <c r="I221" s="11"/>
      <c r="J221" s="11"/>
    </row>
    <row r="222" spans="2:10" s="9" customFormat="1" x14ac:dyDescent="0.2">
      <c r="B222" s="10"/>
      <c r="C222" s="11"/>
      <c r="D222" s="11"/>
      <c r="E222" s="12"/>
      <c r="F222" s="12"/>
      <c r="G222" s="11"/>
      <c r="H222" s="11"/>
      <c r="I222" s="11"/>
      <c r="J222" s="11"/>
    </row>
    <row r="223" spans="2:10" s="9" customFormat="1" x14ac:dyDescent="0.2">
      <c r="B223" s="10"/>
      <c r="C223" s="11"/>
      <c r="D223" s="11"/>
      <c r="E223" s="12"/>
      <c r="F223" s="12"/>
      <c r="G223" s="11"/>
      <c r="H223" s="11"/>
      <c r="I223" s="11"/>
      <c r="J223" s="11"/>
    </row>
    <row r="224" spans="2:10" s="9" customFormat="1" x14ac:dyDescent="0.2">
      <c r="B224" s="10"/>
      <c r="C224" s="11"/>
      <c r="D224" s="11"/>
      <c r="E224" s="12"/>
      <c r="F224" s="12"/>
      <c r="G224" s="11"/>
      <c r="H224" s="11"/>
      <c r="I224" s="11"/>
      <c r="J224" s="11"/>
    </row>
    <row r="225" spans="2:10" s="9" customFormat="1" x14ac:dyDescent="0.2">
      <c r="B225" s="10"/>
      <c r="C225" s="11"/>
      <c r="D225" s="11"/>
      <c r="E225" s="12"/>
      <c r="F225" s="12"/>
      <c r="G225" s="11"/>
      <c r="H225" s="11"/>
      <c r="I225" s="11"/>
      <c r="J225" s="11"/>
    </row>
    <row r="226" spans="2:10" s="9" customFormat="1" x14ac:dyDescent="0.2">
      <c r="B226" s="10"/>
      <c r="C226" s="11"/>
      <c r="D226" s="11"/>
      <c r="E226" s="12"/>
      <c r="F226" s="12"/>
      <c r="G226" s="11"/>
      <c r="H226" s="11"/>
      <c r="I226" s="11"/>
      <c r="J226" s="11"/>
    </row>
    <row r="227" spans="2:10" s="9" customFormat="1" x14ac:dyDescent="0.2">
      <c r="B227" s="10"/>
      <c r="C227" s="11"/>
      <c r="D227" s="11"/>
      <c r="E227" s="12"/>
      <c r="F227" s="12"/>
      <c r="G227" s="11"/>
      <c r="H227" s="11"/>
      <c r="I227" s="11"/>
      <c r="J227" s="11"/>
    </row>
    <row r="228" spans="2:10" s="9" customFormat="1" x14ac:dyDescent="0.2">
      <c r="B228" s="10"/>
      <c r="C228" s="11"/>
      <c r="D228" s="11"/>
      <c r="E228" s="12"/>
      <c r="F228" s="12"/>
      <c r="G228" s="11"/>
      <c r="H228" s="11"/>
      <c r="I228" s="11"/>
      <c r="J228" s="11"/>
    </row>
    <row r="229" spans="2:10" s="9" customFormat="1" x14ac:dyDescent="0.2">
      <c r="B229" s="10"/>
      <c r="C229" s="11"/>
      <c r="D229" s="11"/>
      <c r="E229" s="12"/>
      <c r="F229" s="12"/>
      <c r="G229" s="11"/>
      <c r="H229" s="11"/>
      <c r="I229" s="11"/>
      <c r="J229" s="11"/>
    </row>
    <row r="230" spans="2:10" s="9" customFormat="1" x14ac:dyDescent="0.2">
      <c r="B230" s="10"/>
      <c r="C230" s="11"/>
      <c r="D230" s="11"/>
      <c r="E230" s="12"/>
      <c r="F230" s="12"/>
      <c r="G230" s="11"/>
      <c r="H230" s="11"/>
      <c r="I230" s="11"/>
      <c r="J230" s="11"/>
    </row>
    <row r="231" spans="2:10" s="9" customFormat="1" x14ac:dyDescent="0.2">
      <c r="B231" s="10"/>
      <c r="C231" s="11"/>
      <c r="D231" s="11"/>
      <c r="E231" s="12"/>
      <c r="F231" s="12"/>
      <c r="G231" s="11"/>
      <c r="H231" s="11"/>
      <c r="I231" s="11"/>
      <c r="J231" s="11"/>
    </row>
    <row r="232" spans="2:10" s="9" customFormat="1" x14ac:dyDescent="0.2">
      <c r="B232" s="10"/>
      <c r="C232" s="11"/>
      <c r="D232" s="11"/>
      <c r="E232" s="12"/>
      <c r="F232" s="12"/>
      <c r="G232" s="11"/>
      <c r="H232" s="11"/>
      <c r="I232" s="11"/>
      <c r="J232" s="11"/>
    </row>
    <row r="233" spans="2:10" s="9" customFormat="1" x14ac:dyDescent="0.2">
      <c r="B233" s="10"/>
      <c r="C233" s="11"/>
      <c r="D233" s="11"/>
      <c r="E233" s="12"/>
      <c r="F233" s="12"/>
      <c r="G233" s="11"/>
      <c r="H233" s="11"/>
      <c r="I233" s="11"/>
      <c r="J233" s="11"/>
    </row>
    <row r="234" spans="2:10" s="9" customFormat="1" x14ac:dyDescent="0.2">
      <c r="B234" s="10"/>
      <c r="C234" s="11"/>
      <c r="D234" s="11"/>
      <c r="E234" s="12"/>
      <c r="F234" s="12"/>
      <c r="G234" s="11"/>
      <c r="H234" s="11"/>
      <c r="I234" s="11"/>
      <c r="J234" s="11"/>
    </row>
    <row r="235" spans="2:10" s="9" customFormat="1" x14ac:dyDescent="0.2">
      <c r="B235" s="10"/>
      <c r="C235" s="11"/>
      <c r="D235" s="11"/>
      <c r="E235" s="12"/>
      <c r="F235" s="12"/>
      <c r="G235" s="11"/>
      <c r="H235" s="11"/>
      <c r="I235" s="11"/>
      <c r="J235" s="11"/>
    </row>
    <row r="236" spans="2:10" s="9" customFormat="1" x14ac:dyDescent="0.2">
      <c r="B236" s="10"/>
      <c r="C236" s="11"/>
      <c r="D236" s="11"/>
      <c r="E236" s="12"/>
      <c r="F236" s="12"/>
      <c r="G236" s="11"/>
      <c r="H236" s="11"/>
      <c r="I236" s="11"/>
      <c r="J236" s="11"/>
    </row>
    <row r="237" spans="2:10" s="9" customFormat="1" x14ac:dyDescent="0.2">
      <c r="B237" s="10"/>
      <c r="C237" s="11"/>
      <c r="D237" s="11"/>
      <c r="E237" s="12"/>
      <c r="F237" s="12"/>
      <c r="G237" s="11"/>
      <c r="H237" s="11"/>
      <c r="I237" s="11"/>
      <c r="J237" s="11"/>
    </row>
    <row r="238" spans="2:10" s="9" customFormat="1" x14ac:dyDescent="0.2">
      <c r="B238" s="10"/>
      <c r="C238" s="11"/>
      <c r="D238" s="11"/>
      <c r="E238" s="12"/>
      <c r="F238" s="12"/>
      <c r="G238" s="11"/>
      <c r="H238" s="11"/>
      <c r="I238" s="11"/>
      <c r="J238" s="11"/>
    </row>
    <row r="239" spans="2:10" s="9" customFormat="1" x14ac:dyDescent="0.2">
      <c r="B239" s="10"/>
      <c r="C239" s="11"/>
      <c r="D239" s="11"/>
      <c r="E239" s="12"/>
      <c r="F239" s="12"/>
      <c r="G239" s="11"/>
      <c r="H239" s="11"/>
      <c r="I239" s="11"/>
      <c r="J239" s="11"/>
    </row>
    <row r="240" spans="2:10" s="9" customFormat="1" x14ac:dyDescent="0.2">
      <c r="B240" s="10"/>
      <c r="C240" s="11"/>
      <c r="D240" s="11"/>
      <c r="E240" s="12"/>
      <c r="F240" s="12"/>
      <c r="G240" s="11"/>
      <c r="H240" s="11"/>
      <c r="I240" s="11"/>
      <c r="J240" s="11"/>
    </row>
    <row r="241" spans="2:10" s="9" customFormat="1" x14ac:dyDescent="0.2">
      <c r="B241" s="10"/>
      <c r="C241" s="11"/>
      <c r="D241" s="11"/>
      <c r="E241" s="12"/>
      <c r="F241" s="12"/>
      <c r="G241" s="11"/>
      <c r="H241" s="11"/>
      <c r="I241" s="11"/>
      <c r="J241" s="11"/>
    </row>
    <row r="242" spans="2:10" s="9" customFormat="1" x14ac:dyDescent="0.2">
      <c r="B242" s="10"/>
      <c r="C242" s="11"/>
      <c r="D242" s="11"/>
      <c r="E242" s="12"/>
      <c r="F242" s="12"/>
      <c r="G242" s="11"/>
      <c r="H242" s="11"/>
      <c r="I242" s="11"/>
      <c r="J242" s="11"/>
    </row>
    <row r="243" spans="2:10" s="9" customFormat="1" x14ac:dyDescent="0.2">
      <c r="B243" s="10"/>
      <c r="C243" s="11"/>
      <c r="D243" s="11"/>
      <c r="E243" s="12"/>
      <c r="F243" s="12"/>
      <c r="G243" s="11"/>
      <c r="H243" s="11"/>
      <c r="I243" s="11"/>
      <c r="J243" s="11"/>
    </row>
    <row r="244" spans="2:10" s="9" customFormat="1" x14ac:dyDescent="0.2">
      <c r="B244" s="10"/>
      <c r="C244" s="11"/>
      <c r="D244" s="11"/>
      <c r="E244" s="12"/>
      <c r="F244" s="12"/>
      <c r="G244" s="11"/>
      <c r="H244" s="11"/>
      <c r="I244" s="11"/>
      <c r="J244" s="11"/>
    </row>
    <row r="245" spans="2:10" s="9" customFormat="1" x14ac:dyDescent="0.2">
      <c r="B245" s="10"/>
      <c r="C245" s="11"/>
      <c r="D245" s="11"/>
      <c r="E245" s="12"/>
      <c r="F245" s="12"/>
      <c r="G245" s="11"/>
      <c r="H245" s="11"/>
      <c r="I245" s="11"/>
      <c r="J245" s="11"/>
    </row>
    <row r="246" spans="2:10" s="9" customFormat="1" x14ac:dyDescent="0.2">
      <c r="B246" s="10"/>
      <c r="C246" s="11"/>
      <c r="D246" s="11"/>
      <c r="E246" s="12"/>
      <c r="F246" s="12"/>
      <c r="G246" s="11"/>
      <c r="H246" s="11"/>
      <c r="I246" s="11"/>
      <c r="J246" s="11"/>
    </row>
    <row r="247" spans="2:10" s="9" customFormat="1" x14ac:dyDescent="0.2">
      <c r="B247" s="10"/>
      <c r="C247" s="11"/>
      <c r="D247" s="11"/>
      <c r="E247" s="12"/>
      <c r="F247" s="12"/>
      <c r="G247" s="11"/>
      <c r="H247" s="11"/>
      <c r="I247" s="11"/>
      <c r="J247" s="11"/>
    </row>
    <row r="248" spans="2:10" s="9" customFormat="1" x14ac:dyDescent="0.2">
      <c r="B248" s="10"/>
      <c r="C248" s="11"/>
      <c r="D248" s="11"/>
      <c r="E248" s="12"/>
      <c r="F248" s="12"/>
      <c r="G248" s="11"/>
      <c r="H248" s="11"/>
      <c r="I248" s="11"/>
      <c r="J248" s="11"/>
    </row>
    <row r="249" spans="2:10" s="9" customFormat="1" x14ac:dyDescent="0.2">
      <c r="B249" s="10"/>
      <c r="C249" s="11"/>
      <c r="D249" s="11"/>
      <c r="E249" s="12"/>
      <c r="F249" s="12"/>
      <c r="G249" s="11"/>
      <c r="H249" s="11"/>
      <c r="I249" s="11"/>
      <c r="J249" s="11"/>
    </row>
    <row r="250" spans="2:10" s="9" customFormat="1" x14ac:dyDescent="0.2">
      <c r="B250" s="10"/>
      <c r="C250" s="11"/>
      <c r="D250" s="11"/>
      <c r="E250" s="12"/>
      <c r="F250" s="12"/>
      <c r="G250" s="11"/>
      <c r="H250" s="11"/>
      <c r="I250" s="11"/>
      <c r="J250" s="11"/>
    </row>
    <row r="251" spans="2:10" s="9" customFormat="1" x14ac:dyDescent="0.2">
      <c r="B251" s="10"/>
      <c r="C251" s="11"/>
      <c r="D251" s="11"/>
      <c r="E251" s="12"/>
      <c r="F251" s="12"/>
      <c r="G251" s="11"/>
      <c r="H251" s="11"/>
      <c r="I251" s="11"/>
      <c r="J251" s="11"/>
    </row>
    <row r="252" spans="2:10" s="9" customFormat="1" x14ac:dyDescent="0.2">
      <c r="B252" s="10"/>
      <c r="C252" s="11"/>
      <c r="D252" s="11"/>
      <c r="E252" s="12"/>
      <c r="F252" s="12"/>
      <c r="G252" s="11"/>
      <c r="H252" s="11"/>
      <c r="I252" s="11"/>
      <c r="J252" s="11"/>
    </row>
    <row r="253" spans="2:10" s="9" customFormat="1" x14ac:dyDescent="0.2">
      <c r="B253" s="10"/>
      <c r="C253" s="11"/>
      <c r="D253" s="11"/>
      <c r="E253" s="12"/>
      <c r="F253" s="12"/>
      <c r="G253" s="11"/>
      <c r="H253" s="11"/>
      <c r="I253" s="11"/>
      <c r="J253" s="11"/>
    </row>
    <row r="254" spans="2:10" s="9" customFormat="1" x14ac:dyDescent="0.2">
      <c r="B254" s="10"/>
      <c r="C254" s="11"/>
      <c r="D254" s="11"/>
      <c r="E254" s="12"/>
      <c r="F254" s="12"/>
      <c r="G254" s="11"/>
      <c r="H254" s="11"/>
      <c r="I254" s="11"/>
      <c r="J254" s="11"/>
    </row>
    <row r="255" spans="2:10" s="9" customFormat="1" x14ac:dyDescent="0.2">
      <c r="B255" s="10"/>
      <c r="C255" s="11"/>
      <c r="D255" s="11"/>
      <c r="E255" s="12"/>
      <c r="F255" s="12"/>
      <c r="G255" s="11"/>
      <c r="H255" s="11"/>
      <c r="I255" s="11"/>
      <c r="J255" s="11"/>
    </row>
    <row r="256" spans="2:10" s="9" customFormat="1" x14ac:dyDescent="0.2">
      <c r="B256" s="10"/>
      <c r="C256" s="11"/>
      <c r="D256" s="11"/>
      <c r="E256" s="12"/>
      <c r="F256" s="12"/>
      <c r="G256" s="11"/>
      <c r="H256" s="11"/>
      <c r="I256" s="11"/>
      <c r="J256" s="11"/>
    </row>
    <row r="257" spans="2:10" s="9" customFormat="1" x14ac:dyDescent="0.2">
      <c r="B257" s="10"/>
      <c r="C257" s="11"/>
      <c r="D257" s="11"/>
      <c r="E257" s="12"/>
      <c r="F257" s="12"/>
      <c r="G257" s="11"/>
      <c r="H257" s="11"/>
      <c r="I257" s="11"/>
      <c r="J257" s="11"/>
    </row>
    <row r="258" spans="2:10" s="9" customFormat="1" x14ac:dyDescent="0.2">
      <c r="B258" s="10"/>
      <c r="C258" s="11"/>
      <c r="D258" s="11"/>
      <c r="E258" s="12"/>
      <c r="F258" s="12"/>
      <c r="G258" s="11"/>
      <c r="H258" s="11"/>
      <c r="I258" s="11"/>
      <c r="J258" s="11"/>
    </row>
    <row r="259" spans="2:10" s="9" customFormat="1" x14ac:dyDescent="0.2">
      <c r="B259" s="10"/>
      <c r="C259" s="11"/>
      <c r="D259" s="11"/>
      <c r="E259" s="12"/>
      <c r="F259" s="12"/>
      <c r="G259" s="11"/>
      <c r="H259" s="11"/>
      <c r="I259" s="11"/>
      <c r="J259" s="11"/>
    </row>
    <row r="260" spans="2:10" s="9" customFormat="1" x14ac:dyDescent="0.2">
      <c r="B260" s="10"/>
      <c r="C260" s="11"/>
      <c r="D260" s="11"/>
      <c r="E260" s="12"/>
      <c r="F260" s="12"/>
      <c r="G260" s="11"/>
      <c r="H260" s="11"/>
      <c r="I260" s="11"/>
      <c r="J260" s="11"/>
    </row>
    <row r="261" spans="2:10" s="9" customFormat="1" x14ac:dyDescent="0.2">
      <c r="B261" s="10"/>
      <c r="C261" s="11"/>
      <c r="D261" s="11"/>
      <c r="E261" s="12"/>
      <c r="F261" s="12"/>
      <c r="G261" s="11"/>
      <c r="H261" s="11"/>
      <c r="I261" s="11"/>
      <c r="J261" s="11"/>
    </row>
    <row r="262" spans="2:10" s="9" customFormat="1" x14ac:dyDescent="0.2">
      <c r="B262" s="10"/>
      <c r="C262" s="11"/>
      <c r="D262" s="11"/>
      <c r="E262" s="12"/>
      <c r="F262" s="12"/>
      <c r="G262" s="11"/>
      <c r="H262" s="11"/>
      <c r="I262" s="11"/>
      <c r="J262" s="11"/>
    </row>
    <row r="263" spans="2:10" s="9" customFormat="1" x14ac:dyDescent="0.2">
      <c r="B263" s="10"/>
      <c r="C263" s="11"/>
      <c r="D263" s="11"/>
      <c r="E263" s="12"/>
      <c r="F263" s="12"/>
      <c r="G263" s="11"/>
      <c r="H263" s="11"/>
      <c r="I263" s="11"/>
      <c r="J263" s="11"/>
    </row>
    <row r="264" spans="2:10" s="9" customFormat="1" x14ac:dyDescent="0.2">
      <c r="B264" s="10"/>
      <c r="C264" s="11"/>
      <c r="D264" s="11"/>
      <c r="E264" s="12"/>
      <c r="F264" s="12"/>
      <c r="G264" s="11"/>
      <c r="H264" s="11"/>
      <c r="I264" s="11"/>
      <c r="J264" s="11"/>
    </row>
    <row r="265" spans="2:10" s="9" customFormat="1" x14ac:dyDescent="0.2">
      <c r="B265" s="10"/>
      <c r="C265" s="11"/>
      <c r="D265" s="11"/>
      <c r="E265" s="12"/>
      <c r="F265" s="12"/>
      <c r="G265" s="11"/>
      <c r="H265" s="11"/>
      <c r="I265" s="11"/>
      <c r="J265" s="11"/>
    </row>
    <row r="266" spans="2:10" s="9" customFormat="1" x14ac:dyDescent="0.2">
      <c r="B266" s="10"/>
      <c r="C266" s="11"/>
      <c r="D266" s="11"/>
      <c r="E266" s="12"/>
      <c r="F266" s="12"/>
      <c r="G266" s="11"/>
      <c r="H266" s="11"/>
      <c r="I266" s="11"/>
      <c r="J266" s="11"/>
    </row>
    <row r="267" spans="2:10" s="9" customFormat="1" x14ac:dyDescent="0.2">
      <c r="B267" s="10"/>
      <c r="C267" s="11"/>
      <c r="D267" s="11"/>
      <c r="E267" s="12"/>
      <c r="F267" s="12"/>
      <c r="G267" s="11"/>
      <c r="H267" s="11"/>
      <c r="I267" s="11"/>
      <c r="J267" s="11"/>
    </row>
    <row r="268" spans="2:10" s="9" customFormat="1" x14ac:dyDescent="0.2">
      <c r="B268" s="10"/>
      <c r="C268" s="11"/>
      <c r="D268" s="11"/>
      <c r="E268" s="12"/>
      <c r="F268" s="12"/>
      <c r="G268" s="11"/>
      <c r="H268" s="11"/>
      <c r="I268" s="11"/>
      <c r="J268" s="11"/>
    </row>
    <row r="269" spans="2:10" s="9" customFormat="1" x14ac:dyDescent="0.2">
      <c r="B269" s="10"/>
      <c r="C269" s="11"/>
      <c r="D269" s="11"/>
      <c r="E269" s="12"/>
      <c r="F269" s="12"/>
      <c r="G269" s="11"/>
      <c r="H269" s="11"/>
      <c r="I269" s="11"/>
      <c r="J269" s="11"/>
    </row>
    <row r="270" spans="2:10" s="9" customFormat="1" x14ac:dyDescent="0.2">
      <c r="B270" s="10"/>
      <c r="C270" s="11"/>
      <c r="D270" s="11"/>
      <c r="E270" s="12"/>
      <c r="F270" s="12"/>
      <c r="G270" s="11"/>
      <c r="H270" s="11"/>
      <c r="I270" s="11"/>
      <c r="J270" s="11"/>
    </row>
    <row r="271" spans="2:10" s="9" customFormat="1" x14ac:dyDescent="0.2">
      <c r="B271" s="10"/>
      <c r="C271" s="11"/>
      <c r="D271" s="11"/>
      <c r="E271" s="12"/>
      <c r="F271" s="12"/>
      <c r="G271" s="11"/>
      <c r="H271" s="11"/>
      <c r="I271" s="11"/>
      <c r="J271" s="11"/>
    </row>
    <row r="272" spans="2:10" s="9" customFormat="1" x14ac:dyDescent="0.2">
      <c r="B272" s="10"/>
      <c r="C272" s="11"/>
      <c r="D272" s="11"/>
      <c r="E272" s="12"/>
      <c r="F272" s="12"/>
      <c r="G272" s="11"/>
      <c r="H272" s="11"/>
      <c r="I272" s="11"/>
      <c r="J272" s="11"/>
    </row>
    <row r="273" spans="2:10" s="9" customFormat="1" x14ac:dyDescent="0.2">
      <c r="B273" s="10"/>
      <c r="C273" s="11"/>
      <c r="D273" s="11"/>
      <c r="E273" s="12"/>
      <c r="F273" s="12"/>
      <c r="G273" s="11"/>
      <c r="H273" s="11"/>
      <c r="I273" s="11"/>
      <c r="J273" s="11"/>
    </row>
    <row r="274" spans="2:10" s="9" customFormat="1" x14ac:dyDescent="0.2">
      <c r="B274" s="10"/>
      <c r="C274" s="11"/>
      <c r="D274" s="11"/>
      <c r="E274" s="12"/>
      <c r="F274" s="12"/>
      <c r="G274" s="11"/>
      <c r="H274" s="11"/>
      <c r="I274" s="11"/>
      <c r="J274" s="11"/>
    </row>
    <row r="275" spans="2:10" s="9" customFormat="1" x14ac:dyDescent="0.2">
      <c r="B275" s="10"/>
      <c r="C275" s="11"/>
      <c r="D275" s="11"/>
      <c r="E275" s="12"/>
      <c r="F275" s="12"/>
      <c r="G275" s="11"/>
      <c r="H275" s="11"/>
      <c r="I275" s="11"/>
      <c r="J275" s="11"/>
    </row>
    <row r="276" spans="2:10" s="9" customFormat="1" x14ac:dyDescent="0.2">
      <c r="B276" s="10"/>
      <c r="C276" s="11"/>
      <c r="D276" s="11"/>
      <c r="E276" s="12"/>
      <c r="F276" s="12"/>
      <c r="G276" s="11"/>
      <c r="H276" s="11"/>
      <c r="I276" s="11"/>
      <c r="J276" s="11"/>
    </row>
    <row r="277" spans="2:10" s="9" customFormat="1" x14ac:dyDescent="0.2">
      <c r="B277" s="10"/>
      <c r="C277" s="11"/>
      <c r="D277" s="11"/>
      <c r="E277" s="12"/>
      <c r="F277" s="12"/>
      <c r="G277" s="11"/>
      <c r="H277" s="11"/>
      <c r="I277" s="11"/>
      <c r="J277" s="11"/>
    </row>
    <row r="278" spans="2:10" s="9" customFormat="1" x14ac:dyDescent="0.2">
      <c r="B278" s="10"/>
      <c r="C278" s="11"/>
      <c r="D278" s="11"/>
      <c r="E278" s="12"/>
      <c r="F278" s="12"/>
      <c r="G278" s="11"/>
      <c r="H278" s="11"/>
      <c r="I278" s="11"/>
      <c r="J278" s="11"/>
    </row>
    <row r="279" spans="2:10" s="9" customFormat="1" x14ac:dyDescent="0.2">
      <c r="B279" s="10"/>
      <c r="C279" s="11"/>
      <c r="D279" s="11"/>
      <c r="E279" s="12"/>
      <c r="F279" s="12"/>
      <c r="G279" s="11"/>
      <c r="H279" s="11"/>
      <c r="I279" s="11"/>
      <c r="J279" s="11"/>
    </row>
    <row r="280" spans="2:10" s="9" customFormat="1" x14ac:dyDescent="0.2">
      <c r="B280" s="10"/>
      <c r="C280" s="11"/>
      <c r="D280" s="11"/>
      <c r="E280" s="12"/>
      <c r="F280" s="12"/>
      <c r="G280" s="11"/>
      <c r="H280" s="11"/>
      <c r="I280" s="11"/>
      <c r="J280" s="11"/>
    </row>
    <row r="281" spans="2:10" s="9" customFormat="1" x14ac:dyDescent="0.2">
      <c r="B281" s="10"/>
      <c r="C281" s="11"/>
      <c r="D281" s="11"/>
      <c r="E281" s="12"/>
      <c r="F281" s="12"/>
      <c r="G281" s="11"/>
      <c r="H281" s="11"/>
      <c r="I281" s="11"/>
      <c r="J281" s="11"/>
    </row>
    <row r="282" spans="2:10" s="9" customFormat="1" x14ac:dyDescent="0.2">
      <c r="B282" s="10"/>
      <c r="C282" s="11"/>
      <c r="D282" s="11"/>
      <c r="E282" s="12"/>
      <c r="F282" s="12"/>
      <c r="G282" s="11"/>
      <c r="H282" s="11"/>
      <c r="I282" s="11"/>
      <c r="J282" s="11"/>
    </row>
    <row r="283" spans="2:10" s="9" customFormat="1" x14ac:dyDescent="0.2">
      <c r="B283" s="10"/>
      <c r="C283" s="11"/>
      <c r="D283" s="11"/>
      <c r="E283" s="12"/>
      <c r="F283" s="12"/>
      <c r="G283" s="11"/>
      <c r="H283" s="11"/>
      <c r="I283" s="11"/>
      <c r="J283" s="11"/>
    </row>
    <row r="284" spans="2:10" s="9" customFormat="1" x14ac:dyDescent="0.2">
      <c r="B284" s="10"/>
      <c r="C284" s="11"/>
      <c r="D284" s="11"/>
      <c r="E284" s="12"/>
      <c r="F284" s="12"/>
      <c r="G284" s="11"/>
      <c r="H284" s="11"/>
      <c r="I284" s="11"/>
      <c r="J284" s="11"/>
    </row>
    <row r="285" spans="2:10" s="9" customFormat="1" x14ac:dyDescent="0.2">
      <c r="B285" s="10"/>
      <c r="C285" s="11"/>
      <c r="D285" s="11"/>
      <c r="E285" s="12"/>
      <c r="F285" s="12"/>
      <c r="G285" s="11"/>
      <c r="H285" s="11"/>
      <c r="I285" s="11"/>
      <c r="J285" s="11"/>
    </row>
    <row r="286" spans="2:10" s="9" customFormat="1" x14ac:dyDescent="0.2">
      <c r="B286" s="10"/>
      <c r="C286" s="11"/>
      <c r="D286" s="11"/>
      <c r="E286" s="12"/>
      <c r="F286" s="12"/>
      <c r="G286" s="11"/>
      <c r="H286" s="11"/>
      <c r="I286" s="11"/>
      <c r="J286" s="11"/>
    </row>
    <row r="287" spans="2:10" s="9" customFormat="1" x14ac:dyDescent="0.2">
      <c r="B287" s="10"/>
      <c r="C287" s="11"/>
      <c r="D287" s="11"/>
      <c r="E287" s="12"/>
      <c r="F287" s="12"/>
      <c r="G287" s="11"/>
      <c r="H287" s="11"/>
      <c r="I287" s="11"/>
      <c r="J287" s="11"/>
    </row>
    <row r="288" spans="2:10" s="9" customFormat="1" x14ac:dyDescent="0.2">
      <c r="B288" s="10"/>
      <c r="C288" s="11"/>
      <c r="D288" s="11"/>
      <c r="E288" s="12"/>
      <c r="F288" s="12"/>
      <c r="G288" s="11"/>
      <c r="H288" s="11"/>
      <c r="I288" s="11"/>
      <c r="J288" s="11"/>
    </row>
    <row r="289" spans="2:10" s="9" customFormat="1" x14ac:dyDescent="0.2">
      <c r="B289" s="10"/>
      <c r="C289" s="11"/>
      <c r="D289" s="11"/>
      <c r="E289" s="12"/>
      <c r="F289" s="12"/>
      <c r="G289" s="11"/>
      <c r="H289" s="11"/>
      <c r="I289" s="11"/>
      <c r="J289" s="11"/>
    </row>
    <row r="290" spans="2:10" s="9" customFormat="1" x14ac:dyDescent="0.2">
      <c r="B290" s="10"/>
      <c r="C290" s="11"/>
      <c r="D290" s="11"/>
      <c r="E290" s="12"/>
      <c r="F290" s="12"/>
      <c r="G290" s="11"/>
      <c r="H290" s="11"/>
      <c r="I290" s="11"/>
      <c r="J290" s="11"/>
    </row>
    <row r="291" spans="2:10" s="9" customFormat="1" x14ac:dyDescent="0.2">
      <c r="B291" s="10"/>
      <c r="C291" s="11"/>
      <c r="D291" s="11"/>
      <c r="E291" s="12"/>
      <c r="F291" s="12"/>
      <c r="G291" s="11"/>
      <c r="H291" s="11"/>
      <c r="I291" s="11"/>
      <c r="J291" s="11"/>
    </row>
    <row r="292" spans="2:10" s="9" customFormat="1" x14ac:dyDescent="0.2">
      <c r="B292" s="10"/>
      <c r="C292" s="11"/>
      <c r="D292" s="11"/>
      <c r="E292" s="12"/>
      <c r="F292" s="12"/>
      <c r="G292" s="11"/>
      <c r="H292" s="11"/>
      <c r="I292" s="11"/>
      <c r="J292" s="11"/>
    </row>
    <row r="293" spans="2:10" s="9" customFormat="1" x14ac:dyDescent="0.2">
      <c r="B293" s="10"/>
      <c r="C293" s="11"/>
      <c r="D293" s="11"/>
      <c r="E293" s="12"/>
      <c r="F293" s="12"/>
      <c r="G293" s="11"/>
      <c r="H293" s="11"/>
      <c r="I293" s="11"/>
      <c r="J293" s="11"/>
    </row>
    <row r="294" spans="2:10" s="9" customFormat="1" x14ac:dyDescent="0.2">
      <c r="B294" s="10"/>
      <c r="C294" s="11"/>
      <c r="D294" s="11"/>
      <c r="E294" s="12"/>
      <c r="F294" s="12"/>
      <c r="G294" s="11"/>
      <c r="H294" s="11"/>
      <c r="I294" s="11"/>
      <c r="J294" s="11"/>
    </row>
    <row r="295" spans="2:10" s="9" customFormat="1" x14ac:dyDescent="0.2">
      <c r="B295" s="10"/>
      <c r="C295" s="11"/>
      <c r="D295" s="11"/>
      <c r="E295" s="12"/>
      <c r="F295" s="12"/>
      <c r="G295" s="11"/>
      <c r="H295" s="11"/>
      <c r="I295" s="11"/>
      <c r="J295" s="11"/>
    </row>
    <row r="296" spans="2:10" s="9" customFormat="1" x14ac:dyDescent="0.2">
      <c r="B296" s="10"/>
      <c r="C296" s="11"/>
      <c r="D296" s="11"/>
      <c r="E296" s="12"/>
      <c r="F296" s="12"/>
      <c r="G296" s="11"/>
      <c r="H296" s="11"/>
      <c r="I296" s="11"/>
      <c r="J296" s="11"/>
    </row>
    <row r="297" spans="2:10" s="9" customFormat="1" x14ac:dyDescent="0.2">
      <c r="B297" s="10"/>
      <c r="C297" s="11"/>
      <c r="D297" s="11"/>
      <c r="E297" s="12"/>
      <c r="F297" s="12"/>
      <c r="G297" s="11"/>
      <c r="H297" s="11"/>
      <c r="I297" s="11"/>
      <c r="J297" s="11"/>
    </row>
    <row r="298" spans="2:10" s="9" customFormat="1" x14ac:dyDescent="0.2">
      <c r="B298" s="10"/>
      <c r="C298" s="11"/>
      <c r="D298" s="11"/>
      <c r="E298" s="12"/>
      <c r="F298" s="12"/>
      <c r="G298" s="11"/>
      <c r="H298" s="11"/>
      <c r="I298" s="11"/>
      <c r="J298" s="11"/>
    </row>
    <row r="299" spans="2:10" s="9" customFormat="1" x14ac:dyDescent="0.2">
      <c r="B299" s="10"/>
      <c r="C299" s="11"/>
      <c r="D299" s="11"/>
      <c r="E299" s="12"/>
      <c r="F299" s="12"/>
      <c r="G299" s="11"/>
      <c r="H299" s="11"/>
      <c r="I299" s="11"/>
      <c r="J299" s="11"/>
    </row>
    <row r="300" spans="2:10" s="9" customFormat="1" x14ac:dyDescent="0.2">
      <c r="B300" s="10"/>
      <c r="C300" s="11"/>
      <c r="D300" s="11"/>
      <c r="E300" s="12"/>
      <c r="F300" s="12"/>
      <c r="G300" s="11"/>
      <c r="H300" s="11"/>
      <c r="I300" s="11"/>
      <c r="J300" s="11"/>
    </row>
    <row r="301" spans="2:10" s="9" customFormat="1" x14ac:dyDescent="0.2">
      <c r="B301" s="10"/>
      <c r="C301" s="11"/>
      <c r="D301" s="11"/>
      <c r="E301" s="12"/>
      <c r="F301" s="12"/>
      <c r="G301" s="11"/>
      <c r="H301" s="11"/>
      <c r="I301" s="11"/>
      <c r="J301" s="11"/>
    </row>
    <row r="302" spans="2:10" s="9" customFormat="1" x14ac:dyDescent="0.2">
      <c r="B302" s="10"/>
      <c r="C302" s="11"/>
      <c r="D302" s="11"/>
      <c r="E302" s="12"/>
      <c r="F302" s="12"/>
      <c r="G302" s="11"/>
      <c r="H302" s="11"/>
      <c r="I302" s="11"/>
      <c r="J302" s="11"/>
    </row>
    <row r="303" spans="2:10" s="9" customFormat="1" x14ac:dyDescent="0.2">
      <c r="B303" s="10"/>
      <c r="C303" s="11"/>
      <c r="D303" s="11"/>
      <c r="E303" s="12"/>
      <c r="F303" s="12"/>
      <c r="G303" s="11"/>
      <c r="H303" s="11"/>
      <c r="I303" s="11"/>
      <c r="J303" s="11"/>
    </row>
    <row r="304" spans="2:10" s="9" customFormat="1" x14ac:dyDescent="0.2">
      <c r="B304" s="10"/>
      <c r="C304" s="11"/>
      <c r="D304" s="11"/>
      <c r="E304" s="12"/>
      <c r="F304" s="12"/>
      <c r="G304" s="11"/>
      <c r="H304" s="11"/>
      <c r="I304" s="11"/>
      <c r="J304" s="11"/>
    </row>
    <row r="305" spans="2:10" s="9" customFormat="1" x14ac:dyDescent="0.2">
      <c r="B305" s="10"/>
      <c r="C305" s="11"/>
      <c r="D305" s="11"/>
      <c r="E305" s="12"/>
      <c r="F305" s="12"/>
      <c r="G305" s="11"/>
      <c r="H305" s="11"/>
      <c r="I305" s="11"/>
      <c r="J305" s="11"/>
    </row>
    <row r="306" spans="2:10" s="9" customFormat="1" x14ac:dyDescent="0.2">
      <c r="B306" s="10"/>
      <c r="C306" s="11"/>
      <c r="D306" s="11"/>
      <c r="E306" s="12"/>
      <c r="F306" s="12"/>
      <c r="G306" s="11"/>
      <c r="H306" s="11"/>
      <c r="I306" s="11"/>
      <c r="J306" s="11"/>
    </row>
    <row r="307" spans="2:10" s="9" customFormat="1" x14ac:dyDescent="0.2">
      <c r="B307" s="10"/>
      <c r="C307" s="11"/>
      <c r="D307" s="11"/>
      <c r="E307" s="12"/>
      <c r="F307" s="12"/>
      <c r="G307" s="11"/>
      <c r="H307" s="11"/>
      <c r="I307" s="11"/>
      <c r="J307" s="11"/>
    </row>
    <row r="308" spans="2:10" s="9" customFormat="1" x14ac:dyDescent="0.2">
      <c r="B308" s="10"/>
      <c r="C308" s="11"/>
      <c r="D308" s="11"/>
      <c r="E308" s="12"/>
      <c r="F308" s="12"/>
      <c r="G308" s="11"/>
      <c r="H308" s="11"/>
      <c r="I308" s="11"/>
      <c r="J308" s="11"/>
    </row>
    <row r="309" spans="2:10" s="9" customFormat="1" x14ac:dyDescent="0.2">
      <c r="B309" s="10"/>
      <c r="C309" s="11"/>
      <c r="D309" s="11"/>
      <c r="E309" s="12"/>
      <c r="F309" s="12"/>
      <c r="G309" s="11"/>
      <c r="H309" s="11"/>
      <c r="I309" s="11"/>
      <c r="J309" s="11"/>
    </row>
    <row r="310" spans="2:10" s="9" customFormat="1" x14ac:dyDescent="0.2">
      <c r="B310" s="10"/>
      <c r="C310" s="11"/>
      <c r="D310" s="11"/>
      <c r="E310" s="12"/>
      <c r="F310" s="12"/>
      <c r="G310" s="11"/>
      <c r="H310" s="11"/>
      <c r="I310" s="11"/>
      <c r="J310" s="11"/>
    </row>
    <row r="311" spans="2:10" s="9" customFormat="1" x14ac:dyDescent="0.2">
      <c r="B311" s="10"/>
      <c r="C311" s="11"/>
      <c r="D311" s="11"/>
      <c r="E311" s="12"/>
      <c r="F311" s="12"/>
      <c r="G311" s="11"/>
      <c r="H311" s="11"/>
      <c r="I311" s="11"/>
      <c r="J311" s="11"/>
    </row>
    <row r="312" spans="2:10" s="9" customFormat="1" x14ac:dyDescent="0.2">
      <c r="B312" s="10"/>
      <c r="C312" s="11"/>
      <c r="D312" s="11"/>
      <c r="E312" s="12"/>
      <c r="F312" s="12"/>
      <c r="G312" s="11"/>
      <c r="H312" s="11"/>
      <c r="I312" s="11"/>
      <c r="J312" s="11"/>
    </row>
    <row r="313" spans="2:10" s="9" customFormat="1" x14ac:dyDescent="0.2">
      <c r="B313" s="10"/>
      <c r="C313" s="11"/>
      <c r="D313" s="11"/>
      <c r="E313" s="12"/>
      <c r="F313" s="12"/>
      <c r="G313" s="11"/>
      <c r="H313" s="11"/>
      <c r="I313" s="11"/>
      <c r="J313" s="11"/>
    </row>
    <row r="314" spans="2:10" s="9" customFormat="1" x14ac:dyDescent="0.2">
      <c r="B314" s="10"/>
      <c r="C314" s="11"/>
      <c r="D314" s="11"/>
      <c r="E314" s="12"/>
      <c r="F314" s="12"/>
      <c r="G314" s="11"/>
      <c r="H314" s="11"/>
      <c r="I314" s="11"/>
      <c r="J314" s="11"/>
    </row>
    <row r="315" spans="2:10" s="9" customFormat="1" x14ac:dyDescent="0.2">
      <c r="B315" s="10"/>
      <c r="C315" s="11"/>
      <c r="D315" s="11"/>
      <c r="E315" s="12"/>
      <c r="F315" s="12"/>
      <c r="G315" s="11"/>
      <c r="H315" s="11"/>
      <c r="I315" s="11"/>
      <c r="J315" s="11"/>
    </row>
    <row r="316" spans="2:10" s="9" customFormat="1" x14ac:dyDescent="0.2">
      <c r="B316" s="10"/>
      <c r="C316" s="11"/>
      <c r="D316" s="11"/>
      <c r="E316" s="12"/>
      <c r="F316" s="12"/>
      <c r="G316" s="11"/>
      <c r="H316" s="11"/>
      <c r="I316" s="11"/>
      <c r="J316" s="11"/>
    </row>
    <row r="317" spans="2:10" s="9" customFormat="1" x14ac:dyDescent="0.2">
      <c r="B317" s="10"/>
      <c r="C317" s="11"/>
      <c r="D317" s="11"/>
      <c r="E317" s="12"/>
      <c r="F317" s="12"/>
      <c r="G317" s="11"/>
      <c r="H317" s="11"/>
      <c r="I317" s="11"/>
      <c r="J317" s="11"/>
    </row>
    <row r="318" spans="2:10" s="9" customFormat="1" x14ac:dyDescent="0.2">
      <c r="B318" s="10"/>
      <c r="C318" s="11"/>
      <c r="D318" s="11"/>
      <c r="E318" s="12"/>
      <c r="F318" s="12"/>
      <c r="G318" s="11"/>
      <c r="H318" s="11"/>
      <c r="I318" s="11"/>
      <c r="J318" s="11"/>
    </row>
    <row r="319" spans="2:10" s="9" customFormat="1" x14ac:dyDescent="0.2">
      <c r="B319" s="10"/>
      <c r="C319" s="11"/>
      <c r="D319" s="11"/>
      <c r="E319" s="12"/>
      <c r="F319" s="12"/>
      <c r="G319" s="11"/>
      <c r="H319" s="11"/>
      <c r="I319" s="11"/>
      <c r="J319" s="11"/>
    </row>
    <row r="320" spans="2:10" s="9" customFormat="1" x14ac:dyDescent="0.2">
      <c r="B320" s="10"/>
      <c r="C320" s="11"/>
      <c r="D320" s="11"/>
      <c r="E320" s="12"/>
      <c r="F320" s="12"/>
      <c r="G320" s="11"/>
      <c r="H320" s="11"/>
      <c r="I320" s="11"/>
      <c r="J320" s="11"/>
    </row>
    <row r="321" spans="2:10" s="9" customFormat="1" x14ac:dyDescent="0.2">
      <c r="B321" s="10"/>
      <c r="C321" s="11"/>
      <c r="D321" s="11"/>
      <c r="E321" s="12"/>
      <c r="F321" s="12"/>
      <c r="G321" s="11"/>
      <c r="H321" s="11"/>
      <c r="I321" s="11"/>
      <c r="J321" s="11"/>
    </row>
    <row r="322" spans="2:10" s="9" customFormat="1" x14ac:dyDescent="0.2">
      <c r="B322" s="10"/>
      <c r="C322" s="11"/>
      <c r="D322" s="11"/>
      <c r="E322" s="12"/>
      <c r="F322" s="12"/>
      <c r="G322" s="11"/>
      <c r="H322" s="11"/>
      <c r="I322" s="11"/>
      <c r="J322" s="11"/>
    </row>
    <row r="323" spans="2:10" s="9" customFormat="1" x14ac:dyDescent="0.2">
      <c r="B323" s="10"/>
      <c r="C323" s="11"/>
      <c r="D323" s="11"/>
      <c r="E323" s="12"/>
      <c r="F323" s="12"/>
      <c r="G323" s="11"/>
      <c r="H323" s="11"/>
      <c r="I323" s="11"/>
      <c r="J323" s="11"/>
    </row>
    <row r="324" spans="2:10" s="9" customFormat="1" x14ac:dyDescent="0.2">
      <c r="B324" s="10"/>
      <c r="C324" s="11"/>
      <c r="D324" s="11"/>
      <c r="E324" s="12"/>
      <c r="F324" s="12"/>
      <c r="G324" s="11"/>
      <c r="H324" s="11"/>
      <c r="I324" s="11"/>
      <c r="J324" s="11"/>
    </row>
    <row r="325" spans="2:10" s="9" customFormat="1" x14ac:dyDescent="0.2">
      <c r="B325" s="10"/>
      <c r="C325" s="11"/>
      <c r="D325" s="11"/>
      <c r="E325" s="12"/>
      <c r="F325" s="12"/>
      <c r="G325" s="11"/>
      <c r="H325" s="11"/>
      <c r="I325" s="11"/>
      <c r="J325" s="11"/>
    </row>
    <row r="326" spans="2:10" s="9" customFormat="1" x14ac:dyDescent="0.2">
      <c r="B326" s="10"/>
      <c r="C326" s="11"/>
      <c r="D326" s="11"/>
      <c r="E326" s="12"/>
      <c r="F326" s="12"/>
      <c r="G326" s="11"/>
      <c r="H326" s="11"/>
      <c r="I326" s="11"/>
      <c r="J326" s="11"/>
    </row>
    <row r="327" spans="2:10" s="9" customFormat="1" x14ac:dyDescent="0.2">
      <c r="B327" s="10"/>
      <c r="C327" s="11"/>
      <c r="D327" s="11"/>
      <c r="E327" s="12"/>
      <c r="F327" s="12"/>
      <c r="G327" s="11"/>
      <c r="H327" s="11"/>
      <c r="I327" s="11"/>
      <c r="J327" s="11"/>
    </row>
    <row r="328" spans="2:10" s="9" customFormat="1" x14ac:dyDescent="0.2">
      <c r="B328" s="10"/>
      <c r="C328" s="11"/>
      <c r="D328" s="11"/>
      <c r="E328" s="12"/>
      <c r="F328" s="12"/>
      <c r="G328" s="11"/>
      <c r="H328" s="11"/>
      <c r="I328" s="11"/>
      <c r="J328" s="11"/>
    </row>
    <row r="329" spans="2:10" s="9" customFormat="1" x14ac:dyDescent="0.2">
      <c r="B329" s="10"/>
      <c r="C329" s="11"/>
      <c r="D329" s="11"/>
      <c r="E329" s="12"/>
      <c r="F329" s="12"/>
      <c r="G329" s="11"/>
      <c r="H329" s="11"/>
      <c r="I329" s="11"/>
      <c r="J329" s="11"/>
    </row>
    <row r="330" spans="2:10" s="9" customFormat="1" x14ac:dyDescent="0.2">
      <c r="B330" s="10"/>
      <c r="C330" s="11"/>
      <c r="D330" s="11"/>
      <c r="E330" s="12"/>
      <c r="F330" s="12"/>
      <c r="G330" s="11"/>
      <c r="H330" s="11"/>
      <c r="I330" s="11"/>
      <c r="J330" s="11"/>
    </row>
    <row r="331" spans="2:10" s="9" customFormat="1" x14ac:dyDescent="0.2">
      <c r="B331" s="10"/>
      <c r="C331" s="11"/>
      <c r="D331" s="11"/>
      <c r="E331" s="12"/>
      <c r="F331" s="12"/>
      <c r="G331" s="11"/>
      <c r="H331" s="11"/>
      <c r="I331" s="11"/>
      <c r="J331" s="11"/>
    </row>
    <row r="332" spans="2:10" s="9" customFormat="1" x14ac:dyDescent="0.2">
      <c r="B332" s="10"/>
      <c r="C332" s="11"/>
      <c r="D332" s="11"/>
      <c r="E332" s="12"/>
      <c r="F332" s="12"/>
      <c r="G332" s="11"/>
      <c r="H332" s="11"/>
      <c r="I332" s="11"/>
      <c r="J332" s="11"/>
    </row>
    <row r="333" spans="2:10" s="9" customFormat="1" x14ac:dyDescent="0.2">
      <c r="B333" s="10"/>
      <c r="C333" s="11"/>
      <c r="D333" s="11"/>
      <c r="E333" s="12"/>
      <c r="F333" s="12"/>
      <c r="G333" s="11"/>
      <c r="H333" s="11"/>
      <c r="I333" s="11"/>
      <c r="J333" s="11"/>
    </row>
    <row r="334" spans="2:10" s="9" customFormat="1" x14ac:dyDescent="0.2">
      <c r="B334" s="10"/>
      <c r="C334" s="11"/>
      <c r="D334" s="11"/>
      <c r="E334" s="12"/>
      <c r="F334" s="12"/>
      <c r="G334" s="11"/>
      <c r="H334" s="11"/>
      <c r="I334" s="11"/>
      <c r="J334" s="11"/>
    </row>
    <row r="335" spans="2:10" s="9" customFormat="1" x14ac:dyDescent="0.2">
      <c r="B335" s="10"/>
      <c r="C335" s="11"/>
      <c r="D335" s="11"/>
      <c r="E335" s="12"/>
      <c r="F335" s="12"/>
      <c r="G335" s="11"/>
      <c r="H335" s="11"/>
      <c r="I335" s="11"/>
      <c r="J335" s="11"/>
    </row>
    <row r="336" spans="2:10" s="9" customFormat="1" x14ac:dyDescent="0.2">
      <c r="B336" s="10"/>
      <c r="C336" s="11"/>
      <c r="D336" s="11"/>
      <c r="E336" s="12"/>
      <c r="F336" s="12"/>
      <c r="G336" s="11"/>
      <c r="H336" s="11"/>
      <c r="I336" s="11"/>
      <c r="J336" s="11"/>
    </row>
    <row r="337" spans="2:10" s="9" customFormat="1" x14ac:dyDescent="0.2">
      <c r="B337" s="10"/>
      <c r="C337" s="11"/>
      <c r="D337" s="11"/>
      <c r="E337" s="12"/>
      <c r="F337" s="12"/>
      <c r="G337" s="11"/>
      <c r="H337" s="11"/>
      <c r="I337" s="11"/>
      <c r="J337" s="11"/>
    </row>
    <row r="338" spans="2:10" s="9" customFormat="1" x14ac:dyDescent="0.2">
      <c r="B338" s="10"/>
      <c r="C338" s="11"/>
      <c r="D338" s="11"/>
      <c r="E338" s="12"/>
      <c r="F338" s="12"/>
      <c r="G338" s="11"/>
      <c r="H338" s="11"/>
      <c r="I338" s="11"/>
      <c r="J338" s="11"/>
    </row>
    <row r="339" spans="2:10" s="9" customFormat="1" x14ac:dyDescent="0.2">
      <c r="B339" s="10"/>
      <c r="C339" s="11"/>
      <c r="D339" s="11"/>
      <c r="E339" s="12"/>
      <c r="F339" s="12"/>
      <c r="G339" s="11"/>
      <c r="H339" s="11"/>
      <c r="I339" s="11"/>
      <c r="J339" s="11"/>
    </row>
    <row r="340" spans="2:10" s="9" customFormat="1" x14ac:dyDescent="0.2">
      <c r="B340" s="10"/>
      <c r="C340" s="11"/>
      <c r="D340" s="11"/>
      <c r="E340" s="12"/>
      <c r="F340" s="12"/>
      <c r="G340" s="11"/>
      <c r="H340" s="11"/>
      <c r="I340" s="11"/>
      <c r="J340" s="11"/>
    </row>
    <row r="341" spans="2:10" s="9" customFormat="1" x14ac:dyDescent="0.2">
      <c r="B341" s="10"/>
      <c r="C341" s="11"/>
      <c r="D341" s="11"/>
      <c r="E341" s="12"/>
      <c r="F341" s="12"/>
      <c r="G341" s="11"/>
      <c r="H341" s="11"/>
      <c r="I341" s="11"/>
      <c r="J341" s="11"/>
    </row>
    <row r="342" spans="2:10" s="9" customFormat="1" x14ac:dyDescent="0.2">
      <c r="B342" s="10"/>
      <c r="C342" s="11"/>
      <c r="D342" s="11"/>
      <c r="E342" s="12"/>
      <c r="F342" s="12"/>
      <c r="G342" s="11"/>
      <c r="H342" s="11"/>
      <c r="I342" s="11"/>
      <c r="J342" s="11"/>
    </row>
    <row r="343" spans="2:10" s="9" customFormat="1" x14ac:dyDescent="0.2">
      <c r="B343" s="10"/>
      <c r="C343" s="11"/>
      <c r="D343" s="11"/>
      <c r="E343" s="12"/>
      <c r="F343" s="12"/>
      <c r="G343" s="11"/>
      <c r="H343" s="11"/>
      <c r="I343" s="11"/>
      <c r="J343" s="11"/>
    </row>
    <row r="344" spans="2:10" s="9" customFormat="1" x14ac:dyDescent="0.2">
      <c r="B344" s="10"/>
      <c r="C344" s="11"/>
      <c r="D344" s="11"/>
      <c r="E344" s="12"/>
      <c r="F344" s="12"/>
      <c r="G344" s="11"/>
      <c r="H344" s="11"/>
      <c r="I344" s="11"/>
      <c r="J344" s="11"/>
    </row>
    <row r="345" spans="2:10" s="9" customFormat="1" x14ac:dyDescent="0.2">
      <c r="B345" s="10"/>
      <c r="C345" s="11"/>
      <c r="D345" s="11"/>
      <c r="E345" s="12"/>
      <c r="F345" s="12"/>
      <c r="G345" s="11"/>
      <c r="H345" s="11"/>
      <c r="I345" s="11"/>
      <c r="J345" s="11"/>
    </row>
    <row r="346" spans="2:10" s="9" customFormat="1" x14ac:dyDescent="0.2">
      <c r="B346" s="10"/>
      <c r="C346" s="11"/>
      <c r="D346" s="11"/>
      <c r="E346" s="12"/>
      <c r="F346" s="12"/>
      <c r="G346" s="11"/>
      <c r="H346" s="11"/>
      <c r="I346" s="11"/>
      <c r="J346" s="11"/>
    </row>
    <row r="347" spans="2:10" s="9" customFormat="1" x14ac:dyDescent="0.2">
      <c r="B347" s="10"/>
      <c r="C347" s="11"/>
      <c r="D347" s="11"/>
      <c r="E347" s="12"/>
      <c r="F347" s="12"/>
      <c r="G347" s="11"/>
      <c r="H347" s="11"/>
      <c r="I347" s="11"/>
      <c r="J347" s="11"/>
    </row>
    <row r="348" spans="2:10" s="9" customFormat="1" x14ac:dyDescent="0.2">
      <c r="B348" s="10"/>
      <c r="C348" s="11"/>
      <c r="D348" s="11"/>
      <c r="E348" s="12"/>
      <c r="F348" s="12"/>
      <c r="G348" s="11"/>
      <c r="H348" s="11"/>
      <c r="I348" s="11"/>
      <c r="J348" s="11"/>
    </row>
    <row r="349" spans="2:10" s="9" customFormat="1" x14ac:dyDescent="0.2">
      <c r="B349" s="10"/>
      <c r="C349" s="11"/>
      <c r="D349" s="11"/>
      <c r="E349" s="12"/>
      <c r="F349" s="12"/>
      <c r="G349" s="11"/>
      <c r="H349" s="11"/>
      <c r="I349" s="11"/>
      <c r="J349" s="11"/>
    </row>
    <row r="350" spans="2:10" s="9" customFormat="1" x14ac:dyDescent="0.2">
      <c r="B350" s="10"/>
      <c r="C350" s="11"/>
      <c r="D350" s="11"/>
      <c r="E350" s="12"/>
      <c r="F350" s="12"/>
      <c r="G350" s="11"/>
      <c r="H350" s="11"/>
      <c r="I350" s="11"/>
      <c r="J350" s="11"/>
    </row>
    <row r="351" spans="2:10" s="9" customFormat="1" x14ac:dyDescent="0.2">
      <c r="B351" s="10"/>
      <c r="C351" s="11"/>
      <c r="D351" s="11"/>
      <c r="E351" s="12"/>
      <c r="F351" s="12"/>
      <c r="G351" s="11"/>
      <c r="H351" s="11"/>
      <c r="I351" s="11"/>
      <c r="J351" s="11"/>
    </row>
    <row r="352" spans="2:10" s="9" customFormat="1" x14ac:dyDescent="0.2">
      <c r="B352" s="10"/>
      <c r="C352" s="11"/>
      <c r="D352" s="11"/>
      <c r="E352" s="12"/>
      <c r="F352" s="12"/>
      <c r="G352" s="11"/>
      <c r="H352" s="11"/>
      <c r="I352" s="11"/>
      <c r="J352" s="11"/>
    </row>
    <row r="353" spans="2:10" s="9" customFormat="1" x14ac:dyDescent="0.2">
      <c r="B353" s="10"/>
      <c r="C353" s="11"/>
      <c r="D353" s="11"/>
      <c r="E353" s="12"/>
      <c r="F353" s="12"/>
      <c r="G353" s="11"/>
      <c r="H353" s="11"/>
      <c r="I353" s="11"/>
      <c r="J353" s="11"/>
    </row>
    <row r="354" spans="2:10" s="9" customFormat="1" x14ac:dyDescent="0.2">
      <c r="B354" s="10"/>
      <c r="C354" s="11"/>
      <c r="D354" s="11"/>
      <c r="E354" s="12"/>
      <c r="F354" s="12"/>
      <c r="G354" s="11"/>
      <c r="H354" s="11"/>
      <c r="I354" s="11"/>
      <c r="J354" s="11"/>
    </row>
    <row r="355" spans="2:10" s="9" customFormat="1" x14ac:dyDescent="0.2">
      <c r="B355" s="10"/>
      <c r="C355" s="11"/>
      <c r="D355" s="11"/>
      <c r="E355" s="12"/>
      <c r="F355" s="12"/>
      <c r="G355" s="11"/>
      <c r="H355" s="11"/>
      <c r="I355" s="11"/>
      <c r="J355" s="11"/>
    </row>
    <row r="356" spans="2:10" s="9" customFormat="1" x14ac:dyDescent="0.2">
      <c r="B356" s="10"/>
      <c r="C356" s="11"/>
      <c r="D356" s="11"/>
      <c r="E356" s="12"/>
      <c r="F356" s="12"/>
      <c r="G356" s="11"/>
      <c r="H356" s="11"/>
      <c r="I356" s="11"/>
      <c r="J356" s="11"/>
    </row>
    <row r="357" spans="2:10" s="9" customFormat="1" x14ac:dyDescent="0.2">
      <c r="B357" s="10"/>
      <c r="C357" s="11"/>
      <c r="D357" s="11"/>
      <c r="E357" s="12"/>
      <c r="F357" s="12"/>
      <c r="G357" s="11"/>
      <c r="H357" s="11"/>
      <c r="I357" s="11"/>
      <c r="J357" s="11"/>
    </row>
    <row r="358" spans="2:10" s="9" customFormat="1" x14ac:dyDescent="0.2">
      <c r="B358" s="10"/>
      <c r="C358" s="11"/>
      <c r="D358" s="11"/>
      <c r="E358" s="12"/>
      <c r="F358" s="12"/>
      <c r="G358" s="11"/>
      <c r="H358" s="11"/>
      <c r="I358" s="11"/>
      <c r="J358" s="11"/>
    </row>
    <row r="359" spans="2:10" s="9" customFormat="1" x14ac:dyDescent="0.2">
      <c r="B359" s="10"/>
      <c r="C359" s="11"/>
      <c r="D359" s="11"/>
      <c r="E359" s="12"/>
      <c r="F359" s="12"/>
      <c r="G359" s="11"/>
      <c r="H359" s="11"/>
      <c r="I359" s="11"/>
      <c r="J359" s="11"/>
    </row>
    <row r="360" spans="2:10" s="9" customFormat="1" x14ac:dyDescent="0.2">
      <c r="B360" s="10"/>
      <c r="C360" s="11"/>
      <c r="D360" s="11"/>
      <c r="E360" s="12"/>
      <c r="F360" s="12"/>
      <c r="G360" s="11"/>
      <c r="H360" s="11"/>
      <c r="I360" s="11"/>
      <c r="J360" s="11"/>
    </row>
    <row r="361" spans="2:10" s="9" customFormat="1" x14ac:dyDescent="0.2">
      <c r="B361" s="10"/>
      <c r="C361" s="11"/>
      <c r="D361" s="11"/>
      <c r="E361" s="12"/>
      <c r="F361" s="12"/>
      <c r="G361" s="11"/>
      <c r="H361" s="11"/>
      <c r="I361" s="11"/>
      <c r="J361" s="11"/>
    </row>
    <row r="362" spans="2:10" s="9" customFormat="1" x14ac:dyDescent="0.2">
      <c r="B362" s="10"/>
      <c r="C362" s="11"/>
      <c r="D362" s="11"/>
      <c r="E362" s="12"/>
      <c r="F362" s="12"/>
      <c r="G362" s="11"/>
      <c r="H362" s="11"/>
      <c r="I362" s="11"/>
      <c r="J362" s="11"/>
    </row>
    <row r="363" spans="2:10" s="9" customFormat="1" x14ac:dyDescent="0.2">
      <c r="B363" s="10"/>
      <c r="C363" s="11"/>
      <c r="D363" s="11"/>
      <c r="E363" s="12"/>
      <c r="F363" s="12"/>
      <c r="G363" s="11"/>
      <c r="H363" s="11"/>
      <c r="I363" s="11"/>
      <c r="J363" s="11"/>
    </row>
    <row r="364" spans="2:10" s="9" customFormat="1" x14ac:dyDescent="0.2">
      <c r="B364" s="10"/>
      <c r="C364" s="11"/>
      <c r="D364" s="11"/>
      <c r="E364" s="12"/>
      <c r="F364" s="12"/>
      <c r="G364" s="11"/>
      <c r="H364" s="11"/>
      <c r="I364" s="11"/>
      <c r="J364" s="11"/>
    </row>
    <row r="365" spans="2:10" s="9" customFormat="1" x14ac:dyDescent="0.2">
      <c r="B365" s="10"/>
      <c r="C365" s="11"/>
      <c r="D365" s="11"/>
      <c r="E365" s="12"/>
      <c r="F365" s="12"/>
      <c r="G365" s="11"/>
      <c r="H365" s="11"/>
      <c r="I365" s="11"/>
      <c r="J365" s="11"/>
    </row>
    <row r="366" spans="2:10" s="9" customFormat="1" x14ac:dyDescent="0.2">
      <c r="B366" s="10"/>
      <c r="C366" s="11"/>
      <c r="D366" s="11"/>
      <c r="E366" s="12"/>
      <c r="F366" s="12"/>
      <c r="G366" s="11"/>
      <c r="H366" s="11"/>
      <c r="I366" s="11"/>
      <c r="J366" s="11"/>
    </row>
    <row r="367" spans="2:10" s="9" customFormat="1" x14ac:dyDescent="0.2">
      <c r="B367" s="10"/>
      <c r="C367" s="11"/>
      <c r="D367" s="11"/>
      <c r="E367" s="12"/>
      <c r="F367" s="12"/>
      <c r="G367" s="11"/>
      <c r="H367" s="11"/>
      <c r="I367" s="11"/>
      <c r="J367" s="11"/>
    </row>
    <row r="368" spans="2:10" s="9" customFormat="1" x14ac:dyDescent="0.2">
      <c r="B368" s="10"/>
      <c r="C368" s="11"/>
      <c r="D368" s="11"/>
      <c r="E368" s="12"/>
      <c r="F368" s="12"/>
      <c r="G368" s="11"/>
      <c r="H368" s="11"/>
      <c r="I368" s="11"/>
      <c r="J368" s="11"/>
    </row>
    <row r="369" spans="2:10" s="9" customFormat="1" x14ac:dyDescent="0.2">
      <c r="B369" s="10"/>
      <c r="C369" s="11"/>
      <c r="D369" s="11"/>
      <c r="E369" s="12"/>
      <c r="F369" s="12"/>
      <c r="G369" s="11"/>
      <c r="H369" s="11"/>
      <c r="I369" s="11"/>
      <c r="J369" s="11"/>
    </row>
    <row r="370" spans="2:10" s="9" customFormat="1" x14ac:dyDescent="0.2">
      <c r="B370" s="10"/>
      <c r="C370" s="11"/>
      <c r="D370" s="11"/>
      <c r="E370" s="12"/>
      <c r="F370" s="12"/>
      <c r="G370" s="11"/>
      <c r="H370" s="11"/>
      <c r="I370" s="11"/>
      <c r="J370" s="11"/>
    </row>
    <row r="371" spans="2:10" s="9" customFormat="1" x14ac:dyDescent="0.2">
      <c r="B371" s="10"/>
      <c r="C371" s="11"/>
      <c r="D371" s="11"/>
      <c r="E371" s="12"/>
      <c r="F371" s="12"/>
      <c r="G371" s="11"/>
      <c r="H371" s="11"/>
      <c r="I371" s="11"/>
      <c r="J371" s="11"/>
    </row>
    <row r="372" spans="2:10" s="9" customFormat="1" x14ac:dyDescent="0.2">
      <c r="B372" s="10"/>
      <c r="C372" s="11"/>
      <c r="D372" s="11"/>
      <c r="E372" s="12"/>
      <c r="F372" s="12"/>
      <c r="G372" s="11"/>
      <c r="H372" s="11"/>
      <c r="I372" s="11"/>
      <c r="J372" s="11"/>
    </row>
    <row r="373" spans="2:10" s="9" customFormat="1" x14ac:dyDescent="0.2">
      <c r="B373" s="10"/>
      <c r="C373" s="11"/>
      <c r="D373" s="11"/>
      <c r="E373" s="12"/>
      <c r="F373" s="12"/>
      <c r="G373" s="11"/>
      <c r="H373" s="11"/>
      <c r="I373" s="11"/>
      <c r="J373" s="11"/>
    </row>
    <row r="374" spans="2:10" s="9" customFormat="1" x14ac:dyDescent="0.2">
      <c r="B374" s="10"/>
      <c r="C374" s="11"/>
      <c r="D374" s="11"/>
      <c r="E374" s="12"/>
      <c r="F374" s="12"/>
      <c r="G374" s="11"/>
      <c r="H374" s="11"/>
      <c r="I374" s="11"/>
      <c r="J374" s="11"/>
    </row>
    <row r="375" spans="2:10" s="9" customFormat="1" x14ac:dyDescent="0.2">
      <c r="B375" s="10"/>
      <c r="C375" s="11"/>
      <c r="D375" s="11"/>
      <c r="E375" s="12"/>
      <c r="F375" s="12"/>
      <c r="G375" s="11"/>
      <c r="H375" s="11"/>
      <c r="I375" s="11"/>
      <c r="J375" s="11"/>
    </row>
    <row r="376" spans="2:10" s="9" customFormat="1" x14ac:dyDescent="0.2">
      <c r="B376" s="10"/>
      <c r="C376" s="11"/>
      <c r="D376" s="11"/>
      <c r="E376" s="12"/>
      <c r="F376" s="12"/>
      <c r="G376" s="11"/>
      <c r="H376" s="11"/>
      <c r="I376" s="11"/>
      <c r="J376" s="11"/>
    </row>
    <row r="377" spans="2:10" s="9" customFormat="1" x14ac:dyDescent="0.2">
      <c r="B377" s="10"/>
      <c r="C377" s="11"/>
      <c r="D377" s="11"/>
      <c r="E377" s="12"/>
      <c r="F377" s="12"/>
      <c r="G377" s="11"/>
      <c r="H377" s="11"/>
      <c r="I377" s="11"/>
      <c r="J377" s="11"/>
    </row>
    <row r="378" spans="2:10" s="9" customFormat="1" x14ac:dyDescent="0.2">
      <c r="B378" s="10"/>
      <c r="C378" s="11"/>
      <c r="D378" s="11"/>
      <c r="E378" s="12"/>
      <c r="F378" s="12"/>
      <c r="G378" s="11"/>
      <c r="H378" s="11"/>
      <c r="I378" s="11"/>
      <c r="J378" s="11"/>
    </row>
    <row r="379" spans="2:10" s="9" customFormat="1" x14ac:dyDescent="0.2">
      <c r="B379" s="10"/>
      <c r="C379" s="11"/>
      <c r="D379" s="11"/>
      <c r="E379" s="12"/>
      <c r="F379" s="12"/>
      <c r="G379" s="11"/>
      <c r="H379" s="11"/>
      <c r="I379" s="11"/>
      <c r="J379" s="11"/>
    </row>
    <row r="380" spans="2:10" s="9" customFormat="1" x14ac:dyDescent="0.2">
      <c r="B380" s="10"/>
      <c r="C380" s="11"/>
      <c r="D380" s="11"/>
      <c r="E380" s="12"/>
      <c r="F380" s="12"/>
      <c r="G380" s="11"/>
      <c r="H380" s="11"/>
      <c r="I380" s="11"/>
      <c r="J380" s="11"/>
    </row>
    <row r="381" spans="2:10" s="9" customFormat="1" x14ac:dyDescent="0.2">
      <c r="B381" s="10"/>
      <c r="C381" s="11"/>
      <c r="D381" s="11"/>
      <c r="E381" s="12"/>
      <c r="F381" s="12"/>
      <c r="G381" s="11"/>
      <c r="H381" s="11"/>
      <c r="I381" s="11"/>
      <c r="J381" s="11"/>
    </row>
    <row r="382" spans="2:10" s="9" customFormat="1" x14ac:dyDescent="0.2">
      <c r="B382" s="10"/>
      <c r="C382" s="11"/>
      <c r="D382" s="11"/>
      <c r="E382" s="12"/>
      <c r="F382" s="12"/>
      <c r="G382" s="11"/>
      <c r="H382" s="11"/>
      <c r="I382" s="11"/>
      <c r="J382" s="11"/>
    </row>
    <row r="383" spans="2:10" s="9" customFormat="1" x14ac:dyDescent="0.2">
      <c r="B383" s="10"/>
      <c r="C383" s="11"/>
      <c r="D383" s="11"/>
      <c r="E383" s="12"/>
      <c r="F383" s="12"/>
      <c r="G383" s="11"/>
      <c r="H383" s="11"/>
      <c r="I383" s="11"/>
      <c r="J383" s="11"/>
    </row>
    <row r="384" spans="2:10" s="9" customFormat="1" x14ac:dyDescent="0.2">
      <c r="B384" s="10"/>
      <c r="C384" s="11"/>
      <c r="D384" s="11"/>
      <c r="E384" s="12"/>
      <c r="F384" s="12"/>
      <c r="G384" s="11"/>
      <c r="H384" s="11"/>
      <c r="I384" s="11"/>
      <c r="J384" s="11"/>
    </row>
    <row r="385" spans="2:10" s="9" customFormat="1" x14ac:dyDescent="0.2">
      <c r="B385" s="10"/>
      <c r="C385" s="11"/>
      <c r="D385" s="11"/>
      <c r="E385" s="12"/>
      <c r="F385" s="12"/>
      <c r="G385" s="11"/>
      <c r="H385" s="11"/>
      <c r="I385" s="11"/>
      <c r="J385" s="11"/>
    </row>
    <row r="386" spans="2:10" s="9" customFormat="1" x14ac:dyDescent="0.2">
      <c r="B386" s="10"/>
      <c r="C386" s="11"/>
      <c r="D386" s="11"/>
      <c r="E386" s="12"/>
      <c r="F386" s="12"/>
      <c r="G386" s="11"/>
      <c r="H386" s="11"/>
      <c r="I386" s="11"/>
      <c r="J386" s="11"/>
    </row>
    <row r="387" spans="2:10" s="9" customFormat="1" x14ac:dyDescent="0.2">
      <c r="B387" s="10"/>
      <c r="C387" s="11"/>
      <c r="D387" s="11"/>
      <c r="E387" s="12"/>
      <c r="F387" s="12"/>
      <c r="G387" s="11"/>
      <c r="H387" s="11"/>
      <c r="I387" s="11"/>
      <c r="J387" s="11"/>
    </row>
    <row r="388" spans="2:10" s="9" customFormat="1" x14ac:dyDescent="0.2">
      <c r="B388" s="10"/>
      <c r="C388" s="11"/>
      <c r="D388" s="11"/>
      <c r="E388" s="12"/>
      <c r="F388" s="12"/>
      <c r="G388" s="11"/>
      <c r="H388" s="11"/>
      <c r="I388" s="11"/>
      <c r="J388" s="11"/>
    </row>
    <row r="389" spans="2:10" s="9" customFormat="1" x14ac:dyDescent="0.2">
      <c r="B389" s="10"/>
      <c r="C389" s="11"/>
      <c r="D389" s="11"/>
      <c r="E389" s="12"/>
      <c r="F389" s="12"/>
      <c r="G389" s="11"/>
      <c r="H389" s="11"/>
      <c r="I389" s="11"/>
      <c r="J389" s="11"/>
    </row>
    <row r="390" spans="2:10" s="9" customFormat="1" x14ac:dyDescent="0.2">
      <c r="B390" s="10"/>
      <c r="C390" s="11"/>
      <c r="D390" s="11"/>
      <c r="E390" s="12"/>
      <c r="F390" s="12"/>
      <c r="G390" s="11"/>
      <c r="H390" s="11"/>
      <c r="I390" s="11"/>
      <c r="J390" s="11"/>
    </row>
    <row r="391" spans="2:10" s="9" customFormat="1" x14ac:dyDescent="0.2">
      <c r="B391" s="10"/>
      <c r="C391" s="11"/>
      <c r="D391" s="11"/>
      <c r="E391" s="12"/>
      <c r="F391" s="12"/>
      <c r="G391" s="11"/>
      <c r="H391" s="11"/>
      <c r="I391" s="11"/>
      <c r="J391" s="11"/>
    </row>
    <row r="392" spans="2:10" s="9" customFormat="1" x14ac:dyDescent="0.2">
      <c r="B392" s="10"/>
      <c r="C392" s="11"/>
      <c r="D392" s="11"/>
      <c r="E392" s="12"/>
      <c r="F392" s="12"/>
      <c r="G392" s="11"/>
      <c r="H392" s="11"/>
      <c r="I392" s="11"/>
      <c r="J392" s="11"/>
    </row>
    <row r="393" spans="2:10" s="9" customFormat="1" x14ac:dyDescent="0.2">
      <c r="B393" s="10"/>
      <c r="C393" s="11"/>
      <c r="D393" s="11"/>
      <c r="E393" s="12"/>
      <c r="F393" s="12"/>
      <c r="G393" s="11"/>
      <c r="H393" s="11"/>
      <c r="I393" s="11"/>
      <c r="J393" s="11"/>
    </row>
    <row r="394" spans="2:10" s="9" customFormat="1" x14ac:dyDescent="0.2">
      <c r="B394" s="10"/>
      <c r="C394" s="11"/>
      <c r="D394" s="11"/>
      <c r="E394" s="12"/>
      <c r="F394" s="12"/>
      <c r="G394" s="11"/>
      <c r="H394" s="11"/>
      <c r="I394" s="11"/>
      <c r="J394" s="11"/>
    </row>
    <row r="395" spans="2:10" s="9" customFormat="1" x14ac:dyDescent="0.2">
      <c r="B395" s="10"/>
      <c r="C395" s="11"/>
      <c r="D395" s="11"/>
      <c r="E395" s="12"/>
      <c r="F395" s="12"/>
      <c r="G395" s="11"/>
      <c r="H395" s="11"/>
      <c r="I395" s="11"/>
      <c r="J395" s="11"/>
    </row>
    <row r="396" spans="2:10" s="9" customFormat="1" x14ac:dyDescent="0.2">
      <c r="B396" s="10"/>
      <c r="C396" s="11"/>
      <c r="D396" s="11"/>
      <c r="E396" s="12"/>
      <c r="F396" s="12"/>
      <c r="G396" s="11"/>
      <c r="H396" s="11"/>
      <c r="I396" s="11"/>
      <c r="J396" s="11"/>
    </row>
    <row r="397" spans="2:10" s="9" customFormat="1" x14ac:dyDescent="0.2">
      <c r="B397" s="10"/>
      <c r="C397" s="11"/>
      <c r="D397" s="11"/>
      <c r="E397" s="12"/>
      <c r="F397" s="12"/>
      <c r="G397" s="11"/>
      <c r="H397" s="11"/>
      <c r="I397" s="11"/>
      <c r="J397" s="11"/>
    </row>
    <row r="398" spans="2:10" s="9" customFormat="1" x14ac:dyDescent="0.2">
      <c r="B398" s="10"/>
      <c r="C398" s="11"/>
      <c r="D398" s="11"/>
      <c r="E398" s="12"/>
      <c r="F398" s="12"/>
      <c r="G398" s="11"/>
      <c r="H398" s="11"/>
      <c r="I398" s="11"/>
      <c r="J398" s="11"/>
    </row>
    <row r="399" spans="2:10" s="9" customFormat="1" x14ac:dyDescent="0.2">
      <c r="B399" s="10"/>
      <c r="C399" s="11"/>
      <c r="D399" s="11"/>
      <c r="E399" s="12"/>
      <c r="F399" s="12"/>
      <c r="G399" s="11"/>
      <c r="H399" s="11"/>
      <c r="I399" s="11"/>
      <c r="J399" s="11"/>
    </row>
    <row r="400" spans="2:10" s="9" customFormat="1" x14ac:dyDescent="0.2">
      <c r="B400" s="10"/>
      <c r="C400" s="11"/>
      <c r="D400" s="11"/>
      <c r="E400" s="12"/>
      <c r="F400" s="12"/>
      <c r="G400" s="11"/>
      <c r="H400" s="11"/>
      <c r="I400" s="11"/>
      <c r="J400" s="11"/>
    </row>
    <row r="401" spans="2:10" s="9" customFormat="1" x14ac:dyDescent="0.2">
      <c r="B401" s="10"/>
      <c r="C401" s="11"/>
      <c r="D401" s="11"/>
      <c r="E401" s="12"/>
      <c r="F401" s="12"/>
      <c r="G401" s="11"/>
      <c r="H401" s="11"/>
      <c r="I401" s="11"/>
      <c r="J401" s="11"/>
    </row>
    <row r="402" spans="2:10" s="9" customFormat="1" x14ac:dyDescent="0.2">
      <c r="B402" s="10"/>
      <c r="C402" s="11"/>
      <c r="D402" s="11"/>
      <c r="E402" s="12"/>
      <c r="F402" s="12"/>
      <c r="G402" s="11"/>
      <c r="H402" s="11"/>
      <c r="I402" s="11"/>
      <c r="J402" s="11"/>
    </row>
    <row r="403" spans="2:10" s="9" customFormat="1" x14ac:dyDescent="0.2">
      <c r="B403" s="10"/>
      <c r="C403" s="11"/>
      <c r="D403" s="11"/>
      <c r="E403" s="12"/>
      <c r="F403" s="12"/>
      <c r="G403" s="11"/>
      <c r="H403" s="11"/>
      <c r="I403" s="11"/>
      <c r="J403" s="11"/>
    </row>
    <row r="404" spans="2:10" s="9" customFormat="1" x14ac:dyDescent="0.2">
      <c r="B404" s="10"/>
      <c r="C404" s="11"/>
      <c r="D404" s="11"/>
      <c r="E404" s="12"/>
      <c r="F404" s="12"/>
      <c r="G404" s="11"/>
      <c r="H404" s="11"/>
      <c r="I404" s="11"/>
      <c r="J404" s="11"/>
    </row>
    <row r="405" spans="2:10" s="9" customFormat="1" x14ac:dyDescent="0.2">
      <c r="B405" s="10"/>
      <c r="C405" s="11"/>
      <c r="D405" s="11"/>
      <c r="E405" s="12"/>
      <c r="F405" s="12"/>
      <c r="G405" s="11"/>
      <c r="H405" s="11"/>
      <c r="I405" s="11"/>
      <c r="J405" s="11"/>
    </row>
    <row r="406" spans="2:10" s="9" customFormat="1" x14ac:dyDescent="0.2">
      <c r="B406" s="10"/>
      <c r="C406" s="11"/>
      <c r="D406" s="11"/>
      <c r="E406" s="12"/>
      <c r="F406" s="12"/>
      <c r="G406" s="11"/>
      <c r="H406" s="11"/>
      <c r="I406" s="11"/>
      <c r="J406" s="11"/>
    </row>
    <row r="407" spans="2:10" s="9" customFormat="1" x14ac:dyDescent="0.2">
      <c r="B407" s="10"/>
      <c r="C407" s="11"/>
      <c r="D407" s="11"/>
      <c r="E407" s="12"/>
      <c r="F407" s="12"/>
      <c r="G407" s="11"/>
      <c r="H407" s="11"/>
      <c r="I407" s="11"/>
      <c r="J407" s="11"/>
    </row>
    <row r="408" spans="2:10" s="9" customFormat="1" x14ac:dyDescent="0.2">
      <c r="B408" s="10"/>
      <c r="C408" s="11"/>
      <c r="D408" s="11"/>
      <c r="E408" s="12"/>
      <c r="F408" s="12"/>
      <c r="G408" s="11"/>
      <c r="H408" s="11"/>
      <c r="I408" s="11"/>
      <c r="J408" s="11"/>
    </row>
    <row r="409" spans="2:10" s="9" customFormat="1" x14ac:dyDescent="0.2">
      <c r="B409" s="10"/>
      <c r="C409" s="11"/>
      <c r="D409" s="11"/>
      <c r="E409" s="12"/>
      <c r="F409" s="12"/>
      <c r="G409" s="11"/>
      <c r="H409" s="11"/>
      <c r="I409" s="11"/>
      <c r="J409" s="11"/>
    </row>
    <row r="410" spans="2:10" s="9" customFormat="1" x14ac:dyDescent="0.2">
      <c r="B410" s="10"/>
      <c r="C410" s="11"/>
      <c r="D410" s="11"/>
      <c r="E410" s="12"/>
      <c r="F410" s="12"/>
      <c r="G410" s="11"/>
      <c r="H410" s="11"/>
      <c r="I410" s="11"/>
      <c r="J410" s="11"/>
    </row>
    <row r="411" spans="2:10" s="9" customFormat="1" x14ac:dyDescent="0.2">
      <c r="B411" s="10"/>
      <c r="C411" s="11"/>
      <c r="D411" s="11"/>
      <c r="E411" s="12"/>
      <c r="F411" s="12"/>
      <c r="G411" s="11"/>
      <c r="H411" s="11"/>
      <c r="I411" s="11"/>
      <c r="J411" s="11"/>
    </row>
    <row r="412" spans="2:10" s="9" customFormat="1" x14ac:dyDescent="0.2">
      <c r="B412" s="10"/>
      <c r="C412" s="11"/>
      <c r="D412" s="11"/>
      <c r="E412" s="12"/>
      <c r="F412" s="12"/>
      <c r="G412" s="11"/>
      <c r="H412" s="11"/>
      <c r="I412" s="11"/>
      <c r="J412" s="11"/>
    </row>
    <row r="413" spans="2:10" s="9" customFormat="1" x14ac:dyDescent="0.2">
      <c r="B413" s="10"/>
      <c r="C413" s="11"/>
      <c r="D413" s="11"/>
      <c r="E413" s="12"/>
      <c r="F413" s="12"/>
      <c r="G413" s="11"/>
      <c r="H413" s="11"/>
      <c r="I413" s="11"/>
      <c r="J413" s="11"/>
    </row>
    <row r="414" spans="2:10" s="9" customFormat="1" x14ac:dyDescent="0.2">
      <c r="B414" s="10"/>
      <c r="C414" s="11"/>
      <c r="D414" s="11"/>
      <c r="E414" s="12"/>
      <c r="F414" s="12"/>
      <c r="G414" s="11"/>
      <c r="H414" s="11"/>
      <c r="I414" s="11"/>
      <c r="J414" s="11"/>
    </row>
    <row r="415" spans="2:10" s="9" customFormat="1" x14ac:dyDescent="0.2">
      <c r="B415" s="10"/>
      <c r="C415" s="11"/>
      <c r="D415" s="11"/>
      <c r="E415" s="12"/>
      <c r="F415" s="12"/>
      <c r="G415" s="11"/>
      <c r="H415" s="11"/>
      <c r="I415" s="11"/>
      <c r="J415" s="11"/>
    </row>
    <row r="416" spans="2:10" s="9" customFormat="1" x14ac:dyDescent="0.2">
      <c r="B416" s="10"/>
      <c r="C416" s="11"/>
      <c r="D416" s="11"/>
      <c r="E416" s="12"/>
      <c r="F416" s="12"/>
      <c r="G416" s="11"/>
      <c r="H416" s="11"/>
      <c r="I416" s="11"/>
      <c r="J416" s="11"/>
    </row>
    <row r="417" spans="2:10" s="9" customFormat="1" x14ac:dyDescent="0.2">
      <c r="B417" s="10"/>
      <c r="C417" s="11"/>
      <c r="D417" s="11"/>
      <c r="E417" s="12"/>
      <c r="F417" s="12"/>
      <c r="G417" s="11"/>
      <c r="H417" s="11"/>
      <c r="I417" s="11"/>
      <c r="J417" s="11"/>
    </row>
    <row r="418" spans="2:10" s="9" customFormat="1" x14ac:dyDescent="0.2">
      <c r="B418" s="10"/>
      <c r="C418" s="11"/>
      <c r="D418" s="11"/>
      <c r="E418" s="12"/>
      <c r="F418" s="12"/>
      <c r="G418" s="11"/>
      <c r="H418" s="11"/>
      <c r="I418" s="11"/>
      <c r="J418" s="11"/>
    </row>
    <row r="419" spans="2:10" s="9" customFormat="1" x14ac:dyDescent="0.2">
      <c r="B419" s="10"/>
      <c r="C419" s="11"/>
      <c r="D419" s="11"/>
      <c r="E419" s="12"/>
      <c r="F419" s="12"/>
      <c r="G419" s="11"/>
      <c r="H419" s="11"/>
      <c r="I419" s="11"/>
      <c r="J419" s="11"/>
    </row>
    <row r="420" spans="2:10" s="9" customFormat="1" x14ac:dyDescent="0.2">
      <c r="B420" s="10"/>
      <c r="C420" s="11"/>
      <c r="D420" s="11"/>
      <c r="E420" s="12"/>
      <c r="F420" s="12"/>
      <c r="G420" s="11"/>
      <c r="H420" s="11"/>
      <c r="I420" s="11"/>
      <c r="J420" s="11"/>
    </row>
    <row r="421" spans="2:10" s="9" customFormat="1" x14ac:dyDescent="0.2">
      <c r="B421" s="10"/>
      <c r="C421" s="11"/>
      <c r="D421" s="11"/>
      <c r="E421" s="12"/>
      <c r="F421" s="12"/>
      <c r="G421" s="11"/>
      <c r="H421" s="11"/>
      <c r="I421" s="11"/>
      <c r="J421" s="11"/>
    </row>
    <row r="422" spans="2:10" s="9" customFormat="1" x14ac:dyDescent="0.2">
      <c r="B422" s="10"/>
      <c r="C422" s="11"/>
      <c r="D422" s="11"/>
      <c r="E422" s="12"/>
      <c r="F422" s="12"/>
      <c r="G422" s="11"/>
      <c r="H422" s="11"/>
      <c r="I422" s="11"/>
      <c r="J422" s="11"/>
    </row>
    <row r="423" spans="2:10" s="9" customFormat="1" x14ac:dyDescent="0.2">
      <c r="B423" s="10"/>
      <c r="C423" s="11"/>
      <c r="D423" s="11"/>
      <c r="E423" s="12"/>
      <c r="F423" s="12"/>
      <c r="G423" s="11"/>
      <c r="H423" s="11"/>
      <c r="I423" s="11"/>
      <c r="J423" s="11"/>
    </row>
    <row r="424" spans="2:10" s="9" customFormat="1" x14ac:dyDescent="0.2">
      <c r="B424" s="10"/>
      <c r="C424" s="11"/>
      <c r="D424" s="11"/>
      <c r="E424" s="12"/>
      <c r="F424" s="12"/>
      <c r="G424" s="11"/>
      <c r="H424" s="11"/>
      <c r="I424" s="11"/>
      <c r="J424" s="11"/>
    </row>
    <row r="425" spans="2:10" s="9" customFormat="1" x14ac:dyDescent="0.2">
      <c r="B425" s="10"/>
      <c r="C425" s="11"/>
      <c r="D425" s="11"/>
      <c r="E425" s="12"/>
      <c r="F425" s="12"/>
      <c r="G425" s="11"/>
      <c r="H425" s="11"/>
      <c r="I425" s="11"/>
      <c r="J425" s="11"/>
    </row>
    <row r="426" spans="2:10" s="9" customFormat="1" x14ac:dyDescent="0.2">
      <c r="B426" s="10"/>
      <c r="C426" s="11"/>
      <c r="D426" s="11"/>
      <c r="E426" s="12"/>
      <c r="F426" s="12"/>
      <c r="G426" s="11"/>
      <c r="H426" s="11"/>
      <c r="I426" s="11"/>
      <c r="J426" s="11"/>
    </row>
    <row r="427" spans="2:10" s="9" customFormat="1" x14ac:dyDescent="0.2">
      <c r="B427" s="10"/>
      <c r="C427" s="11"/>
      <c r="D427" s="11"/>
      <c r="E427" s="12"/>
      <c r="F427" s="12"/>
      <c r="G427" s="11"/>
      <c r="H427" s="11"/>
      <c r="I427" s="11"/>
      <c r="J427" s="11"/>
    </row>
    <row r="428" spans="2:10" s="9" customFormat="1" x14ac:dyDescent="0.2">
      <c r="B428" s="10"/>
      <c r="C428" s="11"/>
      <c r="D428" s="11"/>
      <c r="E428" s="12"/>
      <c r="F428" s="12"/>
      <c r="G428" s="11"/>
      <c r="H428" s="11"/>
      <c r="I428" s="11"/>
      <c r="J428" s="11"/>
    </row>
    <row r="429" spans="2:10" s="9" customFormat="1" x14ac:dyDescent="0.2">
      <c r="B429" s="10"/>
      <c r="C429" s="11"/>
      <c r="D429" s="11"/>
      <c r="E429" s="12"/>
      <c r="F429" s="12"/>
      <c r="G429" s="11"/>
      <c r="H429" s="11"/>
      <c r="I429" s="11"/>
      <c r="J429" s="11"/>
    </row>
    <row r="430" spans="2:10" s="9" customFormat="1" x14ac:dyDescent="0.2">
      <c r="B430" s="10"/>
      <c r="C430" s="11"/>
      <c r="D430" s="11"/>
      <c r="E430" s="12"/>
      <c r="F430" s="12"/>
      <c r="G430" s="11"/>
      <c r="H430" s="11"/>
      <c r="I430" s="11"/>
      <c r="J430" s="11"/>
    </row>
    <row r="431" spans="2:10" s="9" customFormat="1" x14ac:dyDescent="0.2">
      <c r="B431" s="10"/>
      <c r="C431" s="11"/>
      <c r="D431" s="11"/>
      <c r="E431" s="12"/>
      <c r="F431" s="12"/>
      <c r="G431" s="11"/>
      <c r="H431" s="11"/>
      <c r="I431" s="11"/>
      <c r="J431" s="11"/>
    </row>
    <row r="432" spans="2:10" s="9" customFormat="1" x14ac:dyDescent="0.2">
      <c r="B432" s="10"/>
      <c r="C432" s="11"/>
      <c r="D432" s="11"/>
      <c r="E432" s="12"/>
      <c r="F432" s="12"/>
      <c r="G432" s="11"/>
      <c r="H432" s="11"/>
      <c r="I432" s="11"/>
      <c r="J432" s="11"/>
    </row>
    <row r="433" spans="2:10" s="9" customFormat="1" x14ac:dyDescent="0.2">
      <c r="B433" s="10"/>
      <c r="C433" s="11"/>
      <c r="D433" s="11"/>
      <c r="E433" s="12"/>
      <c r="F433" s="12"/>
      <c r="G433" s="11"/>
      <c r="H433" s="11"/>
      <c r="I433" s="11"/>
      <c r="J433" s="11"/>
    </row>
    <row r="434" spans="2:10" s="9" customFormat="1" x14ac:dyDescent="0.2">
      <c r="B434" s="10"/>
      <c r="C434" s="11"/>
      <c r="D434" s="11"/>
      <c r="E434" s="12"/>
      <c r="F434" s="12"/>
      <c r="G434" s="11"/>
      <c r="H434" s="11"/>
      <c r="I434" s="11"/>
      <c r="J434" s="11"/>
    </row>
    <row r="435" spans="2:10" s="9" customFormat="1" x14ac:dyDescent="0.2">
      <c r="B435" s="10"/>
      <c r="C435" s="11"/>
      <c r="D435" s="11"/>
      <c r="E435" s="12"/>
      <c r="F435" s="12"/>
      <c r="G435" s="11"/>
      <c r="H435" s="11"/>
      <c r="I435" s="11"/>
      <c r="J435" s="11"/>
    </row>
    <row r="436" spans="2:10" s="9" customFormat="1" x14ac:dyDescent="0.2">
      <c r="B436" s="10"/>
      <c r="C436" s="11"/>
      <c r="D436" s="11"/>
      <c r="E436" s="12"/>
      <c r="F436" s="12"/>
      <c r="G436" s="11"/>
      <c r="H436" s="11"/>
      <c r="I436" s="11"/>
      <c r="J436" s="11"/>
    </row>
    <row r="437" spans="2:10" s="9" customFormat="1" x14ac:dyDescent="0.2">
      <c r="B437" s="10"/>
      <c r="C437" s="11"/>
      <c r="D437" s="11"/>
      <c r="E437" s="12"/>
      <c r="F437" s="12"/>
      <c r="G437" s="11"/>
      <c r="H437" s="11"/>
      <c r="I437" s="11"/>
      <c r="J437" s="11"/>
    </row>
    <row r="438" spans="2:10" s="9" customFormat="1" x14ac:dyDescent="0.2">
      <c r="B438" s="10"/>
      <c r="C438" s="11"/>
      <c r="D438" s="11"/>
      <c r="E438" s="12"/>
      <c r="F438" s="12"/>
      <c r="G438" s="11"/>
      <c r="H438" s="11"/>
      <c r="I438" s="11"/>
      <c r="J438" s="11"/>
    </row>
    <row r="439" spans="2:10" s="9" customFormat="1" x14ac:dyDescent="0.2">
      <c r="B439" s="10"/>
      <c r="C439" s="11"/>
      <c r="D439" s="11"/>
      <c r="E439" s="12"/>
      <c r="F439" s="12"/>
      <c r="G439" s="11"/>
      <c r="H439" s="11"/>
      <c r="I439" s="11"/>
      <c r="J439" s="11"/>
    </row>
    <row r="440" spans="2:10" s="9" customFormat="1" x14ac:dyDescent="0.2">
      <c r="B440" s="10"/>
      <c r="C440" s="11"/>
      <c r="D440" s="11"/>
      <c r="E440" s="12"/>
      <c r="F440" s="12"/>
      <c r="G440" s="11"/>
      <c r="H440" s="11"/>
      <c r="I440" s="11"/>
      <c r="J440" s="11"/>
    </row>
    <row r="441" spans="2:10" s="9" customFormat="1" x14ac:dyDescent="0.2">
      <c r="B441" s="10"/>
      <c r="C441" s="11"/>
      <c r="D441" s="11"/>
      <c r="E441" s="12"/>
      <c r="F441" s="12"/>
      <c r="G441" s="11"/>
      <c r="H441" s="11"/>
      <c r="I441" s="11"/>
      <c r="J441" s="11"/>
    </row>
    <row r="442" spans="2:10" s="9" customFormat="1" x14ac:dyDescent="0.2">
      <c r="B442" s="10"/>
      <c r="C442" s="11"/>
      <c r="D442" s="11"/>
      <c r="E442" s="12"/>
      <c r="F442" s="12"/>
      <c r="G442" s="11"/>
      <c r="H442" s="11"/>
      <c r="I442" s="11"/>
      <c r="J442" s="11"/>
    </row>
    <row r="443" spans="2:10" s="9" customFormat="1" x14ac:dyDescent="0.2">
      <c r="B443" s="10"/>
      <c r="C443" s="11"/>
      <c r="D443" s="11"/>
      <c r="E443" s="12"/>
      <c r="F443" s="12"/>
      <c r="G443" s="11"/>
      <c r="H443" s="11"/>
      <c r="I443" s="11"/>
      <c r="J443" s="11"/>
    </row>
    <row r="444" spans="2:10" s="9" customFormat="1" x14ac:dyDescent="0.2">
      <c r="B444" s="10"/>
      <c r="C444" s="11"/>
      <c r="D444" s="11"/>
      <c r="E444" s="12"/>
      <c r="F444" s="12"/>
      <c r="G444" s="11"/>
      <c r="H444" s="11"/>
      <c r="I444" s="11"/>
      <c r="J444" s="11"/>
    </row>
    <row r="445" spans="2:10" s="9" customFormat="1" x14ac:dyDescent="0.2">
      <c r="B445" s="10"/>
      <c r="C445" s="11"/>
      <c r="D445" s="11"/>
      <c r="E445" s="12"/>
      <c r="F445" s="12"/>
      <c r="G445" s="11"/>
      <c r="H445" s="11"/>
      <c r="I445" s="11"/>
      <c r="J445" s="11"/>
    </row>
    <row r="446" spans="2:10" s="9" customFormat="1" x14ac:dyDescent="0.2">
      <c r="B446" s="10"/>
      <c r="C446" s="11"/>
      <c r="D446" s="11"/>
      <c r="E446" s="12"/>
      <c r="F446" s="12"/>
      <c r="G446" s="11"/>
      <c r="H446" s="11"/>
      <c r="I446" s="11"/>
      <c r="J446" s="11"/>
    </row>
    <row r="447" spans="2:10" s="9" customFormat="1" x14ac:dyDescent="0.2">
      <c r="B447" s="10"/>
      <c r="C447" s="11"/>
      <c r="D447" s="11"/>
      <c r="E447" s="12"/>
      <c r="F447" s="12"/>
      <c r="G447" s="11"/>
      <c r="H447" s="11"/>
      <c r="I447" s="11"/>
      <c r="J447" s="11"/>
    </row>
    <row r="448" spans="2:10" s="9" customFormat="1" x14ac:dyDescent="0.2">
      <c r="B448" s="10"/>
      <c r="C448" s="11"/>
      <c r="D448" s="11"/>
      <c r="E448" s="12"/>
      <c r="F448" s="12"/>
      <c r="G448" s="11"/>
      <c r="H448" s="11"/>
      <c r="I448" s="11"/>
      <c r="J448" s="11"/>
    </row>
    <row r="449" spans="2:10" s="9" customFormat="1" x14ac:dyDescent="0.2">
      <c r="B449" s="10"/>
      <c r="C449" s="11"/>
      <c r="D449" s="11"/>
      <c r="E449" s="12"/>
      <c r="F449" s="12"/>
      <c r="G449" s="11"/>
      <c r="H449" s="11"/>
      <c r="I449" s="11"/>
      <c r="J449" s="11"/>
    </row>
    <row r="450" spans="2:10" s="9" customFormat="1" x14ac:dyDescent="0.2">
      <c r="B450" s="10"/>
      <c r="C450" s="11"/>
      <c r="D450" s="11"/>
      <c r="E450" s="12"/>
      <c r="F450" s="12"/>
      <c r="G450" s="11"/>
      <c r="H450" s="11"/>
      <c r="I450" s="11"/>
      <c r="J450" s="11"/>
    </row>
    <row r="451" spans="2:10" s="9" customFormat="1" x14ac:dyDescent="0.2">
      <c r="B451" s="10"/>
      <c r="C451" s="11"/>
      <c r="D451" s="11"/>
      <c r="E451" s="12"/>
      <c r="F451" s="12"/>
      <c r="G451" s="11"/>
      <c r="H451" s="11"/>
      <c r="I451" s="11"/>
      <c r="J451" s="11"/>
    </row>
    <row r="452" spans="2:10" s="9" customFormat="1" x14ac:dyDescent="0.2">
      <c r="B452" s="10"/>
      <c r="C452" s="11"/>
      <c r="D452" s="11"/>
      <c r="E452" s="12"/>
      <c r="F452" s="12"/>
      <c r="G452" s="11"/>
      <c r="H452" s="11"/>
      <c r="I452" s="11"/>
      <c r="J452" s="11"/>
    </row>
    <row r="453" spans="2:10" s="9" customFormat="1" x14ac:dyDescent="0.2">
      <c r="B453" s="10"/>
      <c r="C453" s="11"/>
      <c r="D453" s="11"/>
      <c r="E453" s="12"/>
      <c r="F453" s="12"/>
      <c r="G453" s="11"/>
      <c r="H453" s="11"/>
      <c r="I453" s="11"/>
      <c r="J453" s="11"/>
    </row>
    <row r="454" spans="2:10" s="9" customFormat="1" x14ac:dyDescent="0.2">
      <c r="B454" s="10"/>
      <c r="C454" s="11"/>
      <c r="D454" s="11"/>
      <c r="E454" s="12"/>
      <c r="F454" s="12"/>
      <c r="G454" s="11"/>
      <c r="H454" s="11"/>
      <c r="I454" s="11"/>
      <c r="J454" s="11"/>
    </row>
    <row r="455" spans="2:10" s="9" customFormat="1" x14ac:dyDescent="0.2">
      <c r="B455" s="10"/>
      <c r="C455" s="11"/>
      <c r="D455" s="11"/>
      <c r="E455" s="12"/>
      <c r="F455" s="12"/>
      <c r="G455" s="11"/>
      <c r="H455" s="11"/>
      <c r="I455" s="11"/>
      <c r="J455" s="11"/>
    </row>
    <row r="456" spans="2:10" s="9" customFormat="1" x14ac:dyDescent="0.2">
      <c r="B456" s="10"/>
      <c r="C456" s="11"/>
      <c r="D456" s="11"/>
      <c r="E456" s="12"/>
      <c r="F456" s="12"/>
      <c r="G456" s="11"/>
      <c r="H456" s="11"/>
      <c r="I456" s="11"/>
      <c r="J456" s="11"/>
    </row>
    <row r="457" spans="2:10" s="9" customFormat="1" x14ac:dyDescent="0.2">
      <c r="B457" s="10"/>
      <c r="C457" s="11"/>
      <c r="D457" s="11"/>
      <c r="E457" s="12"/>
      <c r="F457" s="12"/>
      <c r="G457" s="11"/>
      <c r="H457" s="11"/>
      <c r="I457" s="11"/>
      <c r="J457" s="11"/>
    </row>
    <row r="458" spans="2:10" s="9" customFormat="1" x14ac:dyDescent="0.2">
      <c r="B458" s="10"/>
      <c r="C458" s="11"/>
      <c r="D458" s="11"/>
      <c r="E458" s="12"/>
      <c r="F458" s="12"/>
      <c r="G458" s="11"/>
      <c r="H458" s="11"/>
      <c r="I458" s="11"/>
      <c r="J458" s="11"/>
    </row>
    <row r="459" spans="2:10" s="9" customFormat="1" x14ac:dyDescent="0.2">
      <c r="B459" s="10"/>
      <c r="C459" s="11"/>
      <c r="D459" s="11"/>
      <c r="E459" s="12"/>
      <c r="F459" s="12"/>
      <c r="G459" s="11"/>
      <c r="H459" s="11"/>
      <c r="I459" s="11"/>
      <c r="J459" s="11"/>
    </row>
    <row r="460" spans="2:10" s="9" customFormat="1" x14ac:dyDescent="0.2">
      <c r="B460" s="10"/>
      <c r="C460" s="11"/>
      <c r="D460" s="11"/>
      <c r="E460" s="12"/>
      <c r="F460" s="12"/>
      <c r="G460" s="11"/>
      <c r="H460" s="11"/>
      <c r="I460" s="11"/>
      <c r="J460" s="11"/>
    </row>
    <row r="461" spans="2:10" s="9" customFormat="1" x14ac:dyDescent="0.2">
      <c r="B461" s="10"/>
      <c r="C461" s="11"/>
      <c r="D461" s="11"/>
      <c r="E461" s="12"/>
      <c r="F461" s="12"/>
      <c r="G461" s="11"/>
      <c r="H461" s="11"/>
      <c r="I461" s="11"/>
      <c r="J461" s="11"/>
    </row>
    <row r="462" spans="2:10" s="9" customFormat="1" x14ac:dyDescent="0.2">
      <c r="B462" s="10"/>
      <c r="C462" s="11"/>
      <c r="D462" s="11"/>
      <c r="E462" s="12"/>
      <c r="F462" s="12"/>
      <c r="G462" s="11"/>
      <c r="H462" s="11"/>
      <c r="I462" s="11"/>
      <c r="J462" s="11"/>
    </row>
    <row r="463" spans="2:10" s="9" customFormat="1" x14ac:dyDescent="0.2">
      <c r="B463" s="10"/>
      <c r="C463" s="11"/>
      <c r="D463" s="11"/>
      <c r="E463" s="12"/>
      <c r="F463" s="12"/>
      <c r="G463" s="11"/>
      <c r="H463" s="11"/>
      <c r="I463" s="11"/>
      <c r="J463" s="11"/>
    </row>
    <row r="464" spans="2:10" s="9" customFormat="1" x14ac:dyDescent="0.2">
      <c r="B464" s="10"/>
      <c r="C464" s="11"/>
      <c r="D464" s="11"/>
      <c r="E464" s="12"/>
      <c r="F464" s="12"/>
      <c r="G464" s="11"/>
      <c r="H464" s="11"/>
      <c r="I464" s="11"/>
      <c r="J464" s="11"/>
    </row>
    <row r="465" spans="2:10" s="9" customFormat="1" x14ac:dyDescent="0.2">
      <c r="B465" s="10"/>
      <c r="C465" s="11"/>
      <c r="D465" s="11"/>
      <c r="E465" s="12"/>
      <c r="F465" s="12"/>
      <c r="G465" s="11"/>
      <c r="H465" s="11"/>
      <c r="I465" s="11"/>
      <c r="J465" s="11"/>
    </row>
    <row r="466" spans="2:10" s="9" customFormat="1" x14ac:dyDescent="0.2">
      <c r="B466" s="10"/>
      <c r="C466" s="11"/>
      <c r="D466" s="11"/>
      <c r="E466" s="12"/>
      <c r="F466" s="12"/>
      <c r="G466" s="11"/>
      <c r="H466" s="11"/>
      <c r="I466" s="11"/>
      <c r="J466" s="11"/>
    </row>
    <row r="467" spans="2:10" s="9" customFormat="1" x14ac:dyDescent="0.2">
      <c r="B467" s="10"/>
      <c r="C467" s="11"/>
      <c r="D467" s="11"/>
      <c r="E467" s="12"/>
      <c r="F467" s="12"/>
      <c r="G467" s="11"/>
      <c r="H467" s="11"/>
      <c r="I467" s="11"/>
      <c r="J467" s="11"/>
    </row>
    <row r="468" spans="2:10" s="9" customFormat="1" x14ac:dyDescent="0.2">
      <c r="B468" s="10"/>
      <c r="C468" s="11"/>
      <c r="D468" s="11"/>
      <c r="E468" s="12"/>
      <c r="F468" s="12"/>
      <c r="G468" s="11"/>
      <c r="H468" s="11"/>
      <c r="I468" s="11"/>
      <c r="J468" s="11"/>
    </row>
    <row r="469" spans="2:10" s="9" customFormat="1" x14ac:dyDescent="0.2">
      <c r="B469" s="10"/>
      <c r="C469" s="11"/>
      <c r="D469" s="11"/>
      <c r="E469" s="12"/>
      <c r="F469" s="12"/>
      <c r="G469" s="11"/>
      <c r="H469" s="11"/>
      <c r="I469" s="11"/>
      <c r="J469" s="11"/>
    </row>
    <row r="470" spans="2:10" s="9" customFormat="1" x14ac:dyDescent="0.2">
      <c r="B470" s="10"/>
      <c r="C470" s="11"/>
      <c r="D470" s="11"/>
      <c r="E470" s="12"/>
      <c r="F470" s="12"/>
      <c r="G470" s="11"/>
      <c r="H470" s="11"/>
      <c r="I470" s="11"/>
      <c r="J470" s="11"/>
    </row>
    <row r="471" spans="2:10" s="9" customFormat="1" x14ac:dyDescent="0.2">
      <c r="B471" s="10"/>
      <c r="C471" s="11"/>
      <c r="D471" s="11"/>
      <c r="E471" s="12"/>
      <c r="F471" s="12"/>
      <c r="G471" s="11"/>
      <c r="H471" s="11"/>
      <c r="I471" s="11"/>
      <c r="J471" s="11"/>
    </row>
    <row r="472" spans="2:10" s="9" customFormat="1" x14ac:dyDescent="0.2">
      <c r="B472" s="10"/>
      <c r="C472" s="11"/>
      <c r="D472" s="11"/>
      <c r="E472" s="12"/>
      <c r="F472" s="12"/>
      <c r="G472" s="11"/>
      <c r="H472" s="11"/>
      <c r="I472" s="11"/>
      <c r="J472" s="11"/>
    </row>
    <row r="473" spans="2:10" s="9" customFormat="1" x14ac:dyDescent="0.2">
      <c r="B473" s="10"/>
      <c r="C473" s="11"/>
      <c r="D473" s="11"/>
      <c r="E473" s="12"/>
      <c r="F473" s="12"/>
      <c r="G473" s="11"/>
      <c r="H473" s="11"/>
      <c r="I473" s="11"/>
      <c r="J473" s="11"/>
    </row>
    <row r="474" spans="2:10" s="9" customFormat="1" x14ac:dyDescent="0.2">
      <c r="B474" s="10"/>
      <c r="C474" s="11"/>
      <c r="D474" s="11"/>
      <c r="E474" s="12"/>
      <c r="F474" s="12"/>
      <c r="G474" s="11"/>
      <c r="H474" s="11"/>
      <c r="I474" s="11"/>
      <c r="J474" s="11"/>
    </row>
    <row r="475" spans="2:10" s="9" customFormat="1" x14ac:dyDescent="0.2">
      <c r="B475" s="10"/>
      <c r="C475" s="11"/>
      <c r="D475" s="11"/>
      <c r="E475" s="12"/>
      <c r="F475" s="12"/>
      <c r="G475" s="11"/>
      <c r="H475" s="11"/>
      <c r="I475" s="11"/>
      <c r="J475" s="11"/>
    </row>
    <row r="476" spans="2:10" s="9" customFormat="1" x14ac:dyDescent="0.2">
      <c r="B476" s="10"/>
      <c r="C476" s="11"/>
      <c r="D476" s="11"/>
      <c r="E476" s="12"/>
      <c r="F476" s="12"/>
      <c r="G476" s="11"/>
      <c r="H476" s="11"/>
      <c r="I476" s="11"/>
      <c r="J476" s="11"/>
    </row>
    <row r="477" spans="2:10" s="9" customFormat="1" x14ac:dyDescent="0.2">
      <c r="B477" s="10"/>
      <c r="C477" s="11"/>
      <c r="D477" s="11"/>
      <c r="E477" s="12"/>
      <c r="F477" s="12"/>
      <c r="G477" s="11"/>
      <c r="H477" s="11"/>
      <c r="I477" s="11"/>
      <c r="J477" s="11"/>
    </row>
    <row r="478" spans="2:10" s="9" customFormat="1" x14ac:dyDescent="0.2">
      <c r="B478" s="10"/>
      <c r="C478" s="11"/>
      <c r="D478" s="11"/>
      <c r="E478" s="12"/>
      <c r="F478" s="12"/>
      <c r="G478" s="11"/>
      <c r="H478" s="11"/>
      <c r="I478" s="11"/>
      <c r="J478" s="11"/>
    </row>
    <row r="479" spans="2:10" s="9" customFormat="1" x14ac:dyDescent="0.2">
      <c r="B479" s="10"/>
      <c r="C479" s="11"/>
      <c r="D479" s="11"/>
      <c r="E479" s="12"/>
      <c r="F479" s="12"/>
      <c r="G479" s="11"/>
      <c r="H479" s="11"/>
      <c r="I479" s="11"/>
      <c r="J479" s="11"/>
    </row>
    <row r="480" spans="2:10" s="9" customFormat="1" x14ac:dyDescent="0.2">
      <c r="B480" s="10"/>
      <c r="C480" s="11"/>
      <c r="D480" s="11"/>
      <c r="E480" s="12"/>
      <c r="F480" s="12"/>
      <c r="G480" s="11"/>
      <c r="H480" s="11"/>
      <c r="I480" s="11"/>
      <c r="J480" s="11"/>
    </row>
    <row r="481" spans="2:10" s="9" customFormat="1" x14ac:dyDescent="0.2">
      <c r="B481" s="10"/>
      <c r="C481" s="11"/>
      <c r="D481" s="11"/>
      <c r="E481" s="12"/>
      <c r="F481" s="12"/>
      <c r="G481" s="11"/>
      <c r="H481" s="11"/>
      <c r="I481" s="11"/>
      <c r="J481" s="11"/>
    </row>
    <row r="482" spans="2:10" s="9" customFormat="1" x14ac:dyDescent="0.2">
      <c r="B482" s="10"/>
      <c r="C482" s="11"/>
      <c r="D482" s="11"/>
      <c r="E482" s="12"/>
      <c r="F482" s="12"/>
      <c r="G482" s="11"/>
      <c r="H482" s="11"/>
      <c r="I482" s="11"/>
      <c r="J482" s="11"/>
    </row>
    <row r="483" spans="2:10" s="9" customFormat="1" x14ac:dyDescent="0.2">
      <c r="B483" s="10"/>
      <c r="C483" s="11"/>
      <c r="D483" s="11"/>
      <c r="E483" s="12"/>
      <c r="F483" s="12"/>
      <c r="G483" s="11"/>
      <c r="H483" s="11"/>
      <c r="I483" s="11"/>
      <c r="J483" s="11"/>
    </row>
    <row r="484" spans="2:10" s="9" customFormat="1" x14ac:dyDescent="0.2">
      <c r="B484" s="10"/>
      <c r="C484" s="11"/>
      <c r="D484" s="11"/>
      <c r="E484" s="12"/>
      <c r="F484" s="12"/>
      <c r="G484" s="11"/>
      <c r="H484" s="11"/>
      <c r="I484" s="11"/>
      <c r="J484" s="11"/>
    </row>
    <row r="485" spans="2:10" s="9" customFormat="1" x14ac:dyDescent="0.2">
      <c r="B485" s="10"/>
      <c r="C485" s="11"/>
      <c r="D485" s="11"/>
      <c r="E485" s="12"/>
      <c r="F485" s="12"/>
      <c r="G485" s="11"/>
      <c r="H485" s="11"/>
      <c r="I485" s="11"/>
      <c r="J485" s="11"/>
    </row>
    <row r="486" spans="2:10" s="9" customFormat="1" x14ac:dyDescent="0.2">
      <c r="B486" s="10"/>
      <c r="C486" s="11"/>
      <c r="D486" s="11"/>
      <c r="E486" s="12"/>
      <c r="F486" s="12"/>
      <c r="G486" s="11"/>
      <c r="H486" s="11"/>
      <c r="I486" s="11"/>
      <c r="J486" s="11"/>
    </row>
    <row r="487" spans="2:10" s="9" customFormat="1" x14ac:dyDescent="0.2">
      <c r="B487" s="10"/>
      <c r="C487" s="11"/>
      <c r="D487" s="11"/>
      <c r="E487" s="12"/>
      <c r="F487" s="12"/>
      <c r="G487" s="11"/>
      <c r="H487" s="11"/>
      <c r="I487" s="11"/>
      <c r="J487" s="11"/>
    </row>
    <row r="488" spans="2:10" s="9" customFormat="1" x14ac:dyDescent="0.2">
      <c r="B488" s="10"/>
      <c r="C488" s="11"/>
      <c r="D488" s="11"/>
      <c r="E488" s="12"/>
      <c r="F488" s="12"/>
      <c r="G488" s="11"/>
      <c r="H488" s="11"/>
      <c r="I488" s="11"/>
      <c r="J488" s="11"/>
    </row>
    <row r="489" spans="2:10" s="9" customFormat="1" x14ac:dyDescent="0.2">
      <c r="B489" s="10"/>
      <c r="C489" s="11"/>
      <c r="D489" s="11"/>
      <c r="E489" s="12"/>
      <c r="F489" s="12"/>
      <c r="G489" s="11"/>
      <c r="H489" s="11"/>
      <c r="I489" s="11"/>
      <c r="J489" s="11"/>
    </row>
    <row r="490" spans="2:10" s="9" customFormat="1" x14ac:dyDescent="0.2">
      <c r="B490" s="10"/>
      <c r="C490" s="11"/>
      <c r="D490" s="11"/>
      <c r="E490" s="12"/>
      <c r="F490" s="12"/>
      <c r="G490" s="11"/>
      <c r="H490" s="11"/>
      <c r="I490" s="11"/>
      <c r="J490" s="11"/>
    </row>
    <row r="491" spans="2:10" s="9" customFormat="1" x14ac:dyDescent="0.2">
      <c r="B491" s="10"/>
      <c r="C491" s="11"/>
      <c r="D491" s="11"/>
      <c r="E491" s="12"/>
      <c r="F491" s="12"/>
      <c r="G491" s="11"/>
      <c r="H491" s="11"/>
      <c r="I491" s="11"/>
      <c r="J491" s="11"/>
    </row>
    <row r="492" spans="2:10" s="9" customFormat="1" x14ac:dyDescent="0.2">
      <c r="B492" s="10"/>
      <c r="C492" s="11"/>
      <c r="D492" s="11"/>
      <c r="E492" s="12"/>
      <c r="F492" s="12"/>
      <c r="G492" s="11"/>
      <c r="H492" s="11"/>
      <c r="I492" s="11"/>
      <c r="J492" s="11"/>
    </row>
    <row r="493" spans="2:10" s="9" customFormat="1" x14ac:dyDescent="0.2">
      <c r="B493" s="10"/>
      <c r="C493" s="11"/>
      <c r="D493" s="11"/>
      <c r="E493" s="12"/>
      <c r="F493" s="12"/>
      <c r="G493" s="11"/>
      <c r="H493" s="11"/>
      <c r="I493" s="11"/>
      <c r="J493" s="11"/>
    </row>
    <row r="494" spans="2:10" s="9" customFormat="1" x14ac:dyDescent="0.2">
      <c r="B494" s="10"/>
      <c r="C494" s="11"/>
      <c r="D494" s="11"/>
      <c r="E494" s="12"/>
      <c r="F494" s="12"/>
      <c r="G494" s="11"/>
      <c r="H494" s="11"/>
      <c r="I494" s="11"/>
      <c r="J494" s="11"/>
    </row>
    <row r="495" spans="2:10" s="9" customFormat="1" x14ac:dyDescent="0.2">
      <c r="B495" s="10"/>
      <c r="C495" s="11"/>
      <c r="D495" s="11"/>
      <c r="E495" s="12"/>
      <c r="F495" s="12"/>
      <c r="G495" s="11"/>
      <c r="H495" s="11"/>
      <c r="I495" s="11"/>
      <c r="J495" s="11"/>
    </row>
    <row r="496" spans="2:10" s="9" customFormat="1" x14ac:dyDescent="0.2">
      <c r="B496" s="10"/>
      <c r="C496" s="11"/>
      <c r="D496" s="11"/>
      <c r="E496" s="12"/>
      <c r="F496" s="12"/>
      <c r="G496" s="11"/>
      <c r="H496" s="11"/>
      <c r="I496" s="11"/>
      <c r="J496" s="11"/>
    </row>
    <row r="497" spans="2:10" s="9" customFormat="1" x14ac:dyDescent="0.2">
      <c r="B497" s="10"/>
      <c r="C497" s="11"/>
      <c r="D497" s="11"/>
      <c r="E497" s="12"/>
      <c r="F497" s="12"/>
      <c r="G497" s="11"/>
      <c r="H497" s="11"/>
      <c r="I497" s="11"/>
      <c r="J497" s="11"/>
    </row>
    <row r="498" spans="2:10" s="9" customFormat="1" x14ac:dyDescent="0.2">
      <c r="B498" s="10"/>
      <c r="C498" s="11"/>
      <c r="D498" s="11"/>
      <c r="E498" s="12"/>
      <c r="F498" s="12"/>
      <c r="G498" s="11"/>
      <c r="H498" s="11"/>
      <c r="I498" s="11"/>
      <c r="J498" s="11"/>
    </row>
    <row r="499" spans="2:10" s="9" customFormat="1" x14ac:dyDescent="0.2">
      <c r="B499" s="10"/>
      <c r="C499" s="11"/>
      <c r="D499" s="11"/>
      <c r="E499" s="12"/>
      <c r="F499" s="12"/>
      <c r="G499" s="11"/>
      <c r="H499" s="11"/>
      <c r="I499" s="11"/>
      <c r="J499" s="11"/>
    </row>
    <row r="500" spans="2:10" s="9" customFormat="1" x14ac:dyDescent="0.2">
      <c r="B500" s="10"/>
      <c r="C500" s="11"/>
      <c r="D500" s="11"/>
      <c r="E500" s="12"/>
      <c r="F500" s="12"/>
      <c r="G500" s="11"/>
      <c r="H500" s="11"/>
      <c r="I500" s="11"/>
      <c r="J500" s="11"/>
    </row>
    <row r="501" spans="2:10" s="9" customFormat="1" x14ac:dyDescent="0.2">
      <c r="B501" s="10"/>
      <c r="C501" s="11"/>
      <c r="D501" s="11"/>
      <c r="E501" s="12"/>
      <c r="F501" s="12"/>
      <c r="G501" s="11"/>
      <c r="H501" s="11"/>
      <c r="I501" s="11"/>
      <c r="J501" s="11"/>
    </row>
    <row r="502" spans="2:10" s="9" customFormat="1" x14ac:dyDescent="0.2">
      <c r="B502" s="10"/>
      <c r="C502" s="11"/>
      <c r="D502" s="11"/>
      <c r="E502" s="12"/>
      <c r="F502" s="12"/>
      <c r="G502" s="11"/>
      <c r="H502" s="11"/>
      <c r="I502" s="11"/>
      <c r="J502" s="11"/>
    </row>
    <row r="503" spans="2:10" s="9" customFormat="1" x14ac:dyDescent="0.2">
      <c r="B503" s="10"/>
      <c r="C503" s="11"/>
      <c r="D503" s="11"/>
      <c r="E503" s="12"/>
      <c r="F503" s="12"/>
      <c r="G503" s="11"/>
      <c r="H503" s="11"/>
      <c r="I503" s="11"/>
      <c r="J503" s="11"/>
    </row>
    <row r="504" spans="2:10" s="9" customFormat="1" x14ac:dyDescent="0.2">
      <c r="B504" s="10"/>
      <c r="C504" s="11"/>
      <c r="D504" s="11"/>
      <c r="E504" s="12"/>
      <c r="F504" s="12"/>
      <c r="G504" s="11"/>
      <c r="H504" s="11"/>
      <c r="I504" s="11"/>
      <c r="J504" s="11"/>
    </row>
    <row r="505" spans="2:10" s="9" customFormat="1" x14ac:dyDescent="0.2">
      <c r="B505" s="10"/>
      <c r="C505" s="11"/>
      <c r="D505" s="11"/>
      <c r="E505" s="12"/>
      <c r="F505" s="12"/>
      <c r="G505" s="11"/>
      <c r="H505" s="11"/>
      <c r="I505" s="11"/>
      <c r="J505" s="11"/>
    </row>
    <row r="506" spans="2:10" s="9" customFormat="1" x14ac:dyDescent="0.2">
      <c r="B506" s="10"/>
      <c r="C506" s="11"/>
      <c r="D506" s="11"/>
      <c r="E506" s="12"/>
      <c r="F506" s="12"/>
      <c r="G506" s="11"/>
      <c r="H506" s="11"/>
      <c r="I506" s="11"/>
      <c r="J506" s="11"/>
    </row>
    <row r="507" spans="2:10" s="9" customFormat="1" x14ac:dyDescent="0.2">
      <c r="B507" s="10"/>
      <c r="C507" s="11"/>
      <c r="D507" s="11"/>
      <c r="E507" s="12"/>
      <c r="F507" s="12"/>
      <c r="G507" s="11"/>
      <c r="H507" s="11"/>
      <c r="I507" s="11"/>
      <c r="J507" s="11"/>
    </row>
    <row r="508" spans="2:10" s="9" customFormat="1" x14ac:dyDescent="0.2">
      <c r="B508" s="10"/>
      <c r="C508" s="11"/>
      <c r="D508" s="11"/>
      <c r="E508" s="12"/>
      <c r="F508" s="12"/>
      <c r="G508" s="11"/>
      <c r="H508" s="11"/>
      <c r="I508" s="11"/>
      <c r="J508" s="11"/>
    </row>
    <row r="509" spans="2:10" s="9" customFormat="1" x14ac:dyDescent="0.2">
      <c r="B509" s="10"/>
      <c r="C509" s="11"/>
      <c r="D509" s="11"/>
      <c r="E509" s="12"/>
      <c r="F509" s="12"/>
      <c r="G509" s="11"/>
      <c r="H509" s="11"/>
      <c r="I509" s="11"/>
      <c r="J509" s="11"/>
    </row>
    <row r="510" spans="2:10" s="9" customFormat="1" x14ac:dyDescent="0.2">
      <c r="B510" s="10"/>
      <c r="C510" s="11"/>
      <c r="D510" s="11"/>
      <c r="E510" s="12"/>
      <c r="F510" s="12"/>
      <c r="G510" s="11"/>
      <c r="H510" s="11"/>
      <c r="I510" s="11"/>
      <c r="J510" s="11"/>
    </row>
    <row r="511" spans="2:10" s="9" customFormat="1" x14ac:dyDescent="0.2">
      <c r="B511" s="10"/>
      <c r="C511" s="11"/>
      <c r="D511" s="11"/>
      <c r="E511" s="12"/>
      <c r="F511" s="12"/>
      <c r="G511" s="11"/>
      <c r="H511" s="11"/>
      <c r="I511" s="11"/>
      <c r="J511" s="11"/>
    </row>
    <row r="512" spans="2:10" s="9" customFormat="1" x14ac:dyDescent="0.2">
      <c r="B512" s="10"/>
      <c r="C512" s="11"/>
      <c r="D512" s="11"/>
      <c r="E512" s="12"/>
      <c r="F512" s="12"/>
      <c r="G512" s="11"/>
      <c r="H512" s="11"/>
      <c r="I512" s="11"/>
      <c r="J512" s="11"/>
    </row>
    <row r="513" spans="2:10" s="9" customFormat="1" x14ac:dyDescent="0.2">
      <c r="B513" s="10"/>
      <c r="C513" s="11"/>
      <c r="D513" s="11"/>
      <c r="E513" s="12"/>
      <c r="F513" s="12"/>
      <c r="G513" s="11"/>
      <c r="H513" s="11"/>
      <c r="I513" s="11"/>
      <c r="J513" s="11"/>
    </row>
    <row r="514" spans="2:10" s="9" customFormat="1" x14ac:dyDescent="0.2">
      <c r="B514" s="10"/>
      <c r="C514" s="11"/>
      <c r="D514" s="11"/>
      <c r="E514" s="12"/>
      <c r="F514" s="12"/>
      <c r="G514" s="11"/>
      <c r="H514" s="11"/>
      <c r="I514" s="11"/>
      <c r="J514" s="11"/>
    </row>
    <row r="515" spans="2:10" s="9" customFormat="1" x14ac:dyDescent="0.2">
      <c r="B515" s="10"/>
      <c r="C515" s="11"/>
      <c r="D515" s="11"/>
      <c r="E515" s="12"/>
      <c r="F515" s="12"/>
      <c r="G515" s="11"/>
      <c r="H515" s="11"/>
      <c r="I515" s="11"/>
      <c r="J515" s="11"/>
    </row>
    <row r="516" spans="2:10" s="9" customFormat="1" x14ac:dyDescent="0.2">
      <c r="B516" s="10"/>
      <c r="C516" s="11"/>
      <c r="D516" s="11"/>
      <c r="E516" s="12"/>
      <c r="F516" s="12"/>
      <c r="G516" s="11"/>
      <c r="H516" s="11"/>
      <c r="I516" s="11"/>
      <c r="J516" s="11"/>
    </row>
    <row r="517" spans="2:10" s="9" customFormat="1" x14ac:dyDescent="0.2">
      <c r="B517" s="10"/>
      <c r="C517" s="11"/>
      <c r="D517" s="11"/>
      <c r="E517" s="12"/>
      <c r="F517" s="12"/>
      <c r="G517" s="11"/>
      <c r="H517" s="11"/>
      <c r="I517" s="11"/>
      <c r="J517" s="11"/>
    </row>
    <row r="518" spans="2:10" s="9" customFormat="1" x14ac:dyDescent="0.2">
      <c r="B518" s="10"/>
      <c r="C518" s="11"/>
      <c r="D518" s="11"/>
      <c r="E518" s="12"/>
      <c r="F518" s="12"/>
      <c r="G518" s="11"/>
      <c r="H518" s="11"/>
      <c r="I518" s="11"/>
      <c r="J518" s="11"/>
    </row>
    <row r="519" spans="2:10" s="9" customFormat="1" x14ac:dyDescent="0.2">
      <c r="B519" s="10"/>
      <c r="C519" s="11"/>
      <c r="D519" s="11"/>
      <c r="E519" s="12"/>
      <c r="F519" s="12"/>
      <c r="G519" s="11"/>
      <c r="H519" s="11"/>
      <c r="I519" s="11"/>
      <c r="J519" s="11"/>
    </row>
    <row r="520" spans="2:10" s="9" customFormat="1" x14ac:dyDescent="0.2">
      <c r="B520" s="10"/>
      <c r="C520" s="11"/>
      <c r="D520" s="11"/>
      <c r="E520" s="12"/>
      <c r="F520" s="12"/>
      <c r="G520" s="11"/>
      <c r="H520" s="11"/>
      <c r="I520" s="11"/>
      <c r="J520" s="11"/>
    </row>
    <row r="521" spans="2:10" s="9" customFormat="1" x14ac:dyDescent="0.2">
      <c r="B521" s="10"/>
      <c r="C521" s="11"/>
      <c r="D521" s="11"/>
      <c r="E521" s="12"/>
      <c r="F521" s="12"/>
      <c r="G521" s="11"/>
      <c r="H521" s="11"/>
      <c r="I521" s="11"/>
      <c r="J521" s="11"/>
    </row>
    <row r="522" spans="2:10" s="9" customFormat="1" x14ac:dyDescent="0.2">
      <c r="B522" s="10"/>
      <c r="C522" s="11"/>
      <c r="D522" s="11"/>
      <c r="E522" s="12"/>
      <c r="F522" s="12"/>
      <c r="G522" s="11"/>
      <c r="H522" s="11"/>
      <c r="I522" s="11"/>
      <c r="J522" s="11"/>
    </row>
    <row r="523" spans="2:10" s="9" customFormat="1" x14ac:dyDescent="0.2">
      <c r="B523" s="10"/>
      <c r="C523" s="11"/>
      <c r="D523" s="11"/>
      <c r="E523" s="12"/>
      <c r="F523" s="12"/>
      <c r="G523" s="11"/>
      <c r="H523" s="11"/>
      <c r="I523" s="11"/>
      <c r="J523" s="11"/>
    </row>
    <row r="524" spans="2:10" s="9" customFormat="1" x14ac:dyDescent="0.2">
      <c r="B524" s="10"/>
      <c r="C524" s="11"/>
      <c r="D524" s="11"/>
      <c r="E524" s="12"/>
      <c r="F524" s="12"/>
      <c r="G524" s="11"/>
      <c r="H524" s="11"/>
      <c r="I524" s="11"/>
      <c r="J524" s="11"/>
    </row>
    <row r="525" spans="2:10" s="9" customFormat="1" x14ac:dyDescent="0.2">
      <c r="B525" s="10"/>
      <c r="C525" s="11"/>
      <c r="D525" s="11"/>
      <c r="E525" s="12"/>
      <c r="F525" s="12"/>
      <c r="G525" s="11"/>
      <c r="H525" s="11"/>
      <c r="I525" s="11"/>
      <c r="J525" s="11"/>
    </row>
    <row r="526" spans="2:10" s="9" customFormat="1" x14ac:dyDescent="0.2">
      <c r="B526" s="10"/>
      <c r="C526" s="11"/>
      <c r="D526" s="11"/>
      <c r="E526" s="12"/>
      <c r="F526" s="12"/>
      <c r="G526" s="11"/>
      <c r="H526" s="11"/>
      <c r="I526" s="11"/>
      <c r="J526" s="11"/>
    </row>
    <row r="527" spans="2:10" s="9" customFormat="1" x14ac:dyDescent="0.2">
      <c r="B527" s="10"/>
      <c r="C527" s="11"/>
      <c r="D527" s="11"/>
      <c r="E527" s="12"/>
      <c r="F527" s="12"/>
      <c r="G527" s="11"/>
      <c r="H527" s="11"/>
      <c r="I527" s="11"/>
      <c r="J527" s="11"/>
    </row>
    <row r="528" spans="2:10" s="9" customFormat="1" x14ac:dyDescent="0.2">
      <c r="B528" s="10"/>
      <c r="C528" s="11"/>
      <c r="D528" s="11"/>
      <c r="E528" s="12"/>
      <c r="F528" s="12"/>
      <c r="G528" s="11"/>
      <c r="H528" s="11"/>
      <c r="I528" s="11"/>
      <c r="J528" s="11"/>
    </row>
    <row r="529" spans="2:10" s="9" customFormat="1" x14ac:dyDescent="0.2">
      <c r="B529" s="10"/>
      <c r="C529" s="11"/>
      <c r="D529" s="11"/>
      <c r="E529" s="12"/>
      <c r="F529" s="12"/>
      <c r="G529" s="11"/>
      <c r="H529" s="11"/>
      <c r="I529" s="11"/>
      <c r="J529" s="11"/>
    </row>
    <row r="530" spans="2:10" s="9" customFormat="1" x14ac:dyDescent="0.2">
      <c r="B530" s="10"/>
      <c r="C530" s="11"/>
      <c r="D530" s="11"/>
      <c r="E530" s="12"/>
      <c r="F530" s="12"/>
      <c r="G530" s="11"/>
      <c r="H530" s="11"/>
      <c r="I530" s="11"/>
      <c r="J530" s="11"/>
    </row>
    <row r="531" spans="2:10" s="9" customFormat="1" x14ac:dyDescent="0.2">
      <c r="B531" s="10"/>
      <c r="C531" s="11"/>
      <c r="D531" s="11"/>
      <c r="E531" s="12"/>
      <c r="F531" s="12"/>
      <c r="G531" s="11"/>
      <c r="H531" s="11"/>
      <c r="I531" s="11"/>
      <c r="J531" s="11"/>
    </row>
    <row r="532" spans="2:10" s="9" customFormat="1" x14ac:dyDescent="0.2">
      <c r="B532" s="10"/>
      <c r="C532" s="11"/>
      <c r="D532" s="11"/>
      <c r="E532" s="12"/>
      <c r="F532" s="12"/>
      <c r="G532" s="11"/>
      <c r="H532" s="11"/>
      <c r="I532" s="11"/>
      <c r="J532" s="11"/>
    </row>
    <row r="533" spans="2:10" s="9" customFormat="1" x14ac:dyDescent="0.2">
      <c r="B533" s="10"/>
      <c r="C533" s="11"/>
      <c r="D533" s="11"/>
      <c r="E533" s="12"/>
      <c r="F533" s="12"/>
      <c r="G533" s="11"/>
      <c r="H533" s="11"/>
      <c r="I533" s="11"/>
      <c r="J533" s="11"/>
    </row>
    <row r="534" spans="2:10" s="9" customFormat="1" x14ac:dyDescent="0.2">
      <c r="B534" s="10"/>
      <c r="C534" s="11"/>
      <c r="D534" s="11"/>
      <c r="E534" s="12"/>
      <c r="F534" s="12"/>
      <c r="G534" s="11"/>
      <c r="H534" s="11"/>
      <c r="I534" s="11"/>
      <c r="J534" s="11"/>
    </row>
    <row r="535" spans="2:10" s="9" customFormat="1" x14ac:dyDescent="0.2">
      <c r="B535" s="10"/>
      <c r="C535" s="11"/>
      <c r="D535" s="11"/>
      <c r="E535" s="12"/>
      <c r="F535" s="12"/>
      <c r="G535" s="11"/>
      <c r="H535" s="11"/>
      <c r="I535" s="11"/>
      <c r="J535" s="11"/>
    </row>
    <row r="536" spans="2:10" s="9" customFormat="1" x14ac:dyDescent="0.2">
      <c r="B536" s="10"/>
      <c r="C536" s="11"/>
      <c r="D536" s="11"/>
      <c r="E536" s="12"/>
      <c r="F536" s="12"/>
      <c r="G536" s="11"/>
      <c r="H536" s="11"/>
      <c r="I536" s="11"/>
      <c r="J536" s="11"/>
    </row>
    <row r="537" spans="2:10" s="9" customFormat="1" x14ac:dyDescent="0.2">
      <c r="B537" s="10"/>
      <c r="C537" s="11"/>
      <c r="D537" s="11"/>
      <c r="E537" s="12"/>
      <c r="F537" s="12"/>
      <c r="G537" s="11"/>
      <c r="H537" s="11"/>
      <c r="I537" s="11"/>
      <c r="J537" s="11"/>
    </row>
    <row r="538" spans="2:10" s="9" customFormat="1" x14ac:dyDescent="0.2">
      <c r="B538" s="10"/>
      <c r="C538" s="11"/>
      <c r="D538" s="11"/>
      <c r="E538" s="12"/>
      <c r="F538" s="12"/>
      <c r="G538" s="11"/>
      <c r="H538" s="11"/>
      <c r="I538" s="11"/>
      <c r="J538" s="11"/>
    </row>
    <row r="539" spans="2:10" s="9" customFormat="1" x14ac:dyDescent="0.2">
      <c r="B539" s="10"/>
      <c r="C539" s="11"/>
      <c r="D539" s="11"/>
      <c r="E539" s="12"/>
      <c r="F539" s="12"/>
      <c r="G539" s="11"/>
      <c r="H539" s="11"/>
      <c r="I539" s="11"/>
      <c r="J539" s="11"/>
    </row>
    <row r="540" spans="2:10" s="9" customFormat="1" x14ac:dyDescent="0.2">
      <c r="B540" s="10"/>
      <c r="C540" s="11"/>
      <c r="D540" s="11"/>
      <c r="E540" s="12"/>
      <c r="F540" s="12"/>
      <c r="G540" s="11"/>
      <c r="H540" s="11"/>
      <c r="I540" s="11"/>
      <c r="J540" s="11"/>
    </row>
    <row r="541" spans="2:10" s="9" customFormat="1" x14ac:dyDescent="0.2">
      <c r="B541" s="10"/>
      <c r="C541" s="11"/>
      <c r="D541" s="11"/>
      <c r="E541" s="12"/>
      <c r="F541" s="12"/>
      <c r="G541" s="11"/>
      <c r="H541" s="11"/>
      <c r="I541" s="11"/>
      <c r="J541" s="11"/>
    </row>
    <row r="542" spans="2:10" s="9" customFormat="1" x14ac:dyDescent="0.2">
      <c r="B542" s="10"/>
      <c r="C542" s="11"/>
      <c r="D542" s="11"/>
      <c r="E542" s="12"/>
      <c r="F542" s="12"/>
      <c r="G542" s="11"/>
      <c r="H542" s="11"/>
      <c r="I542" s="11"/>
      <c r="J542" s="11"/>
    </row>
    <row r="543" spans="2:10" s="9" customFormat="1" x14ac:dyDescent="0.2">
      <c r="B543" s="10"/>
      <c r="C543" s="11"/>
      <c r="D543" s="11"/>
      <c r="E543" s="12"/>
      <c r="F543" s="12"/>
      <c r="G543" s="11"/>
      <c r="H543" s="11"/>
      <c r="I543" s="11"/>
      <c r="J543" s="11"/>
    </row>
    <row r="544" spans="2:10" s="9" customFormat="1" x14ac:dyDescent="0.2">
      <c r="B544" s="10"/>
      <c r="C544" s="11"/>
      <c r="D544" s="11"/>
      <c r="E544" s="12"/>
      <c r="F544" s="12"/>
      <c r="G544" s="11"/>
      <c r="H544" s="11"/>
      <c r="I544" s="11"/>
      <c r="J544" s="11"/>
    </row>
    <row r="545" spans="2:10" s="9" customFormat="1" x14ac:dyDescent="0.2">
      <c r="B545" s="10"/>
      <c r="C545" s="11"/>
      <c r="D545" s="11"/>
      <c r="E545" s="12"/>
      <c r="F545" s="12"/>
      <c r="G545" s="11"/>
      <c r="H545" s="11"/>
      <c r="I545" s="11"/>
      <c r="J545" s="11"/>
    </row>
    <row r="546" spans="2:10" s="9" customFormat="1" x14ac:dyDescent="0.2">
      <c r="B546" s="10"/>
      <c r="C546" s="11"/>
      <c r="D546" s="11"/>
      <c r="E546" s="12"/>
      <c r="F546" s="12"/>
      <c r="G546" s="11"/>
      <c r="H546" s="11"/>
      <c r="I546" s="11"/>
      <c r="J546" s="11"/>
    </row>
    <row r="547" spans="2:10" s="9" customFormat="1" x14ac:dyDescent="0.2">
      <c r="B547" s="10"/>
      <c r="C547" s="11"/>
      <c r="D547" s="11"/>
      <c r="E547" s="12"/>
      <c r="F547" s="12"/>
      <c r="G547" s="11"/>
      <c r="H547" s="11"/>
      <c r="I547" s="11"/>
      <c r="J547" s="11"/>
    </row>
    <row r="548" spans="2:10" s="9" customFormat="1" x14ac:dyDescent="0.2">
      <c r="B548" s="10"/>
      <c r="C548" s="11"/>
      <c r="D548" s="11"/>
      <c r="E548" s="12"/>
      <c r="F548" s="12"/>
      <c r="G548" s="11"/>
      <c r="H548" s="11"/>
      <c r="I548" s="11"/>
      <c r="J548" s="11"/>
    </row>
    <row r="549" spans="2:10" s="9" customFormat="1" x14ac:dyDescent="0.2">
      <c r="B549" s="10"/>
      <c r="C549" s="11"/>
      <c r="D549" s="11"/>
      <c r="E549" s="12"/>
      <c r="F549" s="12"/>
      <c r="G549" s="11"/>
      <c r="H549" s="11"/>
      <c r="I549" s="11"/>
      <c r="J549" s="11"/>
    </row>
    <row r="550" spans="2:10" s="9" customFormat="1" x14ac:dyDescent="0.2">
      <c r="B550" s="10"/>
      <c r="C550" s="11"/>
      <c r="D550" s="11"/>
      <c r="E550" s="12"/>
      <c r="F550" s="12"/>
      <c r="G550" s="11"/>
      <c r="H550" s="11"/>
      <c r="I550" s="11"/>
      <c r="J550" s="11"/>
    </row>
    <row r="551" spans="2:10" s="9" customFormat="1" x14ac:dyDescent="0.2">
      <c r="B551" s="10"/>
      <c r="C551" s="11"/>
      <c r="D551" s="11"/>
      <c r="E551" s="12"/>
      <c r="F551" s="12"/>
      <c r="G551" s="11"/>
      <c r="H551" s="11"/>
      <c r="I551" s="11"/>
      <c r="J551" s="11"/>
    </row>
    <row r="552" spans="2:10" s="9" customFormat="1" x14ac:dyDescent="0.2">
      <c r="B552" s="10"/>
      <c r="C552" s="11"/>
      <c r="D552" s="11"/>
      <c r="E552" s="12"/>
      <c r="F552" s="12"/>
      <c r="G552" s="11"/>
      <c r="H552" s="11"/>
      <c r="I552" s="11"/>
      <c r="J552" s="11"/>
    </row>
    <row r="553" spans="2:10" s="9" customFormat="1" x14ac:dyDescent="0.2">
      <c r="B553" s="10"/>
      <c r="C553" s="11"/>
      <c r="D553" s="11"/>
      <c r="E553" s="12"/>
      <c r="F553" s="12"/>
      <c r="G553" s="11"/>
      <c r="H553" s="11"/>
      <c r="I553" s="11"/>
      <c r="J553" s="11"/>
    </row>
    <row r="554" spans="2:10" s="9" customFormat="1" x14ac:dyDescent="0.2">
      <c r="B554" s="10"/>
      <c r="C554" s="11"/>
      <c r="D554" s="11"/>
      <c r="E554" s="12"/>
      <c r="F554" s="12"/>
      <c r="G554" s="11"/>
      <c r="H554" s="11"/>
      <c r="I554" s="11"/>
      <c r="J554" s="11"/>
    </row>
    <row r="555" spans="2:10" s="9" customFormat="1" x14ac:dyDescent="0.2">
      <c r="B555" s="10"/>
      <c r="C555" s="11"/>
      <c r="D555" s="11"/>
      <c r="E555" s="12"/>
      <c r="F555" s="12"/>
      <c r="G555" s="11"/>
      <c r="H555" s="11"/>
      <c r="I555" s="11"/>
      <c r="J555" s="11"/>
    </row>
    <row r="556" spans="2:10" s="9" customFormat="1" x14ac:dyDescent="0.2">
      <c r="B556" s="10"/>
      <c r="C556" s="11"/>
      <c r="D556" s="11"/>
      <c r="E556" s="12"/>
      <c r="F556" s="12"/>
      <c r="G556" s="11"/>
      <c r="H556" s="11"/>
      <c r="I556" s="11"/>
      <c r="J556" s="11"/>
    </row>
    <row r="557" spans="2:10" s="9" customFormat="1" x14ac:dyDescent="0.2">
      <c r="B557" s="10"/>
      <c r="C557" s="11"/>
      <c r="D557" s="11"/>
      <c r="E557" s="12"/>
      <c r="F557" s="12"/>
      <c r="G557" s="11"/>
      <c r="H557" s="11"/>
      <c r="I557" s="11"/>
      <c r="J557" s="11"/>
    </row>
    <row r="558" spans="2:10" s="9" customFormat="1" x14ac:dyDescent="0.2">
      <c r="B558" s="10"/>
      <c r="C558" s="11"/>
      <c r="D558" s="11"/>
      <c r="E558" s="12"/>
      <c r="F558" s="12"/>
      <c r="G558" s="11"/>
      <c r="H558" s="11"/>
      <c r="I558" s="11"/>
      <c r="J558" s="11"/>
    </row>
    <row r="559" spans="2:10" s="9" customFormat="1" x14ac:dyDescent="0.2">
      <c r="B559" s="10"/>
      <c r="C559" s="11"/>
      <c r="D559" s="11"/>
      <c r="E559" s="12"/>
      <c r="F559" s="12"/>
      <c r="G559" s="11"/>
      <c r="H559" s="11"/>
      <c r="I559" s="11"/>
      <c r="J559" s="11"/>
    </row>
    <row r="560" spans="2:10" s="9" customFormat="1" x14ac:dyDescent="0.2">
      <c r="B560" s="10"/>
      <c r="C560" s="11"/>
      <c r="D560" s="11"/>
      <c r="E560" s="12"/>
      <c r="F560" s="12"/>
      <c r="G560" s="11"/>
      <c r="H560" s="11"/>
      <c r="I560" s="11"/>
      <c r="J560" s="11"/>
    </row>
    <row r="561" spans="2:10" s="9" customFormat="1" x14ac:dyDescent="0.2">
      <c r="B561" s="10"/>
      <c r="C561" s="11"/>
      <c r="D561" s="11"/>
      <c r="E561" s="12"/>
      <c r="F561" s="12"/>
      <c r="G561" s="11"/>
      <c r="H561" s="11"/>
      <c r="I561" s="11"/>
      <c r="J561" s="11"/>
    </row>
    <row r="562" spans="2:10" s="9" customFormat="1" x14ac:dyDescent="0.2">
      <c r="B562" s="10"/>
      <c r="C562" s="11"/>
      <c r="D562" s="11"/>
      <c r="E562" s="12"/>
      <c r="F562" s="12"/>
      <c r="G562" s="11"/>
      <c r="H562" s="11"/>
      <c r="I562" s="11"/>
      <c r="J562" s="11"/>
    </row>
    <row r="563" spans="2:10" s="9" customFormat="1" x14ac:dyDescent="0.2">
      <c r="B563" s="10"/>
      <c r="C563" s="11"/>
      <c r="D563" s="11"/>
      <c r="E563" s="12"/>
      <c r="F563" s="12"/>
      <c r="G563" s="11"/>
      <c r="H563" s="11"/>
      <c r="I563" s="11"/>
      <c r="J563" s="11"/>
    </row>
    <row r="564" spans="2:10" s="9" customFormat="1" x14ac:dyDescent="0.2">
      <c r="B564" s="10"/>
      <c r="C564" s="11"/>
      <c r="D564" s="11"/>
      <c r="E564" s="12"/>
      <c r="F564" s="12"/>
      <c r="G564" s="11"/>
      <c r="H564" s="11"/>
      <c r="I564" s="11"/>
      <c r="J564" s="11"/>
    </row>
    <row r="565" spans="2:10" s="9" customFormat="1" x14ac:dyDescent="0.2">
      <c r="B565" s="10"/>
      <c r="C565" s="11"/>
      <c r="D565" s="11"/>
      <c r="E565" s="12"/>
      <c r="F565" s="12"/>
      <c r="G565" s="11"/>
      <c r="H565" s="11"/>
      <c r="I565" s="11"/>
      <c r="J565" s="11"/>
    </row>
    <row r="566" spans="2:10" s="9" customFormat="1" x14ac:dyDescent="0.2">
      <c r="B566" s="10"/>
      <c r="C566" s="11"/>
      <c r="D566" s="11"/>
      <c r="E566" s="12"/>
      <c r="F566" s="12"/>
      <c r="G566" s="11"/>
      <c r="H566" s="11"/>
      <c r="I566" s="11"/>
      <c r="J566" s="11"/>
    </row>
    <row r="567" spans="2:10" s="9" customFormat="1" x14ac:dyDescent="0.2">
      <c r="B567" s="10"/>
      <c r="C567" s="11"/>
      <c r="D567" s="11"/>
      <c r="E567" s="12"/>
      <c r="F567" s="12"/>
      <c r="G567" s="11"/>
      <c r="H567" s="11"/>
      <c r="I567" s="11"/>
      <c r="J567" s="11"/>
    </row>
    <row r="568" spans="2:10" s="9" customFormat="1" x14ac:dyDescent="0.2">
      <c r="B568" s="10"/>
      <c r="C568" s="11"/>
      <c r="D568" s="11"/>
      <c r="E568" s="12"/>
      <c r="F568" s="12"/>
      <c r="G568" s="11"/>
      <c r="H568" s="11"/>
      <c r="I568" s="11"/>
      <c r="J568" s="11"/>
    </row>
    <row r="569" spans="2:10" s="9" customFormat="1" x14ac:dyDescent="0.2">
      <c r="B569" s="10"/>
      <c r="C569" s="11"/>
      <c r="D569" s="11"/>
      <c r="E569" s="12"/>
      <c r="F569" s="12"/>
      <c r="G569" s="11"/>
      <c r="H569" s="11"/>
      <c r="I569" s="11"/>
      <c r="J569" s="11"/>
    </row>
    <row r="570" spans="2:10" s="9" customFormat="1" x14ac:dyDescent="0.2">
      <c r="B570" s="10"/>
      <c r="C570" s="11"/>
      <c r="D570" s="11"/>
      <c r="E570" s="12"/>
      <c r="F570" s="12"/>
      <c r="G570" s="11"/>
      <c r="H570" s="11"/>
      <c r="I570" s="11"/>
      <c r="J570" s="11"/>
    </row>
    <row r="571" spans="2:10" s="9" customFormat="1" x14ac:dyDescent="0.2">
      <c r="B571" s="10"/>
      <c r="C571" s="11"/>
      <c r="D571" s="11"/>
      <c r="E571" s="12"/>
      <c r="F571" s="12"/>
      <c r="G571" s="11"/>
      <c r="H571" s="11"/>
      <c r="I571" s="11"/>
      <c r="J571" s="11"/>
    </row>
    <row r="572" spans="2:10" s="9" customFormat="1" x14ac:dyDescent="0.2">
      <c r="B572" s="10"/>
      <c r="C572" s="11"/>
      <c r="D572" s="11"/>
      <c r="E572" s="12"/>
      <c r="F572" s="12"/>
      <c r="G572" s="11"/>
      <c r="H572" s="11"/>
      <c r="I572" s="11"/>
      <c r="J572" s="11"/>
    </row>
    <row r="573" spans="2:10" s="9" customFormat="1" x14ac:dyDescent="0.2">
      <c r="B573" s="10"/>
      <c r="C573" s="11"/>
      <c r="D573" s="11"/>
      <c r="E573" s="12"/>
      <c r="F573" s="12"/>
      <c r="G573" s="11"/>
      <c r="H573" s="11"/>
      <c r="I573" s="11"/>
      <c r="J573" s="11"/>
    </row>
    <row r="574" spans="2:10" s="9" customFormat="1" x14ac:dyDescent="0.2">
      <c r="B574" s="10"/>
      <c r="C574" s="11"/>
      <c r="D574" s="11"/>
      <c r="E574" s="12"/>
      <c r="F574" s="12"/>
      <c r="G574" s="11"/>
      <c r="H574" s="11"/>
      <c r="I574" s="11"/>
      <c r="J574" s="11"/>
    </row>
    <row r="575" spans="2:10" s="9" customFormat="1" x14ac:dyDescent="0.2">
      <c r="B575" s="10"/>
      <c r="C575" s="11"/>
      <c r="D575" s="11"/>
      <c r="E575" s="12"/>
      <c r="F575" s="12"/>
      <c r="G575" s="11"/>
      <c r="H575" s="11"/>
      <c r="I575" s="11"/>
      <c r="J575" s="11"/>
    </row>
    <row r="576" spans="2:10" s="9" customFormat="1" x14ac:dyDescent="0.2">
      <c r="B576" s="10"/>
      <c r="C576" s="11"/>
      <c r="D576" s="11"/>
      <c r="E576" s="12"/>
      <c r="F576" s="12"/>
      <c r="G576" s="11"/>
      <c r="H576" s="11"/>
      <c r="I576" s="11"/>
      <c r="J576" s="11"/>
    </row>
    <row r="577" spans="2:10" s="9" customFormat="1" x14ac:dyDescent="0.2">
      <c r="B577" s="10"/>
      <c r="C577" s="11"/>
      <c r="D577" s="11"/>
      <c r="E577" s="12"/>
      <c r="F577" s="12"/>
      <c r="G577" s="11"/>
      <c r="H577" s="11"/>
      <c r="I577" s="11"/>
      <c r="J577" s="11"/>
    </row>
    <row r="578" spans="2:10" s="9" customFormat="1" x14ac:dyDescent="0.2">
      <c r="B578" s="10"/>
      <c r="C578" s="11"/>
      <c r="D578" s="11"/>
      <c r="E578" s="12"/>
      <c r="F578" s="12"/>
      <c r="G578" s="11"/>
      <c r="H578" s="11"/>
      <c r="I578" s="11"/>
      <c r="J578" s="11"/>
    </row>
    <row r="579" spans="2:10" s="9" customFormat="1" x14ac:dyDescent="0.2">
      <c r="B579" s="10"/>
      <c r="C579" s="11"/>
      <c r="D579" s="11"/>
      <c r="E579" s="12"/>
      <c r="F579" s="12"/>
      <c r="G579" s="11"/>
      <c r="H579" s="11"/>
      <c r="I579" s="11"/>
      <c r="J579" s="11"/>
    </row>
    <row r="580" spans="2:10" s="9" customFormat="1" x14ac:dyDescent="0.2">
      <c r="B580" s="10"/>
      <c r="C580" s="11"/>
      <c r="D580" s="11"/>
      <c r="E580" s="12"/>
      <c r="F580" s="12"/>
      <c r="G580" s="11"/>
      <c r="H580" s="11"/>
      <c r="I580" s="11"/>
      <c r="J580" s="11"/>
    </row>
    <row r="581" spans="2:10" s="9" customFormat="1" x14ac:dyDescent="0.2">
      <c r="B581" s="10"/>
      <c r="C581" s="11"/>
      <c r="D581" s="11"/>
      <c r="E581" s="12"/>
      <c r="F581" s="12"/>
      <c r="G581" s="11"/>
      <c r="H581" s="11"/>
      <c r="I581" s="11"/>
      <c r="J581" s="11"/>
    </row>
    <row r="582" spans="2:10" s="9" customFormat="1" x14ac:dyDescent="0.2">
      <c r="B582" s="10"/>
      <c r="C582" s="11"/>
      <c r="D582" s="11"/>
      <c r="E582" s="12"/>
      <c r="F582" s="12"/>
      <c r="G582" s="11"/>
      <c r="H582" s="11"/>
      <c r="I582" s="11"/>
      <c r="J582" s="11"/>
    </row>
    <row r="583" spans="2:10" s="9" customFormat="1" x14ac:dyDescent="0.2">
      <c r="B583" s="10"/>
      <c r="C583" s="11"/>
      <c r="D583" s="11"/>
      <c r="E583" s="12"/>
      <c r="F583" s="12"/>
      <c r="G583" s="11"/>
      <c r="H583" s="11"/>
      <c r="I583" s="11"/>
      <c r="J583" s="11"/>
    </row>
    <row r="584" spans="2:10" s="9" customFormat="1" x14ac:dyDescent="0.2">
      <c r="B584" s="10"/>
      <c r="C584" s="11"/>
      <c r="D584" s="11"/>
      <c r="E584" s="12"/>
      <c r="F584" s="12"/>
      <c r="G584" s="11"/>
      <c r="H584" s="11"/>
      <c r="I584" s="11"/>
      <c r="J584" s="11"/>
    </row>
    <row r="585" spans="2:10" s="9" customFormat="1" x14ac:dyDescent="0.2">
      <c r="B585" s="10"/>
      <c r="C585" s="11"/>
      <c r="D585" s="11"/>
      <c r="E585" s="12"/>
      <c r="F585" s="12"/>
      <c r="G585" s="11"/>
      <c r="H585" s="11"/>
      <c r="I585" s="11"/>
      <c r="J585" s="11"/>
    </row>
    <row r="586" spans="2:10" s="9" customFormat="1" x14ac:dyDescent="0.2">
      <c r="B586" s="10"/>
      <c r="C586" s="11"/>
      <c r="D586" s="11"/>
      <c r="E586" s="12"/>
      <c r="F586" s="12"/>
      <c r="G586" s="11"/>
      <c r="H586" s="11"/>
      <c r="I586" s="11"/>
      <c r="J586" s="11"/>
    </row>
    <row r="587" spans="2:10" s="9" customFormat="1" x14ac:dyDescent="0.2">
      <c r="B587" s="10"/>
      <c r="C587" s="11"/>
      <c r="D587" s="11"/>
      <c r="E587" s="12"/>
      <c r="F587" s="12"/>
      <c r="G587" s="11"/>
      <c r="H587" s="11"/>
      <c r="I587" s="11"/>
      <c r="J587" s="11"/>
    </row>
    <row r="588" spans="2:10" s="9" customFormat="1" x14ac:dyDescent="0.2">
      <c r="B588" s="10"/>
      <c r="C588" s="11"/>
      <c r="D588" s="11"/>
      <c r="E588" s="12"/>
      <c r="F588" s="12"/>
      <c r="G588" s="11"/>
      <c r="H588" s="11"/>
      <c r="I588" s="11"/>
      <c r="J588" s="11"/>
    </row>
    <row r="589" spans="2:10" s="9" customFormat="1" x14ac:dyDescent="0.2">
      <c r="B589" s="10"/>
      <c r="C589" s="11"/>
      <c r="D589" s="11"/>
      <c r="E589" s="12"/>
      <c r="F589" s="12"/>
      <c r="G589" s="11"/>
      <c r="H589" s="11"/>
      <c r="I589" s="11"/>
      <c r="J589" s="11"/>
    </row>
    <row r="590" spans="2:10" s="9" customFormat="1" x14ac:dyDescent="0.2">
      <c r="B590" s="10"/>
      <c r="C590" s="11"/>
      <c r="D590" s="11"/>
      <c r="E590" s="12"/>
      <c r="F590" s="12"/>
      <c r="G590" s="11"/>
      <c r="H590" s="11"/>
      <c r="I590" s="11"/>
      <c r="J590" s="11"/>
    </row>
    <row r="591" spans="2:10" s="9" customFormat="1" x14ac:dyDescent="0.2">
      <c r="B591" s="10"/>
      <c r="C591" s="11"/>
      <c r="D591" s="11"/>
      <c r="E591" s="12"/>
      <c r="F591" s="12"/>
      <c r="G591" s="11"/>
      <c r="H591" s="11"/>
      <c r="I591" s="11"/>
      <c r="J591" s="11"/>
    </row>
    <row r="592" spans="2:10" s="9" customFormat="1" x14ac:dyDescent="0.2">
      <c r="B592" s="10"/>
      <c r="C592" s="11"/>
      <c r="D592" s="11"/>
      <c r="E592" s="12"/>
      <c r="F592" s="12"/>
      <c r="G592" s="11"/>
      <c r="H592" s="11"/>
      <c r="I592" s="11"/>
      <c r="J592" s="11"/>
    </row>
    <row r="593" spans="2:10" s="9" customFormat="1" x14ac:dyDescent="0.2">
      <c r="B593" s="10"/>
      <c r="C593" s="11"/>
      <c r="D593" s="11"/>
      <c r="E593" s="12"/>
      <c r="F593" s="12"/>
      <c r="G593" s="11"/>
      <c r="H593" s="11"/>
      <c r="I593" s="11"/>
      <c r="J593" s="11"/>
    </row>
    <row r="594" spans="2:10" s="9" customFormat="1" x14ac:dyDescent="0.2">
      <c r="B594" s="10"/>
      <c r="C594" s="11"/>
      <c r="D594" s="11"/>
      <c r="E594" s="12"/>
      <c r="F594" s="12"/>
      <c r="G594" s="11"/>
      <c r="H594" s="11"/>
      <c r="I594" s="11"/>
      <c r="J594" s="11"/>
    </row>
    <row r="595" spans="2:10" s="9" customFormat="1" x14ac:dyDescent="0.2">
      <c r="B595" s="10"/>
      <c r="C595" s="11"/>
      <c r="D595" s="11"/>
      <c r="E595" s="12"/>
      <c r="F595" s="12"/>
      <c r="G595" s="11"/>
      <c r="H595" s="11"/>
      <c r="I595" s="11"/>
      <c r="J595" s="11"/>
    </row>
    <row r="596" spans="2:10" s="9" customFormat="1" x14ac:dyDescent="0.2">
      <c r="B596" s="10"/>
      <c r="C596" s="11"/>
      <c r="D596" s="11"/>
      <c r="E596" s="12"/>
      <c r="F596" s="12"/>
      <c r="G596" s="11"/>
      <c r="H596" s="11"/>
      <c r="I596" s="11"/>
      <c r="J596" s="11"/>
    </row>
    <row r="597" spans="2:10" s="9" customFormat="1" x14ac:dyDescent="0.2">
      <c r="B597" s="10"/>
      <c r="C597" s="11"/>
      <c r="D597" s="11"/>
      <c r="E597" s="12"/>
      <c r="F597" s="12"/>
      <c r="G597" s="11"/>
      <c r="H597" s="11"/>
      <c r="I597" s="11"/>
      <c r="J597" s="11"/>
    </row>
    <row r="598" spans="2:10" s="9" customFormat="1" x14ac:dyDescent="0.2">
      <c r="B598" s="10"/>
      <c r="C598" s="11"/>
      <c r="D598" s="11"/>
      <c r="E598" s="12"/>
      <c r="F598" s="12"/>
      <c r="G598" s="11"/>
      <c r="H598" s="11"/>
      <c r="I598" s="11"/>
      <c r="J598" s="11"/>
    </row>
    <row r="599" spans="2:10" s="9" customFormat="1" x14ac:dyDescent="0.2">
      <c r="B599" s="10"/>
      <c r="C599" s="11"/>
      <c r="D599" s="11"/>
      <c r="E599" s="12"/>
      <c r="F599" s="12"/>
      <c r="G599" s="11"/>
      <c r="H599" s="11"/>
      <c r="I599" s="11"/>
      <c r="J599" s="11"/>
    </row>
    <row r="600" spans="2:10" s="9" customFormat="1" x14ac:dyDescent="0.2">
      <c r="B600" s="10"/>
      <c r="C600" s="11"/>
      <c r="D600" s="11"/>
      <c r="E600" s="12"/>
      <c r="F600" s="12"/>
      <c r="G600" s="11"/>
      <c r="H600" s="11"/>
      <c r="I600" s="11"/>
      <c r="J600" s="11"/>
    </row>
    <row r="601" spans="2:10" s="9" customFormat="1" x14ac:dyDescent="0.2">
      <c r="B601" s="10"/>
      <c r="C601" s="11"/>
      <c r="D601" s="11"/>
      <c r="E601" s="12"/>
      <c r="F601" s="12"/>
      <c r="G601" s="11"/>
      <c r="H601" s="11"/>
      <c r="I601" s="11"/>
      <c r="J601" s="11"/>
    </row>
    <row r="602" spans="2:10" s="9" customFormat="1" x14ac:dyDescent="0.2">
      <c r="B602" s="10"/>
      <c r="C602" s="11"/>
      <c r="D602" s="11"/>
      <c r="E602" s="12"/>
      <c r="F602" s="12"/>
      <c r="G602" s="11"/>
      <c r="H602" s="11"/>
      <c r="I602" s="11"/>
      <c r="J602" s="11"/>
    </row>
    <row r="603" spans="2:10" s="9" customFormat="1" x14ac:dyDescent="0.2">
      <c r="B603" s="10"/>
      <c r="C603" s="11"/>
      <c r="D603" s="11"/>
      <c r="E603" s="12"/>
      <c r="F603" s="12"/>
      <c r="G603" s="11"/>
      <c r="H603" s="11"/>
      <c r="I603" s="11"/>
      <c r="J603" s="11"/>
    </row>
    <row r="604" spans="2:10" s="9" customFormat="1" x14ac:dyDescent="0.2">
      <c r="B604" s="10"/>
      <c r="C604" s="11"/>
      <c r="D604" s="11"/>
      <c r="E604" s="12"/>
      <c r="F604" s="12"/>
      <c r="G604" s="11"/>
      <c r="H604" s="11"/>
      <c r="I604" s="11"/>
      <c r="J604" s="11"/>
    </row>
    <row r="605" spans="2:10" s="9" customFormat="1" x14ac:dyDescent="0.2">
      <c r="B605" s="10"/>
      <c r="C605" s="11"/>
      <c r="D605" s="11"/>
      <c r="E605" s="12"/>
      <c r="F605" s="12"/>
      <c r="G605" s="11"/>
      <c r="H605" s="11"/>
      <c r="I605" s="11"/>
      <c r="J605" s="11"/>
    </row>
    <row r="606" spans="2:10" s="9" customFormat="1" x14ac:dyDescent="0.2">
      <c r="B606" s="10"/>
      <c r="C606" s="11"/>
      <c r="D606" s="11"/>
      <c r="E606" s="12"/>
      <c r="F606" s="12"/>
      <c r="G606" s="11"/>
      <c r="H606" s="11"/>
      <c r="I606" s="11"/>
      <c r="J606" s="11"/>
    </row>
    <row r="607" spans="2:10" s="9" customFormat="1" x14ac:dyDescent="0.2">
      <c r="B607" s="10"/>
      <c r="C607" s="11"/>
      <c r="D607" s="11"/>
      <c r="E607" s="12"/>
      <c r="F607" s="12"/>
      <c r="G607" s="11"/>
      <c r="H607" s="11"/>
      <c r="I607" s="11"/>
      <c r="J607" s="11"/>
    </row>
    <row r="608" spans="2:10" s="9" customFormat="1" x14ac:dyDescent="0.2">
      <c r="B608" s="10"/>
      <c r="C608" s="11"/>
      <c r="D608" s="11"/>
      <c r="E608" s="12"/>
      <c r="F608" s="12"/>
      <c r="G608" s="11"/>
      <c r="H608" s="11"/>
      <c r="I608" s="11"/>
      <c r="J608" s="11"/>
    </row>
    <row r="609" spans="2:10" s="9" customFormat="1" x14ac:dyDescent="0.2">
      <c r="B609" s="10"/>
      <c r="C609" s="11"/>
      <c r="D609" s="11"/>
      <c r="E609" s="12"/>
      <c r="F609" s="12"/>
      <c r="G609" s="11"/>
      <c r="H609" s="11"/>
      <c r="I609" s="11"/>
      <c r="J609" s="11"/>
    </row>
    <row r="610" spans="2:10" s="9" customFormat="1" x14ac:dyDescent="0.2">
      <c r="B610" s="10"/>
      <c r="C610" s="11"/>
      <c r="D610" s="11"/>
      <c r="E610" s="12"/>
      <c r="F610" s="12"/>
      <c r="G610" s="11"/>
      <c r="H610" s="11"/>
      <c r="I610" s="11"/>
      <c r="J610" s="11"/>
    </row>
    <row r="611" spans="2:10" s="9" customFormat="1" x14ac:dyDescent="0.2">
      <c r="B611" s="10"/>
      <c r="C611" s="11"/>
      <c r="D611" s="11"/>
      <c r="E611" s="12"/>
      <c r="F611" s="12"/>
      <c r="G611" s="11"/>
      <c r="H611" s="11"/>
      <c r="I611" s="11"/>
      <c r="J611" s="11"/>
    </row>
    <row r="612" spans="2:10" s="9" customFormat="1" x14ac:dyDescent="0.2">
      <c r="B612" s="10"/>
      <c r="C612" s="11"/>
      <c r="D612" s="11"/>
      <c r="E612" s="12"/>
      <c r="F612" s="12"/>
      <c r="G612" s="11"/>
      <c r="H612" s="11"/>
      <c r="I612" s="11"/>
      <c r="J612" s="11"/>
    </row>
    <row r="613" spans="2:10" s="9" customFormat="1" x14ac:dyDescent="0.2">
      <c r="B613" s="10"/>
      <c r="C613" s="11"/>
      <c r="D613" s="11"/>
      <c r="E613" s="12"/>
      <c r="F613" s="12"/>
      <c r="G613" s="11"/>
      <c r="H613" s="11"/>
      <c r="I613" s="11"/>
      <c r="J613" s="11"/>
    </row>
    <row r="614" spans="2:10" s="9" customFormat="1" x14ac:dyDescent="0.2">
      <c r="B614" s="10"/>
      <c r="C614" s="11"/>
      <c r="D614" s="11"/>
      <c r="E614" s="12"/>
      <c r="F614" s="12"/>
      <c r="G614" s="11"/>
      <c r="H614" s="11"/>
      <c r="I614" s="11"/>
      <c r="J614" s="11"/>
    </row>
    <row r="615" spans="2:10" s="9" customFormat="1" x14ac:dyDescent="0.2">
      <c r="B615" s="10"/>
      <c r="C615" s="11"/>
      <c r="D615" s="11"/>
      <c r="E615" s="12"/>
      <c r="F615" s="12"/>
      <c r="G615" s="11"/>
      <c r="H615" s="11"/>
      <c r="I615" s="11"/>
      <c r="J615" s="11"/>
    </row>
    <row r="616" spans="2:10" s="9" customFormat="1" x14ac:dyDescent="0.2">
      <c r="B616" s="10"/>
      <c r="C616" s="11"/>
      <c r="D616" s="11"/>
      <c r="E616" s="12"/>
      <c r="F616" s="12"/>
      <c r="G616" s="11"/>
      <c r="H616" s="11"/>
      <c r="I616" s="11"/>
      <c r="J616" s="11"/>
    </row>
    <row r="617" spans="2:10" s="9" customFormat="1" x14ac:dyDescent="0.2">
      <c r="B617" s="10"/>
      <c r="C617" s="11"/>
      <c r="D617" s="11"/>
      <c r="E617" s="12"/>
      <c r="F617" s="12"/>
      <c r="G617" s="11"/>
      <c r="H617" s="11"/>
      <c r="I617" s="11"/>
      <c r="J617" s="11"/>
    </row>
    <row r="618" spans="2:10" s="9" customFormat="1" x14ac:dyDescent="0.2">
      <c r="B618" s="10"/>
      <c r="C618" s="11"/>
      <c r="D618" s="11"/>
      <c r="E618" s="12"/>
      <c r="F618" s="12"/>
      <c r="G618" s="11"/>
      <c r="H618" s="11"/>
      <c r="I618" s="11"/>
      <c r="J618" s="11"/>
    </row>
    <row r="619" spans="2:10" s="9" customFormat="1" x14ac:dyDescent="0.2">
      <c r="B619" s="10"/>
      <c r="C619" s="11"/>
      <c r="D619" s="11"/>
      <c r="E619" s="12"/>
      <c r="F619" s="12"/>
      <c r="G619" s="11"/>
      <c r="H619" s="11"/>
      <c r="I619" s="11"/>
      <c r="J619" s="11"/>
    </row>
    <row r="620" spans="2:10" s="9" customFormat="1" x14ac:dyDescent="0.2">
      <c r="B620" s="10"/>
      <c r="C620" s="11"/>
      <c r="D620" s="11"/>
      <c r="E620" s="12"/>
      <c r="F620" s="12"/>
      <c r="G620" s="11"/>
      <c r="H620" s="11"/>
      <c r="I620" s="11"/>
      <c r="J620" s="11"/>
    </row>
    <row r="621" spans="2:10" s="9" customFormat="1" x14ac:dyDescent="0.2">
      <c r="B621" s="10"/>
      <c r="C621" s="11"/>
      <c r="D621" s="11"/>
      <c r="E621" s="12"/>
      <c r="F621" s="12"/>
      <c r="G621" s="11"/>
      <c r="H621" s="11"/>
      <c r="I621" s="11"/>
      <c r="J621" s="11"/>
    </row>
    <row r="622" spans="2:10" s="9" customFormat="1" x14ac:dyDescent="0.2">
      <c r="B622" s="10"/>
      <c r="C622" s="11"/>
      <c r="D622" s="11"/>
      <c r="E622" s="12"/>
      <c r="F622" s="12"/>
      <c r="G622" s="11"/>
      <c r="H622" s="11"/>
      <c r="I622" s="11"/>
      <c r="J622" s="11"/>
    </row>
    <row r="623" spans="2:10" s="9" customFormat="1" x14ac:dyDescent="0.2">
      <c r="B623" s="10"/>
      <c r="C623" s="11"/>
      <c r="D623" s="11"/>
      <c r="E623" s="12"/>
      <c r="F623" s="12"/>
      <c r="G623" s="11"/>
      <c r="H623" s="11"/>
      <c r="I623" s="11"/>
      <c r="J623" s="11"/>
    </row>
    <row r="624" spans="2:10" s="9" customFormat="1" x14ac:dyDescent="0.2">
      <c r="B624" s="10"/>
      <c r="C624" s="11"/>
      <c r="D624" s="11"/>
      <c r="E624" s="12"/>
      <c r="F624" s="12"/>
      <c r="G624" s="11"/>
      <c r="H624" s="11"/>
      <c r="I624" s="11"/>
      <c r="J624" s="11"/>
    </row>
    <row r="625" spans="2:10" s="9" customFormat="1" x14ac:dyDescent="0.2">
      <c r="B625" s="10"/>
      <c r="C625" s="11"/>
      <c r="D625" s="11"/>
      <c r="E625" s="12"/>
      <c r="F625" s="12"/>
      <c r="G625" s="11"/>
      <c r="H625" s="11"/>
      <c r="I625" s="11"/>
      <c r="J625" s="11"/>
    </row>
    <row r="626" spans="2:10" s="9" customFormat="1" x14ac:dyDescent="0.2">
      <c r="B626" s="10"/>
      <c r="C626" s="11"/>
      <c r="D626" s="11"/>
      <c r="E626" s="12"/>
      <c r="F626" s="12"/>
      <c r="G626" s="11"/>
      <c r="H626" s="11"/>
      <c r="I626" s="11"/>
      <c r="J626" s="11"/>
    </row>
    <row r="627" spans="2:10" s="9" customFormat="1" x14ac:dyDescent="0.2">
      <c r="B627" s="10"/>
      <c r="C627" s="11"/>
      <c r="D627" s="11"/>
      <c r="E627" s="12"/>
      <c r="F627" s="12"/>
      <c r="G627" s="11"/>
      <c r="H627" s="11"/>
      <c r="I627" s="11"/>
      <c r="J627" s="11"/>
    </row>
    <row r="628" spans="2:10" s="9" customFormat="1" x14ac:dyDescent="0.2">
      <c r="B628" s="10"/>
      <c r="C628" s="11"/>
      <c r="D628" s="11"/>
      <c r="E628" s="12"/>
      <c r="F628" s="12"/>
      <c r="G628" s="11"/>
      <c r="H628" s="11"/>
      <c r="I628" s="11"/>
      <c r="J628" s="11"/>
    </row>
    <row r="629" spans="2:10" s="9" customFormat="1" x14ac:dyDescent="0.2">
      <c r="B629" s="10"/>
      <c r="C629" s="11"/>
      <c r="D629" s="11"/>
      <c r="E629" s="12"/>
      <c r="F629" s="12"/>
      <c r="G629" s="11"/>
      <c r="H629" s="11"/>
      <c r="I629" s="11"/>
      <c r="J629" s="11"/>
    </row>
    <row r="630" spans="2:10" s="9" customFormat="1" x14ac:dyDescent="0.2">
      <c r="B630" s="10"/>
      <c r="C630" s="11"/>
      <c r="D630" s="11"/>
      <c r="E630" s="12"/>
      <c r="F630" s="12"/>
      <c r="G630" s="11"/>
      <c r="H630" s="11"/>
      <c r="I630" s="11"/>
      <c r="J630" s="11"/>
    </row>
    <row r="631" spans="2:10" s="9" customFormat="1" x14ac:dyDescent="0.2">
      <c r="B631" s="10"/>
      <c r="C631" s="11"/>
      <c r="D631" s="11"/>
      <c r="E631" s="12"/>
      <c r="F631" s="12"/>
      <c r="G631" s="11"/>
      <c r="H631" s="11"/>
      <c r="I631" s="11"/>
      <c r="J631" s="11"/>
    </row>
    <row r="632" spans="2:10" s="9" customFormat="1" x14ac:dyDescent="0.2">
      <c r="B632" s="10"/>
      <c r="C632" s="11"/>
      <c r="D632" s="11"/>
      <c r="E632" s="12"/>
      <c r="F632" s="12"/>
      <c r="G632" s="11"/>
      <c r="H632" s="11"/>
      <c r="I632" s="11"/>
      <c r="J632" s="11"/>
    </row>
    <row r="633" spans="2:10" s="9" customFormat="1" x14ac:dyDescent="0.2">
      <c r="B633" s="10"/>
      <c r="C633" s="11"/>
      <c r="D633" s="11"/>
      <c r="E633" s="12"/>
      <c r="F633" s="12"/>
      <c r="G633" s="11"/>
      <c r="H633" s="11"/>
      <c r="I633" s="11"/>
      <c r="J633" s="11"/>
    </row>
    <row r="634" spans="2:10" s="9" customFormat="1" x14ac:dyDescent="0.2">
      <c r="B634" s="10"/>
      <c r="C634" s="11"/>
      <c r="D634" s="11"/>
      <c r="E634" s="12"/>
      <c r="F634" s="12"/>
      <c r="G634" s="11"/>
      <c r="H634" s="11"/>
      <c r="I634" s="11"/>
      <c r="J634" s="11"/>
    </row>
    <row r="635" spans="2:10" s="9" customFormat="1" x14ac:dyDescent="0.2">
      <c r="B635" s="10"/>
      <c r="C635" s="11"/>
      <c r="D635" s="11"/>
      <c r="E635" s="12"/>
      <c r="F635" s="12"/>
      <c r="G635" s="11"/>
      <c r="H635" s="11"/>
      <c r="I635" s="11"/>
      <c r="J635" s="11"/>
    </row>
    <row r="636" spans="2:10" s="9" customFormat="1" x14ac:dyDescent="0.2">
      <c r="B636" s="10"/>
      <c r="C636" s="11"/>
      <c r="D636" s="11"/>
      <c r="E636" s="12"/>
      <c r="F636" s="12"/>
      <c r="G636" s="11"/>
      <c r="H636" s="11"/>
      <c r="I636" s="11"/>
      <c r="J636" s="11"/>
    </row>
    <row r="637" spans="2:10" s="9" customFormat="1" x14ac:dyDescent="0.2">
      <c r="B637" s="10"/>
      <c r="C637" s="11"/>
      <c r="D637" s="11"/>
      <c r="E637" s="12"/>
      <c r="F637" s="12"/>
      <c r="G637" s="11"/>
      <c r="H637" s="11"/>
      <c r="I637" s="11"/>
      <c r="J637" s="11"/>
    </row>
    <row r="638" spans="2:10" s="9" customFormat="1" x14ac:dyDescent="0.2">
      <c r="B638" s="10"/>
      <c r="C638" s="11"/>
      <c r="D638" s="11"/>
      <c r="E638" s="12"/>
      <c r="F638" s="12"/>
      <c r="G638" s="11"/>
      <c r="H638" s="11"/>
      <c r="I638" s="11"/>
      <c r="J638" s="11"/>
    </row>
    <row r="639" spans="2:10" s="9" customFormat="1" x14ac:dyDescent="0.2">
      <c r="B639" s="10"/>
      <c r="C639" s="11"/>
      <c r="D639" s="11"/>
      <c r="E639" s="12"/>
      <c r="F639" s="12"/>
      <c r="G639" s="11"/>
      <c r="H639" s="11"/>
      <c r="I639" s="11"/>
      <c r="J639" s="11"/>
    </row>
    <row r="640" spans="2:10" s="9" customFormat="1" x14ac:dyDescent="0.2">
      <c r="B640" s="10"/>
      <c r="C640" s="11"/>
      <c r="D640" s="11"/>
      <c r="E640" s="12"/>
      <c r="F640" s="12"/>
      <c r="G640" s="11"/>
      <c r="H640" s="11"/>
      <c r="I640" s="11"/>
      <c r="J640" s="11"/>
    </row>
    <row r="641" spans="2:10" s="9" customFormat="1" x14ac:dyDescent="0.2">
      <c r="B641" s="10"/>
      <c r="C641" s="11"/>
      <c r="D641" s="11"/>
      <c r="E641" s="12"/>
      <c r="F641" s="12"/>
      <c r="G641" s="11"/>
      <c r="H641" s="11"/>
      <c r="I641" s="11"/>
      <c r="J641" s="11"/>
    </row>
    <row r="642" spans="2:10" s="9" customFormat="1" x14ac:dyDescent="0.2">
      <c r="B642" s="10"/>
      <c r="C642" s="11"/>
      <c r="D642" s="11"/>
      <c r="E642" s="12"/>
      <c r="F642" s="12"/>
      <c r="G642" s="11"/>
      <c r="H642" s="11"/>
      <c r="I642" s="11"/>
      <c r="J642" s="11"/>
    </row>
    <row r="643" spans="2:10" s="9" customFormat="1" x14ac:dyDescent="0.2">
      <c r="B643" s="10"/>
      <c r="C643" s="11"/>
      <c r="D643" s="11"/>
      <c r="E643" s="12"/>
      <c r="F643" s="12"/>
      <c r="G643" s="11"/>
      <c r="H643" s="11"/>
      <c r="I643" s="11"/>
      <c r="J643" s="11"/>
    </row>
    <row r="644" spans="2:10" s="9" customFormat="1" x14ac:dyDescent="0.2">
      <c r="B644" s="10"/>
      <c r="C644" s="11"/>
      <c r="D644" s="11"/>
      <c r="E644" s="12"/>
      <c r="F644" s="12"/>
      <c r="G644" s="11"/>
      <c r="H644" s="11"/>
      <c r="I644" s="11"/>
      <c r="J644" s="11"/>
    </row>
    <row r="645" spans="2:10" s="9" customFormat="1" x14ac:dyDescent="0.2">
      <c r="B645" s="10"/>
      <c r="C645" s="11"/>
      <c r="D645" s="11"/>
      <c r="E645" s="12"/>
      <c r="F645" s="12"/>
      <c r="G645" s="11"/>
      <c r="H645" s="11"/>
      <c r="I645" s="11"/>
      <c r="J645" s="11"/>
    </row>
    <row r="646" spans="2:10" s="9" customFormat="1" x14ac:dyDescent="0.2">
      <c r="B646" s="10"/>
      <c r="C646" s="11"/>
      <c r="D646" s="11"/>
      <c r="E646" s="12"/>
      <c r="F646" s="12"/>
      <c r="G646" s="11"/>
      <c r="H646" s="11"/>
      <c r="I646" s="11"/>
      <c r="J646" s="11"/>
    </row>
    <row r="647" spans="2:10" s="9" customFormat="1" x14ac:dyDescent="0.2">
      <c r="B647" s="10"/>
      <c r="C647" s="11"/>
      <c r="D647" s="11"/>
      <c r="E647" s="12"/>
      <c r="F647" s="12"/>
      <c r="G647" s="11"/>
      <c r="H647" s="11"/>
      <c r="I647" s="11"/>
      <c r="J647" s="11"/>
    </row>
    <row r="648" spans="2:10" s="9" customFormat="1" x14ac:dyDescent="0.2">
      <c r="B648" s="10"/>
      <c r="C648" s="11"/>
      <c r="D648" s="11"/>
      <c r="E648" s="12"/>
      <c r="F648" s="12"/>
      <c r="G648" s="11"/>
      <c r="H648" s="11"/>
      <c r="I648" s="11"/>
      <c r="J648" s="11"/>
    </row>
    <row r="649" spans="2:10" s="9" customFormat="1" x14ac:dyDescent="0.2">
      <c r="B649" s="10"/>
      <c r="C649" s="11"/>
      <c r="D649" s="11"/>
      <c r="E649" s="12"/>
      <c r="F649" s="12"/>
      <c r="G649" s="11"/>
      <c r="H649" s="11"/>
      <c r="I649" s="11"/>
      <c r="J649" s="11"/>
    </row>
    <row r="650" spans="2:10" s="9" customFormat="1" x14ac:dyDescent="0.2">
      <c r="B650" s="10"/>
      <c r="C650" s="11"/>
      <c r="D650" s="11"/>
      <c r="E650" s="12"/>
      <c r="F650" s="12"/>
      <c r="G650" s="11"/>
      <c r="H650" s="11"/>
      <c r="I650" s="11"/>
      <c r="J650" s="11"/>
    </row>
    <row r="651" spans="2:10" s="9" customFormat="1" x14ac:dyDescent="0.2">
      <c r="B651" s="10"/>
      <c r="C651" s="11"/>
      <c r="D651" s="11"/>
      <c r="E651" s="12"/>
      <c r="F651" s="12"/>
      <c r="G651" s="11"/>
      <c r="H651" s="11"/>
      <c r="I651" s="11"/>
      <c r="J651" s="11"/>
    </row>
    <row r="652" spans="2:10" s="9" customFormat="1" x14ac:dyDescent="0.2">
      <c r="B652" s="10"/>
      <c r="C652" s="11"/>
      <c r="D652" s="11"/>
      <c r="E652" s="12"/>
      <c r="F652" s="12"/>
      <c r="G652" s="11"/>
      <c r="H652" s="11"/>
      <c r="I652" s="11"/>
      <c r="J652" s="11"/>
    </row>
    <row r="653" spans="2:10" s="9" customFormat="1" x14ac:dyDescent="0.2">
      <c r="B653" s="10"/>
      <c r="C653" s="11"/>
      <c r="D653" s="11"/>
      <c r="E653" s="12"/>
      <c r="F653" s="12"/>
      <c r="G653" s="11"/>
      <c r="H653" s="11"/>
      <c r="I653" s="11"/>
      <c r="J653" s="11"/>
    </row>
    <row r="654" spans="2:10" s="9" customFormat="1" x14ac:dyDescent="0.2">
      <c r="B654" s="10"/>
      <c r="C654" s="11"/>
      <c r="D654" s="11"/>
      <c r="E654" s="12"/>
      <c r="F654" s="12"/>
      <c r="G654" s="11"/>
      <c r="H654" s="11"/>
      <c r="I654" s="11"/>
      <c r="J654" s="11"/>
    </row>
    <row r="655" spans="2:10" s="9" customFormat="1" x14ac:dyDescent="0.2">
      <c r="B655" s="10"/>
      <c r="C655" s="11"/>
      <c r="D655" s="11"/>
      <c r="E655" s="12"/>
      <c r="F655" s="12"/>
      <c r="G655" s="11"/>
      <c r="H655" s="11"/>
      <c r="I655" s="11"/>
      <c r="J655" s="11"/>
    </row>
    <row r="656" spans="2:10" s="9" customFormat="1" x14ac:dyDescent="0.2">
      <c r="B656" s="10"/>
      <c r="C656" s="11"/>
      <c r="D656" s="11"/>
      <c r="E656" s="12"/>
      <c r="F656" s="12"/>
      <c r="G656" s="11"/>
      <c r="H656" s="11"/>
      <c r="I656" s="11"/>
      <c r="J656" s="11"/>
    </row>
    <row r="657" spans="2:10" s="9" customFormat="1" x14ac:dyDescent="0.2">
      <c r="B657" s="10"/>
      <c r="C657" s="11"/>
      <c r="D657" s="11"/>
      <c r="E657" s="12"/>
      <c r="F657" s="12"/>
      <c r="G657" s="11"/>
      <c r="H657" s="11"/>
      <c r="I657" s="11"/>
      <c r="J657" s="11"/>
    </row>
    <row r="658" spans="2:10" s="9" customFormat="1" x14ac:dyDescent="0.2">
      <c r="B658" s="10"/>
      <c r="C658" s="11"/>
      <c r="D658" s="11"/>
      <c r="E658" s="12"/>
      <c r="F658" s="12"/>
      <c r="G658" s="11"/>
      <c r="H658" s="11"/>
      <c r="I658" s="11"/>
      <c r="J658" s="11"/>
    </row>
    <row r="659" spans="2:10" s="9" customFormat="1" x14ac:dyDescent="0.2">
      <c r="B659" s="10"/>
      <c r="C659" s="11"/>
      <c r="D659" s="11"/>
      <c r="E659" s="12"/>
      <c r="F659" s="12"/>
      <c r="G659" s="11"/>
      <c r="H659" s="11"/>
      <c r="I659" s="11"/>
      <c r="J659" s="11"/>
    </row>
    <row r="660" spans="2:10" s="9" customFormat="1" x14ac:dyDescent="0.2">
      <c r="B660" s="10"/>
      <c r="C660" s="11"/>
      <c r="D660" s="11"/>
      <c r="E660" s="12"/>
      <c r="F660" s="12"/>
      <c r="G660" s="11"/>
      <c r="H660" s="11"/>
      <c r="I660" s="11"/>
      <c r="J660" s="11"/>
    </row>
    <row r="661" spans="2:10" s="9" customFormat="1" x14ac:dyDescent="0.2">
      <c r="B661" s="10"/>
      <c r="C661" s="11"/>
      <c r="D661" s="11"/>
      <c r="E661" s="12"/>
      <c r="F661" s="12"/>
      <c r="G661" s="11"/>
      <c r="H661" s="11"/>
      <c r="I661" s="11"/>
      <c r="J661" s="11"/>
    </row>
    <row r="662" spans="2:10" s="9" customFormat="1" x14ac:dyDescent="0.2">
      <c r="B662" s="10"/>
      <c r="C662" s="11"/>
      <c r="D662" s="11"/>
      <c r="E662" s="12"/>
      <c r="F662" s="12"/>
      <c r="G662" s="11"/>
      <c r="H662" s="11"/>
      <c r="I662" s="11"/>
      <c r="J662" s="11"/>
    </row>
    <row r="663" spans="2:10" s="9" customFormat="1" x14ac:dyDescent="0.2">
      <c r="B663" s="10"/>
      <c r="C663" s="11"/>
      <c r="D663" s="11"/>
      <c r="E663" s="12"/>
      <c r="F663" s="12"/>
      <c r="G663" s="11"/>
      <c r="H663" s="11"/>
      <c r="I663" s="11"/>
      <c r="J663" s="11"/>
    </row>
    <row r="664" spans="2:10" s="9" customFormat="1" x14ac:dyDescent="0.2">
      <c r="B664" s="10"/>
      <c r="C664" s="11"/>
      <c r="D664" s="11"/>
      <c r="E664" s="12"/>
      <c r="F664" s="12"/>
      <c r="G664" s="11"/>
      <c r="H664" s="11"/>
      <c r="I664" s="11"/>
      <c r="J664" s="11"/>
    </row>
    <row r="665" spans="2:10" s="9" customFormat="1" x14ac:dyDescent="0.2">
      <c r="B665" s="10"/>
      <c r="C665" s="11"/>
      <c r="D665" s="11"/>
      <c r="E665" s="12"/>
      <c r="F665" s="12"/>
      <c r="G665" s="11"/>
      <c r="H665" s="11"/>
      <c r="I665" s="11"/>
      <c r="J665" s="11"/>
    </row>
    <row r="666" spans="2:10" s="9" customFormat="1" x14ac:dyDescent="0.2">
      <c r="B666" s="10"/>
      <c r="C666" s="11"/>
      <c r="D666" s="11"/>
      <c r="E666" s="12"/>
      <c r="F666" s="12"/>
      <c r="G666" s="11"/>
      <c r="H666" s="11"/>
      <c r="I666" s="11"/>
      <c r="J666" s="11"/>
    </row>
    <row r="667" spans="2:10" s="9" customFormat="1" x14ac:dyDescent="0.2">
      <c r="B667" s="10"/>
      <c r="C667" s="11"/>
      <c r="D667" s="11"/>
      <c r="E667" s="12"/>
      <c r="F667" s="12"/>
      <c r="G667" s="11"/>
      <c r="H667" s="11"/>
      <c r="I667" s="11"/>
      <c r="J667" s="11"/>
    </row>
    <row r="668" spans="2:10" s="9" customFormat="1" x14ac:dyDescent="0.2">
      <c r="B668" s="10"/>
      <c r="C668" s="11"/>
      <c r="D668" s="11"/>
      <c r="E668" s="12"/>
      <c r="F668" s="12"/>
      <c r="G668" s="11"/>
      <c r="H668" s="11"/>
      <c r="I668" s="11"/>
      <c r="J668" s="11"/>
    </row>
    <row r="669" spans="2:10" s="9" customFormat="1" x14ac:dyDescent="0.2">
      <c r="B669" s="10"/>
      <c r="C669" s="11"/>
      <c r="D669" s="11"/>
      <c r="E669" s="12"/>
      <c r="F669" s="12"/>
      <c r="G669" s="11"/>
      <c r="H669" s="11"/>
      <c r="I669" s="11"/>
      <c r="J669" s="11"/>
    </row>
    <row r="670" spans="2:10" s="9" customFormat="1" x14ac:dyDescent="0.2">
      <c r="B670" s="10"/>
      <c r="C670" s="11"/>
      <c r="D670" s="11"/>
      <c r="E670" s="12"/>
      <c r="F670" s="12"/>
      <c r="G670" s="11"/>
      <c r="H670" s="11"/>
      <c r="I670" s="11"/>
      <c r="J670" s="11"/>
    </row>
    <row r="671" spans="2:10" s="9" customFormat="1" x14ac:dyDescent="0.2">
      <c r="B671" s="10"/>
      <c r="C671" s="11"/>
      <c r="D671" s="11"/>
      <c r="E671" s="12"/>
      <c r="F671" s="12"/>
      <c r="G671" s="11"/>
      <c r="H671" s="11"/>
      <c r="I671" s="11"/>
      <c r="J671" s="11"/>
    </row>
    <row r="672" spans="2:10" s="9" customFormat="1" x14ac:dyDescent="0.2">
      <c r="B672" s="10"/>
      <c r="C672" s="11"/>
      <c r="D672" s="11"/>
      <c r="E672" s="12"/>
      <c r="F672" s="12"/>
      <c r="G672" s="11"/>
      <c r="H672" s="11"/>
      <c r="I672" s="11"/>
      <c r="J672" s="11"/>
    </row>
    <row r="673" spans="2:10" s="9" customFormat="1" x14ac:dyDescent="0.2">
      <c r="B673" s="10"/>
      <c r="C673" s="11"/>
      <c r="D673" s="11"/>
      <c r="E673" s="12"/>
      <c r="F673" s="12"/>
      <c r="G673" s="11"/>
      <c r="H673" s="11"/>
      <c r="I673" s="11"/>
      <c r="J673" s="11"/>
    </row>
    <row r="674" spans="2:10" s="9" customFormat="1" x14ac:dyDescent="0.2">
      <c r="B674" s="10"/>
      <c r="C674" s="11"/>
      <c r="D674" s="11"/>
      <c r="E674" s="12"/>
      <c r="F674" s="12"/>
      <c r="G674" s="11"/>
      <c r="H674" s="11"/>
      <c r="I674" s="11"/>
      <c r="J674" s="11"/>
    </row>
    <row r="675" spans="2:10" s="9" customFormat="1" x14ac:dyDescent="0.2">
      <c r="B675" s="10"/>
      <c r="C675" s="11"/>
      <c r="D675" s="11"/>
      <c r="E675" s="12"/>
      <c r="F675" s="12"/>
      <c r="G675" s="11"/>
      <c r="H675" s="11"/>
      <c r="I675" s="11"/>
      <c r="J675" s="11"/>
    </row>
    <row r="676" spans="2:10" s="9" customFormat="1" x14ac:dyDescent="0.2">
      <c r="B676" s="10"/>
      <c r="C676" s="11"/>
      <c r="D676" s="11"/>
      <c r="E676" s="12"/>
      <c r="F676" s="12"/>
      <c r="G676" s="11"/>
      <c r="H676" s="11"/>
      <c r="I676" s="11"/>
      <c r="J676" s="11"/>
    </row>
    <row r="677" spans="2:10" s="9" customFormat="1" x14ac:dyDescent="0.2">
      <c r="B677" s="10"/>
      <c r="C677" s="11"/>
      <c r="D677" s="11"/>
      <c r="E677" s="12"/>
      <c r="F677" s="12"/>
      <c r="G677" s="11"/>
      <c r="H677" s="11"/>
      <c r="I677" s="11"/>
      <c r="J677" s="11"/>
    </row>
    <row r="678" spans="2:10" s="9" customFormat="1" x14ac:dyDescent="0.2">
      <c r="B678" s="10"/>
      <c r="C678" s="11"/>
      <c r="D678" s="11"/>
      <c r="E678" s="12"/>
      <c r="F678" s="12"/>
      <c r="G678" s="11"/>
      <c r="H678" s="11"/>
      <c r="I678" s="11"/>
      <c r="J678" s="11"/>
    </row>
    <row r="679" spans="2:10" s="9" customFormat="1" x14ac:dyDescent="0.2">
      <c r="B679" s="10"/>
      <c r="C679" s="11"/>
      <c r="D679" s="11"/>
      <c r="E679" s="12"/>
      <c r="F679" s="12"/>
      <c r="G679" s="11"/>
      <c r="H679" s="11"/>
      <c r="I679" s="11"/>
      <c r="J679" s="11"/>
    </row>
    <row r="680" spans="2:10" s="9" customFormat="1" x14ac:dyDescent="0.2">
      <c r="B680" s="10"/>
      <c r="C680" s="11"/>
      <c r="D680" s="11"/>
      <c r="E680" s="12"/>
      <c r="F680" s="12"/>
      <c r="G680" s="11"/>
      <c r="H680" s="11"/>
      <c r="I680" s="11"/>
      <c r="J680" s="11"/>
    </row>
    <row r="681" spans="2:10" s="9" customFormat="1" x14ac:dyDescent="0.2">
      <c r="B681" s="10"/>
      <c r="C681" s="11"/>
      <c r="D681" s="11"/>
      <c r="E681" s="12"/>
      <c r="F681" s="12"/>
      <c r="G681" s="11"/>
      <c r="H681" s="11"/>
      <c r="I681" s="11"/>
      <c r="J681" s="11"/>
    </row>
    <row r="682" spans="2:10" s="9" customFormat="1" x14ac:dyDescent="0.2">
      <c r="B682" s="10"/>
      <c r="C682" s="11"/>
      <c r="D682" s="11"/>
      <c r="E682" s="12"/>
      <c r="F682" s="12"/>
      <c r="G682" s="11"/>
      <c r="H682" s="11"/>
      <c r="I682" s="11"/>
      <c r="J682" s="11"/>
    </row>
    <row r="683" spans="2:10" s="9" customFormat="1" x14ac:dyDescent="0.2">
      <c r="B683" s="10"/>
      <c r="C683" s="11"/>
      <c r="D683" s="11"/>
      <c r="E683" s="12"/>
      <c r="F683" s="12"/>
      <c r="G683" s="11"/>
      <c r="H683" s="11"/>
      <c r="I683" s="11"/>
      <c r="J683" s="11"/>
    </row>
    <row r="684" spans="2:10" s="9" customFormat="1" x14ac:dyDescent="0.2">
      <c r="B684" s="10"/>
      <c r="C684" s="11"/>
      <c r="D684" s="11"/>
      <c r="E684" s="12"/>
      <c r="F684" s="12"/>
      <c r="G684" s="11"/>
      <c r="H684" s="11"/>
      <c r="I684" s="11"/>
      <c r="J684" s="11"/>
    </row>
    <row r="685" spans="2:10" s="9" customFormat="1" x14ac:dyDescent="0.2">
      <c r="B685" s="10"/>
      <c r="C685" s="11"/>
      <c r="D685" s="11"/>
      <c r="E685" s="12"/>
      <c r="F685" s="12"/>
      <c r="G685" s="11"/>
      <c r="H685" s="11"/>
      <c r="I685" s="11"/>
      <c r="J685" s="11"/>
    </row>
    <row r="686" spans="2:10" s="9" customFormat="1" x14ac:dyDescent="0.2">
      <c r="B686" s="10"/>
      <c r="C686" s="11"/>
      <c r="D686" s="11"/>
      <c r="E686" s="12"/>
      <c r="F686" s="12"/>
      <c r="G686" s="11"/>
      <c r="H686" s="11"/>
      <c r="I686" s="11"/>
      <c r="J686" s="11"/>
    </row>
    <row r="687" spans="2:10" s="9" customFormat="1" x14ac:dyDescent="0.2">
      <c r="B687" s="10"/>
      <c r="C687" s="11"/>
      <c r="D687" s="11"/>
      <c r="E687" s="12"/>
      <c r="F687" s="12"/>
      <c r="G687" s="11"/>
      <c r="H687" s="11"/>
      <c r="I687" s="11"/>
      <c r="J687" s="11"/>
    </row>
    <row r="688" spans="2:10" s="9" customFormat="1" x14ac:dyDescent="0.2">
      <c r="B688" s="10"/>
      <c r="C688" s="11"/>
      <c r="D688" s="11"/>
      <c r="E688" s="12"/>
      <c r="F688" s="12"/>
      <c r="G688" s="11"/>
      <c r="H688" s="11"/>
      <c r="I688" s="11"/>
      <c r="J688" s="11"/>
    </row>
    <row r="689" spans="2:10" s="9" customFormat="1" x14ac:dyDescent="0.2">
      <c r="B689" s="10"/>
      <c r="C689" s="11"/>
      <c r="D689" s="11"/>
      <c r="E689" s="12"/>
      <c r="F689" s="12"/>
      <c r="G689" s="11"/>
      <c r="H689" s="11"/>
      <c r="I689" s="11"/>
      <c r="J689" s="11"/>
    </row>
    <row r="690" spans="2:10" s="9" customFormat="1" x14ac:dyDescent="0.2">
      <c r="B690" s="10"/>
      <c r="C690" s="11"/>
      <c r="D690" s="11"/>
      <c r="E690" s="12"/>
      <c r="F690" s="12"/>
      <c r="G690" s="11"/>
      <c r="H690" s="11"/>
      <c r="I690" s="11"/>
      <c r="J690" s="11"/>
    </row>
    <row r="691" spans="2:10" s="9" customFormat="1" x14ac:dyDescent="0.2">
      <c r="B691" s="10"/>
      <c r="C691" s="11"/>
      <c r="D691" s="11"/>
      <c r="E691" s="12"/>
      <c r="F691" s="12"/>
      <c r="G691" s="11"/>
      <c r="H691" s="11"/>
      <c r="I691" s="11"/>
      <c r="J691" s="11"/>
    </row>
    <row r="692" spans="2:10" s="9" customFormat="1" x14ac:dyDescent="0.2">
      <c r="B692" s="10"/>
      <c r="C692" s="11"/>
      <c r="D692" s="11"/>
      <c r="E692" s="12"/>
      <c r="F692" s="12"/>
      <c r="G692" s="11"/>
      <c r="H692" s="11"/>
      <c r="I692" s="11"/>
      <c r="J692" s="11"/>
    </row>
    <row r="693" spans="2:10" s="9" customFormat="1" x14ac:dyDescent="0.2">
      <c r="B693" s="10"/>
      <c r="C693" s="11"/>
      <c r="D693" s="11"/>
      <c r="E693" s="12"/>
      <c r="F693" s="12"/>
      <c r="G693" s="11"/>
      <c r="H693" s="11"/>
      <c r="I693" s="11"/>
      <c r="J693" s="11"/>
    </row>
    <row r="694" spans="2:10" s="9" customFormat="1" x14ac:dyDescent="0.2">
      <c r="B694" s="10"/>
      <c r="C694" s="11"/>
      <c r="D694" s="11"/>
      <c r="E694" s="12"/>
      <c r="F694" s="12"/>
      <c r="G694" s="11"/>
      <c r="H694" s="11"/>
      <c r="I694" s="11"/>
      <c r="J694" s="11"/>
    </row>
    <row r="695" spans="2:10" s="9" customFormat="1" x14ac:dyDescent="0.2">
      <c r="B695" s="10"/>
      <c r="C695" s="11"/>
      <c r="D695" s="11"/>
      <c r="E695" s="12"/>
      <c r="F695" s="12"/>
      <c r="G695" s="11"/>
      <c r="H695" s="11"/>
      <c r="I695" s="11"/>
      <c r="J695" s="11"/>
    </row>
    <row r="696" spans="2:10" s="9" customFormat="1" x14ac:dyDescent="0.2">
      <c r="B696" s="10"/>
      <c r="C696" s="11"/>
      <c r="D696" s="11"/>
      <c r="E696" s="12"/>
      <c r="F696" s="12"/>
      <c r="G696" s="11"/>
      <c r="H696" s="11"/>
      <c r="I696" s="11"/>
      <c r="J696" s="11"/>
    </row>
    <row r="697" spans="2:10" s="9" customFormat="1" x14ac:dyDescent="0.2">
      <c r="B697" s="10"/>
      <c r="C697" s="11"/>
      <c r="D697" s="11"/>
      <c r="E697" s="12"/>
      <c r="F697" s="12"/>
      <c r="G697" s="11"/>
      <c r="H697" s="11"/>
      <c r="I697" s="11"/>
      <c r="J697" s="11"/>
    </row>
    <row r="698" spans="2:10" s="9" customFormat="1" x14ac:dyDescent="0.2">
      <c r="B698" s="10"/>
      <c r="C698" s="11"/>
      <c r="D698" s="11"/>
      <c r="E698" s="12"/>
      <c r="F698" s="12"/>
      <c r="G698" s="11"/>
      <c r="H698" s="11"/>
      <c r="I698" s="11"/>
      <c r="J698" s="11"/>
    </row>
    <row r="699" spans="2:10" s="9" customFormat="1" x14ac:dyDescent="0.2">
      <c r="B699" s="10"/>
      <c r="C699" s="11"/>
      <c r="D699" s="11"/>
      <c r="E699" s="12"/>
      <c r="F699" s="12"/>
      <c r="G699" s="11"/>
      <c r="H699" s="11"/>
      <c r="I699" s="11"/>
      <c r="J699" s="11"/>
    </row>
    <row r="700" spans="2:10" s="9" customFormat="1" x14ac:dyDescent="0.2">
      <c r="B700" s="10"/>
      <c r="C700" s="11"/>
      <c r="D700" s="11"/>
      <c r="E700" s="12"/>
      <c r="F700" s="12"/>
      <c r="G700" s="11"/>
      <c r="H700" s="11"/>
      <c r="I700" s="11"/>
      <c r="J700" s="11"/>
    </row>
    <row r="701" spans="2:10" s="9" customFormat="1" x14ac:dyDescent="0.2">
      <c r="B701" s="10"/>
      <c r="C701" s="11"/>
      <c r="D701" s="11"/>
      <c r="E701" s="12"/>
      <c r="F701" s="12"/>
      <c r="G701" s="11"/>
      <c r="H701" s="11"/>
      <c r="I701" s="11"/>
      <c r="J701" s="11"/>
    </row>
    <row r="702" spans="2:10" s="9" customFormat="1" x14ac:dyDescent="0.2">
      <c r="B702" s="10"/>
      <c r="C702" s="11"/>
      <c r="D702" s="11"/>
      <c r="E702" s="12"/>
      <c r="F702" s="12"/>
      <c r="G702" s="11"/>
      <c r="H702" s="11"/>
      <c r="I702" s="11"/>
      <c r="J702" s="11"/>
    </row>
    <row r="703" spans="2:10" s="9" customFormat="1" x14ac:dyDescent="0.2">
      <c r="B703" s="10"/>
      <c r="C703" s="11"/>
      <c r="D703" s="11"/>
      <c r="E703" s="12"/>
      <c r="F703" s="12"/>
      <c r="G703" s="11"/>
      <c r="H703" s="11"/>
      <c r="I703" s="11"/>
      <c r="J703" s="11"/>
    </row>
    <row r="704" spans="2:10" s="9" customFormat="1" x14ac:dyDescent="0.2">
      <c r="B704" s="10"/>
      <c r="C704" s="11"/>
      <c r="D704" s="11"/>
      <c r="E704" s="12"/>
      <c r="F704" s="12"/>
      <c r="G704" s="11"/>
      <c r="H704" s="11"/>
      <c r="I704" s="11"/>
      <c r="J704" s="11"/>
    </row>
    <row r="705" spans="2:10" s="9" customFormat="1" x14ac:dyDescent="0.2">
      <c r="B705" s="10"/>
      <c r="C705" s="11"/>
      <c r="D705" s="11"/>
      <c r="E705" s="12"/>
      <c r="F705" s="12"/>
      <c r="G705" s="11"/>
      <c r="H705" s="11"/>
      <c r="I705" s="11"/>
      <c r="J705" s="11"/>
    </row>
    <row r="706" spans="2:10" s="9" customFormat="1" x14ac:dyDescent="0.2">
      <c r="B706" s="10"/>
      <c r="C706" s="11"/>
      <c r="D706" s="11"/>
      <c r="E706" s="12"/>
      <c r="F706" s="12"/>
      <c r="G706" s="11"/>
      <c r="H706" s="11"/>
      <c r="I706" s="11"/>
      <c r="J706" s="11"/>
    </row>
    <row r="707" spans="2:10" s="9" customFormat="1" x14ac:dyDescent="0.2">
      <c r="B707" s="10"/>
      <c r="C707" s="11"/>
      <c r="D707" s="11"/>
      <c r="E707" s="12"/>
      <c r="F707" s="12"/>
      <c r="G707" s="11"/>
      <c r="H707" s="11"/>
      <c r="I707" s="11"/>
      <c r="J707" s="11"/>
    </row>
    <row r="708" spans="2:10" s="9" customFormat="1" x14ac:dyDescent="0.2">
      <c r="B708" s="10"/>
      <c r="C708" s="11"/>
      <c r="D708" s="11"/>
      <c r="E708" s="12"/>
      <c r="F708" s="12"/>
      <c r="G708" s="11"/>
      <c r="H708" s="11"/>
      <c r="I708" s="11"/>
      <c r="J708" s="11"/>
    </row>
    <row r="709" spans="2:10" s="9" customFormat="1" x14ac:dyDescent="0.2">
      <c r="B709" s="10"/>
      <c r="C709" s="11"/>
      <c r="D709" s="11"/>
      <c r="E709" s="12"/>
      <c r="F709" s="12"/>
      <c r="G709" s="11"/>
      <c r="H709" s="11"/>
      <c r="I709" s="11"/>
      <c r="J709" s="11"/>
    </row>
    <row r="710" spans="2:10" s="9" customFormat="1" x14ac:dyDescent="0.2">
      <c r="B710" s="10"/>
      <c r="C710" s="11"/>
      <c r="D710" s="11"/>
      <c r="E710" s="12"/>
      <c r="F710" s="12"/>
      <c r="G710" s="11"/>
      <c r="H710" s="11"/>
      <c r="I710" s="11"/>
      <c r="J710" s="11"/>
    </row>
    <row r="711" spans="2:10" s="9" customFormat="1" x14ac:dyDescent="0.2">
      <c r="B711" s="10"/>
      <c r="C711" s="11"/>
      <c r="D711" s="11"/>
      <c r="E711" s="12"/>
      <c r="F711" s="12"/>
      <c r="G711" s="11"/>
      <c r="H711" s="11"/>
      <c r="I711" s="11"/>
      <c r="J711" s="11"/>
    </row>
    <row r="712" spans="2:10" s="9" customFormat="1" x14ac:dyDescent="0.2">
      <c r="B712" s="10"/>
      <c r="C712" s="11"/>
      <c r="D712" s="11"/>
      <c r="E712" s="12"/>
      <c r="F712" s="12"/>
      <c r="G712" s="11"/>
      <c r="H712" s="11"/>
      <c r="I712" s="11"/>
      <c r="J712" s="11"/>
    </row>
    <row r="713" spans="2:10" s="9" customFormat="1" x14ac:dyDescent="0.2">
      <c r="B713" s="10"/>
      <c r="C713" s="11"/>
      <c r="D713" s="11"/>
      <c r="E713" s="12"/>
      <c r="F713" s="12"/>
      <c r="G713" s="11"/>
      <c r="H713" s="11"/>
      <c r="I713" s="11"/>
      <c r="J713" s="11"/>
    </row>
    <row r="714" spans="2:10" s="9" customFormat="1" x14ac:dyDescent="0.2">
      <c r="B714" s="10"/>
      <c r="C714" s="11"/>
      <c r="D714" s="11"/>
      <c r="E714" s="12"/>
      <c r="F714" s="12"/>
      <c r="G714" s="11"/>
      <c r="H714" s="11"/>
      <c r="I714" s="11"/>
      <c r="J714" s="11"/>
    </row>
    <row r="715" spans="2:10" s="9" customFormat="1" x14ac:dyDescent="0.2">
      <c r="B715" s="10"/>
      <c r="C715" s="11"/>
      <c r="D715" s="11"/>
      <c r="E715" s="12"/>
      <c r="F715" s="12"/>
      <c r="G715" s="11"/>
      <c r="H715" s="11"/>
      <c r="I715" s="11"/>
      <c r="J715" s="11"/>
    </row>
    <row r="716" spans="2:10" s="9" customFormat="1" x14ac:dyDescent="0.2">
      <c r="B716" s="10"/>
      <c r="C716" s="11"/>
      <c r="D716" s="11"/>
      <c r="E716" s="12"/>
      <c r="F716" s="12"/>
      <c r="G716" s="11"/>
      <c r="H716" s="11"/>
      <c r="I716" s="11"/>
      <c r="J716" s="11"/>
    </row>
    <row r="717" spans="2:10" s="9" customFormat="1" x14ac:dyDescent="0.2">
      <c r="B717" s="10"/>
      <c r="C717" s="11"/>
      <c r="D717" s="11"/>
      <c r="E717" s="12"/>
      <c r="F717" s="12"/>
      <c r="G717" s="11"/>
      <c r="H717" s="11"/>
      <c r="I717" s="11"/>
      <c r="J717" s="11"/>
    </row>
    <row r="718" spans="2:10" s="9" customFormat="1" x14ac:dyDescent="0.2">
      <c r="B718" s="10"/>
      <c r="C718" s="11"/>
      <c r="D718" s="11"/>
      <c r="E718" s="12"/>
      <c r="F718" s="12"/>
      <c r="G718" s="11"/>
      <c r="H718" s="11"/>
      <c r="I718" s="11"/>
      <c r="J718" s="11"/>
    </row>
    <row r="719" spans="2:10" s="9" customFormat="1" x14ac:dyDescent="0.2">
      <c r="B719" s="10"/>
      <c r="C719" s="11"/>
      <c r="D719" s="11"/>
      <c r="E719" s="12"/>
      <c r="F719" s="12"/>
      <c r="G719" s="11"/>
      <c r="H719" s="11"/>
      <c r="I719" s="11"/>
      <c r="J719" s="11"/>
    </row>
    <row r="720" spans="2:10" s="9" customFormat="1" x14ac:dyDescent="0.2">
      <c r="B720" s="10"/>
      <c r="C720" s="11"/>
      <c r="D720" s="11"/>
      <c r="E720" s="12"/>
      <c r="F720" s="12"/>
      <c r="G720" s="11"/>
      <c r="H720" s="11"/>
      <c r="I720" s="11"/>
      <c r="J720" s="11"/>
    </row>
    <row r="721" spans="2:10" s="9" customFormat="1" x14ac:dyDescent="0.2">
      <c r="B721" s="10"/>
      <c r="C721" s="11"/>
      <c r="D721" s="11"/>
      <c r="E721" s="12"/>
      <c r="F721" s="12"/>
      <c r="G721" s="11"/>
      <c r="H721" s="11"/>
      <c r="I721" s="11"/>
      <c r="J721" s="11"/>
    </row>
    <row r="722" spans="2:10" s="9" customFormat="1" x14ac:dyDescent="0.2">
      <c r="B722" s="10"/>
      <c r="C722" s="11"/>
      <c r="D722" s="11"/>
      <c r="E722" s="12"/>
      <c r="F722" s="12"/>
      <c r="G722" s="11"/>
      <c r="H722" s="11"/>
      <c r="I722" s="11"/>
      <c r="J722" s="11"/>
    </row>
    <row r="723" spans="2:10" s="9" customFormat="1" x14ac:dyDescent="0.2">
      <c r="B723" s="10"/>
      <c r="C723" s="11"/>
      <c r="D723" s="11"/>
      <c r="E723" s="12"/>
      <c r="F723" s="12"/>
      <c r="G723" s="11"/>
      <c r="H723" s="11"/>
      <c r="I723" s="11"/>
      <c r="J723" s="11"/>
    </row>
    <row r="724" spans="2:10" s="9" customFormat="1" x14ac:dyDescent="0.2">
      <c r="B724" s="10"/>
      <c r="C724" s="11"/>
      <c r="D724" s="11"/>
      <c r="E724" s="12"/>
      <c r="F724" s="12"/>
      <c r="G724" s="11"/>
      <c r="H724" s="11"/>
      <c r="I724" s="11"/>
      <c r="J724" s="11"/>
    </row>
    <row r="725" spans="2:10" s="9" customFormat="1" x14ac:dyDescent="0.2">
      <c r="B725" s="10"/>
      <c r="C725" s="11"/>
      <c r="D725" s="11"/>
      <c r="E725" s="12"/>
      <c r="F725" s="12"/>
      <c r="G725" s="11"/>
      <c r="H725" s="11"/>
      <c r="I725" s="11"/>
      <c r="J725" s="11"/>
    </row>
    <row r="726" spans="2:10" s="9" customFormat="1" x14ac:dyDescent="0.2">
      <c r="B726" s="10"/>
      <c r="C726" s="11"/>
      <c r="D726" s="11"/>
      <c r="E726" s="12"/>
      <c r="F726" s="12"/>
      <c r="G726" s="11"/>
      <c r="H726" s="11"/>
      <c r="I726" s="11"/>
      <c r="J726" s="11"/>
    </row>
    <row r="727" spans="2:10" s="9" customFormat="1" x14ac:dyDescent="0.2">
      <c r="B727" s="10"/>
      <c r="C727" s="11"/>
      <c r="D727" s="11"/>
      <c r="E727" s="12"/>
      <c r="F727" s="12"/>
      <c r="G727" s="11"/>
      <c r="H727" s="11"/>
      <c r="I727" s="11"/>
      <c r="J727" s="11"/>
    </row>
    <row r="728" spans="2:10" s="9" customFormat="1" x14ac:dyDescent="0.2">
      <c r="B728" s="10"/>
      <c r="C728" s="11"/>
      <c r="D728" s="11"/>
      <c r="E728" s="12"/>
      <c r="F728" s="12"/>
      <c r="G728" s="11"/>
      <c r="H728" s="11"/>
      <c r="I728" s="11"/>
      <c r="J728" s="11"/>
    </row>
    <row r="729" spans="2:10" s="9" customFormat="1" x14ac:dyDescent="0.2">
      <c r="B729" s="10"/>
      <c r="C729" s="11"/>
      <c r="D729" s="11"/>
      <c r="E729" s="12"/>
      <c r="F729" s="12"/>
      <c r="G729" s="11"/>
      <c r="H729" s="11"/>
      <c r="I729" s="11"/>
      <c r="J729" s="11"/>
    </row>
    <row r="730" spans="2:10" s="9" customFormat="1" x14ac:dyDescent="0.2">
      <c r="B730" s="10"/>
      <c r="C730" s="11"/>
      <c r="D730" s="11"/>
      <c r="E730" s="12"/>
      <c r="F730" s="12"/>
      <c r="G730" s="11"/>
      <c r="H730" s="11"/>
      <c r="I730" s="11"/>
      <c r="J730" s="11"/>
    </row>
    <row r="731" spans="2:10" s="9" customFormat="1" x14ac:dyDescent="0.2">
      <c r="B731" s="10"/>
      <c r="C731" s="11"/>
      <c r="D731" s="11"/>
      <c r="E731" s="12"/>
      <c r="F731" s="12"/>
      <c r="G731" s="11"/>
      <c r="H731" s="11"/>
      <c r="I731" s="11"/>
      <c r="J731" s="11"/>
    </row>
    <row r="732" spans="2:10" s="9" customFormat="1" x14ac:dyDescent="0.2">
      <c r="B732" s="10"/>
      <c r="C732" s="11"/>
      <c r="D732" s="11"/>
      <c r="E732" s="12"/>
      <c r="F732" s="12"/>
      <c r="G732" s="11"/>
      <c r="H732" s="11"/>
      <c r="I732" s="11"/>
      <c r="J732" s="11"/>
    </row>
    <row r="733" spans="2:10" s="9" customFormat="1" x14ac:dyDescent="0.2">
      <c r="B733" s="10"/>
      <c r="C733" s="11"/>
      <c r="D733" s="11"/>
      <c r="E733" s="12"/>
      <c r="F733" s="12"/>
      <c r="G733" s="11"/>
      <c r="H733" s="11"/>
      <c r="I733" s="11"/>
      <c r="J733" s="11"/>
    </row>
    <row r="734" spans="2:10" s="9" customFormat="1" x14ac:dyDescent="0.2">
      <c r="B734" s="10"/>
      <c r="C734" s="11"/>
      <c r="D734" s="11"/>
      <c r="E734" s="12"/>
      <c r="F734" s="12"/>
      <c r="G734" s="11"/>
      <c r="H734" s="11"/>
      <c r="I734" s="11"/>
      <c r="J734" s="11"/>
    </row>
    <row r="735" spans="2:10" s="9" customFormat="1" x14ac:dyDescent="0.2">
      <c r="B735" s="10"/>
      <c r="C735" s="11"/>
      <c r="D735" s="11"/>
      <c r="E735" s="12"/>
      <c r="F735" s="12"/>
      <c r="G735" s="11"/>
      <c r="H735" s="11"/>
      <c r="I735" s="11"/>
      <c r="J735" s="11"/>
    </row>
    <row r="736" spans="2:10" s="9" customFormat="1" x14ac:dyDescent="0.2">
      <c r="B736" s="10"/>
      <c r="C736" s="11"/>
      <c r="D736" s="11"/>
      <c r="E736" s="12"/>
      <c r="F736" s="12"/>
      <c r="G736" s="11"/>
      <c r="H736" s="11"/>
      <c r="I736" s="11"/>
      <c r="J736" s="11"/>
    </row>
    <row r="737" spans="2:10" s="9" customFormat="1" x14ac:dyDescent="0.2">
      <c r="B737" s="10"/>
      <c r="C737" s="11"/>
      <c r="D737" s="11"/>
      <c r="E737" s="12"/>
      <c r="F737" s="12"/>
      <c r="G737" s="11"/>
      <c r="H737" s="11"/>
      <c r="I737" s="11"/>
      <c r="J737" s="11"/>
    </row>
    <row r="738" spans="2:10" s="9" customFormat="1" x14ac:dyDescent="0.2">
      <c r="B738" s="10"/>
      <c r="C738" s="11"/>
      <c r="D738" s="11"/>
      <c r="E738" s="12"/>
      <c r="F738" s="12"/>
      <c r="G738" s="11"/>
      <c r="H738" s="11"/>
      <c r="I738" s="11"/>
      <c r="J738" s="11"/>
    </row>
    <row r="739" spans="2:10" s="9" customFormat="1" x14ac:dyDescent="0.2">
      <c r="B739" s="10"/>
      <c r="C739" s="11"/>
      <c r="D739" s="11"/>
      <c r="E739" s="12"/>
      <c r="F739" s="12"/>
      <c r="G739" s="11"/>
      <c r="H739" s="11"/>
      <c r="I739" s="11"/>
      <c r="J739" s="11"/>
    </row>
    <row r="740" spans="2:10" s="9" customFormat="1" x14ac:dyDescent="0.2">
      <c r="B740" s="10"/>
      <c r="C740" s="11"/>
      <c r="D740" s="11"/>
      <c r="E740" s="12"/>
      <c r="F740" s="12"/>
      <c r="G740" s="11"/>
      <c r="H740" s="11"/>
      <c r="I740" s="11"/>
      <c r="J740" s="11"/>
    </row>
    <row r="741" spans="2:10" s="9" customFormat="1" x14ac:dyDescent="0.2">
      <c r="B741" s="10"/>
      <c r="C741" s="11"/>
      <c r="D741" s="11"/>
      <c r="E741" s="12"/>
      <c r="F741" s="12"/>
      <c r="G741" s="11"/>
      <c r="H741" s="11"/>
      <c r="I741" s="11"/>
      <c r="J741" s="11"/>
    </row>
    <row r="742" spans="2:10" s="9" customFormat="1" x14ac:dyDescent="0.2">
      <c r="B742" s="10"/>
      <c r="C742" s="11"/>
      <c r="D742" s="11"/>
      <c r="E742" s="12"/>
      <c r="F742" s="12"/>
      <c r="G742" s="11"/>
      <c r="H742" s="11"/>
      <c r="I742" s="11"/>
      <c r="J742" s="11"/>
    </row>
    <row r="743" spans="2:10" s="9" customFormat="1" x14ac:dyDescent="0.2">
      <c r="B743" s="10"/>
      <c r="C743" s="11"/>
      <c r="D743" s="11"/>
      <c r="E743" s="12"/>
      <c r="F743" s="12"/>
      <c r="G743" s="11"/>
      <c r="H743" s="11"/>
      <c r="I743" s="11"/>
      <c r="J743" s="11"/>
    </row>
    <row r="744" spans="2:10" s="9" customFormat="1" x14ac:dyDescent="0.2">
      <c r="B744" s="10"/>
      <c r="C744" s="11"/>
      <c r="D744" s="11"/>
      <c r="E744" s="12"/>
      <c r="F744" s="12"/>
      <c r="G744" s="11"/>
      <c r="H744" s="11"/>
      <c r="I744" s="11"/>
      <c r="J744" s="11"/>
    </row>
    <row r="745" spans="2:10" s="9" customFormat="1" x14ac:dyDescent="0.2">
      <c r="B745" s="10"/>
      <c r="C745" s="11"/>
      <c r="D745" s="11"/>
      <c r="E745" s="12"/>
      <c r="F745" s="12"/>
      <c r="G745" s="11"/>
      <c r="H745" s="11"/>
      <c r="I745" s="11"/>
      <c r="J745" s="11"/>
    </row>
    <row r="746" spans="2:10" s="9" customFormat="1" x14ac:dyDescent="0.2">
      <c r="B746" s="10"/>
      <c r="C746" s="11"/>
      <c r="D746" s="11"/>
      <c r="E746" s="12"/>
      <c r="F746" s="12"/>
      <c r="G746" s="11"/>
      <c r="H746" s="11"/>
      <c r="I746" s="11"/>
      <c r="J746" s="11"/>
    </row>
    <row r="747" spans="2:10" s="9" customFormat="1" x14ac:dyDescent="0.2">
      <c r="B747" s="10"/>
      <c r="C747" s="11"/>
      <c r="D747" s="11"/>
      <c r="E747" s="12"/>
      <c r="F747" s="12"/>
      <c r="G747" s="11"/>
      <c r="H747" s="11"/>
      <c r="I747" s="11"/>
      <c r="J747" s="11"/>
    </row>
    <row r="748" spans="2:10" s="9" customFormat="1" x14ac:dyDescent="0.2">
      <c r="B748" s="10"/>
      <c r="C748" s="11"/>
      <c r="D748" s="11"/>
      <c r="E748" s="12"/>
      <c r="F748" s="12"/>
      <c r="G748" s="11"/>
      <c r="H748" s="11"/>
      <c r="I748" s="11"/>
      <c r="J748" s="11"/>
    </row>
    <row r="749" spans="2:10" s="9" customFormat="1" x14ac:dyDescent="0.2">
      <c r="B749" s="10"/>
      <c r="C749" s="11"/>
      <c r="D749" s="11"/>
      <c r="E749" s="12"/>
      <c r="F749" s="12"/>
      <c r="G749" s="11"/>
      <c r="H749" s="11"/>
      <c r="I749" s="11"/>
      <c r="J749" s="11"/>
    </row>
    <row r="750" spans="2:10" s="9" customFormat="1" x14ac:dyDescent="0.2">
      <c r="B750" s="10"/>
      <c r="C750" s="11"/>
      <c r="D750" s="11"/>
      <c r="E750" s="12"/>
      <c r="F750" s="12"/>
      <c r="G750" s="11"/>
      <c r="H750" s="11"/>
      <c r="I750" s="11"/>
      <c r="J750" s="11"/>
    </row>
    <row r="751" spans="2:10" s="9" customFormat="1" x14ac:dyDescent="0.2">
      <c r="B751" s="10"/>
      <c r="C751" s="11"/>
      <c r="D751" s="11"/>
      <c r="E751" s="12"/>
      <c r="F751" s="12"/>
      <c r="G751" s="11"/>
      <c r="H751" s="11"/>
      <c r="I751" s="11"/>
      <c r="J751" s="11"/>
    </row>
    <row r="752" spans="2:10" s="9" customFormat="1" x14ac:dyDescent="0.2">
      <c r="B752" s="10"/>
      <c r="C752" s="11"/>
      <c r="D752" s="11"/>
      <c r="E752" s="12"/>
      <c r="F752" s="12"/>
      <c r="G752" s="11"/>
      <c r="H752" s="11"/>
      <c r="I752" s="11"/>
      <c r="J752" s="11"/>
    </row>
    <row r="753" spans="2:10" s="9" customFormat="1" x14ac:dyDescent="0.2">
      <c r="B753" s="10"/>
      <c r="C753" s="11"/>
      <c r="D753" s="11"/>
      <c r="E753" s="12"/>
      <c r="F753" s="12"/>
      <c r="G753" s="11"/>
      <c r="H753" s="11"/>
      <c r="I753" s="11"/>
      <c r="J753" s="11"/>
    </row>
    <row r="754" spans="2:10" s="9" customFormat="1" x14ac:dyDescent="0.2">
      <c r="B754" s="10"/>
      <c r="C754" s="11"/>
      <c r="D754" s="11"/>
      <c r="E754" s="12"/>
      <c r="F754" s="12"/>
      <c r="G754" s="11"/>
      <c r="H754" s="11"/>
      <c r="I754" s="11"/>
      <c r="J754" s="11"/>
    </row>
    <row r="755" spans="2:10" s="9" customFormat="1" x14ac:dyDescent="0.2">
      <c r="B755" s="10"/>
      <c r="C755" s="11"/>
      <c r="D755" s="11"/>
      <c r="E755" s="12"/>
      <c r="F755" s="12"/>
      <c r="G755" s="11"/>
      <c r="H755" s="11"/>
      <c r="I755" s="11"/>
      <c r="J755" s="11"/>
    </row>
    <row r="756" spans="2:10" s="9" customFormat="1" x14ac:dyDescent="0.2">
      <c r="B756" s="10"/>
      <c r="C756" s="11"/>
      <c r="D756" s="11"/>
      <c r="E756" s="12"/>
      <c r="F756" s="12"/>
      <c r="G756" s="11"/>
      <c r="H756" s="11"/>
      <c r="I756" s="11"/>
      <c r="J756" s="11"/>
    </row>
    <row r="757" spans="2:10" s="9" customFormat="1" x14ac:dyDescent="0.2">
      <c r="B757" s="10"/>
      <c r="C757" s="11"/>
      <c r="D757" s="11"/>
      <c r="E757" s="12"/>
      <c r="F757" s="12"/>
      <c r="G757" s="11"/>
      <c r="H757" s="11"/>
      <c r="I757" s="11"/>
      <c r="J757" s="11"/>
    </row>
    <row r="758" spans="2:10" s="9" customFormat="1" x14ac:dyDescent="0.2">
      <c r="B758" s="10"/>
      <c r="C758" s="11"/>
      <c r="D758" s="11"/>
      <c r="E758" s="12"/>
      <c r="F758" s="12"/>
      <c r="G758" s="11"/>
      <c r="H758" s="11"/>
      <c r="I758" s="11"/>
      <c r="J758" s="11"/>
    </row>
    <row r="759" spans="2:10" s="9" customFormat="1" x14ac:dyDescent="0.2">
      <c r="B759" s="10"/>
      <c r="C759" s="11"/>
      <c r="D759" s="11"/>
      <c r="E759" s="12"/>
      <c r="F759" s="12"/>
      <c r="G759" s="11"/>
      <c r="H759" s="11"/>
      <c r="I759" s="11"/>
      <c r="J759" s="11"/>
    </row>
    <row r="760" spans="2:10" s="9" customFormat="1" x14ac:dyDescent="0.2">
      <c r="B760" s="10"/>
      <c r="C760" s="11"/>
      <c r="D760" s="11"/>
      <c r="E760" s="12"/>
      <c r="F760" s="12"/>
      <c r="G760" s="11"/>
      <c r="H760" s="11"/>
      <c r="I760" s="11"/>
      <c r="J760" s="11"/>
    </row>
    <row r="761" spans="2:10" s="9" customFormat="1" x14ac:dyDescent="0.2">
      <c r="B761" s="10"/>
      <c r="C761" s="11"/>
      <c r="D761" s="11"/>
      <c r="E761" s="12"/>
      <c r="F761" s="12"/>
      <c r="G761" s="11"/>
      <c r="H761" s="11"/>
      <c r="I761" s="11"/>
      <c r="J761" s="11"/>
    </row>
    <row r="762" spans="2:10" s="9" customFormat="1" x14ac:dyDescent="0.2">
      <c r="B762" s="10"/>
      <c r="C762" s="11"/>
      <c r="D762" s="11"/>
      <c r="E762" s="12"/>
      <c r="F762" s="12"/>
      <c r="G762" s="11"/>
      <c r="H762" s="11"/>
      <c r="I762" s="11"/>
      <c r="J762" s="11"/>
    </row>
    <row r="763" spans="2:10" s="9" customFormat="1" x14ac:dyDescent="0.2">
      <c r="B763" s="10"/>
      <c r="C763" s="11"/>
      <c r="D763" s="11"/>
      <c r="E763" s="12"/>
      <c r="F763" s="12"/>
      <c r="G763" s="11"/>
      <c r="H763" s="11"/>
      <c r="I763" s="11"/>
      <c r="J763" s="11"/>
    </row>
    <row r="764" spans="2:10" s="9" customFormat="1" x14ac:dyDescent="0.2">
      <c r="B764" s="10"/>
      <c r="C764" s="11"/>
      <c r="D764" s="11"/>
      <c r="E764" s="12"/>
      <c r="F764" s="12"/>
      <c r="G764" s="11"/>
      <c r="H764" s="11"/>
      <c r="I764" s="11"/>
      <c r="J764" s="11"/>
    </row>
    <row r="765" spans="2:10" s="9" customFormat="1" x14ac:dyDescent="0.2">
      <c r="B765" s="10"/>
      <c r="C765" s="11"/>
      <c r="D765" s="11"/>
      <c r="E765" s="12"/>
      <c r="F765" s="12"/>
      <c r="G765" s="11"/>
      <c r="H765" s="11"/>
      <c r="I765" s="11"/>
      <c r="J765" s="11"/>
    </row>
    <row r="766" spans="2:10" s="9" customFormat="1" x14ac:dyDescent="0.2">
      <c r="B766" s="10"/>
      <c r="C766" s="11"/>
      <c r="D766" s="11"/>
      <c r="E766" s="12"/>
      <c r="F766" s="12"/>
      <c r="G766" s="11"/>
      <c r="H766" s="11"/>
      <c r="I766" s="11"/>
      <c r="J766" s="11"/>
    </row>
    <row r="767" spans="2:10" s="9" customFormat="1" x14ac:dyDescent="0.2">
      <c r="B767" s="10"/>
      <c r="C767" s="11"/>
      <c r="D767" s="11"/>
      <c r="E767" s="12"/>
      <c r="F767" s="12"/>
      <c r="G767" s="11"/>
      <c r="H767" s="11"/>
      <c r="I767" s="11"/>
      <c r="J767" s="11"/>
    </row>
    <row r="768" spans="2:10" s="9" customFormat="1" x14ac:dyDescent="0.2">
      <c r="B768" s="10"/>
      <c r="C768" s="11"/>
      <c r="D768" s="11"/>
      <c r="E768" s="12"/>
      <c r="F768" s="12"/>
      <c r="G768" s="11"/>
      <c r="H768" s="11"/>
      <c r="I768" s="11"/>
      <c r="J768" s="11"/>
    </row>
    <row r="769" spans="2:10" s="9" customFormat="1" x14ac:dyDescent="0.2">
      <c r="B769" s="10"/>
      <c r="C769" s="11"/>
      <c r="D769" s="11"/>
      <c r="E769" s="12"/>
      <c r="F769" s="12"/>
      <c r="G769" s="11"/>
      <c r="H769" s="11"/>
      <c r="I769" s="11"/>
      <c r="J769" s="11"/>
    </row>
    <row r="770" spans="2:10" s="9" customFormat="1" x14ac:dyDescent="0.2">
      <c r="B770" s="10"/>
      <c r="C770" s="11"/>
      <c r="D770" s="11"/>
      <c r="E770" s="12"/>
      <c r="F770" s="12"/>
      <c r="G770" s="11"/>
      <c r="H770" s="11"/>
      <c r="I770" s="11"/>
      <c r="J770" s="11"/>
    </row>
    <row r="771" spans="2:10" s="9" customFormat="1" x14ac:dyDescent="0.2">
      <c r="B771" s="10"/>
      <c r="C771" s="11"/>
      <c r="D771" s="11"/>
      <c r="E771" s="12"/>
      <c r="F771" s="12"/>
      <c r="G771" s="11"/>
      <c r="H771" s="11"/>
      <c r="I771" s="11"/>
      <c r="J771" s="11"/>
    </row>
    <row r="772" spans="2:10" s="9" customFormat="1" x14ac:dyDescent="0.2">
      <c r="B772" s="10"/>
      <c r="C772" s="11"/>
      <c r="D772" s="11"/>
      <c r="E772" s="12"/>
      <c r="F772" s="12"/>
      <c r="G772" s="11"/>
      <c r="H772" s="11"/>
      <c r="I772" s="11"/>
      <c r="J772" s="11"/>
    </row>
    <row r="773" spans="2:10" s="9" customFormat="1" x14ac:dyDescent="0.2">
      <c r="B773" s="10"/>
      <c r="C773" s="11"/>
      <c r="D773" s="11"/>
      <c r="E773" s="12"/>
      <c r="F773" s="12"/>
      <c r="G773" s="11"/>
      <c r="H773" s="11"/>
      <c r="I773" s="11"/>
      <c r="J773" s="11"/>
    </row>
    <row r="774" spans="2:10" s="9" customFormat="1" x14ac:dyDescent="0.2">
      <c r="B774" s="10"/>
      <c r="C774" s="11"/>
      <c r="D774" s="11"/>
      <c r="E774" s="12"/>
      <c r="F774" s="12"/>
      <c r="G774" s="11"/>
      <c r="H774" s="11"/>
      <c r="I774" s="11"/>
      <c r="J774" s="11"/>
    </row>
    <row r="775" spans="2:10" s="9" customFormat="1" x14ac:dyDescent="0.2">
      <c r="B775" s="10"/>
      <c r="C775" s="11"/>
      <c r="D775" s="11"/>
      <c r="E775" s="12"/>
      <c r="F775" s="12"/>
      <c r="G775" s="11"/>
      <c r="H775" s="11"/>
      <c r="I775" s="11"/>
      <c r="J775" s="11"/>
    </row>
    <row r="776" spans="2:10" s="9" customFormat="1" x14ac:dyDescent="0.2">
      <c r="B776" s="10"/>
      <c r="C776" s="11"/>
      <c r="D776" s="11"/>
      <c r="E776" s="12"/>
      <c r="F776" s="12"/>
      <c r="G776" s="11"/>
      <c r="H776" s="11"/>
      <c r="I776" s="11"/>
      <c r="J776" s="11"/>
    </row>
    <row r="777" spans="2:10" s="9" customFormat="1" x14ac:dyDescent="0.2">
      <c r="B777" s="10"/>
      <c r="C777" s="11"/>
      <c r="D777" s="11"/>
      <c r="E777" s="12"/>
      <c r="F777" s="12"/>
      <c r="G777" s="11"/>
      <c r="H777" s="11"/>
      <c r="I777" s="11"/>
      <c r="J777" s="11"/>
    </row>
    <row r="778" spans="2:10" s="9" customFormat="1" x14ac:dyDescent="0.2">
      <c r="B778" s="10"/>
      <c r="C778" s="11"/>
      <c r="D778" s="11"/>
      <c r="E778" s="12"/>
      <c r="F778" s="12"/>
      <c r="G778" s="11"/>
      <c r="H778" s="11"/>
      <c r="I778" s="11"/>
      <c r="J778" s="11"/>
    </row>
    <row r="779" spans="2:10" s="9" customFormat="1" x14ac:dyDescent="0.2">
      <c r="B779" s="10"/>
      <c r="C779" s="11"/>
      <c r="D779" s="11"/>
      <c r="E779" s="12"/>
      <c r="F779" s="12"/>
      <c r="G779" s="11"/>
      <c r="H779" s="11"/>
      <c r="I779" s="11"/>
      <c r="J779" s="11"/>
    </row>
    <row r="780" spans="2:10" s="9" customFormat="1" x14ac:dyDescent="0.2">
      <c r="B780" s="10"/>
      <c r="C780" s="11"/>
      <c r="D780" s="11"/>
      <c r="E780" s="12"/>
      <c r="F780" s="12"/>
      <c r="G780" s="11"/>
      <c r="H780" s="11"/>
      <c r="I780" s="11"/>
      <c r="J780" s="11"/>
    </row>
    <row r="781" spans="2:10" s="9" customFormat="1" x14ac:dyDescent="0.2">
      <c r="B781" s="10"/>
      <c r="C781" s="11"/>
      <c r="D781" s="11"/>
      <c r="E781" s="12"/>
      <c r="F781" s="12"/>
      <c r="G781" s="11"/>
      <c r="H781" s="11"/>
      <c r="I781" s="11"/>
      <c r="J781" s="11"/>
    </row>
    <row r="782" spans="2:10" s="9" customFormat="1" x14ac:dyDescent="0.2">
      <c r="B782" s="10"/>
      <c r="C782" s="11"/>
      <c r="D782" s="11"/>
      <c r="E782" s="12"/>
      <c r="F782" s="12"/>
      <c r="G782" s="11"/>
      <c r="H782" s="11"/>
      <c r="I782" s="11"/>
      <c r="J782" s="11"/>
    </row>
    <row r="783" spans="2:10" s="9" customFormat="1" x14ac:dyDescent="0.2">
      <c r="B783" s="10"/>
      <c r="C783" s="11"/>
      <c r="D783" s="11"/>
      <c r="E783" s="12"/>
      <c r="F783" s="12"/>
      <c r="G783" s="11"/>
      <c r="H783" s="11"/>
      <c r="I783" s="11"/>
      <c r="J783" s="11"/>
    </row>
    <row r="784" spans="2:10" s="9" customFormat="1" x14ac:dyDescent="0.2">
      <c r="B784" s="10"/>
      <c r="C784" s="11"/>
      <c r="D784" s="11"/>
      <c r="E784" s="12"/>
      <c r="F784" s="12"/>
      <c r="G784" s="11"/>
      <c r="H784" s="11"/>
      <c r="I784" s="11"/>
      <c r="J784" s="11"/>
    </row>
    <row r="785" spans="2:10" s="9" customFormat="1" x14ac:dyDescent="0.2">
      <c r="B785" s="10"/>
      <c r="C785" s="11"/>
      <c r="D785" s="11"/>
      <c r="E785" s="12"/>
      <c r="F785" s="12"/>
      <c r="G785" s="11"/>
      <c r="H785" s="11"/>
      <c r="I785" s="11"/>
      <c r="J785" s="11"/>
    </row>
    <row r="786" spans="2:10" s="9" customFormat="1" x14ac:dyDescent="0.2">
      <c r="B786" s="10"/>
      <c r="C786" s="11"/>
      <c r="D786" s="11"/>
      <c r="E786" s="12"/>
      <c r="F786" s="12"/>
      <c r="G786" s="11"/>
      <c r="H786" s="11"/>
      <c r="I786" s="11"/>
      <c r="J786" s="11"/>
    </row>
    <row r="787" spans="2:10" s="9" customFormat="1" x14ac:dyDescent="0.2">
      <c r="B787" s="10"/>
      <c r="C787" s="11"/>
      <c r="D787" s="11"/>
      <c r="E787" s="12"/>
      <c r="F787" s="12"/>
      <c r="G787" s="11"/>
      <c r="H787" s="11"/>
      <c r="I787" s="11"/>
      <c r="J787" s="11"/>
    </row>
    <row r="788" spans="2:10" s="9" customFormat="1" x14ac:dyDescent="0.2">
      <c r="B788" s="10"/>
      <c r="C788" s="11"/>
      <c r="D788" s="11"/>
      <c r="E788" s="12"/>
      <c r="F788" s="12"/>
      <c r="G788" s="11"/>
      <c r="H788" s="11"/>
      <c r="I788" s="11"/>
      <c r="J788" s="11"/>
    </row>
    <row r="789" spans="2:10" s="9" customFormat="1" x14ac:dyDescent="0.2">
      <c r="B789" s="10"/>
      <c r="C789" s="11"/>
      <c r="D789" s="11"/>
      <c r="E789" s="12"/>
      <c r="F789" s="12"/>
      <c r="G789" s="11"/>
      <c r="H789" s="11"/>
      <c r="I789" s="11"/>
      <c r="J789" s="11"/>
    </row>
    <row r="790" spans="2:10" s="9" customFormat="1" x14ac:dyDescent="0.2">
      <c r="B790" s="10"/>
      <c r="C790" s="11"/>
      <c r="D790" s="11"/>
      <c r="E790" s="12"/>
      <c r="F790" s="12"/>
      <c r="G790" s="11"/>
      <c r="H790" s="11"/>
      <c r="I790" s="11"/>
      <c r="J790" s="11"/>
    </row>
    <row r="791" spans="2:10" s="9" customFormat="1" x14ac:dyDescent="0.2">
      <c r="B791" s="10"/>
      <c r="C791" s="11"/>
      <c r="D791" s="11"/>
      <c r="E791" s="12"/>
      <c r="F791" s="12"/>
      <c r="G791" s="11"/>
      <c r="H791" s="11"/>
      <c r="I791" s="11"/>
      <c r="J791" s="11"/>
    </row>
    <row r="792" spans="2:10" s="9" customFormat="1" x14ac:dyDescent="0.2">
      <c r="B792" s="10"/>
      <c r="C792" s="11"/>
      <c r="D792" s="11"/>
      <c r="E792" s="12"/>
      <c r="F792" s="12"/>
      <c r="G792" s="11"/>
      <c r="H792" s="11"/>
      <c r="I792" s="11"/>
      <c r="J792" s="11"/>
    </row>
    <row r="793" spans="2:10" s="9" customFormat="1" x14ac:dyDescent="0.2">
      <c r="B793" s="10"/>
      <c r="C793" s="11"/>
      <c r="D793" s="11"/>
      <c r="E793" s="12"/>
      <c r="F793" s="12"/>
      <c r="G793" s="11"/>
      <c r="H793" s="11"/>
      <c r="I793" s="11"/>
      <c r="J793" s="11"/>
    </row>
    <row r="794" spans="2:10" s="9" customFormat="1" x14ac:dyDescent="0.2">
      <c r="B794" s="10"/>
      <c r="C794" s="11"/>
      <c r="D794" s="11"/>
      <c r="E794" s="12"/>
      <c r="F794" s="12"/>
      <c r="G794" s="11"/>
      <c r="H794" s="11"/>
      <c r="I794" s="11"/>
      <c r="J794" s="11"/>
    </row>
    <row r="795" spans="2:10" s="9" customFormat="1" x14ac:dyDescent="0.2">
      <c r="B795" s="10"/>
      <c r="C795" s="11"/>
      <c r="D795" s="11"/>
      <c r="E795" s="12"/>
      <c r="F795" s="12"/>
      <c r="G795" s="11"/>
      <c r="H795" s="11"/>
      <c r="I795" s="11"/>
      <c r="J795" s="11"/>
    </row>
    <row r="796" spans="2:10" s="9" customFormat="1" x14ac:dyDescent="0.2">
      <c r="B796" s="10"/>
      <c r="C796" s="11"/>
      <c r="D796" s="11"/>
      <c r="E796" s="12"/>
      <c r="F796" s="12"/>
      <c r="G796" s="11"/>
      <c r="H796" s="11"/>
      <c r="I796" s="11"/>
      <c r="J796" s="11"/>
    </row>
    <row r="797" spans="2:10" s="9" customFormat="1" x14ac:dyDescent="0.2">
      <c r="B797" s="10"/>
      <c r="C797" s="11"/>
      <c r="D797" s="11"/>
      <c r="E797" s="12"/>
      <c r="F797" s="12"/>
      <c r="G797" s="11"/>
      <c r="H797" s="11"/>
      <c r="I797" s="11"/>
      <c r="J797" s="11"/>
    </row>
    <row r="798" spans="2:10" s="9" customFormat="1" x14ac:dyDescent="0.2">
      <c r="B798" s="10"/>
      <c r="C798" s="11"/>
      <c r="D798" s="11"/>
      <c r="E798" s="12"/>
      <c r="F798" s="12"/>
      <c r="G798" s="11"/>
      <c r="H798" s="11"/>
      <c r="I798" s="11"/>
      <c r="J798" s="11"/>
    </row>
    <row r="799" spans="2:10" s="9" customFormat="1" x14ac:dyDescent="0.2">
      <c r="B799" s="10"/>
      <c r="C799" s="11"/>
      <c r="D799" s="11"/>
      <c r="E799" s="12"/>
      <c r="F799" s="12"/>
      <c r="G799" s="11"/>
      <c r="H799" s="11"/>
      <c r="I799" s="11"/>
      <c r="J799" s="11"/>
    </row>
    <row r="800" spans="2:10" s="9" customFormat="1" x14ac:dyDescent="0.2">
      <c r="B800" s="10"/>
      <c r="C800" s="11"/>
      <c r="D800" s="11"/>
      <c r="E800" s="12"/>
      <c r="F800" s="12"/>
      <c r="G800" s="11"/>
      <c r="H800" s="11"/>
      <c r="I800" s="11"/>
      <c r="J800" s="11"/>
    </row>
    <row r="801" spans="2:10" s="9" customFormat="1" x14ac:dyDescent="0.2">
      <c r="B801" s="10"/>
      <c r="C801" s="11"/>
      <c r="D801" s="11"/>
      <c r="E801" s="12"/>
      <c r="F801" s="12"/>
      <c r="G801" s="11"/>
      <c r="H801" s="11"/>
      <c r="I801" s="11"/>
      <c r="J801" s="11"/>
    </row>
    <row r="802" spans="2:10" s="9" customFormat="1" x14ac:dyDescent="0.2">
      <c r="B802" s="10"/>
      <c r="C802" s="11"/>
      <c r="D802" s="11"/>
      <c r="E802" s="12"/>
      <c r="F802" s="12"/>
      <c r="G802" s="11"/>
      <c r="H802" s="11"/>
      <c r="I802" s="11"/>
      <c r="J802" s="11"/>
    </row>
    <row r="803" spans="2:10" s="9" customFormat="1" x14ac:dyDescent="0.2">
      <c r="B803" s="10"/>
      <c r="C803" s="11"/>
      <c r="D803" s="11"/>
      <c r="E803" s="12"/>
      <c r="F803" s="12"/>
      <c r="G803" s="11"/>
      <c r="H803" s="11"/>
      <c r="I803" s="11"/>
      <c r="J803" s="11"/>
    </row>
    <row r="804" spans="2:10" s="9" customFormat="1" x14ac:dyDescent="0.2">
      <c r="B804" s="10"/>
      <c r="C804" s="11"/>
      <c r="D804" s="11"/>
      <c r="E804" s="12"/>
      <c r="F804" s="12"/>
      <c r="G804" s="11"/>
      <c r="H804" s="11"/>
      <c r="I804" s="11"/>
      <c r="J804" s="11"/>
    </row>
    <row r="805" spans="2:10" s="9" customFormat="1" x14ac:dyDescent="0.2">
      <c r="B805" s="10"/>
      <c r="C805" s="11"/>
      <c r="D805" s="11"/>
      <c r="E805" s="12"/>
      <c r="F805" s="12"/>
      <c r="G805" s="11"/>
      <c r="H805" s="11"/>
      <c r="I805" s="11"/>
      <c r="J805" s="11"/>
    </row>
    <row r="806" spans="2:10" s="9" customFormat="1" x14ac:dyDescent="0.2">
      <c r="B806" s="10"/>
      <c r="C806" s="11"/>
      <c r="D806" s="11"/>
      <c r="E806" s="12"/>
      <c r="F806" s="12"/>
      <c r="G806" s="11"/>
      <c r="H806" s="11"/>
      <c r="I806" s="11"/>
      <c r="J806" s="11"/>
    </row>
    <row r="807" spans="2:10" s="9" customFormat="1" x14ac:dyDescent="0.2">
      <c r="B807" s="10"/>
      <c r="C807" s="11"/>
      <c r="D807" s="11"/>
      <c r="E807" s="12"/>
      <c r="F807" s="12"/>
      <c r="G807" s="11"/>
      <c r="H807" s="11"/>
      <c r="I807" s="11"/>
      <c r="J807" s="11"/>
    </row>
    <row r="808" spans="2:10" s="9" customFormat="1" x14ac:dyDescent="0.2">
      <c r="B808" s="10"/>
      <c r="C808" s="11"/>
      <c r="D808" s="11"/>
      <c r="E808" s="12"/>
      <c r="F808" s="12"/>
      <c r="G808" s="11"/>
      <c r="H808" s="11"/>
      <c r="I808" s="11"/>
      <c r="J808" s="11"/>
    </row>
    <row r="809" spans="2:10" s="9" customFormat="1" x14ac:dyDescent="0.2">
      <c r="B809" s="10"/>
      <c r="C809" s="11"/>
      <c r="D809" s="11"/>
      <c r="E809" s="12"/>
      <c r="F809" s="12"/>
      <c r="G809" s="11"/>
      <c r="H809" s="11"/>
      <c r="I809" s="11"/>
      <c r="J809" s="11"/>
    </row>
    <row r="810" spans="2:10" s="9" customFormat="1" x14ac:dyDescent="0.2">
      <c r="B810" s="10"/>
      <c r="C810" s="11"/>
      <c r="D810" s="11"/>
      <c r="E810" s="12"/>
      <c r="F810" s="12"/>
      <c r="G810" s="11"/>
      <c r="H810" s="11"/>
      <c r="I810" s="11"/>
      <c r="J810" s="11"/>
    </row>
    <row r="811" spans="2:10" s="9" customFormat="1" x14ac:dyDescent="0.2">
      <c r="B811" s="10"/>
      <c r="C811" s="11"/>
      <c r="D811" s="11"/>
      <c r="E811" s="12"/>
      <c r="F811" s="12"/>
      <c r="G811" s="11"/>
      <c r="H811" s="11"/>
      <c r="I811" s="11"/>
      <c r="J811" s="11"/>
    </row>
    <row r="812" spans="2:10" s="9" customFormat="1" x14ac:dyDescent="0.2">
      <c r="B812" s="10"/>
      <c r="C812" s="11"/>
      <c r="D812" s="11"/>
      <c r="E812" s="12"/>
      <c r="F812" s="12"/>
      <c r="G812" s="11"/>
      <c r="H812" s="11"/>
      <c r="I812" s="11"/>
      <c r="J812" s="11"/>
    </row>
    <row r="813" spans="2:10" s="9" customFormat="1" x14ac:dyDescent="0.2">
      <c r="B813" s="10"/>
      <c r="C813" s="11"/>
      <c r="D813" s="11"/>
      <c r="E813" s="12"/>
      <c r="F813" s="12"/>
      <c r="G813" s="11"/>
      <c r="H813" s="11"/>
      <c r="I813" s="11"/>
      <c r="J813" s="11"/>
    </row>
    <row r="814" spans="2:10" s="9" customFormat="1" x14ac:dyDescent="0.2">
      <c r="B814" s="10"/>
      <c r="C814" s="11"/>
      <c r="D814" s="11"/>
      <c r="E814" s="12"/>
      <c r="F814" s="12"/>
      <c r="G814" s="11"/>
      <c r="H814" s="11"/>
      <c r="I814" s="11"/>
      <c r="J814" s="11"/>
    </row>
    <row r="815" spans="2:10" s="9" customFormat="1" x14ac:dyDescent="0.2">
      <c r="B815" s="10"/>
      <c r="C815" s="11"/>
      <c r="D815" s="11"/>
      <c r="E815" s="12"/>
      <c r="F815" s="12"/>
      <c r="G815" s="11"/>
      <c r="H815" s="11"/>
      <c r="I815" s="11"/>
      <c r="J815" s="11"/>
    </row>
    <row r="816" spans="2:10" s="9" customFormat="1" x14ac:dyDescent="0.2">
      <c r="B816" s="10"/>
      <c r="C816" s="11"/>
      <c r="D816" s="11"/>
      <c r="E816" s="12"/>
      <c r="F816" s="12"/>
      <c r="G816" s="11"/>
      <c r="H816" s="11"/>
      <c r="I816" s="11"/>
      <c r="J816" s="11"/>
    </row>
    <row r="817" spans="2:10" s="9" customFormat="1" x14ac:dyDescent="0.2">
      <c r="B817" s="10"/>
      <c r="C817" s="11"/>
      <c r="D817" s="11"/>
      <c r="E817" s="12"/>
      <c r="F817" s="12"/>
      <c r="G817" s="11"/>
      <c r="H817" s="11"/>
      <c r="I817" s="11"/>
      <c r="J817" s="11"/>
    </row>
    <row r="818" spans="2:10" s="9" customFormat="1" x14ac:dyDescent="0.2">
      <c r="B818" s="10"/>
      <c r="C818" s="11"/>
      <c r="D818" s="11"/>
      <c r="E818" s="12"/>
      <c r="F818" s="12"/>
      <c r="G818" s="11"/>
      <c r="H818" s="11"/>
      <c r="I818" s="11"/>
      <c r="J818" s="11"/>
    </row>
    <row r="819" spans="2:10" s="9" customFormat="1" x14ac:dyDescent="0.2">
      <c r="B819" s="10"/>
      <c r="C819" s="11"/>
      <c r="D819" s="11"/>
      <c r="E819" s="12"/>
      <c r="F819" s="12"/>
      <c r="G819" s="11"/>
      <c r="H819" s="11"/>
      <c r="I819" s="11"/>
      <c r="J819" s="11"/>
    </row>
    <row r="820" spans="2:10" s="9" customFormat="1" x14ac:dyDescent="0.2">
      <c r="B820" s="10"/>
      <c r="C820" s="11"/>
      <c r="D820" s="11"/>
      <c r="E820" s="12"/>
      <c r="F820" s="12"/>
      <c r="G820" s="11"/>
      <c r="H820" s="11"/>
      <c r="I820" s="11"/>
      <c r="J820" s="11"/>
    </row>
    <row r="821" spans="2:10" s="9" customFormat="1" x14ac:dyDescent="0.2">
      <c r="B821" s="10"/>
      <c r="C821" s="11"/>
      <c r="D821" s="11"/>
      <c r="E821" s="12"/>
      <c r="F821" s="12"/>
      <c r="G821" s="11"/>
      <c r="H821" s="11"/>
      <c r="I821" s="11"/>
      <c r="J821" s="11"/>
    </row>
    <row r="822" spans="2:10" s="9" customFormat="1" x14ac:dyDescent="0.2">
      <c r="B822" s="10"/>
      <c r="C822" s="11"/>
      <c r="D822" s="11"/>
      <c r="E822" s="12"/>
      <c r="F822" s="12"/>
      <c r="G822" s="11"/>
      <c r="H822" s="11"/>
      <c r="I822" s="11"/>
      <c r="J822" s="11"/>
    </row>
    <row r="823" spans="2:10" s="9" customFormat="1" x14ac:dyDescent="0.2">
      <c r="B823" s="10"/>
      <c r="C823" s="11"/>
      <c r="D823" s="11"/>
      <c r="E823" s="12"/>
      <c r="F823" s="12"/>
      <c r="G823" s="11"/>
      <c r="H823" s="11"/>
      <c r="I823" s="11"/>
      <c r="J823" s="11"/>
    </row>
    <row r="824" spans="2:10" s="9" customFormat="1" x14ac:dyDescent="0.2">
      <c r="B824" s="10"/>
      <c r="C824" s="11"/>
      <c r="D824" s="11"/>
      <c r="E824" s="12"/>
      <c r="F824" s="12"/>
      <c r="G824" s="11"/>
      <c r="H824" s="11"/>
      <c r="I824" s="11"/>
      <c r="J824" s="11"/>
    </row>
    <row r="825" spans="2:10" s="9" customFormat="1" x14ac:dyDescent="0.2">
      <c r="B825" s="10"/>
      <c r="C825" s="11"/>
      <c r="D825" s="11"/>
      <c r="E825" s="12"/>
      <c r="F825" s="12"/>
      <c r="G825" s="11"/>
      <c r="H825" s="11"/>
      <c r="I825" s="11"/>
      <c r="J825" s="11"/>
    </row>
    <row r="826" spans="2:10" s="9" customFormat="1" x14ac:dyDescent="0.2">
      <c r="B826" s="10"/>
      <c r="C826" s="11"/>
      <c r="D826" s="11"/>
      <c r="E826" s="12"/>
      <c r="F826" s="12"/>
      <c r="G826" s="11"/>
      <c r="H826" s="11"/>
      <c r="I826" s="11"/>
      <c r="J826" s="11"/>
    </row>
    <row r="827" spans="2:10" s="9" customFormat="1" x14ac:dyDescent="0.2">
      <c r="B827" s="10"/>
      <c r="C827" s="11"/>
      <c r="D827" s="11"/>
      <c r="E827" s="12"/>
      <c r="F827" s="12"/>
      <c r="G827" s="11"/>
      <c r="H827" s="11"/>
      <c r="I827" s="11"/>
      <c r="J827" s="11"/>
    </row>
    <row r="828" spans="2:10" s="9" customFormat="1" x14ac:dyDescent="0.2">
      <c r="B828" s="10"/>
      <c r="C828" s="11"/>
      <c r="D828" s="11"/>
      <c r="E828" s="12"/>
      <c r="F828" s="12"/>
      <c r="G828" s="11"/>
      <c r="H828" s="11"/>
      <c r="I828" s="11"/>
      <c r="J828" s="11"/>
    </row>
    <row r="829" spans="2:10" s="9" customFormat="1" x14ac:dyDescent="0.2">
      <c r="B829" s="10"/>
      <c r="C829" s="11"/>
      <c r="D829" s="11"/>
      <c r="E829" s="12"/>
      <c r="F829" s="12"/>
      <c r="G829" s="11"/>
      <c r="H829" s="11"/>
      <c r="I829" s="11"/>
      <c r="J829" s="11"/>
    </row>
    <row r="830" spans="2:10" s="9" customFormat="1" x14ac:dyDescent="0.2">
      <c r="B830" s="10"/>
      <c r="C830" s="11"/>
      <c r="D830" s="11"/>
      <c r="E830" s="12"/>
      <c r="F830" s="12"/>
      <c r="G830" s="11"/>
      <c r="H830" s="11"/>
      <c r="I830" s="11"/>
      <c r="J830" s="11"/>
    </row>
    <row r="831" spans="2:10" s="9" customFormat="1" x14ac:dyDescent="0.2">
      <c r="B831" s="10"/>
      <c r="C831" s="11"/>
      <c r="D831" s="11"/>
      <c r="E831" s="12"/>
      <c r="F831" s="12"/>
      <c r="G831" s="11"/>
      <c r="H831" s="11"/>
      <c r="I831" s="11"/>
      <c r="J831" s="11"/>
    </row>
    <row r="832" spans="2:10" s="9" customFormat="1" x14ac:dyDescent="0.2">
      <c r="B832" s="10"/>
      <c r="C832" s="11"/>
      <c r="D832" s="11"/>
      <c r="E832" s="12"/>
      <c r="F832" s="12"/>
      <c r="G832" s="11"/>
      <c r="H832" s="11"/>
      <c r="I832" s="11"/>
      <c r="J832" s="11"/>
    </row>
    <row r="833" spans="2:10" s="9" customFormat="1" x14ac:dyDescent="0.2">
      <c r="B833" s="10"/>
      <c r="C833" s="11"/>
      <c r="D833" s="11"/>
      <c r="E833" s="12"/>
      <c r="F833" s="12"/>
      <c r="G833" s="11"/>
      <c r="H833" s="11"/>
      <c r="I833" s="11"/>
      <c r="J833" s="11"/>
    </row>
    <row r="834" spans="2:10" s="9" customFormat="1" x14ac:dyDescent="0.2">
      <c r="B834" s="10"/>
      <c r="C834" s="11"/>
      <c r="D834" s="11"/>
      <c r="E834" s="12"/>
      <c r="F834" s="12"/>
      <c r="G834" s="11"/>
      <c r="H834" s="11"/>
      <c r="I834" s="11"/>
      <c r="J834" s="11"/>
    </row>
    <row r="835" spans="2:10" s="9" customFormat="1" x14ac:dyDescent="0.2">
      <c r="B835" s="10"/>
      <c r="C835" s="11"/>
      <c r="D835" s="11"/>
      <c r="E835" s="12"/>
      <c r="F835" s="12"/>
      <c r="G835" s="11"/>
      <c r="H835" s="11"/>
      <c r="I835" s="11"/>
      <c r="J835" s="11"/>
    </row>
    <row r="836" spans="2:10" s="9" customFormat="1" x14ac:dyDescent="0.2">
      <c r="B836" s="10"/>
      <c r="C836" s="11"/>
      <c r="D836" s="11"/>
      <c r="E836" s="12"/>
      <c r="F836" s="12"/>
      <c r="G836" s="11"/>
      <c r="H836" s="11"/>
      <c r="I836" s="11"/>
      <c r="J836" s="11"/>
    </row>
    <row r="837" spans="2:10" s="9" customFormat="1" x14ac:dyDescent="0.2">
      <c r="B837" s="10"/>
      <c r="C837" s="11"/>
      <c r="D837" s="11"/>
      <c r="E837" s="12"/>
      <c r="F837" s="12"/>
      <c r="G837" s="11"/>
      <c r="H837" s="11"/>
      <c r="I837" s="11"/>
      <c r="J837" s="11"/>
    </row>
    <row r="838" spans="2:10" s="9" customFormat="1" x14ac:dyDescent="0.2">
      <c r="B838" s="10"/>
      <c r="C838" s="11"/>
      <c r="D838" s="11"/>
      <c r="E838" s="12"/>
      <c r="F838" s="12"/>
      <c r="G838" s="11"/>
      <c r="H838" s="11"/>
      <c r="I838" s="11"/>
      <c r="J838" s="11"/>
    </row>
    <row r="839" spans="2:10" s="9" customFormat="1" x14ac:dyDescent="0.2">
      <c r="B839" s="10"/>
      <c r="C839" s="11"/>
      <c r="D839" s="11"/>
      <c r="E839" s="12"/>
      <c r="F839" s="12"/>
      <c r="G839" s="11"/>
      <c r="H839" s="11"/>
      <c r="I839" s="11"/>
      <c r="J839" s="11"/>
    </row>
    <row r="840" spans="2:10" s="9" customFormat="1" x14ac:dyDescent="0.2">
      <c r="B840" s="10"/>
      <c r="C840" s="11"/>
      <c r="D840" s="11"/>
      <c r="E840" s="12"/>
      <c r="F840" s="12"/>
      <c r="G840" s="11"/>
      <c r="H840" s="11"/>
      <c r="I840" s="11"/>
      <c r="J840" s="11"/>
    </row>
    <row r="841" spans="2:10" s="9" customFormat="1" x14ac:dyDescent="0.2">
      <c r="B841" s="10"/>
      <c r="C841" s="11"/>
      <c r="D841" s="11"/>
      <c r="E841" s="12"/>
      <c r="F841" s="12"/>
      <c r="G841" s="11"/>
      <c r="H841" s="11"/>
      <c r="I841" s="11"/>
      <c r="J841" s="11"/>
    </row>
    <row r="842" spans="2:10" s="9" customFormat="1" x14ac:dyDescent="0.2">
      <c r="B842" s="10"/>
      <c r="C842" s="11"/>
      <c r="D842" s="11"/>
      <c r="E842" s="12"/>
      <c r="F842" s="12"/>
      <c r="G842" s="11"/>
      <c r="H842" s="11"/>
      <c r="I842" s="11"/>
      <c r="J842" s="11"/>
    </row>
    <row r="843" spans="2:10" s="9" customFormat="1" x14ac:dyDescent="0.2">
      <c r="B843" s="10"/>
      <c r="C843" s="11"/>
      <c r="D843" s="11"/>
      <c r="E843" s="12"/>
      <c r="F843" s="12"/>
      <c r="G843" s="11"/>
      <c r="H843" s="11"/>
      <c r="I843" s="11"/>
      <c r="J843" s="11"/>
    </row>
    <row r="844" spans="2:10" s="9" customFormat="1" x14ac:dyDescent="0.2">
      <c r="B844" s="10"/>
      <c r="C844" s="11"/>
      <c r="D844" s="11"/>
      <c r="E844" s="12"/>
      <c r="F844" s="12"/>
      <c r="G844" s="11"/>
      <c r="H844" s="11"/>
      <c r="I844" s="11"/>
      <c r="J844" s="11"/>
    </row>
    <row r="845" spans="2:10" s="9" customFormat="1" x14ac:dyDescent="0.2">
      <c r="B845" s="10"/>
      <c r="C845" s="11"/>
      <c r="D845" s="11"/>
      <c r="E845" s="12"/>
      <c r="F845" s="12"/>
      <c r="G845" s="11"/>
      <c r="H845" s="11"/>
      <c r="I845" s="11"/>
      <c r="J845" s="11"/>
    </row>
    <row r="846" spans="2:10" s="9" customFormat="1" x14ac:dyDescent="0.2">
      <c r="B846" s="10"/>
      <c r="C846" s="11"/>
      <c r="D846" s="11"/>
      <c r="E846" s="12"/>
      <c r="F846" s="12"/>
      <c r="G846" s="11"/>
      <c r="H846" s="11"/>
      <c r="I846" s="11"/>
      <c r="J846" s="11"/>
    </row>
    <row r="847" spans="2:10" s="9" customFormat="1" x14ac:dyDescent="0.2">
      <c r="B847" s="10"/>
      <c r="C847" s="11"/>
      <c r="D847" s="11"/>
      <c r="E847" s="12"/>
      <c r="F847" s="12"/>
      <c r="G847" s="11"/>
      <c r="H847" s="11"/>
      <c r="I847" s="11"/>
      <c r="J847" s="11"/>
    </row>
    <row r="848" spans="2:10" s="9" customFormat="1" x14ac:dyDescent="0.2">
      <c r="B848" s="10"/>
      <c r="C848" s="11"/>
      <c r="D848" s="11"/>
      <c r="E848" s="12"/>
      <c r="F848" s="12"/>
      <c r="G848" s="11"/>
      <c r="H848" s="11"/>
      <c r="I848" s="11"/>
      <c r="J848" s="11"/>
    </row>
    <row r="849" spans="2:10" s="9" customFormat="1" x14ac:dyDescent="0.2">
      <c r="B849" s="10"/>
      <c r="C849" s="11"/>
      <c r="D849" s="11"/>
      <c r="E849" s="12"/>
      <c r="F849" s="12"/>
      <c r="G849" s="11"/>
      <c r="H849" s="11"/>
      <c r="I849" s="11"/>
      <c r="J849" s="11"/>
    </row>
    <row r="850" spans="2:10" s="9" customFormat="1" x14ac:dyDescent="0.2">
      <c r="B850" s="10"/>
      <c r="C850" s="11"/>
      <c r="D850" s="11"/>
      <c r="E850" s="12"/>
      <c r="F850" s="12"/>
      <c r="G850" s="11"/>
      <c r="H850" s="11"/>
      <c r="I850" s="11"/>
      <c r="J850" s="11"/>
    </row>
    <row r="851" spans="2:10" s="9" customFormat="1" x14ac:dyDescent="0.2">
      <c r="B851" s="10"/>
      <c r="C851" s="11"/>
      <c r="D851" s="11"/>
      <c r="E851" s="12"/>
      <c r="F851" s="12"/>
      <c r="G851" s="11"/>
      <c r="H851" s="11"/>
      <c r="I851" s="11"/>
      <c r="J851" s="11"/>
    </row>
    <row r="852" spans="2:10" s="9" customFormat="1" x14ac:dyDescent="0.2">
      <c r="B852" s="10"/>
      <c r="C852" s="11"/>
      <c r="D852" s="11"/>
      <c r="E852" s="12"/>
      <c r="F852" s="12"/>
      <c r="G852" s="11"/>
      <c r="H852" s="11"/>
      <c r="I852" s="11"/>
      <c r="J852" s="11"/>
    </row>
    <row r="853" spans="2:10" s="9" customFormat="1" x14ac:dyDescent="0.2">
      <c r="B853" s="10"/>
      <c r="C853" s="11"/>
      <c r="D853" s="11"/>
      <c r="E853" s="12"/>
      <c r="F853" s="12"/>
      <c r="G853" s="11"/>
      <c r="H853" s="11"/>
      <c r="I853" s="11"/>
      <c r="J853" s="11"/>
    </row>
    <row r="854" spans="2:10" s="9" customFormat="1" x14ac:dyDescent="0.2">
      <c r="B854" s="10"/>
      <c r="C854" s="11"/>
      <c r="D854" s="11"/>
      <c r="E854" s="12"/>
      <c r="F854" s="12"/>
      <c r="G854" s="11"/>
      <c r="H854" s="11"/>
      <c r="I854" s="11"/>
      <c r="J854" s="11"/>
    </row>
    <row r="855" spans="2:10" s="9" customFormat="1" x14ac:dyDescent="0.2">
      <c r="B855" s="10"/>
      <c r="C855" s="11"/>
      <c r="D855" s="11"/>
      <c r="E855" s="12"/>
      <c r="F855" s="12"/>
      <c r="G855" s="11"/>
      <c r="H855" s="11"/>
      <c r="I855" s="11"/>
      <c r="J855" s="11"/>
    </row>
    <row r="856" spans="2:10" s="9" customFormat="1" x14ac:dyDescent="0.2">
      <c r="B856" s="10"/>
      <c r="C856" s="11"/>
      <c r="D856" s="11"/>
      <c r="E856" s="12"/>
      <c r="F856" s="12"/>
      <c r="G856" s="11"/>
      <c r="H856" s="11"/>
      <c r="I856" s="11"/>
      <c r="J856" s="11"/>
    </row>
    <row r="857" spans="2:10" s="9" customFormat="1" x14ac:dyDescent="0.2">
      <c r="B857" s="10"/>
      <c r="C857" s="11"/>
      <c r="D857" s="11"/>
      <c r="E857" s="12"/>
      <c r="F857" s="12"/>
      <c r="G857" s="11"/>
      <c r="H857" s="11"/>
      <c r="I857" s="11"/>
      <c r="J857" s="11"/>
    </row>
    <row r="858" spans="2:10" s="9" customFormat="1" x14ac:dyDescent="0.2">
      <c r="B858" s="10"/>
      <c r="C858" s="11"/>
      <c r="D858" s="11"/>
      <c r="E858" s="12"/>
      <c r="F858" s="12"/>
      <c r="G858" s="11"/>
      <c r="H858" s="11"/>
      <c r="I858" s="11"/>
      <c r="J858" s="11"/>
    </row>
    <row r="859" spans="2:10" s="9" customFormat="1" x14ac:dyDescent="0.2">
      <c r="B859" s="10"/>
      <c r="C859" s="11"/>
      <c r="D859" s="11"/>
      <c r="E859" s="12"/>
      <c r="F859" s="12"/>
      <c r="G859" s="11"/>
      <c r="H859" s="11"/>
      <c r="I859" s="11"/>
      <c r="J859" s="11"/>
    </row>
    <row r="860" spans="2:10" s="9" customFormat="1" x14ac:dyDescent="0.2">
      <c r="B860" s="10"/>
      <c r="C860" s="11"/>
      <c r="D860" s="11"/>
      <c r="E860" s="12"/>
      <c r="F860" s="12"/>
      <c r="G860" s="11"/>
      <c r="H860" s="11"/>
      <c r="I860" s="11"/>
      <c r="J860" s="11"/>
    </row>
    <row r="861" spans="2:10" s="9" customFormat="1" x14ac:dyDescent="0.2">
      <c r="B861" s="10"/>
      <c r="C861" s="11"/>
      <c r="D861" s="11"/>
      <c r="E861" s="12"/>
      <c r="F861" s="12"/>
      <c r="G861" s="11"/>
      <c r="H861" s="11"/>
      <c r="I861" s="11"/>
      <c r="J861" s="11"/>
    </row>
    <row r="862" spans="2:10" s="9" customFormat="1" x14ac:dyDescent="0.2">
      <c r="B862" s="10"/>
      <c r="C862" s="11"/>
      <c r="D862" s="11"/>
      <c r="E862" s="12"/>
      <c r="F862" s="12"/>
      <c r="G862" s="11"/>
      <c r="H862" s="11"/>
      <c r="I862" s="11"/>
      <c r="J862" s="11"/>
    </row>
    <row r="863" spans="2:10" s="9" customFormat="1" x14ac:dyDescent="0.2">
      <c r="B863" s="10"/>
      <c r="C863" s="11"/>
      <c r="D863" s="11"/>
      <c r="E863" s="12"/>
      <c r="F863" s="12"/>
      <c r="G863" s="11"/>
      <c r="H863" s="11"/>
      <c r="I863" s="11"/>
      <c r="J863" s="11"/>
    </row>
    <row r="864" spans="2:10" s="9" customFormat="1" x14ac:dyDescent="0.2">
      <c r="B864" s="10"/>
      <c r="C864" s="11"/>
      <c r="D864" s="11"/>
      <c r="E864" s="12"/>
      <c r="F864" s="12"/>
      <c r="G864" s="11"/>
      <c r="H864" s="11"/>
      <c r="I864" s="11"/>
      <c r="J864" s="11"/>
    </row>
    <row r="865" spans="2:10" s="9" customFormat="1" x14ac:dyDescent="0.2">
      <c r="B865" s="10"/>
      <c r="C865" s="11"/>
      <c r="D865" s="11"/>
      <c r="E865" s="12"/>
      <c r="F865" s="12"/>
      <c r="G865" s="11"/>
      <c r="H865" s="11"/>
      <c r="I865" s="11"/>
      <c r="J865" s="11"/>
    </row>
    <row r="866" spans="2:10" s="9" customFormat="1" x14ac:dyDescent="0.2">
      <c r="B866" s="10"/>
      <c r="C866" s="11"/>
      <c r="D866" s="11"/>
      <c r="E866" s="12"/>
      <c r="F866" s="12"/>
      <c r="G866" s="11"/>
      <c r="H866" s="11"/>
      <c r="I866" s="11"/>
      <c r="J866" s="11"/>
    </row>
    <row r="867" spans="2:10" s="9" customFormat="1" x14ac:dyDescent="0.2">
      <c r="B867" s="10"/>
      <c r="C867" s="11"/>
      <c r="D867" s="11"/>
      <c r="E867" s="12"/>
      <c r="F867" s="12"/>
      <c r="G867" s="11"/>
      <c r="H867" s="11"/>
      <c r="I867" s="11"/>
      <c r="J867" s="11"/>
    </row>
    <row r="868" spans="2:10" s="9" customFormat="1" x14ac:dyDescent="0.2">
      <c r="B868" s="10"/>
      <c r="C868" s="11"/>
      <c r="D868" s="11"/>
      <c r="E868" s="12"/>
      <c r="F868" s="12"/>
      <c r="G868" s="11"/>
      <c r="H868" s="11"/>
      <c r="I868" s="11"/>
      <c r="J868" s="11"/>
    </row>
    <row r="869" spans="2:10" s="9" customFormat="1" x14ac:dyDescent="0.2">
      <c r="B869" s="10"/>
      <c r="C869" s="11"/>
      <c r="D869" s="11"/>
      <c r="E869" s="12"/>
      <c r="F869" s="12"/>
      <c r="G869" s="11"/>
      <c r="H869" s="11"/>
      <c r="I869" s="11"/>
      <c r="J869" s="11"/>
    </row>
    <row r="870" spans="2:10" s="9" customFormat="1" x14ac:dyDescent="0.2">
      <c r="B870" s="10"/>
      <c r="C870" s="11"/>
      <c r="D870" s="11"/>
      <c r="E870" s="12"/>
      <c r="F870" s="12"/>
      <c r="G870" s="11"/>
      <c r="H870" s="11"/>
      <c r="I870" s="11"/>
      <c r="J870" s="11"/>
    </row>
    <row r="871" spans="2:10" s="9" customFormat="1" x14ac:dyDescent="0.2">
      <c r="B871" s="10"/>
      <c r="C871" s="11"/>
      <c r="D871" s="11"/>
      <c r="E871" s="12"/>
      <c r="F871" s="12"/>
      <c r="G871" s="11"/>
      <c r="H871" s="11"/>
      <c r="I871" s="11"/>
      <c r="J871" s="11"/>
    </row>
    <row r="872" spans="2:10" s="9" customFormat="1" x14ac:dyDescent="0.2">
      <c r="B872" s="10"/>
      <c r="C872" s="11"/>
      <c r="D872" s="11"/>
      <c r="E872" s="12"/>
      <c r="F872" s="12"/>
      <c r="G872" s="11"/>
      <c r="H872" s="11"/>
      <c r="I872" s="11"/>
      <c r="J872" s="11"/>
    </row>
    <row r="873" spans="2:10" s="9" customFormat="1" x14ac:dyDescent="0.2">
      <c r="B873" s="10"/>
      <c r="C873" s="11"/>
      <c r="D873" s="11"/>
      <c r="E873" s="12"/>
      <c r="F873" s="12"/>
      <c r="G873" s="11"/>
      <c r="H873" s="11"/>
      <c r="I873" s="11"/>
      <c r="J873" s="11"/>
    </row>
    <row r="874" spans="2:10" s="9" customFormat="1" x14ac:dyDescent="0.2">
      <c r="B874" s="10"/>
      <c r="C874" s="11"/>
      <c r="D874" s="11"/>
      <c r="E874" s="12"/>
      <c r="F874" s="12"/>
      <c r="G874" s="11"/>
      <c r="H874" s="11"/>
      <c r="I874" s="11"/>
      <c r="J874" s="11"/>
    </row>
    <row r="875" spans="2:10" s="9" customFormat="1" x14ac:dyDescent="0.2">
      <c r="B875" s="10"/>
      <c r="C875" s="11"/>
      <c r="D875" s="11"/>
      <c r="E875" s="12"/>
      <c r="F875" s="12"/>
      <c r="G875" s="11"/>
      <c r="H875" s="11"/>
      <c r="I875" s="11"/>
      <c r="J875" s="11"/>
    </row>
    <row r="876" spans="2:10" s="9" customFormat="1" x14ac:dyDescent="0.2">
      <c r="B876" s="10"/>
      <c r="C876" s="11"/>
      <c r="D876" s="11"/>
      <c r="E876" s="12"/>
      <c r="F876" s="12"/>
      <c r="G876" s="11"/>
      <c r="H876" s="11"/>
      <c r="I876" s="11"/>
      <c r="J876" s="11"/>
    </row>
    <row r="877" spans="2:10" s="9" customFormat="1" x14ac:dyDescent="0.2">
      <c r="B877" s="10"/>
      <c r="C877" s="11"/>
      <c r="D877" s="11"/>
      <c r="E877" s="12"/>
      <c r="F877" s="12"/>
      <c r="G877" s="11"/>
      <c r="H877" s="11"/>
      <c r="I877" s="11"/>
      <c r="J877" s="11"/>
    </row>
    <row r="878" spans="2:10" s="9" customFormat="1" x14ac:dyDescent="0.2">
      <c r="B878" s="10"/>
      <c r="C878" s="11"/>
      <c r="D878" s="11"/>
      <c r="E878" s="12"/>
      <c r="F878" s="12"/>
      <c r="G878" s="11"/>
      <c r="H878" s="11"/>
      <c r="I878" s="11"/>
      <c r="J878" s="11"/>
    </row>
    <row r="879" spans="2:10" s="9" customFormat="1" x14ac:dyDescent="0.2">
      <c r="B879" s="10"/>
      <c r="C879" s="11"/>
      <c r="D879" s="11"/>
      <c r="E879" s="12"/>
      <c r="F879" s="12"/>
      <c r="G879" s="11"/>
      <c r="H879" s="11"/>
      <c r="I879" s="11"/>
      <c r="J879" s="11"/>
    </row>
    <row r="880" spans="2:10" s="9" customFormat="1" x14ac:dyDescent="0.2">
      <c r="B880" s="10"/>
      <c r="C880" s="11"/>
      <c r="D880" s="11"/>
      <c r="E880" s="12"/>
      <c r="F880" s="12"/>
      <c r="G880" s="11"/>
      <c r="H880" s="11"/>
      <c r="I880" s="11"/>
      <c r="J880" s="11"/>
    </row>
    <row r="881" spans="2:10" s="9" customFormat="1" x14ac:dyDescent="0.2">
      <c r="B881" s="10"/>
      <c r="C881" s="11"/>
      <c r="D881" s="11"/>
      <c r="E881" s="12"/>
      <c r="F881" s="12"/>
      <c r="G881" s="11"/>
      <c r="H881" s="11"/>
      <c r="I881" s="11"/>
      <c r="J881" s="11"/>
    </row>
    <row r="882" spans="2:10" s="9" customFormat="1" x14ac:dyDescent="0.2">
      <c r="B882" s="10"/>
      <c r="C882" s="11"/>
      <c r="D882" s="11"/>
      <c r="E882" s="12"/>
      <c r="F882" s="12"/>
      <c r="G882" s="11"/>
      <c r="H882" s="11"/>
      <c r="I882" s="11"/>
      <c r="J882" s="11"/>
    </row>
    <row r="883" spans="2:10" s="9" customFormat="1" x14ac:dyDescent="0.2">
      <c r="B883" s="10"/>
      <c r="C883" s="11"/>
      <c r="D883" s="11"/>
      <c r="E883" s="12"/>
      <c r="F883" s="12"/>
      <c r="G883" s="11"/>
      <c r="H883" s="11"/>
      <c r="I883" s="11"/>
      <c r="J883" s="11"/>
    </row>
    <row r="884" spans="2:10" s="9" customFormat="1" x14ac:dyDescent="0.2">
      <c r="B884" s="10"/>
      <c r="C884" s="11"/>
      <c r="D884" s="11"/>
      <c r="E884" s="12"/>
      <c r="F884" s="12"/>
      <c r="G884" s="11"/>
      <c r="H884" s="11"/>
      <c r="I884" s="11"/>
      <c r="J884" s="11"/>
    </row>
    <row r="885" spans="2:10" s="9" customFormat="1" x14ac:dyDescent="0.2">
      <c r="B885" s="10"/>
      <c r="C885" s="11"/>
      <c r="D885" s="11"/>
      <c r="E885" s="12"/>
      <c r="F885" s="12"/>
      <c r="G885" s="11"/>
      <c r="H885" s="11"/>
      <c r="I885" s="11"/>
      <c r="J885" s="11"/>
    </row>
    <row r="886" spans="2:10" s="9" customFormat="1" x14ac:dyDescent="0.2">
      <c r="B886" s="10"/>
      <c r="C886" s="11"/>
      <c r="D886" s="11"/>
      <c r="E886" s="12"/>
      <c r="F886" s="12"/>
      <c r="G886" s="11"/>
      <c r="H886" s="11"/>
      <c r="I886" s="11"/>
      <c r="J886" s="11"/>
    </row>
    <row r="887" spans="2:10" s="9" customFormat="1" x14ac:dyDescent="0.2">
      <c r="B887" s="10"/>
      <c r="C887" s="11"/>
      <c r="D887" s="11"/>
      <c r="E887" s="12"/>
      <c r="F887" s="12"/>
      <c r="G887" s="11"/>
      <c r="H887" s="11"/>
      <c r="I887" s="11"/>
      <c r="J887" s="11"/>
    </row>
    <row r="888" spans="2:10" s="9" customFormat="1" x14ac:dyDescent="0.2">
      <c r="B888" s="10"/>
      <c r="C888" s="11"/>
      <c r="D888" s="11"/>
      <c r="E888" s="12"/>
      <c r="F888" s="12"/>
      <c r="G888" s="11"/>
      <c r="H888" s="11"/>
      <c r="I888" s="11"/>
      <c r="J888" s="11"/>
    </row>
    <row r="889" spans="2:10" s="9" customFormat="1" x14ac:dyDescent="0.2">
      <c r="B889" s="10"/>
      <c r="C889" s="11"/>
      <c r="D889" s="11"/>
      <c r="E889" s="12"/>
      <c r="F889" s="12"/>
      <c r="G889" s="11"/>
      <c r="H889" s="11"/>
      <c r="I889" s="11"/>
      <c r="J889" s="11"/>
    </row>
    <row r="890" spans="2:10" s="9" customFormat="1" x14ac:dyDescent="0.2">
      <c r="B890" s="10"/>
      <c r="C890" s="11"/>
      <c r="D890" s="11"/>
      <c r="E890" s="12"/>
      <c r="F890" s="12"/>
      <c r="G890" s="11"/>
      <c r="H890" s="11"/>
      <c r="I890" s="11"/>
      <c r="J890" s="11"/>
    </row>
    <row r="891" spans="2:10" s="9" customFormat="1" x14ac:dyDescent="0.2">
      <c r="B891" s="10"/>
      <c r="C891" s="11"/>
      <c r="D891" s="11"/>
      <c r="E891" s="12"/>
      <c r="F891" s="12"/>
      <c r="G891" s="11"/>
      <c r="H891" s="11"/>
      <c r="I891" s="11"/>
      <c r="J891" s="11"/>
    </row>
    <row r="892" spans="2:10" s="9" customFormat="1" x14ac:dyDescent="0.2">
      <c r="B892" s="10"/>
      <c r="C892" s="11"/>
      <c r="D892" s="11"/>
      <c r="E892" s="12"/>
      <c r="F892" s="12"/>
      <c r="G892" s="11"/>
      <c r="H892" s="11"/>
      <c r="I892" s="11"/>
      <c r="J892" s="11"/>
    </row>
    <row r="893" spans="2:10" s="9" customFormat="1" x14ac:dyDescent="0.2">
      <c r="B893" s="10"/>
      <c r="C893" s="11"/>
      <c r="D893" s="11"/>
      <c r="E893" s="12"/>
      <c r="F893" s="12"/>
      <c r="G893" s="11"/>
      <c r="H893" s="11"/>
      <c r="I893" s="11"/>
      <c r="J893" s="11"/>
    </row>
    <row r="894" spans="2:10" s="9" customFormat="1" x14ac:dyDescent="0.2">
      <c r="B894" s="10"/>
      <c r="C894" s="11"/>
      <c r="D894" s="11"/>
      <c r="E894" s="12"/>
      <c r="F894" s="12"/>
      <c r="G894" s="11"/>
      <c r="H894" s="11"/>
      <c r="I894" s="11"/>
      <c r="J894" s="11"/>
    </row>
    <row r="895" spans="2:10" s="9" customFormat="1" x14ac:dyDescent="0.2">
      <c r="B895" s="10"/>
      <c r="C895" s="11"/>
      <c r="D895" s="11"/>
      <c r="E895" s="12"/>
      <c r="F895" s="12"/>
      <c r="G895" s="11"/>
      <c r="H895" s="11"/>
      <c r="I895" s="11"/>
      <c r="J895" s="11"/>
    </row>
    <row r="896" spans="2:10" s="9" customFormat="1" x14ac:dyDescent="0.2">
      <c r="B896" s="10"/>
      <c r="C896" s="11"/>
      <c r="D896" s="11"/>
      <c r="E896" s="12"/>
      <c r="F896" s="12"/>
      <c r="G896" s="11"/>
      <c r="H896" s="11"/>
      <c r="I896" s="11"/>
      <c r="J896" s="11"/>
    </row>
    <row r="897" spans="2:10" s="9" customFormat="1" x14ac:dyDescent="0.2">
      <c r="B897" s="10"/>
      <c r="C897" s="11"/>
      <c r="D897" s="11"/>
      <c r="E897" s="12"/>
      <c r="F897" s="12"/>
      <c r="G897" s="11"/>
      <c r="H897" s="11"/>
      <c r="I897" s="11"/>
      <c r="J897" s="11"/>
    </row>
    <row r="898" spans="2:10" s="9" customFormat="1" x14ac:dyDescent="0.2">
      <c r="B898" s="10"/>
      <c r="C898" s="11"/>
      <c r="D898" s="11"/>
      <c r="E898" s="12"/>
      <c r="F898" s="12"/>
      <c r="G898" s="11"/>
      <c r="H898" s="11"/>
      <c r="I898" s="11"/>
      <c r="J898" s="11"/>
    </row>
    <row r="899" spans="2:10" s="9" customFormat="1" x14ac:dyDescent="0.2">
      <c r="B899" s="10"/>
      <c r="C899" s="11"/>
      <c r="D899" s="11"/>
      <c r="E899" s="12"/>
      <c r="F899" s="12"/>
      <c r="G899" s="11"/>
      <c r="H899" s="11"/>
      <c r="I899" s="11"/>
      <c r="J899" s="11"/>
    </row>
    <row r="900" spans="2:10" s="9" customFormat="1" x14ac:dyDescent="0.2">
      <c r="B900" s="10"/>
      <c r="C900" s="11"/>
      <c r="D900" s="11"/>
      <c r="E900" s="12"/>
      <c r="F900" s="12"/>
      <c r="G900" s="11"/>
      <c r="H900" s="11"/>
      <c r="I900" s="11"/>
      <c r="J900" s="11"/>
    </row>
    <row r="901" spans="2:10" s="9" customFormat="1" x14ac:dyDescent="0.2">
      <c r="B901" s="10"/>
      <c r="C901" s="11"/>
      <c r="D901" s="11"/>
      <c r="E901" s="12"/>
      <c r="F901" s="12"/>
      <c r="G901" s="11"/>
      <c r="H901" s="11"/>
      <c r="I901" s="11"/>
      <c r="J901" s="11"/>
    </row>
    <row r="902" spans="2:10" s="9" customFormat="1" x14ac:dyDescent="0.2">
      <c r="B902" s="10"/>
      <c r="C902" s="11"/>
      <c r="D902" s="11"/>
      <c r="E902" s="12"/>
      <c r="F902" s="12"/>
      <c r="G902" s="11"/>
      <c r="H902" s="11"/>
      <c r="I902" s="11"/>
      <c r="J902" s="11"/>
    </row>
    <row r="903" spans="2:10" s="9" customFormat="1" x14ac:dyDescent="0.2">
      <c r="B903" s="10"/>
      <c r="C903" s="11"/>
      <c r="D903" s="11"/>
      <c r="E903" s="12"/>
      <c r="F903" s="12"/>
      <c r="G903" s="11"/>
      <c r="H903" s="11"/>
      <c r="I903" s="11"/>
      <c r="J903" s="11"/>
    </row>
    <row r="904" spans="2:10" s="9" customFormat="1" x14ac:dyDescent="0.2">
      <c r="B904" s="10"/>
      <c r="C904" s="11"/>
      <c r="D904" s="11"/>
      <c r="E904" s="12"/>
      <c r="F904" s="12"/>
      <c r="G904" s="11"/>
      <c r="H904" s="11"/>
      <c r="I904" s="11"/>
      <c r="J904" s="11"/>
    </row>
    <row r="905" spans="2:10" s="9" customFormat="1" x14ac:dyDescent="0.2">
      <c r="B905" s="10"/>
      <c r="C905" s="11"/>
      <c r="D905" s="11"/>
      <c r="E905" s="12"/>
      <c r="F905" s="12"/>
      <c r="G905" s="11"/>
      <c r="H905" s="11"/>
      <c r="I905" s="11"/>
      <c r="J905" s="11"/>
    </row>
    <row r="906" spans="2:10" s="9" customFormat="1" x14ac:dyDescent="0.2">
      <c r="B906" s="10"/>
      <c r="C906" s="11"/>
      <c r="D906" s="11"/>
      <c r="E906" s="12"/>
      <c r="F906" s="12"/>
      <c r="G906" s="11"/>
      <c r="H906" s="11"/>
      <c r="I906" s="11"/>
      <c r="J906" s="11"/>
    </row>
    <row r="907" spans="2:10" s="9" customFormat="1" x14ac:dyDescent="0.2">
      <c r="B907" s="10"/>
      <c r="C907" s="11"/>
      <c r="D907" s="11"/>
      <c r="E907" s="12"/>
      <c r="F907" s="12"/>
      <c r="G907" s="11"/>
      <c r="H907" s="11"/>
      <c r="I907" s="11"/>
      <c r="J907" s="11"/>
    </row>
    <row r="908" spans="2:10" s="9" customFormat="1" x14ac:dyDescent="0.2">
      <c r="B908" s="10"/>
      <c r="C908" s="11"/>
      <c r="D908" s="11"/>
      <c r="E908" s="12"/>
      <c r="F908" s="12"/>
      <c r="G908" s="11"/>
      <c r="H908" s="11"/>
      <c r="I908" s="11"/>
      <c r="J908" s="11"/>
    </row>
    <row r="909" spans="2:10" s="9" customFormat="1" x14ac:dyDescent="0.2">
      <c r="B909" s="10"/>
      <c r="C909" s="11"/>
      <c r="D909" s="11"/>
      <c r="E909" s="12"/>
      <c r="F909" s="12"/>
      <c r="G909" s="11"/>
      <c r="H909" s="11"/>
      <c r="I909" s="11"/>
      <c r="J909" s="11"/>
    </row>
    <row r="910" spans="2:10" s="9" customFormat="1" x14ac:dyDescent="0.2">
      <c r="B910" s="10"/>
      <c r="C910" s="11"/>
      <c r="D910" s="11"/>
      <c r="E910" s="12"/>
      <c r="F910" s="12"/>
      <c r="G910" s="11"/>
      <c r="H910" s="11"/>
      <c r="I910" s="11"/>
      <c r="J910" s="11"/>
    </row>
    <row r="911" spans="2:10" s="9" customFormat="1" x14ac:dyDescent="0.2">
      <c r="B911" s="10"/>
      <c r="C911" s="11"/>
      <c r="D911" s="11"/>
      <c r="E911" s="12"/>
      <c r="F911" s="12"/>
      <c r="G911" s="11"/>
      <c r="H911" s="11"/>
      <c r="I911" s="11"/>
      <c r="J911" s="11"/>
    </row>
    <row r="912" spans="2:10" s="9" customFormat="1" x14ac:dyDescent="0.2">
      <c r="B912" s="10"/>
      <c r="C912" s="11"/>
      <c r="D912" s="11"/>
      <c r="E912" s="12"/>
      <c r="F912" s="12"/>
      <c r="G912" s="11"/>
      <c r="H912" s="11"/>
      <c r="I912" s="11"/>
      <c r="J912" s="11"/>
    </row>
    <row r="913" spans="2:10" s="9" customFormat="1" x14ac:dyDescent="0.2">
      <c r="B913" s="10"/>
      <c r="C913" s="11"/>
      <c r="D913" s="11"/>
      <c r="E913" s="12"/>
      <c r="F913" s="12"/>
      <c r="G913" s="11"/>
      <c r="H913" s="11"/>
      <c r="I913" s="11"/>
      <c r="J913" s="11"/>
    </row>
    <row r="914" spans="2:10" s="9" customFormat="1" x14ac:dyDescent="0.2">
      <c r="B914" s="10"/>
      <c r="C914" s="11"/>
      <c r="D914" s="11"/>
      <c r="E914" s="12"/>
      <c r="F914" s="12"/>
      <c r="G914" s="11"/>
      <c r="H914" s="11"/>
      <c r="I914" s="11"/>
      <c r="J914" s="11"/>
    </row>
    <row r="915" spans="2:10" s="9" customFormat="1" x14ac:dyDescent="0.2">
      <c r="B915" s="10"/>
      <c r="C915" s="11"/>
      <c r="D915" s="11"/>
      <c r="E915" s="12"/>
      <c r="F915" s="12"/>
      <c r="G915" s="11"/>
      <c r="H915" s="11"/>
      <c r="I915" s="11"/>
      <c r="J915" s="11"/>
    </row>
    <row r="916" spans="2:10" s="9" customFormat="1" x14ac:dyDescent="0.2">
      <c r="B916" s="10"/>
      <c r="C916" s="11"/>
      <c r="D916" s="11"/>
      <c r="E916" s="12"/>
      <c r="F916" s="12"/>
      <c r="G916" s="11"/>
      <c r="H916" s="11"/>
      <c r="I916" s="11"/>
      <c r="J916" s="11"/>
    </row>
    <row r="917" spans="2:10" s="9" customFormat="1" x14ac:dyDescent="0.2">
      <c r="B917" s="10"/>
      <c r="C917" s="11"/>
      <c r="D917" s="11"/>
      <c r="E917" s="12"/>
      <c r="F917" s="12"/>
      <c r="G917" s="11"/>
      <c r="H917" s="11"/>
      <c r="I917" s="11"/>
      <c r="J917" s="11"/>
    </row>
    <row r="918" spans="2:10" s="9" customFormat="1" x14ac:dyDescent="0.2">
      <c r="B918" s="10"/>
      <c r="C918" s="11"/>
      <c r="D918" s="11"/>
      <c r="E918" s="12"/>
      <c r="F918" s="12"/>
      <c r="G918" s="11"/>
      <c r="H918" s="11"/>
      <c r="I918" s="11"/>
      <c r="J918" s="11"/>
    </row>
    <row r="919" spans="2:10" s="9" customFormat="1" x14ac:dyDescent="0.2">
      <c r="B919" s="10"/>
      <c r="C919" s="11"/>
      <c r="D919" s="11"/>
      <c r="E919" s="12"/>
      <c r="F919" s="12"/>
      <c r="G919" s="11"/>
      <c r="H919" s="11"/>
      <c r="I919" s="11"/>
      <c r="J919" s="11"/>
    </row>
    <row r="920" spans="2:10" s="9" customFormat="1" x14ac:dyDescent="0.2">
      <c r="B920" s="10"/>
      <c r="C920" s="11"/>
      <c r="D920" s="11"/>
      <c r="E920" s="12"/>
      <c r="F920" s="12"/>
      <c r="G920" s="11"/>
      <c r="H920" s="11"/>
      <c r="I920" s="11"/>
      <c r="J920" s="11"/>
    </row>
    <row r="921" spans="2:10" s="9" customFormat="1" x14ac:dyDescent="0.2">
      <c r="B921" s="10"/>
      <c r="C921" s="11"/>
      <c r="D921" s="11"/>
      <c r="E921" s="12"/>
      <c r="F921" s="12"/>
      <c r="G921" s="11"/>
      <c r="H921" s="11"/>
      <c r="I921" s="11"/>
      <c r="J921" s="11"/>
    </row>
    <row r="922" spans="2:10" s="9" customFormat="1" x14ac:dyDescent="0.2">
      <c r="B922" s="10"/>
      <c r="C922" s="11"/>
      <c r="D922" s="11"/>
      <c r="E922" s="12"/>
      <c r="F922" s="12"/>
      <c r="G922" s="11"/>
      <c r="H922" s="11"/>
      <c r="I922" s="11"/>
      <c r="J922" s="11"/>
    </row>
    <row r="923" spans="2:10" s="9" customFormat="1" x14ac:dyDescent="0.2">
      <c r="B923" s="10"/>
      <c r="C923" s="11"/>
      <c r="D923" s="11"/>
      <c r="E923" s="12"/>
      <c r="F923" s="12"/>
      <c r="G923" s="11"/>
      <c r="H923" s="11"/>
      <c r="I923" s="11"/>
      <c r="J923" s="11"/>
    </row>
    <row r="924" spans="2:10" s="9" customFormat="1" x14ac:dyDescent="0.2">
      <c r="B924" s="10"/>
      <c r="C924" s="11"/>
      <c r="D924" s="11"/>
      <c r="E924" s="12"/>
      <c r="F924" s="12"/>
      <c r="G924" s="11"/>
      <c r="H924" s="11"/>
      <c r="I924" s="11"/>
      <c r="J924" s="11"/>
    </row>
    <row r="925" spans="2:10" s="9" customFormat="1" x14ac:dyDescent="0.2">
      <c r="B925" s="10"/>
      <c r="C925" s="11"/>
      <c r="D925" s="11"/>
      <c r="E925" s="12"/>
      <c r="F925" s="12"/>
      <c r="G925" s="11"/>
      <c r="H925" s="11"/>
      <c r="I925" s="11"/>
      <c r="J925" s="11"/>
    </row>
    <row r="926" spans="2:10" s="9" customFormat="1" x14ac:dyDescent="0.2">
      <c r="B926" s="10"/>
      <c r="C926" s="11"/>
      <c r="D926" s="11"/>
      <c r="E926" s="12"/>
      <c r="F926" s="12"/>
      <c r="G926" s="11"/>
      <c r="H926" s="11"/>
      <c r="I926" s="11"/>
      <c r="J926" s="11"/>
    </row>
    <row r="927" spans="2:10" s="9" customFormat="1" x14ac:dyDescent="0.2">
      <c r="B927" s="10"/>
      <c r="C927" s="11"/>
      <c r="D927" s="11"/>
      <c r="E927" s="12"/>
      <c r="F927" s="12"/>
      <c r="G927" s="11"/>
      <c r="H927" s="11"/>
      <c r="I927" s="11"/>
      <c r="J927" s="11"/>
    </row>
    <row r="928" spans="2:10" s="9" customFormat="1" x14ac:dyDescent="0.2">
      <c r="B928" s="10"/>
      <c r="C928" s="11"/>
      <c r="D928" s="11"/>
      <c r="E928" s="12"/>
      <c r="F928" s="12"/>
      <c r="G928" s="11"/>
      <c r="H928" s="11"/>
      <c r="I928" s="11"/>
      <c r="J928" s="11"/>
    </row>
    <row r="929" spans="2:10" s="9" customFormat="1" x14ac:dyDescent="0.2">
      <c r="B929" s="10"/>
      <c r="C929" s="11"/>
      <c r="D929" s="11"/>
      <c r="E929" s="12"/>
      <c r="F929" s="12"/>
      <c r="G929" s="11"/>
      <c r="H929" s="11"/>
      <c r="I929" s="11"/>
      <c r="J929" s="11"/>
    </row>
  </sheetData>
  <mergeCells count="1">
    <mergeCell ref="K2:L2"/>
  </mergeCells>
  <pageMargins left="0.78740157480314965" right="0.51181102362204722" top="1.7322834645669292" bottom="0.78740157480314965" header="0.39370078740157483" footer="0.51181102362204722"/>
  <pageSetup paperSize="9" orientation="landscape" r:id="rId1"/>
  <headerFooter scaleWithDoc="0" alignWithMargins="0">
    <oddHeader xml:space="preserve">&amp;L&amp;"Verdana,Standard"&amp;11Prozessgruppe
&amp;"Verdana,Fett"PR&amp;"Verdana,Standard"&amp;10
&amp;K000000
&amp;C&amp;G&amp;R&amp;"Verdana,Fett"&amp;18FM-209
&amp;10
&amp;12Zelldaten Produktion&amp;10
&amp;8
</oddHeader>
    <oddFooter>&amp;L09.02.2017/SB&amp;CFM-209.A.Zelldaten Produktion&amp;R&amp;"Verdana,Standard"&amp;9Seite &amp;P von &amp;N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942"/>
  <sheetViews>
    <sheetView workbookViewId="0">
      <pane ySplit="2" topLeftCell="A3" activePane="bottomLeft" state="frozen"/>
      <selection pane="bottomLeft" activeCell="C18" sqref="C18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9.5703125" style="2" customWidth="1"/>
    <col min="5" max="5" width="13.28515625" style="3" customWidth="1"/>
    <col min="6" max="6" width="13.28515625" style="42" customWidth="1"/>
    <col min="7" max="7" width="13.28515625" style="31" customWidth="1"/>
    <col min="8" max="8" width="10" style="31" bestFit="1" customWidth="1"/>
    <col min="9" max="10" width="12.28515625" style="2" customWidth="1"/>
    <col min="11" max="11" width="29.5703125" customWidth="1"/>
    <col min="12" max="12" width="53.85546875" customWidth="1"/>
    <col min="13" max="13" width="8.7109375" customWidth="1"/>
    <col min="14" max="14" width="12" style="9" customWidth="1"/>
    <col min="15" max="15" width="12.42578125" style="9" customWidth="1"/>
    <col min="16" max="45" width="11.28515625" style="9"/>
  </cols>
  <sheetData>
    <row r="1" spans="2:15" s="9" customFormat="1" x14ac:dyDescent="0.2">
      <c r="F1" s="29"/>
      <c r="G1" s="29"/>
      <c r="H1" s="29"/>
    </row>
    <row r="2" spans="2:15" ht="32.25" x14ac:dyDescent="0.2">
      <c r="B2" s="4" t="s">
        <v>0</v>
      </c>
      <c r="C2" s="4" t="s">
        <v>8</v>
      </c>
      <c r="D2" s="8" t="s">
        <v>4</v>
      </c>
      <c r="E2" s="5" t="s">
        <v>361</v>
      </c>
      <c r="F2" s="5" t="s">
        <v>362</v>
      </c>
      <c r="G2" s="5" t="s">
        <v>7</v>
      </c>
      <c r="H2" s="5" t="s">
        <v>6</v>
      </c>
      <c r="I2" s="5" t="s">
        <v>5</v>
      </c>
      <c r="J2" s="5" t="s">
        <v>1</v>
      </c>
      <c r="K2" s="158" t="s">
        <v>2</v>
      </c>
      <c r="L2" s="159"/>
      <c r="M2" s="4" t="s">
        <v>3</v>
      </c>
      <c r="N2" s="27" t="s">
        <v>360</v>
      </c>
      <c r="O2" s="27">
        <v>2017</v>
      </c>
    </row>
    <row r="3" spans="2:15" x14ac:dyDescent="0.2">
      <c r="B3" s="13" t="s">
        <v>463</v>
      </c>
      <c r="C3" s="13" t="s">
        <v>405</v>
      </c>
      <c r="D3" s="14">
        <v>0.5</v>
      </c>
      <c r="E3" s="15"/>
      <c r="F3" s="15">
        <v>1.8879999999999999</v>
      </c>
      <c r="G3" s="15">
        <v>1.8779999999999999</v>
      </c>
      <c r="H3" s="7">
        <f>F3-G3</f>
        <v>1.0000000000000009E-2</v>
      </c>
      <c r="I3" s="15" t="s">
        <v>183</v>
      </c>
      <c r="J3" s="15" t="s">
        <v>392</v>
      </c>
      <c r="K3" s="15"/>
      <c r="L3" s="13"/>
      <c r="M3" s="6"/>
      <c r="O3" s="26"/>
    </row>
    <row r="4" spans="2:15" x14ac:dyDescent="0.2">
      <c r="B4" s="13" t="s">
        <v>464</v>
      </c>
      <c r="C4" s="13" t="s">
        <v>41</v>
      </c>
      <c r="D4" s="14">
        <v>0.7</v>
      </c>
      <c r="E4" s="15"/>
      <c r="F4" s="15">
        <v>1.883</v>
      </c>
      <c r="G4" s="15">
        <v>1.87</v>
      </c>
      <c r="H4" s="7">
        <f>F4-G4</f>
        <v>1.2999999999999901E-2</v>
      </c>
      <c r="I4" s="13" t="s">
        <v>41</v>
      </c>
      <c r="J4" s="15" t="s">
        <v>41</v>
      </c>
      <c r="K4" s="15"/>
      <c r="L4" s="15"/>
      <c r="M4" s="6"/>
    </row>
    <row r="5" spans="2:15" x14ac:dyDescent="0.2">
      <c r="B5" s="13" t="s">
        <v>472</v>
      </c>
      <c r="C5" s="13" t="s">
        <v>41</v>
      </c>
      <c r="D5" s="13">
        <v>0.4</v>
      </c>
      <c r="E5" s="13"/>
      <c r="F5" s="15">
        <v>1.881</v>
      </c>
      <c r="G5" s="15">
        <v>1.865</v>
      </c>
      <c r="H5" s="7">
        <f t="shared" ref="H5:H15" si="0">F5-G5</f>
        <v>1.6000000000000014E-2</v>
      </c>
      <c r="I5" s="13" t="s">
        <v>41</v>
      </c>
      <c r="J5" s="13" t="s">
        <v>41</v>
      </c>
      <c r="K5" s="19"/>
      <c r="L5" s="13"/>
      <c r="M5" s="6"/>
    </row>
    <row r="6" spans="2:15" x14ac:dyDescent="0.2">
      <c r="B6" s="13" t="s">
        <v>473</v>
      </c>
      <c r="C6" s="13" t="s">
        <v>478</v>
      </c>
      <c r="D6" s="13">
        <v>0.4</v>
      </c>
      <c r="E6" s="13"/>
      <c r="F6" s="15">
        <v>1.873</v>
      </c>
      <c r="G6" s="15">
        <v>1.859</v>
      </c>
      <c r="H6" s="7">
        <f t="shared" si="0"/>
        <v>1.4000000000000012E-2</v>
      </c>
      <c r="I6" s="13" t="s">
        <v>41</v>
      </c>
      <c r="J6" s="13" t="s">
        <v>41</v>
      </c>
      <c r="K6" s="19"/>
      <c r="L6" s="13"/>
      <c r="M6" s="6"/>
    </row>
    <row r="7" spans="2:15" x14ac:dyDescent="0.2">
      <c r="B7" s="13" t="s">
        <v>474</v>
      </c>
      <c r="C7" s="13" t="s">
        <v>41</v>
      </c>
      <c r="D7" s="14">
        <v>0.6</v>
      </c>
      <c r="E7" s="13"/>
      <c r="F7" s="15">
        <v>1.865</v>
      </c>
      <c r="G7" s="15">
        <v>1.851</v>
      </c>
      <c r="H7" s="7">
        <f t="shared" si="0"/>
        <v>1.4000000000000012E-2</v>
      </c>
      <c r="I7" s="13" t="s">
        <v>41</v>
      </c>
      <c r="J7" s="13" t="s">
        <v>41</v>
      </c>
      <c r="K7" s="13"/>
      <c r="L7" s="20"/>
      <c r="M7" s="6"/>
    </row>
    <row r="8" spans="2:15" x14ac:dyDescent="0.2">
      <c r="B8" s="13" t="s">
        <v>475</v>
      </c>
      <c r="C8" s="13" t="s">
        <v>41</v>
      </c>
      <c r="D8" s="14">
        <v>0.3</v>
      </c>
      <c r="E8" s="13"/>
      <c r="F8" s="15">
        <v>1.865</v>
      </c>
      <c r="G8" s="15">
        <v>1.85</v>
      </c>
      <c r="H8" s="7">
        <f t="shared" si="0"/>
        <v>1.4999999999999902E-2</v>
      </c>
      <c r="I8" s="13" t="s">
        <v>41</v>
      </c>
      <c r="J8" s="13" t="s">
        <v>41</v>
      </c>
      <c r="K8" s="13"/>
      <c r="L8" s="13"/>
      <c r="M8" s="6"/>
    </row>
    <row r="9" spans="2:15" x14ac:dyDescent="0.2">
      <c r="B9" s="13" t="s">
        <v>476</v>
      </c>
      <c r="C9" s="13" t="s">
        <v>41</v>
      </c>
      <c r="D9" s="14">
        <v>0.2</v>
      </c>
      <c r="E9" s="15"/>
      <c r="F9" s="15">
        <v>1.853</v>
      </c>
      <c r="G9" s="15">
        <v>1.8380000000000001</v>
      </c>
      <c r="H9" s="7">
        <f t="shared" si="0"/>
        <v>1.4999999999999902E-2</v>
      </c>
      <c r="I9" s="13" t="s">
        <v>41</v>
      </c>
      <c r="J9" s="13" t="s">
        <v>41</v>
      </c>
      <c r="K9" s="19"/>
      <c r="L9" s="13"/>
      <c r="M9" s="6"/>
    </row>
    <row r="10" spans="2:15" x14ac:dyDescent="0.2">
      <c r="B10" s="13" t="s">
        <v>477</v>
      </c>
      <c r="C10" s="13" t="s">
        <v>41</v>
      </c>
      <c r="D10" s="16">
        <v>0</v>
      </c>
      <c r="E10" s="15"/>
      <c r="F10" s="15">
        <v>1.831</v>
      </c>
      <c r="G10" s="15">
        <v>1.8180000000000001</v>
      </c>
      <c r="H10" s="7">
        <f t="shared" si="0"/>
        <v>1.2999999999999901E-2</v>
      </c>
      <c r="I10" s="13" t="s">
        <v>41</v>
      </c>
      <c r="J10" s="13" t="s">
        <v>41</v>
      </c>
      <c r="K10" s="15"/>
      <c r="L10" s="13"/>
      <c r="M10" s="6"/>
    </row>
    <row r="11" spans="2:15" x14ac:dyDescent="0.2">
      <c r="B11" s="13" t="s">
        <v>481</v>
      </c>
      <c r="C11" s="13" t="s">
        <v>471</v>
      </c>
      <c r="D11" s="16"/>
      <c r="E11" s="15"/>
      <c r="F11" s="15"/>
      <c r="G11" s="15"/>
      <c r="H11" s="7">
        <f t="shared" si="0"/>
        <v>0</v>
      </c>
      <c r="I11" s="15" t="s">
        <v>328</v>
      </c>
      <c r="J11" s="13" t="s">
        <v>459</v>
      </c>
      <c r="K11" s="15"/>
      <c r="L11" s="13"/>
      <c r="M11" s="6"/>
    </row>
    <row r="12" spans="2:15" x14ac:dyDescent="0.2">
      <c r="B12" s="13" t="s">
        <v>482</v>
      </c>
      <c r="C12" s="13" t="s">
        <v>41</v>
      </c>
      <c r="D12" s="16">
        <v>1</v>
      </c>
      <c r="E12" s="15"/>
      <c r="F12" s="15">
        <v>1.8680000000000001</v>
      </c>
      <c r="G12" s="15">
        <v>1.8560000000000001</v>
      </c>
      <c r="H12" s="7">
        <f t="shared" si="0"/>
        <v>1.2000000000000011E-2</v>
      </c>
      <c r="I12" s="13" t="s">
        <v>41</v>
      </c>
      <c r="J12" s="13" t="s">
        <v>41</v>
      </c>
      <c r="K12" s="15"/>
      <c r="L12" s="13"/>
      <c r="M12" s="6"/>
    </row>
    <row r="13" spans="2:15" x14ac:dyDescent="0.2">
      <c r="B13" s="13" t="s">
        <v>483</v>
      </c>
      <c r="C13" s="13" t="s">
        <v>41</v>
      </c>
      <c r="D13" s="16">
        <v>0.8</v>
      </c>
      <c r="E13" s="15"/>
      <c r="F13" s="15">
        <v>1.8680000000000001</v>
      </c>
      <c r="G13" s="15">
        <v>1.859</v>
      </c>
      <c r="H13" s="7">
        <f t="shared" si="0"/>
        <v>9.000000000000119E-3</v>
      </c>
      <c r="I13" s="13" t="s">
        <v>41</v>
      </c>
      <c r="J13" s="13" t="s">
        <v>41</v>
      </c>
      <c r="K13" s="15"/>
      <c r="L13" s="13"/>
      <c r="M13" s="6"/>
    </row>
    <row r="14" spans="2:15" x14ac:dyDescent="0.2">
      <c r="B14" s="13" t="s">
        <v>484</v>
      </c>
      <c r="C14" s="13" t="s">
        <v>41</v>
      </c>
      <c r="D14" s="16">
        <v>0.9</v>
      </c>
      <c r="E14" s="15"/>
      <c r="F14" s="15">
        <v>1.857</v>
      </c>
      <c r="G14" s="15">
        <v>1.843</v>
      </c>
      <c r="H14" s="7">
        <f t="shared" si="0"/>
        <v>1.4000000000000012E-2</v>
      </c>
      <c r="I14" s="13" t="s">
        <v>41</v>
      </c>
      <c r="J14" s="13" t="s">
        <v>41</v>
      </c>
      <c r="K14" s="15"/>
      <c r="L14" s="13" t="s">
        <v>486</v>
      </c>
      <c r="M14" s="6"/>
    </row>
    <row r="15" spans="2:15" x14ac:dyDescent="0.2">
      <c r="B15" s="13" t="s">
        <v>485</v>
      </c>
      <c r="C15" s="13" t="s">
        <v>41</v>
      </c>
      <c r="D15" s="16">
        <v>0.7</v>
      </c>
      <c r="E15" s="15">
        <v>1.85</v>
      </c>
      <c r="F15" s="15">
        <v>5.5590000000000002</v>
      </c>
      <c r="G15" s="15">
        <v>5.5220000000000002</v>
      </c>
      <c r="H15" s="7">
        <f t="shared" si="0"/>
        <v>3.6999999999999922E-2</v>
      </c>
      <c r="I15" s="15" t="s">
        <v>335</v>
      </c>
      <c r="J15" s="15" t="s">
        <v>479</v>
      </c>
      <c r="K15" s="15" t="s">
        <v>480</v>
      </c>
      <c r="L15" s="13"/>
      <c r="M15" s="6"/>
    </row>
    <row r="16" spans="2:15" x14ac:dyDescent="0.2">
      <c r="B16" s="13"/>
      <c r="C16" s="13" t="s">
        <v>41</v>
      </c>
      <c r="D16" s="16"/>
      <c r="E16" s="15">
        <v>1.853</v>
      </c>
      <c r="F16" s="15"/>
      <c r="G16" s="15"/>
      <c r="H16" s="7"/>
      <c r="I16" s="15"/>
      <c r="J16" s="15"/>
      <c r="K16" s="15"/>
      <c r="L16" s="13"/>
      <c r="M16" s="6"/>
    </row>
    <row r="17" spans="2:13" x14ac:dyDescent="0.2">
      <c r="B17" s="13"/>
      <c r="C17" s="13" t="s">
        <v>41</v>
      </c>
      <c r="D17" s="16"/>
      <c r="E17" s="15">
        <v>1.8560000000000001</v>
      </c>
      <c r="F17" s="15"/>
      <c r="G17" s="15"/>
      <c r="H17" s="7"/>
      <c r="I17" s="15"/>
      <c r="J17" s="15"/>
      <c r="K17" s="13"/>
      <c r="L17" s="13"/>
      <c r="M17" s="6"/>
    </row>
    <row r="18" spans="2:13" x14ac:dyDescent="0.2">
      <c r="B18" s="13" t="s">
        <v>488</v>
      </c>
      <c r="C18" s="13" t="s">
        <v>478</v>
      </c>
      <c r="D18" s="16">
        <v>0.6</v>
      </c>
      <c r="E18" s="15"/>
      <c r="F18" s="15">
        <v>1.8740000000000001</v>
      </c>
      <c r="G18" s="15">
        <v>1.865</v>
      </c>
      <c r="H18" s="7">
        <f t="shared" ref="H18:H79" si="1">F18-G18</f>
        <v>9.000000000000119E-3</v>
      </c>
      <c r="I18" s="15" t="s">
        <v>183</v>
      </c>
      <c r="J18" s="15" t="s">
        <v>487</v>
      </c>
      <c r="K18" s="13"/>
      <c r="L18" s="13"/>
      <c r="M18" s="6"/>
    </row>
    <row r="19" spans="2:13" x14ac:dyDescent="0.2">
      <c r="B19" s="13" t="s">
        <v>489</v>
      </c>
      <c r="C19" s="15" t="s">
        <v>41</v>
      </c>
      <c r="D19" s="16">
        <v>0.7</v>
      </c>
      <c r="E19" s="15"/>
      <c r="F19" s="15">
        <v>1.8779999999999999</v>
      </c>
      <c r="G19" s="15">
        <v>1.8660000000000001</v>
      </c>
      <c r="H19" s="7">
        <f t="shared" si="1"/>
        <v>1.1999999999999789E-2</v>
      </c>
      <c r="I19" s="15" t="s">
        <v>41</v>
      </c>
      <c r="J19" s="15" t="s">
        <v>41</v>
      </c>
      <c r="K19" s="13"/>
      <c r="L19" s="13"/>
      <c r="M19" s="6"/>
    </row>
    <row r="20" spans="2:13" x14ac:dyDescent="0.2">
      <c r="B20" s="13" t="s">
        <v>490</v>
      </c>
      <c r="C20" s="15" t="s">
        <v>41</v>
      </c>
      <c r="D20" s="16">
        <v>0.6</v>
      </c>
      <c r="E20" s="15"/>
      <c r="F20" s="15">
        <v>1.883</v>
      </c>
      <c r="G20" s="15">
        <v>1.873</v>
      </c>
      <c r="H20" s="7">
        <f t="shared" si="1"/>
        <v>1.0000000000000009E-2</v>
      </c>
      <c r="I20" s="15" t="s">
        <v>41</v>
      </c>
      <c r="J20" s="15" t="s">
        <v>41</v>
      </c>
      <c r="K20" s="13"/>
      <c r="L20" s="13"/>
      <c r="M20" s="6"/>
    </row>
    <row r="21" spans="2:13" x14ac:dyDescent="0.2">
      <c r="B21" s="13" t="s">
        <v>491</v>
      </c>
      <c r="C21" s="15" t="s">
        <v>41</v>
      </c>
      <c r="D21" s="16">
        <v>0.6</v>
      </c>
      <c r="E21" s="15"/>
      <c r="F21" s="15">
        <v>1.887</v>
      </c>
      <c r="G21" s="15">
        <v>1.877</v>
      </c>
      <c r="H21" s="7">
        <f t="shared" si="1"/>
        <v>1.0000000000000009E-2</v>
      </c>
      <c r="I21" s="15" t="s">
        <v>41</v>
      </c>
      <c r="J21" s="15" t="s">
        <v>41</v>
      </c>
      <c r="K21" s="13"/>
      <c r="L21" s="13"/>
      <c r="M21" s="6"/>
    </row>
    <row r="22" spans="2:13" x14ac:dyDescent="0.2">
      <c r="B22" s="13" t="s">
        <v>492</v>
      </c>
      <c r="C22" s="13" t="s">
        <v>41</v>
      </c>
      <c r="D22" s="16">
        <v>0.7</v>
      </c>
      <c r="E22" s="15"/>
      <c r="F22" s="15">
        <v>1.89</v>
      </c>
      <c r="G22" s="15">
        <v>1.88</v>
      </c>
      <c r="H22" s="7">
        <f t="shared" si="1"/>
        <v>1.0000000000000009E-2</v>
      </c>
      <c r="I22" s="13" t="s">
        <v>41</v>
      </c>
      <c r="J22" s="13" t="s">
        <v>41</v>
      </c>
      <c r="K22" s="13"/>
      <c r="L22" s="13"/>
      <c r="M22" s="6"/>
    </row>
    <row r="23" spans="2:13" x14ac:dyDescent="0.2">
      <c r="B23" s="13" t="s">
        <v>493</v>
      </c>
      <c r="C23" s="13" t="s">
        <v>41</v>
      </c>
      <c r="D23" s="16">
        <v>0.4</v>
      </c>
      <c r="E23" s="15"/>
      <c r="F23" s="15">
        <v>1.88</v>
      </c>
      <c r="G23" s="15">
        <v>1.87</v>
      </c>
      <c r="H23" s="7">
        <f t="shared" si="1"/>
        <v>9.9999999999997868E-3</v>
      </c>
      <c r="I23" s="13" t="s">
        <v>41</v>
      </c>
      <c r="J23" s="13" t="s">
        <v>41</v>
      </c>
      <c r="K23" s="13"/>
      <c r="L23" s="13"/>
      <c r="M23" s="6"/>
    </row>
    <row r="24" spans="2:13" x14ac:dyDescent="0.2">
      <c r="B24" s="13" t="s">
        <v>494</v>
      </c>
      <c r="C24" s="13" t="s">
        <v>41</v>
      </c>
      <c r="D24" s="16">
        <v>0.7</v>
      </c>
      <c r="E24" s="15"/>
      <c r="F24" s="15">
        <v>1.8720000000000001</v>
      </c>
      <c r="G24" s="15">
        <v>1.865</v>
      </c>
      <c r="H24" s="7">
        <f t="shared" si="1"/>
        <v>7.0000000000001172E-3</v>
      </c>
      <c r="I24" s="13" t="s">
        <v>41</v>
      </c>
      <c r="J24" s="13" t="s">
        <v>41</v>
      </c>
      <c r="K24" s="13"/>
      <c r="L24" s="13"/>
      <c r="M24" s="6"/>
    </row>
    <row r="25" spans="2:13" x14ac:dyDescent="0.2">
      <c r="B25" s="13" t="s">
        <v>495</v>
      </c>
      <c r="C25" s="13" t="s">
        <v>41</v>
      </c>
      <c r="D25" s="16">
        <v>0.6</v>
      </c>
      <c r="E25" s="17"/>
      <c r="F25" s="17">
        <v>1.8859999999999999</v>
      </c>
      <c r="G25" s="17">
        <v>1.877</v>
      </c>
      <c r="H25" s="7">
        <f t="shared" si="1"/>
        <v>8.999999999999897E-3</v>
      </c>
      <c r="I25" s="13" t="s">
        <v>41</v>
      </c>
      <c r="J25" s="13" t="s">
        <v>41</v>
      </c>
      <c r="K25" s="13" t="s">
        <v>498</v>
      </c>
      <c r="L25" s="23" t="s">
        <v>499</v>
      </c>
      <c r="M25" s="6"/>
    </row>
    <row r="26" spans="2:13" x14ac:dyDescent="0.2">
      <c r="B26" s="13" t="s">
        <v>496</v>
      </c>
      <c r="C26" s="13" t="s">
        <v>41</v>
      </c>
      <c r="D26" s="16">
        <v>0.8</v>
      </c>
      <c r="E26" s="17"/>
      <c r="F26" s="17">
        <v>1.88</v>
      </c>
      <c r="G26" s="17">
        <v>1.87</v>
      </c>
      <c r="H26" s="7">
        <f t="shared" si="1"/>
        <v>9.9999999999997868E-3</v>
      </c>
      <c r="I26" s="13" t="s">
        <v>41</v>
      </c>
      <c r="J26" s="13" t="s">
        <v>41</v>
      </c>
      <c r="K26" s="15"/>
      <c r="L26" s="13"/>
      <c r="M26" s="6"/>
    </row>
    <row r="27" spans="2:13" x14ac:dyDescent="0.2">
      <c r="B27" s="13" t="s">
        <v>497</v>
      </c>
      <c r="C27" s="13" t="s">
        <v>41</v>
      </c>
      <c r="D27" s="16">
        <v>0.6</v>
      </c>
      <c r="E27" s="17"/>
      <c r="F27" s="17">
        <v>1.883</v>
      </c>
      <c r="G27" s="17">
        <v>1.877</v>
      </c>
      <c r="H27" s="7">
        <f t="shared" si="1"/>
        <v>6.0000000000000053E-3</v>
      </c>
      <c r="I27" s="13" t="s">
        <v>41</v>
      </c>
      <c r="J27" s="13" t="s">
        <v>41</v>
      </c>
      <c r="K27" s="15"/>
      <c r="L27" s="13"/>
      <c r="M27" s="6"/>
    </row>
    <row r="28" spans="2:13" x14ac:dyDescent="0.2">
      <c r="B28" s="13" t="s">
        <v>503</v>
      </c>
      <c r="C28" s="13" t="s">
        <v>471</v>
      </c>
      <c r="D28" s="14">
        <v>4.4000000000000004</v>
      </c>
      <c r="E28" s="15"/>
      <c r="F28" s="15">
        <v>1.9179999999999999</v>
      </c>
      <c r="G28" s="15">
        <v>1.9079999999999999</v>
      </c>
      <c r="H28" s="7">
        <f t="shared" si="1"/>
        <v>1.0000000000000009E-2</v>
      </c>
      <c r="I28" s="6" t="s">
        <v>197</v>
      </c>
      <c r="J28" s="15" t="s">
        <v>500</v>
      </c>
      <c r="K28" s="15" t="s">
        <v>511</v>
      </c>
      <c r="L28" s="13"/>
      <c r="M28" s="6"/>
    </row>
    <row r="29" spans="2:13" x14ac:dyDescent="0.2">
      <c r="B29" s="13" t="s">
        <v>504</v>
      </c>
      <c r="C29" s="13" t="s">
        <v>41</v>
      </c>
      <c r="D29" s="14">
        <v>8.4</v>
      </c>
      <c r="E29" s="15"/>
      <c r="F29" s="15">
        <v>1.9119999999999999</v>
      </c>
      <c r="G29" s="15">
        <v>1.905</v>
      </c>
      <c r="H29" s="7">
        <f t="shared" si="1"/>
        <v>6.9999999999998952E-3</v>
      </c>
      <c r="I29" s="13" t="s">
        <v>41</v>
      </c>
      <c r="J29" s="13" t="s">
        <v>41</v>
      </c>
      <c r="K29" s="15" t="s">
        <v>509</v>
      </c>
      <c r="L29" s="13"/>
      <c r="M29" s="6"/>
    </row>
    <row r="30" spans="2:13" x14ac:dyDescent="0.2">
      <c r="B30" s="13" t="s">
        <v>505</v>
      </c>
      <c r="C30" s="13" t="s">
        <v>41</v>
      </c>
      <c r="D30" s="14">
        <v>7.4</v>
      </c>
      <c r="E30" s="15"/>
      <c r="F30" s="15">
        <v>1.913</v>
      </c>
      <c r="G30" s="15">
        <v>1.9059999999999999</v>
      </c>
      <c r="H30" s="7">
        <f t="shared" si="1"/>
        <v>7.0000000000001172E-3</v>
      </c>
      <c r="I30" s="13" t="s">
        <v>41</v>
      </c>
      <c r="J30" s="13" t="s">
        <v>41</v>
      </c>
      <c r="K30" s="15" t="s">
        <v>510</v>
      </c>
      <c r="L30" s="13"/>
      <c r="M30" s="6"/>
    </row>
    <row r="31" spans="2:13" x14ac:dyDescent="0.2">
      <c r="B31" s="13" t="s">
        <v>506</v>
      </c>
      <c r="C31" s="13" t="s">
        <v>41</v>
      </c>
      <c r="D31" s="14">
        <v>4.3</v>
      </c>
      <c r="E31" s="15"/>
      <c r="F31" s="15">
        <v>1.893</v>
      </c>
      <c r="G31" s="15">
        <v>1.8839999999999999</v>
      </c>
      <c r="H31" s="7">
        <f t="shared" si="1"/>
        <v>9.000000000000119E-3</v>
      </c>
      <c r="I31" s="13" t="s">
        <v>41</v>
      </c>
      <c r="J31" s="13" t="s">
        <v>41</v>
      </c>
      <c r="K31" s="15" t="s">
        <v>512</v>
      </c>
      <c r="L31" s="13"/>
      <c r="M31" s="6"/>
    </row>
    <row r="32" spans="2:13" x14ac:dyDescent="0.2">
      <c r="B32" s="13" t="s">
        <v>507</v>
      </c>
      <c r="C32" s="13" t="s">
        <v>447</v>
      </c>
      <c r="D32" s="14">
        <v>7.6</v>
      </c>
      <c r="E32" s="15"/>
      <c r="F32" s="15">
        <v>1.887</v>
      </c>
      <c r="G32" s="15">
        <v>1.88</v>
      </c>
      <c r="H32" s="7">
        <f t="shared" si="1"/>
        <v>7.0000000000001172E-3</v>
      </c>
      <c r="I32" s="13" t="s">
        <v>41</v>
      </c>
      <c r="J32" s="13" t="s">
        <v>41</v>
      </c>
      <c r="K32" s="15" t="s">
        <v>513</v>
      </c>
      <c r="L32" s="13"/>
      <c r="M32" s="6"/>
    </row>
    <row r="33" spans="2:13" x14ac:dyDescent="0.2">
      <c r="B33" s="13" t="s">
        <v>508</v>
      </c>
      <c r="C33" s="13" t="s">
        <v>478</v>
      </c>
      <c r="D33" s="13">
        <v>0.8</v>
      </c>
      <c r="E33" s="15"/>
      <c r="F33" s="15">
        <v>1.948</v>
      </c>
      <c r="G33" s="15">
        <v>1.94</v>
      </c>
      <c r="H33" s="7">
        <f t="shared" si="1"/>
        <v>8.0000000000000071E-3</v>
      </c>
      <c r="I33" s="15" t="s">
        <v>502</v>
      </c>
      <c r="J33" s="15" t="s">
        <v>501</v>
      </c>
      <c r="K33" s="15" t="s">
        <v>514</v>
      </c>
      <c r="L33" s="13"/>
      <c r="M33" s="6"/>
    </row>
    <row r="34" spans="2:13" x14ac:dyDescent="0.2">
      <c r="B34" s="13" t="s">
        <v>515</v>
      </c>
      <c r="C34" s="13" t="s">
        <v>41</v>
      </c>
      <c r="D34" s="14">
        <v>1.3</v>
      </c>
      <c r="E34" s="15"/>
      <c r="F34" s="15">
        <v>1.9410000000000001</v>
      </c>
      <c r="G34" s="15">
        <v>1.9339999999999999</v>
      </c>
      <c r="H34" s="7">
        <f t="shared" si="1"/>
        <v>7.0000000000001172E-3</v>
      </c>
      <c r="I34" s="13" t="s">
        <v>41</v>
      </c>
      <c r="J34" s="15" t="s">
        <v>518</v>
      </c>
      <c r="K34" s="15" t="s">
        <v>519</v>
      </c>
      <c r="L34" s="13"/>
      <c r="M34" s="6"/>
    </row>
    <row r="35" spans="2:13" x14ac:dyDescent="0.2">
      <c r="B35" s="13" t="s">
        <v>516</v>
      </c>
      <c r="C35" s="13" t="s">
        <v>41</v>
      </c>
      <c r="D35" s="14">
        <v>0.8</v>
      </c>
      <c r="E35" s="15"/>
      <c r="F35" s="15">
        <v>1.9370000000000001</v>
      </c>
      <c r="G35" s="15">
        <v>1.929</v>
      </c>
      <c r="H35" s="7">
        <f t="shared" si="1"/>
        <v>8.0000000000000071E-3</v>
      </c>
      <c r="I35" s="13" t="s">
        <v>41</v>
      </c>
      <c r="J35" s="13" t="s">
        <v>41</v>
      </c>
      <c r="K35" s="15" t="s">
        <v>520</v>
      </c>
      <c r="L35" s="22"/>
      <c r="M35" s="6"/>
    </row>
    <row r="36" spans="2:13" x14ac:dyDescent="0.2">
      <c r="B36" s="13" t="s">
        <v>517</v>
      </c>
      <c r="C36" s="13" t="s">
        <v>41</v>
      </c>
      <c r="D36" s="14">
        <v>0.9</v>
      </c>
      <c r="E36" s="15"/>
      <c r="F36" s="15">
        <v>1.9339999999999999</v>
      </c>
      <c r="G36" s="15">
        <v>1.925</v>
      </c>
      <c r="H36" s="7">
        <f t="shared" si="1"/>
        <v>8.999999999999897E-3</v>
      </c>
      <c r="I36" s="13" t="s">
        <v>41</v>
      </c>
      <c r="J36" s="13" t="s">
        <v>41</v>
      </c>
      <c r="K36" s="15" t="s">
        <v>521</v>
      </c>
      <c r="L36" s="22"/>
      <c r="M36" s="6"/>
    </row>
    <row r="37" spans="2:13" x14ac:dyDescent="0.2">
      <c r="B37" s="13" t="s">
        <v>526</v>
      </c>
      <c r="C37" s="13" t="s">
        <v>529</v>
      </c>
      <c r="D37" s="13">
        <v>1.2</v>
      </c>
      <c r="E37" s="13"/>
      <c r="F37" s="15">
        <v>1.919</v>
      </c>
      <c r="G37" s="15">
        <v>1.911</v>
      </c>
      <c r="H37" s="7">
        <f t="shared" si="1"/>
        <v>8.0000000000000071E-3</v>
      </c>
      <c r="I37" s="15" t="s">
        <v>183</v>
      </c>
      <c r="J37" s="13" t="s">
        <v>522</v>
      </c>
      <c r="L37" s="13" t="s">
        <v>524</v>
      </c>
      <c r="M37" s="6"/>
    </row>
    <row r="38" spans="2:13" x14ac:dyDescent="0.2">
      <c r="B38" s="13" t="s">
        <v>527</v>
      </c>
      <c r="C38" s="13" t="s">
        <v>41</v>
      </c>
      <c r="D38" s="13">
        <v>1.2</v>
      </c>
      <c r="E38" s="13"/>
      <c r="F38" s="15">
        <v>1.91</v>
      </c>
      <c r="G38" s="15">
        <v>1.9039999999999999</v>
      </c>
      <c r="H38" s="7">
        <f t="shared" si="1"/>
        <v>6.0000000000000053E-3</v>
      </c>
      <c r="I38" s="13" t="s">
        <v>41</v>
      </c>
      <c r="J38" s="13" t="s">
        <v>41</v>
      </c>
      <c r="K38" s="15"/>
      <c r="L38" s="13" t="s">
        <v>523</v>
      </c>
      <c r="M38" s="6"/>
    </row>
    <row r="39" spans="2:13" x14ac:dyDescent="0.2">
      <c r="B39" s="13" t="s">
        <v>528</v>
      </c>
      <c r="C39" s="13" t="s">
        <v>41</v>
      </c>
      <c r="D39" s="13">
        <v>1.4</v>
      </c>
      <c r="E39" s="13"/>
      <c r="F39" s="15">
        <v>1.9139999999999999</v>
      </c>
      <c r="G39" s="15">
        <v>1.907</v>
      </c>
      <c r="H39" s="7">
        <f t="shared" si="1"/>
        <v>6.9999999999998952E-3</v>
      </c>
      <c r="I39" s="13" t="s">
        <v>41</v>
      </c>
      <c r="J39" s="15" t="s">
        <v>487</v>
      </c>
      <c r="K39" s="13"/>
      <c r="M39" s="6"/>
    </row>
    <row r="40" spans="2:13" x14ac:dyDescent="0.2">
      <c r="B40" s="13" t="s">
        <v>530</v>
      </c>
      <c r="C40" s="13" t="s">
        <v>41</v>
      </c>
      <c r="D40" s="13">
        <v>1.2</v>
      </c>
      <c r="E40" s="13"/>
      <c r="F40" s="15">
        <v>1.913</v>
      </c>
      <c r="G40" s="15">
        <v>1.905</v>
      </c>
      <c r="H40" s="7">
        <f t="shared" si="1"/>
        <v>8.0000000000000071E-3</v>
      </c>
      <c r="I40" s="15" t="s">
        <v>41</v>
      </c>
      <c r="J40" s="15" t="s">
        <v>41</v>
      </c>
      <c r="K40" s="13"/>
      <c r="L40" s="13"/>
      <c r="M40" s="6"/>
    </row>
    <row r="41" spans="2:13" x14ac:dyDescent="0.2">
      <c r="B41" s="13" t="s">
        <v>533</v>
      </c>
      <c r="C41" s="13" t="s">
        <v>471</v>
      </c>
      <c r="D41" s="14">
        <v>15.9</v>
      </c>
      <c r="E41" s="15">
        <v>1.845</v>
      </c>
      <c r="F41" s="15">
        <v>3.6970000000000001</v>
      </c>
      <c r="G41" s="15">
        <v>3.6749999999999998</v>
      </c>
      <c r="H41" s="7">
        <f t="shared" si="1"/>
        <v>2.2000000000000242E-2</v>
      </c>
      <c r="I41" s="15" t="s">
        <v>323</v>
      </c>
      <c r="J41" s="15" t="s">
        <v>525</v>
      </c>
      <c r="K41" s="43" t="s">
        <v>552</v>
      </c>
      <c r="L41" s="13" t="s">
        <v>540</v>
      </c>
      <c r="M41" s="6"/>
    </row>
    <row r="42" spans="2:13" x14ac:dyDescent="0.2">
      <c r="B42" s="13"/>
      <c r="C42" s="13" t="s">
        <v>41</v>
      </c>
      <c r="D42" s="14"/>
      <c r="E42" s="15">
        <v>1.8520000000000001</v>
      </c>
      <c r="F42" s="15"/>
      <c r="G42" s="15"/>
      <c r="H42" s="7"/>
      <c r="I42" s="13"/>
      <c r="J42" s="15"/>
      <c r="K42" s="15"/>
      <c r="L42" s="13"/>
      <c r="M42" s="6"/>
    </row>
    <row r="43" spans="2:13" x14ac:dyDescent="0.2">
      <c r="B43" s="13"/>
      <c r="C43" s="13"/>
      <c r="D43" s="48">
        <v>1.9</v>
      </c>
      <c r="E43" s="45">
        <v>1.8720000000000001</v>
      </c>
      <c r="F43" s="45">
        <v>3.75</v>
      </c>
      <c r="G43" s="45">
        <v>3.7269999999999999</v>
      </c>
      <c r="H43" s="46">
        <f t="shared" si="1"/>
        <v>2.3000000000000131E-2</v>
      </c>
      <c r="I43" s="44"/>
      <c r="J43" s="45"/>
      <c r="K43" s="45"/>
      <c r="L43" s="44" t="s">
        <v>556</v>
      </c>
      <c r="M43" s="6"/>
    </row>
    <row r="44" spans="2:13" x14ac:dyDescent="0.2">
      <c r="B44" s="13"/>
      <c r="C44" s="13"/>
      <c r="D44" s="48"/>
      <c r="E44" s="45">
        <v>1.8779999999999999</v>
      </c>
      <c r="F44" s="45"/>
      <c r="G44" s="45"/>
      <c r="H44" s="46"/>
      <c r="I44" s="44"/>
      <c r="J44" s="45"/>
      <c r="K44" s="45"/>
      <c r="M44" s="6"/>
    </row>
    <row r="45" spans="2:13" x14ac:dyDescent="0.2">
      <c r="B45" s="13" t="s">
        <v>534</v>
      </c>
      <c r="C45" s="13" t="s">
        <v>41</v>
      </c>
      <c r="D45" s="14">
        <v>6.9</v>
      </c>
      <c r="E45" s="15"/>
      <c r="F45" s="15">
        <v>1.8640000000000001</v>
      </c>
      <c r="G45" s="15">
        <v>1.853</v>
      </c>
      <c r="H45" s="7">
        <f t="shared" si="1"/>
        <v>1.1000000000000121E-2</v>
      </c>
      <c r="I45" s="15" t="s">
        <v>328</v>
      </c>
      <c r="J45" s="15" t="s">
        <v>539</v>
      </c>
      <c r="K45" s="15"/>
      <c r="L45" s="13"/>
      <c r="M45" s="6"/>
    </row>
    <row r="46" spans="2:13" x14ac:dyDescent="0.2">
      <c r="B46" s="45"/>
      <c r="C46" s="45"/>
      <c r="D46" s="48">
        <v>1.5</v>
      </c>
      <c r="E46" s="45"/>
      <c r="F46" s="45">
        <v>1.8939999999999999</v>
      </c>
      <c r="G46" s="45">
        <v>1.883</v>
      </c>
      <c r="H46" s="46">
        <f t="shared" si="1"/>
        <v>1.0999999999999899E-2</v>
      </c>
      <c r="I46" s="45"/>
      <c r="J46" s="45"/>
      <c r="K46" s="45"/>
      <c r="L46" s="44" t="s">
        <v>556</v>
      </c>
      <c r="M46" s="6"/>
    </row>
    <row r="47" spans="2:13" x14ac:dyDescent="0.2">
      <c r="B47" s="13" t="s">
        <v>535</v>
      </c>
      <c r="C47" s="13" t="s">
        <v>41</v>
      </c>
      <c r="D47" s="14">
        <v>11.4</v>
      </c>
      <c r="E47" s="15"/>
      <c r="F47" s="15">
        <v>1.8580000000000001</v>
      </c>
      <c r="G47" s="15">
        <v>1.8480000000000001</v>
      </c>
      <c r="H47" s="7">
        <f t="shared" si="1"/>
        <v>1.0000000000000009E-2</v>
      </c>
      <c r="I47" s="13" t="s">
        <v>41</v>
      </c>
      <c r="J47" s="13" t="s">
        <v>41</v>
      </c>
      <c r="K47" s="15"/>
      <c r="L47" s="13"/>
      <c r="M47" s="6"/>
    </row>
    <row r="48" spans="2:13" x14ac:dyDescent="0.2">
      <c r="B48" s="13"/>
      <c r="C48" s="44"/>
      <c r="D48" s="48">
        <v>1.9</v>
      </c>
      <c r="E48" s="45"/>
      <c r="F48" s="45">
        <v>1.8939999999999999</v>
      </c>
      <c r="G48" s="45">
        <v>1.8839999999999999</v>
      </c>
      <c r="H48" s="46">
        <f t="shared" si="1"/>
        <v>1.0000000000000009E-2</v>
      </c>
      <c r="I48" s="44"/>
      <c r="J48" s="44"/>
      <c r="K48" s="45"/>
      <c r="L48" s="44" t="s">
        <v>556</v>
      </c>
      <c r="M48" s="6"/>
    </row>
    <row r="49" spans="2:13" x14ac:dyDescent="0.2">
      <c r="B49" s="13" t="s">
        <v>536</v>
      </c>
      <c r="C49" s="13" t="s">
        <v>41</v>
      </c>
      <c r="D49" s="14">
        <v>3.7</v>
      </c>
      <c r="E49" s="15"/>
      <c r="F49" s="15">
        <v>1.8540000000000001</v>
      </c>
      <c r="G49" s="15">
        <v>1.843</v>
      </c>
      <c r="H49" s="7">
        <f t="shared" si="1"/>
        <v>1.1000000000000121E-2</v>
      </c>
      <c r="I49" s="13" t="s">
        <v>41</v>
      </c>
      <c r="J49" s="13" t="s">
        <v>41</v>
      </c>
      <c r="K49" s="15"/>
      <c r="L49" s="13"/>
      <c r="M49" s="6"/>
    </row>
    <row r="50" spans="2:13" x14ac:dyDescent="0.2">
      <c r="B50" s="47"/>
      <c r="C50" s="44"/>
      <c r="D50" s="48">
        <v>1.1000000000000001</v>
      </c>
      <c r="E50" s="45"/>
      <c r="F50" s="45">
        <v>1.887</v>
      </c>
      <c r="G50" s="45">
        <v>1.8759999999999999</v>
      </c>
      <c r="H50" s="46">
        <f t="shared" si="1"/>
        <v>1.1000000000000121E-2</v>
      </c>
      <c r="I50" s="44"/>
      <c r="J50" s="44"/>
      <c r="K50" s="45"/>
      <c r="L50" s="44" t="s">
        <v>556</v>
      </c>
      <c r="M50" s="6"/>
    </row>
    <row r="51" spans="2:13" x14ac:dyDescent="0.2">
      <c r="B51" s="13" t="s">
        <v>537</v>
      </c>
      <c r="C51" s="13" t="s">
        <v>41</v>
      </c>
      <c r="D51" s="13">
        <v>1.8</v>
      </c>
      <c r="E51" s="13"/>
      <c r="F51" s="15">
        <v>1.85</v>
      </c>
      <c r="G51" s="15">
        <v>1.84</v>
      </c>
      <c r="H51" s="7">
        <f t="shared" si="1"/>
        <v>1.0000000000000009E-2</v>
      </c>
      <c r="I51" s="13" t="s">
        <v>41</v>
      </c>
      <c r="J51" s="13" t="s">
        <v>41</v>
      </c>
      <c r="K51" s="13"/>
      <c r="L51" s="13"/>
      <c r="M51" s="6"/>
    </row>
    <row r="52" spans="2:13" x14ac:dyDescent="0.2">
      <c r="B52" s="13"/>
      <c r="C52" s="13"/>
      <c r="D52" s="44">
        <v>1.2</v>
      </c>
      <c r="E52" s="44"/>
      <c r="F52" s="45">
        <v>1.8839999999999999</v>
      </c>
      <c r="G52" s="45">
        <v>1.8740000000000001</v>
      </c>
      <c r="H52" s="46">
        <f t="shared" si="1"/>
        <v>9.9999999999997868E-3</v>
      </c>
      <c r="I52" s="44"/>
      <c r="J52" s="44"/>
      <c r="K52" s="44"/>
      <c r="L52" s="44" t="s">
        <v>556</v>
      </c>
      <c r="M52" s="6"/>
    </row>
    <row r="53" spans="2:13" x14ac:dyDescent="0.2">
      <c r="B53" s="13" t="s">
        <v>538</v>
      </c>
      <c r="C53" s="13" t="s">
        <v>41</v>
      </c>
      <c r="D53" s="13">
        <v>1.9</v>
      </c>
      <c r="E53" s="13"/>
      <c r="F53" s="15">
        <v>1.8420000000000001</v>
      </c>
      <c r="G53" s="15">
        <v>1.83</v>
      </c>
      <c r="H53" s="7">
        <f t="shared" si="1"/>
        <v>1.2000000000000011E-2</v>
      </c>
      <c r="I53" s="13" t="s">
        <v>41</v>
      </c>
      <c r="J53" s="13" t="s">
        <v>41</v>
      </c>
      <c r="K53" s="13"/>
      <c r="L53" s="13"/>
      <c r="M53" s="6"/>
    </row>
    <row r="54" spans="2:13" x14ac:dyDescent="0.2">
      <c r="B54" s="13"/>
      <c r="C54" s="13"/>
      <c r="D54" s="44">
        <v>1.2</v>
      </c>
      <c r="E54" s="44"/>
      <c r="F54" s="45">
        <v>1.861</v>
      </c>
      <c r="G54" s="45">
        <v>1.849</v>
      </c>
      <c r="H54" s="46">
        <f t="shared" si="1"/>
        <v>1.2000000000000011E-2</v>
      </c>
      <c r="I54" s="44"/>
      <c r="J54" s="44"/>
      <c r="K54" s="44"/>
      <c r="L54" s="44" t="s">
        <v>556</v>
      </c>
      <c r="M54" s="6"/>
    </row>
    <row r="55" spans="2:13" x14ac:dyDescent="0.2">
      <c r="B55" s="13" t="s">
        <v>541</v>
      </c>
      <c r="C55" s="13" t="s">
        <v>529</v>
      </c>
      <c r="D55" s="13">
        <v>0.9</v>
      </c>
      <c r="E55" s="13"/>
      <c r="F55" s="15">
        <v>1.9410000000000001</v>
      </c>
      <c r="G55" s="15">
        <v>1.931</v>
      </c>
      <c r="H55" s="7">
        <f t="shared" si="1"/>
        <v>1.0000000000000009E-2</v>
      </c>
      <c r="I55" s="15" t="s">
        <v>183</v>
      </c>
      <c r="J55" s="13" t="s">
        <v>487</v>
      </c>
      <c r="K55" s="13"/>
      <c r="L55" s="13"/>
      <c r="M55" s="6"/>
    </row>
    <row r="56" spans="2:13" x14ac:dyDescent="0.2">
      <c r="B56" s="13"/>
      <c r="C56" s="13"/>
      <c r="D56" s="52">
        <v>0.5</v>
      </c>
      <c r="E56" s="52"/>
      <c r="F56" s="50">
        <v>1.9379999999999999</v>
      </c>
      <c r="G56" s="50">
        <v>1.9279999999999999</v>
      </c>
      <c r="H56" s="51">
        <f>F56-G56</f>
        <v>1.0000000000000009E-2</v>
      </c>
      <c r="I56" s="50"/>
      <c r="J56" s="52"/>
      <c r="K56" s="52"/>
      <c r="L56" s="44" t="s">
        <v>577</v>
      </c>
      <c r="M56" s="6"/>
    </row>
    <row r="57" spans="2:13" x14ac:dyDescent="0.2">
      <c r="B57" s="13" t="s">
        <v>542</v>
      </c>
      <c r="C57" s="13" t="s">
        <v>41</v>
      </c>
      <c r="D57" s="13">
        <v>0.5</v>
      </c>
      <c r="E57" s="15"/>
      <c r="F57" s="15">
        <v>1.946</v>
      </c>
      <c r="G57" s="15">
        <v>1.9379999999999999</v>
      </c>
      <c r="H57" s="7">
        <f t="shared" si="1"/>
        <v>8.0000000000000071E-3</v>
      </c>
      <c r="I57" s="13" t="s">
        <v>41</v>
      </c>
      <c r="J57" s="13" t="s">
        <v>41</v>
      </c>
      <c r="K57" s="13"/>
      <c r="L57" s="13"/>
      <c r="M57" s="6"/>
    </row>
    <row r="58" spans="2:13" x14ac:dyDescent="0.2">
      <c r="B58" s="13"/>
      <c r="C58" s="13"/>
      <c r="D58" s="52">
        <v>0.5</v>
      </c>
      <c r="E58" s="50"/>
      <c r="F58" s="50">
        <v>1.899</v>
      </c>
      <c r="G58" s="50">
        <v>1.8919999999999999</v>
      </c>
      <c r="H58" s="50">
        <f t="shared" si="1"/>
        <v>7.0000000000001172E-3</v>
      </c>
      <c r="I58" s="52"/>
      <c r="J58" s="52"/>
      <c r="K58" s="52"/>
      <c r="L58" s="44" t="s">
        <v>578</v>
      </c>
      <c r="M58" s="6"/>
    </row>
    <row r="59" spans="2:13" x14ac:dyDescent="0.2">
      <c r="B59" s="13" t="s">
        <v>543</v>
      </c>
      <c r="C59" s="13" t="s">
        <v>41</v>
      </c>
      <c r="D59" s="13">
        <v>0.7</v>
      </c>
      <c r="E59" s="15"/>
      <c r="F59" s="15">
        <v>1.946</v>
      </c>
      <c r="G59" s="15">
        <v>1.9370000000000001</v>
      </c>
      <c r="H59" s="7">
        <f t="shared" si="1"/>
        <v>8.999999999999897E-3</v>
      </c>
      <c r="I59" s="13" t="s">
        <v>41</v>
      </c>
      <c r="J59" s="13" t="s">
        <v>41</v>
      </c>
      <c r="K59" s="13"/>
      <c r="L59" s="13"/>
      <c r="M59" s="6"/>
    </row>
    <row r="60" spans="2:13" x14ac:dyDescent="0.2">
      <c r="B60" s="13" t="s">
        <v>544</v>
      </c>
      <c r="C60" s="13" t="s">
        <v>41</v>
      </c>
      <c r="D60" s="14">
        <v>0.8</v>
      </c>
      <c r="E60" s="15"/>
      <c r="F60" s="15">
        <v>1.9410000000000001</v>
      </c>
      <c r="G60" s="15">
        <v>1.9339999999999999</v>
      </c>
      <c r="H60" s="7">
        <f t="shared" si="1"/>
        <v>7.0000000000001172E-3</v>
      </c>
      <c r="I60" s="13" t="s">
        <v>41</v>
      </c>
      <c r="J60" s="13" t="s">
        <v>41</v>
      </c>
      <c r="K60" s="15"/>
      <c r="L60" s="13"/>
      <c r="M60" s="6"/>
    </row>
    <row r="61" spans="2:13" x14ac:dyDescent="0.2">
      <c r="B61" s="13" t="s">
        <v>545</v>
      </c>
      <c r="C61" s="13" t="s">
        <v>41</v>
      </c>
      <c r="D61" s="14">
        <v>0.8</v>
      </c>
      <c r="E61" s="15"/>
      <c r="F61" s="15">
        <v>1.9379999999999999</v>
      </c>
      <c r="G61" s="15">
        <v>1.9279999999999999</v>
      </c>
      <c r="H61" s="7">
        <f t="shared" si="1"/>
        <v>1.0000000000000009E-2</v>
      </c>
      <c r="I61" s="13" t="s">
        <v>41</v>
      </c>
      <c r="J61" s="13" t="s">
        <v>41</v>
      </c>
      <c r="K61" s="15" t="s">
        <v>551</v>
      </c>
      <c r="L61" s="15"/>
      <c r="M61" s="6"/>
    </row>
    <row r="62" spans="2:13" x14ac:dyDescent="0.2">
      <c r="B62" s="13" t="s">
        <v>546</v>
      </c>
      <c r="C62" s="13" t="s">
        <v>41</v>
      </c>
      <c r="D62" s="14">
        <v>0.7</v>
      </c>
      <c r="E62" s="15"/>
      <c r="F62" s="15">
        <v>1.9470000000000001</v>
      </c>
      <c r="G62" s="15">
        <v>1.9379999999999999</v>
      </c>
      <c r="H62" s="7">
        <f t="shared" si="1"/>
        <v>9.000000000000119E-3</v>
      </c>
      <c r="I62" s="13" t="s">
        <v>41</v>
      </c>
      <c r="J62" s="13" t="s">
        <v>41</v>
      </c>
      <c r="K62" s="15"/>
      <c r="L62" s="15"/>
      <c r="M62" s="6"/>
    </row>
    <row r="63" spans="2:13" x14ac:dyDescent="0.2">
      <c r="B63" s="13" t="s">
        <v>547</v>
      </c>
      <c r="C63" s="13" t="s">
        <v>41</v>
      </c>
      <c r="D63" s="14">
        <v>0.6</v>
      </c>
      <c r="E63" s="15"/>
      <c r="F63" s="15">
        <v>1.9430000000000001</v>
      </c>
      <c r="G63" s="15">
        <v>1.9350000000000001</v>
      </c>
      <c r="H63" s="7">
        <f t="shared" si="1"/>
        <v>8.0000000000000071E-3</v>
      </c>
      <c r="I63" s="13" t="s">
        <v>41</v>
      </c>
      <c r="J63" s="13" t="s">
        <v>41</v>
      </c>
      <c r="K63" s="15"/>
      <c r="L63" s="15"/>
      <c r="M63" s="6"/>
    </row>
    <row r="64" spans="2:13" x14ac:dyDescent="0.2">
      <c r="B64" s="13"/>
      <c r="C64" s="13"/>
      <c r="D64" s="49">
        <v>1.1000000000000001</v>
      </c>
      <c r="E64" s="50"/>
      <c r="F64" s="50">
        <v>1.9119999999999999</v>
      </c>
      <c r="G64" s="50">
        <v>1.905</v>
      </c>
      <c r="H64" s="51">
        <f t="shared" si="1"/>
        <v>6.9999999999998952E-3</v>
      </c>
      <c r="I64" s="13"/>
      <c r="J64" s="13"/>
      <c r="K64" s="15"/>
      <c r="L64" s="15"/>
      <c r="M64" s="6"/>
    </row>
    <row r="65" spans="2:13" x14ac:dyDescent="0.2">
      <c r="B65" s="13" t="s">
        <v>548</v>
      </c>
      <c r="C65" s="13" t="s">
        <v>41</v>
      </c>
      <c r="D65" s="14">
        <v>0.7</v>
      </c>
      <c r="E65" s="15"/>
      <c r="F65" s="15">
        <v>1.9370000000000001</v>
      </c>
      <c r="G65" s="15">
        <v>1.9279999999999999</v>
      </c>
      <c r="H65" s="7">
        <f t="shared" si="1"/>
        <v>9.000000000000119E-3</v>
      </c>
      <c r="I65" s="13" t="s">
        <v>41</v>
      </c>
      <c r="J65" s="13" t="s">
        <v>41</v>
      </c>
      <c r="K65" s="15"/>
      <c r="L65" s="13"/>
      <c r="M65" s="6"/>
    </row>
    <row r="66" spans="2:13" x14ac:dyDescent="0.2">
      <c r="B66" s="13"/>
      <c r="C66" s="13"/>
      <c r="D66" s="49">
        <v>0.8</v>
      </c>
      <c r="E66" s="50"/>
      <c r="F66" s="50">
        <v>1.9179999999999999</v>
      </c>
      <c r="G66" s="50">
        <v>1.909</v>
      </c>
      <c r="H66" s="51">
        <f t="shared" si="1"/>
        <v>8.999999999999897E-3</v>
      </c>
      <c r="I66" s="13"/>
      <c r="J66" s="13"/>
      <c r="K66" s="15"/>
      <c r="L66" s="13"/>
      <c r="M66" s="6"/>
    </row>
    <row r="67" spans="2:13" x14ac:dyDescent="0.2">
      <c r="B67" s="13" t="s">
        <v>549</v>
      </c>
      <c r="C67" s="13" t="s">
        <v>41</v>
      </c>
      <c r="D67" s="14">
        <v>0.5</v>
      </c>
      <c r="E67" s="15"/>
      <c r="F67" s="15">
        <v>1.9370000000000001</v>
      </c>
      <c r="G67" s="15">
        <v>1.927</v>
      </c>
      <c r="H67" s="7">
        <f t="shared" si="1"/>
        <v>1.0000000000000009E-2</v>
      </c>
      <c r="I67" s="13" t="s">
        <v>41</v>
      </c>
      <c r="J67" s="13" t="s">
        <v>41</v>
      </c>
      <c r="K67" s="21"/>
      <c r="L67" s="13"/>
      <c r="M67" s="6"/>
    </row>
    <row r="68" spans="2:13" x14ac:dyDescent="0.2">
      <c r="B68" s="13"/>
      <c r="C68" s="13"/>
      <c r="D68" s="49">
        <v>0.7</v>
      </c>
      <c r="E68" s="50"/>
      <c r="F68" s="50">
        <v>1.907</v>
      </c>
      <c r="G68" s="50">
        <v>1.8979999999999999</v>
      </c>
      <c r="H68" s="51">
        <f t="shared" si="1"/>
        <v>9.000000000000119E-3</v>
      </c>
      <c r="I68" s="13"/>
      <c r="J68" s="13"/>
      <c r="K68" s="21"/>
      <c r="L68" s="13"/>
      <c r="M68" s="6"/>
    </row>
    <row r="69" spans="2:13" x14ac:dyDescent="0.2">
      <c r="B69" s="13" t="s">
        <v>550</v>
      </c>
      <c r="C69" s="13" t="s">
        <v>41</v>
      </c>
      <c r="D69" s="14">
        <v>0.8</v>
      </c>
      <c r="E69" s="15"/>
      <c r="F69" s="15">
        <v>1.9419999999999999</v>
      </c>
      <c r="G69" s="15">
        <v>1.9259999999999999</v>
      </c>
      <c r="H69" s="7">
        <f t="shared" si="1"/>
        <v>1.6000000000000014E-2</v>
      </c>
      <c r="I69" s="13" t="s">
        <v>41</v>
      </c>
      <c r="J69" s="13" t="s">
        <v>41</v>
      </c>
      <c r="K69" s="15"/>
      <c r="L69" s="52" t="s">
        <v>557</v>
      </c>
      <c r="M69" s="6"/>
    </row>
    <row r="70" spans="2:13" x14ac:dyDescent="0.2">
      <c r="B70" s="13"/>
      <c r="C70" s="13"/>
      <c r="D70" s="49">
        <v>0.8</v>
      </c>
      <c r="E70" s="50"/>
      <c r="F70" s="50">
        <v>1.9119999999999999</v>
      </c>
      <c r="G70" s="50">
        <v>1.9039999999999999</v>
      </c>
      <c r="H70" s="51">
        <f t="shared" si="1"/>
        <v>8.0000000000000071E-3</v>
      </c>
      <c r="I70" s="13"/>
      <c r="J70" s="13"/>
      <c r="K70" s="15"/>
      <c r="L70" s="13"/>
      <c r="M70" s="6"/>
    </row>
    <row r="71" spans="2:13" x14ac:dyDescent="0.2">
      <c r="B71" s="13" t="s">
        <v>558</v>
      </c>
      <c r="C71" s="13" t="s">
        <v>555</v>
      </c>
      <c r="D71" s="14">
        <v>2</v>
      </c>
      <c r="E71" s="15"/>
      <c r="F71" s="15">
        <v>1.946</v>
      </c>
      <c r="G71" s="15">
        <v>1.9370000000000001</v>
      </c>
      <c r="H71" s="7">
        <f t="shared" si="1"/>
        <v>8.999999999999897E-3</v>
      </c>
      <c r="I71" s="6" t="s">
        <v>197</v>
      </c>
      <c r="J71" s="15" t="s">
        <v>553</v>
      </c>
      <c r="K71" s="15" t="s">
        <v>554</v>
      </c>
      <c r="L71" s="44" t="s">
        <v>580</v>
      </c>
      <c r="M71" s="6"/>
    </row>
    <row r="72" spans="2:13" x14ac:dyDescent="0.2">
      <c r="B72" s="13" t="s">
        <v>559</v>
      </c>
      <c r="C72" s="13" t="s">
        <v>529</v>
      </c>
      <c r="D72" s="14">
        <v>1.1000000000000001</v>
      </c>
      <c r="E72" s="15"/>
      <c r="F72" s="15">
        <v>1.9319999999999999</v>
      </c>
      <c r="G72" s="15">
        <v>1.923</v>
      </c>
      <c r="H72" s="7">
        <f t="shared" si="1"/>
        <v>8.999999999999897E-3</v>
      </c>
      <c r="I72" s="15" t="s">
        <v>183</v>
      </c>
      <c r="J72" s="15" t="s">
        <v>487</v>
      </c>
      <c r="K72" s="15"/>
      <c r="L72" s="44" t="s">
        <v>580</v>
      </c>
      <c r="M72" s="6"/>
    </row>
    <row r="73" spans="2:13" x14ac:dyDescent="0.2">
      <c r="B73" s="13" t="s">
        <v>560</v>
      </c>
      <c r="C73" s="13" t="s">
        <v>41</v>
      </c>
      <c r="D73" s="14">
        <v>0.6</v>
      </c>
      <c r="E73" s="15"/>
      <c r="F73" s="15">
        <v>1.9259999999999999</v>
      </c>
      <c r="G73" s="15">
        <v>1.9139999999999999</v>
      </c>
      <c r="H73" s="7">
        <f t="shared" si="1"/>
        <v>1.2000000000000011E-2</v>
      </c>
      <c r="I73" s="13" t="s">
        <v>41</v>
      </c>
      <c r="J73" s="13" t="s">
        <v>41</v>
      </c>
      <c r="K73" s="15"/>
      <c r="L73" s="44" t="s">
        <v>580</v>
      </c>
      <c r="M73" s="6"/>
    </row>
    <row r="74" spans="2:13" x14ac:dyDescent="0.2">
      <c r="B74" s="13" t="s">
        <v>561</v>
      </c>
      <c r="C74" s="13" t="s">
        <v>41</v>
      </c>
      <c r="D74" s="13">
        <v>0.8</v>
      </c>
      <c r="E74" s="13"/>
      <c r="F74" s="15">
        <v>1.93</v>
      </c>
      <c r="G74" s="15">
        <v>1.917</v>
      </c>
      <c r="H74" s="7">
        <f t="shared" si="1"/>
        <v>1.2999999999999901E-2</v>
      </c>
      <c r="I74" s="13" t="s">
        <v>41</v>
      </c>
      <c r="J74" s="13" t="s">
        <v>41</v>
      </c>
      <c r="K74" s="13"/>
      <c r="L74" s="44" t="s">
        <v>580</v>
      </c>
      <c r="M74" s="6"/>
    </row>
    <row r="75" spans="2:13" x14ac:dyDescent="0.2">
      <c r="B75" s="13" t="s">
        <v>562</v>
      </c>
      <c r="C75" s="13" t="s">
        <v>41</v>
      </c>
      <c r="D75" s="14">
        <v>0.6</v>
      </c>
      <c r="E75" s="15"/>
      <c r="F75" s="15">
        <v>1.9119999999999999</v>
      </c>
      <c r="G75" s="15">
        <v>1.9</v>
      </c>
      <c r="H75" s="7">
        <f t="shared" si="1"/>
        <v>1.2000000000000011E-2</v>
      </c>
      <c r="I75" s="13" t="s">
        <v>41</v>
      </c>
      <c r="J75" s="13" t="s">
        <v>41</v>
      </c>
      <c r="K75" s="15"/>
      <c r="L75" s="44" t="s">
        <v>580</v>
      </c>
      <c r="M75" s="6"/>
    </row>
    <row r="76" spans="2:13" x14ac:dyDescent="0.2">
      <c r="B76" s="13" t="s">
        <v>563</v>
      </c>
      <c r="C76" s="13" t="s">
        <v>41</v>
      </c>
      <c r="D76" s="14">
        <v>0.8</v>
      </c>
      <c r="E76" s="15"/>
      <c r="F76" s="15">
        <v>1.9</v>
      </c>
      <c r="G76" s="15">
        <v>1.889</v>
      </c>
      <c r="H76" s="7">
        <f t="shared" si="1"/>
        <v>1.0999999999999899E-2</v>
      </c>
      <c r="I76" s="13" t="s">
        <v>41</v>
      </c>
      <c r="J76" s="13" t="s">
        <v>41</v>
      </c>
      <c r="K76" s="15"/>
      <c r="L76" s="44" t="s">
        <v>579</v>
      </c>
      <c r="M76" s="6"/>
    </row>
    <row r="77" spans="2:13" x14ac:dyDescent="0.2">
      <c r="B77" s="13" t="s">
        <v>564</v>
      </c>
      <c r="C77" s="13" t="s">
        <v>41</v>
      </c>
      <c r="D77" s="14">
        <v>0.8</v>
      </c>
      <c r="E77" s="15"/>
      <c r="F77" s="15">
        <v>1.899</v>
      </c>
      <c r="G77" s="15">
        <v>1.889</v>
      </c>
      <c r="H77" s="7">
        <f t="shared" si="1"/>
        <v>1.0000000000000009E-2</v>
      </c>
      <c r="I77" s="13" t="s">
        <v>41</v>
      </c>
      <c r="J77" s="13" t="s">
        <v>41</v>
      </c>
      <c r="K77" s="15"/>
      <c r="L77" s="44" t="s">
        <v>579</v>
      </c>
      <c r="M77" s="6"/>
    </row>
    <row r="78" spans="2:13" x14ac:dyDescent="0.2">
      <c r="B78" s="13" t="s">
        <v>565</v>
      </c>
      <c r="C78" s="13" t="s">
        <v>567</v>
      </c>
      <c r="D78" s="14">
        <v>0.5</v>
      </c>
      <c r="E78" s="15"/>
      <c r="F78" s="15">
        <v>1.8839999999999999</v>
      </c>
      <c r="G78" s="15">
        <v>1.871</v>
      </c>
      <c r="H78" s="7">
        <f t="shared" si="1"/>
        <v>1.2999999999999901E-2</v>
      </c>
      <c r="I78" s="13" t="s">
        <v>41</v>
      </c>
      <c r="J78" s="13" t="s">
        <v>41</v>
      </c>
      <c r="K78" s="15"/>
      <c r="L78" s="44" t="s">
        <v>579</v>
      </c>
      <c r="M78" s="6"/>
    </row>
    <row r="79" spans="2:13" x14ac:dyDescent="0.2">
      <c r="B79" s="13" t="s">
        <v>566</v>
      </c>
      <c r="C79" s="13" t="s">
        <v>41</v>
      </c>
      <c r="D79" s="14">
        <v>0.5</v>
      </c>
      <c r="E79" s="15"/>
      <c r="F79" s="15">
        <v>1.8979999999999999</v>
      </c>
      <c r="G79" s="15">
        <v>1.887</v>
      </c>
      <c r="H79" s="7">
        <f t="shared" si="1"/>
        <v>1.0999999999999899E-2</v>
      </c>
      <c r="I79" s="13" t="s">
        <v>41</v>
      </c>
      <c r="J79" s="13" t="s">
        <v>41</v>
      </c>
      <c r="K79" s="15"/>
      <c r="L79" s="44" t="s">
        <v>579</v>
      </c>
      <c r="M79" s="6"/>
    </row>
    <row r="80" spans="2:13" x14ac:dyDescent="0.2">
      <c r="B80" s="13"/>
      <c r="C80" s="13"/>
      <c r="D80" s="14"/>
      <c r="E80" s="15"/>
      <c r="F80" s="15"/>
      <c r="G80" s="15"/>
      <c r="H80" s="7"/>
      <c r="I80" s="15"/>
      <c r="J80" s="13"/>
      <c r="K80" s="15"/>
      <c r="M80" s="6"/>
    </row>
    <row r="81" spans="2:13" x14ac:dyDescent="0.2">
      <c r="B81" s="13"/>
      <c r="C81" s="13"/>
      <c r="D81" s="14"/>
      <c r="E81" s="15"/>
      <c r="F81" s="15"/>
      <c r="G81" s="15"/>
      <c r="H81" s="7"/>
      <c r="I81" s="13"/>
      <c r="J81" s="13"/>
      <c r="K81" s="15"/>
      <c r="L81" s="13"/>
      <c r="M81" s="6"/>
    </row>
    <row r="82" spans="2:13" x14ac:dyDescent="0.2">
      <c r="B82" s="13"/>
      <c r="C82" s="13"/>
      <c r="D82" s="14"/>
      <c r="E82" s="15"/>
      <c r="F82" s="15"/>
      <c r="G82" s="15"/>
      <c r="H82" s="7"/>
      <c r="I82" s="13"/>
      <c r="J82" s="13"/>
      <c r="K82" s="15"/>
      <c r="L82" s="13"/>
      <c r="M82" s="6"/>
    </row>
    <row r="83" spans="2:13" x14ac:dyDescent="0.2">
      <c r="B83" s="13"/>
      <c r="C83" s="13"/>
      <c r="D83" s="13"/>
      <c r="E83" s="13"/>
      <c r="F83" s="15"/>
      <c r="G83" s="15"/>
      <c r="H83" s="7"/>
      <c r="I83" s="13"/>
      <c r="J83" s="13"/>
      <c r="K83" s="15"/>
      <c r="L83" s="20"/>
      <c r="M83" s="6"/>
    </row>
    <row r="84" spans="2:13" x14ac:dyDescent="0.2">
      <c r="B84" s="13"/>
      <c r="C84" s="13"/>
      <c r="D84" s="13"/>
      <c r="E84" s="15"/>
      <c r="F84" s="15"/>
      <c r="G84" s="15"/>
      <c r="H84" s="7"/>
      <c r="I84" s="13"/>
      <c r="J84" s="13"/>
      <c r="K84" s="15"/>
      <c r="L84" s="13"/>
      <c r="M84" s="6"/>
    </row>
    <row r="85" spans="2:13" x14ac:dyDescent="0.2">
      <c r="B85" s="13"/>
      <c r="C85" s="13"/>
      <c r="D85" s="13"/>
      <c r="E85" s="15"/>
      <c r="F85" s="15"/>
      <c r="G85" s="15"/>
      <c r="H85" s="7"/>
      <c r="I85" s="15"/>
      <c r="J85" s="13"/>
      <c r="K85" s="15"/>
      <c r="L85" s="13"/>
      <c r="M85" s="6"/>
    </row>
    <row r="86" spans="2:13" x14ac:dyDescent="0.2">
      <c r="B86" s="13"/>
      <c r="C86" s="13"/>
      <c r="D86" s="14"/>
      <c r="E86" s="15"/>
      <c r="F86" s="15"/>
      <c r="G86" s="15"/>
      <c r="H86" s="7"/>
      <c r="I86" s="15"/>
      <c r="J86" s="13"/>
      <c r="K86" s="15"/>
      <c r="L86" s="13"/>
      <c r="M86" s="6"/>
    </row>
    <row r="87" spans="2:13" x14ac:dyDescent="0.2">
      <c r="B87" s="13"/>
      <c r="C87" s="13"/>
      <c r="D87" s="14"/>
      <c r="E87" s="15"/>
      <c r="F87" s="15"/>
      <c r="G87" s="15"/>
      <c r="H87" s="7"/>
      <c r="I87" s="15"/>
      <c r="J87" s="13"/>
      <c r="K87" s="13"/>
      <c r="L87" s="13"/>
      <c r="M87" s="6"/>
    </row>
    <row r="88" spans="2:13" x14ac:dyDescent="0.2">
      <c r="B88" s="13"/>
      <c r="C88" s="15"/>
      <c r="D88" s="14"/>
      <c r="E88" s="15"/>
      <c r="F88" s="15"/>
      <c r="G88" s="15"/>
      <c r="H88" s="7"/>
      <c r="I88" s="15"/>
      <c r="J88" s="13"/>
      <c r="K88" s="13"/>
      <c r="L88" s="13"/>
      <c r="M88" s="6"/>
    </row>
    <row r="89" spans="2:13" x14ac:dyDescent="0.2">
      <c r="B89" s="13"/>
      <c r="C89" s="15"/>
      <c r="D89" s="14"/>
      <c r="E89" s="15"/>
      <c r="F89" s="15"/>
      <c r="G89" s="15"/>
      <c r="H89" s="7"/>
      <c r="I89" s="13"/>
      <c r="J89" s="13"/>
      <c r="K89" s="13"/>
      <c r="L89" s="13"/>
      <c r="M89" s="6"/>
    </row>
    <row r="90" spans="2:13" x14ac:dyDescent="0.2">
      <c r="B90" s="13"/>
      <c r="C90" s="15"/>
      <c r="D90" s="14"/>
      <c r="E90" s="15"/>
      <c r="F90" s="15"/>
      <c r="G90" s="15"/>
      <c r="H90" s="7"/>
      <c r="I90" s="13"/>
      <c r="J90" s="13"/>
      <c r="K90" s="13"/>
      <c r="L90" s="13"/>
      <c r="M90" s="6"/>
    </row>
    <row r="91" spans="2:13" x14ac:dyDescent="0.2">
      <c r="B91" s="13"/>
      <c r="C91" s="15"/>
      <c r="D91" s="14"/>
      <c r="E91" s="15"/>
      <c r="F91" s="15"/>
      <c r="G91" s="15"/>
      <c r="H91" s="7"/>
      <c r="I91" s="15"/>
      <c r="K91" s="13"/>
      <c r="L91" s="13"/>
      <c r="M91" s="6"/>
    </row>
    <row r="92" spans="2:13" x14ac:dyDescent="0.2">
      <c r="B92" s="13"/>
      <c r="C92" s="15"/>
      <c r="D92" s="14"/>
      <c r="E92" s="15"/>
      <c r="F92" s="15"/>
      <c r="G92" s="15"/>
      <c r="H92" s="7"/>
      <c r="I92" s="13"/>
      <c r="J92" s="13"/>
      <c r="K92" s="13"/>
      <c r="L92" s="13"/>
      <c r="M92" s="6"/>
    </row>
    <row r="93" spans="2:13" x14ac:dyDescent="0.2">
      <c r="B93" s="13"/>
      <c r="C93" s="15"/>
      <c r="D93" s="14"/>
      <c r="E93" s="15"/>
      <c r="F93" s="15"/>
      <c r="G93" s="15"/>
      <c r="H93" s="7"/>
      <c r="I93" s="13"/>
      <c r="J93" s="13"/>
      <c r="K93" s="13"/>
      <c r="L93" s="13"/>
      <c r="M93" s="6"/>
    </row>
    <row r="94" spans="2:13" x14ac:dyDescent="0.2">
      <c r="B94" s="13"/>
      <c r="C94" s="15"/>
      <c r="D94" s="14"/>
      <c r="E94" s="15"/>
      <c r="F94" s="15"/>
      <c r="G94" s="15"/>
      <c r="H94" s="7"/>
      <c r="I94" s="15"/>
      <c r="J94" s="13"/>
      <c r="K94" s="13"/>
      <c r="L94" s="13"/>
      <c r="M94" s="6"/>
    </row>
    <row r="95" spans="2:13" x14ac:dyDescent="0.2">
      <c r="B95" s="13"/>
      <c r="C95" s="15"/>
      <c r="D95" s="14"/>
      <c r="E95" s="15"/>
      <c r="F95" s="15"/>
      <c r="G95" s="15"/>
      <c r="H95" s="7"/>
      <c r="I95" s="13"/>
      <c r="J95" s="13"/>
      <c r="K95" s="13"/>
      <c r="L95" s="13"/>
      <c r="M95" s="6"/>
    </row>
    <row r="96" spans="2:13" x14ac:dyDescent="0.2">
      <c r="B96" s="13"/>
      <c r="C96" s="15"/>
      <c r="D96" s="14"/>
      <c r="E96" s="15"/>
      <c r="F96" s="15"/>
      <c r="G96" s="15"/>
      <c r="H96" s="7"/>
      <c r="I96" s="13"/>
      <c r="J96" s="13"/>
      <c r="K96" s="13"/>
      <c r="L96" s="13"/>
      <c r="M96" s="6"/>
    </row>
    <row r="97" spans="2:13" x14ac:dyDescent="0.2">
      <c r="B97" s="13"/>
      <c r="C97" s="15"/>
      <c r="D97" s="14"/>
      <c r="E97" s="15"/>
      <c r="F97" s="15"/>
      <c r="G97" s="15"/>
      <c r="H97" s="7"/>
      <c r="I97" s="13"/>
      <c r="J97" s="13"/>
      <c r="K97" s="13"/>
      <c r="L97" s="13"/>
      <c r="M97" s="6"/>
    </row>
    <row r="98" spans="2:13" x14ac:dyDescent="0.2">
      <c r="B98" s="13"/>
      <c r="C98" s="15"/>
      <c r="D98" s="13"/>
      <c r="E98" s="15"/>
      <c r="F98" s="15"/>
      <c r="G98" s="15"/>
      <c r="H98" s="7"/>
      <c r="I98" s="13"/>
      <c r="J98" s="13"/>
      <c r="K98" s="13"/>
      <c r="L98" s="13"/>
      <c r="M98" s="6"/>
    </row>
    <row r="99" spans="2:13" x14ac:dyDescent="0.2">
      <c r="B99" s="13"/>
      <c r="C99" s="13"/>
      <c r="D99" s="14"/>
      <c r="E99" s="15"/>
      <c r="F99" s="15"/>
      <c r="G99" s="15"/>
      <c r="H99" s="7"/>
      <c r="I99" s="13"/>
      <c r="J99" s="13"/>
      <c r="K99" s="13"/>
      <c r="L99" s="13"/>
      <c r="M99" s="6"/>
    </row>
    <row r="100" spans="2:13" x14ac:dyDescent="0.2">
      <c r="B100" s="13"/>
      <c r="C100" s="13"/>
      <c r="D100" s="14"/>
      <c r="E100" s="15"/>
      <c r="F100" s="15"/>
      <c r="G100" s="15"/>
      <c r="H100" s="7"/>
      <c r="I100" s="13"/>
      <c r="J100" s="13"/>
      <c r="K100" s="13"/>
      <c r="L100" s="13"/>
      <c r="M100" s="6"/>
    </row>
    <row r="101" spans="2:13" x14ac:dyDescent="0.2">
      <c r="B101" s="13"/>
      <c r="C101" s="13"/>
      <c r="D101" s="14"/>
      <c r="E101" s="15"/>
      <c r="F101" s="15"/>
      <c r="G101" s="15"/>
      <c r="H101" s="7"/>
      <c r="I101" s="15"/>
      <c r="J101" s="15"/>
      <c r="K101" s="13"/>
      <c r="L101" s="13"/>
      <c r="M101" s="6"/>
    </row>
    <row r="102" spans="2:13" x14ac:dyDescent="0.2">
      <c r="B102" s="13"/>
      <c r="C102" s="13"/>
      <c r="D102" s="14"/>
      <c r="E102" s="15"/>
      <c r="F102" s="15"/>
      <c r="G102" s="15"/>
      <c r="H102" s="7"/>
      <c r="I102" s="13"/>
      <c r="K102" s="15"/>
      <c r="L102" s="13"/>
      <c r="M102" s="6"/>
    </row>
    <row r="103" spans="2:13" x14ac:dyDescent="0.2">
      <c r="B103" s="13"/>
      <c r="C103" s="13"/>
      <c r="D103" s="14"/>
      <c r="E103" s="15"/>
      <c r="F103" s="15"/>
      <c r="G103" s="15"/>
      <c r="H103" s="7"/>
      <c r="I103" s="15"/>
      <c r="J103" s="15"/>
      <c r="K103" s="15"/>
      <c r="L103" s="13"/>
      <c r="M103" s="6"/>
    </row>
    <row r="104" spans="2:13" x14ac:dyDescent="0.2">
      <c r="B104" s="13"/>
      <c r="C104" s="13"/>
      <c r="D104" s="14"/>
      <c r="E104" s="15"/>
      <c r="F104" s="15"/>
      <c r="G104" s="15"/>
      <c r="H104" s="7"/>
      <c r="I104" s="15"/>
      <c r="J104" s="13"/>
      <c r="K104" s="13"/>
      <c r="L104" s="13"/>
      <c r="M104" s="6"/>
    </row>
    <row r="105" spans="2:13" x14ac:dyDescent="0.2">
      <c r="B105" s="13"/>
      <c r="C105" s="13"/>
      <c r="D105" s="14"/>
      <c r="E105" s="15"/>
      <c r="F105" s="15"/>
      <c r="G105" s="15"/>
      <c r="H105" s="7"/>
      <c r="I105" s="15"/>
      <c r="J105" s="15"/>
      <c r="K105" s="15"/>
      <c r="L105" s="20"/>
      <c r="M105" s="6"/>
    </row>
    <row r="106" spans="2:13" x14ac:dyDescent="0.2">
      <c r="B106" s="13"/>
      <c r="C106" s="13"/>
      <c r="D106" s="13"/>
      <c r="E106" s="15"/>
      <c r="F106" s="15"/>
      <c r="G106" s="15"/>
      <c r="H106" s="7"/>
      <c r="I106" s="13"/>
      <c r="J106" s="18"/>
      <c r="K106" s="15"/>
      <c r="L106" s="13"/>
      <c r="M106" s="6"/>
    </row>
    <row r="107" spans="2:13" x14ac:dyDescent="0.2">
      <c r="B107" s="13"/>
      <c r="C107" s="13"/>
      <c r="D107" s="14"/>
      <c r="E107" s="15"/>
      <c r="F107" s="15"/>
      <c r="G107" s="15"/>
      <c r="H107" s="7"/>
      <c r="I107" s="13"/>
      <c r="J107" s="15"/>
      <c r="K107" s="15"/>
      <c r="L107" s="13"/>
      <c r="M107" s="6"/>
    </row>
    <row r="108" spans="2:13" x14ac:dyDescent="0.2">
      <c r="B108" s="13"/>
      <c r="C108" s="13"/>
      <c r="D108" s="14"/>
      <c r="E108" s="15"/>
      <c r="F108" s="15"/>
      <c r="G108" s="15"/>
      <c r="H108" s="7"/>
      <c r="I108" s="13"/>
      <c r="J108" s="13"/>
      <c r="K108" s="15"/>
      <c r="L108" s="13"/>
      <c r="M108" s="6"/>
    </row>
    <row r="109" spans="2:13" x14ac:dyDescent="0.2">
      <c r="B109" s="13"/>
      <c r="C109" s="13"/>
      <c r="D109" s="14"/>
      <c r="E109" s="15"/>
      <c r="F109" s="15"/>
      <c r="G109" s="15"/>
      <c r="H109" s="7"/>
      <c r="I109" s="13"/>
      <c r="J109" s="15"/>
      <c r="K109" s="15"/>
      <c r="L109" s="13"/>
      <c r="M109" s="6"/>
    </row>
    <row r="110" spans="2:13" x14ac:dyDescent="0.2">
      <c r="B110" s="13"/>
      <c r="C110" s="13"/>
      <c r="D110" s="14"/>
      <c r="E110" s="15"/>
      <c r="F110" s="15"/>
      <c r="G110" s="15"/>
      <c r="H110" s="7"/>
      <c r="I110" s="13"/>
      <c r="J110" s="15"/>
      <c r="K110" s="15"/>
      <c r="L110" s="13"/>
      <c r="M110" s="6"/>
    </row>
    <row r="111" spans="2:13" x14ac:dyDescent="0.2">
      <c r="B111" s="13"/>
      <c r="C111" s="13"/>
      <c r="D111" s="14"/>
      <c r="E111" s="15"/>
      <c r="F111" s="15"/>
      <c r="G111" s="15"/>
      <c r="H111" s="7"/>
      <c r="I111" s="13"/>
      <c r="J111" s="13"/>
      <c r="K111" s="15"/>
      <c r="L111" s="13"/>
      <c r="M111" s="6"/>
    </row>
    <row r="112" spans="2:13" x14ac:dyDescent="0.2">
      <c r="B112" s="13"/>
      <c r="C112" s="13"/>
      <c r="D112" s="14"/>
      <c r="E112" s="15"/>
      <c r="F112" s="15"/>
      <c r="G112" s="15"/>
      <c r="H112" s="7"/>
      <c r="I112" s="13"/>
      <c r="J112" s="15"/>
      <c r="K112" s="15"/>
      <c r="L112" s="13"/>
      <c r="M112" s="6"/>
    </row>
    <row r="113" spans="2:13" x14ac:dyDescent="0.2">
      <c r="B113" s="13"/>
      <c r="C113" s="13"/>
      <c r="D113" s="14"/>
      <c r="E113" s="15"/>
      <c r="F113" s="15"/>
      <c r="G113" s="15"/>
      <c r="H113" s="7"/>
      <c r="I113" s="13"/>
      <c r="J113" s="15"/>
      <c r="K113" s="15"/>
      <c r="L113" s="13"/>
      <c r="M113" s="6"/>
    </row>
    <row r="114" spans="2:13" x14ac:dyDescent="0.2">
      <c r="B114" s="13"/>
      <c r="C114" s="13"/>
      <c r="D114" s="13"/>
      <c r="E114" s="15"/>
      <c r="F114" s="15"/>
      <c r="G114" s="15"/>
      <c r="H114" s="7"/>
      <c r="I114" s="13"/>
      <c r="J114" s="13"/>
      <c r="K114" s="13"/>
      <c r="L114" s="13"/>
      <c r="M114" s="6"/>
    </row>
    <row r="115" spans="2:13" x14ac:dyDescent="0.2">
      <c r="B115" s="13"/>
      <c r="C115" s="13"/>
      <c r="D115" s="13"/>
      <c r="E115" s="15"/>
      <c r="F115" s="15"/>
      <c r="G115" s="15"/>
      <c r="H115" s="15"/>
      <c r="I115" s="13"/>
      <c r="J115" s="13"/>
      <c r="K115" s="13"/>
      <c r="L115" s="13"/>
      <c r="M115" s="6"/>
    </row>
    <row r="116" spans="2:13" x14ac:dyDescent="0.2">
      <c r="B116" s="13"/>
      <c r="C116" s="13"/>
      <c r="D116" s="13"/>
      <c r="E116" s="15"/>
      <c r="F116" s="15"/>
      <c r="G116" s="15"/>
      <c r="H116" s="15"/>
      <c r="I116" s="13"/>
      <c r="J116" s="13"/>
      <c r="K116" s="13"/>
      <c r="L116" s="13"/>
      <c r="M116" s="6"/>
    </row>
    <row r="117" spans="2:13" x14ac:dyDescent="0.2">
      <c r="B117" s="13"/>
      <c r="C117" s="13"/>
      <c r="D117" s="13"/>
      <c r="E117" s="15"/>
      <c r="F117" s="15"/>
      <c r="G117" s="15"/>
      <c r="H117" s="7"/>
      <c r="I117" s="13"/>
      <c r="J117" s="13"/>
      <c r="K117" s="13"/>
      <c r="L117" s="13"/>
      <c r="M117" s="6"/>
    </row>
    <row r="118" spans="2:13" x14ac:dyDescent="0.2">
      <c r="B118" s="13"/>
      <c r="C118" s="13"/>
      <c r="D118" s="13"/>
      <c r="E118" s="15"/>
      <c r="F118" s="15"/>
      <c r="G118" s="15"/>
      <c r="H118" s="15"/>
      <c r="I118" s="13"/>
      <c r="J118" s="13"/>
      <c r="K118" s="13"/>
      <c r="L118" s="13"/>
      <c r="M118" s="6"/>
    </row>
    <row r="119" spans="2:13" x14ac:dyDescent="0.2">
      <c r="B119" s="13"/>
      <c r="C119" s="13"/>
      <c r="D119" s="13"/>
      <c r="E119" s="15"/>
      <c r="F119" s="15"/>
      <c r="G119" s="15"/>
      <c r="H119" s="15"/>
      <c r="I119" s="13"/>
      <c r="J119" s="13"/>
      <c r="K119" s="13"/>
      <c r="L119" s="13"/>
      <c r="M119" s="6"/>
    </row>
    <row r="120" spans="2:13" x14ac:dyDescent="0.2">
      <c r="B120" s="13"/>
      <c r="C120" s="13"/>
      <c r="D120" s="14"/>
      <c r="E120" s="15"/>
      <c r="F120" s="15"/>
      <c r="G120" s="15"/>
      <c r="H120" s="7"/>
      <c r="I120" s="13"/>
      <c r="J120" s="13"/>
      <c r="K120" s="15"/>
      <c r="L120" s="13"/>
      <c r="M120" s="6"/>
    </row>
    <row r="121" spans="2:13" x14ac:dyDescent="0.2">
      <c r="B121" s="13"/>
      <c r="C121" s="13"/>
      <c r="D121" s="14"/>
      <c r="E121" s="15"/>
      <c r="F121" s="15"/>
      <c r="G121" s="15"/>
      <c r="H121" s="7"/>
      <c r="I121" s="13"/>
      <c r="J121" s="15"/>
      <c r="K121" s="15"/>
      <c r="L121" s="13"/>
      <c r="M121" s="6"/>
    </row>
    <row r="122" spans="2:13" x14ac:dyDescent="0.2">
      <c r="B122" s="13"/>
      <c r="C122" s="13"/>
      <c r="D122" s="14"/>
      <c r="E122" s="15"/>
      <c r="F122" s="15"/>
      <c r="G122" s="15"/>
      <c r="H122" s="7"/>
      <c r="I122" s="13"/>
      <c r="J122" s="13"/>
      <c r="K122" s="15"/>
      <c r="L122" s="13"/>
      <c r="M122" s="6"/>
    </row>
    <row r="123" spans="2:13" x14ac:dyDescent="0.2">
      <c r="B123" s="13"/>
      <c r="C123" s="13"/>
      <c r="D123" s="14"/>
      <c r="E123" s="15"/>
      <c r="F123" s="15"/>
      <c r="G123" s="15"/>
      <c r="H123" s="7"/>
      <c r="I123" s="15"/>
      <c r="J123" s="13"/>
      <c r="K123" s="15"/>
      <c r="L123" s="23"/>
      <c r="M123" s="6"/>
    </row>
    <row r="124" spans="2:13" x14ac:dyDescent="0.2">
      <c r="B124" s="13"/>
      <c r="C124" s="13"/>
      <c r="D124" s="14"/>
      <c r="E124" s="15"/>
      <c r="F124" s="15"/>
      <c r="G124" s="15"/>
      <c r="H124" s="7"/>
      <c r="I124" s="13"/>
      <c r="J124" s="13"/>
      <c r="K124" s="15"/>
      <c r="L124" s="13"/>
      <c r="M124" s="6"/>
    </row>
    <row r="125" spans="2:13" x14ac:dyDescent="0.2">
      <c r="B125" s="13"/>
      <c r="C125" s="13"/>
      <c r="D125" s="14"/>
      <c r="E125" s="15"/>
      <c r="F125" s="15"/>
      <c r="G125" s="15"/>
      <c r="H125" s="7"/>
      <c r="I125" s="13"/>
      <c r="J125" s="13"/>
      <c r="K125" s="15"/>
      <c r="L125" s="13"/>
      <c r="M125" s="6"/>
    </row>
    <row r="126" spans="2:13" x14ac:dyDescent="0.2">
      <c r="B126" s="13"/>
      <c r="C126" s="13"/>
      <c r="D126" s="13"/>
      <c r="E126" s="15"/>
      <c r="F126" s="15"/>
      <c r="G126" s="15"/>
      <c r="H126" s="7"/>
      <c r="I126" s="13"/>
      <c r="J126" s="13"/>
      <c r="K126" s="13"/>
      <c r="L126" s="13"/>
      <c r="M126" s="6"/>
    </row>
    <row r="127" spans="2:13" x14ac:dyDescent="0.2">
      <c r="B127" s="13"/>
      <c r="C127" s="13"/>
      <c r="D127" s="14"/>
      <c r="E127" s="15"/>
      <c r="F127" s="15"/>
      <c r="G127" s="15"/>
      <c r="H127" s="7"/>
      <c r="I127" s="13"/>
      <c r="J127" s="13"/>
      <c r="K127" s="15"/>
      <c r="L127" s="13"/>
      <c r="M127" s="6"/>
    </row>
    <row r="128" spans="2:13" x14ac:dyDescent="0.2">
      <c r="B128" s="13"/>
      <c r="C128" s="13"/>
      <c r="D128" s="14"/>
      <c r="E128" s="15"/>
      <c r="F128" s="15"/>
      <c r="G128" s="15"/>
      <c r="H128" s="7"/>
      <c r="I128" s="15"/>
      <c r="J128" s="15"/>
      <c r="K128" s="15"/>
      <c r="L128" s="13"/>
      <c r="M128" s="6"/>
    </row>
    <row r="129" spans="2:13" x14ac:dyDescent="0.2">
      <c r="B129" s="13"/>
      <c r="C129" s="13"/>
      <c r="D129" s="14"/>
      <c r="E129" s="15"/>
      <c r="F129" s="15"/>
      <c r="G129" s="15"/>
      <c r="H129" s="7"/>
      <c r="I129" s="13"/>
      <c r="J129" s="13"/>
      <c r="K129" s="15"/>
      <c r="L129" s="13"/>
      <c r="M129" s="6"/>
    </row>
    <row r="130" spans="2:13" x14ac:dyDescent="0.2">
      <c r="B130" s="13"/>
      <c r="C130" s="13"/>
      <c r="D130" s="14"/>
      <c r="E130" s="15"/>
      <c r="F130" s="15"/>
      <c r="G130" s="15"/>
      <c r="H130" s="7"/>
      <c r="I130" s="13"/>
      <c r="J130" s="13"/>
      <c r="K130" s="15"/>
      <c r="L130" s="13"/>
      <c r="M130" s="6"/>
    </row>
    <row r="131" spans="2:13" x14ac:dyDescent="0.2">
      <c r="B131" s="13"/>
      <c r="C131" s="13"/>
      <c r="D131" s="14"/>
      <c r="E131" s="15"/>
      <c r="F131" s="15"/>
      <c r="G131" s="15"/>
      <c r="H131" s="7"/>
      <c r="I131" s="13"/>
      <c r="J131" s="13"/>
      <c r="K131" s="15"/>
      <c r="L131" s="13"/>
      <c r="M131" s="6"/>
    </row>
    <row r="132" spans="2:13" x14ac:dyDescent="0.2">
      <c r="B132" s="13"/>
      <c r="C132" s="13"/>
      <c r="D132" s="14"/>
      <c r="E132" s="15"/>
      <c r="F132" s="15"/>
      <c r="G132" s="15"/>
      <c r="H132" s="7"/>
      <c r="I132" s="13"/>
      <c r="J132" s="13"/>
      <c r="K132" s="15"/>
      <c r="L132" s="13"/>
      <c r="M132" s="6"/>
    </row>
    <row r="133" spans="2:13" x14ac:dyDescent="0.2">
      <c r="B133" s="13"/>
      <c r="C133" s="13"/>
      <c r="D133" s="14"/>
      <c r="E133" s="15"/>
      <c r="F133" s="15"/>
      <c r="G133" s="15"/>
      <c r="H133" s="7"/>
      <c r="I133" s="13"/>
      <c r="J133" s="13"/>
      <c r="K133" s="15"/>
      <c r="L133" s="13"/>
      <c r="M133" s="6"/>
    </row>
    <row r="134" spans="2:13" x14ac:dyDescent="0.2">
      <c r="B134" s="13"/>
      <c r="C134" s="13"/>
      <c r="D134" s="13"/>
      <c r="E134" s="15"/>
      <c r="F134" s="15"/>
      <c r="G134" s="15"/>
      <c r="H134" s="7"/>
      <c r="I134" s="13"/>
      <c r="J134" s="13"/>
      <c r="K134" s="13"/>
      <c r="L134" s="13"/>
      <c r="M134" s="6"/>
    </row>
    <row r="135" spans="2:13" x14ac:dyDescent="0.2">
      <c r="B135" s="13"/>
      <c r="C135" s="13"/>
      <c r="D135" s="13"/>
      <c r="E135" s="15"/>
      <c r="F135" s="15"/>
      <c r="G135" s="15"/>
      <c r="H135" s="7"/>
      <c r="I135" s="13"/>
      <c r="J135" s="13"/>
      <c r="K135" s="13"/>
      <c r="L135" s="13"/>
      <c r="M135" s="6"/>
    </row>
    <row r="136" spans="2:13" x14ac:dyDescent="0.2">
      <c r="B136" s="13"/>
      <c r="C136" s="13"/>
      <c r="D136" s="13"/>
      <c r="E136" s="13"/>
      <c r="F136" s="15"/>
      <c r="G136" s="15"/>
      <c r="H136" s="7"/>
      <c r="I136" s="15"/>
      <c r="J136" s="15"/>
      <c r="K136" s="13"/>
      <c r="L136" s="13"/>
      <c r="M136" s="6"/>
    </row>
    <row r="137" spans="2:13" x14ac:dyDescent="0.2">
      <c r="B137" s="13"/>
      <c r="C137" s="13"/>
      <c r="D137" s="13"/>
      <c r="E137" s="13"/>
      <c r="F137" s="15"/>
      <c r="G137" s="15"/>
      <c r="H137" s="7"/>
      <c r="I137" s="13"/>
      <c r="J137" s="13"/>
      <c r="K137" s="13"/>
      <c r="L137" s="13"/>
      <c r="M137" s="6"/>
    </row>
    <row r="138" spans="2:13" x14ac:dyDescent="0.2">
      <c r="B138" s="13"/>
      <c r="C138" s="13"/>
      <c r="D138" s="13"/>
      <c r="E138" s="13"/>
      <c r="F138" s="15"/>
      <c r="G138" s="15"/>
      <c r="H138" s="7"/>
      <c r="I138" s="13"/>
      <c r="J138" s="13"/>
      <c r="K138" s="13"/>
      <c r="L138" s="13"/>
      <c r="M138" s="6"/>
    </row>
    <row r="139" spans="2:13" x14ac:dyDescent="0.2">
      <c r="B139" s="13"/>
      <c r="C139" s="13"/>
      <c r="D139" s="13"/>
      <c r="E139" s="13"/>
      <c r="F139" s="15"/>
      <c r="G139" s="15"/>
      <c r="H139" s="7"/>
      <c r="I139" s="13"/>
      <c r="J139" s="13"/>
      <c r="K139" s="13"/>
      <c r="L139" s="13"/>
      <c r="M139" s="6"/>
    </row>
    <row r="140" spans="2:13" x14ac:dyDescent="0.2">
      <c r="B140" s="13"/>
      <c r="C140" s="13"/>
      <c r="D140" s="13"/>
      <c r="E140" s="13"/>
      <c r="F140" s="15"/>
      <c r="G140" s="15"/>
      <c r="H140" s="7"/>
      <c r="I140" s="13"/>
      <c r="J140" s="13"/>
      <c r="K140" s="13"/>
      <c r="L140" s="13"/>
      <c r="M140" s="6"/>
    </row>
    <row r="141" spans="2:13" x14ac:dyDescent="0.2">
      <c r="B141" s="13"/>
      <c r="C141" s="13"/>
      <c r="D141" s="13"/>
      <c r="E141" s="13"/>
      <c r="F141" s="15"/>
      <c r="G141" s="15"/>
      <c r="H141" s="7"/>
      <c r="I141" s="13"/>
      <c r="J141" s="13"/>
      <c r="K141" s="13"/>
      <c r="L141" s="13"/>
      <c r="M141" s="6"/>
    </row>
    <row r="142" spans="2:13" x14ac:dyDescent="0.2">
      <c r="B142" s="13"/>
      <c r="C142" s="13"/>
      <c r="D142" s="14"/>
      <c r="E142" s="15"/>
      <c r="F142" s="15"/>
      <c r="G142" s="15"/>
      <c r="H142" s="7"/>
      <c r="I142" s="13"/>
      <c r="J142" s="13"/>
      <c r="K142" s="15"/>
      <c r="L142" s="13"/>
      <c r="M142" s="6"/>
    </row>
    <row r="143" spans="2:13" x14ac:dyDescent="0.2">
      <c r="B143" s="13"/>
      <c r="C143" s="13"/>
      <c r="D143" s="13"/>
      <c r="E143" s="13"/>
      <c r="F143" s="15"/>
      <c r="G143" s="15"/>
      <c r="H143" s="7"/>
      <c r="I143" s="13"/>
      <c r="J143" s="13"/>
      <c r="K143" s="15"/>
      <c r="L143" s="13"/>
      <c r="M143" s="6"/>
    </row>
    <row r="144" spans="2:13" x14ac:dyDescent="0.2">
      <c r="B144" s="13"/>
      <c r="C144" s="13"/>
      <c r="D144" s="14"/>
      <c r="E144" s="15"/>
      <c r="F144" s="15"/>
      <c r="G144" s="15"/>
      <c r="H144" s="7"/>
      <c r="I144" s="15"/>
      <c r="J144" s="13"/>
      <c r="K144" s="15"/>
      <c r="L144" s="13"/>
      <c r="M144" s="6"/>
    </row>
    <row r="145" spans="2:13" x14ac:dyDescent="0.2">
      <c r="B145" s="13"/>
      <c r="C145" s="13"/>
      <c r="D145" s="14"/>
      <c r="E145" s="15"/>
      <c r="F145" s="15"/>
      <c r="G145" s="15"/>
      <c r="H145" s="7"/>
      <c r="I145" s="13"/>
      <c r="J145" s="13"/>
      <c r="K145" s="15"/>
      <c r="L145" s="13"/>
      <c r="M145" s="6"/>
    </row>
    <row r="146" spans="2:13" x14ac:dyDescent="0.2">
      <c r="B146" s="13"/>
      <c r="C146" s="13"/>
      <c r="D146" s="14"/>
      <c r="E146" s="15"/>
      <c r="F146" s="15"/>
      <c r="G146" s="15"/>
      <c r="H146" s="7"/>
      <c r="I146" s="13"/>
      <c r="J146" s="13"/>
      <c r="K146" s="15"/>
      <c r="L146" s="13"/>
      <c r="M146" s="6"/>
    </row>
    <row r="147" spans="2:13" x14ac:dyDescent="0.2">
      <c r="B147" s="13"/>
      <c r="C147" s="13"/>
      <c r="D147" s="14"/>
      <c r="E147" s="15"/>
      <c r="F147" s="15"/>
      <c r="G147" s="15"/>
      <c r="H147" s="7"/>
      <c r="I147" s="13"/>
      <c r="J147" s="13"/>
      <c r="K147" s="15"/>
      <c r="L147" s="13"/>
      <c r="M147" s="6"/>
    </row>
    <row r="148" spans="2:13" x14ac:dyDescent="0.2">
      <c r="B148" s="6"/>
      <c r="C148" s="6"/>
      <c r="D148" s="6"/>
      <c r="E148" s="7"/>
      <c r="F148" s="7"/>
      <c r="G148" s="7"/>
      <c r="H148" s="7"/>
      <c r="I148" s="7"/>
      <c r="J148" s="5"/>
      <c r="K148" s="6"/>
      <c r="L148" s="6"/>
      <c r="M148" s="6"/>
    </row>
    <row r="149" spans="2:13" x14ac:dyDescent="0.2">
      <c r="B149" s="6"/>
      <c r="C149" s="6"/>
      <c r="D149" s="6"/>
      <c r="E149" s="7"/>
      <c r="F149" s="7"/>
      <c r="G149" s="7"/>
      <c r="H149" s="7"/>
      <c r="I149" s="7"/>
      <c r="J149" s="5"/>
      <c r="K149" s="6"/>
      <c r="L149" s="6"/>
      <c r="M149" s="6"/>
    </row>
    <row r="150" spans="2:13" x14ac:dyDescent="0.2">
      <c r="B150" s="6"/>
      <c r="C150" s="6"/>
      <c r="D150" s="6"/>
      <c r="E150" s="7"/>
      <c r="F150" s="7"/>
      <c r="G150" s="7"/>
      <c r="H150" s="7"/>
      <c r="I150" s="7"/>
      <c r="J150" s="5"/>
      <c r="K150" s="6"/>
      <c r="L150" s="6"/>
      <c r="M150" s="6"/>
    </row>
    <row r="151" spans="2:13" x14ac:dyDescent="0.2">
      <c r="B151" s="6"/>
      <c r="C151" s="6"/>
      <c r="D151" s="6"/>
      <c r="E151" s="7"/>
      <c r="F151" s="7"/>
      <c r="G151" s="7"/>
      <c r="H151" s="7"/>
      <c r="I151" s="7"/>
      <c r="J151" s="5"/>
      <c r="K151" s="6"/>
      <c r="L151" s="6"/>
      <c r="M151" s="6"/>
    </row>
    <row r="152" spans="2:13" x14ac:dyDescent="0.2">
      <c r="B152" s="6"/>
      <c r="C152" s="6"/>
      <c r="D152" s="6"/>
      <c r="E152" s="7"/>
      <c r="F152" s="7"/>
      <c r="G152" s="7"/>
      <c r="H152" s="7"/>
      <c r="I152" s="7"/>
      <c r="J152" s="5"/>
      <c r="K152" s="6"/>
      <c r="L152" s="6"/>
      <c r="M152" s="6"/>
    </row>
    <row r="153" spans="2:13" x14ac:dyDescent="0.2">
      <c r="B153" s="6"/>
      <c r="C153" s="6"/>
      <c r="D153" s="6"/>
      <c r="E153" s="7"/>
      <c r="F153" s="7"/>
      <c r="G153" s="7"/>
      <c r="H153" s="7"/>
      <c r="I153" s="7"/>
      <c r="J153" s="5"/>
      <c r="K153" s="6"/>
      <c r="L153" s="6"/>
      <c r="M153" s="6"/>
    </row>
    <row r="154" spans="2:13" x14ac:dyDescent="0.2">
      <c r="B154" s="6"/>
      <c r="C154" s="6"/>
      <c r="D154" s="6"/>
      <c r="E154" s="7"/>
      <c r="F154" s="7"/>
      <c r="G154" s="7"/>
      <c r="H154" s="7"/>
      <c r="I154" s="7"/>
      <c r="J154" s="5"/>
      <c r="K154" s="6"/>
      <c r="L154" s="6"/>
      <c r="M154" s="6"/>
    </row>
    <row r="155" spans="2:13" x14ac:dyDescent="0.2">
      <c r="B155" s="6"/>
      <c r="C155" s="6"/>
      <c r="D155" s="6"/>
      <c r="E155" s="7"/>
      <c r="F155" s="7"/>
      <c r="G155" s="7"/>
      <c r="H155" s="7"/>
      <c r="I155" s="7"/>
      <c r="J155" s="5"/>
      <c r="K155" s="6"/>
      <c r="L155" s="6"/>
      <c r="M155" s="6"/>
    </row>
    <row r="156" spans="2:13" x14ac:dyDescent="0.2">
      <c r="B156" s="6"/>
      <c r="C156" s="6"/>
      <c r="D156" s="6"/>
      <c r="E156" s="7"/>
      <c r="F156" s="7"/>
      <c r="G156" s="7"/>
      <c r="H156" s="7"/>
      <c r="I156" s="7"/>
      <c r="J156" s="5"/>
      <c r="K156" s="6"/>
      <c r="L156" s="6"/>
      <c r="M156" s="6"/>
    </row>
    <row r="157" spans="2:13" x14ac:dyDescent="0.2">
      <c r="B157" s="6"/>
      <c r="C157" s="6"/>
      <c r="D157" s="6"/>
      <c r="E157" s="7"/>
      <c r="F157" s="7"/>
      <c r="G157" s="7"/>
      <c r="H157" s="7"/>
      <c r="I157" s="7"/>
      <c r="J157" s="5"/>
      <c r="K157" s="6"/>
      <c r="L157" s="6"/>
      <c r="M157" s="6"/>
    </row>
    <row r="158" spans="2:13" x14ac:dyDescent="0.2">
      <c r="B158" s="6"/>
      <c r="C158" s="6"/>
      <c r="D158" s="6"/>
      <c r="E158" s="7"/>
      <c r="F158" s="7"/>
      <c r="G158" s="7"/>
      <c r="H158" s="7"/>
      <c r="I158" s="7"/>
      <c r="J158" s="5"/>
      <c r="K158" s="6"/>
      <c r="L158" s="6"/>
      <c r="M158" s="6"/>
    </row>
    <row r="159" spans="2:13" x14ac:dyDescent="0.2">
      <c r="B159" s="6"/>
      <c r="C159" s="6"/>
      <c r="D159" s="6"/>
      <c r="E159" s="7"/>
      <c r="F159" s="7"/>
      <c r="G159" s="7"/>
      <c r="H159" s="7"/>
      <c r="I159" s="7"/>
      <c r="J159" s="5"/>
      <c r="K159" s="6"/>
      <c r="L159" s="6"/>
      <c r="M159" s="6"/>
    </row>
    <row r="160" spans="2:13" x14ac:dyDescent="0.2">
      <c r="B160" s="6"/>
      <c r="C160" s="6"/>
      <c r="D160" s="6"/>
      <c r="E160" s="7"/>
      <c r="F160" s="7"/>
      <c r="G160" s="7"/>
      <c r="H160" s="7"/>
      <c r="I160" s="7"/>
      <c r="J160" s="5"/>
      <c r="K160" s="6"/>
      <c r="L160" s="6"/>
      <c r="M160" s="6"/>
    </row>
    <row r="161" spans="2:13" x14ac:dyDescent="0.2">
      <c r="B161" s="6"/>
      <c r="C161" s="6"/>
      <c r="D161" s="6"/>
      <c r="E161" s="7"/>
      <c r="F161" s="7"/>
      <c r="G161" s="7"/>
      <c r="H161" s="7"/>
      <c r="I161" s="7"/>
      <c r="J161" s="5"/>
      <c r="K161" s="6"/>
      <c r="L161" s="6"/>
      <c r="M161" s="6"/>
    </row>
    <row r="162" spans="2:13" x14ac:dyDescent="0.2">
      <c r="B162" s="6"/>
      <c r="C162" s="6"/>
      <c r="D162" s="6"/>
      <c r="E162" s="7"/>
      <c r="F162" s="7"/>
      <c r="G162" s="7"/>
      <c r="H162" s="7"/>
      <c r="I162" s="7"/>
      <c r="J162" s="5"/>
      <c r="K162" s="6"/>
      <c r="L162" s="6"/>
      <c r="M162" s="6"/>
    </row>
    <row r="163" spans="2:13" x14ac:dyDescent="0.2">
      <c r="B163" s="6"/>
      <c r="C163" s="6"/>
      <c r="D163" s="6"/>
      <c r="E163" s="7"/>
      <c r="F163" s="7"/>
      <c r="G163" s="7"/>
      <c r="H163" s="7"/>
      <c r="I163" s="7"/>
      <c r="J163" s="5"/>
      <c r="K163" s="6"/>
      <c r="L163" s="6"/>
      <c r="M163" s="6"/>
    </row>
    <row r="164" spans="2:13" x14ac:dyDescent="0.2">
      <c r="B164" s="6"/>
      <c r="C164" s="6"/>
      <c r="D164" s="6"/>
      <c r="E164" s="7"/>
      <c r="F164" s="7"/>
      <c r="G164" s="7"/>
      <c r="H164" s="7"/>
      <c r="I164" s="7"/>
      <c r="J164" s="5"/>
      <c r="K164" s="6"/>
      <c r="L164" s="6"/>
      <c r="M164" s="6"/>
    </row>
    <row r="165" spans="2:13" x14ac:dyDescent="0.2">
      <c r="B165" s="6"/>
      <c r="C165" s="6"/>
      <c r="D165" s="6"/>
      <c r="E165" s="7"/>
      <c r="F165" s="7"/>
      <c r="G165" s="7"/>
      <c r="H165" s="7"/>
      <c r="I165" s="7"/>
      <c r="J165" s="5"/>
      <c r="K165" s="6"/>
      <c r="L165" s="6"/>
      <c r="M165" s="6"/>
    </row>
    <row r="166" spans="2:13" x14ac:dyDescent="0.2">
      <c r="B166" s="6"/>
      <c r="C166" s="6"/>
      <c r="D166" s="6"/>
      <c r="E166" s="7"/>
      <c r="F166" s="7"/>
      <c r="G166" s="7"/>
      <c r="H166" s="7"/>
      <c r="I166" s="7"/>
      <c r="J166" s="5"/>
      <c r="K166" s="6"/>
      <c r="L166" s="6"/>
      <c r="M166" s="6"/>
    </row>
    <row r="167" spans="2:13" x14ac:dyDescent="0.2">
      <c r="B167" s="6"/>
      <c r="C167" s="6"/>
      <c r="D167" s="6"/>
      <c r="E167" s="7"/>
      <c r="F167" s="7"/>
      <c r="G167" s="7"/>
      <c r="H167" s="7"/>
      <c r="I167" s="7"/>
      <c r="J167" s="5"/>
      <c r="K167" s="6"/>
      <c r="L167" s="6"/>
      <c r="M167" s="6"/>
    </row>
    <row r="168" spans="2:13" x14ac:dyDescent="0.2">
      <c r="B168" s="6"/>
      <c r="C168" s="6"/>
      <c r="D168" s="6"/>
      <c r="E168" s="7"/>
      <c r="F168" s="7"/>
      <c r="G168" s="7"/>
      <c r="H168" s="7"/>
      <c r="I168" s="7"/>
      <c r="J168" s="5"/>
      <c r="K168" s="6"/>
      <c r="L168" s="6"/>
      <c r="M168" s="6"/>
    </row>
    <row r="169" spans="2:13" x14ac:dyDescent="0.2">
      <c r="B169" s="6"/>
      <c r="C169" s="6"/>
      <c r="D169" s="6"/>
      <c r="E169" s="7"/>
      <c r="F169" s="7"/>
      <c r="G169" s="7"/>
      <c r="H169" s="7"/>
      <c r="I169" s="7"/>
      <c r="J169" s="5"/>
      <c r="K169" s="6"/>
      <c r="L169" s="6"/>
      <c r="M169" s="6"/>
    </row>
    <row r="170" spans="2:13" x14ac:dyDescent="0.2">
      <c r="B170" s="6"/>
      <c r="C170" s="6"/>
      <c r="D170" s="6"/>
      <c r="E170" s="7"/>
      <c r="F170" s="7"/>
      <c r="G170" s="7"/>
      <c r="H170" s="7"/>
      <c r="I170" s="7"/>
      <c r="J170" s="5"/>
      <c r="K170" s="6"/>
      <c r="L170" s="6"/>
      <c r="M170" s="6"/>
    </row>
    <row r="171" spans="2:13" x14ac:dyDescent="0.2">
      <c r="B171" s="6"/>
      <c r="C171" s="6"/>
      <c r="D171" s="6"/>
      <c r="E171" s="7"/>
      <c r="F171" s="7"/>
      <c r="G171" s="7"/>
      <c r="H171" s="7"/>
      <c r="I171" s="7"/>
      <c r="J171" s="5"/>
      <c r="K171" s="6"/>
      <c r="L171" s="6"/>
      <c r="M171" s="6"/>
    </row>
    <row r="172" spans="2:13" x14ac:dyDescent="0.2">
      <c r="B172" s="6"/>
      <c r="C172" s="6"/>
      <c r="D172" s="6"/>
      <c r="E172" s="7"/>
      <c r="F172" s="7"/>
      <c r="G172" s="7"/>
      <c r="H172" s="7"/>
      <c r="I172" s="7"/>
      <c r="J172" s="5"/>
      <c r="K172" s="6"/>
      <c r="L172" s="6"/>
      <c r="M172" s="6"/>
    </row>
    <row r="173" spans="2:13" x14ac:dyDescent="0.2">
      <c r="B173" s="6"/>
      <c r="C173" s="6"/>
      <c r="D173" s="6"/>
      <c r="E173" s="7"/>
      <c r="F173" s="7"/>
      <c r="G173" s="7"/>
      <c r="H173" s="7"/>
      <c r="I173" s="7"/>
      <c r="J173" s="5"/>
      <c r="K173" s="6"/>
      <c r="L173" s="6"/>
      <c r="M173" s="6"/>
    </row>
    <row r="174" spans="2:13" x14ac:dyDescent="0.2">
      <c r="B174" s="6"/>
      <c r="C174" s="6"/>
      <c r="D174" s="6"/>
      <c r="E174" s="7"/>
      <c r="F174" s="7"/>
      <c r="G174" s="7"/>
      <c r="H174" s="7"/>
      <c r="I174" s="7"/>
      <c r="J174" s="5"/>
      <c r="K174" s="6"/>
      <c r="L174" s="6"/>
      <c r="M174" s="6"/>
    </row>
    <row r="175" spans="2:13" x14ac:dyDescent="0.2">
      <c r="B175" s="6"/>
      <c r="C175" s="6"/>
      <c r="D175" s="6"/>
      <c r="E175" s="7"/>
      <c r="F175" s="7"/>
      <c r="G175" s="7"/>
      <c r="H175" s="7"/>
      <c r="I175" s="7"/>
      <c r="J175" s="5"/>
      <c r="K175" s="6"/>
      <c r="L175" s="6"/>
      <c r="M175" s="6"/>
    </row>
    <row r="176" spans="2:13" x14ac:dyDescent="0.2">
      <c r="B176" s="6"/>
      <c r="C176" s="6"/>
      <c r="D176" s="6"/>
      <c r="E176" s="7"/>
      <c r="F176" s="7"/>
      <c r="G176" s="7"/>
      <c r="H176" s="7"/>
      <c r="I176" s="7"/>
      <c r="J176" s="5"/>
      <c r="K176" s="6"/>
      <c r="L176" s="6"/>
      <c r="M176" s="6"/>
    </row>
    <row r="177" spans="2:13" x14ac:dyDescent="0.2">
      <c r="B177" s="6"/>
      <c r="C177" s="6"/>
      <c r="D177" s="6"/>
      <c r="E177" s="7"/>
      <c r="F177" s="7"/>
      <c r="G177" s="7"/>
      <c r="H177" s="7"/>
      <c r="I177" s="7"/>
      <c r="J177" s="5"/>
      <c r="K177" s="6"/>
      <c r="L177" s="6"/>
      <c r="M177" s="6"/>
    </row>
    <row r="178" spans="2:13" x14ac:dyDescent="0.2">
      <c r="B178" s="6"/>
      <c r="C178" s="6"/>
      <c r="D178" s="6"/>
      <c r="E178" s="7"/>
      <c r="F178" s="7"/>
      <c r="G178" s="7"/>
      <c r="H178" s="7"/>
      <c r="I178" s="7"/>
      <c r="J178" s="5"/>
      <c r="K178" s="6"/>
      <c r="L178" s="6"/>
      <c r="M178" s="6"/>
    </row>
    <row r="179" spans="2:13" x14ac:dyDescent="0.2">
      <c r="B179" s="6"/>
      <c r="C179" s="6"/>
      <c r="D179" s="6"/>
      <c r="E179" s="7"/>
      <c r="F179" s="7"/>
      <c r="G179" s="7"/>
      <c r="H179" s="7"/>
      <c r="I179" s="7"/>
      <c r="J179" s="5"/>
      <c r="K179" s="6"/>
      <c r="L179" s="6"/>
      <c r="M179" s="6"/>
    </row>
    <row r="180" spans="2:13" x14ac:dyDescent="0.2">
      <c r="B180" s="6"/>
      <c r="C180" s="6"/>
      <c r="D180" s="6"/>
      <c r="E180" s="7"/>
      <c r="F180" s="7"/>
      <c r="G180" s="7"/>
      <c r="H180" s="7"/>
      <c r="I180" s="7"/>
      <c r="J180" s="5"/>
      <c r="K180" s="6"/>
      <c r="L180" s="6"/>
      <c r="M180" s="6"/>
    </row>
    <row r="181" spans="2:13" x14ac:dyDescent="0.2">
      <c r="B181" s="6"/>
      <c r="C181" s="6"/>
      <c r="D181" s="6"/>
      <c r="E181" s="7"/>
      <c r="F181" s="7"/>
      <c r="G181" s="7"/>
      <c r="H181" s="7"/>
      <c r="I181" s="7"/>
      <c r="J181" s="5"/>
      <c r="K181" s="6"/>
      <c r="L181" s="6"/>
      <c r="M181" s="6"/>
    </row>
    <row r="182" spans="2:13" x14ac:dyDescent="0.2">
      <c r="B182" s="6"/>
      <c r="C182" s="6"/>
      <c r="D182" s="6"/>
      <c r="E182" s="7"/>
      <c r="F182" s="7"/>
      <c r="G182" s="7"/>
      <c r="H182" s="7"/>
      <c r="I182" s="7"/>
      <c r="J182" s="5"/>
      <c r="K182" s="6"/>
      <c r="L182" s="6"/>
      <c r="M182" s="6"/>
    </row>
    <row r="183" spans="2:13" x14ac:dyDescent="0.2">
      <c r="B183" s="6"/>
      <c r="C183" s="6"/>
      <c r="D183" s="6"/>
      <c r="E183" s="7"/>
      <c r="F183" s="7"/>
      <c r="G183" s="7"/>
      <c r="H183" s="7"/>
      <c r="I183" s="7"/>
      <c r="J183" s="5"/>
      <c r="K183" s="6"/>
      <c r="L183" s="6"/>
      <c r="M183" s="6"/>
    </row>
    <row r="184" spans="2:13" x14ac:dyDescent="0.2">
      <c r="B184" s="6"/>
      <c r="C184" s="6"/>
      <c r="D184" s="6"/>
      <c r="E184" s="7"/>
      <c r="F184" s="7"/>
      <c r="G184" s="7"/>
      <c r="H184" s="7"/>
      <c r="I184" s="7"/>
      <c r="J184" s="5"/>
      <c r="K184" s="6"/>
      <c r="L184" s="6"/>
      <c r="M184" s="6"/>
    </row>
    <row r="185" spans="2:13" x14ac:dyDescent="0.2">
      <c r="B185" s="6"/>
      <c r="C185" s="6"/>
      <c r="D185" s="6"/>
      <c r="E185" s="7"/>
      <c r="F185" s="7"/>
      <c r="G185" s="7"/>
      <c r="H185" s="7"/>
      <c r="I185" s="7"/>
      <c r="J185" s="5"/>
      <c r="K185" s="6"/>
      <c r="L185" s="6"/>
      <c r="M185" s="6"/>
    </row>
    <row r="186" spans="2:13" x14ac:dyDescent="0.2">
      <c r="B186" s="6"/>
      <c r="C186" s="6"/>
      <c r="D186" s="6"/>
      <c r="E186" s="7"/>
      <c r="F186" s="7"/>
      <c r="G186" s="7"/>
      <c r="H186" s="7"/>
      <c r="I186" s="7"/>
      <c r="J186" s="5"/>
      <c r="K186" s="6"/>
      <c r="L186" s="6"/>
      <c r="M186" s="6"/>
    </row>
    <row r="187" spans="2:13" x14ac:dyDescent="0.2">
      <c r="B187" s="6"/>
      <c r="C187" s="6"/>
      <c r="D187" s="6"/>
      <c r="E187" s="7"/>
      <c r="F187" s="7"/>
      <c r="G187" s="7"/>
      <c r="H187" s="7"/>
      <c r="I187" s="7"/>
      <c r="J187" s="5"/>
      <c r="K187" s="6"/>
      <c r="L187" s="6"/>
      <c r="M187" s="6"/>
    </row>
    <row r="188" spans="2:13" x14ac:dyDescent="0.2">
      <c r="B188" s="6"/>
      <c r="C188" s="6"/>
      <c r="D188" s="6"/>
      <c r="E188" s="7"/>
      <c r="F188" s="7"/>
      <c r="G188" s="7"/>
      <c r="H188" s="7"/>
      <c r="I188" s="7"/>
      <c r="J188" s="5"/>
      <c r="K188" s="6"/>
      <c r="L188" s="6"/>
      <c r="M188" s="6"/>
    </row>
    <row r="189" spans="2:13" x14ac:dyDescent="0.2">
      <c r="B189" s="6"/>
      <c r="C189" s="6"/>
      <c r="D189" s="6"/>
      <c r="E189" s="7"/>
      <c r="F189" s="7"/>
      <c r="G189" s="7"/>
      <c r="H189" s="7"/>
      <c r="I189" s="7"/>
      <c r="J189" s="5"/>
      <c r="K189" s="6"/>
      <c r="L189" s="6"/>
      <c r="M189" s="6"/>
    </row>
    <row r="190" spans="2:13" x14ac:dyDescent="0.2">
      <c r="B190" s="6"/>
      <c r="C190" s="6"/>
      <c r="D190" s="6"/>
      <c r="E190" s="7"/>
      <c r="F190" s="7"/>
      <c r="G190" s="7"/>
      <c r="H190" s="7"/>
      <c r="I190" s="7"/>
      <c r="J190" s="5"/>
      <c r="K190" s="6"/>
      <c r="L190" s="6"/>
      <c r="M190" s="6"/>
    </row>
    <row r="191" spans="2:13" x14ac:dyDescent="0.2">
      <c r="B191" s="6"/>
      <c r="C191" s="6"/>
      <c r="D191" s="6"/>
      <c r="E191" s="7"/>
      <c r="F191" s="7"/>
      <c r="G191" s="7"/>
      <c r="H191" s="7"/>
      <c r="I191" s="7"/>
      <c r="J191" s="5"/>
      <c r="K191" s="6"/>
      <c r="L191" s="6"/>
      <c r="M191" s="6"/>
    </row>
    <row r="192" spans="2:13" x14ac:dyDescent="0.2">
      <c r="B192" s="6"/>
      <c r="C192" s="6"/>
      <c r="D192" s="6"/>
      <c r="E192" s="7"/>
      <c r="F192" s="7"/>
      <c r="G192" s="7"/>
      <c r="H192" s="7"/>
      <c r="I192" s="7"/>
      <c r="J192" s="5"/>
      <c r="K192" s="6"/>
      <c r="L192" s="6"/>
      <c r="M192" s="6"/>
    </row>
    <row r="193" spans="2:13" x14ac:dyDescent="0.2">
      <c r="B193" s="6"/>
      <c r="C193" s="6"/>
      <c r="D193" s="6"/>
      <c r="E193" s="7"/>
      <c r="F193" s="7"/>
      <c r="G193" s="7"/>
      <c r="H193" s="7"/>
      <c r="I193" s="7"/>
      <c r="J193" s="5"/>
      <c r="K193" s="6"/>
      <c r="L193" s="6"/>
      <c r="M193" s="6"/>
    </row>
    <row r="194" spans="2:13" x14ac:dyDescent="0.2">
      <c r="B194" s="6"/>
      <c r="C194" s="6"/>
      <c r="D194" s="6"/>
      <c r="E194" s="7"/>
      <c r="F194" s="7"/>
      <c r="G194" s="7"/>
      <c r="H194" s="7"/>
      <c r="I194" s="7"/>
      <c r="J194" s="5"/>
      <c r="K194" s="6"/>
      <c r="L194" s="6"/>
      <c r="M194" s="6"/>
    </row>
    <row r="195" spans="2:13" x14ac:dyDescent="0.2">
      <c r="B195" s="6"/>
      <c r="C195" s="6"/>
      <c r="D195" s="6"/>
      <c r="E195" s="7"/>
      <c r="F195" s="7"/>
      <c r="G195" s="7"/>
      <c r="H195" s="7"/>
      <c r="I195" s="7"/>
      <c r="J195" s="5"/>
      <c r="K195" s="6"/>
      <c r="L195" s="6"/>
      <c r="M195" s="6"/>
    </row>
    <row r="196" spans="2:13" x14ac:dyDescent="0.2">
      <c r="B196" s="6"/>
      <c r="C196" s="6"/>
      <c r="D196" s="6"/>
      <c r="E196" s="7"/>
      <c r="F196" s="7"/>
      <c r="G196" s="7"/>
      <c r="H196" s="7"/>
      <c r="I196" s="7"/>
      <c r="J196" s="5"/>
      <c r="K196" s="6"/>
      <c r="L196" s="6"/>
      <c r="M196" s="6"/>
    </row>
    <row r="197" spans="2:13" x14ac:dyDescent="0.2">
      <c r="B197" s="6"/>
      <c r="C197" s="6"/>
      <c r="D197" s="6"/>
      <c r="E197" s="7"/>
      <c r="F197" s="7"/>
      <c r="G197" s="7"/>
      <c r="H197" s="7"/>
      <c r="I197" s="7"/>
      <c r="J197" s="5"/>
      <c r="K197" s="6"/>
      <c r="L197" s="6"/>
      <c r="M197" s="6"/>
    </row>
    <row r="198" spans="2:13" x14ac:dyDescent="0.2">
      <c r="B198" s="6"/>
      <c r="C198" s="6"/>
      <c r="D198" s="6"/>
      <c r="E198" s="7"/>
      <c r="F198" s="7"/>
      <c r="G198" s="7"/>
      <c r="H198" s="7"/>
      <c r="I198" s="7"/>
      <c r="J198" s="5"/>
      <c r="K198" s="6"/>
      <c r="L198" s="6"/>
      <c r="M198" s="6"/>
    </row>
    <row r="199" spans="2:13" x14ac:dyDescent="0.2">
      <c r="B199" s="6"/>
      <c r="C199" s="6"/>
      <c r="D199" s="6"/>
      <c r="E199" s="7"/>
      <c r="F199" s="7"/>
      <c r="G199" s="7"/>
      <c r="H199" s="7"/>
      <c r="I199" s="7"/>
      <c r="J199" s="5"/>
      <c r="K199" s="6"/>
      <c r="L199" s="6"/>
      <c r="M199" s="6"/>
    </row>
    <row r="200" spans="2:13" x14ac:dyDescent="0.2">
      <c r="B200" s="6"/>
      <c r="C200" s="6"/>
      <c r="D200" s="6"/>
      <c r="E200" s="7"/>
      <c r="F200" s="7"/>
      <c r="G200" s="7"/>
      <c r="H200" s="7"/>
      <c r="I200" s="7"/>
      <c r="J200" s="5"/>
      <c r="K200" s="6"/>
      <c r="L200" s="6"/>
      <c r="M200" s="6"/>
    </row>
    <row r="201" spans="2:13" x14ac:dyDescent="0.2">
      <c r="B201" s="6"/>
      <c r="C201" s="6"/>
      <c r="D201" s="6"/>
      <c r="E201" s="7"/>
      <c r="F201" s="7"/>
      <c r="G201" s="7"/>
      <c r="H201" s="7"/>
      <c r="I201" s="7"/>
      <c r="J201" s="5"/>
      <c r="K201" s="6"/>
      <c r="L201" s="6"/>
      <c r="M201" s="6"/>
    </row>
    <row r="202" spans="2:13" x14ac:dyDescent="0.2">
      <c r="B202" s="6"/>
      <c r="C202" s="6"/>
      <c r="D202" s="6"/>
      <c r="E202" s="7"/>
      <c r="F202" s="7"/>
      <c r="G202" s="7"/>
      <c r="H202" s="7"/>
      <c r="I202" s="7"/>
      <c r="J202" s="5"/>
      <c r="K202" s="6"/>
      <c r="L202" s="6"/>
      <c r="M202" s="6"/>
    </row>
    <row r="203" spans="2:13" x14ac:dyDescent="0.2">
      <c r="B203" s="6"/>
      <c r="C203" s="6"/>
      <c r="D203" s="6"/>
      <c r="E203" s="7"/>
      <c r="F203" s="7"/>
      <c r="G203" s="7"/>
      <c r="H203" s="7"/>
      <c r="I203" s="7"/>
      <c r="J203" s="5"/>
      <c r="K203" s="6"/>
      <c r="L203" s="6"/>
      <c r="M203" s="6"/>
    </row>
    <row r="204" spans="2:13" x14ac:dyDescent="0.2">
      <c r="B204" s="6"/>
      <c r="C204" s="6"/>
      <c r="D204" s="6"/>
      <c r="E204" s="7"/>
      <c r="F204" s="7"/>
      <c r="G204" s="7"/>
      <c r="H204" s="7"/>
      <c r="I204" s="7"/>
      <c r="J204" s="5"/>
      <c r="K204" s="6"/>
      <c r="L204" s="6"/>
      <c r="M204" s="6"/>
    </row>
    <row r="205" spans="2:13" x14ac:dyDescent="0.2">
      <c r="B205" s="6"/>
      <c r="C205" s="6"/>
      <c r="D205" s="6"/>
      <c r="E205" s="7"/>
      <c r="F205" s="7"/>
      <c r="G205" s="7"/>
      <c r="H205" s="7"/>
      <c r="I205" s="7"/>
      <c r="J205" s="5"/>
      <c r="K205" s="6"/>
      <c r="L205" s="6"/>
      <c r="M205" s="6"/>
    </row>
    <row r="206" spans="2:13" x14ac:dyDescent="0.2">
      <c r="B206" s="6"/>
      <c r="C206" s="6"/>
      <c r="D206" s="6"/>
      <c r="E206" s="7"/>
      <c r="F206" s="7"/>
      <c r="G206" s="7"/>
      <c r="H206" s="7"/>
      <c r="I206" s="7"/>
      <c r="J206" s="5"/>
      <c r="K206" s="6"/>
      <c r="L206" s="6"/>
      <c r="M206" s="6"/>
    </row>
    <row r="207" spans="2:13" x14ac:dyDescent="0.2">
      <c r="B207" s="6"/>
      <c r="C207" s="6"/>
      <c r="D207" s="6"/>
      <c r="E207" s="7"/>
      <c r="F207" s="7"/>
      <c r="G207" s="7"/>
      <c r="H207" s="7"/>
      <c r="I207" s="7"/>
      <c r="J207" s="5"/>
      <c r="K207" s="6"/>
      <c r="L207" s="6"/>
      <c r="M207" s="6"/>
    </row>
    <row r="208" spans="2:13" x14ac:dyDescent="0.2">
      <c r="B208" s="6"/>
      <c r="C208" s="6"/>
      <c r="D208" s="6"/>
      <c r="E208" s="7"/>
      <c r="F208" s="7"/>
      <c r="G208" s="7"/>
      <c r="H208" s="7"/>
      <c r="I208" s="7"/>
      <c r="J208" s="5"/>
      <c r="K208" s="6"/>
      <c r="L208" s="6"/>
      <c r="M208" s="6"/>
    </row>
    <row r="209" spans="2:13" x14ac:dyDescent="0.2">
      <c r="B209" s="6"/>
      <c r="C209" s="6"/>
      <c r="D209" s="6"/>
      <c r="E209" s="7"/>
      <c r="F209" s="7"/>
      <c r="G209" s="7"/>
      <c r="H209" s="7"/>
      <c r="I209" s="7"/>
      <c r="J209" s="5"/>
      <c r="K209" s="6"/>
      <c r="L209" s="6"/>
      <c r="M209" s="6"/>
    </row>
    <row r="210" spans="2:13" x14ac:dyDescent="0.2">
      <c r="B210" s="6"/>
      <c r="C210" s="6"/>
      <c r="D210" s="6"/>
      <c r="E210" s="7"/>
      <c r="F210" s="7"/>
      <c r="G210" s="7"/>
      <c r="H210" s="7"/>
      <c r="I210" s="7"/>
      <c r="J210" s="5"/>
      <c r="K210" s="6"/>
      <c r="L210" s="6"/>
      <c r="M210" s="6"/>
    </row>
    <row r="211" spans="2:13" x14ac:dyDescent="0.2">
      <c r="B211" s="6"/>
      <c r="C211" s="6"/>
      <c r="D211" s="6"/>
      <c r="E211" s="7"/>
      <c r="F211" s="7"/>
      <c r="G211" s="7"/>
      <c r="H211" s="7"/>
      <c r="I211" s="7"/>
      <c r="J211" s="5"/>
      <c r="K211" s="6"/>
      <c r="L211" s="6"/>
      <c r="M211" s="6"/>
    </row>
    <row r="212" spans="2:13" x14ac:dyDescent="0.2">
      <c r="B212" s="6"/>
      <c r="C212" s="6"/>
      <c r="D212" s="6"/>
      <c r="E212" s="7"/>
      <c r="F212" s="7"/>
      <c r="G212" s="7"/>
      <c r="H212" s="7"/>
      <c r="I212" s="7"/>
      <c r="J212" s="5"/>
      <c r="K212" s="6"/>
      <c r="L212" s="6"/>
      <c r="M212" s="6"/>
    </row>
    <row r="213" spans="2:13" x14ac:dyDescent="0.2">
      <c r="B213" s="6"/>
      <c r="C213" s="6"/>
      <c r="D213" s="6"/>
      <c r="E213" s="7"/>
      <c r="F213" s="7"/>
      <c r="G213" s="7"/>
      <c r="H213" s="7"/>
      <c r="I213" s="7"/>
      <c r="J213" s="5"/>
      <c r="K213" s="6"/>
      <c r="L213" s="6"/>
      <c r="M213" s="6"/>
    </row>
    <row r="214" spans="2:13" x14ac:dyDescent="0.2">
      <c r="B214" s="6"/>
      <c r="C214" s="6"/>
      <c r="D214" s="6"/>
      <c r="E214" s="7"/>
      <c r="F214" s="7"/>
      <c r="G214" s="7"/>
      <c r="H214" s="7"/>
      <c r="I214" s="7"/>
      <c r="J214" s="5"/>
      <c r="K214" s="6"/>
      <c r="L214" s="6"/>
      <c r="M214" s="6"/>
    </row>
    <row r="215" spans="2:13" x14ac:dyDescent="0.2">
      <c r="B215" s="6"/>
      <c r="C215" s="6"/>
      <c r="D215" s="6"/>
      <c r="E215" s="7"/>
      <c r="F215" s="7"/>
      <c r="G215" s="7"/>
      <c r="H215" s="7"/>
      <c r="I215" s="7"/>
      <c r="J215" s="5"/>
      <c r="K215" s="6"/>
      <c r="L215" s="6"/>
      <c r="M215" s="6"/>
    </row>
    <row r="216" spans="2:13" s="9" customFormat="1" x14ac:dyDescent="0.2">
      <c r="B216" s="10"/>
      <c r="C216" s="11"/>
      <c r="D216" s="11"/>
      <c r="E216" s="12"/>
      <c r="F216" s="41"/>
      <c r="G216" s="30"/>
      <c r="H216" s="30"/>
      <c r="I216" s="11"/>
      <c r="J216" s="11"/>
    </row>
    <row r="217" spans="2:13" s="9" customFormat="1" x14ac:dyDescent="0.2">
      <c r="B217" s="10"/>
      <c r="C217" s="11"/>
      <c r="D217" s="11"/>
      <c r="E217" s="12"/>
      <c r="F217" s="41"/>
      <c r="G217" s="30"/>
      <c r="H217" s="30"/>
      <c r="I217" s="11"/>
      <c r="J217" s="11"/>
    </row>
    <row r="218" spans="2:13" s="9" customFormat="1" x14ac:dyDescent="0.2">
      <c r="B218" s="10"/>
      <c r="C218" s="11"/>
      <c r="D218" s="11"/>
      <c r="E218" s="12"/>
      <c r="F218" s="41"/>
      <c r="G218" s="30"/>
      <c r="H218" s="30"/>
      <c r="I218" s="11"/>
      <c r="J218" s="11"/>
    </row>
    <row r="219" spans="2:13" s="9" customFormat="1" x14ac:dyDescent="0.2">
      <c r="B219" s="10"/>
      <c r="C219" s="11"/>
      <c r="D219" s="11"/>
      <c r="E219" s="12"/>
      <c r="F219" s="41"/>
      <c r="G219" s="30"/>
      <c r="H219" s="30"/>
      <c r="I219" s="11"/>
      <c r="J219" s="11"/>
    </row>
    <row r="220" spans="2:13" s="9" customFormat="1" x14ac:dyDescent="0.2">
      <c r="B220" s="10"/>
      <c r="C220" s="11"/>
      <c r="D220" s="11"/>
      <c r="E220" s="12"/>
      <c r="F220" s="41"/>
      <c r="G220" s="30"/>
      <c r="H220" s="30"/>
      <c r="I220" s="11"/>
      <c r="J220" s="11"/>
    </row>
    <row r="221" spans="2:13" s="9" customFormat="1" x14ac:dyDescent="0.2">
      <c r="B221" s="10"/>
      <c r="C221" s="11"/>
      <c r="D221" s="11"/>
      <c r="E221" s="12"/>
      <c r="F221" s="41"/>
      <c r="G221" s="30"/>
      <c r="H221" s="30"/>
      <c r="I221" s="11"/>
      <c r="J221" s="11"/>
    </row>
    <row r="222" spans="2:13" s="9" customFormat="1" x14ac:dyDescent="0.2">
      <c r="B222" s="10"/>
      <c r="C222" s="11"/>
      <c r="D222" s="11"/>
      <c r="E222" s="12"/>
      <c r="F222" s="41"/>
      <c r="G222" s="30"/>
      <c r="H222" s="30"/>
      <c r="I222" s="11"/>
      <c r="J222" s="11"/>
    </row>
    <row r="223" spans="2:13" s="9" customFormat="1" x14ac:dyDescent="0.2">
      <c r="B223" s="10"/>
      <c r="C223" s="11"/>
      <c r="D223" s="11"/>
      <c r="E223" s="12"/>
      <c r="F223" s="41"/>
      <c r="G223" s="30"/>
      <c r="H223" s="30"/>
      <c r="I223" s="11"/>
      <c r="J223" s="11"/>
    </row>
    <row r="224" spans="2:13" s="9" customFormat="1" x14ac:dyDescent="0.2">
      <c r="B224" s="10"/>
      <c r="C224" s="11"/>
      <c r="D224" s="11"/>
      <c r="E224" s="12"/>
      <c r="F224" s="41"/>
      <c r="G224" s="30"/>
      <c r="H224" s="30"/>
      <c r="I224" s="11"/>
      <c r="J224" s="11"/>
    </row>
    <row r="225" spans="2:10" s="9" customFormat="1" x14ac:dyDescent="0.2">
      <c r="B225" s="10"/>
      <c r="C225" s="11"/>
      <c r="D225" s="11"/>
      <c r="E225" s="12"/>
      <c r="F225" s="41"/>
      <c r="G225" s="30"/>
      <c r="H225" s="30"/>
      <c r="I225" s="11"/>
      <c r="J225" s="11"/>
    </row>
    <row r="226" spans="2:10" s="9" customFormat="1" x14ac:dyDescent="0.2">
      <c r="B226" s="10"/>
      <c r="C226" s="11"/>
      <c r="D226" s="11"/>
      <c r="E226" s="12"/>
      <c r="F226" s="41"/>
      <c r="G226" s="30"/>
      <c r="H226" s="30"/>
      <c r="I226" s="11"/>
      <c r="J226" s="11"/>
    </row>
    <row r="227" spans="2:10" s="9" customFormat="1" x14ac:dyDescent="0.2">
      <c r="B227" s="10"/>
      <c r="C227" s="11"/>
      <c r="D227" s="11"/>
      <c r="E227" s="12"/>
      <c r="F227" s="41"/>
      <c r="G227" s="30"/>
      <c r="H227" s="30"/>
      <c r="I227" s="11"/>
      <c r="J227" s="11"/>
    </row>
    <row r="228" spans="2:10" s="9" customFormat="1" x14ac:dyDescent="0.2">
      <c r="B228" s="10"/>
      <c r="C228" s="11"/>
      <c r="D228" s="11"/>
      <c r="E228" s="12"/>
      <c r="F228" s="41"/>
      <c r="G228" s="30"/>
      <c r="H228" s="30"/>
      <c r="I228" s="11"/>
      <c r="J228" s="11"/>
    </row>
    <row r="229" spans="2:10" s="9" customFormat="1" x14ac:dyDescent="0.2">
      <c r="B229" s="10"/>
      <c r="C229" s="11"/>
      <c r="D229" s="11"/>
      <c r="E229" s="12"/>
      <c r="F229" s="41"/>
      <c r="G229" s="30"/>
      <c r="H229" s="30"/>
      <c r="I229" s="11"/>
      <c r="J229" s="11"/>
    </row>
    <row r="230" spans="2:10" s="9" customFormat="1" x14ac:dyDescent="0.2">
      <c r="B230" s="10"/>
      <c r="C230" s="11"/>
      <c r="D230" s="11"/>
      <c r="E230" s="12"/>
      <c r="F230" s="41"/>
      <c r="G230" s="30"/>
      <c r="H230" s="30"/>
      <c r="I230" s="11"/>
      <c r="J230" s="11"/>
    </row>
    <row r="231" spans="2:10" s="9" customFormat="1" x14ac:dyDescent="0.2">
      <c r="B231" s="10"/>
      <c r="C231" s="11"/>
      <c r="D231" s="11"/>
      <c r="E231" s="12"/>
      <c r="F231" s="41"/>
      <c r="G231" s="30"/>
      <c r="H231" s="30"/>
      <c r="I231" s="11"/>
      <c r="J231" s="11"/>
    </row>
    <row r="232" spans="2:10" s="9" customFormat="1" x14ac:dyDescent="0.2">
      <c r="B232" s="10"/>
      <c r="C232" s="11"/>
      <c r="D232" s="11"/>
      <c r="E232" s="12"/>
      <c r="F232" s="41"/>
      <c r="G232" s="30"/>
      <c r="H232" s="30"/>
      <c r="I232" s="11"/>
      <c r="J232" s="11"/>
    </row>
    <row r="233" spans="2:10" s="9" customFormat="1" x14ac:dyDescent="0.2">
      <c r="B233" s="10"/>
      <c r="C233" s="11"/>
      <c r="D233" s="11"/>
      <c r="E233" s="12"/>
      <c r="F233" s="41"/>
      <c r="G233" s="30"/>
      <c r="H233" s="30"/>
      <c r="I233" s="11"/>
      <c r="J233" s="11"/>
    </row>
    <row r="234" spans="2:10" s="9" customFormat="1" x14ac:dyDescent="0.2">
      <c r="B234" s="10"/>
      <c r="C234" s="11"/>
      <c r="D234" s="11"/>
      <c r="E234" s="12"/>
      <c r="F234" s="41"/>
      <c r="G234" s="30"/>
      <c r="H234" s="30"/>
      <c r="I234" s="11"/>
      <c r="J234" s="11"/>
    </row>
    <row r="235" spans="2:10" s="9" customFormat="1" x14ac:dyDescent="0.2">
      <c r="B235" s="10"/>
      <c r="C235" s="11"/>
      <c r="D235" s="11"/>
      <c r="E235" s="12"/>
      <c r="F235" s="41"/>
      <c r="G235" s="30"/>
      <c r="H235" s="30"/>
      <c r="I235" s="11"/>
      <c r="J235" s="11"/>
    </row>
    <row r="236" spans="2:10" s="9" customFormat="1" x14ac:dyDescent="0.2">
      <c r="B236" s="10"/>
      <c r="C236" s="11"/>
      <c r="D236" s="11"/>
      <c r="E236" s="12"/>
      <c r="F236" s="41"/>
      <c r="G236" s="30"/>
      <c r="H236" s="30"/>
      <c r="I236" s="11"/>
      <c r="J236" s="11"/>
    </row>
    <row r="237" spans="2:10" s="9" customFormat="1" x14ac:dyDescent="0.2">
      <c r="B237" s="10"/>
      <c r="C237" s="11"/>
      <c r="D237" s="11"/>
      <c r="E237" s="12"/>
      <c r="F237" s="41"/>
      <c r="G237" s="30"/>
      <c r="H237" s="30"/>
      <c r="I237" s="11"/>
      <c r="J237" s="11"/>
    </row>
    <row r="238" spans="2:10" s="9" customFormat="1" x14ac:dyDescent="0.2">
      <c r="B238" s="10"/>
      <c r="C238" s="11"/>
      <c r="D238" s="11"/>
      <c r="E238" s="12"/>
      <c r="F238" s="41"/>
      <c r="G238" s="30"/>
      <c r="H238" s="30"/>
      <c r="I238" s="11"/>
      <c r="J238" s="11"/>
    </row>
    <row r="239" spans="2:10" s="9" customFormat="1" x14ac:dyDescent="0.2">
      <c r="B239" s="10"/>
      <c r="C239" s="11"/>
      <c r="D239" s="11"/>
      <c r="E239" s="12"/>
      <c r="F239" s="41"/>
      <c r="G239" s="30"/>
      <c r="H239" s="30"/>
      <c r="I239" s="11"/>
      <c r="J239" s="11"/>
    </row>
    <row r="240" spans="2:10" s="9" customFormat="1" x14ac:dyDescent="0.2">
      <c r="B240" s="10"/>
      <c r="C240" s="11"/>
      <c r="D240" s="11"/>
      <c r="E240" s="12"/>
      <c r="F240" s="41"/>
      <c r="G240" s="30"/>
      <c r="H240" s="30"/>
      <c r="I240" s="11"/>
      <c r="J240" s="11"/>
    </row>
    <row r="241" spans="2:10" s="9" customFormat="1" x14ac:dyDescent="0.2">
      <c r="B241" s="10"/>
      <c r="C241" s="11"/>
      <c r="D241" s="11"/>
      <c r="E241" s="12"/>
      <c r="F241" s="41"/>
      <c r="G241" s="30"/>
      <c r="H241" s="30"/>
      <c r="I241" s="11"/>
      <c r="J241" s="11"/>
    </row>
    <row r="242" spans="2:10" s="9" customFormat="1" x14ac:dyDescent="0.2">
      <c r="B242" s="10"/>
      <c r="C242" s="11"/>
      <c r="D242" s="11"/>
      <c r="E242" s="12"/>
      <c r="F242" s="41"/>
      <c r="G242" s="30"/>
      <c r="H242" s="30"/>
      <c r="I242" s="11"/>
      <c r="J242" s="11"/>
    </row>
    <row r="243" spans="2:10" s="9" customFormat="1" x14ac:dyDescent="0.2">
      <c r="B243" s="10"/>
      <c r="C243" s="11"/>
      <c r="D243" s="11"/>
      <c r="E243" s="12"/>
      <c r="F243" s="41"/>
      <c r="G243" s="30"/>
      <c r="H243" s="30"/>
      <c r="I243" s="11"/>
      <c r="J243" s="11"/>
    </row>
    <row r="244" spans="2:10" s="9" customFormat="1" x14ac:dyDescent="0.2">
      <c r="B244" s="10"/>
      <c r="C244" s="11"/>
      <c r="D244" s="11"/>
      <c r="E244" s="12"/>
      <c r="F244" s="41"/>
      <c r="G244" s="30"/>
      <c r="H244" s="30"/>
      <c r="I244" s="11"/>
      <c r="J244" s="11"/>
    </row>
    <row r="245" spans="2:10" s="9" customFormat="1" x14ac:dyDescent="0.2">
      <c r="B245" s="10"/>
      <c r="C245" s="11"/>
      <c r="D245" s="11"/>
      <c r="E245" s="12"/>
      <c r="F245" s="41"/>
      <c r="G245" s="30"/>
      <c r="H245" s="30"/>
      <c r="I245" s="11"/>
      <c r="J245" s="11"/>
    </row>
    <row r="246" spans="2:10" s="9" customFormat="1" x14ac:dyDescent="0.2">
      <c r="B246" s="10"/>
      <c r="C246" s="11"/>
      <c r="D246" s="11"/>
      <c r="E246" s="12"/>
      <c r="F246" s="41"/>
      <c r="G246" s="30"/>
      <c r="H246" s="30"/>
      <c r="I246" s="11"/>
      <c r="J246" s="11"/>
    </row>
    <row r="247" spans="2:10" s="9" customFormat="1" x14ac:dyDescent="0.2">
      <c r="B247" s="10"/>
      <c r="C247" s="11"/>
      <c r="D247" s="11"/>
      <c r="E247" s="12"/>
      <c r="F247" s="41"/>
      <c r="G247" s="30"/>
      <c r="H247" s="30"/>
      <c r="I247" s="11"/>
      <c r="J247" s="11"/>
    </row>
    <row r="248" spans="2:10" s="9" customFormat="1" x14ac:dyDescent="0.2">
      <c r="B248" s="10"/>
      <c r="C248" s="11"/>
      <c r="D248" s="11"/>
      <c r="E248" s="12"/>
      <c r="F248" s="41"/>
      <c r="G248" s="30"/>
      <c r="H248" s="30"/>
      <c r="I248" s="11"/>
      <c r="J248" s="11"/>
    </row>
    <row r="249" spans="2:10" s="9" customFormat="1" x14ac:dyDescent="0.2">
      <c r="B249" s="10"/>
      <c r="C249" s="11"/>
      <c r="D249" s="11"/>
      <c r="E249" s="12"/>
      <c r="F249" s="41"/>
      <c r="G249" s="30"/>
      <c r="H249" s="30"/>
      <c r="I249" s="11"/>
      <c r="J249" s="11"/>
    </row>
    <row r="250" spans="2:10" s="9" customFormat="1" x14ac:dyDescent="0.2">
      <c r="B250" s="10"/>
      <c r="C250" s="11"/>
      <c r="D250" s="11"/>
      <c r="E250" s="12"/>
      <c r="F250" s="41"/>
      <c r="G250" s="30"/>
      <c r="H250" s="30"/>
      <c r="I250" s="11"/>
      <c r="J250" s="11"/>
    </row>
    <row r="251" spans="2:10" s="9" customFormat="1" x14ac:dyDescent="0.2">
      <c r="B251" s="10"/>
      <c r="C251" s="11"/>
      <c r="D251" s="11"/>
      <c r="E251" s="12"/>
      <c r="F251" s="41"/>
      <c r="G251" s="30"/>
      <c r="H251" s="30"/>
      <c r="I251" s="11"/>
      <c r="J251" s="11"/>
    </row>
    <row r="252" spans="2:10" s="9" customFormat="1" x14ac:dyDescent="0.2">
      <c r="B252" s="10"/>
      <c r="C252" s="11"/>
      <c r="D252" s="11"/>
      <c r="E252" s="12"/>
      <c r="F252" s="41"/>
      <c r="G252" s="30"/>
      <c r="H252" s="30"/>
      <c r="I252" s="11"/>
      <c r="J252" s="11"/>
    </row>
    <row r="253" spans="2:10" s="9" customFormat="1" x14ac:dyDescent="0.2">
      <c r="B253" s="10"/>
      <c r="C253" s="11"/>
      <c r="D253" s="11"/>
      <c r="E253" s="12"/>
      <c r="F253" s="41"/>
      <c r="G253" s="30"/>
      <c r="H253" s="30"/>
      <c r="I253" s="11"/>
      <c r="J253" s="11"/>
    </row>
    <row r="254" spans="2:10" s="9" customFormat="1" x14ac:dyDescent="0.2">
      <c r="B254" s="10"/>
      <c r="C254" s="11"/>
      <c r="D254" s="11"/>
      <c r="E254" s="12"/>
      <c r="F254" s="41"/>
      <c r="G254" s="30"/>
      <c r="H254" s="30"/>
      <c r="I254" s="11"/>
      <c r="J254" s="11"/>
    </row>
    <row r="255" spans="2:10" s="9" customFormat="1" x14ac:dyDescent="0.2">
      <c r="B255" s="10"/>
      <c r="C255" s="11"/>
      <c r="D255" s="11"/>
      <c r="E255" s="12"/>
      <c r="F255" s="41"/>
      <c r="G255" s="30"/>
      <c r="H255" s="30"/>
      <c r="I255" s="11"/>
      <c r="J255" s="11"/>
    </row>
    <row r="256" spans="2:10" s="9" customFormat="1" x14ac:dyDescent="0.2">
      <c r="B256" s="10"/>
      <c r="C256" s="11"/>
      <c r="D256" s="11"/>
      <c r="E256" s="12"/>
      <c r="F256" s="41"/>
      <c r="G256" s="30"/>
      <c r="H256" s="30"/>
      <c r="I256" s="11"/>
      <c r="J256" s="11"/>
    </row>
    <row r="257" spans="2:10" s="9" customFormat="1" x14ac:dyDescent="0.2">
      <c r="B257" s="10"/>
      <c r="C257" s="11"/>
      <c r="D257" s="11"/>
      <c r="E257" s="12"/>
      <c r="F257" s="41"/>
      <c r="G257" s="30"/>
      <c r="H257" s="30"/>
      <c r="I257" s="11"/>
      <c r="J257" s="11"/>
    </row>
    <row r="258" spans="2:10" s="9" customFormat="1" x14ac:dyDescent="0.2">
      <c r="B258" s="10"/>
      <c r="C258" s="11"/>
      <c r="D258" s="11"/>
      <c r="E258" s="12"/>
      <c r="F258" s="41"/>
      <c r="G258" s="30"/>
      <c r="H258" s="30"/>
      <c r="I258" s="11"/>
      <c r="J258" s="11"/>
    </row>
    <row r="259" spans="2:10" s="9" customFormat="1" x14ac:dyDescent="0.2">
      <c r="B259" s="10"/>
      <c r="C259" s="11"/>
      <c r="D259" s="11"/>
      <c r="E259" s="12"/>
      <c r="F259" s="41"/>
      <c r="G259" s="30"/>
      <c r="H259" s="30"/>
      <c r="I259" s="11"/>
      <c r="J259" s="11"/>
    </row>
    <row r="260" spans="2:10" s="9" customFormat="1" x14ac:dyDescent="0.2">
      <c r="B260" s="10"/>
      <c r="C260" s="11"/>
      <c r="D260" s="11"/>
      <c r="E260" s="12"/>
      <c r="F260" s="41"/>
      <c r="G260" s="30"/>
      <c r="H260" s="30"/>
      <c r="I260" s="11"/>
      <c r="J260" s="11"/>
    </row>
    <row r="261" spans="2:10" s="9" customFormat="1" x14ac:dyDescent="0.2">
      <c r="B261" s="10"/>
      <c r="C261" s="11"/>
      <c r="D261" s="11"/>
      <c r="E261" s="12"/>
      <c r="F261" s="41"/>
      <c r="G261" s="30"/>
      <c r="H261" s="30"/>
      <c r="I261" s="11"/>
      <c r="J261" s="11"/>
    </row>
    <row r="262" spans="2:10" s="9" customFormat="1" x14ac:dyDescent="0.2">
      <c r="B262" s="10"/>
      <c r="C262" s="11"/>
      <c r="D262" s="11"/>
      <c r="E262" s="12"/>
      <c r="F262" s="41"/>
      <c r="G262" s="30"/>
      <c r="H262" s="30"/>
      <c r="I262" s="11"/>
      <c r="J262" s="11"/>
    </row>
    <row r="263" spans="2:10" s="9" customFormat="1" x14ac:dyDescent="0.2">
      <c r="B263" s="10"/>
      <c r="C263" s="11"/>
      <c r="D263" s="11"/>
      <c r="E263" s="12"/>
      <c r="F263" s="41"/>
      <c r="G263" s="30"/>
      <c r="H263" s="30"/>
      <c r="I263" s="11"/>
      <c r="J263" s="11"/>
    </row>
    <row r="264" spans="2:10" s="9" customFormat="1" x14ac:dyDescent="0.2">
      <c r="B264" s="10"/>
      <c r="C264" s="11"/>
      <c r="D264" s="11"/>
      <c r="E264" s="12"/>
      <c r="F264" s="41"/>
      <c r="G264" s="30"/>
      <c r="H264" s="30"/>
      <c r="I264" s="11"/>
      <c r="J264" s="11"/>
    </row>
    <row r="265" spans="2:10" s="9" customFormat="1" x14ac:dyDescent="0.2">
      <c r="B265" s="10"/>
      <c r="C265" s="11"/>
      <c r="D265" s="11"/>
      <c r="E265" s="12"/>
      <c r="F265" s="41"/>
      <c r="G265" s="30"/>
      <c r="H265" s="30"/>
      <c r="I265" s="11"/>
      <c r="J265" s="11"/>
    </row>
    <row r="266" spans="2:10" s="9" customFormat="1" x14ac:dyDescent="0.2">
      <c r="B266" s="10"/>
      <c r="C266" s="11"/>
      <c r="D266" s="11"/>
      <c r="E266" s="12"/>
      <c r="F266" s="41"/>
      <c r="G266" s="30"/>
      <c r="H266" s="30"/>
      <c r="I266" s="11"/>
      <c r="J266" s="11"/>
    </row>
    <row r="267" spans="2:10" s="9" customFormat="1" x14ac:dyDescent="0.2">
      <c r="B267" s="10"/>
      <c r="C267" s="11"/>
      <c r="D267" s="11"/>
      <c r="E267" s="12"/>
      <c r="F267" s="41"/>
      <c r="G267" s="30"/>
      <c r="H267" s="30"/>
      <c r="I267" s="11"/>
      <c r="J267" s="11"/>
    </row>
    <row r="268" spans="2:10" s="9" customFormat="1" x14ac:dyDescent="0.2">
      <c r="B268" s="10"/>
      <c r="C268" s="11"/>
      <c r="D268" s="11"/>
      <c r="E268" s="12"/>
      <c r="F268" s="41"/>
      <c r="G268" s="30"/>
      <c r="H268" s="30"/>
      <c r="I268" s="11"/>
      <c r="J268" s="11"/>
    </row>
    <row r="269" spans="2:10" s="9" customFormat="1" x14ac:dyDescent="0.2">
      <c r="B269" s="10"/>
      <c r="C269" s="11"/>
      <c r="D269" s="11"/>
      <c r="E269" s="12"/>
      <c r="F269" s="41"/>
      <c r="G269" s="30"/>
      <c r="H269" s="30"/>
      <c r="I269" s="11"/>
      <c r="J269" s="11"/>
    </row>
    <row r="270" spans="2:10" s="9" customFormat="1" x14ac:dyDescent="0.2">
      <c r="B270" s="10"/>
      <c r="C270" s="11"/>
      <c r="D270" s="11"/>
      <c r="E270" s="12"/>
      <c r="F270" s="41"/>
      <c r="G270" s="30"/>
      <c r="H270" s="30"/>
      <c r="I270" s="11"/>
      <c r="J270" s="11"/>
    </row>
    <row r="271" spans="2:10" s="9" customFormat="1" x14ac:dyDescent="0.2">
      <c r="B271" s="10"/>
      <c r="C271" s="11"/>
      <c r="D271" s="11"/>
      <c r="E271" s="12"/>
      <c r="F271" s="41"/>
      <c r="G271" s="30"/>
      <c r="H271" s="30"/>
      <c r="I271" s="11"/>
      <c r="J271" s="11"/>
    </row>
    <row r="272" spans="2:10" s="9" customFormat="1" x14ac:dyDescent="0.2">
      <c r="B272" s="10"/>
      <c r="C272" s="11"/>
      <c r="D272" s="11"/>
      <c r="E272" s="12"/>
      <c r="F272" s="41"/>
      <c r="G272" s="30"/>
      <c r="H272" s="30"/>
      <c r="I272" s="11"/>
      <c r="J272" s="11"/>
    </row>
    <row r="273" spans="2:10" s="9" customFormat="1" x14ac:dyDescent="0.2">
      <c r="B273" s="10"/>
      <c r="C273" s="11"/>
      <c r="D273" s="11"/>
      <c r="E273" s="12"/>
      <c r="F273" s="41"/>
      <c r="G273" s="30"/>
      <c r="H273" s="30"/>
      <c r="I273" s="11"/>
      <c r="J273" s="11"/>
    </row>
    <row r="274" spans="2:10" s="9" customFormat="1" x14ac:dyDescent="0.2">
      <c r="B274" s="10"/>
      <c r="C274" s="11"/>
      <c r="D274" s="11"/>
      <c r="E274" s="12"/>
      <c r="F274" s="41"/>
      <c r="G274" s="30"/>
      <c r="H274" s="30"/>
      <c r="I274" s="11"/>
      <c r="J274" s="11"/>
    </row>
    <row r="275" spans="2:10" s="9" customFormat="1" x14ac:dyDescent="0.2">
      <c r="B275" s="10"/>
      <c r="C275" s="11"/>
      <c r="D275" s="11"/>
      <c r="E275" s="12"/>
      <c r="F275" s="41"/>
      <c r="G275" s="30"/>
      <c r="H275" s="30"/>
      <c r="I275" s="11"/>
      <c r="J275" s="11"/>
    </row>
    <row r="276" spans="2:10" s="9" customFormat="1" x14ac:dyDescent="0.2">
      <c r="B276" s="10"/>
      <c r="C276" s="11"/>
      <c r="D276" s="11"/>
      <c r="E276" s="12"/>
      <c r="F276" s="41"/>
      <c r="G276" s="30"/>
      <c r="H276" s="30"/>
      <c r="I276" s="11"/>
      <c r="J276" s="11"/>
    </row>
    <row r="277" spans="2:10" s="9" customFormat="1" x14ac:dyDescent="0.2">
      <c r="B277" s="10"/>
      <c r="C277" s="11"/>
      <c r="D277" s="11"/>
      <c r="E277" s="12"/>
      <c r="F277" s="41"/>
      <c r="G277" s="30"/>
      <c r="H277" s="30"/>
      <c r="I277" s="11"/>
      <c r="J277" s="11"/>
    </row>
    <row r="278" spans="2:10" s="9" customFormat="1" x14ac:dyDescent="0.2">
      <c r="B278" s="10"/>
      <c r="C278" s="11"/>
      <c r="D278" s="11"/>
      <c r="E278" s="12"/>
      <c r="F278" s="41"/>
      <c r="G278" s="30"/>
      <c r="H278" s="30"/>
      <c r="I278" s="11"/>
      <c r="J278" s="11"/>
    </row>
    <row r="279" spans="2:10" s="9" customFormat="1" x14ac:dyDescent="0.2">
      <c r="B279" s="10"/>
      <c r="C279" s="11"/>
      <c r="D279" s="11"/>
      <c r="E279" s="12"/>
      <c r="F279" s="41"/>
      <c r="G279" s="30"/>
      <c r="H279" s="30"/>
      <c r="I279" s="11"/>
      <c r="J279" s="11"/>
    </row>
    <row r="280" spans="2:10" s="9" customFormat="1" x14ac:dyDescent="0.2">
      <c r="B280" s="10"/>
      <c r="C280" s="11"/>
      <c r="D280" s="11"/>
      <c r="E280" s="12"/>
      <c r="F280" s="41"/>
      <c r="G280" s="30"/>
      <c r="H280" s="30"/>
      <c r="I280" s="11"/>
      <c r="J280" s="11"/>
    </row>
    <row r="281" spans="2:10" s="9" customFormat="1" x14ac:dyDescent="0.2">
      <c r="B281" s="10"/>
      <c r="C281" s="11"/>
      <c r="D281" s="11"/>
      <c r="E281" s="12"/>
      <c r="F281" s="41"/>
      <c r="G281" s="30"/>
      <c r="H281" s="30"/>
      <c r="I281" s="11"/>
      <c r="J281" s="11"/>
    </row>
    <row r="282" spans="2:10" s="9" customFormat="1" x14ac:dyDescent="0.2">
      <c r="B282" s="10"/>
      <c r="C282" s="11"/>
      <c r="D282" s="11"/>
      <c r="E282" s="12"/>
      <c r="F282" s="41"/>
      <c r="G282" s="30"/>
      <c r="H282" s="30"/>
      <c r="I282" s="11"/>
      <c r="J282" s="11"/>
    </row>
    <row r="283" spans="2:10" s="9" customFormat="1" x14ac:dyDescent="0.2">
      <c r="B283" s="10"/>
      <c r="C283" s="11"/>
      <c r="D283" s="11"/>
      <c r="E283" s="12"/>
      <c r="F283" s="41"/>
      <c r="G283" s="30"/>
      <c r="H283" s="30"/>
      <c r="I283" s="11"/>
      <c r="J283" s="11"/>
    </row>
    <row r="284" spans="2:10" s="9" customFormat="1" x14ac:dyDescent="0.2">
      <c r="B284" s="10"/>
      <c r="C284" s="11"/>
      <c r="D284" s="11"/>
      <c r="E284" s="12"/>
      <c r="F284" s="41"/>
      <c r="G284" s="30"/>
      <c r="H284" s="30"/>
      <c r="I284" s="11"/>
      <c r="J284" s="11"/>
    </row>
    <row r="285" spans="2:10" s="9" customFormat="1" x14ac:dyDescent="0.2">
      <c r="B285" s="10"/>
      <c r="C285" s="11"/>
      <c r="D285" s="11"/>
      <c r="E285" s="12"/>
      <c r="F285" s="41"/>
      <c r="G285" s="30"/>
      <c r="H285" s="30"/>
      <c r="I285" s="11"/>
      <c r="J285" s="11"/>
    </row>
    <row r="286" spans="2:10" s="9" customFormat="1" x14ac:dyDescent="0.2">
      <c r="B286" s="10"/>
      <c r="C286" s="11"/>
      <c r="D286" s="11"/>
      <c r="E286" s="12"/>
      <c r="F286" s="41"/>
      <c r="G286" s="30"/>
      <c r="H286" s="30"/>
      <c r="I286" s="11"/>
      <c r="J286" s="11"/>
    </row>
    <row r="287" spans="2:10" s="9" customFormat="1" x14ac:dyDescent="0.2">
      <c r="B287" s="10"/>
      <c r="C287" s="11"/>
      <c r="D287" s="11"/>
      <c r="E287" s="12"/>
      <c r="F287" s="41"/>
      <c r="G287" s="30"/>
      <c r="H287" s="30"/>
      <c r="I287" s="11"/>
      <c r="J287" s="11"/>
    </row>
    <row r="288" spans="2:10" s="9" customFormat="1" x14ac:dyDescent="0.2">
      <c r="B288" s="10"/>
      <c r="C288" s="11"/>
      <c r="D288" s="11"/>
      <c r="E288" s="12"/>
      <c r="F288" s="41"/>
      <c r="G288" s="30"/>
      <c r="H288" s="30"/>
      <c r="I288" s="11"/>
      <c r="J288" s="11"/>
    </row>
    <row r="289" spans="2:10" s="9" customFormat="1" x14ac:dyDescent="0.2">
      <c r="B289" s="10"/>
      <c r="C289" s="11"/>
      <c r="D289" s="11"/>
      <c r="E289" s="12"/>
      <c r="F289" s="41"/>
      <c r="G289" s="30"/>
      <c r="H289" s="30"/>
      <c r="I289" s="11"/>
      <c r="J289" s="11"/>
    </row>
    <row r="290" spans="2:10" s="9" customFormat="1" x14ac:dyDescent="0.2">
      <c r="B290" s="10"/>
      <c r="C290" s="11"/>
      <c r="D290" s="11"/>
      <c r="E290" s="12"/>
      <c r="F290" s="41"/>
      <c r="G290" s="30"/>
      <c r="H290" s="30"/>
      <c r="I290" s="11"/>
      <c r="J290" s="11"/>
    </row>
    <row r="291" spans="2:10" s="9" customFormat="1" x14ac:dyDescent="0.2">
      <c r="B291" s="10"/>
      <c r="C291" s="11"/>
      <c r="D291" s="11"/>
      <c r="E291" s="12"/>
      <c r="F291" s="41"/>
      <c r="G291" s="30"/>
      <c r="H291" s="30"/>
      <c r="I291" s="11"/>
      <c r="J291" s="11"/>
    </row>
    <row r="292" spans="2:10" s="9" customFormat="1" x14ac:dyDescent="0.2">
      <c r="B292" s="10"/>
      <c r="C292" s="11"/>
      <c r="D292" s="11"/>
      <c r="E292" s="12"/>
      <c r="F292" s="41"/>
      <c r="G292" s="30"/>
      <c r="H292" s="30"/>
      <c r="I292" s="11"/>
      <c r="J292" s="11"/>
    </row>
    <row r="293" spans="2:10" s="9" customFormat="1" x14ac:dyDescent="0.2">
      <c r="B293" s="10"/>
      <c r="C293" s="11"/>
      <c r="D293" s="11"/>
      <c r="E293" s="12"/>
      <c r="F293" s="41"/>
      <c r="G293" s="30"/>
      <c r="H293" s="30"/>
      <c r="I293" s="11"/>
      <c r="J293" s="11"/>
    </row>
    <row r="294" spans="2:10" s="9" customFormat="1" x14ac:dyDescent="0.2">
      <c r="B294" s="10"/>
      <c r="C294" s="11"/>
      <c r="D294" s="11"/>
      <c r="E294" s="12"/>
      <c r="F294" s="41"/>
      <c r="G294" s="30"/>
      <c r="H294" s="30"/>
      <c r="I294" s="11"/>
      <c r="J294" s="11"/>
    </row>
    <row r="295" spans="2:10" s="9" customFormat="1" x14ac:dyDescent="0.2">
      <c r="B295" s="10"/>
      <c r="C295" s="11"/>
      <c r="D295" s="11"/>
      <c r="E295" s="12"/>
      <c r="F295" s="41"/>
      <c r="G295" s="30"/>
      <c r="H295" s="30"/>
      <c r="I295" s="11"/>
      <c r="J295" s="11"/>
    </row>
    <row r="296" spans="2:10" s="9" customFormat="1" x14ac:dyDescent="0.2">
      <c r="B296" s="10"/>
      <c r="C296" s="11"/>
      <c r="D296" s="11"/>
      <c r="E296" s="12"/>
      <c r="F296" s="41"/>
      <c r="G296" s="30"/>
      <c r="H296" s="30"/>
      <c r="I296" s="11"/>
      <c r="J296" s="11"/>
    </row>
    <row r="297" spans="2:10" s="9" customFormat="1" x14ac:dyDescent="0.2">
      <c r="B297" s="10"/>
      <c r="C297" s="11"/>
      <c r="D297" s="11"/>
      <c r="E297" s="12"/>
      <c r="F297" s="41"/>
      <c r="G297" s="30"/>
      <c r="H297" s="30"/>
      <c r="I297" s="11"/>
      <c r="J297" s="11"/>
    </row>
    <row r="298" spans="2:10" s="9" customFormat="1" x14ac:dyDescent="0.2">
      <c r="B298" s="10"/>
      <c r="C298" s="11"/>
      <c r="D298" s="11"/>
      <c r="E298" s="12"/>
      <c r="F298" s="41"/>
      <c r="G298" s="30"/>
      <c r="H298" s="30"/>
      <c r="I298" s="11"/>
      <c r="J298" s="11"/>
    </row>
    <row r="299" spans="2:10" s="9" customFormat="1" x14ac:dyDescent="0.2">
      <c r="B299" s="10"/>
      <c r="C299" s="11"/>
      <c r="D299" s="11"/>
      <c r="E299" s="12"/>
      <c r="F299" s="41"/>
      <c r="G299" s="30"/>
      <c r="H299" s="30"/>
      <c r="I299" s="11"/>
      <c r="J299" s="11"/>
    </row>
    <row r="300" spans="2:10" s="9" customFormat="1" x14ac:dyDescent="0.2">
      <c r="B300" s="10"/>
      <c r="C300" s="11"/>
      <c r="D300" s="11"/>
      <c r="E300" s="12"/>
      <c r="F300" s="41"/>
      <c r="G300" s="30"/>
      <c r="H300" s="30"/>
      <c r="I300" s="11"/>
      <c r="J300" s="11"/>
    </row>
    <row r="301" spans="2:10" s="9" customFormat="1" x14ac:dyDescent="0.2">
      <c r="B301" s="10"/>
      <c r="C301" s="11"/>
      <c r="D301" s="11"/>
      <c r="E301" s="12"/>
      <c r="F301" s="41"/>
      <c r="G301" s="30"/>
      <c r="H301" s="30"/>
      <c r="I301" s="11"/>
      <c r="J301" s="11"/>
    </row>
    <row r="302" spans="2:10" s="9" customFormat="1" x14ac:dyDescent="0.2">
      <c r="B302" s="10"/>
      <c r="C302" s="11"/>
      <c r="D302" s="11"/>
      <c r="E302" s="12"/>
      <c r="F302" s="41"/>
      <c r="G302" s="30"/>
      <c r="H302" s="30"/>
      <c r="I302" s="11"/>
      <c r="J302" s="11"/>
    </row>
    <row r="303" spans="2:10" s="9" customFormat="1" x14ac:dyDescent="0.2">
      <c r="B303" s="10"/>
      <c r="C303" s="11"/>
      <c r="D303" s="11"/>
      <c r="E303" s="12"/>
      <c r="F303" s="41"/>
      <c r="G303" s="30"/>
      <c r="H303" s="30"/>
      <c r="I303" s="11"/>
      <c r="J303" s="11"/>
    </row>
    <row r="304" spans="2:10" s="9" customFormat="1" x14ac:dyDescent="0.2">
      <c r="B304" s="10"/>
      <c r="C304" s="11"/>
      <c r="D304" s="11"/>
      <c r="E304" s="12"/>
      <c r="F304" s="41"/>
      <c r="G304" s="30"/>
      <c r="H304" s="30"/>
      <c r="I304" s="11"/>
      <c r="J304" s="11"/>
    </row>
    <row r="305" spans="2:10" s="9" customFormat="1" x14ac:dyDescent="0.2">
      <c r="B305" s="10"/>
      <c r="C305" s="11"/>
      <c r="D305" s="11"/>
      <c r="E305" s="12"/>
      <c r="F305" s="41"/>
      <c r="G305" s="30"/>
      <c r="H305" s="30"/>
      <c r="I305" s="11"/>
      <c r="J305" s="11"/>
    </row>
    <row r="306" spans="2:10" s="9" customFormat="1" x14ac:dyDescent="0.2">
      <c r="B306" s="10"/>
      <c r="C306" s="11"/>
      <c r="D306" s="11"/>
      <c r="E306" s="12"/>
      <c r="F306" s="41"/>
      <c r="G306" s="30"/>
      <c r="H306" s="30"/>
      <c r="I306" s="11"/>
      <c r="J306" s="11"/>
    </row>
    <row r="307" spans="2:10" s="9" customFormat="1" x14ac:dyDescent="0.2">
      <c r="B307" s="10"/>
      <c r="C307" s="11"/>
      <c r="D307" s="11"/>
      <c r="E307" s="12"/>
      <c r="F307" s="41"/>
      <c r="G307" s="30"/>
      <c r="H307" s="30"/>
      <c r="I307" s="11"/>
      <c r="J307" s="11"/>
    </row>
    <row r="308" spans="2:10" s="9" customFormat="1" x14ac:dyDescent="0.2">
      <c r="B308" s="10"/>
      <c r="C308" s="11"/>
      <c r="D308" s="11"/>
      <c r="E308" s="12"/>
      <c r="F308" s="41"/>
      <c r="G308" s="30"/>
      <c r="H308" s="30"/>
      <c r="I308" s="11"/>
      <c r="J308" s="11"/>
    </row>
    <row r="309" spans="2:10" s="9" customFormat="1" x14ac:dyDescent="0.2">
      <c r="B309" s="10"/>
      <c r="C309" s="11"/>
      <c r="D309" s="11"/>
      <c r="E309" s="12"/>
      <c r="F309" s="41"/>
      <c r="G309" s="30"/>
      <c r="H309" s="30"/>
      <c r="I309" s="11"/>
      <c r="J309" s="11"/>
    </row>
    <row r="310" spans="2:10" s="9" customFormat="1" x14ac:dyDescent="0.2">
      <c r="B310" s="10"/>
      <c r="C310" s="11"/>
      <c r="D310" s="11"/>
      <c r="E310" s="12"/>
      <c r="F310" s="41"/>
      <c r="G310" s="30"/>
      <c r="H310" s="30"/>
      <c r="I310" s="11"/>
      <c r="J310" s="11"/>
    </row>
    <row r="311" spans="2:10" s="9" customFormat="1" x14ac:dyDescent="0.2">
      <c r="B311" s="10"/>
      <c r="C311" s="11"/>
      <c r="D311" s="11"/>
      <c r="E311" s="12"/>
      <c r="F311" s="41"/>
      <c r="G311" s="30"/>
      <c r="H311" s="30"/>
      <c r="I311" s="11"/>
      <c r="J311" s="11"/>
    </row>
    <row r="312" spans="2:10" s="9" customFormat="1" x14ac:dyDescent="0.2">
      <c r="B312" s="10"/>
      <c r="C312" s="11"/>
      <c r="D312" s="11"/>
      <c r="E312" s="12"/>
      <c r="F312" s="41"/>
      <c r="G312" s="30"/>
      <c r="H312" s="30"/>
      <c r="I312" s="11"/>
      <c r="J312" s="11"/>
    </row>
    <row r="313" spans="2:10" s="9" customFormat="1" x14ac:dyDescent="0.2">
      <c r="B313" s="10"/>
      <c r="C313" s="11"/>
      <c r="D313" s="11"/>
      <c r="E313" s="12"/>
      <c r="F313" s="41"/>
      <c r="G313" s="30"/>
      <c r="H313" s="30"/>
      <c r="I313" s="11"/>
      <c r="J313" s="11"/>
    </row>
    <row r="314" spans="2:10" s="9" customFormat="1" x14ac:dyDescent="0.2">
      <c r="B314" s="10"/>
      <c r="C314" s="11"/>
      <c r="D314" s="11"/>
      <c r="E314" s="12"/>
      <c r="F314" s="41"/>
      <c r="G314" s="30"/>
      <c r="H314" s="30"/>
      <c r="I314" s="11"/>
      <c r="J314" s="11"/>
    </row>
    <row r="315" spans="2:10" s="9" customFormat="1" x14ac:dyDescent="0.2">
      <c r="B315" s="10"/>
      <c r="C315" s="11"/>
      <c r="D315" s="11"/>
      <c r="E315" s="12"/>
      <c r="F315" s="41"/>
      <c r="G315" s="30"/>
      <c r="H315" s="30"/>
      <c r="I315" s="11"/>
      <c r="J315" s="11"/>
    </row>
    <row r="316" spans="2:10" s="9" customFormat="1" x14ac:dyDescent="0.2">
      <c r="B316" s="10"/>
      <c r="C316" s="11"/>
      <c r="D316" s="11"/>
      <c r="E316" s="12"/>
      <c r="F316" s="41"/>
      <c r="G316" s="30"/>
      <c r="H316" s="30"/>
      <c r="I316" s="11"/>
      <c r="J316" s="11"/>
    </row>
    <row r="317" spans="2:10" s="9" customFormat="1" x14ac:dyDescent="0.2">
      <c r="B317" s="10"/>
      <c r="C317" s="11"/>
      <c r="D317" s="11"/>
      <c r="E317" s="12"/>
      <c r="F317" s="41"/>
      <c r="G317" s="30"/>
      <c r="H317" s="30"/>
      <c r="I317" s="11"/>
      <c r="J317" s="11"/>
    </row>
    <row r="318" spans="2:10" s="9" customFormat="1" x14ac:dyDescent="0.2">
      <c r="B318" s="10"/>
      <c r="C318" s="11"/>
      <c r="D318" s="11"/>
      <c r="E318" s="12"/>
      <c r="F318" s="41"/>
      <c r="G318" s="30"/>
      <c r="H318" s="30"/>
      <c r="I318" s="11"/>
      <c r="J318" s="11"/>
    </row>
    <row r="319" spans="2:10" s="9" customFormat="1" x14ac:dyDescent="0.2">
      <c r="B319" s="10"/>
      <c r="C319" s="11"/>
      <c r="D319" s="11"/>
      <c r="E319" s="12"/>
      <c r="F319" s="41"/>
      <c r="G319" s="30"/>
      <c r="H319" s="30"/>
      <c r="I319" s="11"/>
      <c r="J319" s="11"/>
    </row>
    <row r="320" spans="2:10" s="9" customFormat="1" x14ac:dyDescent="0.2">
      <c r="B320" s="10"/>
      <c r="C320" s="11"/>
      <c r="D320" s="11"/>
      <c r="E320" s="12"/>
      <c r="F320" s="41"/>
      <c r="G320" s="30"/>
      <c r="H320" s="30"/>
      <c r="I320" s="11"/>
      <c r="J320" s="11"/>
    </row>
    <row r="321" spans="2:10" s="9" customFormat="1" x14ac:dyDescent="0.2">
      <c r="B321" s="10"/>
      <c r="C321" s="11"/>
      <c r="D321" s="11"/>
      <c r="E321" s="12"/>
      <c r="F321" s="41"/>
      <c r="G321" s="30"/>
      <c r="H321" s="30"/>
      <c r="I321" s="11"/>
      <c r="J321" s="11"/>
    </row>
    <row r="322" spans="2:10" s="9" customFormat="1" x14ac:dyDescent="0.2">
      <c r="B322" s="10"/>
      <c r="C322" s="11"/>
      <c r="D322" s="11"/>
      <c r="E322" s="12"/>
      <c r="F322" s="41"/>
      <c r="G322" s="30"/>
      <c r="H322" s="30"/>
      <c r="I322" s="11"/>
      <c r="J322" s="11"/>
    </row>
    <row r="323" spans="2:10" s="9" customFormat="1" x14ac:dyDescent="0.2">
      <c r="B323" s="10"/>
      <c r="C323" s="11"/>
      <c r="D323" s="11"/>
      <c r="E323" s="12"/>
      <c r="F323" s="41"/>
      <c r="G323" s="30"/>
      <c r="H323" s="30"/>
      <c r="I323" s="11"/>
      <c r="J323" s="11"/>
    </row>
    <row r="324" spans="2:10" s="9" customFormat="1" x14ac:dyDescent="0.2">
      <c r="B324" s="10"/>
      <c r="C324" s="11"/>
      <c r="D324" s="11"/>
      <c r="E324" s="12"/>
      <c r="F324" s="41"/>
      <c r="G324" s="30"/>
      <c r="H324" s="30"/>
      <c r="I324" s="11"/>
      <c r="J324" s="11"/>
    </row>
    <row r="325" spans="2:10" s="9" customFormat="1" x14ac:dyDescent="0.2">
      <c r="B325" s="10"/>
      <c r="C325" s="11"/>
      <c r="D325" s="11"/>
      <c r="E325" s="12"/>
      <c r="F325" s="41"/>
      <c r="G325" s="30"/>
      <c r="H325" s="30"/>
      <c r="I325" s="11"/>
      <c r="J325" s="11"/>
    </row>
    <row r="326" spans="2:10" s="9" customFormat="1" x14ac:dyDescent="0.2">
      <c r="B326" s="10"/>
      <c r="C326" s="11"/>
      <c r="D326" s="11"/>
      <c r="E326" s="12"/>
      <c r="F326" s="41"/>
      <c r="G326" s="30"/>
      <c r="H326" s="30"/>
      <c r="I326" s="11"/>
      <c r="J326" s="11"/>
    </row>
    <row r="327" spans="2:10" s="9" customFormat="1" x14ac:dyDescent="0.2">
      <c r="B327" s="10"/>
      <c r="C327" s="11"/>
      <c r="D327" s="11"/>
      <c r="E327" s="12"/>
      <c r="F327" s="41"/>
      <c r="G327" s="30"/>
      <c r="H327" s="30"/>
      <c r="I327" s="11"/>
      <c r="J327" s="11"/>
    </row>
    <row r="328" spans="2:10" s="9" customFormat="1" x14ac:dyDescent="0.2">
      <c r="B328" s="10"/>
      <c r="C328" s="11"/>
      <c r="D328" s="11"/>
      <c r="E328" s="12"/>
      <c r="F328" s="41"/>
      <c r="G328" s="30"/>
      <c r="H328" s="30"/>
      <c r="I328" s="11"/>
      <c r="J328" s="11"/>
    </row>
    <row r="329" spans="2:10" s="9" customFormat="1" x14ac:dyDescent="0.2">
      <c r="B329" s="10"/>
      <c r="C329" s="11"/>
      <c r="D329" s="11"/>
      <c r="E329" s="12"/>
      <c r="F329" s="41"/>
      <c r="G329" s="30"/>
      <c r="H329" s="30"/>
      <c r="I329" s="11"/>
      <c r="J329" s="11"/>
    </row>
    <row r="330" spans="2:10" s="9" customFormat="1" x14ac:dyDescent="0.2">
      <c r="B330" s="10"/>
      <c r="C330" s="11"/>
      <c r="D330" s="11"/>
      <c r="E330" s="12"/>
      <c r="F330" s="41"/>
      <c r="G330" s="30"/>
      <c r="H330" s="30"/>
      <c r="I330" s="11"/>
      <c r="J330" s="11"/>
    </row>
    <row r="331" spans="2:10" s="9" customFormat="1" x14ac:dyDescent="0.2">
      <c r="B331" s="10"/>
      <c r="C331" s="11"/>
      <c r="D331" s="11"/>
      <c r="E331" s="12"/>
      <c r="F331" s="41"/>
      <c r="G331" s="30"/>
      <c r="H331" s="30"/>
      <c r="I331" s="11"/>
      <c r="J331" s="11"/>
    </row>
    <row r="332" spans="2:10" s="9" customFormat="1" x14ac:dyDescent="0.2">
      <c r="B332" s="10"/>
      <c r="C332" s="11"/>
      <c r="D332" s="11"/>
      <c r="E332" s="12"/>
      <c r="F332" s="41"/>
      <c r="G332" s="30"/>
      <c r="H332" s="30"/>
      <c r="I332" s="11"/>
      <c r="J332" s="11"/>
    </row>
    <row r="333" spans="2:10" s="9" customFormat="1" x14ac:dyDescent="0.2">
      <c r="B333" s="10"/>
      <c r="C333" s="11"/>
      <c r="D333" s="11"/>
      <c r="E333" s="12"/>
      <c r="F333" s="41"/>
      <c r="G333" s="30"/>
      <c r="H333" s="30"/>
      <c r="I333" s="11"/>
      <c r="J333" s="11"/>
    </row>
    <row r="334" spans="2:10" s="9" customFormat="1" x14ac:dyDescent="0.2">
      <c r="B334" s="10"/>
      <c r="C334" s="11"/>
      <c r="D334" s="11"/>
      <c r="E334" s="12"/>
      <c r="F334" s="41"/>
      <c r="G334" s="30"/>
      <c r="H334" s="30"/>
      <c r="I334" s="11"/>
      <c r="J334" s="11"/>
    </row>
    <row r="335" spans="2:10" s="9" customFormat="1" x14ac:dyDescent="0.2">
      <c r="B335" s="10"/>
      <c r="C335" s="11"/>
      <c r="D335" s="11"/>
      <c r="E335" s="12"/>
      <c r="F335" s="41"/>
      <c r="G335" s="30"/>
      <c r="H335" s="30"/>
      <c r="I335" s="11"/>
      <c r="J335" s="11"/>
    </row>
    <row r="336" spans="2:10" s="9" customFormat="1" x14ac:dyDescent="0.2">
      <c r="B336" s="10"/>
      <c r="C336" s="11"/>
      <c r="D336" s="11"/>
      <c r="E336" s="12"/>
      <c r="F336" s="41"/>
      <c r="G336" s="30"/>
      <c r="H336" s="30"/>
      <c r="I336" s="11"/>
      <c r="J336" s="11"/>
    </row>
    <row r="337" spans="2:10" s="9" customFormat="1" x14ac:dyDescent="0.2">
      <c r="B337" s="10"/>
      <c r="C337" s="11"/>
      <c r="D337" s="11"/>
      <c r="E337" s="12"/>
      <c r="F337" s="41"/>
      <c r="G337" s="30"/>
      <c r="H337" s="30"/>
      <c r="I337" s="11"/>
      <c r="J337" s="11"/>
    </row>
    <row r="338" spans="2:10" s="9" customFormat="1" x14ac:dyDescent="0.2">
      <c r="B338" s="10"/>
      <c r="C338" s="11"/>
      <c r="D338" s="11"/>
      <c r="E338" s="12"/>
      <c r="F338" s="41"/>
      <c r="G338" s="30"/>
      <c r="H338" s="30"/>
      <c r="I338" s="11"/>
      <c r="J338" s="11"/>
    </row>
    <row r="339" spans="2:10" s="9" customFormat="1" x14ac:dyDescent="0.2">
      <c r="B339" s="10"/>
      <c r="C339" s="11"/>
      <c r="D339" s="11"/>
      <c r="E339" s="12"/>
      <c r="F339" s="41"/>
      <c r="G339" s="30"/>
      <c r="H339" s="30"/>
      <c r="I339" s="11"/>
      <c r="J339" s="11"/>
    </row>
    <row r="340" spans="2:10" s="9" customFormat="1" x14ac:dyDescent="0.2">
      <c r="B340" s="10"/>
      <c r="C340" s="11"/>
      <c r="D340" s="11"/>
      <c r="E340" s="12"/>
      <c r="F340" s="41"/>
      <c r="G340" s="30"/>
      <c r="H340" s="30"/>
      <c r="I340" s="11"/>
      <c r="J340" s="11"/>
    </row>
    <row r="341" spans="2:10" s="9" customFormat="1" x14ac:dyDescent="0.2">
      <c r="B341" s="10"/>
      <c r="C341" s="11"/>
      <c r="D341" s="11"/>
      <c r="E341" s="12"/>
      <c r="F341" s="41"/>
      <c r="G341" s="30"/>
      <c r="H341" s="30"/>
      <c r="I341" s="11"/>
      <c r="J341" s="11"/>
    </row>
    <row r="342" spans="2:10" s="9" customFormat="1" x14ac:dyDescent="0.2">
      <c r="B342" s="10"/>
      <c r="C342" s="11"/>
      <c r="D342" s="11"/>
      <c r="E342" s="12"/>
      <c r="F342" s="41"/>
      <c r="G342" s="30"/>
      <c r="H342" s="30"/>
      <c r="I342" s="11"/>
      <c r="J342" s="11"/>
    </row>
    <row r="343" spans="2:10" s="9" customFormat="1" x14ac:dyDescent="0.2">
      <c r="B343" s="10"/>
      <c r="C343" s="11"/>
      <c r="D343" s="11"/>
      <c r="E343" s="12"/>
      <c r="F343" s="41"/>
      <c r="G343" s="30"/>
      <c r="H343" s="30"/>
      <c r="I343" s="11"/>
      <c r="J343" s="11"/>
    </row>
    <row r="344" spans="2:10" s="9" customFormat="1" x14ac:dyDescent="0.2">
      <c r="B344" s="10"/>
      <c r="C344" s="11"/>
      <c r="D344" s="11"/>
      <c r="E344" s="12"/>
      <c r="F344" s="41"/>
      <c r="G344" s="30"/>
      <c r="H344" s="30"/>
      <c r="I344" s="11"/>
      <c r="J344" s="11"/>
    </row>
    <row r="345" spans="2:10" s="9" customFormat="1" x14ac:dyDescent="0.2">
      <c r="B345" s="10"/>
      <c r="C345" s="11"/>
      <c r="D345" s="11"/>
      <c r="E345" s="12"/>
      <c r="F345" s="41"/>
      <c r="G345" s="30"/>
      <c r="H345" s="30"/>
      <c r="I345" s="11"/>
      <c r="J345" s="11"/>
    </row>
    <row r="346" spans="2:10" s="9" customFormat="1" x14ac:dyDescent="0.2">
      <c r="B346" s="10"/>
      <c r="C346" s="11"/>
      <c r="D346" s="11"/>
      <c r="E346" s="12"/>
      <c r="F346" s="41"/>
      <c r="G346" s="30"/>
      <c r="H346" s="30"/>
      <c r="I346" s="11"/>
      <c r="J346" s="11"/>
    </row>
    <row r="347" spans="2:10" s="9" customFormat="1" x14ac:dyDescent="0.2">
      <c r="B347" s="10"/>
      <c r="C347" s="11"/>
      <c r="D347" s="11"/>
      <c r="E347" s="12"/>
      <c r="F347" s="41"/>
      <c r="G347" s="30"/>
      <c r="H347" s="30"/>
      <c r="I347" s="11"/>
      <c r="J347" s="11"/>
    </row>
    <row r="348" spans="2:10" s="9" customFormat="1" x14ac:dyDescent="0.2">
      <c r="B348" s="10"/>
      <c r="C348" s="11"/>
      <c r="D348" s="11"/>
      <c r="E348" s="12"/>
      <c r="F348" s="41"/>
      <c r="G348" s="30"/>
      <c r="H348" s="30"/>
      <c r="I348" s="11"/>
      <c r="J348" s="11"/>
    </row>
    <row r="349" spans="2:10" s="9" customFormat="1" x14ac:dyDescent="0.2">
      <c r="B349" s="10"/>
      <c r="C349" s="11"/>
      <c r="D349" s="11"/>
      <c r="E349" s="12"/>
      <c r="F349" s="41"/>
      <c r="G349" s="30"/>
      <c r="H349" s="30"/>
      <c r="I349" s="11"/>
      <c r="J349" s="11"/>
    </row>
    <row r="350" spans="2:10" s="9" customFormat="1" x14ac:dyDescent="0.2">
      <c r="B350" s="10"/>
      <c r="C350" s="11"/>
      <c r="D350" s="11"/>
      <c r="E350" s="12"/>
      <c r="F350" s="41"/>
      <c r="G350" s="30"/>
      <c r="H350" s="30"/>
      <c r="I350" s="11"/>
      <c r="J350" s="11"/>
    </row>
    <row r="351" spans="2:10" s="9" customFormat="1" x14ac:dyDescent="0.2">
      <c r="B351" s="10"/>
      <c r="C351" s="11"/>
      <c r="D351" s="11"/>
      <c r="E351" s="12"/>
      <c r="F351" s="41"/>
      <c r="G351" s="30"/>
      <c r="H351" s="30"/>
      <c r="I351" s="11"/>
      <c r="J351" s="11"/>
    </row>
    <row r="352" spans="2:10" s="9" customFormat="1" x14ac:dyDescent="0.2">
      <c r="B352" s="10"/>
      <c r="C352" s="11"/>
      <c r="D352" s="11"/>
      <c r="E352" s="12"/>
      <c r="F352" s="41"/>
      <c r="G352" s="30"/>
      <c r="H352" s="30"/>
      <c r="I352" s="11"/>
      <c r="J352" s="11"/>
    </row>
    <row r="353" spans="2:10" s="9" customFormat="1" x14ac:dyDescent="0.2">
      <c r="B353" s="10"/>
      <c r="C353" s="11"/>
      <c r="D353" s="11"/>
      <c r="E353" s="12"/>
      <c r="F353" s="41"/>
      <c r="G353" s="30"/>
      <c r="H353" s="30"/>
      <c r="I353" s="11"/>
      <c r="J353" s="11"/>
    </row>
    <row r="354" spans="2:10" s="9" customFormat="1" x14ac:dyDescent="0.2">
      <c r="B354" s="10"/>
      <c r="C354" s="11"/>
      <c r="D354" s="11"/>
      <c r="E354" s="12"/>
      <c r="F354" s="41"/>
      <c r="G354" s="30"/>
      <c r="H354" s="30"/>
      <c r="I354" s="11"/>
      <c r="J354" s="11"/>
    </row>
    <row r="355" spans="2:10" s="9" customFormat="1" x14ac:dyDescent="0.2">
      <c r="B355" s="10"/>
      <c r="C355" s="11"/>
      <c r="D355" s="11"/>
      <c r="E355" s="12"/>
      <c r="F355" s="41"/>
      <c r="G355" s="30"/>
      <c r="H355" s="30"/>
      <c r="I355" s="11"/>
      <c r="J355" s="11"/>
    </row>
    <row r="356" spans="2:10" s="9" customFormat="1" x14ac:dyDescent="0.2">
      <c r="B356" s="10"/>
      <c r="C356" s="11"/>
      <c r="D356" s="11"/>
      <c r="E356" s="12"/>
      <c r="F356" s="41"/>
      <c r="G356" s="30"/>
      <c r="H356" s="30"/>
      <c r="I356" s="11"/>
      <c r="J356" s="11"/>
    </row>
    <row r="357" spans="2:10" s="9" customFormat="1" x14ac:dyDescent="0.2">
      <c r="B357" s="10"/>
      <c r="C357" s="11"/>
      <c r="D357" s="11"/>
      <c r="E357" s="12"/>
      <c r="F357" s="41"/>
      <c r="G357" s="30"/>
      <c r="H357" s="30"/>
      <c r="I357" s="11"/>
      <c r="J357" s="11"/>
    </row>
    <row r="358" spans="2:10" s="9" customFormat="1" x14ac:dyDescent="0.2">
      <c r="B358" s="10"/>
      <c r="C358" s="11"/>
      <c r="D358" s="11"/>
      <c r="E358" s="12"/>
      <c r="F358" s="41"/>
      <c r="G358" s="30"/>
      <c r="H358" s="30"/>
      <c r="I358" s="11"/>
      <c r="J358" s="11"/>
    </row>
    <row r="359" spans="2:10" s="9" customFormat="1" x14ac:dyDescent="0.2">
      <c r="B359" s="10"/>
      <c r="C359" s="11"/>
      <c r="D359" s="11"/>
      <c r="E359" s="12"/>
      <c r="F359" s="41"/>
      <c r="G359" s="30"/>
      <c r="H359" s="30"/>
      <c r="I359" s="11"/>
      <c r="J359" s="11"/>
    </row>
    <row r="360" spans="2:10" s="9" customFormat="1" x14ac:dyDescent="0.2">
      <c r="B360" s="10"/>
      <c r="C360" s="11"/>
      <c r="D360" s="11"/>
      <c r="E360" s="12"/>
      <c r="F360" s="41"/>
      <c r="G360" s="30"/>
      <c r="H360" s="30"/>
      <c r="I360" s="11"/>
      <c r="J360" s="11"/>
    </row>
    <row r="361" spans="2:10" s="9" customFormat="1" x14ac:dyDescent="0.2">
      <c r="B361" s="10"/>
      <c r="C361" s="11"/>
      <c r="D361" s="11"/>
      <c r="E361" s="12"/>
      <c r="F361" s="41"/>
      <c r="G361" s="30"/>
      <c r="H361" s="30"/>
      <c r="I361" s="11"/>
      <c r="J361" s="11"/>
    </row>
    <row r="362" spans="2:10" s="9" customFormat="1" x14ac:dyDescent="0.2">
      <c r="B362" s="10"/>
      <c r="C362" s="11"/>
      <c r="D362" s="11"/>
      <c r="E362" s="12"/>
      <c r="F362" s="41"/>
      <c r="G362" s="30"/>
      <c r="H362" s="30"/>
      <c r="I362" s="11"/>
      <c r="J362" s="11"/>
    </row>
    <row r="363" spans="2:10" s="9" customFormat="1" x14ac:dyDescent="0.2">
      <c r="B363" s="10"/>
      <c r="C363" s="11"/>
      <c r="D363" s="11"/>
      <c r="E363" s="12"/>
      <c r="F363" s="41"/>
      <c r="G363" s="30"/>
      <c r="H363" s="30"/>
      <c r="I363" s="11"/>
      <c r="J363" s="11"/>
    </row>
    <row r="364" spans="2:10" s="9" customFormat="1" x14ac:dyDescent="0.2">
      <c r="B364" s="10"/>
      <c r="C364" s="11"/>
      <c r="D364" s="11"/>
      <c r="E364" s="12"/>
      <c r="F364" s="41"/>
      <c r="G364" s="30"/>
      <c r="H364" s="30"/>
      <c r="I364" s="11"/>
      <c r="J364" s="11"/>
    </row>
    <row r="365" spans="2:10" s="9" customFormat="1" x14ac:dyDescent="0.2">
      <c r="B365" s="10"/>
      <c r="C365" s="11"/>
      <c r="D365" s="11"/>
      <c r="E365" s="12"/>
      <c r="F365" s="41"/>
      <c r="G365" s="30"/>
      <c r="H365" s="30"/>
      <c r="I365" s="11"/>
      <c r="J365" s="11"/>
    </row>
    <row r="366" spans="2:10" s="9" customFormat="1" x14ac:dyDescent="0.2">
      <c r="B366" s="10"/>
      <c r="C366" s="11"/>
      <c r="D366" s="11"/>
      <c r="E366" s="12"/>
      <c r="F366" s="41"/>
      <c r="G366" s="30"/>
      <c r="H366" s="30"/>
      <c r="I366" s="11"/>
      <c r="J366" s="11"/>
    </row>
    <row r="367" spans="2:10" s="9" customFormat="1" x14ac:dyDescent="0.2">
      <c r="B367" s="10"/>
      <c r="C367" s="11"/>
      <c r="D367" s="11"/>
      <c r="E367" s="12"/>
      <c r="F367" s="41"/>
      <c r="G367" s="30"/>
      <c r="H367" s="30"/>
      <c r="I367" s="11"/>
      <c r="J367" s="11"/>
    </row>
    <row r="368" spans="2:10" s="9" customFormat="1" x14ac:dyDescent="0.2">
      <c r="B368" s="10"/>
      <c r="C368" s="11"/>
      <c r="D368" s="11"/>
      <c r="E368" s="12"/>
      <c r="F368" s="41"/>
      <c r="G368" s="30"/>
      <c r="H368" s="30"/>
      <c r="I368" s="11"/>
      <c r="J368" s="11"/>
    </row>
    <row r="369" spans="2:10" s="9" customFormat="1" x14ac:dyDescent="0.2">
      <c r="B369" s="10"/>
      <c r="C369" s="11"/>
      <c r="D369" s="11"/>
      <c r="E369" s="12"/>
      <c r="F369" s="41"/>
      <c r="G369" s="30"/>
      <c r="H369" s="30"/>
      <c r="I369" s="11"/>
      <c r="J369" s="11"/>
    </row>
    <row r="370" spans="2:10" s="9" customFormat="1" x14ac:dyDescent="0.2">
      <c r="B370" s="10"/>
      <c r="C370" s="11"/>
      <c r="D370" s="11"/>
      <c r="E370" s="12"/>
      <c r="F370" s="41"/>
      <c r="G370" s="30"/>
      <c r="H370" s="30"/>
      <c r="I370" s="11"/>
      <c r="J370" s="11"/>
    </row>
    <row r="371" spans="2:10" s="9" customFormat="1" x14ac:dyDescent="0.2">
      <c r="B371" s="10"/>
      <c r="C371" s="11"/>
      <c r="D371" s="11"/>
      <c r="E371" s="12"/>
      <c r="F371" s="41"/>
      <c r="G371" s="30"/>
      <c r="H371" s="30"/>
      <c r="I371" s="11"/>
      <c r="J371" s="11"/>
    </row>
    <row r="372" spans="2:10" s="9" customFormat="1" x14ac:dyDescent="0.2">
      <c r="B372" s="10"/>
      <c r="C372" s="11"/>
      <c r="D372" s="11"/>
      <c r="E372" s="12"/>
      <c r="F372" s="41"/>
      <c r="G372" s="30"/>
      <c r="H372" s="30"/>
      <c r="I372" s="11"/>
      <c r="J372" s="11"/>
    </row>
    <row r="373" spans="2:10" s="9" customFormat="1" x14ac:dyDescent="0.2">
      <c r="B373" s="10"/>
      <c r="C373" s="11"/>
      <c r="D373" s="11"/>
      <c r="E373" s="12"/>
      <c r="F373" s="41"/>
      <c r="G373" s="30"/>
      <c r="H373" s="30"/>
      <c r="I373" s="11"/>
      <c r="J373" s="11"/>
    </row>
    <row r="374" spans="2:10" s="9" customFormat="1" x14ac:dyDescent="0.2">
      <c r="B374" s="10"/>
      <c r="C374" s="11"/>
      <c r="D374" s="11"/>
      <c r="E374" s="12"/>
      <c r="F374" s="41"/>
      <c r="G374" s="30"/>
      <c r="H374" s="30"/>
      <c r="I374" s="11"/>
      <c r="J374" s="11"/>
    </row>
    <row r="375" spans="2:10" s="9" customFormat="1" x14ac:dyDescent="0.2">
      <c r="B375" s="10"/>
      <c r="C375" s="11"/>
      <c r="D375" s="11"/>
      <c r="E375" s="12"/>
      <c r="F375" s="41"/>
      <c r="G375" s="30"/>
      <c r="H375" s="30"/>
      <c r="I375" s="11"/>
      <c r="J375" s="11"/>
    </row>
    <row r="376" spans="2:10" s="9" customFormat="1" x14ac:dyDescent="0.2">
      <c r="B376" s="10"/>
      <c r="C376" s="11"/>
      <c r="D376" s="11"/>
      <c r="E376" s="12"/>
      <c r="F376" s="41"/>
      <c r="G376" s="30"/>
      <c r="H376" s="30"/>
      <c r="I376" s="11"/>
      <c r="J376" s="11"/>
    </row>
    <row r="377" spans="2:10" s="9" customFormat="1" x14ac:dyDescent="0.2">
      <c r="B377" s="10"/>
      <c r="C377" s="11"/>
      <c r="D377" s="11"/>
      <c r="E377" s="12"/>
      <c r="F377" s="41"/>
      <c r="G377" s="30"/>
      <c r="H377" s="30"/>
      <c r="I377" s="11"/>
      <c r="J377" s="11"/>
    </row>
    <row r="378" spans="2:10" s="9" customFormat="1" x14ac:dyDescent="0.2">
      <c r="B378" s="10"/>
      <c r="C378" s="11"/>
      <c r="D378" s="11"/>
      <c r="E378" s="12"/>
      <c r="F378" s="41"/>
      <c r="G378" s="30"/>
      <c r="H378" s="30"/>
      <c r="I378" s="11"/>
      <c r="J378" s="11"/>
    </row>
    <row r="379" spans="2:10" s="9" customFormat="1" x14ac:dyDescent="0.2">
      <c r="B379" s="10"/>
      <c r="C379" s="11"/>
      <c r="D379" s="11"/>
      <c r="E379" s="12"/>
      <c r="F379" s="41"/>
      <c r="G379" s="30"/>
      <c r="H379" s="30"/>
      <c r="I379" s="11"/>
      <c r="J379" s="11"/>
    </row>
    <row r="380" spans="2:10" s="9" customFormat="1" x14ac:dyDescent="0.2">
      <c r="B380" s="10"/>
      <c r="C380" s="11"/>
      <c r="D380" s="11"/>
      <c r="E380" s="12"/>
      <c r="F380" s="41"/>
      <c r="G380" s="30"/>
      <c r="H380" s="30"/>
      <c r="I380" s="11"/>
      <c r="J380" s="11"/>
    </row>
    <row r="381" spans="2:10" s="9" customFormat="1" x14ac:dyDescent="0.2">
      <c r="B381" s="10"/>
      <c r="C381" s="11"/>
      <c r="D381" s="11"/>
      <c r="E381" s="12"/>
      <c r="F381" s="41"/>
      <c r="G381" s="30"/>
      <c r="H381" s="30"/>
      <c r="I381" s="11"/>
      <c r="J381" s="11"/>
    </row>
    <row r="382" spans="2:10" s="9" customFormat="1" x14ac:dyDescent="0.2">
      <c r="B382" s="10"/>
      <c r="C382" s="11"/>
      <c r="D382" s="11"/>
      <c r="E382" s="12"/>
      <c r="F382" s="41"/>
      <c r="G382" s="30"/>
      <c r="H382" s="30"/>
      <c r="I382" s="11"/>
      <c r="J382" s="11"/>
    </row>
    <row r="383" spans="2:10" s="9" customFormat="1" x14ac:dyDescent="0.2">
      <c r="B383" s="10"/>
      <c r="C383" s="11"/>
      <c r="D383" s="11"/>
      <c r="E383" s="12"/>
      <c r="F383" s="41"/>
      <c r="G383" s="30"/>
      <c r="H383" s="30"/>
      <c r="I383" s="11"/>
      <c r="J383" s="11"/>
    </row>
    <row r="384" spans="2:10" s="9" customFormat="1" x14ac:dyDescent="0.2">
      <c r="B384" s="10"/>
      <c r="C384" s="11"/>
      <c r="D384" s="11"/>
      <c r="E384" s="12"/>
      <c r="F384" s="41"/>
      <c r="G384" s="30"/>
      <c r="H384" s="30"/>
      <c r="I384" s="11"/>
      <c r="J384" s="11"/>
    </row>
    <row r="385" spans="2:10" s="9" customFormat="1" x14ac:dyDescent="0.2">
      <c r="B385" s="10"/>
      <c r="C385" s="11"/>
      <c r="D385" s="11"/>
      <c r="E385" s="12"/>
      <c r="F385" s="41"/>
      <c r="G385" s="30"/>
      <c r="H385" s="30"/>
      <c r="I385" s="11"/>
      <c r="J385" s="11"/>
    </row>
    <row r="386" spans="2:10" s="9" customFormat="1" x14ac:dyDescent="0.2">
      <c r="B386" s="10"/>
      <c r="C386" s="11"/>
      <c r="D386" s="11"/>
      <c r="E386" s="12"/>
      <c r="F386" s="41"/>
      <c r="G386" s="30"/>
      <c r="H386" s="30"/>
      <c r="I386" s="11"/>
      <c r="J386" s="11"/>
    </row>
    <row r="387" spans="2:10" s="9" customFormat="1" x14ac:dyDescent="0.2">
      <c r="B387" s="10"/>
      <c r="C387" s="11"/>
      <c r="D387" s="11"/>
      <c r="E387" s="12"/>
      <c r="F387" s="41"/>
      <c r="G387" s="30"/>
      <c r="H387" s="30"/>
      <c r="I387" s="11"/>
      <c r="J387" s="11"/>
    </row>
    <row r="388" spans="2:10" s="9" customFormat="1" x14ac:dyDescent="0.2">
      <c r="B388" s="10"/>
      <c r="C388" s="11"/>
      <c r="D388" s="11"/>
      <c r="E388" s="12"/>
      <c r="F388" s="41"/>
      <c r="G388" s="30"/>
      <c r="H388" s="30"/>
      <c r="I388" s="11"/>
      <c r="J388" s="11"/>
    </row>
    <row r="389" spans="2:10" s="9" customFormat="1" x14ac:dyDescent="0.2">
      <c r="B389" s="10"/>
      <c r="C389" s="11"/>
      <c r="D389" s="11"/>
      <c r="E389" s="12"/>
      <c r="F389" s="41"/>
      <c r="G389" s="30"/>
      <c r="H389" s="30"/>
      <c r="I389" s="11"/>
      <c r="J389" s="11"/>
    </row>
    <row r="390" spans="2:10" s="9" customFormat="1" x14ac:dyDescent="0.2">
      <c r="B390" s="10"/>
      <c r="C390" s="11"/>
      <c r="D390" s="11"/>
      <c r="E390" s="12"/>
      <c r="F390" s="41"/>
      <c r="G390" s="30"/>
      <c r="H390" s="30"/>
      <c r="I390" s="11"/>
      <c r="J390" s="11"/>
    </row>
    <row r="391" spans="2:10" s="9" customFormat="1" x14ac:dyDescent="0.2">
      <c r="B391" s="10"/>
      <c r="C391" s="11"/>
      <c r="D391" s="11"/>
      <c r="E391" s="12"/>
      <c r="F391" s="41"/>
      <c r="G391" s="30"/>
      <c r="H391" s="30"/>
      <c r="I391" s="11"/>
      <c r="J391" s="11"/>
    </row>
    <row r="392" spans="2:10" s="9" customFormat="1" x14ac:dyDescent="0.2">
      <c r="B392" s="10"/>
      <c r="C392" s="11"/>
      <c r="D392" s="11"/>
      <c r="E392" s="12"/>
      <c r="F392" s="41"/>
      <c r="G392" s="30"/>
      <c r="H392" s="30"/>
      <c r="I392" s="11"/>
      <c r="J392" s="11"/>
    </row>
    <row r="393" spans="2:10" s="9" customFormat="1" x14ac:dyDescent="0.2">
      <c r="B393" s="10"/>
      <c r="C393" s="11"/>
      <c r="D393" s="11"/>
      <c r="E393" s="12"/>
      <c r="F393" s="41"/>
      <c r="G393" s="30"/>
      <c r="H393" s="30"/>
      <c r="I393" s="11"/>
      <c r="J393" s="11"/>
    </row>
    <row r="394" spans="2:10" s="9" customFormat="1" x14ac:dyDescent="0.2">
      <c r="B394" s="10"/>
      <c r="C394" s="11"/>
      <c r="D394" s="11"/>
      <c r="E394" s="12"/>
      <c r="F394" s="41"/>
      <c r="G394" s="30"/>
      <c r="H394" s="30"/>
      <c r="I394" s="11"/>
      <c r="J394" s="11"/>
    </row>
    <row r="395" spans="2:10" s="9" customFormat="1" x14ac:dyDescent="0.2">
      <c r="B395" s="10"/>
      <c r="C395" s="11"/>
      <c r="D395" s="11"/>
      <c r="E395" s="12"/>
      <c r="F395" s="41"/>
      <c r="G395" s="30"/>
      <c r="H395" s="30"/>
      <c r="I395" s="11"/>
      <c r="J395" s="11"/>
    </row>
    <row r="396" spans="2:10" s="9" customFormat="1" x14ac:dyDescent="0.2">
      <c r="B396" s="10"/>
      <c r="C396" s="11"/>
      <c r="D396" s="11"/>
      <c r="E396" s="12"/>
      <c r="F396" s="41"/>
      <c r="G396" s="30"/>
      <c r="H396" s="30"/>
      <c r="I396" s="11"/>
      <c r="J396" s="11"/>
    </row>
    <row r="397" spans="2:10" s="9" customFormat="1" x14ac:dyDescent="0.2">
      <c r="B397" s="10"/>
      <c r="C397" s="11"/>
      <c r="D397" s="11"/>
      <c r="E397" s="12"/>
      <c r="F397" s="41"/>
      <c r="G397" s="30"/>
      <c r="H397" s="30"/>
      <c r="I397" s="11"/>
      <c r="J397" s="11"/>
    </row>
    <row r="398" spans="2:10" s="9" customFormat="1" x14ac:dyDescent="0.2">
      <c r="B398" s="10"/>
      <c r="C398" s="11"/>
      <c r="D398" s="11"/>
      <c r="E398" s="12"/>
      <c r="F398" s="41"/>
      <c r="G398" s="30"/>
      <c r="H398" s="30"/>
      <c r="I398" s="11"/>
      <c r="J398" s="11"/>
    </row>
    <row r="399" spans="2:10" s="9" customFormat="1" x14ac:dyDescent="0.2">
      <c r="B399" s="10"/>
      <c r="C399" s="11"/>
      <c r="D399" s="11"/>
      <c r="E399" s="12"/>
      <c r="F399" s="41"/>
      <c r="G399" s="30"/>
      <c r="H399" s="30"/>
      <c r="I399" s="11"/>
      <c r="J399" s="11"/>
    </row>
    <row r="400" spans="2:10" s="9" customFormat="1" x14ac:dyDescent="0.2">
      <c r="B400" s="10"/>
      <c r="C400" s="11"/>
      <c r="D400" s="11"/>
      <c r="E400" s="12"/>
      <c r="F400" s="41"/>
      <c r="G400" s="30"/>
      <c r="H400" s="30"/>
      <c r="I400" s="11"/>
      <c r="J400" s="11"/>
    </row>
    <row r="401" spans="2:10" s="9" customFormat="1" x14ac:dyDescent="0.2">
      <c r="B401" s="10"/>
      <c r="C401" s="11"/>
      <c r="D401" s="11"/>
      <c r="E401" s="12"/>
      <c r="F401" s="41"/>
      <c r="G401" s="30"/>
      <c r="H401" s="30"/>
      <c r="I401" s="11"/>
      <c r="J401" s="11"/>
    </row>
    <row r="402" spans="2:10" s="9" customFormat="1" x14ac:dyDescent="0.2">
      <c r="B402" s="10"/>
      <c r="C402" s="11"/>
      <c r="D402" s="11"/>
      <c r="E402" s="12"/>
      <c r="F402" s="41"/>
      <c r="G402" s="30"/>
      <c r="H402" s="30"/>
      <c r="I402" s="11"/>
      <c r="J402" s="11"/>
    </row>
    <row r="403" spans="2:10" s="9" customFormat="1" x14ac:dyDescent="0.2">
      <c r="B403" s="10"/>
      <c r="C403" s="11"/>
      <c r="D403" s="11"/>
      <c r="E403" s="12"/>
      <c r="F403" s="41"/>
      <c r="G403" s="30"/>
      <c r="H403" s="30"/>
      <c r="I403" s="11"/>
      <c r="J403" s="11"/>
    </row>
    <row r="404" spans="2:10" s="9" customFormat="1" x14ac:dyDescent="0.2">
      <c r="B404" s="10"/>
      <c r="C404" s="11"/>
      <c r="D404" s="11"/>
      <c r="E404" s="12"/>
      <c r="F404" s="41"/>
      <c r="G404" s="30"/>
      <c r="H404" s="30"/>
      <c r="I404" s="11"/>
      <c r="J404" s="11"/>
    </row>
    <row r="405" spans="2:10" s="9" customFormat="1" x14ac:dyDescent="0.2">
      <c r="B405" s="10"/>
      <c r="C405" s="11"/>
      <c r="D405" s="11"/>
      <c r="E405" s="12"/>
      <c r="F405" s="41"/>
      <c r="G405" s="30"/>
      <c r="H405" s="30"/>
      <c r="I405" s="11"/>
      <c r="J405" s="11"/>
    </row>
    <row r="406" spans="2:10" s="9" customFormat="1" x14ac:dyDescent="0.2">
      <c r="B406" s="10"/>
      <c r="C406" s="11"/>
      <c r="D406" s="11"/>
      <c r="E406" s="12"/>
      <c r="F406" s="41"/>
      <c r="G406" s="30"/>
      <c r="H406" s="30"/>
      <c r="I406" s="11"/>
      <c r="J406" s="11"/>
    </row>
    <row r="407" spans="2:10" s="9" customFormat="1" x14ac:dyDescent="0.2">
      <c r="B407" s="10"/>
      <c r="C407" s="11"/>
      <c r="D407" s="11"/>
      <c r="E407" s="12"/>
      <c r="F407" s="41"/>
      <c r="G407" s="30"/>
      <c r="H407" s="30"/>
      <c r="I407" s="11"/>
      <c r="J407" s="11"/>
    </row>
    <row r="408" spans="2:10" s="9" customFormat="1" x14ac:dyDescent="0.2">
      <c r="B408" s="10"/>
      <c r="C408" s="11"/>
      <c r="D408" s="11"/>
      <c r="E408" s="12"/>
      <c r="F408" s="41"/>
      <c r="G408" s="30"/>
      <c r="H408" s="30"/>
      <c r="I408" s="11"/>
      <c r="J408" s="11"/>
    </row>
    <row r="409" spans="2:10" s="9" customFormat="1" x14ac:dyDescent="0.2">
      <c r="B409" s="10"/>
      <c r="C409" s="11"/>
      <c r="D409" s="11"/>
      <c r="E409" s="12"/>
      <c r="F409" s="41"/>
      <c r="G409" s="30"/>
      <c r="H409" s="30"/>
      <c r="I409" s="11"/>
      <c r="J409" s="11"/>
    </row>
    <row r="410" spans="2:10" s="9" customFormat="1" x14ac:dyDescent="0.2">
      <c r="B410" s="10"/>
      <c r="C410" s="11"/>
      <c r="D410" s="11"/>
      <c r="E410" s="12"/>
      <c r="F410" s="41"/>
      <c r="G410" s="30"/>
      <c r="H410" s="30"/>
      <c r="I410" s="11"/>
      <c r="J410" s="11"/>
    </row>
    <row r="411" spans="2:10" s="9" customFormat="1" x14ac:dyDescent="0.2">
      <c r="B411" s="10"/>
      <c r="C411" s="11"/>
      <c r="D411" s="11"/>
      <c r="E411" s="12"/>
      <c r="F411" s="41"/>
      <c r="G411" s="30"/>
      <c r="H411" s="30"/>
      <c r="I411" s="11"/>
      <c r="J411" s="11"/>
    </row>
    <row r="412" spans="2:10" s="9" customFormat="1" x14ac:dyDescent="0.2">
      <c r="B412" s="10"/>
      <c r="C412" s="11"/>
      <c r="D412" s="11"/>
      <c r="E412" s="12"/>
      <c r="F412" s="41"/>
      <c r="G412" s="30"/>
      <c r="H412" s="30"/>
      <c r="I412" s="11"/>
      <c r="J412" s="11"/>
    </row>
    <row r="413" spans="2:10" s="9" customFormat="1" x14ac:dyDescent="0.2">
      <c r="B413" s="10"/>
      <c r="C413" s="11"/>
      <c r="D413" s="11"/>
      <c r="E413" s="12"/>
      <c r="F413" s="41"/>
      <c r="G413" s="30"/>
      <c r="H413" s="30"/>
      <c r="I413" s="11"/>
      <c r="J413" s="11"/>
    </row>
    <row r="414" spans="2:10" s="9" customFormat="1" x14ac:dyDescent="0.2">
      <c r="B414" s="10"/>
      <c r="C414" s="11"/>
      <c r="D414" s="11"/>
      <c r="E414" s="12"/>
      <c r="F414" s="41"/>
      <c r="G414" s="30"/>
      <c r="H414" s="30"/>
      <c r="I414" s="11"/>
      <c r="J414" s="11"/>
    </row>
    <row r="415" spans="2:10" s="9" customFormat="1" x14ac:dyDescent="0.2">
      <c r="B415" s="10"/>
      <c r="C415" s="11"/>
      <c r="D415" s="11"/>
      <c r="E415" s="12"/>
      <c r="F415" s="41"/>
      <c r="G415" s="30"/>
      <c r="H415" s="30"/>
      <c r="I415" s="11"/>
      <c r="J415" s="11"/>
    </row>
    <row r="416" spans="2:10" s="9" customFormat="1" x14ac:dyDescent="0.2">
      <c r="B416" s="10"/>
      <c r="C416" s="11"/>
      <c r="D416" s="11"/>
      <c r="E416" s="12"/>
      <c r="F416" s="41"/>
      <c r="G416" s="30"/>
      <c r="H416" s="30"/>
      <c r="I416" s="11"/>
      <c r="J416" s="11"/>
    </row>
    <row r="417" spans="2:10" s="9" customFormat="1" x14ac:dyDescent="0.2">
      <c r="B417" s="10"/>
      <c r="C417" s="11"/>
      <c r="D417" s="11"/>
      <c r="E417" s="12"/>
      <c r="F417" s="41"/>
      <c r="G417" s="30"/>
      <c r="H417" s="30"/>
      <c r="I417" s="11"/>
      <c r="J417" s="11"/>
    </row>
    <row r="418" spans="2:10" s="9" customFormat="1" x14ac:dyDescent="0.2">
      <c r="B418" s="10"/>
      <c r="C418" s="11"/>
      <c r="D418" s="11"/>
      <c r="E418" s="12"/>
      <c r="F418" s="41"/>
      <c r="G418" s="30"/>
      <c r="H418" s="30"/>
      <c r="I418" s="11"/>
      <c r="J418" s="11"/>
    </row>
    <row r="419" spans="2:10" s="9" customFormat="1" x14ac:dyDescent="0.2">
      <c r="B419" s="10"/>
      <c r="C419" s="11"/>
      <c r="D419" s="11"/>
      <c r="E419" s="12"/>
      <c r="F419" s="41"/>
      <c r="G419" s="30"/>
      <c r="H419" s="30"/>
      <c r="I419" s="11"/>
      <c r="J419" s="11"/>
    </row>
    <row r="420" spans="2:10" s="9" customFormat="1" x14ac:dyDescent="0.2">
      <c r="B420" s="10"/>
      <c r="C420" s="11"/>
      <c r="D420" s="11"/>
      <c r="E420" s="12"/>
      <c r="F420" s="41"/>
      <c r="G420" s="30"/>
      <c r="H420" s="30"/>
      <c r="I420" s="11"/>
      <c r="J420" s="11"/>
    </row>
    <row r="421" spans="2:10" s="9" customFormat="1" x14ac:dyDescent="0.2">
      <c r="B421" s="10"/>
      <c r="C421" s="11"/>
      <c r="D421" s="11"/>
      <c r="E421" s="12"/>
      <c r="F421" s="41"/>
      <c r="G421" s="30"/>
      <c r="H421" s="30"/>
      <c r="I421" s="11"/>
      <c r="J421" s="11"/>
    </row>
    <row r="422" spans="2:10" s="9" customFormat="1" x14ac:dyDescent="0.2">
      <c r="B422" s="10"/>
      <c r="C422" s="11"/>
      <c r="D422" s="11"/>
      <c r="E422" s="12"/>
      <c r="F422" s="41"/>
      <c r="G422" s="30"/>
      <c r="H422" s="30"/>
      <c r="I422" s="11"/>
      <c r="J422" s="11"/>
    </row>
    <row r="423" spans="2:10" s="9" customFormat="1" x14ac:dyDescent="0.2">
      <c r="B423" s="10"/>
      <c r="C423" s="11"/>
      <c r="D423" s="11"/>
      <c r="E423" s="12"/>
      <c r="F423" s="41"/>
      <c r="G423" s="30"/>
      <c r="H423" s="30"/>
      <c r="I423" s="11"/>
      <c r="J423" s="11"/>
    </row>
    <row r="424" spans="2:10" s="9" customFormat="1" x14ac:dyDescent="0.2">
      <c r="B424" s="10"/>
      <c r="C424" s="11"/>
      <c r="D424" s="11"/>
      <c r="E424" s="12"/>
      <c r="F424" s="41"/>
      <c r="G424" s="30"/>
      <c r="H424" s="30"/>
      <c r="I424" s="11"/>
      <c r="J424" s="11"/>
    </row>
    <row r="425" spans="2:10" s="9" customFormat="1" x14ac:dyDescent="0.2">
      <c r="B425" s="10"/>
      <c r="C425" s="11"/>
      <c r="D425" s="11"/>
      <c r="E425" s="12"/>
      <c r="F425" s="41"/>
      <c r="G425" s="30"/>
      <c r="H425" s="30"/>
      <c r="I425" s="11"/>
      <c r="J425" s="11"/>
    </row>
    <row r="426" spans="2:10" s="9" customFormat="1" x14ac:dyDescent="0.2">
      <c r="B426" s="10"/>
      <c r="C426" s="11"/>
      <c r="D426" s="11"/>
      <c r="E426" s="12"/>
      <c r="F426" s="41"/>
      <c r="G426" s="30"/>
      <c r="H426" s="30"/>
      <c r="I426" s="11"/>
      <c r="J426" s="11"/>
    </row>
    <row r="427" spans="2:10" s="9" customFormat="1" x14ac:dyDescent="0.2">
      <c r="B427" s="10"/>
      <c r="C427" s="11"/>
      <c r="D427" s="11"/>
      <c r="E427" s="12"/>
      <c r="F427" s="41"/>
      <c r="G427" s="30"/>
      <c r="H427" s="30"/>
      <c r="I427" s="11"/>
      <c r="J427" s="11"/>
    </row>
    <row r="428" spans="2:10" s="9" customFormat="1" x14ac:dyDescent="0.2">
      <c r="B428" s="10"/>
      <c r="C428" s="11"/>
      <c r="D428" s="11"/>
      <c r="E428" s="12"/>
      <c r="F428" s="41"/>
      <c r="G428" s="30"/>
      <c r="H428" s="30"/>
      <c r="I428" s="11"/>
      <c r="J428" s="11"/>
    </row>
    <row r="429" spans="2:10" s="9" customFormat="1" x14ac:dyDescent="0.2">
      <c r="B429" s="10"/>
      <c r="C429" s="11"/>
      <c r="D429" s="11"/>
      <c r="E429" s="12"/>
      <c r="F429" s="41"/>
      <c r="G429" s="30"/>
      <c r="H429" s="30"/>
      <c r="I429" s="11"/>
      <c r="J429" s="11"/>
    </row>
    <row r="430" spans="2:10" s="9" customFormat="1" x14ac:dyDescent="0.2">
      <c r="B430" s="10"/>
      <c r="C430" s="11"/>
      <c r="D430" s="11"/>
      <c r="E430" s="12"/>
      <c r="F430" s="41"/>
      <c r="G430" s="30"/>
      <c r="H430" s="30"/>
      <c r="I430" s="11"/>
      <c r="J430" s="11"/>
    </row>
    <row r="431" spans="2:10" s="9" customFormat="1" x14ac:dyDescent="0.2">
      <c r="B431" s="10"/>
      <c r="C431" s="11"/>
      <c r="D431" s="11"/>
      <c r="E431" s="12"/>
      <c r="F431" s="41"/>
      <c r="G431" s="30"/>
      <c r="H431" s="30"/>
      <c r="I431" s="11"/>
      <c r="J431" s="11"/>
    </row>
    <row r="432" spans="2:10" s="9" customFormat="1" x14ac:dyDescent="0.2">
      <c r="B432" s="10"/>
      <c r="C432" s="11"/>
      <c r="D432" s="11"/>
      <c r="E432" s="12"/>
      <c r="F432" s="41"/>
      <c r="G432" s="30"/>
      <c r="H432" s="30"/>
      <c r="I432" s="11"/>
      <c r="J432" s="11"/>
    </row>
    <row r="433" spans="2:10" s="9" customFormat="1" x14ac:dyDescent="0.2">
      <c r="B433" s="10"/>
      <c r="C433" s="11"/>
      <c r="D433" s="11"/>
      <c r="E433" s="12"/>
      <c r="F433" s="41"/>
      <c r="G433" s="30"/>
      <c r="H433" s="30"/>
      <c r="I433" s="11"/>
      <c r="J433" s="11"/>
    </row>
    <row r="434" spans="2:10" s="9" customFormat="1" x14ac:dyDescent="0.2">
      <c r="B434" s="10"/>
      <c r="C434" s="11"/>
      <c r="D434" s="11"/>
      <c r="E434" s="12"/>
      <c r="F434" s="41"/>
      <c r="G434" s="30"/>
      <c r="H434" s="30"/>
      <c r="I434" s="11"/>
      <c r="J434" s="11"/>
    </row>
    <row r="435" spans="2:10" s="9" customFormat="1" x14ac:dyDescent="0.2">
      <c r="B435" s="10"/>
      <c r="C435" s="11"/>
      <c r="D435" s="11"/>
      <c r="E435" s="12"/>
      <c r="F435" s="41"/>
      <c r="G435" s="30"/>
      <c r="H435" s="30"/>
      <c r="I435" s="11"/>
      <c r="J435" s="11"/>
    </row>
    <row r="436" spans="2:10" s="9" customFormat="1" x14ac:dyDescent="0.2">
      <c r="B436" s="10"/>
      <c r="C436" s="11"/>
      <c r="D436" s="11"/>
      <c r="E436" s="12"/>
      <c r="F436" s="41"/>
      <c r="G436" s="30"/>
      <c r="H436" s="30"/>
      <c r="I436" s="11"/>
      <c r="J436" s="11"/>
    </row>
    <row r="437" spans="2:10" s="9" customFormat="1" x14ac:dyDescent="0.2">
      <c r="B437" s="10"/>
      <c r="C437" s="11"/>
      <c r="D437" s="11"/>
      <c r="E437" s="12"/>
      <c r="F437" s="41"/>
      <c r="G437" s="30"/>
      <c r="H437" s="30"/>
      <c r="I437" s="11"/>
      <c r="J437" s="11"/>
    </row>
    <row r="438" spans="2:10" s="9" customFormat="1" x14ac:dyDescent="0.2">
      <c r="B438" s="10"/>
      <c r="C438" s="11"/>
      <c r="D438" s="11"/>
      <c r="E438" s="12"/>
      <c r="F438" s="41"/>
      <c r="G438" s="30"/>
      <c r="H438" s="30"/>
      <c r="I438" s="11"/>
      <c r="J438" s="11"/>
    </row>
    <row r="439" spans="2:10" s="9" customFormat="1" x14ac:dyDescent="0.2">
      <c r="B439" s="10"/>
      <c r="C439" s="11"/>
      <c r="D439" s="11"/>
      <c r="E439" s="12"/>
      <c r="F439" s="41"/>
      <c r="G439" s="30"/>
      <c r="H439" s="30"/>
      <c r="I439" s="11"/>
      <c r="J439" s="11"/>
    </row>
    <row r="440" spans="2:10" s="9" customFormat="1" x14ac:dyDescent="0.2">
      <c r="B440" s="10"/>
      <c r="C440" s="11"/>
      <c r="D440" s="11"/>
      <c r="E440" s="12"/>
      <c r="F440" s="41"/>
      <c r="G440" s="30"/>
      <c r="H440" s="30"/>
      <c r="I440" s="11"/>
      <c r="J440" s="11"/>
    </row>
    <row r="441" spans="2:10" s="9" customFormat="1" x14ac:dyDescent="0.2">
      <c r="B441" s="10"/>
      <c r="C441" s="11"/>
      <c r="D441" s="11"/>
      <c r="E441" s="12"/>
      <c r="F441" s="41"/>
      <c r="G441" s="30"/>
      <c r="H441" s="30"/>
      <c r="I441" s="11"/>
      <c r="J441" s="11"/>
    </row>
    <row r="442" spans="2:10" s="9" customFormat="1" x14ac:dyDescent="0.2">
      <c r="B442" s="10"/>
      <c r="C442" s="11"/>
      <c r="D442" s="11"/>
      <c r="E442" s="12"/>
      <c r="F442" s="41"/>
      <c r="G442" s="30"/>
      <c r="H442" s="30"/>
      <c r="I442" s="11"/>
      <c r="J442" s="11"/>
    </row>
    <row r="443" spans="2:10" s="9" customFormat="1" x14ac:dyDescent="0.2">
      <c r="B443" s="10"/>
      <c r="C443" s="11"/>
      <c r="D443" s="11"/>
      <c r="E443" s="12"/>
      <c r="F443" s="41"/>
      <c r="G443" s="30"/>
      <c r="H443" s="30"/>
      <c r="I443" s="11"/>
      <c r="J443" s="11"/>
    </row>
    <row r="444" spans="2:10" s="9" customFormat="1" x14ac:dyDescent="0.2">
      <c r="B444" s="10"/>
      <c r="C444" s="11"/>
      <c r="D444" s="11"/>
      <c r="E444" s="12"/>
      <c r="F444" s="41"/>
      <c r="G444" s="30"/>
      <c r="H444" s="30"/>
      <c r="I444" s="11"/>
      <c r="J444" s="11"/>
    </row>
    <row r="445" spans="2:10" s="9" customFormat="1" x14ac:dyDescent="0.2">
      <c r="B445" s="10"/>
      <c r="C445" s="11"/>
      <c r="D445" s="11"/>
      <c r="E445" s="12"/>
      <c r="F445" s="41"/>
      <c r="G445" s="30"/>
      <c r="H445" s="30"/>
      <c r="I445" s="11"/>
      <c r="J445" s="11"/>
    </row>
    <row r="446" spans="2:10" s="9" customFormat="1" x14ac:dyDescent="0.2">
      <c r="B446" s="10"/>
      <c r="C446" s="11"/>
      <c r="D446" s="11"/>
      <c r="E446" s="12"/>
      <c r="F446" s="41"/>
      <c r="G446" s="30"/>
      <c r="H446" s="30"/>
      <c r="I446" s="11"/>
      <c r="J446" s="11"/>
    </row>
    <row r="447" spans="2:10" s="9" customFormat="1" x14ac:dyDescent="0.2">
      <c r="B447" s="10"/>
      <c r="C447" s="11"/>
      <c r="D447" s="11"/>
      <c r="E447" s="12"/>
      <c r="F447" s="41"/>
      <c r="G447" s="30"/>
      <c r="H447" s="30"/>
      <c r="I447" s="11"/>
      <c r="J447" s="11"/>
    </row>
    <row r="448" spans="2:10" s="9" customFormat="1" x14ac:dyDescent="0.2">
      <c r="B448" s="10"/>
      <c r="C448" s="11"/>
      <c r="D448" s="11"/>
      <c r="E448" s="12"/>
      <c r="F448" s="41"/>
      <c r="G448" s="30"/>
      <c r="H448" s="30"/>
      <c r="I448" s="11"/>
      <c r="J448" s="11"/>
    </row>
    <row r="449" spans="2:10" s="9" customFormat="1" x14ac:dyDescent="0.2">
      <c r="B449" s="10"/>
      <c r="C449" s="11"/>
      <c r="D449" s="11"/>
      <c r="E449" s="12"/>
      <c r="F449" s="41"/>
      <c r="G449" s="30"/>
      <c r="H449" s="30"/>
      <c r="I449" s="11"/>
      <c r="J449" s="11"/>
    </row>
    <row r="450" spans="2:10" s="9" customFormat="1" x14ac:dyDescent="0.2">
      <c r="B450" s="10"/>
      <c r="C450" s="11"/>
      <c r="D450" s="11"/>
      <c r="E450" s="12"/>
      <c r="F450" s="41"/>
      <c r="G450" s="30"/>
      <c r="H450" s="30"/>
      <c r="I450" s="11"/>
      <c r="J450" s="11"/>
    </row>
    <row r="451" spans="2:10" s="9" customFormat="1" x14ac:dyDescent="0.2">
      <c r="B451" s="10"/>
      <c r="C451" s="11"/>
      <c r="D451" s="11"/>
      <c r="E451" s="12"/>
      <c r="F451" s="41"/>
      <c r="G451" s="30"/>
      <c r="H451" s="30"/>
      <c r="I451" s="11"/>
      <c r="J451" s="11"/>
    </row>
    <row r="452" spans="2:10" s="9" customFormat="1" x14ac:dyDescent="0.2">
      <c r="B452" s="10"/>
      <c r="C452" s="11"/>
      <c r="D452" s="11"/>
      <c r="E452" s="12"/>
      <c r="F452" s="41"/>
      <c r="G452" s="30"/>
      <c r="H452" s="30"/>
      <c r="I452" s="11"/>
      <c r="J452" s="11"/>
    </row>
    <row r="453" spans="2:10" s="9" customFormat="1" x14ac:dyDescent="0.2">
      <c r="B453" s="10"/>
      <c r="C453" s="11"/>
      <c r="D453" s="11"/>
      <c r="E453" s="12"/>
      <c r="F453" s="41"/>
      <c r="G453" s="30"/>
      <c r="H453" s="30"/>
      <c r="I453" s="11"/>
      <c r="J453" s="11"/>
    </row>
    <row r="454" spans="2:10" s="9" customFormat="1" x14ac:dyDescent="0.2">
      <c r="B454" s="10"/>
      <c r="C454" s="11"/>
      <c r="D454" s="11"/>
      <c r="E454" s="12"/>
      <c r="F454" s="41"/>
      <c r="G454" s="30"/>
      <c r="H454" s="30"/>
      <c r="I454" s="11"/>
      <c r="J454" s="11"/>
    </row>
    <row r="455" spans="2:10" s="9" customFormat="1" x14ac:dyDescent="0.2">
      <c r="B455" s="10"/>
      <c r="C455" s="11"/>
      <c r="D455" s="11"/>
      <c r="E455" s="12"/>
      <c r="F455" s="41"/>
      <c r="G455" s="30"/>
      <c r="H455" s="30"/>
      <c r="I455" s="11"/>
      <c r="J455" s="11"/>
    </row>
    <row r="456" spans="2:10" s="9" customFormat="1" x14ac:dyDescent="0.2">
      <c r="B456" s="10"/>
      <c r="C456" s="11"/>
      <c r="D456" s="11"/>
      <c r="E456" s="12"/>
      <c r="F456" s="41"/>
      <c r="G456" s="30"/>
      <c r="H456" s="30"/>
      <c r="I456" s="11"/>
      <c r="J456" s="11"/>
    </row>
    <row r="457" spans="2:10" s="9" customFormat="1" x14ac:dyDescent="0.2">
      <c r="B457" s="10"/>
      <c r="C457" s="11"/>
      <c r="D457" s="11"/>
      <c r="E457" s="12"/>
      <c r="F457" s="41"/>
      <c r="G457" s="30"/>
      <c r="H457" s="30"/>
      <c r="I457" s="11"/>
      <c r="J457" s="11"/>
    </row>
    <row r="458" spans="2:10" s="9" customFormat="1" x14ac:dyDescent="0.2">
      <c r="B458" s="10"/>
      <c r="C458" s="11"/>
      <c r="D458" s="11"/>
      <c r="E458" s="12"/>
      <c r="F458" s="41"/>
      <c r="G458" s="30"/>
      <c r="H458" s="30"/>
      <c r="I458" s="11"/>
      <c r="J458" s="11"/>
    </row>
    <row r="459" spans="2:10" s="9" customFormat="1" x14ac:dyDescent="0.2">
      <c r="B459" s="10"/>
      <c r="C459" s="11"/>
      <c r="D459" s="11"/>
      <c r="E459" s="12"/>
      <c r="F459" s="41"/>
      <c r="G459" s="30"/>
      <c r="H459" s="30"/>
      <c r="I459" s="11"/>
      <c r="J459" s="11"/>
    </row>
    <row r="460" spans="2:10" s="9" customFormat="1" x14ac:dyDescent="0.2">
      <c r="B460" s="10"/>
      <c r="C460" s="11"/>
      <c r="D460" s="11"/>
      <c r="E460" s="12"/>
      <c r="F460" s="41"/>
      <c r="G460" s="30"/>
      <c r="H460" s="30"/>
      <c r="I460" s="11"/>
      <c r="J460" s="11"/>
    </row>
    <row r="461" spans="2:10" s="9" customFormat="1" x14ac:dyDescent="0.2">
      <c r="B461" s="10"/>
      <c r="C461" s="11"/>
      <c r="D461" s="11"/>
      <c r="E461" s="12"/>
      <c r="F461" s="41"/>
      <c r="G461" s="30"/>
      <c r="H461" s="30"/>
      <c r="I461" s="11"/>
      <c r="J461" s="11"/>
    </row>
    <row r="462" spans="2:10" s="9" customFormat="1" x14ac:dyDescent="0.2">
      <c r="B462" s="10"/>
      <c r="C462" s="11"/>
      <c r="D462" s="11"/>
      <c r="E462" s="12"/>
      <c r="F462" s="41"/>
      <c r="G462" s="30"/>
      <c r="H462" s="30"/>
      <c r="I462" s="11"/>
      <c r="J462" s="11"/>
    </row>
    <row r="463" spans="2:10" s="9" customFormat="1" x14ac:dyDescent="0.2">
      <c r="B463" s="10"/>
      <c r="C463" s="11"/>
      <c r="D463" s="11"/>
      <c r="E463" s="12"/>
      <c r="F463" s="41"/>
      <c r="G463" s="30"/>
      <c r="H463" s="30"/>
      <c r="I463" s="11"/>
      <c r="J463" s="11"/>
    </row>
    <row r="464" spans="2:10" s="9" customFormat="1" x14ac:dyDescent="0.2">
      <c r="B464" s="10"/>
      <c r="C464" s="11"/>
      <c r="D464" s="11"/>
      <c r="E464" s="12"/>
      <c r="F464" s="41"/>
      <c r="G464" s="30"/>
      <c r="H464" s="30"/>
      <c r="I464" s="11"/>
      <c r="J464" s="11"/>
    </row>
    <row r="465" spans="2:10" s="9" customFormat="1" x14ac:dyDescent="0.2">
      <c r="B465" s="10"/>
      <c r="C465" s="11"/>
      <c r="D465" s="11"/>
      <c r="E465" s="12"/>
      <c r="F465" s="41"/>
      <c r="G465" s="30"/>
      <c r="H465" s="30"/>
      <c r="I465" s="11"/>
      <c r="J465" s="11"/>
    </row>
    <row r="466" spans="2:10" s="9" customFormat="1" x14ac:dyDescent="0.2">
      <c r="B466" s="10"/>
      <c r="C466" s="11"/>
      <c r="D466" s="11"/>
      <c r="E466" s="12"/>
      <c r="F466" s="41"/>
      <c r="G466" s="30"/>
      <c r="H466" s="30"/>
      <c r="I466" s="11"/>
      <c r="J466" s="11"/>
    </row>
    <row r="467" spans="2:10" s="9" customFormat="1" x14ac:dyDescent="0.2">
      <c r="B467" s="10"/>
      <c r="C467" s="11"/>
      <c r="D467" s="11"/>
      <c r="E467" s="12"/>
      <c r="F467" s="41"/>
      <c r="G467" s="30"/>
      <c r="H467" s="30"/>
      <c r="I467" s="11"/>
      <c r="J467" s="11"/>
    </row>
    <row r="468" spans="2:10" s="9" customFormat="1" x14ac:dyDescent="0.2">
      <c r="B468" s="10"/>
      <c r="C468" s="11"/>
      <c r="D468" s="11"/>
      <c r="E468" s="12"/>
      <c r="F468" s="41"/>
      <c r="G468" s="30"/>
      <c r="H468" s="30"/>
      <c r="I468" s="11"/>
      <c r="J468" s="11"/>
    </row>
    <row r="469" spans="2:10" s="9" customFormat="1" x14ac:dyDescent="0.2">
      <c r="B469" s="10"/>
      <c r="C469" s="11"/>
      <c r="D469" s="11"/>
      <c r="E469" s="12"/>
      <c r="F469" s="41"/>
      <c r="G469" s="30"/>
      <c r="H469" s="30"/>
      <c r="I469" s="11"/>
      <c r="J469" s="11"/>
    </row>
    <row r="470" spans="2:10" s="9" customFormat="1" x14ac:dyDescent="0.2">
      <c r="B470" s="10"/>
      <c r="C470" s="11"/>
      <c r="D470" s="11"/>
      <c r="E470" s="12"/>
      <c r="F470" s="41"/>
      <c r="G470" s="30"/>
      <c r="H470" s="30"/>
      <c r="I470" s="11"/>
      <c r="J470" s="11"/>
    </row>
    <row r="471" spans="2:10" s="9" customFormat="1" x14ac:dyDescent="0.2">
      <c r="B471" s="10"/>
      <c r="C471" s="11"/>
      <c r="D471" s="11"/>
      <c r="E471" s="12"/>
      <c r="F471" s="41"/>
      <c r="G471" s="30"/>
      <c r="H471" s="30"/>
      <c r="I471" s="11"/>
      <c r="J471" s="11"/>
    </row>
    <row r="472" spans="2:10" s="9" customFormat="1" x14ac:dyDescent="0.2">
      <c r="B472" s="10"/>
      <c r="C472" s="11"/>
      <c r="D472" s="11"/>
      <c r="E472" s="12"/>
      <c r="F472" s="41"/>
      <c r="G472" s="30"/>
      <c r="H472" s="30"/>
      <c r="I472" s="11"/>
      <c r="J472" s="11"/>
    </row>
    <row r="473" spans="2:10" s="9" customFormat="1" x14ac:dyDescent="0.2">
      <c r="B473" s="10"/>
      <c r="C473" s="11"/>
      <c r="D473" s="11"/>
      <c r="E473" s="12"/>
      <c r="F473" s="41"/>
      <c r="G473" s="30"/>
      <c r="H473" s="30"/>
      <c r="I473" s="11"/>
      <c r="J473" s="11"/>
    </row>
    <row r="474" spans="2:10" s="9" customFormat="1" x14ac:dyDescent="0.2">
      <c r="B474" s="10"/>
      <c r="C474" s="11"/>
      <c r="D474" s="11"/>
      <c r="E474" s="12"/>
      <c r="F474" s="41"/>
      <c r="G474" s="30"/>
      <c r="H474" s="30"/>
      <c r="I474" s="11"/>
      <c r="J474" s="11"/>
    </row>
    <row r="475" spans="2:10" s="9" customFormat="1" x14ac:dyDescent="0.2">
      <c r="B475" s="10"/>
      <c r="C475" s="11"/>
      <c r="D475" s="11"/>
      <c r="E475" s="12"/>
      <c r="F475" s="41"/>
      <c r="G475" s="30"/>
      <c r="H475" s="30"/>
      <c r="I475" s="11"/>
      <c r="J475" s="11"/>
    </row>
    <row r="476" spans="2:10" s="9" customFormat="1" x14ac:dyDescent="0.2">
      <c r="B476" s="10"/>
      <c r="C476" s="11"/>
      <c r="D476" s="11"/>
      <c r="E476" s="12"/>
      <c r="F476" s="41"/>
      <c r="G476" s="30"/>
      <c r="H476" s="30"/>
      <c r="I476" s="11"/>
      <c r="J476" s="11"/>
    </row>
    <row r="477" spans="2:10" s="9" customFormat="1" x14ac:dyDescent="0.2">
      <c r="B477" s="10"/>
      <c r="C477" s="11"/>
      <c r="D477" s="11"/>
      <c r="E477" s="12"/>
      <c r="F477" s="41"/>
      <c r="G477" s="30"/>
      <c r="H477" s="30"/>
      <c r="I477" s="11"/>
      <c r="J477" s="11"/>
    </row>
    <row r="478" spans="2:10" s="9" customFormat="1" x14ac:dyDescent="0.2">
      <c r="B478" s="10"/>
      <c r="C478" s="11"/>
      <c r="D478" s="11"/>
      <c r="E478" s="12"/>
      <c r="F478" s="41"/>
      <c r="G478" s="30"/>
      <c r="H478" s="30"/>
      <c r="I478" s="11"/>
      <c r="J478" s="11"/>
    </row>
    <row r="479" spans="2:10" s="9" customFormat="1" x14ac:dyDescent="0.2">
      <c r="B479" s="10"/>
      <c r="C479" s="11"/>
      <c r="D479" s="11"/>
      <c r="E479" s="12"/>
      <c r="F479" s="41"/>
      <c r="G479" s="30"/>
      <c r="H479" s="30"/>
      <c r="I479" s="11"/>
      <c r="J479" s="11"/>
    </row>
    <row r="480" spans="2:10" s="9" customFormat="1" x14ac:dyDescent="0.2">
      <c r="B480" s="10"/>
      <c r="C480" s="11"/>
      <c r="D480" s="11"/>
      <c r="E480" s="12"/>
      <c r="F480" s="41"/>
      <c r="G480" s="30"/>
      <c r="H480" s="30"/>
      <c r="I480" s="11"/>
      <c r="J480" s="11"/>
    </row>
    <row r="481" spans="2:10" s="9" customFormat="1" x14ac:dyDescent="0.2">
      <c r="B481" s="10"/>
      <c r="C481" s="11"/>
      <c r="D481" s="11"/>
      <c r="E481" s="12"/>
      <c r="F481" s="41"/>
      <c r="G481" s="30"/>
      <c r="H481" s="30"/>
      <c r="I481" s="11"/>
      <c r="J481" s="11"/>
    </row>
    <row r="482" spans="2:10" s="9" customFormat="1" x14ac:dyDescent="0.2">
      <c r="B482" s="10"/>
      <c r="C482" s="11"/>
      <c r="D482" s="11"/>
      <c r="E482" s="12"/>
      <c r="F482" s="41"/>
      <c r="G482" s="30"/>
      <c r="H482" s="30"/>
      <c r="I482" s="11"/>
      <c r="J482" s="11"/>
    </row>
    <row r="483" spans="2:10" s="9" customFormat="1" x14ac:dyDescent="0.2">
      <c r="B483" s="10"/>
      <c r="C483" s="11"/>
      <c r="D483" s="11"/>
      <c r="E483" s="12"/>
      <c r="F483" s="41"/>
      <c r="G483" s="30"/>
      <c r="H483" s="30"/>
      <c r="I483" s="11"/>
      <c r="J483" s="11"/>
    </row>
    <row r="484" spans="2:10" s="9" customFormat="1" x14ac:dyDescent="0.2">
      <c r="B484" s="10"/>
      <c r="C484" s="11"/>
      <c r="D484" s="11"/>
      <c r="E484" s="12"/>
      <c r="F484" s="41"/>
      <c r="G484" s="30"/>
      <c r="H484" s="30"/>
      <c r="I484" s="11"/>
      <c r="J484" s="11"/>
    </row>
    <row r="485" spans="2:10" s="9" customFormat="1" x14ac:dyDescent="0.2">
      <c r="B485" s="10"/>
      <c r="C485" s="11"/>
      <c r="D485" s="11"/>
      <c r="E485" s="12"/>
      <c r="F485" s="41"/>
      <c r="G485" s="30"/>
      <c r="H485" s="30"/>
      <c r="I485" s="11"/>
      <c r="J485" s="11"/>
    </row>
    <row r="486" spans="2:10" s="9" customFormat="1" x14ac:dyDescent="0.2">
      <c r="B486" s="10"/>
      <c r="C486" s="11"/>
      <c r="D486" s="11"/>
      <c r="E486" s="12"/>
      <c r="F486" s="41"/>
      <c r="G486" s="30"/>
      <c r="H486" s="30"/>
      <c r="I486" s="11"/>
      <c r="J486" s="11"/>
    </row>
    <row r="487" spans="2:10" s="9" customFormat="1" x14ac:dyDescent="0.2">
      <c r="B487" s="10"/>
      <c r="C487" s="11"/>
      <c r="D487" s="11"/>
      <c r="E487" s="12"/>
      <c r="F487" s="41"/>
      <c r="G487" s="30"/>
      <c r="H487" s="30"/>
      <c r="I487" s="11"/>
      <c r="J487" s="11"/>
    </row>
    <row r="488" spans="2:10" s="9" customFormat="1" x14ac:dyDescent="0.2">
      <c r="B488" s="10"/>
      <c r="C488" s="11"/>
      <c r="D488" s="11"/>
      <c r="E488" s="12"/>
      <c r="F488" s="41"/>
      <c r="G488" s="30"/>
      <c r="H488" s="30"/>
      <c r="I488" s="11"/>
      <c r="J488" s="11"/>
    </row>
    <row r="489" spans="2:10" s="9" customFormat="1" x14ac:dyDescent="0.2">
      <c r="B489" s="10"/>
      <c r="C489" s="11"/>
      <c r="D489" s="11"/>
      <c r="E489" s="12"/>
      <c r="F489" s="41"/>
      <c r="G489" s="30"/>
      <c r="H489" s="30"/>
      <c r="I489" s="11"/>
      <c r="J489" s="11"/>
    </row>
    <row r="490" spans="2:10" s="9" customFormat="1" x14ac:dyDescent="0.2">
      <c r="B490" s="10"/>
      <c r="C490" s="11"/>
      <c r="D490" s="11"/>
      <c r="E490" s="12"/>
      <c r="F490" s="41"/>
      <c r="G490" s="30"/>
      <c r="H490" s="30"/>
      <c r="I490" s="11"/>
      <c r="J490" s="11"/>
    </row>
    <row r="491" spans="2:10" s="9" customFormat="1" x14ac:dyDescent="0.2">
      <c r="B491" s="10"/>
      <c r="C491" s="11"/>
      <c r="D491" s="11"/>
      <c r="E491" s="12"/>
      <c r="F491" s="41"/>
      <c r="G491" s="30"/>
      <c r="H491" s="30"/>
      <c r="I491" s="11"/>
      <c r="J491" s="11"/>
    </row>
    <row r="492" spans="2:10" s="9" customFormat="1" x14ac:dyDescent="0.2">
      <c r="B492" s="10"/>
      <c r="C492" s="11"/>
      <c r="D492" s="11"/>
      <c r="E492" s="12"/>
      <c r="F492" s="41"/>
      <c r="G492" s="30"/>
      <c r="H492" s="30"/>
      <c r="I492" s="11"/>
      <c r="J492" s="11"/>
    </row>
    <row r="493" spans="2:10" s="9" customFormat="1" x14ac:dyDescent="0.2">
      <c r="B493" s="10"/>
      <c r="C493" s="11"/>
      <c r="D493" s="11"/>
      <c r="E493" s="12"/>
      <c r="F493" s="41"/>
      <c r="G493" s="30"/>
      <c r="H493" s="30"/>
      <c r="I493" s="11"/>
      <c r="J493" s="11"/>
    </row>
    <row r="494" spans="2:10" s="9" customFormat="1" x14ac:dyDescent="0.2">
      <c r="B494" s="10"/>
      <c r="C494" s="11"/>
      <c r="D494" s="11"/>
      <c r="E494" s="12"/>
      <c r="F494" s="41"/>
      <c r="G494" s="30"/>
      <c r="H494" s="30"/>
      <c r="I494" s="11"/>
      <c r="J494" s="11"/>
    </row>
    <row r="495" spans="2:10" s="9" customFormat="1" x14ac:dyDescent="0.2">
      <c r="B495" s="10"/>
      <c r="C495" s="11"/>
      <c r="D495" s="11"/>
      <c r="E495" s="12"/>
      <c r="F495" s="41"/>
      <c r="G495" s="30"/>
      <c r="H495" s="30"/>
      <c r="I495" s="11"/>
      <c r="J495" s="11"/>
    </row>
    <row r="496" spans="2:10" s="9" customFormat="1" x14ac:dyDescent="0.2">
      <c r="B496" s="10"/>
      <c r="C496" s="11"/>
      <c r="D496" s="11"/>
      <c r="E496" s="12"/>
      <c r="F496" s="41"/>
      <c r="G496" s="30"/>
      <c r="H496" s="30"/>
      <c r="I496" s="11"/>
      <c r="J496" s="11"/>
    </row>
    <row r="497" spans="2:10" s="9" customFormat="1" x14ac:dyDescent="0.2">
      <c r="B497" s="10"/>
      <c r="C497" s="11"/>
      <c r="D497" s="11"/>
      <c r="E497" s="12"/>
      <c r="F497" s="41"/>
      <c r="G497" s="30"/>
      <c r="H497" s="30"/>
      <c r="I497" s="11"/>
      <c r="J497" s="11"/>
    </row>
    <row r="498" spans="2:10" s="9" customFormat="1" x14ac:dyDescent="0.2">
      <c r="B498" s="10"/>
      <c r="C498" s="11"/>
      <c r="D498" s="11"/>
      <c r="E498" s="12"/>
      <c r="F498" s="41"/>
      <c r="G498" s="30"/>
      <c r="H498" s="30"/>
      <c r="I498" s="11"/>
      <c r="J498" s="11"/>
    </row>
    <row r="499" spans="2:10" s="9" customFormat="1" x14ac:dyDescent="0.2">
      <c r="B499" s="10"/>
      <c r="C499" s="11"/>
      <c r="D499" s="11"/>
      <c r="E499" s="12"/>
      <c r="F499" s="41"/>
      <c r="G499" s="30"/>
      <c r="H499" s="30"/>
      <c r="I499" s="11"/>
      <c r="J499" s="11"/>
    </row>
    <row r="500" spans="2:10" s="9" customFormat="1" x14ac:dyDescent="0.2">
      <c r="B500" s="10"/>
      <c r="C500" s="11"/>
      <c r="D500" s="11"/>
      <c r="E500" s="12"/>
      <c r="F500" s="41"/>
      <c r="G500" s="30"/>
      <c r="H500" s="30"/>
      <c r="I500" s="11"/>
      <c r="J500" s="11"/>
    </row>
    <row r="501" spans="2:10" s="9" customFormat="1" x14ac:dyDescent="0.2">
      <c r="B501" s="10"/>
      <c r="C501" s="11"/>
      <c r="D501" s="11"/>
      <c r="E501" s="12"/>
      <c r="F501" s="41"/>
      <c r="G501" s="30"/>
      <c r="H501" s="30"/>
      <c r="I501" s="11"/>
      <c r="J501" s="11"/>
    </row>
    <row r="502" spans="2:10" s="9" customFormat="1" x14ac:dyDescent="0.2">
      <c r="B502" s="10"/>
      <c r="C502" s="11"/>
      <c r="D502" s="11"/>
      <c r="E502" s="12"/>
      <c r="F502" s="41"/>
      <c r="G502" s="30"/>
      <c r="H502" s="30"/>
      <c r="I502" s="11"/>
      <c r="J502" s="11"/>
    </row>
    <row r="503" spans="2:10" s="9" customFormat="1" x14ac:dyDescent="0.2">
      <c r="B503" s="10"/>
      <c r="C503" s="11"/>
      <c r="D503" s="11"/>
      <c r="E503" s="12"/>
      <c r="F503" s="41"/>
      <c r="G503" s="30"/>
      <c r="H503" s="30"/>
      <c r="I503" s="11"/>
      <c r="J503" s="11"/>
    </row>
    <row r="504" spans="2:10" s="9" customFormat="1" x14ac:dyDescent="0.2">
      <c r="B504" s="10"/>
      <c r="C504" s="11"/>
      <c r="D504" s="11"/>
      <c r="E504" s="12"/>
      <c r="F504" s="41"/>
      <c r="G504" s="30"/>
      <c r="H504" s="30"/>
      <c r="I504" s="11"/>
      <c r="J504" s="11"/>
    </row>
    <row r="505" spans="2:10" s="9" customFormat="1" x14ac:dyDescent="0.2">
      <c r="B505" s="10"/>
      <c r="C505" s="11"/>
      <c r="D505" s="11"/>
      <c r="E505" s="12"/>
      <c r="F505" s="41"/>
      <c r="G505" s="30"/>
      <c r="H505" s="30"/>
      <c r="I505" s="11"/>
      <c r="J505" s="11"/>
    </row>
    <row r="506" spans="2:10" s="9" customFormat="1" x14ac:dyDescent="0.2">
      <c r="B506" s="10"/>
      <c r="C506" s="11"/>
      <c r="D506" s="11"/>
      <c r="E506" s="12"/>
      <c r="F506" s="41"/>
      <c r="G506" s="30"/>
      <c r="H506" s="30"/>
      <c r="I506" s="11"/>
      <c r="J506" s="11"/>
    </row>
    <row r="507" spans="2:10" s="9" customFormat="1" x14ac:dyDescent="0.2">
      <c r="B507" s="10"/>
      <c r="C507" s="11"/>
      <c r="D507" s="11"/>
      <c r="E507" s="12"/>
      <c r="F507" s="41"/>
      <c r="G507" s="30"/>
      <c r="H507" s="30"/>
      <c r="I507" s="11"/>
      <c r="J507" s="11"/>
    </row>
    <row r="508" spans="2:10" s="9" customFormat="1" x14ac:dyDescent="0.2">
      <c r="B508" s="10"/>
      <c r="C508" s="11"/>
      <c r="D508" s="11"/>
      <c r="E508" s="12"/>
      <c r="F508" s="41"/>
      <c r="G508" s="30"/>
      <c r="H508" s="30"/>
      <c r="I508" s="11"/>
      <c r="J508" s="11"/>
    </row>
    <row r="509" spans="2:10" s="9" customFormat="1" x14ac:dyDescent="0.2">
      <c r="B509" s="10"/>
      <c r="C509" s="11"/>
      <c r="D509" s="11"/>
      <c r="E509" s="12"/>
      <c r="F509" s="41"/>
      <c r="G509" s="30"/>
      <c r="H509" s="30"/>
      <c r="I509" s="11"/>
      <c r="J509" s="11"/>
    </row>
    <row r="510" spans="2:10" s="9" customFormat="1" x14ac:dyDescent="0.2">
      <c r="B510" s="10"/>
      <c r="C510" s="11"/>
      <c r="D510" s="11"/>
      <c r="E510" s="12"/>
      <c r="F510" s="41"/>
      <c r="G510" s="30"/>
      <c r="H510" s="30"/>
      <c r="I510" s="11"/>
      <c r="J510" s="11"/>
    </row>
    <row r="511" spans="2:10" s="9" customFormat="1" x14ac:dyDescent="0.2">
      <c r="B511" s="10"/>
      <c r="C511" s="11"/>
      <c r="D511" s="11"/>
      <c r="E511" s="12"/>
      <c r="F511" s="41"/>
      <c r="G511" s="30"/>
      <c r="H511" s="30"/>
      <c r="I511" s="11"/>
      <c r="J511" s="11"/>
    </row>
    <row r="512" spans="2:10" s="9" customFormat="1" x14ac:dyDescent="0.2">
      <c r="B512" s="10"/>
      <c r="C512" s="11"/>
      <c r="D512" s="11"/>
      <c r="E512" s="12"/>
      <c r="F512" s="41"/>
      <c r="G512" s="30"/>
      <c r="H512" s="30"/>
      <c r="I512" s="11"/>
      <c r="J512" s="11"/>
    </row>
    <row r="513" spans="2:10" s="9" customFormat="1" x14ac:dyDescent="0.2">
      <c r="B513" s="10"/>
      <c r="C513" s="11"/>
      <c r="D513" s="11"/>
      <c r="E513" s="12"/>
      <c r="F513" s="41"/>
      <c r="G513" s="30"/>
      <c r="H513" s="30"/>
      <c r="I513" s="11"/>
      <c r="J513" s="11"/>
    </row>
    <row r="514" spans="2:10" s="9" customFormat="1" x14ac:dyDescent="0.2">
      <c r="B514" s="10"/>
      <c r="C514" s="11"/>
      <c r="D514" s="11"/>
      <c r="E514" s="12"/>
      <c r="F514" s="41"/>
      <c r="G514" s="30"/>
      <c r="H514" s="30"/>
      <c r="I514" s="11"/>
      <c r="J514" s="11"/>
    </row>
    <row r="515" spans="2:10" s="9" customFormat="1" x14ac:dyDescent="0.2">
      <c r="B515" s="10"/>
      <c r="C515" s="11"/>
      <c r="D515" s="11"/>
      <c r="E515" s="12"/>
      <c r="F515" s="41"/>
      <c r="G515" s="30"/>
      <c r="H515" s="30"/>
      <c r="I515" s="11"/>
      <c r="J515" s="11"/>
    </row>
    <row r="516" spans="2:10" s="9" customFormat="1" x14ac:dyDescent="0.2">
      <c r="B516" s="10"/>
      <c r="C516" s="11"/>
      <c r="D516" s="11"/>
      <c r="E516" s="12"/>
      <c r="F516" s="41"/>
      <c r="G516" s="30"/>
      <c r="H516" s="30"/>
      <c r="I516" s="11"/>
      <c r="J516" s="11"/>
    </row>
    <row r="517" spans="2:10" s="9" customFormat="1" x14ac:dyDescent="0.2">
      <c r="B517" s="10"/>
      <c r="C517" s="11"/>
      <c r="D517" s="11"/>
      <c r="E517" s="12"/>
      <c r="F517" s="41"/>
      <c r="G517" s="30"/>
      <c r="H517" s="30"/>
      <c r="I517" s="11"/>
      <c r="J517" s="11"/>
    </row>
    <row r="518" spans="2:10" s="9" customFormat="1" x14ac:dyDescent="0.2">
      <c r="B518" s="10"/>
      <c r="C518" s="11"/>
      <c r="D518" s="11"/>
      <c r="E518" s="12"/>
      <c r="F518" s="41"/>
      <c r="G518" s="30"/>
      <c r="H518" s="30"/>
      <c r="I518" s="11"/>
      <c r="J518" s="11"/>
    </row>
    <row r="519" spans="2:10" s="9" customFormat="1" x14ac:dyDescent="0.2">
      <c r="B519" s="10"/>
      <c r="C519" s="11"/>
      <c r="D519" s="11"/>
      <c r="E519" s="12"/>
      <c r="F519" s="41"/>
      <c r="G519" s="30"/>
      <c r="H519" s="30"/>
      <c r="I519" s="11"/>
      <c r="J519" s="11"/>
    </row>
    <row r="520" spans="2:10" s="9" customFormat="1" x14ac:dyDescent="0.2">
      <c r="B520" s="10"/>
      <c r="C520" s="11"/>
      <c r="D520" s="11"/>
      <c r="E520" s="12"/>
      <c r="F520" s="41"/>
      <c r="G520" s="30"/>
      <c r="H520" s="30"/>
      <c r="I520" s="11"/>
      <c r="J520" s="11"/>
    </row>
    <row r="521" spans="2:10" s="9" customFormat="1" x14ac:dyDescent="0.2">
      <c r="B521" s="10"/>
      <c r="C521" s="11"/>
      <c r="D521" s="11"/>
      <c r="E521" s="12"/>
      <c r="F521" s="41"/>
      <c r="G521" s="30"/>
      <c r="H521" s="30"/>
      <c r="I521" s="11"/>
      <c r="J521" s="11"/>
    </row>
    <row r="522" spans="2:10" s="9" customFormat="1" x14ac:dyDescent="0.2">
      <c r="B522" s="10"/>
      <c r="C522" s="11"/>
      <c r="D522" s="11"/>
      <c r="E522" s="12"/>
      <c r="F522" s="41"/>
      <c r="G522" s="30"/>
      <c r="H522" s="30"/>
      <c r="I522" s="11"/>
      <c r="J522" s="11"/>
    </row>
    <row r="523" spans="2:10" s="9" customFormat="1" x14ac:dyDescent="0.2">
      <c r="B523" s="10"/>
      <c r="C523" s="11"/>
      <c r="D523" s="11"/>
      <c r="E523" s="12"/>
      <c r="F523" s="41"/>
      <c r="G523" s="30"/>
      <c r="H523" s="30"/>
      <c r="I523" s="11"/>
      <c r="J523" s="11"/>
    </row>
    <row r="524" spans="2:10" s="9" customFormat="1" x14ac:dyDescent="0.2">
      <c r="B524" s="10"/>
      <c r="C524" s="11"/>
      <c r="D524" s="11"/>
      <c r="E524" s="12"/>
      <c r="F524" s="41"/>
      <c r="G524" s="30"/>
      <c r="H524" s="30"/>
      <c r="I524" s="11"/>
      <c r="J524" s="11"/>
    </row>
    <row r="525" spans="2:10" s="9" customFormat="1" x14ac:dyDescent="0.2">
      <c r="B525" s="10"/>
      <c r="C525" s="11"/>
      <c r="D525" s="11"/>
      <c r="E525" s="12"/>
      <c r="F525" s="41"/>
      <c r="G525" s="30"/>
      <c r="H525" s="30"/>
      <c r="I525" s="11"/>
      <c r="J525" s="11"/>
    </row>
    <row r="526" spans="2:10" s="9" customFormat="1" x14ac:dyDescent="0.2">
      <c r="B526" s="10"/>
      <c r="C526" s="11"/>
      <c r="D526" s="11"/>
      <c r="E526" s="12"/>
      <c r="F526" s="41"/>
      <c r="G526" s="30"/>
      <c r="H526" s="30"/>
      <c r="I526" s="11"/>
      <c r="J526" s="11"/>
    </row>
    <row r="527" spans="2:10" s="9" customFormat="1" x14ac:dyDescent="0.2">
      <c r="B527" s="10"/>
      <c r="C527" s="11"/>
      <c r="D527" s="11"/>
      <c r="E527" s="12"/>
      <c r="F527" s="41"/>
      <c r="G527" s="30"/>
      <c r="H527" s="30"/>
      <c r="I527" s="11"/>
      <c r="J527" s="11"/>
    </row>
    <row r="528" spans="2:10" s="9" customFormat="1" x14ac:dyDescent="0.2">
      <c r="B528" s="10"/>
      <c r="C528" s="11"/>
      <c r="D528" s="11"/>
      <c r="E528" s="12"/>
      <c r="F528" s="41"/>
      <c r="G528" s="30"/>
      <c r="H528" s="30"/>
      <c r="I528" s="11"/>
      <c r="J528" s="11"/>
    </row>
    <row r="529" spans="2:10" s="9" customFormat="1" x14ac:dyDescent="0.2">
      <c r="B529" s="10"/>
      <c r="C529" s="11"/>
      <c r="D529" s="11"/>
      <c r="E529" s="12"/>
      <c r="F529" s="41"/>
      <c r="G529" s="30"/>
      <c r="H529" s="30"/>
      <c r="I529" s="11"/>
      <c r="J529" s="11"/>
    </row>
    <row r="530" spans="2:10" s="9" customFormat="1" x14ac:dyDescent="0.2">
      <c r="B530" s="10"/>
      <c r="C530" s="11"/>
      <c r="D530" s="11"/>
      <c r="E530" s="12"/>
      <c r="F530" s="41"/>
      <c r="G530" s="30"/>
      <c r="H530" s="30"/>
      <c r="I530" s="11"/>
      <c r="J530" s="11"/>
    </row>
    <row r="531" spans="2:10" s="9" customFormat="1" x14ac:dyDescent="0.2">
      <c r="B531" s="10"/>
      <c r="C531" s="11"/>
      <c r="D531" s="11"/>
      <c r="E531" s="12"/>
      <c r="F531" s="41"/>
      <c r="G531" s="30"/>
      <c r="H531" s="30"/>
      <c r="I531" s="11"/>
      <c r="J531" s="11"/>
    </row>
    <row r="532" spans="2:10" s="9" customFormat="1" x14ac:dyDescent="0.2">
      <c r="B532" s="10"/>
      <c r="C532" s="11"/>
      <c r="D532" s="11"/>
      <c r="E532" s="12"/>
      <c r="F532" s="41"/>
      <c r="G532" s="30"/>
      <c r="H532" s="30"/>
      <c r="I532" s="11"/>
      <c r="J532" s="11"/>
    </row>
    <row r="533" spans="2:10" s="9" customFormat="1" x14ac:dyDescent="0.2">
      <c r="B533" s="10"/>
      <c r="C533" s="11"/>
      <c r="D533" s="11"/>
      <c r="E533" s="12"/>
      <c r="F533" s="41"/>
      <c r="G533" s="30"/>
      <c r="H533" s="30"/>
      <c r="I533" s="11"/>
      <c r="J533" s="11"/>
    </row>
    <row r="534" spans="2:10" s="9" customFormat="1" x14ac:dyDescent="0.2">
      <c r="B534" s="10"/>
      <c r="C534" s="11"/>
      <c r="D534" s="11"/>
      <c r="E534" s="12"/>
      <c r="F534" s="41"/>
      <c r="G534" s="30"/>
      <c r="H534" s="30"/>
      <c r="I534" s="11"/>
      <c r="J534" s="11"/>
    </row>
    <row r="535" spans="2:10" s="9" customFormat="1" x14ac:dyDescent="0.2">
      <c r="B535" s="10"/>
      <c r="C535" s="11"/>
      <c r="D535" s="11"/>
      <c r="E535" s="12"/>
      <c r="F535" s="41"/>
      <c r="G535" s="30"/>
      <c r="H535" s="30"/>
      <c r="I535" s="11"/>
      <c r="J535" s="11"/>
    </row>
    <row r="536" spans="2:10" s="9" customFormat="1" x14ac:dyDescent="0.2">
      <c r="B536" s="10"/>
      <c r="C536" s="11"/>
      <c r="D536" s="11"/>
      <c r="E536" s="12"/>
      <c r="F536" s="41"/>
      <c r="G536" s="30"/>
      <c r="H536" s="30"/>
      <c r="I536" s="11"/>
      <c r="J536" s="11"/>
    </row>
    <row r="537" spans="2:10" s="9" customFormat="1" x14ac:dyDescent="0.2">
      <c r="B537" s="10"/>
      <c r="C537" s="11"/>
      <c r="D537" s="11"/>
      <c r="E537" s="12"/>
      <c r="F537" s="41"/>
      <c r="G537" s="30"/>
      <c r="H537" s="30"/>
      <c r="I537" s="11"/>
      <c r="J537" s="11"/>
    </row>
    <row r="538" spans="2:10" s="9" customFormat="1" x14ac:dyDescent="0.2">
      <c r="B538" s="10"/>
      <c r="C538" s="11"/>
      <c r="D538" s="11"/>
      <c r="E538" s="12"/>
      <c r="F538" s="41"/>
      <c r="G538" s="30"/>
      <c r="H538" s="30"/>
      <c r="I538" s="11"/>
      <c r="J538" s="11"/>
    </row>
    <row r="539" spans="2:10" s="9" customFormat="1" x14ac:dyDescent="0.2">
      <c r="B539" s="10"/>
      <c r="C539" s="11"/>
      <c r="D539" s="11"/>
      <c r="E539" s="12"/>
      <c r="F539" s="41"/>
      <c r="G539" s="30"/>
      <c r="H539" s="30"/>
      <c r="I539" s="11"/>
      <c r="J539" s="11"/>
    </row>
    <row r="540" spans="2:10" s="9" customFormat="1" x14ac:dyDescent="0.2">
      <c r="B540" s="10"/>
      <c r="C540" s="11"/>
      <c r="D540" s="11"/>
      <c r="E540" s="12"/>
      <c r="F540" s="41"/>
      <c r="G540" s="30"/>
      <c r="H540" s="30"/>
      <c r="I540" s="11"/>
      <c r="J540" s="11"/>
    </row>
    <row r="541" spans="2:10" s="9" customFormat="1" x14ac:dyDescent="0.2">
      <c r="B541" s="10"/>
      <c r="C541" s="11"/>
      <c r="D541" s="11"/>
      <c r="E541" s="12"/>
      <c r="F541" s="41"/>
      <c r="G541" s="30"/>
      <c r="H541" s="30"/>
      <c r="I541" s="11"/>
      <c r="J541" s="11"/>
    </row>
    <row r="542" spans="2:10" s="9" customFormat="1" x14ac:dyDescent="0.2">
      <c r="B542" s="10"/>
      <c r="C542" s="11"/>
      <c r="D542" s="11"/>
      <c r="E542" s="12"/>
      <c r="F542" s="41"/>
      <c r="G542" s="30"/>
      <c r="H542" s="30"/>
      <c r="I542" s="11"/>
      <c r="J542" s="11"/>
    </row>
    <row r="543" spans="2:10" s="9" customFormat="1" x14ac:dyDescent="0.2">
      <c r="B543" s="10"/>
      <c r="C543" s="11"/>
      <c r="D543" s="11"/>
      <c r="E543" s="12"/>
      <c r="F543" s="41"/>
      <c r="G543" s="30"/>
      <c r="H543" s="30"/>
      <c r="I543" s="11"/>
      <c r="J543" s="11"/>
    </row>
    <row r="544" spans="2:10" s="9" customFormat="1" x14ac:dyDescent="0.2">
      <c r="B544" s="10"/>
      <c r="C544" s="11"/>
      <c r="D544" s="11"/>
      <c r="E544" s="12"/>
      <c r="F544" s="41"/>
      <c r="G544" s="30"/>
      <c r="H544" s="30"/>
      <c r="I544" s="11"/>
      <c r="J544" s="11"/>
    </row>
    <row r="545" spans="2:10" s="9" customFormat="1" x14ac:dyDescent="0.2">
      <c r="B545" s="10"/>
      <c r="C545" s="11"/>
      <c r="D545" s="11"/>
      <c r="E545" s="12"/>
      <c r="F545" s="41"/>
      <c r="G545" s="30"/>
      <c r="H545" s="30"/>
      <c r="I545" s="11"/>
      <c r="J545" s="11"/>
    </row>
    <row r="546" spans="2:10" s="9" customFormat="1" x14ac:dyDescent="0.2">
      <c r="B546" s="10"/>
      <c r="C546" s="11"/>
      <c r="D546" s="11"/>
      <c r="E546" s="12"/>
      <c r="F546" s="41"/>
      <c r="G546" s="30"/>
      <c r="H546" s="30"/>
      <c r="I546" s="11"/>
      <c r="J546" s="11"/>
    </row>
    <row r="547" spans="2:10" s="9" customFormat="1" x14ac:dyDescent="0.2">
      <c r="B547" s="10"/>
      <c r="C547" s="11"/>
      <c r="D547" s="11"/>
      <c r="E547" s="12"/>
      <c r="F547" s="41"/>
      <c r="G547" s="30"/>
      <c r="H547" s="30"/>
      <c r="I547" s="11"/>
      <c r="J547" s="11"/>
    </row>
    <row r="548" spans="2:10" s="9" customFormat="1" x14ac:dyDescent="0.2">
      <c r="B548" s="10"/>
      <c r="C548" s="11"/>
      <c r="D548" s="11"/>
      <c r="E548" s="12"/>
      <c r="F548" s="41"/>
      <c r="G548" s="30"/>
      <c r="H548" s="30"/>
      <c r="I548" s="11"/>
      <c r="J548" s="11"/>
    </row>
    <row r="549" spans="2:10" s="9" customFormat="1" x14ac:dyDescent="0.2">
      <c r="B549" s="10"/>
      <c r="C549" s="11"/>
      <c r="D549" s="11"/>
      <c r="E549" s="12"/>
      <c r="F549" s="41"/>
      <c r="G549" s="30"/>
      <c r="H549" s="30"/>
      <c r="I549" s="11"/>
      <c r="J549" s="11"/>
    </row>
    <row r="550" spans="2:10" s="9" customFormat="1" x14ac:dyDescent="0.2">
      <c r="B550" s="10"/>
      <c r="C550" s="11"/>
      <c r="D550" s="11"/>
      <c r="E550" s="12"/>
      <c r="F550" s="41"/>
      <c r="G550" s="30"/>
      <c r="H550" s="30"/>
      <c r="I550" s="11"/>
      <c r="J550" s="11"/>
    </row>
    <row r="551" spans="2:10" s="9" customFormat="1" x14ac:dyDescent="0.2">
      <c r="B551" s="10"/>
      <c r="C551" s="11"/>
      <c r="D551" s="11"/>
      <c r="E551" s="12"/>
      <c r="F551" s="41"/>
      <c r="G551" s="30"/>
      <c r="H551" s="30"/>
      <c r="I551" s="11"/>
      <c r="J551" s="11"/>
    </row>
    <row r="552" spans="2:10" s="9" customFormat="1" x14ac:dyDescent="0.2">
      <c r="B552" s="10"/>
      <c r="C552" s="11"/>
      <c r="D552" s="11"/>
      <c r="E552" s="12"/>
      <c r="F552" s="41"/>
      <c r="G552" s="30"/>
      <c r="H552" s="30"/>
      <c r="I552" s="11"/>
      <c r="J552" s="11"/>
    </row>
    <row r="553" spans="2:10" s="9" customFormat="1" x14ac:dyDescent="0.2">
      <c r="B553" s="10"/>
      <c r="C553" s="11"/>
      <c r="D553" s="11"/>
      <c r="E553" s="12"/>
      <c r="F553" s="41"/>
      <c r="G553" s="30"/>
      <c r="H553" s="30"/>
      <c r="I553" s="11"/>
      <c r="J553" s="11"/>
    </row>
    <row r="554" spans="2:10" s="9" customFormat="1" x14ac:dyDescent="0.2">
      <c r="B554" s="10"/>
      <c r="C554" s="11"/>
      <c r="D554" s="11"/>
      <c r="E554" s="12"/>
      <c r="F554" s="41"/>
      <c r="G554" s="30"/>
      <c r="H554" s="30"/>
      <c r="I554" s="11"/>
      <c r="J554" s="11"/>
    </row>
    <row r="555" spans="2:10" s="9" customFormat="1" x14ac:dyDescent="0.2">
      <c r="B555" s="10"/>
      <c r="C555" s="11"/>
      <c r="D555" s="11"/>
      <c r="E555" s="12"/>
      <c r="F555" s="41"/>
      <c r="G555" s="30"/>
      <c r="H555" s="30"/>
      <c r="I555" s="11"/>
      <c r="J555" s="11"/>
    </row>
    <row r="556" spans="2:10" s="9" customFormat="1" x14ac:dyDescent="0.2">
      <c r="B556" s="10"/>
      <c r="C556" s="11"/>
      <c r="D556" s="11"/>
      <c r="E556" s="12"/>
      <c r="F556" s="41"/>
      <c r="G556" s="30"/>
      <c r="H556" s="30"/>
      <c r="I556" s="11"/>
      <c r="J556" s="11"/>
    </row>
    <row r="557" spans="2:10" s="9" customFormat="1" x14ac:dyDescent="0.2">
      <c r="B557" s="10"/>
      <c r="C557" s="11"/>
      <c r="D557" s="11"/>
      <c r="E557" s="12"/>
      <c r="F557" s="41"/>
      <c r="G557" s="30"/>
      <c r="H557" s="30"/>
      <c r="I557" s="11"/>
      <c r="J557" s="11"/>
    </row>
    <row r="558" spans="2:10" s="9" customFormat="1" x14ac:dyDescent="0.2">
      <c r="B558" s="10"/>
      <c r="C558" s="11"/>
      <c r="D558" s="11"/>
      <c r="E558" s="12"/>
      <c r="F558" s="41"/>
      <c r="G558" s="30"/>
      <c r="H558" s="30"/>
      <c r="I558" s="11"/>
      <c r="J558" s="11"/>
    </row>
    <row r="559" spans="2:10" s="9" customFormat="1" x14ac:dyDescent="0.2">
      <c r="B559" s="10"/>
      <c r="C559" s="11"/>
      <c r="D559" s="11"/>
      <c r="E559" s="12"/>
      <c r="F559" s="41"/>
      <c r="G559" s="30"/>
      <c r="H559" s="30"/>
      <c r="I559" s="11"/>
      <c r="J559" s="11"/>
    </row>
    <row r="560" spans="2:10" s="9" customFormat="1" x14ac:dyDescent="0.2">
      <c r="B560" s="10"/>
      <c r="C560" s="11"/>
      <c r="D560" s="11"/>
      <c r="E560" s="12"/>
      <c r="F560" s="41"/>
      <c r="G560" s="30"/>
      <c r="H560" s="30"/>
      <c r="I560" s="11"/>
      <c r="J560" s="11"/>
    </row>
    <row r="561" spans="2:10" s="9" customFormat="1" x14ac:dyDescent="0.2">
      <c r="B561" s="10"/>
      <c r="C561" s="11"/>
      <c r="D561" s="11"/>
      <c r="E561" s="12"/>
      <c r="F561" s="41"/>
      <c r="G561" s="30"/>
      <c r="H561" s="30"/>
      <c r="I561" s="11"/>
      <c r="J561" s="11"/>
    </row>
    <row r="562" spans="2:10" s="9" customFormat="1" x14ac:dyDescent="0.2">
      <c r="B562" s="10"/>
      <c r="C562" s="11"/>
      <c r="D562" s="11"/>
      <c r="E562" s="12"/>
      <c r="F562" s="41"/>
      <c r="G562" s="30"/>
      <c r="H562" s="30"/>
      <c r="I562" s="11"/>
      <c r="J562" s="11"/>
    </row>
    <row r="563" spans="2:10" s="9" customFormat="1" x14ac:dyDescent="0.2">
      <c r="B563" s="10"/>
      <c r="C563" s="11"/>
      <c r="D563" s="11"/>
      <c r="E563" s="12"/>
      <c r="F563" s="41"/>
      <c r="G563" s="30"/>
      <c r="H563" s="30"/>
      <c r="I563" s="11"/>
      <c r="J563" s="11"/>
    </row>
    <row r="564" spans="2:10" s="9" customFormat="1" x14ac:dyDescent="0.2">
      <c r="B564" s="10"/>
      <c r="C564" s="11"/>
      <c r="D564" s="11"/>
      <c r="E564" s="12"/>
      <c r="F564" s="41"/>
      <c r="G564" s="30"/>
      <c r="H564" s="30"/>
      <c r="I564" s="11"/>
      <c r="J564" s="11"/>
    </row>
    <row r="565" spans="2:10" s="9" customFormat="1" x14ac:dyDescent="0.2">
      <c r="B565" s="10"/>
      <c r="C565" s="11"/>
      <c r="D565" s="11"/>
      <c r="E565" s="12"/>
      <c r="F565" s="41"/>
      <c r="G565" s="30"/>
      <c r="H565" s="30"/>
      <c r="I565" s="11"/>
      <c r="J565" s="11"/>
    </row>
    <row r="566" spans="2:10" s="9" customFormat="1" x14ac:dyDescent="0.2">
      <c r="B566" s="10"/>
      <c r="C566" s="11"/>
      <c r="D566" s="11"/>
      <c r="E566" s="12"/>
      <c r="F566" s="41"/>
      <c r="G566" s="30"/>
      <c r="H566" s="30"/>
      <c r="I566" s="11"/>
      <c r="J566" s="11"/>
    </row>
    <row r="567" spans="2:10" s="9" customFormat="1" x14ac:dyDescent="0.2">
      <c r="B567" s="10"/>
      <c r="C567" s="11"/>
      <c r="D567" s="11"/>
      <c r="E567" s="12"/>
      <c r="F567" s="41"/>
      <c r="G567" s="30"/>
      <c r="H567" s="30"/>
      <c r="I567" s="11"/>
      <c r="J567" s="11"/>
    </row>
    <row r="568" spans="2:10" s="9" customFormat="1" x14ac:dyDescent="0.2">
      <c r="B568" s="10"/>
      <c r="C568" s="11"/>
      <c r="D568" s="11"/>
      <c r="E568" s="12"/>
      <c r="F568" s="41"/>
      <c r="G568" s="30"/>
      <c r="H568" s="30"/>
      <c r="I568" s="11"/>
      <c r="J568" s="11"/>
    </row>
    <row r="569" spans="2:10" s="9" customFormat="1" x14ac:dyDescent="0.2">
      <c r="B569" s="10"/>
      <c r="C569" s="11"/>
      <c r="D569" s="11"/>
      <c r="E569" s="12"/>
      <c r="F569" s="41"/>
      <c r="G569" s="30"/>
      <c r="H569" s="30"/>
      <c r="I569" s="11"/>
      <c r="J569" s="11"/>
    </row>
    <row r="570" spans="2:10" s="9" customFormat="1" x14ac:dyDescent="0.2">
      <c r="B570" s="10"/>
      <c r="C570" s="11"/>
      <c r="D570" s="11"/>
      <c r="E570" s="12"/>
      <c r="F570" s="41"/>
      <c r="G570" s="30"/>
      <c r="H570" s="30"/>
      <c r="I570" s="11"/>
      <c r="J570" s="11"/>
    </row>
    <row r="571" spans="2:10" s="9" customFormat="1" x14ac:dyDescent="0.2">
      <c r="B571" s="10"/>
      <c r="C571" s="11"/>
      <c r="D571" s="11"/>
      <c r="E571" s="12"/>
      <c r="F571" s="41"/>
      <c r="G571" s="30"/>
      <c r="H571" s="30"/>
      <c r="I571" s="11"/>
      <c r="J571" s="11"/>
    </row>
    <row r="572" spans="2:10" s="9" customFormat="1" x14ac:dyDescent="0.2">
      <c r="B572" s="10"/>
      <c r="C572" s="11"/>
      <c r="D572" s="11"/>
      <c r="E572" s="12"/>
      <c r="F572" s="41"/>
      <c r="G572" s="30"/>
      <c r="H572" s="30"/>
      <c r="I572" s="11"/>
      <c r="J572" s="11"/>
    </row>
    <row r="573" spans="2:10" s="9" customFormat="1" x14ac:dyDescent="0.2">
      <c r="B573" s="10"/>
      <c r="C573" s="11"/>
      <c r="D573" s="11"/>
      <c r="E573" s="12"/>
      <c r="F573" s="41"/>
      <c r="G573" s="30"/>
      <c r="H573" s="30"/>
      <c r="I573" s="11"/>
      <c r="J573" s="11"/>
    </row>
    <row r="574" spans="2:10" s="9" customFormat="1" x14ac:dyDescent="0.2">
      <c r="B574" s="10"/>
      <c r="C574" s="11"/>
      <c r="D574" s="11"/>
      <c r="E574" s="12"/>
      <c r="F574" s="41"/>
      <c r="G574" s="30"/>
      <c r="H574" s="30"/>
      <c r="I574" s="11"/>
      <c r="J574" s="11"/>
    </row>
    <row r="575" spans="2:10" s="9" customFormat="1" x14ac:dyDescent="0.2">
      <c r="B575" s="10"/>
      <c r="C575" s="11"/>
      <c r="D575" s="11"/>
      <c r="E575" s="12"/>
      <c r="F575" s="41"/>
      <c r="G575" s="30"/>
      <c r="H575" s="30"/>
      <c r="I575" s="11"/>
      <c r="J575" s="11"/>
    </row>
    <row r="576" spans="2:10" s="9" customFormat="1" x14ac:dyDescent="0.2">
      <c r="B576" s="10"/>
      <c r="C576" s="11"/>
      <c r="D576" s="11"/>
      <c r="E576" s="12"/>
      <c r="F576" s="41"/>
      <c r="G576" s="30"/>
      <c r="H576" s="30"/>
      <c r="I576" s="11"/>
      <c r="J576" s="11"/>
    </row>
    <row r="577" spans="2:10" s="9" customFormat="1" x14ac:dyDescent="0.2">
      <c r="B577" s="10"/>
      <c r="C577" s="11"/>
      <c r="D577" s="11"/>
      <c r="E577" s="12"/>
      <c r="F577" s="41"/>
      <c r="G577" s="30"/>
      <c r="H577" s="30"/>
      <c r="I577" s="11"/>
      <c r="J577" s="11"/>
    </row>
    <row r="578" spans="2:10" s="9" customFormat="1" x14ac:dyDescent="0.2">
      <c r="B578" s="10"/>
      <c r="C578" s="11"/>
      <c r="D578" s="11"/>
      <c r="E578" s="12"/>
      <c r="F578" s="41"/>
      <c r="G578" s="30"/>
      <c r="H578" s="30"/>
      <c r="I578" s="11"/>
      <c r="J578" s="11"/>
    </row>
    <row r="579" spans="2:10" s="9" customFormat="1" x14ac:dyDescent="0.2">
      <c r="B579" s="10"/>
      <c r="C579" s="11"/>
      <c r="D579" s="11"/>
      <c r="E579" s="12"/>
      <c r="F579" s="41"/>
      <c r="G579" s="30"/>
      <c r="H579" s="30"/>
      <c r="I579" s="11"/>
      <c r="J579" s="11"/>
    </row>
    <row r="580" spans="2:10" s="9" customFormat="1" x14ac:dyDescent="0.2">
      <c r="B580" s="10"/>
      <c r="C580" s="11"/>
      <c r="D580" s="11"/>
      <c r="E580" s="12"/>
      <c r="F580" s="41"/>
      <c r="G580" s="30"/>
      <c r="H580" s="30"/>
      <c r="I580" s="11"/>
      <c r="J580" s="11"/>
    </row>
    <row r="581" spans="2:10" s="9" customFormat="1" x14ac:dyDescent="0.2">
      <c r="B581" s="10"/>
      <c r="C581" s="11"/>
      <c r="D581" s="11"/>
      <c r="E581" s="12"/>
      <c r="F581" s="41"/>
      <c r="G581" s="30"/>
      <c r="H581" s="30"/>
      <c r="I581" s="11"/>
      <c r="J581" s="11"/>
    </row>
    <row r="582" spans="2:10" s="9" customFormat="1" x14ac:dyDescent="0.2">
      <c r="B582" s="10"/>
      <c r="C582" s="11"/>
      <c r="D582" s="11"/>
      <c r="E582" s="12"/>
      <c r="F582" s="41"/>
      <c r="G582" s="30"/>
      <c r="H582" s="30"/>
      <c r="I582" s="11"/>
      <c r="J582" s="11"/>
    </row>
    <row r="583" spans="2:10" s="9" customFormat="1" x14ac:dyDescent="0.2">
      <c r="B583" s="10"/>
      <c r="C583" s="11"/>
      <c r="D583" s="11"/>
      <c r="E583" s="12"/>
      <c r="F583" s="41"/>
      <c r="G583" s="30"/>
      <c r="H583" s="30"/>
      <c r="I583" s="11"/>
      <c r="J583" s="11"/>
    </row>
    <row r="584" spans="2:10" s="9" customFormat="1" x14ac:dyDescent="0.2">
      <c r="B584" s="10"/>
      <c r="C584" s="11"/>
      <c r="D584" s="11"/>
      <c r="E584" s="12"/>
      <c r="F584" s="41"/>
      <c r="G584" s="30"/>
      <c r="H584" s="30"/>
      <c r="I584" s="11"/>
      <c r="J584" s="11"/>
    </row>
    <row r="585" spans="2:10" s="9" customFormat="1" x14ac:dyDescent="0.2">
      <c r="B585" s="10"/>
      <c r="C585" s="11"/>
      <c r="D585" s="11"/>
      <c r="E585" s="12"/>
      <c r="F585" s="41"/>
      <c r="G585" s="30"/>
      <c r="H585" s="30"/>
      <c r="I585" s="11"/>
      <c r="J585" s="11"/>
    </row>
    <row r="586" spans="2:10" s="9" customFormat="1" x14ac:dyDescent="0.2">
      <c r="B586" s="10"/>
      <c r="C586" s="11"/>
      <c r="D586" s="11"/>
      <c r="E586" s="12"/>
      <c r="F586" s="41"/>
      <c r="G586" s="30"/>
      <c r="H586" s="30"/>
      <c r="I586" s="11"/>
      <c r="J586" s="11"/>
    </row>
    <row r="587" spans="2:10" s="9" customFormat="1" x14ac:dyDescent="0.2">
      <c r="B587" s="10"/>
      <c r="C587" s="11"/>
      <c r="D587" s="11"/>
      <c r="E587" s="12"/>
      <c r="F587" s="41"/>
      <c r="G587" s="30"/>
      <c r="H587" s="30"/>
      <c r="I587" s="11"/>
      <c r="J587" s="11"/>
    </row>
    <row r="588" spans="2:10" s="9" customFormat="1" x14ac:dyDescent="0.2">
      <c r="B588" s="10"/>
      <c r="C588" s="11"/>
      <c r="D588" s="11"/>
      <c r="E588" s="12"/>
      <c r="F588" s="41"/>
      <c r="G588" s="30"/>
      <c r="H588" s="30"/>
      <c r="I588" s="11"/>
      <c r="J588" s="11"/>
    </row>
    <row r="589" spans="2:10" s="9" customFormat="1" x14ac:dyDescent="0.2">
      <c r="B589" s="10"/>
      <c r="C589" s="11"/>
      <c r="D589" s="11"/>
      <c r="E589" s="12"/>
      <c r="F589" s="41"/>
      <c r="G589" s="30"/>
      <c r="H589" s="30"/>
      <c r="I589" s="11"/>
      <c r="J589" s="11"/>
    </row>
    <row r="590" spans="2:10" s="9" customFormat="1" x14ac:dyDescent="0.2">
      <c r="B590" s="10"/>
      <c r="C590" s="11"/>
      <c r="D590" s="11"/>
      <c r="E590" s="12"/>
      <c r="F590" s="41"/>
      <c r="G590" s="30"/>
      <c r="H590" s="30"/>
      <c r="I590" s="11"/>
      <c r="J590" s="11"/>
    </row>
    <row r="591" spans="2:10" s="9" customFormat="1" x14ac:dyDescent="0.2">
      <c r="B591" s="10"/>
      <c r="C591" s="11"/>
      <c r="D591" s="11"/>
      <c r="E591" s="12"/>
      <c r="F591" s="41"/>
      <c r="G591" s="30"/>
      <c r="H591" s="30"/>
      <c r="I591" s="11"/>
      <c r="J591" s="11"/>
    </row>
    <row r="592" spans="2:10" s="9" customFormat="1" x14ac:dyDescent="0.2">
      <c r="B592" s="10"/>
      <c r="C592" s="11"/>
      <c r="D592" s="11"/>
      <c r="E592" s="12"/>
      <c r="F592" s="41"/>
      <c r="G592" s="30"/>
      <c r="H592" s="30"/>
      <c r="I592" s="11"/>
      <c r="J592" s="11"/>
    </row>
    <row r="593" spans="2:10" s="9" customFormat="1" x14ac:dyDescent="0.2">
      <c r="B593" s="10"/>
      <c r="C593" s="11"/>
      <c r="D593" s="11"/>
      <c r="E593" s="12"/>
      <c r="F593" s="41"/>
      <c r="G593" s="30"/>
      <c r="H593" s="30"/>
      <c r="I593" s="11"/>
      <c r="J593" s="11"/>
    </row>
    <row r="594" spans="2:10" s="9" customFormat="1" x14ac:dyDescent="0.2">
      <c r="B594" s="10"/>
      <c r="C594" s="11"/>
      <c r="D594" s="11"/>
      <c r="E594" s="12"/>
      <c r="F594" s="41"/>
      <c r="G594" s="30"/>
      <c r="H594" s="30"/>
      <c r="I594" s="11"/>
      <c r="J594" s="11"/>
    </row>
    <row r="595" spans="2:10" s="9" customFormat="1" x14ac:dyDescent="0.2">
      <c r="B595" s="10"/>
      <c r="C595" s="11"/>
      <c r="D595" s="11"/>
      <c r="E595" s="12"/>
      <c r="F595" s="41"/>
      <c r="G595" s="30"/>
      <c r="H595" s="30"/>
      <c r="I595" s="11"/>
      <c r="J595" s="11"/>
    </row>
    <row r="596" spans="2:10" s="9" customFormat="1" x14ac:dyDescent="0.2">
      <c r="B596" s="10"/>
      <c r="C596" s="11"/>
      <c r="D596" s="11"/>
      <c r="E596" s="12"/>
      <c r="F596" s="41"/>
      <c r="G596" s="30"/>
      <c r="H596" s="30"/>
      <c r="I596" s="11"/>
      <c r="J596" s="11"/>
    </row>
    <row r="597" spans="2:10" s="9" customFormat="1" x14ac:dyDescent="0.2">
      <c r="B597" s="10"/>
      <c r="C597" s="11"/>
      <c r="D597" s="11"/>
      <c r="E597" s="12"/>
      <c r="F597" s="41"/>
      <c r="G597" s="30"/>
      <c r="H597" s="30"/>
      <c r="I597" s="11"/>
      <c r="J597" s="11"/>
    </row>
    <row r="598" spans="2:10" s="9" customFormat="1" x14ac:dyDescent="0.2">
      <c r="B598" s="10"/>
      <c r="C598" s="11"/>
      <c r="D598" s="11"/>
      <c r="E598" s="12"/>
      <c r="F598" s="41"/>
      <c r="G598" s="30"/>
      <c r="H598" s="30"/>
      <c r="I598" s="11"/>
      <c r="J598" s="11"/>
    </row>
    <row r="599" spans="2:10" s="9" customFormat="1" x14ac:dyDescent="0.2">
      <c r="B599" s="10"/>
      <c r="C599" s="11"/>
      <c r="D599" s="11"/>
      <c r="E599" s="12"/>
      <c r="F599" s="41"/>
      <c r="G599" s="30"/>
      <c r="H599" s="30"/>
      <c r="I599" s="11"/>
      <c r="J599" s="11"/>
    </row>
    <row r="600" spans="2:10" s="9" customFormat="1" x14ac:dyDescent="0.2">
      <c r="B600" s="10"/>
      <c r="C600" s="11"/>
      <c r="D600" s="11"/>
      <c r="E600" s="12"/>
      <c r="F600" s="41"/>
      <c r="G600" s="30"/>
      <c r="H600" s="30"/>
      <c r="I600" s="11"/>
      <c r="J600" s="11"/>
    </row>
    <row r="601" spans="2:10" s="9" customFormat="1" x14ac:dyDescent="0.2">
      <c r="B601" s="10"/>
      <c r="C601" s="11"/>
      <c r="D601" s="11"/>
      <c r="E601" s="12"/>
      <c r="F601" s="41"/>
      <c r="G601" s="30"/>
      <c r="H601" s="30"/>
      <c r="I601" s="11"/>
      <c r="J601" s="11"/>
    </row>
    <row r="602" spans="2:10" s="9" customFormat="1" x14ac:dyDescent="0.2">
      <c r="B602" s="10"/>
      <c r="C602" s="11"/>
      <c r="D602" s="11"/>
      <c r="E602" s="12"/>
      <c r="F602" s="41"/>
      <c r="G602" s="30"/>
      <c r="H602" s="30"/>
      <c r="I602" s="11"/>
      <c r="J602" s="11"/>
    </row>
    <row r="603" spans="2:10" s="9" customFormat="1" x14ac:dyDescent="0.2">
      <c r="B603" s="10"/>
      <c r="C603" s="11"/>
      <c r="D603" s="11"/>
      <c r="E603" s="12"/>
      <c r="F603" s="41"/>
      <c r="G603" s="30"/>
      <c r="H603" s="30"/>
      <c r="I603" s="11"/>
      <c r="J603" s="11"/>
    </row>
    <row r="604" spans="2:10" s="9" customFormat="1" x14ac:dyDescent="0.2">
      <c r="B604" s="10"/>
      <c r="C604" s="11"/>
      <c r="D604" s="11"/>
      <c r="E604" s="12"/>
      <c r="F604" s="41"/>
      <c r="G604" s="30"/>
      <c r="H604" s="30"/>
      <c r="I604" s="11"/>
      <c r="J604" s="11"/>
    </row>
    <row r="605" spans="2:10" s="9" customFormat="1" x14ac:dyDescent="0.2">
      <c r="B605" s="10"/>
      <c r="C605" s="11"/>
      <c r="D605" s="11"/>
      <c r="E605" s="12"/>
      <c r="F605" s="41"/>
      <c r="G605" s="30"/>
      <c r="H605" s="30"/>
      <c r="I605" s="11"/>
      <c r="J605" s="11"/>
    </row>
    <row r="606" spans="2:10" s="9" customFormat="1" x14ac:dyDescent="0.2">
      <c r="B606" s="10"/>
      <c r="C606" s="11"/>
      <c r="D606" s="11"/>
      <c r="E606" s="12"/>
      <c r="F606" s="41"/>
      <c r="G606" s="30"/>
      <c r="H606" s="30"/>
      <c r="I606" s="11"/>
      <c r="J606" s="11"/>
    </row>
    <row r="607" spans="2:10" s="9" customFormat="1" x14ac:dyDescent="0.2">
      <c r="B607" s="10"/>
      <c r="C607" s="11"/>
      <c r="D607" s="11"/>
      <c r="E607" s="12"/>
      <c r="F607" s="41"/>
      <c r="G607" s="30"/>
      <c r="H607" s="30"/>
      <c r="I607" s="11"/>
      <c r="J607" s="11"/>
    </row>
    <row r="608" spans="2:10" s="9" customFormat="1" x14ac:dyDescent="0.2">
      <c r="B608" s="10"/>
      <c r="C608" s="11"/>
      <c r="D608" s="11"/>
      <c r="E608" s="12"/>
      <c r="F608" s="41"/>
      <c r="G608" s="30"/>
      <c r="H608" s="30"/>
      <c r="I608" s="11"/>
      <c r="J608" s="11"/>
    </row>
    <row r="609" spans="2:10" s="9" customFormat="1" x14ac:dyDescent="0.2">
      <c r="B609" s="10"/>
      <c r="C609" s="11"/>
      <c r="D609" s="11"/>
      <c r="E609" s="12"/>
      <c r="F609" s="41"/>
      <c r="G609" s="30"/>
      <c r="H609" s="30"/>
      <c r="I609" s="11"/>
      <c r="J609" s="11"/>
    </row>
    <row r="610" spans="2:10" s="9" customFormat="1" x14ac:dyDescent="0.2">
      <c r="B610" s="10"/>
      <c r="C610" s="11"/>
      <c r="D610" s="11"/>
      <c r="E610" s="12"/>
      <c r="F610" s="41"/>
      <c r="G610" s="30"/>
      <c r="H610" s="30"/>
      <c r="I610" s="11"/>
      <c r="J610" s="11"/>
    </row>
    <row r="611" spans="2:10" s="9" customFormat="1" x14ac:dyDescent="0.2">
      <c r="B611" s="10"/>
      <c r="C611" s="11"/>
      <c r="D611" s="11"/>
      <c r="E611" s="12"/>
      <c r="F611" s="41"/>
      <c r="G611" s="30"/>
      <c r="H611" s="30"/>
      <c r="I611" s="11"/>
      <c r="J611" s="11"/>
    </row>
    <row r="612" spans="2:10" s="9" customFormat="1" x14ac:dyDescent="0.2">
      <c r="B612" s="10"/>
      <c r="C612" s="11"/>
      <c r="D612" s="11"/>
      <c r="E612" s="12"/>
      <c r="F612" s="41"/>
      <c r="G612" s="30"/>
      <c r="H612" s="30"/>
      <c r="I612" s="11"/>
      <c r="J612" s="11"/>
    </row>
    <row r="613" spans="2:10" s="9" customFormat="1" x14ac:dyDescent="0.2">
      <c r="B613" s="10"/>
      <c r="C613" s="11"/>
      <c r="D613" s="11"/>
      <c r="E613" s="12"/>
      <c r="F613" s="41"/>
      <c r="G613" s="30"/>
      <c r="H613" s="30"/>
      <c r="I613" s="11"/>
      <c r="J613" s="11"/>
    </row>
    <row r="614" spans="2:10" s="9" customFormat="1" x14ac:dyDescent="0.2">
      <c r="B614" s="10"/>
      <c r="C614" s="11"/>
      <c r="D614" s="11"/>
      <c r="E614" s="12"/>
      <c r="F614" s="41"/>
      <c r="G614" s="30"/>
      <c r="H614" s="30"/>
      <c r="I614" s="11"/>
      <c r="J614" s="11"/>
    </row>
    <row r="615" spans="2:10" s="9" customFormat="1" x14ac:dyDescent="0.2">
      <c r="B615" s="10"/>
      <c r="C615" s="11"/>
      <c r="D615" s="11"/>
      <c r="E615" s="12"/>
      <c r="F615" s="41"/>
      <c r="G615" s="30"/>
      <c r="H615" s="30"/>
      <c r="I615" s="11"/>
      <c r="J615" s="11"/>
    </row>
    <row r="616" spans="2:10" s="9" customFormat="1" x14ac:dyDescent="0.2">
      <c r="B616" s="10"/>
      <c r="C616" s="11"/>
      <c r="D616" s="11"/>
      <c r="E616" s="12"/>
      <c r="F616" s="41"/>
      <c r="G616" s="30"/>
      <c r="H616" s="30"/>
      <c r="I616" s="11"/>
      <c r="J616" s="11"/>
    </row>
    <row r="617" spans="2:10" s="9" customFormat="1" x14ac:dyDescent="0.2">
      <c r="B617" s="10"/>
      <c r="C617" s="11"/>
      <c r="D617" s="11"/>
      <c r="E617" s="12"/>
      <c r="F617" s="41"/>
      <c r="G617" s="30"/>
      <c r="H617" s="30"/>
      <c r="I617" s="11"/>
      <c r="J617" s="11"/>
    </row>
    <row r="618" spans="2:10" s="9" customFormat="1" x14ac:dyDescent="0.2">
      <c r="B618" s="10"/>
      <c r="C618" s="11"/>
      <c r="D618" s="11"/>
      <c r="E618" s="12"/>
      <c r="F618" s="41"/>
      <c r="G618" s="30"/>
      <c r="H618" s="30"/>
      <c r="I618" s="11"/>
      <c r="J618" s="11"/>
    </row>
    <row r="619" spans="2:10" s="9" customFormat="1" x14ac:dyDescent="0.2">
      <c r="B619" s="10"/>
      <c r="C619" s="11"/>
      <c r="D619" s="11"/>
      <c r="E619" s="12"/>
      <c r="F619" s="41"/>
      <c r="G619" s="30"/>
      <c r="H619" s="30"/>
      <c r="I619" s="11"/>
      <c r="J619" s="11"/>
    </row>
    <row r="620" spans="2:10" s="9" customFormat="1" x14ac:dyDescent="0.2">
      <c r="B620" s="10"/>
      <c r="C620" s="11"/>
      <c r="D620" s="11"/>
      <c r="E620" s="12"/>
      <c r="F620" s="41"/>
      <c r="G620" s="30"/>
      <c r="H620" s="30"/>
      <c r="I620" s="11"/>
      <c r="J620" s="11"/>
    </row>
    <row r="621" spans="2:10" s="9" customFormat="1" x14ac:dyDescent="0.2">
      <c r="B621" s="10"/>
      <c r="C621" s="11"/>
      <c r="D621" s="11"/>
      <c r="E621" s="12"/>
      <c r="F621" s="41"/>
      <c r="G621" s="30"/>
      <c r="H621" s="30"/>
      <c r="I621" s="11"/>
      <c r="J621" s="11"/>
    </row>
    <row r="622" spans="2:10" s="9" customFormat="1" x14ac:dyDescent="0.2">
      <c r="B622" s="10"/>
      <c r="C622" s="11"/>
      <c r="D622" s="11"/>
      <c r="E622" s="12"/>
      <c r="F622" s="41"/>
      <c r="G622" s="30"/>
      <c r="H622" s="30"/>
      <c r="I622" s="11"/>
      <c r="J622" s="11"/>
    </row>
    <row r="623" spans="2:10" s="9" customFormat="1" x14ac:dyDescent="0.2">
      <c r="B623" s="10"/>
      <c r="C623" s="11"/>
      <c r="D623" s="11"/>
      <c r="E623" s="12"/>
      <c r="F623" s="41"/>
      <c r="G623" s="30"/>
      <c r="H623" s="30"/>
      <c r="I623" s="11"/>
      <c r="J623" s="11"/>
    </row>
    <row r="624" spans="2:10" s="9" customFormat="1" x14ac:dyDescent="0.2">
      <c r="B624" s="10"/>
      <c r="C624" s="11"/>
      <c r="D624" s="11"/>
      <c r="E624" s="12"/>
      <c r="F624" s="41"/>
      <c r="G624" s="30"/>
      <c r="H624" s="30"/>
      <c r="I624" s="11"/>
      <c r="J624" s="11"/>
    </row>
    <row r="625" spans="2:10" s="9" customFormat="1" x14ac:dyDescent="0.2">
      <c r="B625" s="10"/>
      <c r="C625" s="11"/>
      <c r="D625" s="11"/>
      <c r="E625" s="12"/>
      <c r="F625" s="41"/>
      <c r="G625" s="30"/>
      <c r="H625" s="30"/>
      <c r="I625" s="11"/>
      <c r="J625" s="11"/>
    </row>
    <row r="626" spans="2:10" s="9" customFormat="1" x14ac:dyDescent="0.2">
      <c r="B626" s="10"/>
      <c r="C626" s="11"/>
      <c r="D626" s="11"/>
      <c r="E626" s="12"/>
      <c r="F626" s="41"/>
      <c r="G626" s="30"/>
      <c r="H626" s="30"/>
      <c r="I626" s="11"/>
      <c r="J626" s="11"/>
    </row>
    <row r="627" spans="2:10" s="9" customFormat="1" x14ac:dyDescent="0.2">
      <c r="B627" s="10"/>
      <c r="C627" s="11"/>
      <c r="D627" s="11"/>
      <c r="E627" s="12"/>
      <c r="F627" s="41"/>
      <c r="G627" s="30"/>
      <c r="H627" s="30"/>
      <c r="I627" s="11"/>
      <c r="J627" s="11"/>
    </row>
    <row r="628" spans="2:10" s="9" customFormat="1" x14ac:dyDescent="0.2">
      <c r="B628" s="10"/>
      <c r="C628" s="11"/>
      <c r="D628" s="11"/>
      <c r="E628" s="12"/>
      <c r="F628" s="41"/>
      <c r="G628" s="30"/>
      <c r="H628" s="30"/>
      <c r="I628" s="11"/>
      <c r="J628" s="11"/>
    </row>
    <row r="629" spans="2:10" s="9" customFormat="1" x14ac:dyDescent="0.2">
      <c r="B629" s="10"/>
      <c r="C629" s="11"/>
      <c r="D629" s="11"/>
      <c r="E629" s="12"/>
      <c r="F629" s="41"/>
      <c r="G629" s="30"/>
      <c r="H629" s="30"/>
      <c r="I629" s="11"/>
      <c r="J629" s="11"/>
    </row>
    <row r="630" spans="2:10" s="9" customFormat="1" x14ac:dyDescent="0.2">
      <c r="B630" s="10"/>
      <c r="C630" s="11"/>
      <c r="D630" s="11"/>
      <c r="E630" s="12"/>
      <c r="F630" s="41"/>
      <c r="G630" s="30"/>
      <c r="H630" s="30"/>
      <c r="I630" s="11"/>
      <c r="J630" s="11"/>
    </row>
    <row r="631" spans="2:10" s="9" customFormat="1" x14ac:dyDescent="0.2">
      <c r="B631" s="10"/>
      <c r="C631" s="11"/>
      <c r="D631" s="11"/>
      <c r="E631" s="12"/>
      <c r="F631" s="41"/>
      <c r="G631" s="30"/>
      <c r="H631" s="30"/>
      <c r="I631" s="11"/>
      <c r="J631" s="11"/>
    </row>
    <row r="632" spans="2:10" s="9" customFormat="1" x14ac:dyDescent="0.2">
      <c r="B632" s="10"/>
      <c r="C632" s="11"/>
      <c r="D632" s="11"/>
      <c r="E632" s="12"/>
      <c r="F632" s="41"/>
      <c r="G632" s="30"/>
      <c r="H632" s="30"/>
      <c r="I632" s="11"/>
      <c r="J632" s="11"/>
    </row>
    <row r="633" spans="2:10" s="9" customFormat="1" x14ac:dyDescent="0.2">
      <c r="B633" s="10"/>
      <c r="C633" s="11"/>
      <c r="D633" s="11"/>
      <c r="E633" s="12"/>
      <c r="F633" s="41"/>
      <c r="G633" s="30"/>
      <c r="H633" s="30"/>
      <c r="I633" s="11"/>
      <c r="J633" s="11"/>
    </row>
    <row r="634" spans="2:10" s="9" customFormat="1" x14ac:dyDescent="0.2">
      <c r="B634" s="10"/>
      <c r="C634" s="11"/>
      <c r="D634" s="11"/>
      <c r="E634" s="12"/>
      <c r="F634" s="41"/>
      <c r="G634" s="30"/>
      <c r="H634" s="30"/>
      <c r="I634" s="11"/>
      <c r="J634" s="11"/>
    </row>
    <row r="635" spans="2:10" s="9" customFormat="1" x14ac:dyDescent="0.2">
      <c r="B635" s="10"/>
      <c r="C635" s="11"/>
      <c r="D635" s="11"/>
      <c r="E635" s="12"/>
      <c r="F635" s="41"/>
      <c r="G635" s="30"/>
      <c r="H635" s="30"/>
      <c r="I635" s="11"/>
      <c r="J635" s="11"/>
    </row>
    <row r="636" spans="2:10" s="9" customFormat="1" x14ac:dyDescent="0.2">
      <c r="B636" s="10"/>
      <c r="C636" s="11"/>
      <c r="D636" s="11"/>
      <c r="E636" s="12"/>
      <c r="F636" s="41"/>
      <c r="G636" s="30"/>
      <c r="H636" s="30"/>
      <c r="I636" s="11"/>
      <c r="J636" s="11"/>
    </row>
    <row r="637" spans="2:10" s="9" customFormat="1" x14ac:dyDescent="0.2">
      <c r="B637" s="10"/>
      <c r="C637" s="11"/>
      <c r="D637" s="11"/>
      <c r="E637" s="12"/>
      <c r="F637" s="41"/>
      <c r="G637" s="30"/>
      <c r="H637" s="30"/>
      <c r="I637" s="11"/>
      <c r="J637" s="11"/>
    </row>
    <row r="638" spans="2:10" s="9" customFormat="1" x14ac:dyDescent="0.2">
      <c r="B638" s="10"/>
      <c r="C638" s="11"/>
      <c r="D638" s="11"/>
      <c r="E638" s="12"/>
      <c r="F638" s="41"/>
      <c r="G638" s="30"/>
      <c r="H638" s="30"/>
      <c r="I638" s="11"/>
      <c r="J638" s="11"/>
    </row>
    <row r="639" spans="2:10" s="9" customFormat="1" x14ac:dyDescent="0.2">
      <c r="B639" s="10"/>
      <c r="C639" s="11"/>
      <c r="D639" s="11"/>
      <c r="E639" s="12"/>
      <c r="F639" s="41"/>
      <c r="G639" s="30"/>
      <c r="H639" s="30"/>
      <c r="I639" s="11"/>
      <c r="J639" s="11"/>
    </row>
    <row r="640" spans="2:10" s="9" customFormat="1" x14ac:dyDescent="0.2">
      <c r="B640" s="10"/>
      <c r="C640" s="11"/>
      <c r="D640" s="11"/>
      <c r="E640" s="12"/>
      <c r="F640" s="41"/>
      <c r="G640" s="30"/>
      <c r="H640" s="30"/>
      <c r="I640" s="11"/>
      <c r="J640" s="11"/>
    </row>
    <row r="641" spans="2:10" s="9" customFormat="1" x14ac:dyDescent="0.2">
      <c r="B641" s="10"/>
      <c r="C641" s="11"/>
      <c r="D641" s="11"/>
      <c r="E641" s="12"/>
      <c r="F641" s="41"/>
      <c r="G641" s="30"/>
      <c r="H641" s="30"/>
      <c r="I641" s="11"/>
      <c r="J641" s="11"/>
    </row>
    <row r="642" spans="2:10" s="9" customFormat="1" x14ac:dyDescent="0.2">
      <c r="B642" s="10"/>
      <c r="C642" s="11"/>
      <c r="D642" s="11"/>
      <c r="E642" s="12"/>
      <c r="F642" s="41"/>
      <c r="G642" s="30"/>
      <c r="H642" s="30"/>
      <c r="I642" s="11"/>
      <c r="J642" s="11"/>
    </row>
    <row r="643" spans="2:10" s="9" customFormat="1" x14ac:dyDescent="0.2">
      <c r="B643" s="10"/>
      <c r="C643" s="11"/>
      <c r="D643" s="11"/>
      <c r="E643" s="12"/>
      <c r="F643" s="41"/>
      <c r="G643" s="30"/>
      <c r="H643" s="30"/>
      <c r="I643" s="11"/>
      <c r="J643" s="11"/>
    </row>
    <row r="644" spans="2:10" s="9" customFormat="1" x14ac:dyDescent="0.2">
      <c r="B644" s="10"/>
      <c r="C644" s="11"/>
      <c r="D644" s="11"/>
      <c r="E644" s="12"/>
      <c r="F644" s="41"/>
      <c r="G644" s="30"/>
      <c r="H644" s="30"/>
      <c r="I644" s="11"/>
      <c r="J644" s="11"/>
    </row>
    <row r="645" spans="2:10" s="9" customFormat="1" x14ac:dyDescent="0.2">
      <c r="B645" s="10"/>
      <c r="C645" s="11"/>
      <c r="D645" s="11"/>
      <c r="E645" s="12"/>
      <c r="F645" s="41"/>
      <c r="G645" s="30"/>
      <c r="H645" s="30"/>
      <c r="I645" s="11"/>
      <c r="J645" s="11"/>
    </row>
    <row r="646" spans="2:10" s="9" customFormat="1" x14ac:dyDescent="0.2">
      <c r="B646" s="10"/>
      <c r="C646" s="11"/>
      <c r="D646" s="11"/>
      <c r="E646" s="12"/>
      <c r="F646" s="41"/>
      <c r="G646" s="30"/>
      <c r="H646" s="30"/>
      <c r="I646" s="11"/>
      <c r="J646" s="11"/>
    </row>
    <row r="647" spans="2:10" s="9" customFormat="1" x14ac:dyDescent="0.2">
      <c r="B647" s="10"/>
      <c r="C647" s="11"/>
      <c r="D647" s="11"/>
      <c r="E647" s="12"/>
      <c r="F647" s="41"/>
      <c r="G647" s="30"/>
      <c r="H647" s="30"/>
      <c r="I647" s="11"/>
      <c r="J647" s="11"/>
    </row>
    <row r="648" spans="2:10" s="9" customFormat="1" x14ac:dyDescent="0.2">
      <c r="B648" s="10"/>
      <c r="C648" s="11"/>
      <c r="D648" s="11"/>
      <c r="E648" s="12"/>
      <c r="F648" s="41"/>
      <c r="G648" s="30"/>
      <c r="H648" s="30"/>
      <c r="I648" s="11"/>
      <c r="J648" s="11"/>
    </row>
    <row r="649" spans="2:10" s="9" customFormat="1" x14ac:dyDescent="0.2">
      <c r="B649" s="10"/>
      <c r="C649" s="11"/>
      <c r="D649" s="11"/>
      <c r="E649" s="12"/>
      <c r="F649" s="41"/>
      <c r="G649" s="30"/>
      <c r="H649" s="30"/>
      <c r="I649" s="11"/>
      <c r="J649" s="11"/>
    </row>
    <row r="650" spans="2:10" s="9" customFormat="1" x14ac:dyDescent="0.2">
      <c r="B650" s="10"/>
      <c r="C650" s="11"/>
      <c r="D650" s="11"/>
      <c r="E650" s="12"/>
      <c r="F650" s="41"/>
      <c r="G650" s="30"/>
      <c r="H650" s="30"/>
      <c r="I650" s="11"/>
      <c r="J650" s="11"/>
    </row>
    <row r="651" spans="2:10" s="9" customFormat="1" x14ac:dyDescent="0.2">
      <c r="B651" s="10"/>
      <c r="C651" s="11"/>
      <c r="D651" s="11"/>
      <c r="E651" s="12"/>
      <c r="F651" s="41"/>
      <c r="G651" s="30"/>
      <c r="H651" s="30"/>
      <c r="I651" s="11"/>
      <c r="J651" s="11"/>
    </row>
    <row r="652" spans="2:10" s="9" customFormat="1" x14ac:dyDescent="0.2">
      <c r="B652" s="10"/>
      <c r="C652" s="11"/>
      <c r="D652" s="11"/>
      <c r="E652" s="12"/>
      <c r="F652" s="41"/>
      <c r="G652" s="30"/>
      <c r="H652" s="30"/>
      <c r="I652" s="11"/>
      <c r="J652" s="11"/>
    </row>
    <row r="653" spans="2:10" s="9" customFormat="1" x14ac:dyDescent="0.2">
      <c r="B653" s="10"/>
      <c r="C653" s="11"/>
      <c r="D653" s="11"/>
      <c r="E653" s="12"/>
      <c r="F653" s="41"/>
      <c r="G653" s="30"/>
      <c r="H653" s="30"/>
      <c r="I653" s="11"/>
      <c r="J653" s="11"/>
    </row>
    <row r="654" spans="2:10" s="9" customFormat="1" x14ac:dyDescent="0.2">
      <c r="B654" s="10"/>
      <c r="C654" s="11"/>
      <c r="D654" s="11"/>
      <c r="E654" s="12"/>
      <c r="F654" s="41"/>
      <c r="G654" s="30"/>
      <c r="H654" s="30"/>
      <c r="I654" s="11"/>
      <c r="J654" s="11"/>
    </row>
    <row r="655" spans="2:10" s="9" customFormat="1" x14ac:dyDescent="0.2">
      <c r="B655" s="10"/>
      <c r="C655" s="11"/>
      <c r="D655" s="11"/>
      <c r="E655" s="12"/>
      <c r="F655" s="41"/>
      <c r="G655" s="30"/>
      <c r="H655" s="30"/>
      <c r="I655" s="11"/>
      <c r="J655" s="11"/>
    </row>
    <row r="656" spans="2:10" s="9" customFormat="1" x14ac:dyDescent="0.2">
      <c r="B656" s="10"/>
      <c r="C656" s="11"/>
      <c r="D656" s="11"/>
      <c r="E656" s="12"/>
      <c r="F656" s="41"/>
      <c r="G656" s="30"/>
      <c r="H656" s="30"/>
      <c r="I656" s="11"/>
      <c r="J656" s="11"/>
    </row>
    <row r="657" spans="2:10" s="9" customFormat="1" x14ac:dyDescent="0.2">
      <c r="B657" s="10"/>
      <c r="C657" s="11"/>
      <c r="D657" s="11"/>
      <c r="E657" s="12"/>
      <c r="F657" s="41"/>
      <c r="G657" s="30"/>
      <c r="H657" s="30"/>
      <c r="I657" s="11"/>
      <c r="J657" s="11"/>
    </row>
    <row r="658" spans="2:10" s="9" customFormat="1" x14ac:dyDescent="0.2">
      <c r="B658" s="10"/>
      <c r="C658" s="11"/>
      <c r="D658" s="11"/>
      <c r="E658" s="12"/>
      <c r="F658" s="41"/>
      <c r="G658" s="30"/>
      <c r="H658" s="30"/>
      <c r="I658" s="11"/>
      <c r="J658" s="11"/>
    </row>
    <row r="659" spans="2:10" s="9" customFormat="1" x14ac:dyDescent="0.2">
      <c r="B659" s="10"/>
      <c r="C659" s="11"/>
      <c r="D659" s="11"/>
      <c r="E659" s="12"/>
      <c r="F659" s="41"/>
      <c r="G659" s="30"/>
      <c r="H659" s="30"/>
      <c r="I659" s="11"/>
      <c r="J659" s="11"/>
    </row>
    <row r="660" spans="2:10" s="9" customFormat="1" x14ac:dyDescent="0.2">
      <c r="B660" s="10"/>
      <c r="C660" s="11"/>
      <c r="D660" s="11"/>
      <c r="E660" s="12"/>
      <c r="F660" s="41"/>
      <c r="G660" s="30"/>
      <c r="H660" s="30"/>
      <c r="I660" s="11"/>
      <c r="J660" s="11"/>
    </row>
    <row r="661" spans="2:10" s="9" customFormat="1" x14ac:dyDescent="0.2">
      <c r="B661" s="10"/>
      <c r="C661" s="11"/>
      <c r="D661" s="11"/>
      <c r="E661" s="12"/>
      <c r="F661" s="41"/>
      <c r="G661" s="30"/>
      <c r="H661" s="30"/>
      <c r="I661" s="11"/>
      <c r="J661" s="11"/>
    </row>
    <row r="662" spans="2:10" s="9" customFormat="1" x14ac:dyDescent="0.2">
      <c r="B662" s="10"/>
      <c r="C662" s="11"/>
      <c r="D662" s="11"/>
      <c r="E662" s="12"/>
      <c r="F662" s="41"/>
      <c r="G662" s="30"/>
      <c r="H662" s="30"/>
      <c r="I662" s="11"/>
      <c r="J662" s="11"/>
    </row>
    <row r="663" spans="2:10" s="9" customFormat="1" x14ac:dyDescent="0.2">
      <c r="B663" s="10"/>
      <c r="C663" s="11"/>
      <c r="D663" s="11"/>
      <c r="E663" s="12"/>
      <c r="F663" s="41"/>
      <c r="G663" s="30"/>
      <c r="H663" s="30"/>
      <c r="I663" s="11"/>
      <c r="J663" s="11"/>
    </row>
    <row r="664" spans="2:10" s="9" customFormat="1" x14ac:dyDescent="0.2">
      <c r="B664" s="10"/>
      <c r="C664" s="11"/>
      <c r="D664" s="11"/>
      <c r="E664" s="12"/>
      <c r="F664" s="41"/>
      <c r="G664" s="30"/>
      <c r="H664" s="30"/>
      <c r="I664" s="11"/>
      <c r="J664" s="11"/>
    </row>
    <row r="665" spans="2:10" s="9" customFormat="1" x14ac:dyDescent="0.2">
      <c r="B665" s="10"/>
      <c r="C665" s="11"/>
      <c r="D665" s="11"/>
      <c r="E665" s="12"/>
      <c r="F665" s="41"/>
      <c r="G665" s="30"/>
      <c r="H665" s="30"/>
      <c r="I665" s="11"/>
      <c r="J665" s="11"/>
    </row>
    <row r="666" spans="2:10" s="9" customFormat="1" x14ac:dyDescent="0.2">
      <c r="B666" s="10"/>
      <c r="C666" s="11"/>
      <c r="D666" s="11"/>
      <c r="E666" s="12"/>
      <c r="F666" s="41"/>
      <c r="G666" s="30"/>
      <c r="H666" s="30"/>
      <c r="I666" s="11"/>
      <c r="J666" s="11"/>
    </row>
    <row r="667" spans="2:10" s="9" customFormat="1" x14ac:dyDescent="0.2">
      <c r="B667" s="10"/>
      <c r="C667" s="11"/>
      <c r="D667" s="11"/>
      <c r="E667" s="12"/>
      <c r="F667" s="41"/>
      <c r="G667" s="30"/>
      <c r="H667" s="30"/>
      <c r="I667" s="11"/>
      <c r="J667" s="11"/>
    </row>
    <row r="668" spans="2:10" s="9" customFormat="1" x14ac:dyDescent="0.2">
      <c r="B668" s="10"/>
      <c r="C668" s="11"/>
      <c r="D668" s="11"/>
      <c r="E668" s="12"/>
      <c r="F668" s="41"/>
      <c r="G668" s="30"/>
      <c r="H668" s="30"/>
      <c r="I668" s="11"/>
      <c r="J668" s="11"/>
    </row>
    <row r="669" spans="2:10" s="9" customFormat="1" x14ac:dyDescent="0.2">
      <c r="B669" s="10"/>
      <c r="C669" s="11"/>
      <c r="D669" s="11"/>
      <c r="E669" s="12"/>
      <c r="F669" s="41"/>
      <c r="G669" s="30"/>
      <c r="H669" s="30"/>
      <c r="I669" s="11"/>
      <c r="J669" s="11"/>
    </row>
    <row r="670" spans="2:10" s="9" customFormat="1" x14ac:dyDescent="0.2">
      <c r="B670" s="10"/>
      <c r="C670" s="11"/>
      <c r="D670" s="11"/>
      <c r="E670" s="12"/>
      <c r="F670" s="41"/>
      <c r="G670" s="30"/>
      <c r="H670" s="30"/>
      <c r="I670" s="11"/>
      <c r="J670" s="11"/>
    </row>
    <row r="671" spans="2:10" s="9" customFormat="1" x14ac:dyDescent="0.2">
      <c r="B671" s="10"/>
      <c r="C671" s="11"/>
      <c r="D671" s="11"/>
      <c r="E671" s="12"/>
      <c r="F671" s="41"/>
      <c r="G671" s="30"/>
      <c r="H671" s="30"/>
      <c r="I671" s="11"/>
      <c r="J671" s="11"/>
    </row>
    <row r="672" spans="2:10" s="9" customFormat="1" x14ac:dyDescent="0.2">
      <c r="B672" s="10"/>
      <c r="C672" s="11"/>
      <c r="D672" s="11"/>
      <c r="E672" s="12"/>
      <c r="F672" s="41"/>
      <c r="G672" s="30"/>
      <c r="H672" s="30"/>
      <c r="I672" s="11"/>
      <c r="J672" s="11"/>
    </row>
    <row r="673" spans="2:10" s="9" customFormat="1" x14ac:dyDescent="0.2">
      <c r="B673" s="10"/>
      <c r="C673" s="11"/>
      <c r="D673" s="11"/>
      <c r="E673" s="12"/>
      <c r="F673" s="41"/>
      <c r="G673" s="30"/>
      <c r="H673" s="30"/>
      <c r="I673" s="11"/>
      <c r="J673" s="11"/>
    </row>
    <row r="674" spans="2:10" s="9" customFormat="1" x14ac:dyDescent="0.2">
      <c r="B674" s="10"/>
      <c r="C674" s="11"/>
      <c r="D674" s="11"/>
      <c r="E674" s="12"/>
      <c r="F674" s="41"/>
      <c r="G674" s="30"/>
      <c r="H674" s="30"/>
      <c r="I674" s="11"/>
      <c r="J674" s="11"/>
    </row>
    <row r="675" spans="2:10" s="9" customFormat="1" x14ac:dyDescent="0.2">
      <c r="B675" s="10"/>
      <c r="C675" s="11"/>
      <c r="D675" s="11"/>
      <c r="E675" s="12"/>
      <c r="F675" s="41"/>
      <c r="G675" s="30"/>
      <c r="H675" s="30"/>
      <c r="I675" s="11"/>
      <c r="J675" s="11"/>
    </row>
    <row r="676" spans="2:10" s="9" customFormat="1" x14ac:dyDescent="0.2">
      <c r="B676" s="10"/>
      <c r="C676" s="11"/>
      <c r="D676" s="11"/>
      <c r="E676" s="12"/>
      <c r="F676" s="41"/>
      <c r="G676" s="30"/>
      <c r="H676" s="30"/>
      <c r="I676" s="11"/>
      <c r="J676" s="11"/>
    </row>
    <row r="677" spans="2:10" s="9" customFormat="1" x14ac:dyDescent="0.2">
      <c r="B677" s="10"/>
      <c r="C677" s="11"/>
      <c r="D677" s="11"/>
      <c r="E677" s="12"/>
      <c r="F677" s="41"/>
      <c r="G677" s="30"/>
      <c r="H677" s="30"/>
      <c r="I677" s="11"/>
      <c r="J677" s="11"/>
    </row>
    <row r="678" spans="2:10" s="9" customFormat="1" x14ac:dyDescent="0.2">
      <c r="B678" s="10"/>
      <c r="C678" s="11"/>
      <c r="D678" s="11"/>
      <c r="E678" s="12"/>
      <c r="F678" s="41"/>
      <c r="G678" s="30"/>
      <c r="H678" s="30"/>
      <c r="I678" s="11"/>
      <c r="J678" s="11"/>
    </row>
    <row r="679" spans="2:10" s="9" customFormat="1" x14ac:dyDescent="0.2">
      <c r="B679" s="10"/>
      <c r="C679" s="11"/>
      <c r="D679" s="11"/>
      <c r="E679" s="12"/>
      <c r="F679" s="41"/>
      <c r="G679" s="30"/>
      <c r="H679" s="30"/>
      <c r="I679" s="11"/>
      <c r="J679" s="11"/>
    </row>
    <row r="680" spans="2:10" s="9" customFormat="1" x14ac:dyDescent="0.2">
      <c r="B680" s="10"/>
      <c r="C680" s="11"/>
      <c r="D680" s="11"/>
      <c r="E680" s="12"/>
      <c r="F680" s="41"/>
      <c r="G680" s="30"/>
      <c r="H680" s="30"/>
      <c r="I680" s="11"/>
      <c r="J680" s="11"/>
    </row>
    <row r="681" spans="2:10" s="9" customFormat="1" x14ac:dyDescent="0.2">
      <c r="B681" s="10"/>
      <c r="C681" s="11"/>
      <c r="D681" s="11"/>
      <c r="E681" s="12"/>
      <c r="F681" s="41"/>
      <c r="G681" s="30"/>
      <c r="H681" s="30"/>
      <c r="I681" s="11"/>
      <c r="J681" s="11"/>
    </row>
    <row r="682" spans="2:10" s="9" customFormat="1" x14ac:dyDescent="0.2">
      <c r="B682" s="10"/>
      <c r="C682" s="11"/>
      <c r="D682" s="11"/>
      <c r="E682" s="12"/>
      <c r="F682" s="41"/>
      <c r="G682" s="30"/>
      <c r="H682" s="30"/>
      <c r="I682" s="11"/>
      <c r="J682" s="11"/>
    </row>
    <row r="683" spans="2:10" s="9" customFormat="1" x14ac:dyDescent="0.2">
      <c r="B683" s="10"/>
      <c r="C683" s="11"/>
      <c r="D683" s="11"/>
      <c r="E683" s="12"/>
      <c r="F683" s="41"/>
      <c r="G683" s="30"/>
      <c r="H683" s="30"/>
      <c r="I683" s="11"/>
      <c r="J683" s="11"/>
    </row>
    <row r="684" spans="2:10" s="9" customFormat="1" x14ac:dyDescent="0.2">
      <c r="B684" s="10"/>
      <c r="C684" s="11"/>
      <c r="D684" s="11"/>
      <c r="E684" s="12"/>
      <c r="F684" s="41"/>
      <c r="G684" s="30"/>
      <c r="H684" s="30"/>
      <c r="I684" s="11"/>
      <c r="J684" s="11"/>
    </row>
    <row r="685" spans="2:10" s="9" customFormat="1" x14ac:dyDescent="0.2">
      <c r="B685" s="10"/>
      <c r="C685" s="11"/>
      <c r="D685" s="11"/>
      <c r="E685" s="12"/>
      <c r="F685" s="41"/>
      <c r="G685" s="30"/>
      <c r="H685" s="30"/>
      <c r="I685" s="11"/>
      <c r="J685" s="11"/>
    </row>
    <row r="686" spans="2:10" s="9" customFormat="1" x14ac:dyDescent="0.2">
      <c r="B686" s="10"/>
      <c r="C686" s="11"/>
      <c r="D686" s="11"/>
      <c r="E686" s="12"/>
      <c r="F686" s="41"/>
      <c r="G686" s="30"/>
      <c r="H686" s="30"/>
      <c r="I686" s="11"/>
      <c r="J686" s="11"/>
    </row>
    <row r="687" spans="2:10" s="9" customFormat="1" x14ac:dyDescent="0.2">
      <c r="B687" s="10"/>
      <c r="C687" s="11"/>
      <c r="D687" s="11"/>
      <c r="E687" s="12"/>
      <c r="F687" s="41"/>
      <c r="G687" s="30"/>
      <c r="H687" s="30"/>
      <c r="I687" s="11"/>
      <c r="J687" s="11"/>
    </row>
    <row r="688" spans="2:10" s="9" customFormat="1" x14ac:dyDescent="0.2">
      <c r="B688" s="10"/>
      <c r="C688" s="11"/>
      <c r="D688" s="11"/>
      <c r="E688" s="12"/>
      <c r="F688" s="41"/>
      <c r="G688" s="30"/>
      <c r="H688" s="30"/>
      <c r="I688" s="11"/>
      <c r="J688" s="11"/>
    </row>
    <row r="689" spans="2:10" s="9" customFormat="1" x14ac:dyDescent="0.2">
      <c r="B689" s="10"/>
      <c r="C689" s="11"/>
      <c r="D689" s="11"/>
      <c r="E689" s="12"/>
      <c r="F689" s="41"/>
      <c r="G689" s="30"/>
      <c r="H689" s="30"/>
      <c r="I689" s="11"/>
      <c r="J689" s="11"/>
    </row>
    <row r="690" spans="2:10" s="9" customFormat="1" x14ac:dyDescent="0.2">
      <c r="B690" s="10"/>
      <c r="C690" s="11"/>
      <c r="D690" s="11"/>
      <c r="E690" s="12"/>
      <c r="F690" s="41"/>
      <c r="G690" s="30"/>
      <c r="H690" s="30"/>
      <c r="I690" s="11"/>
      <c r="J690" s="11"/>
    </row>
    <row r="691" spans="2:10" s="9" customFormat="1" x14ac:dyDescent="0.2">
      <c r="B691" s="10"/>
      <c r="C691" s="11"/>
      <c r="D691" s="11"/>
      <c r="E691" s="12"/>
      <c r="F691" s="41"/>
      <c r="G691" s="30"/>
      <c r="H691" s="30"/>
      <c r="I691" s="11"/>
      <c r="J691" s="11"/>
    </row>
    <row r="692" spans="2:10" s="9" customFormat="1" x14ac:dyDescent="0.2">
      <c r="B692" s="10"/>
      <c r="C692" s="11"/>
      <c r="D692" s="11"/>
      <c r="E692" s="12"/>
      <c r="F692" s="41"/>
      <c r="G692" s="30"/>
      <c r="H692" s="30"/>
      <c r="I692" s="11"/>
      <c r="J692" s="11"/>
    </row>
    <row r="693" spans="2:10" s="9" customFormat="1" x14ac:dyDescent="0.2">
      <c r="B693" s="10"/>
      <c r="C693" s="11"/>
      <c r="D693" s="11"/>
      <c r="E693" s="12"/>
      <c r="F693" s="41"/>
      <c r="G693" s="30"/>
      <c r="H693" s="30"/>
      <c r="I693" s="11"/>
      <c r="J693" s="11"/>
    </row>
    <row r="694" spans="2:10" s="9" customFormat="1" x14ac:dyDescent="0.2">
      <c r="B694" s="10"/>
      <c r="C694" s="11"/>
      <c r="D694" s="11"/>
      <c r="E694" s="12"/>
      <c r="F694" s="41"/>
      <c r="G694" s="30"/>
      <c r="H694" s="30"/>
      <c r="I694" s="11"/>
      <c r="J694" s="11"/>
    </row>
    <row r="695" spans="2:10" s="9" customFormat="1" x14ac:dyDescent="0.2">
      <c r="B695" s="10"/>
      <c r="C695" s="11"/>
      <c r="D695" s="11"/>
      <c r="E695" s="12"/>
      <c r="F695" s="41"/>
      <c r="G695" s="30"/>
      <c r="H695" s="30"/>
      <c r="I695" s="11"/>
      <c r="J695" s="11"/>
    </row>
    <row r="696" spans="2:10" s="9" customFormat="1" x14ac:dyDescent="0.2">
      <c r="B696" s="10"/>
      <c r="C696" s="11"/>
      <c r="D696" s="11"/>
      <c r="E696" s="12"/>
      <c r="F696" s="41"/>
      <c r="G696" s="30"/>
      <c r="H696" s="30"/>
      <c r="I696" s="11"/>
      <c r="J696" s="11"/>
    </row>
    <row r="697" spans="2:10" s="9" customFormat="1" x14ac:dyDescent="0.2">
      <c r="B697" s="10"/>
      <c r="C697" s="11"/>
      <c r="D697" s="11"/>
      <c r="E697" s="12"/>
      <c r="F697" s="41"/>
      <c r="G697" s="30"/>
      <c r="H697" s="30"/>
      <c r="I697" s="11"/>
      <c r="J697" s="11"/>
    </row>
    <row r="698" spans="2:10" s="9" customFormat="1" x14ac:dyDescent="0.2">
      <c r="B698" s="10"/>
      <c r="C698" s="11"/>
      <c r="D698" s="11"/>
      <c r="E698" s="12"/>
      <c r="F698" s="41"/>
      <c r="G698" s="30"/>
      <c r="H698" s="30"/>
      <c r="I698" s="11"/>
      <c r="J698" s="11"/>
    </row>
    <row r="699" spans="2:10" s="9" customFormat="1" x14ac:dyDescent="0.2">
      <c r="B699" s="10"/>
      <c r="C699" s="11"/>
      <c r="D699" s="11"/>
      <c r="E699" s="12"/>
      <c r="F699" s="41"/>
      <c r="G699" s="30"/>
      <c r="H699" s="30"/>
      <c r="I699" s="11"/>
      <c r="J699" s="11"/>
    </row>
    <row r="700" spans="2:10" s="9" customFormat="1" x14ac:dyDescent="0.2">
      <c r="B700" s="10"/>
      <c r="C700" s="11"/>
      <c r="D700" s="11"/>
      <c r="E700" s="12"/>
      <c r="F700" s="41"/>
      <c r="G700" s="30"/>
      <c r="H700" s="30"/>
      <c r="I700" s="11"/>
      <c r="J700" s="11"/>
    </row>
    <row r="701" spans="2:10" s="9" customFormat="1" x14ac:dyDescent="0.2">
      <c r="B701" s="10"/>
      <c r="C701" s="11"/>
      <c r="D701" s="11"/>
      <c r="E701" s="12"/>
      <c r="F701" s="41"/>
      <c r="G701" s="30"/>
      <c r="H701" s="30"/>
      <c r="I701" s="11"/>
      <c r="J701" s="11"/>
    </row>
    <row r="702" spans="2:10" s="9" customFormat="1" x14ac:dyDescent="0.2">
      <c r="B702" s="10"/>
      <c r="C702" s="11"/>
      <c r="D702" s="11"/>
      <c r="E702" s="12"/>
      <c r="F702" s="41"/>
      <c r="G702" s="30"/>
      <c r="H702" s="30"/>
      <c r="I702" s="11"/>
      <c r="J702" s="11"/>
    </row>
    <row r="703" spans="2:10" s="9" customFormat="1" x14ac:dyDescent="0.2">
      <c r="B703" s="10"/>
      <c r="C703" s="11"/>
      <c r="D703" s="11"/>
      <c r="E703" s="12"/>
      <c r="F703" s="41"/>
      <c r="G703" s="30"/>
      <c r="H703" s="30"/>
      <c r="I703" s="11"/>
      <c r="J703" s="11"/>
    </row>
    <row r="704" spans="2:10" s="9" customFormat="1" x14ac:dyDescent="0.2">
      <c r="B704" s="10"/>
      <c r="C704" s="11"/>
      <c r="D704" s="11"/>
      <c r="E704" s="12"/>
      <c r="F704" s="41"/>
      <c r="G704" s="30"/>
      <c r="H704" s="30"/>
      <c r="I704" s="11"/>
      <c r="J704" s="11"/>
    </row>
    <row r="705" spans="2:10" s="9" customFormat="1" x14ac:dyDescent="0.2">
      <c r="B705" s="10"/>
      <c r="C705" s="11"/>
      <c r="D705" s="11"/>
      <c r="E705" s="12"/>
      <c r="F705" s="41"/>
      <c r="G705" s="30"/>
      <c r="H705" s="30"/>
      <c r="I705" s="11"/>
      <c r="J705" s="11"/>
    </row>
    <row r="706" spans="2:10" s="9" customFormat="1" x14ac:dyDescent="0.2">
      <c r="B706" s="10"/>
      <c r="C706" s="11"/>
      <c r="D706" s="11"/>
      <c r="E706" s="12"/>
      <c r="F706" s="41"/>
      <c r="G706" s="30"/>
      <c r="H706" s="30"/>
      <c r="I706" s="11"/>
      <c r="J706" s="11"/>
    </row>
    <row r="707" spans="2:10" s="9" customFormat="1" x14ac:dyDescent="0.2">
      <c r="B707" s="10"/>
      <c r="C707" s="11"/>
      <c r="D707" s="11"/>
      <c r="E707" s="12"/>
      <c r="F707" s="41"/>
      <c r="G707" s="30"/>
      <c r="H707" s="30"/>
      <c r="I707" s="11"/>
      <c r="J707" s="11"/>
    </row>
    <row r="708" spans="2:10" s="9" customFormat="1" x14ac:dyDescent="0.2">
      <c r="B708" s="10"/>
      <c r="C708" s="11"/>
      <c r="D708" s="11"/>
      <c r="E708" s="12"/>
      <c r="F708" s="41"/>
      <c r="G708" s="30"/>
      <c r="H708" s="30"/>
      <c r="I708" s="11"/>
      <c r="J708" s="11"/>
    </row>
    <row r="709" spans="2:10" s="9" customFormat="1" x14ac:dyDescent="0.2">
      <c r="B709" s="10"/>
      <c r="C709" s="11"/>
      <c r="D709" s="11"/>
      <c r="E709" s="12"/>
      <c r="F709" s="41"/>
      <c r="G709" s="30"/>
      <c r="H709" s="30"/>
      <c r="I709" s="11"/>
      <c r="J709" s="11"/>
    </row>
    <row r="710" spans="2:10" s="9" customFormat="1" x14ac:dyDescent="0.2">
      <c r="B710" s="10"/>
      <c r="C710" s="11"/>
      <c r="D710" s="11"/>
      <c r="E710" s="12"/>
      <c r="F710" s="41"/>
      <c r="G710" s="30"/>
      <c r="H710" s="30"/>
      <c r="I710" s="11"/>
      <c r="J710" s="11"/>
    </row>
    <row r="711" spans="2:10" s="9" customFormat="1" x14ac:dyDescent="0.2">
      <c r="B711" s="10"/>
      <c r="C711" s="11"/>
      <c r="D711" s="11"/>
      <c r="E711" s="12"/>
      <c r="F711" s="41"/>
      <c r="G711" s="30"/>
      <c r="H711" s="30"/>
      <c r="I711" s="11"/>
      <c r="J711" s="11"/>
    </row>
    <row r="712" spans="2:10" s="9" customFormat="1" x14ac:dyDescent="0.2">
      <c r="B712" s="10"/>
      <c r="C712" s="11"/>
      <c r="D712" s="11"/>
      <c r="E712" s="12"/>
      <c r="F712" s="41"/>
      <c r="G712" s="30"/>
      <c r="H712" s="30"/>
      <c r="I712" s="11"/>
      <c r="J712" s="11"/>
    </row>
    <row r="713" spans="2:10" s="9" customFormat="1" x14ac:dyDescent="0.2">
      <c r="B713" s="10"/>
      <c r="C713" s="11"/>
      <c r="D713" s="11"/>
      <c r="E713" s="12"/>
      <c r="F713" s="41"/>
      <c r="G713" s="30"/>
      <c r="H713" s="30"/>
      <c r="I713" s="11"/>
      <c r="J713" s="11"/>
    </row>
    <row r="714" spans="2:10" s="9" customFormat="1" x14ac:dyDescent="0.2">
      <c r="B714" s="10"/>
      <c r="C714" s="11"/>
      <c r="D714" s="11"/>
      <c r="E714" s="12"/>
      <c r="F714" s="41"/>
      <c r="G714" s="30"/>
      <c r="H714" s="30"/>
      <c r="I714" s="11"/>
      <c r="J714" s="11"/>
    </row>
    <row r="715" spans="2:10" s="9" customFormat="1" x14ac:dyDescent="0.2">
      <c r="B715" s="10"/>
      <c r="C715" s="11"/>
      <c r="D715" s="11"/>
      <c r="E715" s="12"/>
      <c r="F715" s="41"/>
      <c r="G715" s="30"/>
      <c r="H715" s="30"/>
      <c r="I715" s="11"/>
      <c r="J715" s="11"/>
    </row>
    <row r="716" spans="2:10" s="9" customFormat="1" x14ac:dyDescent="0.2">
      <c r="B716" s="10"/>
      <c r="C716" s="11"/>
      <c r="D716" s="11"/>
      <c r="E716" s="12"/>
      <c r="F716" s="41"/>
      <c r="G716" s="30"/>
      <c r="H716" s="30"/>
      <c r="I716" s="11"/>
      <c r="J716" s="11"/>
    </row>
    <row r="717" spans="2:10" s="9" customFormat="1" x14ac:dyDescent="0.2">
      <c r="B717" s="10"/>
      <c r="C717" s="11"/>
      <c r="D717" s="11"/>
      <c r="E717" s="12"/>
      <c r="F717" s="41"/>
      <c r="G717" s="30"/>
      <c r="H717" s="30"/>
      <c r="I717" s="11"/>
      <c r="J717" s="11"/>
    </row>
    <row r="718" spans="2:10" s="9" customFormat="1" x14ac:dyDescent="0.2">
      <c r="B718" s="10"/>
      <c r="C718" s="11"/>
      <c r="D718" s="11"/>
      <c r="E718" s="12"/>
      <c r="F718" s="41"/>
      <c r="G718" s="30"/>
      <c r="H718" s="30"/>
      <c r="I718" s="11"/>
      <c r="J718" s="11"/>
    </row>
    <row r="719" spans="2:10" s="9" customFormat="1" x14ac:dyDescent="0.2">
      <c r="B719" s="10"/>
      <c r="C719" s="11"/>
      <c r="D719" s="11"/>
      <c r="E719" s="12"/>
      <c r="F719" s="41"/>
      <c r="G719" s="30"/>
      <c r="H719" s="30"/>
      <c r="I719" s="11"/>
      <c r="J719" s="11"/>
    </row>
    <row r="720" spans="2:10" s="9" customFormat="1" x14ac:dyDescent="0.2">
      <c r="B720" s="10"/>
      <c r="C720" s="11"/>
      <c r="D720" s="11"/>
      <c r="E720" s="12"/>
      <c r="F720" s="41"/>
      <c r="G720" s="30"/>
      <c r="H720" s="30"/>
      <c r="I720" s="11"/>
      <c r="J720" s="11"/>
    </row>
    <row r="721" spans="2:10" s="9" customFormat="1" x14ac:dyDescent="0.2">
      <c r="B721" s="10"/>
      <c r="C721" s="11"/>
      <c r="D721" s="11"/>
      <c r="E721" s="12"/>
      <c r="F721" s="41"/>
      <c r="G721" s="30"/>
      <c r="H721" s="30"/>
      <c r="I721" s="11"/>
      <c r="J721" s="11"/>
    </row>
    <row r="722" spans="2:10" s="9" customFormat="1" x14ac:dyDescent="0.2">
      <c r="B722" s="10"/>
      <c r="C722" s="11"/>
      <c r="D722" s="11"/>
      <c r="E722" s="12"/>
      <c r="F722" s="41"/>
      <c r="G722" s="30"/>
      <c r="H722" s="30"/>
      <c r="I722" s="11"/>
      <c r="J722" s="11"/>
    </row>
    <row r="723" spans="2:10" s="9" customFormat="1" x14ac:dyDescent="0.2">
      <c r="B723" s="10"/>
      <c r="C723" s="11"/>
      <c r="D723" s="11"/>
      <c r="E723" s="12"/>
      <c r="F723" s="41"/>
      <c r="G723" s="30"/>
      <c r="H723" s="30"/>
      <c r="I723" s="11"/>
      <c r="J723" s="11"/>
    </row>
    <row r="724" spans="2:10" s="9" customFormat="1" x14ac:dyDescent="0.2">
      <c r="B724" s="10"/>
      <c r="C724" s="11"/>
      <c r="D724" s="11"/>
      <c r="E724" s="12"/>
      <c r="F724" s="41"/>
      <c r="G724" s="30"/>
      <c r="H724" s="30"/>
      <c r="I724" s="11"/>
      <c r="J724" s="11"/>
    </row>
    <row r="725" spans="2:10" s="9" customFormat="1" x14ac:dyDescent="0.2">
      <c r="B725" s="10"/>
      <c r="C725" s="11"/>
      <c r="D725" s="11"/>
      <c r="E725" s="12"/>
      <c r="F725" s="41"/>
      <c r="G725" s="30"/>
      <c r="H725" s="30"/>
      <c r="I725" s="11"/>
      <c r="J725" s="11"/>
    </row>
    <row r="726" spans="2:10" s="9" customFormat="1" x14ac:dyDescent="0.2">
      <c r="B726" s="10"/>
      <c r="C726" s="11"/>
      <c r="D726" s="11"/>
      <c r="E726" s="12"/>
      <c r="F726" s="41"/>
      <c r="G726" s="30"/>
      <c r="H726" s="30"/>
      <c r="I726" s="11"/>
      <c r="J726" s="11"/>
    </row>
    <row r="727" spans="2:10" s="9" customFormat="1" x14ac:dyDescent="0.2">
      <c r="B727" s="10"/>
      <c r="C727" s="11"/>
      <c r="D727" s="11"/>
      <c r="E727" s="12"/>
      <c r="F727" s="41"/>
      <c r="G727" s="30"/>
      <c r="H727" s="30"/>
      <c r="I727" s="11"/>
      <c r="J727" s="11"/>
    </row>
    <row r="728" spans="2:10" s="9" customFormat="1" x14ac:dyDescent="0.2">
      <c r="B728" s="10"/>
      <c r="C728" s="11"/>
      <c r="D728" s="11"/>
      <c r="E728" s="12"/>
      <c r="F728" s="41"/>
      <c r="G728" s="30"/>
      <c r="H728" s="30"/>
      <c r="I728" s="11"/>
      <c r="J728" s="11"/>
    </row>
    <row r="729" spans="2:10" s="9" customFormat="1" x14ac:dyDescent="0.2">
      <c r="B729" s="10"/>
      <c r="C729" s="11"/>
      <c r="D729" s="11"/>
      <c r="E729" s="12"/>
      <c r="F729" s="41"/>
      <c r="G729" s="30"/>
      <c r="H729" s="30"/>
      <c r="I729" s="11"/>
      <c r="J729" s="11"/>
    </row>
    <row r="730" spans="2:10" s="9" customFormat="1" x14ac:dyDescent="0.2">
      <c r="B730" s="10"/>
      <c r="C730" s="11"/>
      <c r="D730" s="11"/>
      <c r="E730" s="12"/>
      <c r="F730" s="41"/>
      <c r="G730" s="30"/>
      <c r="H730" s="30"/>
      <c r="I730" s="11"/>
      <c r="J730" s="11"/>
    </row>
    <row r="731" spans="2:10" s="9" customFormat="1" x14ac:dyDescent="0.2">
      <c r="B731" s="10"/>
      <c r="C731" s="11"/>
      <c r="D731" s="11"/>
      <c r="E731" s="12"/>
      <c r="F731" s="41"/>
      <c r="G731" s="30"/>
      <c r="H731" s="30"/>
      <c r="I731" s="11"/>
      <c r="J731" s="11"/>
    </row>
    <row r="732" spans="2:10" s="9" customFormat="1" x14ac:dyDescent="0.2">
      <c r="B732" s="10"/>
      <c r="C732" s="11"/>
      <c r="D732" s="11"/>
      <c r="E732" s="12"/>
      <c r="F732" s="41"/>
      <c r="G732" s="30"/>
      <c r="H732" s="30"/>
      <c r="I732" s="11"/>
      <c r="J732" s="11"/>
    </row>
    <row r="733" spans="2:10" s="9" customFormat="1" x14ac:dyDescent="0.2">
      <c r="B733" s="10"/>
      <c r="C733" s="11"/>
      <c r="D733" s="11"/>
      <c r="E733" s="12"/>
      <c r="F733" s="41"/>
      <c r="G733" s="30"/>
      <c r="H733" s="30"/>
      <c r="I733" s="11"/>
      <c r="J733" s="11"/>
    </row>
    <row r="734" spans="2:10" s="9" customFormat="1" x14ac:dyDescent="0.2">
      <c r="B734" s="10"/>
      <c r="C734" s="11"/>
      <c r="D734" s="11"/>
      <c r="E734" s="12"/>
      <c r="F734" s="41"/>
      <c r="G734" s="30"/>
      <c r="H734" s="30"/>
      <c r="I734" s="11"/>
      <c r="J734" s="11"/>
    </row>
    <row r="735" spans="2:10" s="9" customFormat="1" x14ac:dyDescent="0.2">
      <c r="B735" s="10"/>
      <c r="C735" s="11"/>
      <c r="D735" s="11"/>
      <c r="E735" s="12"/>
      <c r="F735" s="41"/>
      <c r="G735" s="30"/>
      <c r="H735" s="30"/>
      <c r="I735" s="11"/>
      <c r="J735" s="11"/>
    </row>
    <row r="736" spans="2:10" s="9" customFormat="1" x14ac:dyDescent="0.2">
      <c r="B736" s="10"/>
      <c r="C736" s="11"/>
      <c r="D736" s="11"/>
      <c r="E736" s="12"/>
      <c r="F736" s="41"/>
      <c r="G736" s="30"/>
      <c r="H736" s="30"/>
      <c r="I736" s="11"/>
      <c r="J736" s="11"/>
    </row>
    <row r="737" spans="2:10" s="9" customFormat="1" x14ac:dyDescent="0.2">
      <c r="B737" s="10"/>
      <c r="C737" s="11"/>
      <c r="D737" s="11"/>
      <c r="E737" s="12"/>
      <c r="F737" s="41"/>
      <c r="G737" s="30"/>
      <c r="H737" s="30"/>
      <c r="I737" s="11"/>
      <c r="J737" s="11"/>
    </row>
    <row r="738" spans="2:10" s="9" customFormat="1" x14ac:dyDescent="0.2">
      <c r="B738" s="10"/>
      <c r="C738" s="11"/>
      <c r="D738" s="11"/>
      <c r="E738" s="12"/>
      <c r="F738" s="41"/>
      <c r="G738" s="30"/>
      <c r="H738" s="30"/>
      <c r="I738" s="11"/>
      <c r="J738" s="11"/>
    </row>
    <row r="739" spans="2:10" s="9" customFormat="1" x14ac:dyDescent="0.2">
      <c r="B739" s="10"/>
      <c r="C739" s="11"/>
      <c r="D739" s="11"/>
      <c r="E739" s="12"/>
      <c r="F739" s="41"/>
      <c r="G739" s="30"/>
      <c r="H739" s="30"/>
      <c r="I739" s="11"/>
      <c r="J739" s="11"/>
    </row>
    <row r="740" spans="2:10" s="9" customFormat="1" x14ac:dyDescent="0.2">
      <c r="B740" s="10"/>
      <c r="C740" s="11"/>
      <c r="D740" s="11"/>
      <c r="E740" s="12"/>
      <c r="F740" s="41"/>
      <c r="G740" s="30"/>
      <c r="H740" s="30"/>
      <c r="I740" s="11"/>
      <c r="J740" s="11"/>
    </row>
    <row r="741" spans="2:10" s="9" customFormat="1" x14ac:dyDescent="0.2">
      <c r="B741" s="10"/>
      <c r="C741" s="11"/>
      <c r="D741" s="11"/>
      <c r="E741" s="12"/>
      <c r="F741" s="41"/>
      <c r="G741" s="30"/>
      <c r="H741" s="30"/>
      <c r="I741" s="11"/>
      <c r="J741" s="11"/>
    </row>
    <row r="742" spans="2:10" s="9" customFormat="1" x14ac:dyDescent="0.2">
      <c r="B742" s="10"/>
      <c r="C742" s="11"/>
      <c r="D742" s="11"/>
      <c r="E742" s="12"/>
      <c r="F742" s="41"/>
      <c r="G742" s="30"/>
      <c r="H742" s="30"/>
      <c r="I742" s="11"/>
      <c r="J742" s="11"/>
    </row>
    <row r="743" spans="2:10" s="9" customFormat="1" x14ac:dyDescent="0.2">
      <c r="B743" s="10"/>
      <c r="C743" s="11"/>
      <c r="D743" s="11"/>
      <c r="E743" s="12"/>
      <c r="F743" s="41"/>
      <c r="G743" s="30"/>
      <c r="H743" s="30"/>
      <c r="I743" s="11"/>
      <c r="J743" s="11"/>
    </row>
    <row r="744" spans="2:10" s="9" customFormat="1" x14ac:dyDescent="0.2">
      <c r="B744" s="10"/>
      <c r="C744" s="11"/>
      <c r="D744" s="11"/>
      <c r="E744" s="12"/>
      <c r="F744" s="41"/>
      <c r="G744" s="30"/>
      <c r="H744" s="30"/>
      <c r="I744" s="11"/>
      <c r="J744" s="11"/>
    </row>
    <row r="745" spans="2:10" s="9" customFormat="1" x14ac:dyDescent="0.2">
      <c r="B745" s="10"/>
      <c r="C745" s="11"/>
      <c r="D745" s="11"/>
      <c r="E745" s="12"/>
      <c r="F745" s="41"/>
      <c r="G745" s="30"/>
      <c r="H745" s="30"/>
      <c r="I745" s="11"/>
      <c r="J745" s="11"/>
    </row>
    <row r="746" spans="2:10" s="9" customFormat="1" x14ac:dyDescent="0.2">
      <c r="B746" s="10"/>
      <c r="C746" s="11"/>
      <c r="D746" s="11"/>
      <c r="E746" s="12"/>
      <c r="F746" s="41"/>
      <c r="G746" s="30"/>
      <c r="H746" s="30"/>
      <c r="I746" s="11"/>
      <c r="J746" s="11"/>
    </row>
    <row r="747" spans="2:10" s="9" customFormat="1" x14ac:dyDescent="0.2">
      <c r="B747" s="10"/>
      <c r="C747" s="11"/>
      <c r="D747" s="11"/>
      <c r="E747" s="12"/>
      <c r="F747" s="41"/>
      <c r="G747" s="30"/>
      <c r="H747" s="30"/>
      <c r="I747" s="11"/>
      <c r="J747" s="11"/>
    </row>
    <row r="748" spans="2:10" s="9" customFormat="1" x14ac:dyDescent="0.2">
      <c r="B748" s="10"/>
      <c r="C748" s="11"/>
      <c r="D748" s="11"/>
      <c r="E748" s="12"/>
      <c r="F748" s="41"/>
      <c r="G748" s="30"/>
      <c r="H748" s="30"/>
      <c r="I748" s="11"/>
      <c r="J748" s="11"/>
    </row>
    <row r="749" spans="2:10" s="9" customFormat="1" x14ac:dyDescent="0.2">
      <c r="B749" s="10"/>
      <c r="C749" s="11"/>
      <c r="D749" s="11"/>
      <c r="E749" s="12"/>
      <c r="F749" s="41"/>
      <c r="G749" s="30"/>
      <c r="H749" s="30"/>
      <c r="I749" s="11"/>
      <c r="J749" s="11"/>
    </row>
    <row r="750" spans="2:10" s="9" customFormat="1" x14ac:dyDescent="0.2">
      <c r="B750" s="10"/>
      <c r="C750" s="11"/>
      <c r="D750" s="11"/>
      <c r="E750" s="12"/>
      <c r="F750" s="41"/>
      <c r="G750" s="30"/>
      <c r="H750" s="30"/>
      <c r="I750" s="11"/>
      <c r="J750" s="11"/>
    </row>
    <row r="751" spans="2:10" s="9" customFormat="1" x14ac:dyDescent="0.2">
      <c r="B751" s="10"/>
      <c r="C751" s="11"/>
      <c r="D751" s="11"/>
      <c r="E751" s="12"/>
      <c r="F751" s="41"/>
      <c r="G751" s="30"/>
      <c r="H751" s="30"/>
      <c r="I751" s="11"/>
      <c r="J751" s="11"/>
    </row>
    <row r="752" spans="2:10" s="9" customFormat="1" x14ac:dyDescent="0.2">
      <c r="B752" s="10"/>
      <c r="C752" s="11"/>
      <c r="D752" s="11"/>
      <c r="E752" s="12"/>
      <c r="F752" s="41"/>
      <c r="G752" s="30"/>
      <c r="H752" s="30"/>
      <c r="I752" s="11"/>
      <c r="J752" s="11"/>
    </row>
    <row r="753" spans="2:10" s="9" customFormat="1" x14ac:dyDescent="0.2">
      <c r="B753" s="10"/>
      <c r="C753" s="11"/>
      <c r="D753" s="11"/>
      <c r="E753" s="12"/>
      <c r="F753" s="41"/>
      <c r="G753" s="30"/>
      <c r="H753" s="30"/>
      <c r="I753" s="11"/>
      <c r="J753" s="11"/>
    </row>
    <row r="754" spans="2:10" s="9" customFormat="1" x14ac:dyDescent="0.2">
      <c r="B754" s="10"/>
      <c r="C754" s="11"/>
      <c r="D754" s="11"/>
      <c r="E754" s="12"/>
      <c r="F754" s="41"/>
      <c r="G754" s="30"/>
      <c r="H754" s="30"/>
      <c r="I754" s="11"/>
      <c r="J754" s="11"/>
    </row>
    <row r="755" spans="2:10" s="9" customFormat="1" x14ac:dyDescent="0.2">
      <c r="B755" s="10"/>
      <c r="C755" s="11"/>
      <c r="D755" s="11"/>
      <c r="E755" s="12"/>
      <c r="F755" s="41"/>
      <c r="G755" s="30"/>
      <c r="H755" s="30"/>
      <c r="I755" s="11"/>
      <c r="J755" s="11"/>
    </row>
    <row r="756" spans="2:10" s="9" customFormat="1" x14ac:dyDescent="0.2">
      <c r="B756" s="10"/>
      <c r="C756" s="11"/>
      <c r="D756" s="11"/>
      <c r="E756" s="12"/>
      <c r="F756" s="41"/>
      <c r="G756" s="30"/>
      <c r="H756" s="30"/>
      <c r="I756" s="11"/>
      <c r="J756" s="11"/>
    </row>
    <row r="757" spans="2:10" s="9" customFormat="1" x14ac:dyDescent="0.2">
      <c r="B757" s="10"/>
      <c r="C757" s="11"/>
      <c r="D757" s="11"/>
      <c r="E757" s="12"/>
      <c r="F757" s="41"/>
      <c r="G757" s="30"/>
      <c r="H757" s="30"/>
      <c r="I757" s="11"/>
      <c r="J757" s="11"/>
    </row>
    <row r="758" spans="2:10" s="9" customFormat="1" x14ac:dyDescent="0.2">
      <c r="B758" s="10"/>
      <c r="C758" s="11"/>
      <c r="D758" s="11"/>
      <c r="E758" s="12"/>
      <c r="F758" s="41"/>
      <c r="G758" s="30"/>
      <c r="H758" s="30"/>
      <c r="I758" s="11"/>
      <c r="J758" s="11"/>
    </row>
    <row r="759" spans="2:10" s="9" customFormat="1" x14ac:dyDescent="0.2">
      <c r="B759" s="10"/>
      <c r="C759" s="11"/>
      <c r="D759" s="11"/>
      <c r="E759" s="12"/>
      <c r="F759" s="41"/>
      <c r="G759" s="30"/>
      <c r="H759" s="30"/>
      <c r="I759" s="11"/>
      <c r="J759" s="11"/>
    </row>
    <row r="760" spans="2:10" s="9" customFormat="1" x14ac:dyDescent="0.2">
      <c r="B760" s="10"/>
      <c r="C760" s="11"/>
      <c r="D760" s="11"/>
      <c r="E760" s="12"/>
      <c r="F760" s="41"/>
      <c r="G760" s="30"/>
      <c r="H760" s="30"/>
      <c r="I760" s="11"/>
      <c r="J760" s="11"/>
    </row>
    <row r="761" spans="2:10" s="9" customFormat="1" x14ac:dyDescent="0.2">
      <c r="B761" s="10"/>
      <c r="C761" s="11"/>
      <c r="D761" s="11"/>
      <c r="E761" s="12"/>
      <c r="F761" s="41"/>
      <c r="G761" s="30"/>
      <c r="H761" s="30"/>
      <c r="I761" s="11"/>
      <c r="J761" s="11"/>
    </row>
    <row r="762" spans="2:10" s="9" customFormat="1" x14ac:dyDescent="0.2">
      <c r="B762" s="10"/>
      <c r="C762" s="11"/>
      <c r="D762" s="11"/>
      <c r="E762" s="12"/>
      <c r="F762" s="41"/>
      <c r="G762" s="30"/>
      <c r="H762" s="30"/>
      <c r="I762" s="11"/>
      <c r="J762" s="11"/>
    </row>
    <row r="763" spans="2:10" s="9" customFormat="1" x14ac:dyDescent="0.2">
      <c r="B763" s="10"/>
      <c r="C763" s="11"/>
      <c r="D763" s="11"/>
      <c r="E763" s="12"/>
      <c r="F763" s="41"/>
      <c r="G763" s="30"/>
      <c r="H763" s="30"/>
      <c r="I763" s="11"/>
      <c r="J763" s="11"/>
    </row>
    <row r="764" spans="2:10" s="9" customFormat="1" x14ac:dyDescent="0.2">
      <c r="B764" s="10"/>
      <c r="C764" s="11"/>
      <c r="D764" s="11"/>
      <c r="E764" s="12"/>
      <c r="F764" s="41"/>
      <c r="G764" s="30"/>
      <c r="H764" s="30"/>
      <c r="I764" s="11"/>
      <c r="J764" s="11"/>
    </row>
    <row r="765" spans="2:10" s="9" customFormat="1" x14ac:dyDescent="0.2">
      <c r="B765" s="10"/>
      <c r="C765" s="11"/>
      <c r="D765" s="11"/>
      <c r="E765" s="12"/>
      <c r="F765" s="41"/>
      <c r="G765" s="30"/>
      <c r="H765" s="30"/>
      <c r="I765" s="11"/>
      <c r="J765" s="11"/>
    </row>
    <row r="766" spans="2:10" s="9" customFormat="1" x14ac:dyDescent="0.2">
      <c r="B766" s="10"/>
      <c r="C766" s="11"/>
      <c r="D766" s="11"/>
      <c r="E766" s="12"/>
      <c r="F766" s="41"/>
      <c r="G766" s="30"/>
      <c r="H766" s="30"/>
      <c r="I766" s="11"/>
      <c r="J766" s="11"/>
    </row>
    <row r="767" spans="2:10" s="9" customFormat="1" x14ac:dyDescent="0.2">
      <c r="B767" s="10"/>
      <c r="C767" s="11"/>
      <c r="D767" s="11"/>
      <c r="E767" s="12"/>
      <c r="F767" s="41"/>
      <c r="G767" s="30"/>
      <c r="H767" s="30"/>
      <c r="I767" s="11"/>
      <c r="J767" s="11"/>
    </row>
    <row r="768" spans="2:10" s="9" customFormat="1" x14ac:dyDescent="0.2">
      <c r="B768" s="10"/>
      <c r="C768" s="11"/>
      <c r="D768" s="11"/>
      <c r="E768" s="12"/>
      <c r="F768" s="41"/>
      <c r="G768" s="30"/>
      <c r="H768" s="30"/>
      <c r="I768" s="11"/>
      <c r="J768" s="11"/>
    </row>
    <row r="769" spans="2:10" s="9" customFormat="1" x14ac:dyDescent="0.2">
      <c r="B769" s="10"/>
      <c r="C769" s="11"/>
      <c r="D769" s="11"/>
      <c r="E769" s="12"/>
      <c r="F769" s="41"/>
      <c r="G769" s="30"/>
      <c r="H769" s="30"/>
      <c r="I769" s="11"/>
      <c r="J769" s="11"/>
    </row>
    <row r="770" spans="2:10" s="9" customFormat="1" x14ac:dyDescent="0.2">
      <c r="B770" s="10"/>
      <c r="C770" s="11"/>
      <c r="D770" s="11"/>
      <c r="E770" s="12"/>
      <c r="F770" s="41"/>
      <c r="G770" s="30"/>
      <c r="H770" s="30"/>
      <c r="I770" s="11"/>
      <c r="J770" s="11"/>
    </row>
    <row r="771" spans="2:10" s="9" customFormat="1" x14ac:dyDescent="0.2">
      <c r="B771" s="10"/>
      <c r="C771" s="11"/>
      <c r="D771" s="11"/>
      <c r="E771" s="12"/>
      <c r="F771" s="41"/>
      <c r="G771" s="30"/>
      <c r="H771" s="30"/>
      <c r="I771" s="11"/>
      <c r="J771" s="11"/>
    </row>
    <row r="772" spans="2:10" s="9" customFormat="1" x14ac:dyDescent="0.2">
      <c r="B772" s="10"/>
      <c r="C772" s="11"/>
      <c r="D772" s="11"/>
      <c r="E772" s="12"/>
      <c r="F772" s="41"/>
      <c r="G772" s="30"/>
      <c r="H772" s="30"/>
      <c r="I772" s="11"/>
      <c r="J772" s="11"/>
    </row>
    <row r="773" spans="2:10" s="9" customFormat="1" x14ac:dyDescent="0.2">
      <c r="B773" s="10"/>
      <c r="C773" s="11"/>
      <c r="D773" s="11"/>
      <c r="E773" s="12"/>
      <c r="F773" s="41"/>
      <c r="G773" s="30"/>
      <c r="H773" s="30"/>
      <c r="I773" s="11"/>
      <c r="J773" s="11"/>
    </row>
    <row r="774" spans="2:10" s="9" customFormat="1" x14ac:dyDescent="0.2">
      <c r="B774" s="10"/>
      <c r="C774" s="11"/>
      <c r="D774" s="11"/>
      <c r="E774" s="12"/>
      <c r="F774" s="41"/>
      <c r="G774" s="30"/>
      <c r="H774" s="30"/>
      <c r="I774" s="11"/>
      <c r="J774" s="11"/>
    </row>
    <row r="775" spans="2:10" s="9" customFormat="1" x14ac:dyDescent="0.2">
      <c r="B775" s="10"/>
      <c r="C775" s="11"/>
      <c r="D775" s="11"/>
      <c r="E775" s="12"/>
      <c r="F775" s="41"/>
      <c r="G775" s="30"/>
      <c r="H775" s="30"/>
      <c r="I775" s="11"/>
      <c r="J775" s="11"/>
    </row>
    <row r="776" spans="2:10" s="9" customFormat="1" x14ac:dyDescent="0.2">
      <c r="B776" s="10"/>
      <c r="C776" s="11"/>
      <c r="D776" s="11"/>
      <c r="E776" s="12"/>
      <c r="F776" s="41"/>
      <c r="G776" s="30"/>
      <c r="H776" s="30"/>
      <c r="I776" s="11"/>
      <c r="J776" s="11"/>
    </row>
    <row r="777" spans="2:10" s="9" customFormat="1" x14ac:dyDescent="0.2">
      <c r="B777" s="10"/>
      <c r="C777" s="11"/>
      <c r="D777" s="11"/>
      <c r="E777" s="12"/>
      <c r="F777" s="41"/>
      <c r="G777" s="30"/>
      <c r="H777" s="30"/>
      <c r="I777" s="11"/>
      <c r="J777" s="11"/>
    </row>
    <row r="778" spans="2:10" s="9" customFormat="1" x14ac:dyDescent="0.2">
      <c r="B778" s="10"/>
      <c r="C778" s="11"/>
      <c r="D778" s="11"/>
      <c r="E778" s="12"/>
      <c r="F778" s="41"/>
      <c r="G778" s="30"/>
      <c r="H778" s="30"/>
      <c r="I778" s="11"/>
      <c r="J778" s="11"/>
    </row>
    <row r="779" spans="2:10" s="9" customFormat="1" x14ac:dyDescent="0.2">
      <c r="B779" s="10"/>
      <c r="C779" s="11"/>
      <c r="D779" s="11"/>
      <c r="E779" s="12"/>
      <c r="F779" s="41"/>
      <c r="G779" s="30"/>
      <c r="H779" s="30"/>
      <c r="I779" s="11"/>
      <c r="J779" s="11"/>
    </row>
    <row r="780" spans="2:10" s="9" customFormat="1" x14ac:dyDescent="0.2">
      <c r="B780" s="10"/>
      <c r="C780" s="11"/>
      <c r="D780" s="11"/>
      <c r="E780" s="12"/>
      <c r="F780" s="41"/>
      <c r="G780" s="30"/>
      <c r="H780" s="30"/>
      <c r="I780" s="11"/>
      <c r="J780" s="11"/>
    </row>
    <row r="781" spans="2:10" s="9" customFormat="1" x14ac:dyDescent="0.2">
      <c r="B781" s="10"/>
      <c r="C781" s="11"/>
      <c r="D781" s="11"/>
      <c r="E781" s="12"/>
      <c r="F781" s="41"/>
      <c r="G781" s="30"/>
      <c r="H781" s="30"/>
      <c r="I781" s="11"/>
      <c r="J781" s="11"/>
    </row>
    <row r="782" spans="2:10" s="9" customFormat="1" x14ac:dyDescent="0.2">
      <c r="B782" s="10"/>
      <c r="C782" s="11"/>
      <c r="D782" s="11"/>
      <c r="E782" s="12"/>
      <c r="F782" s="41"/>
      <c r="G782" s="30"/>
      <c r="H782" s="30"/>
      <c r="I782" s="11"/>
      <c r="J782" s="11"/>
    </row>
    <row r="783" spans="2:10" s="9" customFormat="1" x14ac:dyDescent="0.2">
      <c r="B783" s="10"/>
      <c r="C783" s="11"/>
      <c r="D783" s="11"/>
      <c r="E783" s="12"/>
      <c r="F783" s="41"/>
      <c r="G783" s="30"/>
      <c r="H783" s="30"/>
      <c r="I783" s="11"/>
      <c r="J783" s="11"/>
    </row>
    <row r="784" spans="2:10" s="9" customFormat="1" x14ac:dyDescent="0.2">
      <c r="B784" s="10"/>
      <c r="C784" s="11"/>
      <c r="D784" s="11"/>
      <c r="E784" s="12"/>
      <c r="F784" s="41"/>
      <c r="G784" s="30"/>
      <c r="H784" s="30"/>
      <c r="I784" s="11"/>
      <c r="J784" s="11"/>
    </row>
    <row r="785" spans="2:10" s="9" customFormat="1" x14ac:dyDescent="0.2">
      <c r="B785" s="10"/>
      <c r="C785" s="11"/>
      <c r="D785" s="11"/>
      <c r="E785" s="12"/>
      <c r="F785" s="41"/>
      <c r="G785" s="30"/>
      <c r="H785" s="30"/>
      <c r="I785" s="11"/>
      <c r="J785" s="11"/>
    </row>
    <row r="786" spans="2:10" s="9" customFormat="1" x14ac:dyDescent="0.2">
      <c r="B786" s="10"/>
      <c r="C786" s="11"/>
      <c r="D786" s="11"/>
      <c r="E786" s="12"/>
      <c r="F786" s="41"/>
      <c r="G786" s="30"/>
      <c r="H786" s="30"/>
      <c r="I786" s="11"/>
      <c r="J786" s="11"/>
    </row>
    <row r="787" spans="2:10" s="9" customFormat="1" x14ac:dyDescent="0.2">
      <c r="B787" s="10"/>
      <c r="C787" s="11"/>
      <c r="D787" s="11"/>
      <c r="E787" s="12"/>
      <c r="F787" s="41"/>
      <c r="G787" s="30"/>
      <c r="H787" s="30"/>
      <c r="I787" s="11"/>
      <c r="J787" s="11"/>
    </row>
    <row r="788" spans="2:10" s="9" customFormat="1" x14ac:dyDescent="0.2">
      <c r="B788" s="10"/>
      <c r="C788" s="11"/>
      <c r="D788" s="11"/>
      <c r="E788" s="12"/>
      <c r="F788" s="41"/>
      <c r="G788" s="30"/>
      <c r="H788" s="30"/>
      <c r="I788" s="11"/>
      <c r="J788" s="11"/>
    </row>
    <row r="789" spans="2:10" s="9" customFormat="1" x14ac:dyDescent="0.2">
      <c r="B789" s="10"/>
      <c r="C789" s="11"/>
      <c r="D789" s="11"/>
      <c r="E789" s="12"/>
      <c r="F789" s="41"/>
      <c r="G789" s="30"/>
      <c r="H789" s="30"/>
      <c r="I789" s="11"/>
      <c r="J789" s="11"/>
    </row>
    <row r="790" spans="2:10" s="9" customFormat="1" x14ac:dyDescent="0.2">
      <c r="B790" s="10"/>
      <c r="C790" s="11"/>
      <c r="D790" s="11"/>
      <c r="E790" s="12"/>
      <c r="F790" s="41"/>
      <c r="G790" s="30"/>
      <c r="H790" s="30"/>
      <c r="I790" s="11"/>
      <c r="J790" s="11"/>
    </row>
    <row r="791" spans="2:10" s="9" customFormat="1" x14ac:dyDescent="0.2">
      <c r="B791" s="10"/>
      <c r="C791" s="11"/>
      <c r="D791" s="11"/>
      <c r="E791" s="12"/>
      <c r="F791" s="41"/>
      <c r="G791" s="30"/>
      <c r="H791" s="30"/>
      <c r="I791" s="11"/>
      <c r="J791" s="11"/>
    </row>
    <row r="792" spans="2:10" s="9" customFormat="1" x14ac:dyDescent="0.2">
      <c r="B792" s="10"/>
      <c r="C792" s="11"/>
      <c r="D792" s="11"/>
      <c r="E792" s="12"/>
      <c r="F792" s="41"/>
      <c r="G792" s="30"/>
      <c r="H792" s="30"/>
      <c r="I792" s="11"/>
      <c r="J792" s="11"/>
    </row>
    <row r="793" spans="2:10" s="9" customFormat="1" x14ac:dyDescent="0.2">
      <c r="B793" s="10"/>
      <c r="C793" s="11"/>
      <c r="D793" s="11"/>
      <c r="E793" s="12"/>
      <c r="F793" s="41"/>
      <c r="G793" s="30"/>
      <c r="H793" s="30"/>
      <c r="I793" s="11"/>
      <c r="J793" s="11"/>
    </row>
    <row r="794" spans="2:10" s="9" customFormat="1" x14ac:dyDescent="0.2">
      <c r="B794" s="10"/>
      <c r="C794" s="11"/>
      <c r="D794" s="11"/>
      <c r="E794" s="12"/>
      <c r="F794" s="41"/>
      <c r="G794" s="30"/>
      <c r="H794" s="30"/>
      <c r="I794" s="11"/>
      <c r="J794" s="11"/>
    </row>
    <row r="795" spans="2:10" s="9" customFormat="1" x14ac:dyDescent="0.2">
      <c r="B795" s="10"/>
      <c r="C795" s="11"/>
      <c r="D795" s="11"/>
      <c r="E795" s="12"/>
      <c r="F795" s="41"/>
      <c r="G795" s="30"/>
      <c r="H795" s="30"/>
      <c r="I795" s="11"/>
      <c r="J795" s="11"/>
    </row>
    <row r="796" spans="2:10" s="9" customFormat="1" x14ac:dyDescent="0.2">
      <c r="B796" s="10"/>
      <c r="C796" s="11"/>
      <c r="D796" s="11"/>
      <c r="E796" s="12"/>
      <c r="F796" s="41"/>
      <c r="G796" s="30"/>
      <c r="H796" s="30"/>
      <c r="I796" s="11"/>
      <c r="J796" s="11"/>
    </row>
    <row r="797" spans="2:10" s="9" customFormat="1" x14ac:dyDescent="0.2">
      <c r="B797" s="10"/>
      <c r="C797" s="11"/>
      <c r="D797" s="11"/>
      <c r="E797" s="12"/>
      <c r="F797" s="41"/>
      <c r="G797" s="30"/>
      <c r="H797" s="30"/>
      <c r="I797" s="11"/>
      <c r="J797" s="11"/>
    </row>
    <row r="798" spans="2:10" s="9" customFormat="1" x14ac:dyDescent="0.2">
      <c r="B798" s="10"/>
      <c r="C798" s="11"/>
      <c r="D798" s="11"/>
      <c r="E798" s="12"/>
      <c r="F798" s="41"/>
      <c r="G798" s="30"/>
      <c r="H798" s="30"/>
      <c r="I798" s="11"/>
      <c r="J798" s="11"/>
    </row>
    <row r="799" spans="2:10" s="9" customFormat="1" x14ac:dyDescent="0.2">
      <c r="B799" s="10"/>
      <c r="C799" s="11"/>
      <c r="D799" s="11"/>
      <c r="E799" s="12"/>
      <c r="F799" s="41"/>
      <c r="G799" s="30"/>
      <c r="H799" s="30"/>
      <c r="I799" s="11"/>
      <c r="J799" s="11"/>
    </row>
    <row r="800" spans="2:10" s="9" customFormat="1" x14ac:dyDescent="0.2">
      <c r="B800" s="10"/>
      <c r="C800" s="11"/>
      <c r="D800" s="11"/>
      <c r="E800" s="12"/>
      <c r="F800" s="41"/>
      <c r="G800" s="30"/>
      <c r="H800" s="30"/>
      <c r="I800" s="11"/>
      <c r="J800" s="11"/>
    </row>
    <row r="801" spans="2:10" s="9" customFormat="1" x14ac:dyDescent="0.2">
      <c r="B801" s="10"/>
      <c r="C801" s="11"/>
      <c r="D801" s="11"/>
      <c r="E801" s="12"/>
      <c r="F801" s="41"/>
      <c r="G801" s="30"/>
      <c r="H801" s="30"/>
      <c r="I801" s="11"/>
      <c r="J801" s="11"/>
    </row>
    <row r="802" spans="2:10" s="9" customFormat="1" x14ac:dyDescent="0.2">
      <c r="B802" s="10"/>
      <c r="C802" s="11"/>
      <c r="D802" s="11"/>
      <c r="E802" s="12"/>
      <c r="F802" s="41"/>
      <c r="G802" s="30"/>
      <c r="H802" s="30"/>
      <c r="I802" s="11"/>
      <c r="J802" s="11"/>
    </row>
    <row r="803" spans="2:10" s="9" customFormat="1" x14ac:dyDescent="0.2">
      <c r="B803" s="10"/>
      <c r="C803" s="11"/>
      <c r="D803" s="11"/>
      <c r="E803" s="12"/>
      <c r="F803" s="41"/>
      <c r="G803" s="30"/>
      <c r="H803" s="30"/>
      <c r="I803" s="11"/>
      <c r="J803" s="11"/>
    </row>
    <row r="804" spans="2:10" s="9" customFormat="1" x14ac:dyDescent="0.2">
      <c r="B804" s="10"/>
      <c r="C804" s="11"/>
      <c r="D804" s="11"/>
      <c r="E804" s="12"/>
      <c r="F804" s="41"/>
      <c r="G804" s="30"/>
      <c r="H804" s="30"/>
      <c r="I804" s="11"/>
      <c r="J804" s="11"/>
    </row>
    <row r="805" spans="2:10" s="9" customFormat="1" x14ac:dyDescent="0.2">
      <c r="B805" s="10"/>
      <c r="C805" s="11"/>
      <c r="D805" s="11"/>
      <c r="E805" s="12"/>
      <c r="F805" s="41"/>
      <c r="G805" s="30"/>
      <c r="H805" s="30"/>
      <c r="I805" s="11"/>
      <c r="J805" s="11"/>
    </row>
    <row r="806" spans="2:10" s="9" customFormat="1" x14ac:dyDescent="0.2">
      <c r="B806" s="10"/>
      <c r="C806" s="11"/>
      <c r="D806" s="11"/>
      <c r="E806" s="12"/>
      <c r="F806" s="41"/>
      <c r="G806" s="30"/>
      <c r="H806" s="30"/>
      <c r="I806" s="11"/>
      <c r="J806" s="11"/>
    </row>
    <row r="807" spans="2:10" s="9" customFormat="1" x14ac:dyDescent="0.2">
      <c r="B807" s="10"/>
      <c r="C807" s="11"/>
      <c r="D807" s="11"/>
      <c r="E807" s="12"/>
      <c r="F807" s="41"/>
      <c r="G807" s="30"/>
      <c r="H807" s="30"/>
      <c r="I807" s="11"/>
      <c r="J807" s="11"/>
    </row>
    <row r="808" spans="2:10" s="9" customFormat="1" x14ac:dyDescent="0.2">
      <c r="B808" s="10"/>
      <c r="C808" s="11"/>
      <c r="D808" s="11"/>
      <c r="E808" s="12"/>
      <c r="F808" s="41"/>
      <c r="G808" s="30"/>
      <c r="H808" s="30"/>
      <c r="I808" s="11"/>
      <c r="J808" s="11"/>
    </row>
    <row r="809" spans="2:10" s="9" customFormat="1" x14ac:dyDescent="0.2">
      <c r="B809" s="10"/>
      <c r="C809" s="11"/>
      <c r="D809" s="11"/>
      <c r="E809" s="12"/>
      <c r="F809" s="41"/>
      <c r="G809" s="30"/>
      <c r="H809" s="30"/>
      <c r="I809" s="11"/>
      <c r="J809" s="11"/>
    </row>
    <row r="810" spans="2:10" s="9" customFormat="1" x14ac:dyDescent="0.2">
      <c r="B810" s="10"/>
      <c r="C810" s="11"/>
      <c r="D810" s="11"/>
      <c r="E810" s="12"/>
      <c r="F810" s="41"/>
      <c r="G810" s="30"/>
      <c r="H810" s="30"/>
      <c r="I810" s="11"/>
      <c r="J810" s="11"/>
    </row>
    <row r="811" spans="2:10" s="9" customFormat="1" x14ac:dyDescent="0.2">
      <c r="B811" s="10"/>
      <c r="C811" s="11"/>
      <c r="D811" s="11"/>
      <c r="E811" s="12"/>
      <c r="F811" s="41"/>
      <c r="G811" s="30"/>
      <c r="H811" s="30"/>
      <c r="I811" s="11"/>
      <c r="J811" s="11"/>
    </row>
    <row r="812" spans="2:10" s="9" customFormat="1" x14ac:dyDescent="0.2">
      <c r="B812" s="10"/>
      <c r="C812" s="11"/>
      <c r="D812" s="11"/>
      <c r="E812" s="12"/>
      <c r="F812" s="41"/>
      <c r="G812" s="30"/>
      <c r="H812" s="30"/>
      <c r="I812" s="11"/>
      <c r="J812" s="11"/>
    </row>
    <row r="813" spans="2:10" s="9" customFormat="1" x14ac:dyDescent="0.2">
      <c r="B813" s="10"/>
      <c r="C813" s="11"/>
      <c r="D813" s="11"/>
      <c r="E813" s="12"/>
      <c r="F813" s="41"/>
      <c r="G813" s="30"/>
      <c r="H813" s="30"/>
      <c r="I813" s="11"/>
      <c r="J813" s="11"/>
    </row>
    <row r="814" spans="2:10" s="9" customFormat="1" x14ac:dyDescent="0.2">
      <c r="B814" s="10"/>
      <c r="C814" s="11"/>
      <c r="D814" s="11"/>
      <c r="E814" s="12"/>
      <c r="F814" s="41"/>
      <c r="G814" s="30"/>
      <c r="H814" s="30"/>
      <c r="I814" s="11"/>
      <c r="J814" s="11"/>
    </row>
    <row r="815" spans="2:10" s="9" customFormat="1" x14ac:dyDescent="0.2">
      <c r="B815" s="10"/>
      <c r="C815" s="11"/>
      <c r="D815" s="11"/>
      <c r="E815" s="12"/>
      <c r="F815" s="41"/>
      <c r="G815" s="30"/>
      <c r="H815" s="30"/>
      <c r="I815" s="11"/>
      <c r="J815" s="11"/>
    </row>
    <row r="816" spans="2:10" s="9" customFormat="1" x14ac:dyDescent="0.2">
      <c r="B816" s="10"/>
      <c r="C816" s="11"/>
      <c r="D816" s="11"/>
      <c r="E816" s="12"/>
      <c r="F816" s="41"/>
      <c r="G816" s="30"/>
      <c r="H816" s="30"/>
      <c r="I816" s="11"/>
      <c r="J816" s="11"/>
    </row>
    <row r="817" spans="2:10" s="9" customFormat="1" x14ac:dyDescent="0.2">
      <c r="B817" s="10"/>
      <c r="C817" s="11"/>
      <c r="D817" s="11"/>
      <c r="E817" s="12"/>
      <c r="F817" s="41"/>
      <c r="G817" s="30"/>
      <c r="H817" s="30"/>
      <c r="I817" s="11"/>
      <c r="J817" s="11"/>
    </row>
    <row r="818" spans="2:10" s="9" customFormat="1" x14ac:dyDescent="0.2">
      <c r="B818" s="10"/>
      <c r="C818" s="11"/>
      <c r="D818" s="11"/>
      <c r="E818" s="12"/>
      <c r="F818" s="41"/>
      <c r="G818" s="30"/>
      <c r="H818" s="30"/>
      <c r="I818" s="11"/>
      <c r="J818" s="11"/>
    </row>
    <row r="819" spans="2:10" s="9" customFormat="1" x14ac:dyDescent="0.2">
      <c r="B819" s="10"/>
      <c r="C819" s="11"/>
      <c r="D819" s="11"/>
      <c r="E819" s="12"/>
      <c r="F819" s="41"/>
      <c r="G819" s="30"/>
      <c r="H819" s="30"/>
      <c r="I819" s="11"/>
      <c r="J819" s="11"/>
    </row>
    <row r="820" spans="2:10" s="9" customFormat="1" x14ac:dyDescent="0.2">
      <c r="B820" s="10"/>
      <c r="C820" s="11"/>
      <c r="D820" s="11"/>
      <c r="E820" s="12"/>
      <c r="F820" s="41"/>
      <c r="G820" s="30"/>
      <c r="H820" s="30"/>
      <c r="I820" s="11"/>
      <c r="J820" s="11"/>
    </row>
    <row r="821" spans="2:10" s="9" customFormat="1" x14ac:dyDescent="0.2">
      <c r="B821" s="10"/>
      <c r="C821" s="11"/>
      <c r="D821" s="11"/>
      <c r="E821" s="12"/>
      <c r="F821" s="41"/>
      <c r="G821" s="30"/>
      <c r="H821" s="30"/>
      <c r="I821" s="11"/>
      <c r="J821" s="11"/>
    </row>
    <row r="822" spans="2:10" s="9" customFormat="1" x14ac:dyDescent="0.2">
      <c r="B822" s="10"/>
      <c r="C822" s="11"/>
      <c r="D822" s="11"/>
      <c r="E822" s="12"/>
      <c r="F822" s="41"/>
      <c r="G822" s="30"/>
      <c r="H822" s="30"/>
      <c r="I822" s="11"/>
      <c r="J822" s="11"/>
    </row>
    <row r="823" spans="2:10" s="9" customFormat="1" x14ac:dyDescent="0.2">
      <c r="B823" s="10"/>
      <c r="C823" s="11"/>
      <c r="D823" s="11"/>
      <c r="E823" s="12"/>
      <c r="F823" s="41"/>
      <c r="G823" s="30"/>
      <c r="H823" s="30"/>
      <c r="I823" s="11"/>
      <c r="J823" s="11"/>
    </row>
    <row r="824" spans="2:10" s="9" customFormat="1" x14ac:dyDescent="0.2">
      <c r="B824" s="10"/>
      <c r="C824" s="11"/>
      <c r="D824" s="11"/>
      <c r="E824" s="12"/>
      <c r="F824" s="41"/>
      <c r="G824" s="30"/>
      <c r="H824" s="30"/>
      <c r="I824" s="11"/>
      <c r="J824" s="11"/>
    </row>
    <row r="825" spans="2:10" s="9" customFormat="1" x14ac:dyDescent="0.2">
      <c r="B825" s="10"/>
      <c r="C825" s="11"/>
      <c r="D825" s="11"/>
      <c r="E825" s="12"/>
      <c r="F825" s="41"/>
      <c r="G825" s="30"/>
      <c r="H825" s="30"/>
      <c r="I825" s="11"/>
      <c r="J825" s="11"/>
    </row>
    <row r="826" spans="2:10" s="9" customFormat="1" x14ac:dyDescent="0.2">
      <c r="B826" s="10"/>
      <c r="C826" s="11"/>
      <c r="D826" s="11"/>
      <c r="E826" s="12"/>
      <c r="F826" s="41"/>
      <c r="G826" s="30"/>
      <c r="H826" s="30"/>
      <c r="I826" s="11"/>
      <c r="J826" s="11"/>
    </row>
    <row r="827" spans="2:10" s="9" customFormat="1" x14ac:dyDescent="0.2">
      <c r="B827" s="10"/>
      <c r="C827" s="11"/>
      <c r="D827" s="11"/>
      <c r="E827" s="12"/>
      <c r="F827" s="41"/>
      <c r="G827" s="30"/>
      <c r="H827" s="30"/>
      <c r="I827" s="11"/>
      <c r="J827" s="11"/>
    </row>
    <row r="828" spans="2:10" s="9" customFormat="1" x14ac:dyDescent="0.2">
      <c r="B828" s="10"/>
      <c r="C828" s="11"/>
      <c r="D828" s="11"/>
      <c r="E828" s="12"/>
      <c r="F828" s="41"/>
      <c r="G828" s="30"/>
      <c r="H828" s="30"/>
      <c r="I828" s="11"/>
      <c r="J828" s="11"/>
    </row>
    <row r="829" spans="2:10" s="9" customFormat="1" x14ac:dyDescent="0.2">
      <c r="B829" s="10"/>
      <c r="C829" s="11"/>
      <c r="D829" s="11"/>
      <c r="E829" s="12"/>
      <c r="F829" s="41"/>
      <c r="G829" s="30"/>
      <c r="H829" s="30"/>
      <c r="I829" s="11"/>
      <c r="J829" s="11"/>
    </row>
    <row r="830" spans="2:10" s="9" customFormat="1" x14ac:dyDescent="0.2">
      <c r="B830" s="10"/>
      <c r="C830" s="11"/>
      <c r="D830" s="11"/>
      <c r="E830" s="12"/>
      <c r="F830" s="41"/>
      <c r="G830" s="30"/>
      <c r="H830" s="30"/>
      <c r="I830" s="11"/>
      <c r="J830" s="11"/>
    </row>
    <row r="831" spans="2:10" s="9" customFormat="1" x14ac:dyDescent="0.2">
      <c r="B831" s="10"/>
      <c r="C831" s="11"/>
      <c r="D831" s="11"/>
      <c r="E831" s="12"/>
      <c r="F831" s="41"/>
      <c r="G831" s="30"/>
      <c r="H831" s="30"/>
      <c r="I831" s="11"/>
      <c r="J831" s="11"/>
    </row>
    <row r="832" spans="2:10" s="9" customFormat="1" x14ac:dyDescent="0.2">
      <c r="B832" s="10"/>
      <c r="C832" s="11"/>
      <c r="D832" s="11"/>
      <c r="E832" s="12"/>
      <c r="F832" s="41"/>
      <c r="G832" s="30"/>
      <c r="H832" s="30"/>
      <c r="I832" s="11"/>
      <c r="J832" s="11"/>
    </row>
    <row r="833" spans="2:10" s="9" customFormat="1" x14ac:dyDescent="0.2">
      <c r="B833" s="10"/>
      <c r="C833" s="11"/>
      <c r="D833" s="11"/>
      <c r="E833" s="12"/>
      <c r="F833" s="41"/>
      <c r="G833" s="30"/>
      <c r="H833" s="30"/>
      <c r="I833" s="11"/>
      <c r="J833" s="11"/>
    </row>
    <row r="834" spans="2:10" s="9" customFormat="1" x14ac:dyDescent="0.2">
      <c r="B834" s="10"/>
      <c r="C834" s="11"/>
      <c r="D834" s="11"/>
      <c r="E834" s="12"/>
      <c r="F834" s="41"/>
      <c r="G834" s="30"/>
      <c r="H834" s="30"/>
      <c r="I834" s="11"/>
      <c r="J834" s="11"/>
    </row>
    <row r="835" spans="2:10" s="9" customFormat="1" x14ac:dyDescent="0.2">
      <c r="B835" s="10"/>
      <c r="C835" s="11"/>
      <c r="D835" s="11"/>
      <c r="E835" s="12"/>
      <c r="F835" s="41"/>
      <c r="G835" s="30"/>
      <c r="H835" s="30"/>
      <c r="I835" s="11"/>
      <c r="J835" s="11"/>
    </row>
    <row r="836" spans="2:10" s="9" customFormat="1" x14ac:dyDescent="0.2">
      <c r="B836" s="10"/>
      <c r="C836" s="11"/>
      <c r="D836" s="11"/>
      <c r="E836" s="12"/>
      <c r="F836" s="41"/>
      <c r="G836" s="30"/>
      <c r="H836" s="30"/>
      <c r="I836" s="11"/>
      <c r="J836" s="11"/>
    </row>
    <row r="837" spans="2:10" s="9" customFormat="1" x14ac:dyDescent="0.2">
      <c r="B837" s="10"/>
      <c r="C837" s="11"/>
      <c r="D837" s="11"/>
      <c r="E837" s="12"/>
      <c r="F837" s="41"/>
      <c r="G837" s="30"/>
      <c r="H837" s="30"/>
      <c r="I837" s="11"/>
      <c r="J837" s="11"/>
    </row>
    <row r="838" spans="2:10" s="9" customFormat="1" x14ac:dyDescent="0.2">
      <c r="B838" s="10"/>
      <c r="C838" s="11"/>
      <c r="D838" s="11"/>
      <c r="E838" s="12"/>
      <c r="F838" s="41"/>
      <c r="G838" s="30"/>
      <c r="H838" s="30"/>
      <c r="I838" s="11"/>
      <c r="J838" s="11"/>
    </row>
    <row r="839" spans="2:10" s="9" customFormat="1" x14ac:dyDescent="0.2">
      <c r="B839" s="10"/>
      <c r="C839" s="11"/>
      <c r="D839" s="11"/>
      <c r="E839" s="12"/>
      <c r="F839" s="41"/>
      <c r="G839" s="30"/>
      <c r="H839" s="30"/>
      <c r="I839" s="11"/>
      <c r="J839" s="11"/>
    </row>
    <row r="840" spans="2:10" s="9" customFormat="1" x14ac:dyDescent="0.2">
      <c r="B840" s="10"/>
      <c r="C840" s="11"/>
      <c r="D840" s="11"/>
      <c r="E840" s="12"/>
      <c r="F840" s="41"/>
      <c r="G840" s="30"/>
      <c r="H840" s="30"/>
      <c r="I840" s="11"/>
      <c r="J840" s="11"/>
    </row>
    <row r="841" spans="2:10" s="9" customFormat="1" x14ac:dyDescent="0.2">
      <c r="B841" s="10"/>
      <c r="C841" s="11"/>
      <c r="D841" s="11"/>
      <c r="E841" s="12"/>
      <c r="F841" s="41"/>
      <c r="G841" s="30"/>
      <c r="H841" s="30"/>
      <c r="I841" s="11"/>
      <c r="J841" s="11"/>
    </row>
    <row r="842" spans="2:10" s="9" customFormat="1" x14ac:dyDescent="0.2">
      <c r="B842" s="10"/>
      <c r="C842" s="11"/>
      <c r="D842" s="11"/>
      <c r="E842" s="12"/>
      <c r="F842" s="41"/>
      <c r="G842" s="30"/>
      <c r="H842" s="30"/>
      <c r="I842" s="11"/>
      <c r="J842" s="11"/>
    </row>
    <row r="843" spans="2:10" s="9" customFormat="1" x14ac:dyDescent="0.2">
      <c r="B843" s="10"/>
      <c r="C843" s="11"/>
      <c r="D843" s="11"/>
      <c r="E843" s="12"/>
      <c r="F843" s="41"/>
      <c r="G843" s="30"/>
      <c r="H843" s="30"/>
      <c r="I843" s="11"/>
      <c r="J843" s="11"/>
    </row>
    <row r="844" spans="2:10" s="9" customFormat="1" x14ac:dyDescent="0.2">
      <c r="B844" s="10"/>
      <c r="C844" s="11"/>
      <c r="D844" s="11"/>
      <c r="E844" s="12"/>
      <c r="F844" s="41"/>
      <c r="G844" s="30"/>
      <c r="H844" s="30"/>
      <c r="I844" s="11"/>
      <c r="J844" s="11"/>
    </row>
    <row r="845" spans="2:10" s="9" customFormat="1" x14ac:dyDescent="0.2">
      <c r="B845" s="10"/>
      <c r="C845" s="11"/>
      <c r="D845" s="11"/>
      <c r="E845" s="12"/>
      <c r="F845" s="41"/>
      <c r="G845" s="30"/>
      <c r="H845" s="30"/>
      <c r="I845" s="11"/>
      <c r="J845" s="11"/>
    </row>
    <row r="846" spans="2:10" s="9" customFormat="1" x14ac:dyDescent="0.2">
      <c r="B846" s="10"/>
      <c r="C846" s="11"/>
      <c r="D846" s="11"/>
      <c r="E846" s="12"/>
      <c r="F846" s="41"/>
      <c r="G846" s="30"/>
      <c r="H846" s="30"/>
      <c r="I846" s="11"/>
      <c r="J846" s="11"/>
    </row>
    <row r="847" spans="2:10" s="9" customFormat="1" x14ac:dyDescent="0.2">
      <c r="B847" s="10"/>
      <c r="C847" s="11"/>
      <c r="D847" s="11"/>
      <c r="E847" s="12"/>
      <c r="F847" s="41"/>
      <c r="G847" s="30"/>
      <c r="H847" s="30"/>
      <c r="I847" s="11"/>
      <c r="J847" s="11"/>
    </row>
    <row r="848" spans="2:10" s="9" customFormat="1" x14ac:dyDescent="0.2">
      <c r="B848" s="10"/>
      <c r="C848" s="11"/>
      <c r="D848" s="11"/>
      <c r="E848" s="12"/>
      <c r="F848" s="41"/>
      <c r="G848" s="30"/>
      <c r="H848" s="30"/>
      <c r="I848" s="11"/>
      <c r="J848" s="11"/>
    </row>
    <row r="849" spans="2:10" s="9" customFormat="1" x14ac:dyDescent="0.2">
      <c r="B849" s="10"/>
      <c r="C849" s="11"/>
      <c r="D849" s="11"/>
      <c r="E849" s="12"/>
      <c r="F849" s="41"/>
      <c r="G849" s="30"/>
      <c r="H849" s="30"/>
      <c r="I849" s="11"/>
      <c r="J849" s="11"/>
    </row>
    <row r="850" spans="2:10" s="9" customFormat="1" x14ac:dyDescent="0.2">
      <c r="B850" s="10"/>
      <c r="C850" s="11"/>
      <c r="D850" s="11"/>
      <c r="E850" s="12"/>
      <c r="F850" s="41"/>
      <c r="G850" s="30"/>
      <c r="H850" s="30"/>
      <c r="I850" s="11"/>
      <c r="J850" s="11"/>
    </row>
    <row r="851" spans="2:10" s="9" customFormat="1" x14ac:dyDescent="0.2">
      <c r="B851" s="10"/>
      <c r="C851" s="11"/>
      <c r="D851" s="11"/>
      <c r="E851" s="12"/>
      <c r="F851" s="41"/>
      <c r="G851" s="30"/>
      <c r="H851" s="30"/>
      <c r="I851" s="11"/>
      <c r="J851" s="11"/>
    </row>
    <row r="852" spans="2:10" s="9" customFormat="1" x14ac:dyDescent="0.2">
      <c r="B852" s="10"/>
      <c r="C852" s="11"/>
      <c r="D852" s="11"/>
      <c r="E852" s="12"/>
      <c r="F852" s="41"/>
      <c r="G852" s="30"/>
      <c r="H852" s="30"/>
      <c r="I852" s="11"/>
      <c r="J852" s="11"/>
    </row>
    <row r="853" spans="2:10" s="9" customFormat="1" x14ac:dyDescent="0.2">
      <c r="B853" s="10"/>
      <c r="C853" s="11"/>
      <c r="D853" s="11"/>
      <c r="E853" s="12"/>
      <c r="F853" s="41"/>
      <c r="G853" s="30"/>
      <c r="H853" s="30"/>
      <c r="I853" s="11"/>
      <c r="J853" s="11"/>
    </row>
    <row r="854" spans="2:10" s="9" customFormat="1" x14ac:dyDescent="0.2">
      <c r="B854" s="10"/>
      <c r="C854" s="11"/>
      <c r="D854" s="11"/>
      <c r="E854" s="12"/>
      <c r="F854" s="41"/>
      <c r="G854" s="30"/>
      <c r="H854" s="30"/>
      <c r="I854" s="11"/>
      <c r="J854" s="11"/>
    </row>
    <row r="855" spans="2:10" s="9" customFormat="1" x14ac:dyDescent="0.2">
      <c r="B855" s="10"/>
      <c r="C855" s="11"/>
      <c r="D855" s="11"/>
      <c r="E855" s="12"/>
      <c r="F855" s="41"/>
      <c r="G855" s="30"/>
      <c r="H855" s="30"/>
      <c r="I855" s="11"/>
      <c r="J855" s="11"/>
    </row>
    <row r="856" spans="2:10" s="9" customFormat="1" x14ac:dyDescent="0.2">
      <c r="B856" s="10"/>
      <c r="C856" s="11"/>
      <c r="D856" s="11"/>
      <c r="E856" s="12"/>
      <c r="F856" s="41"/>
      <c r="G856" s="30"/>
      <c r="H856" s="30"/>
      <c r="I856" s="11"/>
      <c r="J856" s="11"/>
    </row>
    <row r="857" spans="2:10" s="9" customFormat="1" x14ac:dyDescent="0.2">
      <c r="B857" s="10"/>
      <c r="C857" s="11"/>
      <c r="D857" s="11"/>
      <c r="E857" s="12"/>
      <c r="F857" s="41"/>
      <c r="G857" s="30"/>
      <c r="H857" s="30"/>
      <c r="I857" s="11"/>
      <c r="J857" s="11"/>
    </row>
    <row r="858" spans="2:10" s="9" customFormat="1" x14ac:dyDescent="0.2">
      <c r="B858" s="10"/>
      <c r="C858" s="11"/>
      <c r="D858" s="11"/>
      <c r="E858" s="12"/>
      <c r="F858" s="41"/>
      <c r="G858" s="30"/>
      <c r="H858" s="30"/>
      <c r="I858" s="11"/>
      <c r="J858" s="11"/>
    </row>
    <row r="859" spans="2:10" s="9" customFormat="1" x14ac:dyDescent="0.2">
      <c r="B859" s="10"/>
      <c r="C859" s="11"/>
      <c r="D859" s="11"/>
      <c r="E859" s="12"/>
      <c r="F859" s="41"/>
      <c r="G859" s="30"/>
      <c r="H859" s="30"/>
      <c r="I859" s="11"/>
      <c r="J859" s="11"/>
    </row>
    <row r="860" spans="2:10" s="9" customFormat="1" x14ac:dyDescent="0.2">
      <c r="B860" s="10"/>
      <c r="C860" s="11"/>
      <c r="D860" s="11"/>
      <c r="E860" s="12"/>
      <c r="F860" s="41"/>
      <c r="G860" s="30"/>
      <c r="H860" s="30"/>
      <c r="I860" s="11"/>
      <c r="J860" s="11"/>
    </row>
    <row r="861" spans="2:10" s="9" customFormat="1" x14ac:dyDescent="0.2">
      <c r="B861" s="10"/>
      <c r="C861" s="11"/>
      <c r="D861" s="11"/>
      <c r="E861" s="12"/>
      <c r="F861" s="41"/>
      <c r="G861" s="30"/>
      <c r="H861" s="30"/>
      <c r="I861" s="11"/>
      <c r="J861" s="11"/>
    </row>
    <row r="862" spans="2:10" s="9" customFormat="1" x14ac:dyDescent="0.2">
      <c r="B862" s="10"/>
      <c r="C862" s="11"/>
      <c r="D862" s="11"/>
      <c r="E862" s="12"/>
      <c r="F862" s="41"/>
      <c r="G862" s="30"/>
      <c r="H862" s="30"/>
      <c r="I862" s="11"/>
      <c r="J862" s="11"/>
    </row>
    <row r="863" spans="2:10" s="9" customFormat="1" x14ac:dyDescent="0.2">
      <c r="B863" s="10"/>
      <c r="C863" s="11"/>
      <c r="D863" s="11"/>
      <c r="E863" s="12"/>
      <c r="F863" s="41"/>
      <c r="G863" s="30"/>
      <c r="H863" s="30"/>
      <c r="I863" s="11"/>
      <c r="J863" s="11"/>
    </row>
    <row r="864" spans="2:10" s="9" customFormat="1" x14ac:dyDescent="0.2">
      <c r="B864" s="10"/>
      <c r="C864" s="11"/>
      <c r="D864" s="11"/>
      <c r="E864" s="12"/>
      <c r="F864" s="41"/>
      <c r="G864" s="30"/>
      <c r="H864" s="30"/>
      <c r="I864" s="11"/>
      <c r="J864" s="11"/>
    </row>
    <row r="865" spans="2:10" s="9" customFormat="1" x14ac:dyDescent="0.2">
      <c r="B865" s="10"/>
      <c r="C865" s="11"/>
      <c r="D865" s="11"/>
      <c r="E865" s="12"/>
      <c r="F865" s="41"/>
      <c r="G865" s="30"/>
      <c r="H865" s="30"/>
      <c r="I865" s="11"/>
      <c r="J865" s="11"/>
    </row>
    <row r="866" spans="2:10" s="9" customFormat="1" x14ac:dyDescent="0.2">
      <c r="B866" s="10"/>
      <c r="C866" s="11"/>
      <c r="D866" s="11"/>
      <c r="E866" s="12"/>
      <c r="F866" s="41"/>
      <c r="G866" s="30"/>
      <c r="H866" s="30"/>
      <c r="I866" s="11"/>
      <c r="J866" s="11"/>
    </row>
    <row r="867" spans="2:10" s="9" customFormat="1" x14ac:dyDescent="0.2">
      <c r="B867" s="10"/>
      <c r="C867" s="11"/>
      <c r="D867" s="11"/>
      <c r="E867" s="12"/>
      <c r="F867" s="41"/>
      <c r="G867" s="30"/>
      <c r="H867" s="30"/>
      <c r="I867" s="11"/>
      <c r="J867" s="11"/>
    </row>
    <row r="868" spans="2:10" s="9" customFormat="1" x14ac:dyDescent="0.2">
      <c r="B868" s="10"/>
      <c r="C868" s="11"/>
      <c r="D868" s="11"/>
      <c r="E868" s="12"/>
      <c r="F868" s="41"/>
      <c r="G868" s="30"/>
      <c r="H868" s="30"/>
      <c r="I868" s="11"/>
      <c r="J868" s="11"/>
    </row>
    <row r="869" spans="2:10" s="9" customFormat="1" x14ac:dyDescent="0.2">
      <c r="B869" s="10"/>
      <c r="C869" s="11"/>
      <c r="D869" s="11"/>
      <c r="E869" s="12"/>
      <c r="F869" s="41"/>
      <c r="G869" s="30"/>
      <c r="H869" s="30"/>
      <c r="I869" s="11"/>
      <c r="J869" s="11"/>
    </row>
    <row r="870" spans="2:10" s="9" customFormat="1" x14ac:dyDescent="0.2">
      <c r="B870" s="10"/>
      <c r="C870" s="11"/>
      <c r="D870" s="11"/>
      <c r="E870" s="12"/>
      <c r="F870" s="41"/>
      <c r="G870" s="30"/>
      <c r="H870" s="30"/>
      <c r="I870" s="11"/>
      <c r="J870" s="11"/>
    </row>
    <row r="871" spans="2:10" s="9" customFormat="1" x14ac:dyDescent="0.2">
      <c r="B871" s="10"/>
      <c r="C871" s="11"/>
      <c r="D871" s="11"/>
      <c r="E871" s="12"/>
      <c r="F871" s="41"/>
      <c r="G871" s="30"/>
      <c r="H871" s="30"/>
      <c r="I871" s="11"/>
      <c r="J871" s="11"/>
    </row>
    <row r="872" spans="2:10" s="9" customFormat="1" x14ac:dyDescent="0.2">
      <c r="B872" s="10"/>
      <c r="C872" s="11"/>
      <c r="D872" s="11"/>
      <c r="E872" s="12"/>
      <c r="F872" s="41"/>
      <c r="G872" s="30"/>
      <c r="H872" s="30"/>
      <c r="I872" s="11"/>
      <c r="J872" s="11"/>
    </row>
    <row r="873" spans="2:10" s="9" customFormat="1" x14ac:dyDescent="0.2">
      <c r="B873" s="10"/>
      <c r="C873" s="11"/>
      <c r="D873" s="11"/>
      <c r="E873" s="12"/>
      <c r="F873" s="41"/>
      <c r="G873" s="30"/>
      <c r="H873" s="30"/>
      <c r="I873" s="11"/>
      <c r="J873" s="11"/>
    </row>
    <row r="874" spans="2:10" s="9" customFormat="1" x14ac:dyDescent="0.2">
      <c r="B874" s="10"/>
      <c r="C874" s="11"/>
      <c r="D874" s="11"/>
      <c r="E874" s="12"/>
      <c r="F874" s="41"/>
      <c r="G874" s="30"/>
      <c r="H874" s="30"/>
      <c r="I874" s="11"/>
      <c r="J874" s="11"/>
    </row>
    <row r="875" spans="2:10" s="9" customFormat="1" x14ac:dyDescent="0.2">
      <c r="B875" s="10"/>
      <c r="C875" s="11"/>
      <c r="D875" s="11"/>
      <c r="E875" s="12"/>
      <c r="F875" s="41"/>
      <c r="G875" s="30"/>
      <c r="H875" s="30"/>
      <c r="I875" s="11"/>
      <c r="J875" s="11"/>
    </row>
    <row r="876" spans="2:10" s="9" customFormat="1" x14ac:dyDescent="0.2">
      <c r="B876" s="10"/>
      <c r="C876" s="11"/>
      <c r="D876" s="11"/>
      <c r="E876" s="12"/>
      <c r="F876" s="41"/>
      <c r="G876" s="30"/>
      <c r="H876" s="30"/>
      <c r="I876" s="11"/>
      <c r="J876" s="11"/>
    </row>
    <row r="877" spans="2:10" s="9" customFormat="1" x14ac:dyDescent="0.2">
      <c r="B877" s="10"/>
      <c r="C877" s="11"/>
      <c r="D877" s="11"/>
      <c r="E877" s="12"/>
      <c r="F877" s="41"/>
      <c r="G877" s="30"/>
      <c r="H877" s="30"/>
      <c r="I877" s="11"/>
      <c r="J877" s="11"/>
    </row>
    <row r="878" spans="2:10" s="9" customFormat="1" x14ac:dyDescent="0.2">
      <c r="B878" s="10"/>
      <c r="C878" s="11"/>
      <c r="D878" s="11"/>
      <c r="E878" s="12"/>
      <c r="F878" s="41"/>
      <c r="G878" s="30"/>
      <c r="H878" s="30"/>
      <c r="I878" s="11"/>
      <c r="J878" s="11"/>
    </row>
    <row r="879" spans="2:10" s="9" customFormat="1" x14ac:dyDescent="0.2">
      <c r="B879" s="10"/>
      <c r="C879" s="11"/>
      <c r="D879" s="11"/>
      <c r="E879" s="12"/>
      <c r="F879" s="41"/>
      <c r="G879" s="30"/>
      <c r="H879" s="30"/>
      <c r="I879" s="11"/>
      <c r="J879" s="11"/>
    </row>
    <row r="880" spans="2:10" s="9" customFormat="1" x14ac:dyDescent="0.2">
      <c r="B880" s="10"/>
      <c r="C880" s="11"/>
      <c r="D880" s="11"/>
      <c r="E880" s="12"/>
      <c r="F880" s="41"/>
      <c r="G880" s="30"/>
      <c r="H880" s="30"/>
      <c r="I880" s="11"/>
      <c r="J880" s="11"/>
    </row>
    <row r="881" spans="2:10" s="9" customFormat="1" x14ac:dyDescent="0.2">
      <c r="B881" s="10"/>
      <c r="C881" s="11"/>
      <c r="D881" s="11"/>
      <c r="E881" s="12"/>
      <c r="F881" s="41"/>
      <c r="G881" s="30"/>
      <c r="H881" s="30"/>
      <c r="I881" s="11"/>
      <c r="J881" s="11"/>
    </row>
    <row r="882" spans="2:10" s="9" customFormat="1" x14ac:dyDescent="0.2">
      <c r="B882" s="10"/>
      <c r="C882" s="11"/>
      <c r="D882" s="11"/>
      <c r="E882" s="12"/>
      <c r="F882" s="41"/>
      <c r="G882" s="30"/>
      <c r="H882" s="30"/>
      <c r="I882" s="11"/>
      <c r="J882" s="11"/>
    </row>
    <row r="883" spans="2:10" s="9" customFormat="1" x14ac:dyDescent="0.2">
      <c r="B883" s="10"/>
      <c r="C883" s="11"/>
      <c r="D883" s="11"/>
      <c r="E883" s="12"/>
      <c r="F883" s="41"/>
      <c r="G883" s="30"/>
      <c r="H883" s="30"/>
      <c r="I883" s="11"/>
      <c r="J883" s="11"/>
    </row>
    <row r="884" spans="2:10" s="9" customFormat="1" x14ac:dyDescent="0.2">
      <c r="B884" s="10"/>
      <c r="C884" s="11"/>
      <c r="D884" s="11"/>
      <c r="E884" s="12"/>
      <c r="F884" s="41"/>
      <c r="G884" s="30"/>
      <c r="H884" s="30"/>
      <c r="I884" s="11"/>
      <c r="J884" s="11"/>
    </row>
    <row r="885" spans="2:10" s="9" customFormat="1" x14ac:dyDescent="0.2">
      <c r="B885" s="10"/>
      <c r="C885" s="11"/>
      <c r="D885" s="11"/>
      <c r="E885" s="12"/>
      <c r="F885" s="41"/>
      <c r="G885" s="30"/>
      <c r="H885" s="30"/>
      <c r="I885" s="11"/>
      <c r="J885" s="11"/>
    </row>
    <row r="886" spans="2:10" s="9" customFormat="1" x14ac:dyDescent="0.2">
      <c r="B886" s="10"/>
      <c r="C886" s="11"/>
      <c r="D886" s="11"/>
      <c r="E886" s="12"/>
      <c r="F886" s="41"/>
      <c r="G886" s="30"/>
      <c r="H886" s="30"/>
      <c r="I886" s="11"/>
      <c r="J886" s="11"/>
    </row>
    <row r="887" spans="2:10" s="9" customFormat="1" x14ac:dyDescent="0.2">
      <c r="B887" s="10"/>
      <c r="C887" s="11"/>
      <c r="D887" s="11"/>
      <c r="E887" s="12"/>
      <c r="F887" s="41"/>
      <c r="G887" s="30"/>
      <c r="H887" s="30"/>
      <c r="I887" s="11"/>
      <c r="J887" s="11"/>
    </row>
    <row r="888" spans="2:10" s="9" customFormat="1" x14ac:dyDescent="0.2">
      <c r="B888" s="10"/>
      <c r="C888" s="11"/>
      <c r="D888" s="11"/>
      <c r="E888" s="12"/>
      <c r="F888" s="41"/>
      <c r="G888" s="30"/>
      <c r="H888" s="30"/>
      <c r="I888" s="11"/>
      <c r="J888" s="11"/>
    </row>
    <row r="889" spans="2:10" s="9" customFormat="1" x14ac:dyDescent="0.2">
      <c r="B889" s="10"/>
      <c r="C889" s="11"/>
      <c r="D889" s="11"/>
      <c r="E889" s="12"/>
      <c r="F889" s="41"/>
      <c r="G889" s="30"/>
      <c r="H889" s="30"/>
      <c r="I889" s="11"/>
      <c r="J889" s="11"/>
    </row>
    <row r="890" spans="2:10" s="9" customFormat="1" x14ac:dyDescent="0.2">
      <c r="B890" s="10"/>
      <c r="C890" s="11"/>
      <c r="D890" s="11"/>
      <c r="E890" s="12"/>
      <c r="F890" s="41"/>
      <c r="G890" s="30"/>
      <c r="H890" s="30"/>
      <c r="I890" s="11"/>
      <c r="J890" s="11"/>
    </row>
    <row r="891" spans="2:10" s="9" customFormat="1" x14ac:dyDescent="0.2">
      <c r="B891" s="10"/>
      <c r="C891" s="11"/>
      <c r="D891" s="11"/>
      <c r="E891" s="12"/>
      <c r="F891" s="41"/>
      <c r="G891" s="30"/>
      <c r="H891" s="30"/>
      <c r="I891" s="11"/>
      <c r="J891" s="11"/>
    </row>
    <row r="892" spans="2:10" s="9" customFormat="1" x14ac:dyDescent="0.2">
      <c r="B892" s="10"/>
      <c r="C892" s="11"/>
      <c r="D892" s="11"/>
      <c r="E892" s="12"/>
      <c r="F892" s="41"/>
      <c r="G892" s="30"/>
      <c r="H892" s="30"/>
      <c r="I892" s="11"/>
      <c r="J892" s="11"/>
    </row>
    <row r="893" spans="2:10" s="9" customFormat="1" x14ac:dyDescent="0.2">
      <c r="B893" s="10"/>
      <c r="C893" s="11"/>
      <c r="D893" s="11"/>
      <c r="E893" s="12"/>
      <c r="F893" s="41"/>
      <c r="G893" s="30"/>
      <c r="H893" s="30"/>
      <c r="I893" s="11"/>
      <c r="J893" s="11"/>
    </row>
    <row r="894" spans="2:10" s="9" customFormat="1" x14ac:dyDescent="0.2">
      <c r="B894" s="10"/>
      <c r="C894" s="11"/>
      <c r="D894" s="11"/>
      <c r="E894" s="12"/>
      <c r="F894" s="41"/>
      <c r="G894" s="30"/>
      <c r="H894" s="30"/>
      <c r="I894" s="11"/>
      <c r="J894" s="11"/>
    </row>
    <row r="895" spans="2:10" s="9" customFormat="1" x14ac:dyDescent="0.2">
      <c r="B895" s="10"/>
      <c r="C895" s="11"/>
      <c r="D895" s="11"/>
      <c r="E895" s="12"/>
      <c r="F895" s="41"/>
      <c r="G895" s="30"/>
      <c r="H895" s="30"/>
      <c r="I895" s="11"/>
      <c r="J895" s="11"/>
    </row>
    <row r="896" spans="2:10" s="9" customFormat="1" x14ac:dyDescent="0.2">
      <c r="B896" s="10"/>
      <c r="C896" s="11"/>
      <c r="D896" s="11"/>
      <c r="E896" s="12"/>
      <c r="F896" s="41"/>
      <c r="G896" s="30"/>
      <c r="H896" s="30"/>
      <c r="I896" s="11"/>
      <c r="J896" s="11"/>
    </row>
    <row r="897" spans="2:10" s="9" customFormat="1" x14ac:dyDescent="0.2">
      <c r="B897" s="10"/>
      <c r="C897" s="11"/>
      <c r="D897" s="11"/>
      <c r="E897" s="12"/>
      <c r="F897" s="41"/>
      <c r="G897" s="30"/>
      <c r="H897" s="30"/>
      <c r="I897" s="11"/>
      <c r="J897" s="11"/>
    </row>
    <row r="898" spans="2:10" s="9" customFormat="1" x14ac:dyDescent="0.2">
      <c r="B898" s="10"/>
      <c r="C898" s="11"/>
      <c r="D898" s="11"/>
      <c r="E898" s="12"/>
      <c r="F898" s="41"/>
      <c r="G898" s="30"/>
      <c r="H898" s="30"/>
      <c r="I898" s="11"/>
      <c r="J898" s="11"/>
    </row>
    <row r="899" spans="2:10" s="9" customFormat="1" x14ac:dyDescent="0.2">
      <c r="B899" s="10"/>
      <c r="C899" s="11"/>
      <c r="D899" s="11"/>
      <c r="E899" s="12"/>
      <c r="F899" s="41"/>
      <c r="G899" s="30"/>
      <c r="H899" s="30"/>
      <c r="I899" s="11"/>
      <c r="J899" s="11"/>
    </row>
    <row r="900" spans="2:10" s="9" customFormat="1" x14ac:dyDescent="0.2">
      <c r="B900" s="10"/>
      <c r="C900" s="11"/>
      <c r="D900" s="11"/>
      <c r="E900" s="12"/>
      <c r="F900" s="41"/>
      <c r="G900" s="30"/>
      <c r="H900" s="30"/>
      <c r="I900" s="11"/>
      <c r="J900" s="11"/>
    </row>
    <row r="901" spans="2:10" s="9" customFormat="1" x14ac:dyDescent="0.2">
      <c r="B901" s="10"/>
      <c r="C901" s="11"/>
      <c r="D901" s="11"/>
      <c r="E901" s="12"/>
      <c r="F901" s="41"/>
      <c r="G901" s="30"/>
      <c r="H901" s="30"/>
      <c r="I901" s="11"/>
      <c r="J901" s="11"/>
    </row>
    <row r="902" spans="2:10" s="9" customFormat="1" x14ac:dyDescent="0.2">
      <c r="B902" s="10"/>
      <c r="C902" s="11"/>
      <c r="D902" s="11"/>
      <c r="E902" s="12"/>
      <c r="F902" s="41"/>
      <c r="G902" s="30"/>
      <c r="H902" s="30"/>
      <c r="I902" s="11"/>
      <c r="J902" s="11"/>
    </row>
    <row r="903" spans="2:10" s="9" customFormat="1" x14ac:dyDescent="0.2">
      <c r="B903" s="10"/>
      <c r="C903" s="11"/>
      <c r="D903" s="11"/>
      <c r="E903" s="12"/>
      <c r="F903" s="41"/>
      <c r="G903" s="30"/>
      <c r="H903" s="30"/>
      <c r="I903" s="11"/>
      <c r="J903" s="11"/>
    </row>
    <row r="904" spans="2:10" s="9" customFormat="1" x14ac:dyDescent="0.2">
      <c r="B904" s="10"/>
      <c r="C904" s="11"/>
      <c r="D904" s="11"/>
      <c r="E904" s="12"/>
      <c r="F904" s="41"/>
      <c r="G904" s="30"/>
      <c r="H904" s="30"/>
      <c r="I904" s="11"/>
      <c r="J904" s="11"/>
    </row>
    <row r="905" spans="2:10" s="9" customFormat="1" x14ac:dyDescent="0.2">
      <c r="B905" s="10"/>
      <c r="C905" s="11"/>
      <c r="D905" s="11"/>
      <c r="E905" s="12"/>
      <c r="F905" s="41"/>
      <c r="G905" s="30"/>
      <c r="H905" s="30"/>
      <c r="I905" s="11"/>
      <c r="J905" s="11"/>
    </row>
    <row r="906" spans="2:10" s="9" customFormat="1" x14ac:dyDescent="0.2">
      <c r="B906" s="10"/>
      <c r="C906" s="11"/>
      <c r="D906" s="11"/>
      <c r="E906" s="12"/>
      <c r="F906" s="41"/>
      <c r="G906" s="30"/>
      <c r="H906" s="30"/>
      <c r="I906" s="11"/>
      <c r="J906" s="11"/>
    </row>
    <row r="907" spans="2:10" s="9" customFormat="1" x14ac:dyDescent="0.2">
      <c r="B907" s="10"/>
      <c r="C907" s="11"/>
      <c r="D907" s="11"/>
      <c r="E907" s="12"/>
      <c r="F907" s="41"/>
      <c r="G907" s="30"/>
      <c r="H907" s="30"/>
      <c r="I907" s="11"/>
      <c r="J907" s="11"/>
    </row>
    <row r="908" spans="2:10" s="9" customFormat="1" x14ac:dyDescent="0.2">
      <c r="B908" s="10"/>
      <c r="C908" s="11"/>
      <c r="D908" s="11"/>
      <c r="E908" s="12"/>
      <c r="F908" s="41"/>
      <c r="G908" s="30"/>
      <c r="H908" s="30"/>
      <c r="I908" s="11"/>
      <c r="J908" s="11"/>
    </row>
    <row r="909" spans="2:10" s="9" customFormat="1" x14ac:dyDescent="0.2">
      <c r="B909" s="10"/>
      <c r="C909" s="11"/>
      <c r="D909" s="11"/>
      <c r="E909" s="12"/>
      <c r="F909" s="41"/>
      <c r="G909" s="30"/>
      <c r="H909" s="30"/>
      <c r="I909" s="11"/>
      <c r="J909" s="11"/>
    </row>
    <row r="910" spans="2:10" s="9" customFormat="1" x14ac:dyDescent="0.2">
      <c r="B910" s="10"/>
      <c r="C910" s="11"/>
      <c r="D910" s="11"/>
      <c r="E910" s="12"/>
      <c r="F910" s="41"/>
      <c r="G910" s="30"/>
      <c r="H910" s="30"/>
      <c r="I910" s="11"/>
      <c r="J910" s="11"/>
    </row>
    <row r="911" spans="2:10" s="9" customFormat="1" x14ac:dyDescent="0.2">
      <c r="B911" s="10"/>
      <c r="C911" s="11"/>
      <c r="D911" s="11"/>
      <c r="E911" s="12"/>
      <c r="F911" s="41"/>
      <c r="G911" s="30"/>
      <c r="H911" s="30"/>
      <c r="I911" s="11"/>
      <c r="J911" s="11"/>
    </row>
    <row r="912" spans="2:10" s="9" customFormat="1" x14ac:dyDescent="0.2">
      <c r="B912" s="10"/>
      <c r="C912" s="11"/>
      <c r="D912" s="11"/>
      <c r="E912" s="12"/>
      <c r="F912" s="41"/>
      <c r="G912" s="30"/>
      <c r="H912" s="30"/>
      <c r="I912" s="11"/>
      <c r="J912" s="11"/>
    </row>
    <row r="913" spans="2:10" s="9" customFormat="1" x14ac:dyDescent="0.2">
      <c r="B913" s="10"/>
      <c r="C913" s="11"/>
      <c r="D913" s="11"/>
      <c r="E913" s="12"/>
      <c r="F913" s="41"/>
      <c r="G913" s="30"/>
      <c r="H913" s="30"/>
      <c r="I913" s="11"/>
      <c r="J913" s="11"/>
    </row>
    <row r="914" spans="2:10" s="9" customFormat="1" x14ac:dyDescent="0.2">
      <c r="B914" s="10"/>
      <c r="C914" s="11"/>
      <c r="D914" s="11"/>
      <c r="E914" s="12"/>
      <c r="F914" s="41"/>
      <c r="G914" s="30"/>
      <c r="H914" s="30"/>
      <c r="I914" s="11"/>
      <c r="J914" s="11"/>
    </row>
    <row r="915" spans="2:10" s="9" customFormat="1" x14ac:dyDescent="0.2">
      <c r="B915" s="10"/>
      <c r="C915" s="11"/>
      <c r="D915" s="11"/>
      <c r="E915" s="12"/>
      <c r="F915" s="41"/>
      <c r="G915" s="30"/>
      <c r="H915" s="30"/>
      <c r="I915" s="11"/>
      <c r="J915" s="11"/>
    </row>
    <row r="916" spans="2:10" s="9" customFormat="1" x14ac:dyDescent="0.2">
      <c r="B916" s="10"/>
      <c r="C916" s="11"/>
      <c r="D916" s="11"/>
      <c r="E916" s="12"/>
      <c r="F916" s="41"/>
      <c r="G916" s="30"/>
      <c r="H916" s="30"/>
      <c r="I916" s="11"/>
      <c r="J916" s="11"/>
    </row>
    <row r="917" spans="2:10" s="9" customFormat="1" x14ac:dyDescent="0.2">
      <c r="B917" s="10"/>
      <c r="C917" s="11"/>
      <c r="D917" s="11"/>
      <c r="E917" s="12"/>
      <c r="F917" s="41"/>
      <c r="G917" s="30"/>
      <c r="H917" s="30"/>
      <c r="I917" s="11"/>
      <c r="J917" s="11"/>
    </row>
    <row r="918" spans="2:10" s="9" customFormat="1" x14ac:dyDescent="0.2">
      <c r="B918" s="10"/>
      <c r="C918" s="11"/>
      <c r="D918" s="11"/>
      <c r="E918" s="12"/>
      <c r="F918" s="41"/>
      <c r="G918" s="30"/>
      <c r="H918" s="30"/>
      <c r="I918" s="11"/>
      <c r="J918" s="11"/>
    </row>
    <row r="919" spans="2:10" s="9" customFormat="1" x14ac:dyDescent="0.2">
      <c r="B919" s="10"/>
      <c r="C919" s="11"/>
      <c r="D919" s="11"/>
      <c r="E919" s="12"/>
      <c r="F919" s="41"/>
      <c r="G919" s="30"/>
      <c r="H919" s="30"/>
      <c r="I919" s="11"/>
      <c r="J919" s="11"/>
    </row>
    <row r="920" spans="2:10" s="9" customFormat="1" x14ac:dyDescent="0.2">
      <c r="B920" s="10"/>
      <c r="C920" s="11"/>
      <c r="D920" s="11"/>
      <c r="E920" s="12"/>
      <c r="F920" s="41"/>
      <c r="G920" s="30"/>
      <c r="H920" s="30"/>
      <c r="I920" s="11"/>
      <c r="J920" s="11"/>
    </row>
    <row r="921" spans="2:10" s="9" customFormat="1" x14ac:dyDescent="0.2">
      <c r="B921" s="10"/>
      <c r="C921" s="11"/>
      <c r="D921" s="11"/>
      <c r="E921" s="12"/>
      <c r="F921" s="41"/>
      <c r="G921" s="30"/>
      <c r="H921" s="30"/>
      <c r="I921" s="11"/>
      <c r="J921" s="11"/>
    </row>
    <row r="922" spans="2:10" s="9" customFormat="1" x14ac:dyDescent="0.2">
      <c r="B922" s="10"/>
      <c r="C922" s="11"/>
      <c r="D922" s="11"/>
      <c r="E922" s="12"/>
      <c r="F922" s="41"/>
      <c r="G922" s="30"/>
      <c r="H922" s="30"/>
      <c r="I922" s="11"/>
      <c r="J922" s="11"/>
    </row>
    <row r="923" spans="2:10" s="9" customFormat="1" x14ac:dyDescent="0.2">
      <c r="B923" s="10"/>
      <c r="C923" s="11"/>
      <c r="D923" s="11"/>
      <c r="E923" s="12"/>
      <c r="F923" s="41"/>
      <c r="G923" s="30"/>
      <c r="H923" s="30"/>
      <c r="I923" s="11"/>
      <c r="J923" s="11"/>
    </row>
    <row r="924" spans="2:10" s="9" customFormat="1" x14ac:dyDescent="0.2">
      <c r="B924" s="10"/>
      <c r="C924" s="11"/>
      <c r="D924" s="11"/>
      <c r="E924" s="12"/>
      <c r="F924" s="41"/>
      <c r="G924" s="30"/>
      <c r="H924" s="30"/>
      <c r="I924" s="11"/>
      <c r="J924" s="11"/>
    </row>
    <row r="925" spans="2:10" s="9" customFormat="1" x14ac:dyDescent="0.2">
      <c r="B925" s="10"/>
      <c r="C925" s="11"/>
      <c r="D925" s="11"/>
      <c r="E925" s="12"/>
      <c r="F925" s="41"/>
      <c r="G925" s="30"/>
      <c r="H925" s="30"/>
      <c r="I925" s="11"/>
      <c r="J925" s="11"/>
    </row>
    <row r="926" spans="2:10" s="9" customFormat="1" x14ac:dyDescent="0.2">
      <c r="B926" s="10"/>
      <c r="C926" s="11"/>
      <c r="D926" s="11"/>
      <c r="E926" s="12"/>
      <c r="F926" s="41"/>
      <c r="G926" s="30"/>
      <c r="H926" s="30"/>
      <c r="I926" s="11"/>
      <c r="J926" s="11"/>
    </row>
    <row r="927" spans="2:10" s="9" customFormat="1" x14ac:dyDescent="0.2">
      <c r="B927" s="10"/>
      <c r="C927" s="11"/>
      <c r="D927" s="11"/>
      <c r="E927" s="12"/>
      <c r="F927" s="41"/>
      <c r="G927" s="30"/>
      <c r="H927" s="30"/>
      <c r="I927" s="11"/>
      <c r="J927" s="11"/>
    </row>
    <row r="928" spans="2:10" s="9" customFormat="1" x14ac:dyDescent="0.2">
      <c r="B928" s="10"/>
      <c r="C928" s="11"/>
      <c r="D928" s="11"/>
      <c r="E928" s="12"/>
      <c r="F928" s="41"/>
      <c r="G928" s="30"/>
      <c r="H928" s="30"/>
      <c r="I928" s="11"/>
      <c r="J928" s="11"/>
    </row>
    <row r="929" spans="2:10" s="9" customFormat="1" x14ac:dyDescent="0.2">
      <c r="B929" s="10"/>
      <c r="C929" s="11"/>
      <c r="D929" s="11"/>
      <c r="E929" s="12"/>
      <c r="F929" s="41"/>
      <c r="G929" s="30"/>
      <c r="H929" s="30"/>
      <c r="I929" s="11"/>
      <c r="J929" s="11"/>
    </row>
    <row r="930" spans="2:10" s="9" customFormat="1" x14ac:dyDescent="0.2">
      <c r="B930" s="10"/>
      <c r="C930" s="11"/>
      <c r="D930" s="11"/>
      <c r="E930" s="12"/>
      <c r="F930" s="41"/>
      <c r="G930" s="30"/>
      <c r="H930" s="30"/>
      <c r="I930" s="11"/>
      <c r="J930" s="11"/>
    </row>
    <row r="931" spans="2:10" s="9" customFormat="1" x14ac:dyDescent="0.2">
      <c r="B931" s="10"/>
      <c r="C931" s="11"/>
      <c r="D931" s="11"/>
      <c r="E931" s="12"/>
      <c r="F931" s="41"/>
      <c r="G931" s="30"/>
      <c r="H931" s="30"/>
      <c r="I931" s="11"/>
      <c r="J931" s="11"/>
    </row>
    <row r="932" spans="2:10" s="9" customFormat="1" x14ac:dyDescent="0.2">
      <c r="B932" s="10"/>
      <c r="C932" s="11"/>
      <c r="D932" s="11"/>
      <c r="E932" s="12"/>
      <c r="F932" s="41"/>
      <c r="G932" s="30"/>
      <c r="H932" s="30"/>
      <c r="I932" s="11"/>
      <c r="J932" s="11"/>
    </row>
    <row r="933" spans="2:10" s="9" customFormat="1" x14ac:dyDescent="0.2">
      <c r="B933" s="10"/>
      <c r="C933" s="11"/>
      <c r="D933" s="11"/>
      <c r="E933" s="12"/>
      <c r="F933" s="41"/>
      <c r="G933" s="30"/>
      <c r="H933" s="30"/>
      <c r="I933" s="11"/>
      <c r="J933" s="11"/>
    </row>
    <row r="934" spans="2:10" s="9" customFormat="1" x14ac:dyDescent="0.2">
      <c r="B934" s="10"/>
      <c r="C934" s="11"/>
      <c r="D934" s="11"/>
      <c r="E934" s="12"/>
      <c r="F934" s="41"/>
      <c r="G934" s="30"/>
      <c r="H934" s="30"/>
      <c r="I934" s="11"/>
      <c r="J934" s="11"/>
    </row>
    <row r="935" spans="2:10" s="9" customFormat="1" x14ac:dyDescent="0.2">
      <c r="B935" s="10"/>
      <c r="C935" s="11"/>
      <c r="D935" s="11"/>
      <c r="E935" s="12"/>
      <c r="F935" s="41"/>
      <c r="G935" s="30"/>
      <c r="H935" s="30"/>
      <c r="I935" s="11"/>
      <c r="J935" s="11"/>
    </row>
    <row r="936" spans="2:10" s="9" customFormat="1" x14ac:dyDescent="0.2">
      <c r="B936" s="10"/>
      <c r="C936" s="11"/>
      <c r="D936" s="11"/>
      <c r="E936" s="12"/>
      <c r="F936" s="41"/>
      <c r="G936" s="30"/>
      <c r="H936" s="30"/>
      <c r="I936" s="11"/>
      <c r="J936" s="11"/>
    </row>
    <row r="937" spans="2:10" s="9" customFormat="1" x14ac:dyDescent="0.2">
      <c r="B937" s="10"/>
      <c r="C937" s="11"/>
      <c r="D937" s="11"/>
      <c r="E937" s="12"/>
      <c r="F937" s="41"/>
      <c r="G937" s="30"/>
      <c r="H937" s="30"/>
      <c r="I937" s="11"/>
      <c r="J937" s="11"/>
    </row>
    <row r="938" spans="2:10" s="9" customFormat="1" x14ac:dyDescent="0.2">
      <c r="B938" s="10"/>
      <c r="C938" s="11"/>
      <c r="D938" s="11"/>
      <c r="E938" s="12"/>
      <c r="F938" s="41"/>
      <c r="G938" s="30"/>
      <c r="H938" s="30"/>
      <c r="I938" s="11"/>
      <c r="J938" s="11"/>
    </row>
    <row r="939" spans="2:10" s="9" customFormat="1" x14ac:dyDescent="0.2">
      <c r="B939" s="10"/>
      <c r="C939" s="11"/>
      <c r="D939" s="11"/>
      <c r="E939" s="12"/>
      <c r="F939" s="41"/>
      <c r="G939" s="30"/>
      <c r="H939" s="30"/>
      <c r="I939" s="11"/>
      <c r="J939" s="11"/>
    </row>
    <row r="940" spans="2:10" s="9" customFormat="1" x14ac:dyDescent="0.2">
      <c r="B940" s="10"/>
      <c r="C940" s="11"/>
      <c r="D940" s="11"/>
      <c r="E940" s="12"/>
      <c r="F940" s="41"/>
      <c r="G940" s="30"/>
      <c r="H940" s="30"/>
      <c r="I940" s="11"/>
      <c r="J940" s="11"/>
    </row>
    <row r="941" spans="2:10" s="9" customFormat="1" x14ac:dyDescent="0.2">
      <c r="B941" s="10"/>
      <c r="C941" s="11"/>
      <c r="D941" s="11"/>
      <c r="E941" s="12"/>
      <c r="F941" s="41"/>
      <c r="G941" s="30"/>
      <c r="H941" s="30"/>
      <c r="I941" s="11"/>
      <c r="J941" s="11"/>
    </row>
    <row r="942" spans="2:10" s="9" customFormat="1" x14ac:dyDescent="0.2">
      <c r="B942" s="10"/>
      <c r="C942" s="11"/>
      <c r="D942" s="11"/>
      <c r="E942" s="12"/>
      <c r="F942" s="41"/>
      <c r="G942" s="30"/>
      <c r="H942" s="30"/>
      <c r="I942" s="11"/>
      <c r="J942" s="11"/>
    </row>
  </sheetData>
  <mergeCells count="1">
    <mergeCell ref="K2:L2"/>
  </mergeCells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871"/>
  <sheetViews>
    <sheetView zoomScaleNormal="100" workbookViewId="0">
      <pane ySplit="2" topLeftCell="A66" activePane="bottomLeft" state="frozen"/>
      <selection pane="bottomLeft" activeCell="B40" sqref="B40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9.5703125" style="2" customWidth="1"/>
    <col min="5" max="5" width="13.28515625" style="3" customWidth="1"/>
    <col min="6" max="6" width="13.28515625" style="42" customWidth="1"/>
    <col min="7" max="7" width="13.28515625" style="31" customWidth="1"/>
    <col min="8" max="8" width="10" style="31" bestFit="1" customWidth="1"/>
    <col min="9" max="10" width="12.28515625" style="2" customWidth="1"/>
    <col min="11" max="11" width="29.5703125" customWidth="1"/>
    <col min="12" max="12" width="53.85546875" customWidth="1"/>
    <col min="13" max="13" width="8.7109375" customWidth="1"/>
    <col min="14" max="14" width="12" style="9" customWidth="1"/>
    <col min="15" max="15" width="12.42578125" style="9" customWidth="1"/>
    <col min="16" max="45" width="11.28515625" style="9"/>
  </cols>
  <sheetData>
    <row r="1" spans="2:15" s="9" customFormat="1" x14ac:dyDescent="0.2">
      <c r="F1" s="29"/>
      <c r="G1" s="29"/>
      <c r="H1" s="29"/>
    </row>
    <row r="2" spans="2:15" ht="32.25" x14ac:dyDescent="0.2">
      <c r="B2" s="4" t="s">
        <v>0</v>
      </c>
      <c r="C2" s="4" t="s">
        <v>8</v>
      </c>
      <c r="D2" s="8" t="s">
        <v>4</v>
      </c>
      <c r="E2" s="5" t="s">
        <v>361</v>
      </c>
      <c r="F2" s="5" t="s">
        <v>362</v>
      </c>
      <c r="G2" s="5" t="s">
        <v>7</v>
      </c>
      <c r="H2" s="5" t="s">
        <v>6</v>
      </c>
      <c r="I2" s="5" t="s">
        <v>5</v>
      </c>
      <c r="J2" s="5" t="s">
        <v>1</v>
      </c>
      <c r="K2" s="158" t="s">
        <v>2</v>
      </c>
      <c r="L2" s="159"/>
      <c r="M2" s="4" t="s">
        <v>3</v>
      </c>
      <c r="N2" s="27" t="s">
        <v>360</v>
      </c>
      <c r="O2" s="27">
        <v>2017</v>
      </c>
    </row>
    <row r="3" spans="2:15" x14ac:dyDescent="0.2">
      <c r="B3" s="13" t="s">
        <v>568</v>
      </c>
      <c r="C3" s="13" t="s">
        <v>555</v>
      </c>
      <c r="D3" s="14">
        <v>2.2000000000000002</v>
      </c>
      <c r="E3" s="15"/>
      <c r="F3" s="15">
        <v>1.9039999999999999</v>
      </c>
      <c r="G3" s="15">
        <v>1.891</v>
      </c>
      <c r="H3" s="7">
        <f t="shared" ref="H3:H11" si="0">F3-G3</f>
        <v>1.2999999999999901E-2</v>
      </c>
      <c r="I3" s="15" t="s">
        <v>328</v>
      </c>
      <c r="J3" s="13" t="s">
        <v>539</v>
      </c>
      <c r="K3" s="15"/>
      <c r="L3" s="44" t="s">
        <v>580</v>
      </c>
      <c r="M3" s="6"/>
    </row>
    <row r="4" spans="2:15" x14ac:dyDescent="0.2">
      <c r="B4" s="13" t="s">
        <v>569</v>
      </c>
      <c r="C4" s="13" t="s">
        <v>41</v>
      </c>
      <c r="D4" s="14">
        <v>0.9</v>
      </c>
      <c r="E4" s="15"/>
      <c r="F4" s="15">
        <v>1.87</v>
      </c>
      <c r="G4" s="15">
        <v>1.859</v>
      </c>
      <c r="H4" s="7">
        <f t="shared" si="0"/>
        <v>1.1000000000000121E-2</v>
      </c>
      <c r="I4" s="13" t="s">
        <v>41</v>
      </c>
      <c r="J4" s="13" t="s">
        <v>41</v>
      </c>
      <c r="K4" s="15"/>
      <c r="L4" s="44" t="s">
        <v>579</v>
      </c>
      <c r="M4" s="6"/>
    </row>
    <row r="5" spans="2:15" x14ac:dyDescent="0.2">
      <c r="B5" s="13" t="s">
        <v>570</v>
      </c>
      <c r="C5" s="13" t="s">
        <v>41</v>
      </c>
      <c r="D5" s="14">
        <v>1.5</v>
      </c>
      <c r="E5" s="15"/>
      <c r="F5" s="15">
        <v>1.911</v>
      </c>
      <c r="G5" s="15">
        <v>1.899</v>
      </c>
      <c r="H5" s="7">
        <f t="shared" si="0"/>
        <v>1.2000000000000011E-2</v>
      </c>
      <c r="I5" s="13" t="s">
        <v>41</v>
      </c>
      <c r="J5" s="13" t="s">
        <v>41</v>
      </c>
      <c r="K5" s="15"/>
      <c r="L5" s="44" t="s">
        <v>580</v>
      </c>
      <c r="M5" s="6"/>
    </row>
    <row r="6" spans="2:15" x14ac:dyDescent="0.2">
      <c r="B6" s="13" t="s">
        <v>571</v>
      </c>
      <c r="C6" s="13" t="s">
        <v>41</v>
      </c>
      <c r="D6" s="13">
        <v>1.6</v>
      </c>
      <c r="E6" s="13"/>
      <c r="F6" s="15">
        <v>1.889</v>
      </c>
      <c r="G6" s="15">
        <v>1.8819999999999999</v>
      </c>
      <c r="H6" s="7">
        <f t="shared" si="0"/>
        <v>7.0000000000001172E-3</v>
      </c>
      <c r="I6" s="13" t="s">
        <v>41</v>
      </c>
      <c r="J6" s="13" t="s">
        <v>41</v>
      </c>
      <c r="K6" s="15"/>
      <c r="L6" s="44" t="s">
        <v>579</v>
      </c>
      <c r="M6" s="6"/>
    </row>
    <row r="7" spans="2:15" x14ac:dyDescent="0.2">
      <c r="B7" s="13" t="s">
        <v>572</v>
      </c>
      <c r="C7" s="13" t="s">
        <v>41</v>
      </c>
      <c r="D7" s="13">
        <v>0.9</v>
      </c>
      <c r="E7" s="15"/>
      <c r="F7" s="15">
        <v>1.9019999999999999</v>
      </c>
      <c r="G7" s="15">
        <v>1.889</v>
      </c>
      <c r="H7" s="7">
        <f t="shared" si="0"/>
        <v>1.2999999999999901E-2</v>
      </c>
      <c r="I7" s="13" t="s">
        <v>41</v>
      </c>
      <c r="J7" s="13" t="s">
        <v>41</v>
      </c>
      <c r="K7" s="15"/>
      <c r="L7" s="44" t="s">
        <v>580</v>
      </c>
      <c r="M7" s="6"/>
    </row>
    <row r="8" spans="2:15" x14ac:dyDescent="0.2">
      <c r="B8" s="13" t="s">
        <v>573</v>
      </c>
      <c r="C8" s="13" t="s">
        <v>41</v>
      </c>
      <c r="D8" s="13">
        <v>0.8</v>
      </c>
      <c r="E8" s="15"/>
      <c r="F8" s="15">
        <v>1.8919999999999999</v>
      </c>
      <c r="G8" s="15">
        <v>1.881</v>
      </c>
      <c r="H8" s="7">
        <f t="shared" si="0"/>
        <v>1.0999999999999899E-2</v>
      </c>
      <c r="I8" s="13" t="s">
        <v>41</v>
      </c>
      <c r="J8" s="13" t="s">
        <v>41</v>
      </c>
      <c r="K8" s="15" t="s">
        <v>576</v>
      </c>
      <c r="L8" s="44" t="s">
        <v>579</v>
      </c>
      <c r="M8" s="6"/>
    </row>
    <row r="9" spans="2:15" x14ac:dyDescent="0.2">
      <c r="B9" s="13" t="s">
        <v>574</v>
      </c>
      <c r="C9" s="13" t="s">
        <v>41</v>
      </c>
      <c r="D9" s="14">
        <v>1</v>
      </c>
      <c r="E9" s="15"/>
      <c r="F9" s="15">
        <v>1.9039999999999999</v>
      </c>
      <c r="G9" s="15">
        <v>1.8919999999999999</v>
      </c>
      <c r="H9" s="7">
        <f t="shared" si="0"/>
        <v>1.2000000000000011E-2</v>
      </c>
      <c r="I9" s="13" t="s">
        <v>41</v>
      </c>
      <c r="J9" s="13" t="s">
        <v>41</v>
      </c>
      <c r="K9" s="15"/>
      <c r="L9" s="44" t="s">
        <v>580</v>
      </c>
      <c r="M9" s="6"/>
    </row>
    <row r="10" spans="2:15" x14ac:dyDescent="0.2">
      <c r="B10" s="13" t="s">
        <v>575</v>
      </c>
      <c r="C10" s="13" t="s">
        <v>41</v>
      </c>
      <c r="D10" s="14">
        <v>1</v>
      </c>
      <c r="F10" s="15">
        <v>1.895</v>
      </c>
      <c r="G10" s="15">
        <v>1.887</v>
      </c>
      <c r="H10" s="7">
        <f t="shared" si="0"/>
        <v>8.0000000000000071E-3</v>
      </c>
      <c r="I10" s="13" t="s">
        <v>41</v>
      </c>
      <c r="J10" s="13" t="s">
        <v>41</v>
      </c>
      <c r="K10" s="13"/>
      <c r="L10" s="44" t="s">
        <v>579</v>
      </c>
      <c r="M10" s="6"/>
    </row>
    <row r="11" spans="2:15" x14ac:dyDescent="0.2">
      <c r="B11" s="13" t="s">
        <v>582</v>
      </c>
      <c r="C11" s="13" t="s">
        <v>41</v>
      </c>
      <c r="D11" s="14" t="s">
        <v>610</v>
      </c>
      <c r="E11" s="15">
        <v>1.8819999999999999</v>
      </c>
      <c r="F11" s="15">
        <v>5.6589999999999998</v>
      </c>
      <c r="G11" s="15">
        <v>5.6230000000000002</v>
      </c>
      <c r="H11" s="7">
        <f t="shared" si="0"/>
        <v>3.5999999999999588E-2</v>
      </c>
      <c r="I11" s="15" t="s">
        <v>335</v>
      </c>
      <c r="J11" s="13" t="s">
        <v>581</v>
      </c>
      <c r="K11" s="13" t="s">
        <v>601</v>
      </c>
      <c r="L11" s="44" t="s">
        <v>580</v>
      </c>
      <c r="M11" s="6"/>
    </row>
    <row r="12" spans="2:15" x14ac:dyDescent="0.2">
      <c r="B12" s="13"/>
      <c r="C12" s="13" t="s">
        <v>41</v>
      </c>
      <c r="D12" s="14"/>
      <c r="E12" s="15">
        <v>1.8879999999999999</v>
      </c>
      <c r="F12" s="15"/>
      <c r="G12" s="15"/>
      <c r="H12" s="7"/>
      <c r="I12" s="13"/>
      <c r="J12" s="13"/>
      <c r="K12" s="13"/>
      <c r="L12" s="13"/>
      <c r="M12" s="6"/>
    </row>
    <row r="13" spans="2:15" x14ac:dyDescent="0.2">
      <c r="B13" s="13"/>
      <c r="C13" s="13" t="s">
        <v>41</v>
      </c>
      <c r="D13" s="14"/>
      <c r="E13" s="15">
        <v>1.889</v>
      </c>
      <c r="F13" s="15"/>
      <c r="G13" s="15"/>
      <c r="H13" s="7"/>
      <c r="I13" s="13"/>
      <c r="J13" s="13"/>
      <c r="K13" s="13"/>
      <c r="L13" s="13"/>
      <c r="M13" s="6"/>
    </row>
    <row r="14" spans="2:15" x14ac:dyDescent="0.2">
      <c r="B14" s="55" t="s">
        <v>41</v>
      </c>
      <c r="C14" s="55"/>
      <c r="D14" s="56">
        <v>0.5</v>
      </c>
      <c r="E14" s="57">
        <v>1.855</v>
      </c>
      <c r="F14" s="57">
        <v>5.57</v>
      </c>
      <c r="G14" s="57">
        <v>5.55</v>
      </c>
      <c r="H14" s="58">
        <f t="shared" ref="H14" si="1">F14-G14</f>
        <v>2.0000000000000462E-2</v>
      </c>
      <c r="I14" s="55"/>
      <c r="J14" s="13"/>
      <c r="K14" s="55" t="s">
        <v>611</v>
      </c>
      <c r="L14" s="44" t="s">
        <v>607</v>
      </c>
      <c r="M14" s="6"/>
    </row>
    <row r="15" spans="2:15" x14ac:dyDescent="0.2">
      <c r="B15" s="55"/>
      <c r="C15" s="55"/>
      <c r="D15" s="56"/>
      <c r="E15" s="57">
        <v>1.8580000000000001</v>
      </c>
      <c r="F15" s="57"/>
      <c r="G15" s="57"/>
      <c r="H15" s="58"/>
      <c r="I15" s="55"/>
      <c r="J15" s="13"/>
      <c r="K15" s="13"/>
      <c r="L15" s="13"/>
      <c r="M15" s="6"/>
    </row>
    <row r="16" spans="2:15" x14ac:dyDescent="0.2">
      <c r="B16" s="55"/>
      <c r="C16" s="55"/>
      <c r="D16" s="56"/>
      <c r="E16" s="57">
        <v>1.857</v>
      </c>
      <c r="F16" s="57"/>
      <c r="G16" s="57"/>
      <c r="H16" s="58"/>
      <c r="I16" s="55"/>
      <c r="J16" s="13"/>
      <c r="K16" s="13"/>
      <c r="L16" s="13"/>
      <c r="M16" s="6"/>
    </row>
    <row r="17" spans="2:13" x14ac:dyDescent="0.2">
      <c r="B17" s="13" t="s">
        <v>583</v>
      </c>
      <c r="C17" s="13" t="s">
        <v>41</v>
      </c>
      <c r="D17" s="14">
        <v>0.8</v>
      </c>
      <c r="E17" s="15">
        <v>1.881</v>
      </c>
      <c r="F17" s="15">
        <v>5.6269999999999998</v>
      </c>
      <c r="G17" s="15">
        <v>5.59</v>
      </c>
      <c r="H17" s="7">
        <f t="shared" ref="H17" si="2">F17-G17</f>
        <v>3.6999999999999922E-2</v>
      </c>
      <c r="I17" s="13" t="s">
        <v>41</v>
      </c>
      <c r="J17" s="13" t="s">
        <v>41</v>
      </c>
      <c r="K17" s="13"/>
      <c r="L17" s="44" t="s">
        <v>579</v>
      </c>
      <c r="M17" s="6"/>
    </row>
    <row r="18" spans="2:13" x14ac:dyDescent="0.2">
      <c r="B18" s="13"/>
      <c r="C18" s="13" t="s">
        <v>41</v>
      </c>
      <c r="D18" s="14"/>
      <c r="E18" s="15">
        <v>1.873</v>
      </c>
      <c r="F18" s="15"/>
      <c r="G18" s="15"/>
      <c r="H18" s="7"/>
      <c r="I18" s="13"/>
      <c r="J18" s="13"/>
      <c r="K18" s="13"/>
      <c r="L18" s="13"/>
      <c r="M18" s="6"/>
    </row>
    <row r="19" spans="2:13" x14ac:dyDescent="0.2">
      <c r="B19" s="13"/>
      <c r="C19" s="13" t="s">
        <v>41</v>
      </c>
      <c r="D19" s="14"/>
      <c r="E19" s="15">
        <v>1.8740000000000001</v>
      </c>
      <c r="F19" s="15"/>
      <c r="G19" s="15"/>
      <c r="H19" s="7"/>
      <c r="I19" s="13"/>
      <c r="J19" s="13"/>
      <c r="K19" s="13"/>
      <c r="L19" s="13"/>
      <c r="M19" s="6"/>
    </row>
    <row r="20" spans="2:13" x14ac:dyDescent="0.2">
      <c r="B20" s="13" t="s">
        <v>584</v>
      </c>
      <c r="C20" s="13" t="s">
        <v>41</v>
      </c>
      <c r="D20" s="14">
        <v>3.3</v>
      </c>
      <c r="E20" s="15">
        <v>1.89</v>
      </c>
      <c r="F20" s="15">
        <v>5.6849999999999996</v>
      </c>
      <c r="G20" s="15">
        <v>5.6550000000000002</v>
      </c>
      <c r="H20" s="7">
        <f t="shared" ref="H20" si="3">F20-G20</f>
        <v>2.9999999999999361E-2</v>
      </c>
      <c r="I20" s="13" t="s">
        <v>41</v>
      </c>
      <c r="J20" s="13" t="s">
        <v>41</v>
      </c>
      <c r="K20" s="13" t="s">
        <v>601</v>
      </c>
      <c r="L20" s="44" t="s">
        <v>580</v>
      </c>
      <c r="M20" s="6"/>
    </row>
    <row r="21" spans="2:13" x14ac:dyDescent="0.2">
      <c r="B21" s="13"/>
      <c r="C21" s="13" t="s">
        <v>41</v>
      </c>
      <c r="D21" s="14"/>
      <c r="E21" s="15">
        <v>1.9</v>
      </c>
      <c r="F21" s="15"/>
      <c r="G21" s="15"/>
      <c r="H21" s="7"/>
      <c r="I21" s="13"/>
      <c r="J21" s="13"/>
      <c r="K21" s="13"/>
      <c r="L21" s="13"/>
      <c r="M21" s="6"/>
    </row>
    <row r="22" spans="2:13" x14ac:dyDescent="0.2">
      <c r="B22" s="13"/>
      <c r="C22" s="13" t="s">
        <v>41</v>
      </c>
      <c r="D22" s="14"/>
      <c r="E22" s="15">
        <v>1.895</v>
      </c>
      <c r="F22" s="15"/>
      <c r="G22" s="15"/>
      <c r="H22" s="7"/>
      <c r="I22" s="13"/>
      <c r="J22" s="13"/>
      <c r="K22" s="13"/>
      <c r="L22" s="13"/>
      <c r="M22" s="6"/>
    </row>
    <row r="23" spans="2:13" x14ac:dyDescent="0.2">
      <c r="B23" s="55" t="s">
        <v>41</v>
      </c>
      <c r="C23" s="55"/>
      <c r="D23" s="56">
        <v>0.6</v>
      </c>
      <c r="E23" s="57">
        <v>1.879</v>
      </c>
      <c r="F23" s="57">
        <v>5.641</v>
      </c>
      <c r="G23" s="57">
        <v>5.62</v>
      </c>
      <c r="H23" s="58">
        <f t="shared" ref="H23" si="4">F23-G23</f>
        <v>2.0999999999999908E-2</v>
      </c>
      <c r="I23" s="54"/>
      <c r="J23" s="13"/>
      <c r="K23" s="55" t="s">
        <v>609</v>
      </c>
      <c r="L23" s="44" t="s">
        <v>607</v>
      </c>
      <c r="M23" s="6"/>
    </row>
    <row r="24" spans="2:13" x14ac:dyDescent="0.2">
      <c r="B24" s="55"/>
      <c r="C24" s="55"/>
      <c r="D24" s="56"/>
      <c r="E24" s="57">
        <v>1.8839999999999999</v>
      </c>
      <c r="F24" s="57"/>
      <c r="G24" s="57"/>
      <c r="H24" s="58"/>
      <c r="I24" s="54"/>
      <c r="J24" s="13"/>
      <c r="K24" s="13"/>
      <c r="L24" s="13"/>
      <c r="M24" s="6"/>
    </row>
    <row r="25" spans="2:13" x14ac:dyDescent="0.2">
      <c r="B25" s="55"/>
      <c r="C25" s="55"/>
      <c r="D25" s="56"/>
      <c r="E25" s="57">
        <v>1.8779999999999999</v>
      </c>
      <c r="F25" s="57"/>
      <c r="G25" s="57"/>
      <c r="H25" s="58"/>
      <c r="I25" s="54"/>
      <c r="J25" s="13"/>
      <c r="K25" s="13"/>
      <c r="L25" s="13"/>
      <c r="M25" s="6"/>
    </row>
    <row r="26" spans="2:13" x14ac:dyDescent="0.2">
      <c r="B26" s="13" t="s">
        <v>585</v>
      </c>
      <c r="C26" s="13" t="s">
        <v>41</v>
      </c>
      <c r="D26" s="14">
        <v>0.4</v>
      </c>
      <c r="E26" s="15">
        <v>1.8879999999999999</v>
      </c>
      <c r="F26" s="15">
        <v>5.673</v>
      </c>
      <c r="G26" s="15">
        <v>5.6379999999999999</v>
      </c>
      <c r="H26" s="7">
        <f t="shared" ref="H26" si="5">F26-G26</f>
        <v>3.5000000000000142E-2</v>
      </c>
      <c r="I26" s="13" t="s">
        <v>41</v>
      </c>
      <c r="J26" s="13" t="s">
        <v>41</v>
      </c>
      <c r="K26" s="13" t="s">
        <v>608</v>
      </c>
      <c r="L26" s="44" t="s">
        <v>579</v>
      </c>
      <c r="M26" s="6"/>
    </row>
    <row r="27" spans="2:13" x14ac:dyDescent="0.2">
      <c r="B27" s="13"/>
      <c r="C27" s="13" t="s">
        <v>587</v>
      </c>
      <c r="D27" s="13"/>
      <c r="E27" s="15">
        <v>1.8939999999999999</v>
      </c>
      <c r="F27" s="15"/>
      <c r="G27" s="15"/>
      <c r="H27" s="7"/>
      <c r="I27" s="13"/>
      <c r="J27" s="13"/>
      <c r="K27" s="23" t="s">
        <v>597</v>
      </c>
      <c r="L27" s="13"/>
      <c r="M27" s="6"/>
    </row>
    <row r="28" spans="2:13" x14ac:dyDescent="0.2">
      <c r="B28" s="13"/>
      <c r="C28" s="13" t="s">
        <v>41</v>
      </c>
      <c r="D28" s="14"/>
      <c r="E28" s="15">
        <v>1.89</v>
      </c>
      <c r="F28" s="15"/>
      <c r="G28" s="15"/>
      <c r="H28" s="7"/>
      <c r="I28" s="13"/>
      <c r="J28" s="13"/>
      <c r="K28" s="13"/>
      <c r="L28" s="13"/>
      <c r="M28" s="6"/>
    </row>
    <row r="29" spans="2:13" x14ac:dyDescent="0.2">
      <c r="B29" s="13" t="s">
        <v>586</v>
      </c>
      <c r="C29" s="13" t="s">
        <v>41</v>
      </c>
      <c r="D29" s="14">
        <v>0.7</v>
      </c>
      <c r="E29" s="15">
        <v>1.845</v>
      </c>
      <c r="F29" s="15">
        <v>5.5469999999999997</v>
      </c>
      <c r="G29" s="15">
        <v>5.51</v>
      </c>
      <c r="H29" s="7">
        <f t="shared" ref="H29:H41" si="6">F29-G29</f>
        <v>3.6999999999999922E-2</v>
      </c>
      <c r="I29" s="13" t="s">
        <v>41</v>
      </c>
      <c r="J29" s="13" t="s">
        <v>41</v>
      </c>
      <c r="K29" s="13"/>
      <c r="L29" s="13"/>
      <c r="M29" s="6"/>
    </row>
    <row r="30" spans="2:13" x14ac:dyDescent="0.2">
      <c r="B30" s="13"/>
      <c r="C30" s="13" t="s">
        <v>41</v>
      </c>
      <c r="D30" s="14"/>
      <c r="E30" s="15">
        <v>1.8520000000000001</v>
      </c>
      <c r="F30" s="15"/>
      <c r="G30" s="15"/>
      <c r="H30" s="7"/>
      <c r="I30" s="13"/>
      <c r="J30" s="13"/>
      <c r="K30" s="13"/>
      <c r="L30" s="13"/>
      <c r="M30" s="6"/>
    </row>
    <row r="31" spans="2:13" x14ac:dyDescent="0.2">
      <c r="B31" s="13"/>
      <c r="C31" s="13" t="s">
        <v>41</v>
      </c>
      <c r="D31" s="14"/>
      <c r="E31" s="15">
        <v>1.85</v>
      </c>
      <c r="F31" s="15"/>
      <c r="G31" s="15"/>
      <c r="H31" s="7"/>
      <c r="I31" s="15"/>
      <c r="J31" s="15"/>
      <c r="K31" s="13"/>
      <c r="L31" s="13"/>
      <c r="M31" s="6"/>
    </row>
    <row r="32" spans="2:13" x14ac:dyDescent="0.2">
      <c r="B32" s="13" t="s">
        <v>598</v>
      </c>
      <c r="C32" s="13" t="s">
        <v>41</v>
      </c>
      <c r="D32" s="14">
        <v>0.9</v>
      </c>
      <c r="E32" s="15"/>
      <c r="F32" s="15">
        <v>1.9079999999999999</v>
      </c>
      <c r="G32" s="15">
        <v>1.899</v>
      </c>
      <c r="H32" s="7">
        <f t="shared" si="6"/>
        <v>8.999999999999897E-3</v>
      </c>
      <c r="I32" s="6" t="s">
        <v>197</v>
      </c>
      <c r="J32" s="2" t="s">
        <v>595</v>
      </c>
      <c r="K32" s="15" t="s">
        <v>588</v>
      </c>
      <c r="L32" s="53" t="s">
        <v>596</v>
      </c>
      <c r="M32" s="6"/>
    </row>
    <row r="33" spans="2:13" x14ac:dyDescent="0.2">
      <c r="B33" s="13" t="s">
        <v>599</v>
      </c>
      <c r="C33" s="13" t="s">
        <v>555</v>
      </c>
      <c r="D33" s="14">
        <v>0.8</v>
      </c>
      <c r="E33" s="15"/>
      <c r="F33" s="15">
        <v>1.901</v>
      </c>
      <c r="G33" s="15">
        <v>1.889</v>
      </c>
      <c r="H33" s="7">
        <f t="shared" si="6"/>
        <v>1.2000000000000011E-2</v>
      </c>
      <c r="I33" s="6" t="s">
        <v>197</v>
      </c>
      <c r="J33" s="13" t="s">
        <v>41</v>
      </c>
      <c r="K33" s="15" t="s">
        <v>592</v>
      </c>
      <c r="L33" s="13" t="s">
        <v>593</v>
      </c>
      <c r="M33" s="6"/>
    </row>
    <row r="34" spans="2:13" x14ac:dyDescent="0.2">
      <c r="B34" s="13" t="s">
        <v>600</v>
      </c>
      <c r="C34" s="13" t="s">
        <v>587</v>
      </c>
      <c r="D34" s="14">
        <v>1</v>
      </c>
      <c r="E34" s="15"/>
      <c r="F34" s="15">
        <v>1.891</v>
      </c>
      <c r="G34" s="15">
        <v>1.88</v>
      </c>
      <c r="H34" s="7">
        <f t="shared" si="6"/>
        <v>1.1000000000000121E-2</v>
      </c>
      <c r="I34" s="6" t="s">
        <v>197</v>
      </c>
      <c r="J34" s="13" t="s">
        <v>41</v>
      </c>
      <c r="K34" s="15" t="s">
        <v>589</v>
      </c>
      <c r="L34" s="13"/>
      <c r="M34" s="6"/>
    </row>
    <row r="35" spans="2:13" x14ac:dyDescent="0.2">
      <c r="B35" s="13" t="s">
        <v>602</v>
      </c>
      <c r="C35" s="13" t="s">
        <v>41</v>
      </c>
      <c r="D35" s="14">
        <v>0.3</v>
      </c>
      <c r="E35" s="15"/>
      <c r="F35" s="15">
        <v>1.9179999999999999</v>
      </c>
      <c r="G35" s="15">
        <v>1.907</v>
      </c>
      <c r="H35" s="7">
        <f t="shared" si="6"/>
        <v>1.0999999999999899E-2</v>
      </c>
      <c r="I35" s="6" t="s">
        <v>197</v>
      </c>
      <c r="J35" s="15" t="s">
        <v>594</v>
      </c>
      <c r="K35" s="15" t="s">
        <v>590</v>
      </c>
      <c r="L35" s="13"/>
      <c r="M35" s="6"/>
    </row>
    <row r="36" spans="2:13" x14ac:dyDescent="0.2">
      <c r="B36" s="13" t="s">
        <v>603</v>
      </c>
      <c r="C36" s="13" t="s">
        <v>41</v>
      </c>
      <c r="D36" s="13">
        <v>0.2</v>
      </c>
      <c r="E36" s="15"/>
      <c r="F36" s="15">
        <v>1.9059999999999999</v>
      </c>
      <c r="G36" s="15">
        <v>1.8939999999999999</v>
      </c>
      <c r="H36" s="7">
        <f t="shared" si="6"/>
        <v>1.2000000000000011E-2</v>
      </c>
      <c r="I36" s="6" t="s">
        <v>197</v>
      </c>
      <c r="J36" s="13" t="s">
        <v>41</v>
      </c>
      <c r="K36" s="15" t="s">
        <v>591</v>
      </c>
      <c r="L36" s="13"/>
      <c r="M36" s="6"/>
    </row>
    <row r="37" spans="2:13" x14ac:dyDescent="0.2">
      <c r="B37" s="13" t="s">
        <v>604</v>
      </c>
      <c r="C37" s="13" t="s">
        <v>41</v>
      </c>
      <c r="D37" s="14">
        <v>0.9</v>
      </c>
      <c r="E37" s="15"/>
      <c r="F37" s="15">
        <v>1.9139999999999999</v>
      </c>
      <c r="G37" s="15">
        <v>1.9039999999999999</v>
      </c>
      <c r="H37" s="7">
        <f t="shared" si="6"/>
        <v>1.0000000000000009E-2</v>
      </c>
      <c r="I37" s="6" t="s">
        <v>605</v>
      </c>
      <c r="J37" s="15" t="s">
        <v>612</v>
      </c>
      <c r="K37" s="15" t="s">
        <v>606</v>
      </c>
      <c r="L37" s="13"/>
      <c r="M37" s="6"/>
    </row>
    <row r="38" spans="2:13" x14ac:dyDescent="0.2">
      <c r="B38" s="13" t="s">
        <v>613</v>
      </c>
      <c r="C38" s="13" t="s">
        <v>41</v>
      </c>
      <c r="D38" s="14">
        <v>0.7</v>
      </c>
      <c r="E38" s="15"/>
      <c r="F38" s="15">
        <v>1.9079999999999999</v>
      </c>
      <c r="G38" s="15">
        <v>1.8939999999999999</v>
      </c>
      <c r="H38" s="7">
        <f t="shared" si="6"/>
        <v>1.4000000000000012E-2</v>
      </c>
      <c r="I38" s="6" t="s">
        <v>197</v>
      </c>
      <c r="J38" s="13" t="s">
        <v>616</v>
      </c>
      <c r="K38" s="15" t="s">
        <v>617</v>
      </c>
      <c r="L38" s="13"/>
      <c r="M38" s="6"/>
    </row>
    <row r="39" spans="2:13" x14ac:dyDescent="0.2">
      <c r="B39" s="13" t="s">
        <v>614</v>
      </c>
      <c r="C39" s="13" t="s">
        <v>41</v>
      </c>
      <c r="D39" s="14">
        <v>0.5</v>
      </c>
      <c r="E39" s="15"/>
      <c r="F39" s="15">
        <v>1.9159999999999999</v>
      </c>
      <c r="G39" s="15">
        <v>1.905</v>
      </c>
      <c r="H39" s="7">
        <f t="shared" si="6"/>
        <v>1.0999999999999899E-2</v>
      </c>
      <c r="I39" s="6" t="s">
        <v>197</v>
      </c>
      <c r="J39" s="13" t="s">
        <v>41</v>
      </c>
      <c r="K39" s="15" t="s">
        <v>618</v>
      </c>
      <c r="L39" s="13"/>
      <c r="M39" s="6"/>
    </row>
    <row r="40" spans="2:13" x14ac:dyDescent="0.2">
      <c r="B40" s="13" t="s">
        <v>615</v>
      </c>
      <c r="C40" s="13" t="s">
        <v>41</v>
      </c>
      <c r="D40" s="14">
        <v>0.9</v>
      </c>
      <c r="E40" s="15"/>
      <c r="F40" s="15">
        <v>1.9179999999999999</v>
      </c>
      <c r="G40" s="15">
        <v>1.91</v>
      </c>
      <c r="H40" s="7">
        <f t="shared" si="6"/>
        <v>8.0000000000000071E-3</v>
      </c>
      <c r="I40" s="6" t="s">
        <v>197</v>
      </c>
      <c r="J40" s="13" t="s">
        <v>41</v>
      </c>
      <c r="K40" s="15" t="s">
        <v>619</v>
      </c>
      <c r="L40" s="13"/>
      <c r="M40" s="6"/>
    </row>
    <row r="41" spans="2:13" x14ac:dyDescent="0.2">
      <c r="B41" s="13" t="s">
        <v>620</v>
      </c>
      <c r="C41" s="6" t="s">
        <v>621</v>
      </c>
      <c r="D41" s="14">
        <v>0.5</v>
      </c>
      <c r="E41" s="15">
        <v>1.796</v>
      </c>
      <c r="F41" s="15">
        <v>5.4009999999999998</v>
      </c>
      <c r="G41" s="15">
        <v>5.38</v>
      </c>
      <c r="H41" s="7">
        <f t="shared" si="6"/>
        <v>2.0999999999999908E-2</v>
      </c>
      <c r="I41" s="15" t="s">
        <v>335</v>
      </c>
      <c r="J41" s="15" t="s">
        <v>624</v>
      </c>
      <c r="K41" s="13" t="s">
        <v>625</v>
      </c>
      <c r="L41" s="59" t="s">
        <v>648</v>
      </c>
      <c r="M41" s="6"/>
    </row>
    <row r="42" spans="2:13" x14ac:dyDescent="0.2">
      <c r="B42" s="13"/>
      <c r="C42" s="6" t="s">
        <v>622</v>
      </c>
      <c r="D42" s="14"/>
      <c r="E42" s="15">
        <v>1.8</v>
      </c>
      <c r="F42" s="15"/>
      <c r="G42" s="15"/>
      <c r="H42" s="7"/>
      <c r="I42" s="13"/>
      <c r="J42" s="15"/>
      <c r="K42" s="15"/>
      <c r="L42" s="13" t="s">
        <v>647</v>
      </c>
      <c r="M42" s="6"/>
    </row>
    <row r="43" spans="2:13" x14ac:dyDescent="0.2">
      <c r="B43" s="13"/>
      <c r="C43" s="6" t="s">
        <v>623</v>
      </c>
      <c r="D43" s="13"/>
      <c r="E43" s="15">
        <v>1.806</v>
      </c>
      <c r="F43" s="15"/>
      <c r="G43" s="15"/>
      <c r="H43" s="7"/>
      <c r="I43" s="13"/>
      <c r="J43" s="13"/>
      <c r="K43" s="13"/>
      <c r="L43" s="13" t="s">
        <v>650</v>
      </c>
      <c r="M43" s="6"/>
    </row>
    <row r="44" spans="2:13" x14ac:dyDescent="0.2">
      <c r="B44" s="13" t="s">
        <v>626</v>
      </c>
      <c r="C44" s="13" t="s">
        <v>649</v>
      </c>
      <c r="D44" s="13">
        <v>0.6</v>
      </c>
      <c r="E44" s="15"/>
      <c r="F44" s="15">
        <v>1.891</v>
      </c>
      <c r="G44" s="15">
        <v>1.8819999999999999</v>
      </c>
      <c r="H44" s="7">
        <f t="shared" ref="H44:H53" si="7">F44-G44</f>
        <v>9.000000000000119E-3</v>
      </c>
      <c r="I44" s="15" t="s">
        <v>183</v>
      </c>
      <c r="J44" s="13" t="s">
        <v>651</v>
      </c>
      <c r="K44" s="15" t="s">
        <v>636</v>
      </c>
      <c r="L44" s="13"/>
      <c r="M44" s="6"/>
    </row>
    <row r="45" spans="2:13" x14ac:dyDescent="0.2">
      <c r="B45" s="13" t="s">
        <v>627</v>
      </c>
      <c r="C45" s="13" t="s">
        <v>567</v>
      </c>
      <c r="D45" s="13">
        <v>0.4</v>
      </c>
      <c r="E45" s="15"/>
      <c r="F45" s="15">
        <v>1.875</v>
      </c>
      <c r="G45" s="15">
        <v>1.865</v>
      </c>
      <c r="H45" s="7">
        <f t="shared" si="7"/>
        <v>1.0000000000000009E-2</v>
      </c>
      <c r="I45" s="13" t="s">
        <v>41</v>
      </c>
      <c r="J45" s="13" t="s">
        <v>41</v>
      </c>
      <c r="K45" s="13"/>
      <c r="L45" s="13"/>
      <c r="M45" s="6"/>
    </row>
    <row r="46" spans="2:13" x14ac:dyDescent="0.2">
      <c r="B46" s="13" t="s">
        <v>628</v>
      </c>
      <c r="C46" s="13" t="s">
        <v>649</v>
      </c>
      <c r="D46" s="13">
        <v>0.5</v>
      </c>
      <c r="E46" s="15"/>
      <c r="F46" s="15">
        <v>1.8959999999999999</v>
      </c>
      <c r="G46" s="15">
        <v>1.8839999999999999</v>
      </c>
      <c r="H46" s="7">
        <f t="shared" si="7"/>
        <v>1.2000000000000011E-2</v>
      </c>
      <c r="I46" s="13" t="s">
        <v>41</v>
      </c>
      <c r="J46" s="13" t="s">
        <v>41</v>
      </c>
      <c r="K46" s="15" t="s">
        <v>636</v>
      </c>
      <c r="L46" s="13"/>
      <c r="M46" s="6"/>
    </row>
    <row r="47" spans="2:13" x14ac:dyDescent="0.2">
      <c r="B47" s="13" t="s">
        <v>629</v>
      </c>
      <c r="C47" s="13" t="s">
        <v>567</v>
      </c>
      <c r="D47" s="13">
        <v>0.4</v>
      </c>
      <c r="E47" s="15"/>
      <c r="F47" s="15">
        <v>1.879</v>
      </c>
      <c r="G47" s="15">
        <v>1.869</v>
      </c>
      <c r="H47" s="7">
        <f t="shared" si="7"/>
        <v>1.0000000000000009E-2</v>
      </c>
      <c r="I47" s="13" t="s">
        <v>41</v>
      </c>
      <c r="J47" s="13" t="s">
        <v>41</v>
      </c>
      <c r="K47" s="13"/>
      <c r="L47" s="13"/>
      <c r="M47" s="6"/>
    </row>
    <row r="48" spans="2:13" x14ac:dyDescent="0.2">
      <c r="B48" s="13" t="s">
        <v>630</v>
      </c>
      <c r="C48" s="13" t="s">
        <v>649</v>
      </c>
      <c r="D48" s="13">
        <v>0.4</v>
      </c>
      <c r="E48" s="15"/>
      <c r="F48" s="15">
        <v>1.901</v>
      </c>
      <c r="G48" s="15">
        <v>1.89</v>
      </c>
      <c r="H48" s="7">
        <f t="shared" si="7"/>
        <v>1.1000000000000121E-2</v>
      </c>
      <c r="I48" s="13" t="s">
        <v>41</v>
      </c>
      <c r="J48" s="13" t="s">
        <v>41</v>
      </c>
      <c r="K48" s="15" t="s">
        <v>636</v>
      </c>
      <c r="L48" s="13"/>
      <c r="M48" s="6"/>
    </row>
    <row r="49" spans="2:13" x14ac:dyDescent="0.2">
      <c r="B49" s="13" t="s">
        <v>631</v>
      </c>
      <c r="C49" s="13" t="s">
        <v>567</v>
      </c>
      <c r="D49" s="14">
        <v>0.4</v>
      </c>
      <c r="E49" s="15"/>
      <c r="F49" s="15">
        <v>1.8879999999999999</v>
      </c>
      <c r="G49" s="15">
        <v>1.875</v>
      </c>
      <c r="H49" s="7">
        <f t="shared" si="7"/>
        <v>1.2999999999999901E-2</v>
      </c>
      <c r="I49" s="13" t="s">
        <v>41</v>
      </c>
      <c r="J49" s="13" t="s">
        <v>41</v>
      </c>
      <c r="L49" s="13"/>
      <c r="M49" s="6"/>
    </row>
    <row r="50" spans="2:13" x14ac:dyDescent="0.2">
      <c r="B50" s="13" t="s">
        <v>632</v>
      </c>
      <c r="C50" s="13" t="s">
        <v>649</v>
      </c>
      <c r="D50" s="14">
        <v>0.8</v>
      </c>
      <c r="E50" s="15"/>
      <c r="F50" s="15">
        <v>1.907</v>
      </c>
      <c r="G50" s="15">
        <v>1.899</v>
      </c>
      <c r="H50" s="7">
        <f t="shared" si="7"/>
        <v>8.0000000000000071E-3</v>
      </c>
      <c r="I50" s="13" t="s">
        <v>41</v>
      </c>
      <c r="J50" s="13" t="s">
        <v>41</v>
      </c>
      <c r="K50" s="15" t="s">
        <v>636</v>
      </c>
      <c r="L50" s="13"/>
      <c r="M50" s="6"/>
    </row>
    <row r="51" spans="2:13" x14ac:dyDescent="0.2">
      <c r="B51" s="13" t="s">
        <v>634</v>
      </c>
      <c r="C51" s="13" t="s">
        <v>567</v>
      </c>
      <c r="D51" s="14">
        <v>0.4</v>
      </c>
      <c r="E51" s="15"/>
      <c r="F51" s="15">
        <v>1.893</v>
      </c>
      <c r="G51" s="15">
        <v>1.8819999999999999</v>
      </c>
      <c r="H51" s="7">
        <f t="shared" si="7"/>
        <v>1.1000000000000121E-2</v>
      </c>
      <c r="I51" s="13" t="s">
        <v>41</v>
      </c>
      <c r="J51" s="13" t="s">
        <v>41</v>
      </c>
      <c r="K51" s="13"/>
      <c r="L51" s="13"/>
      <c r="M51" s="6"/>
    </row>
    <row r="52" spans="2:13" x14ac:dyDescent="0.2">
      <c r="B52" s="13" t="s">
        <v>633</v>
      </c>
      <c r="C52" s="13" t="s">
        <v>649</v>
      </c>
      <c r="D52" s="14">
        <v>0.6</v>
      </c>
      <c r="E52" s="15"/>
      <c r="F52" s="15">
        <v>1.893</v>
      </c>
      <c r="G52" s="15">
        <v>1.8819999999999999</v>
      </c>
      <c r="H52" s="7">
        <f t="shared" si="7"/>
        <v>1.1000000000000121E-2</v>
      </c>
      <c r="I52" s="13" t="s">
        <v>41</v>
      </c>
      <c r="J52" s="13" t="s">
        <v>41</v>
      </c>
      <c r="K52" s="15" t="s">
        <v>636</v>
      </c>
      <c r="L52" s="23"/>
      <c r="M52" s="6"/>
    </row>
    <row r="53" spans="2:13" x14ac:dyDescent="0.2">
      <c r="B53" s="13" t="s">
        <v>635</v>
      </c>
      <c r="C53" s="13" t="s">
        <v>567</v>
      </c>
      <c r="D53" s="14">
        <v>0.7</v>
      </c>
      <c r="E53" s="15"/>
      <c r="F53" s="15">
        <v>1.8819999999999999</v>
      </c>
      <c r="G53" s="15">
        <v>1.8680000000000001</v>
      </c>
      <c r="H53" s="7">
        <f t="shared" si="7"/>
        <v>1.399999999999979E-2</v>
      </c>
      <c r="I53" s="13" t="s">
        <v>41</v>
      </c>
      <c r="J53" s="13" t="s">
        <v>41</v>
      </c>
      <c r="K53" s="13"/>
      <c r="L53" s="13"/>
      <c r="M53" s="6"/>
    </row>
    <row r="54" spans="2:13" x14ac:dyDescent="0.2">
      <c r="B54" s="13" t="s">
        <v>637</v>
      </c>
      <c r="C54" s="13" t="s">
        <v>649</v>
      </c>
      <c r="D54" s="13">
        <v>0.3</v>
      </c>
      <c r="E54" s="15"/>
      <c r="F54" s="15">
        <v>1.9379999999999999</v>
      </c>
      <c r="G54" s="15">
        <v>1.9239999999999999</v>
      </c>
      <c r="H54" s="7">
        <f t="shared" ref="H54:H81" si="8">F54-G54</f>
        <v>1.4000000000000012E-2</v>
      </c>
      <c r="I54" s="13" t="s">
        <v>41</v>
      </c>
      <c r="J54" s="13" t="s">
        <v>41</v>
      </c>
      <c r="K54" s="15" t="s">
        <v>636</v>
      </c>
      <c r="L54" s="13" t="s">
        <v>662</v>
      </c>
      <c r="M54" s="6"/>
    </row>
    <row r="55" spans="2:13" x14ac:dyDescent="0.2">
      <c r="B55" s="13" t="s">
        <v>639</v>
      </c>
      <c r="C55" s="13" t="s">
        <v>567</v>
      </c>
      <c r="D55" s="13">
        <v>0.4</v>
      </c>
      <c r="E55" s="15"/>
      <c r="F55" s="15">
        <v>1.9370000000000001</v>
      </c>
      <c r="G55" s="15">
        <v>1.9279999999999999</v>
      </c>
      <c r="H55" s="7">
        <f t="shared" si="8"/>
        <v>9.000000000000119E-3</v>
      </c>
      <c r="I55" s="13" t="s">
        <v>41</v>
      </c>
      <c r="J55" s="13" t="s">
        <v>41</v>
      </c>
      <c r="K55" s="13"/>
      <c r="L55" s="13" t="s">
        <v>41</v>
      </c>
      <c r="M55" s="6"/>
    </row>
    <row r="56" spans="2:13" x14ac:dyDescent="0.2">
      <c r="B56" s="13" t="s">
        <v>638</v>
      </c>
      <c r="C56" s="13" t="s">
        <v>649</v>
      </c>
      <c r="D56" s="13">
        <v>0.4</v>
      </c>
      <c r="E56" s="15"/>
      <c r="F56" s="15">
        <v>1.931</v>
      </c>
      <c r="G56" s="15">
        <v>1.921</v>
      </c>
      <c r="H56" s="7">
        <f t="shared" si="8"/>
        <v>1.0000000000000009E-2</v>
      </c>
      <c r="I56" s="13" t="s">
        <v>41</v>
      </c>
      <c r="J56" s="13" t="s">
        <v>41</v>
      </c>
      <c r="K56" s="15" t="s">
        <v>636</v>
      </c>
      <c r="L56" s="13" t="s">
        <v>41</v>
      </c>
      <c r="M56" s="6"/>
    </row>
    <row r="57" spans="2:13" x14ac:dyDescent="0.2">
      <c r="B57" s="13" t="s">
        <v>640</v>
      </c>
      <c r="C57" s="13" t="s">
        <v>567</v>
      </c>
      <c r="D57" s="13">
        <v>0.4</v>
      </c>
      <c r="E57" s="15"/>
      <c r="F57" s="15">
        <v>1.917</v>
      </c>
      <c r="G57" s="15">
        <v>1.9059999999999999</v>
      </c>
      <c r="H57" s="7">
        <f t="shared" si="8"/>
        <v>1.1000000000000121E-2</v>
      </c>
      <c r="I57" s="13" t="s">
        <v>41</v>
      </c>
      <c r="J57" s="13" t="s">
        <v>41</v>
      </c>
      <c r="K57" s="13"/>
      <c r="L57" s="13" t="s">
        <v>41</v>
      </c>
      <c r="M57" s="6"/>
    </row>
    <row r="58" spans="2:13" x14ac:dyDescent="0.2">
      <c r="B58" s="13" t="s">
        <v>641</v>
      </c>
      <c r="C58" s="13" t="s">
        <v>649</v>
      </c>
      <c r="D58" s="13">
        <v>0.6</v>
      </c>
      <c r="E58" s="15" t="s">
        <v>652</v>
      </c>
      <c r="F58" s="15">
        <v>1.9550000000000001</v>
      </c>
      <c r="G58" s="15">
        <v>1.948</v>
      </c>
      <c r="H58" s="7">
        <f t="shared" si="8"/>
        <v>7.0000000000001172E-3</v>
      </c>
      <c r="I58" s="13" t="s">
        <v>41</v>
      </c>
      <c r="J58" s="13" t="s">
        <v>41</v>
      </c>
      <c r="K58" s="15" t="s">
        <v>636</v>
      </c>
      <c r="L58" s="13" t="s">
        <v>41</v>
      </c>
      <c r="M58" s="6"/>
    </row>
    <row r="59" spans="2:13" x14ac:dyDescent="0.2">
      <c r="B59" s="13" t="s">
        <v>642</v>
      </c>
      <c r="C59" s="13" t="s">
        <v>567</v>
      </c>
      <c r="D59" s="14">
        <v>0.5</v>
      </c>
      <c r="E59" s="15"/>
      <c r="F59" s="15">
        <v>1.93</v>
      </c>
      <c r="G59" s="15">
        <v>1.9179999999999999</v>
      </c>
      <c r="H59" s="7">
        <f t="shared" si="8"/>
        <v>1.2000000000000011E-2</v>
      </c>
      <c r="I59" s="13" t="s">
        <v>41</v>
      </c>
      <c r="J59" s="13" t="s">
        <v>41</v>
      </c>
      <c r="L59" s="13" t="s">
        <v>41</v>
      </c>
      <c r="M59" s="6"/>
    </row>
    <row r="60" spans="2:13" x14ac:dyDescent="0.2">
      <c r="B60" s="13" t="s">
        <v>643</v>
      </c>
      <c r="C60" s="13" t="s">
        <v>649</v>
      </c>
      <c r="D60" s="14">
        <v>0.6</v>
      </c>
      <c r="E60" s="15"/>
      <c r="F60" s="15">
        <v>1.94</v>
      </c>
      <c r="G60" s="15">
        <v>1.9330000000000001</v>
      </c>
      <c r="H60" s="7">
        <f t="shared" si="8"/>
        <v>6.9999999999998952E-3</v>
      </c>
      <c r="I60" s="13" t="s">
        <v>41</v>
      </c>
      <c r="J60" s="13" t="s">
        <v>41</v>
      </c>
      <c r="K60" s="15" t="s">
        <v>636</v>
      </c>
      <c r="L60" s="13" t="s">
        <v>41</v>
      </c>
      <c r="M60" s="6"/>
    </row>
    <row r="61" spans="2:13" x14ac:dyDescent="0.2">
      <c r="B61" s="13" t="s">
        <v>644</v>
      </c>
      <c r="C61" s="13" t="s">
        <v>567</v>
      </c>
      <c r="D61" s="14">
        <v>0.4</v>
      </c>
      <c r="E61" s="15"/>
      <c r="F61" s="15">
        <v>1.9359999999999999</v>
      </c>
      <c r="G61" s="15">
        <v>1.9279999999999999</v>
      </c>
      <c r="H61" s="7">
        <f t="shared" si="8"/>
        <v>8.0000000000000071E-3</v>
      </c>
      <c r="I61" s="13" t="s">
        <v>41</v>
      </c>
      <c r="J61" s="13" t="s">
        <v>41</v>
      </c>
      <c r="K61" s="13"/>
      <c r="L61" s="13" t="s">
        <v>41</v>
      </c>
      <c r="M61" s="6"/>
    </row>
    <row r="62" spans="2:13" x14ac:dyDescent="0.2">
      <c r="B62" s="13" t="s">
        <v>645</v>
      </c>
      <c r="C62" s="13" t="s">
        <v>649</v>
      </c>
      <c r="D62" s="14">
        <v>0.3</v>
      </c>
      <c r="E62" s="15"/>
      <c r="F62" s="15">
        <v>1.9059999999999999</v>
      </c>
      <c r="G62" s="15">
        <v>1.8959999999999999</v>
      </c>
      <c r="H62" s="7">
        <f t="shared" si="8"/>
        <v>1.0000000000000009E-2</v>
      </c>
      <c r="I62" s="13" t="s">
        <v>41</v>
      </c>
      <c r="J62" s="13" t="s">
        <v>41</v>
      </c>
      <c r="K62" s="15" t="s">
        <v>636</v>
      </c>
      <c r="L62" s="13" t="s">
        <v>41</v>
      </c>
      <c r="M62" s="6"/>
    </row>
    <row r="63" spans="2:13" x14ac:dyDescent="0.2">
      <c r="B63" s="13" t="s">
        <v>646</v>
      </c>
      <c r="C63" s="13" t="s">
        <v>567</v>
      </c>
      <c r="D63" s="14">
        <v>0.4</v>
      </c>
      <c r="E63" s="15"/>
      <c r="F63" s="15">
        <v>1.9019999999999999</v>
      </c>
      <c r="G63" s="15">
        <v>1.895</v>
      </c>
      <c r="H63" s="7">
        <f t="shared" si="8"/>
        <v>6.9999999999998952E-3</v>
      </c>
      <c r="I63" s="13" t="s">
        <v>41</v>
      </c>
      <c r="J63" s="13" t="s">
        <v>41</v>
      </c>
      <c r="K63" s="13"/>
      <c r="L63" s="13" t="s">
        <v>41</v>
      </c>
      <c r="M63" s="6"/>
    </row>
    <row r="64" spans="2:13" x14ac:dyDescent="0.2">
      <c r="B64" s="13" t="s">
        <v>653</v>
      </c>
      <c r="C64" s="13" t="s">
        <v>649</v>
      </c>
      <c r="D64" s="13">
        <v>0.5</v>
      </c>
      <c r="E64" s="15"/>
      <c r="F64" s="15">
        <v>1.895</v>
      </c>
      <c r="G64" s="15">
        <v>1.8879999999999999</v>
      </c>
      <c r="H64" s="7">
        <f t="shared" si="8"/>
        <v>7.0000000000001172E-3</v>
      </c>
      <c r="I64" s="13" t="s">
        <v>41</v>
      </c>
      <c r="J64" s="13" t="s">
        <v>41</v>
      </c>
      <c r="K64" s="15" t="s">
        <v>636</v>
      </c>
      <c r="L64" s="13" t="s">
        <v>663</v>
      </c>
      <c r="M64" s="6"/>
    </row>
    <row r="65" spans="2:13" x14ac:dyDescent="0.2">
      <c r="B65" s="13" t="s">
        <v>654</v>
      </c>
      <c r="C65" s="13" t="s">
        <v>567</v>
      </c>
      <c r="D65" s="13">
        <v>0.4</v>
      </c>
      <c r="E65" s="13"/>
      <c r="F65" s="15">
        <v>1.879</v>
      </c>
      <c r="G65" s="15">
        <v>1.8660000000000001</v>
      </c>
      <c r="H65" s="7">
        <f t="shared" si="8"/>
        <v>1.2999999999999901E-2</v>
      </c>
      <c r="I65" s="13" t="s">
        <v>41</v>
      </c>
      <c r="J65" s="13" t="s">
        <v>41</v>
      </c>
      <c r="K65" s="13"/>
      <c r="L65" s="13" t="s">
        <v>41</v>
      </c>
      <c r="M65" s="6"/>
    </row>
    <row r="66" spans="2:13" x14ac:dyDescent="0.2">
      <c r="B66" s="13" t="s">
        <v>655</v>
      </c>
      <c r="C66" s="13" t="s">
        <v>649</v>
      </c>
      <c r="D66" s="13">
        <v>0.4</v>
      </c>
      <c r="E66" s="13"/>
      <c r="F66" s="15">
        <v>1.9239999999999999</v>
      </c>
      <c r="G66" s="15">
        <v>1.913</v>
      </c>
      <c r="H66" s="7">
        <f t="shared" si="8"/>
        <v>1.0999999999999899E-2</v>
      </c>
      <c r="I66" s="13" t="s">
        <v>41</v>
      </c>
      <c r="J66" s="13" t="s">
        <v>41</v>
      </c>
      <c r="K66" s="15" t="s">
        <v>636</v>
      </c>
      <c r="L66" s="13" t="s">
        <v>41</v>
      </c>
      <c r="M66" s="6"/>
    </row>
    <row r="67" spans="2:13" x14ac:dyDescent="0.2">
      <c r="B67" s="13" t="s">
        <v>656</v>
      </c>
      <c r="C67" s="13" t="s">
        <v>567</v>
      </c>
      <c r="D67" s="13">
        <v>0.3</v>
      </c>
      <c r="E67" s="13"/>
      <c r="F67" s="15">
        <v>1.9039999999999999</v>
      </c>
      <c r="G67" s="15">
        <v>1.8919999999999999</v>
      </c>
      <c r="H67" s="7">
        <f t="shared" si="8"/>
        <v>1.2000000000000011E-2</v>
      </c>
      <c r="I67" s="13" t="s">
        <v>41</v>
      </c>
      <c r="J67" s="13" t="s">
        <v>41</v>
      </c>
      <c r="K67" s="13"/>
      <c r="L67" s="13" t="s">
        <v>41</v>
      </c>
      <c r="M67" s="6"/>
    </row>
    <row r="68" spans="2:13" x14ac:dyDescent="0.2">
      <c r="B68" s="13" t="s">
        <v>657</v>
      </c>
      <c r="C68" s="13" t="s">
        <v>649</v>
      </c>
      <c r="D68" s="13">
        <v>0.4</v>
      </c>
      <c r="E68" s="13"/>
      <c r="F68" s="15">
        <v>1.9059999999999999</v>
      </c>
      <c r="G68" s="15">
        <v>1.891</v>
      </c>
      <c r="H68" s="7">
        <f t="shared" si="8"/>
        <v>1.4999999999999902E-2</v>
      </c>
      <c r="I68" s="13" t="s">
        <v>41</v>
      </c>
      <c r="J68" s="13" t="s">
        <v>41</v>
      </c>
      <c r="K68" s="15" t="s">
        <v>636</v>
      </c>
      <c r="L68" s="13" t="s">
        <v>41</v>
      </c>
      <c r="M68" s="6"/>
    </row>
    <row r="69" spans="2:13" x14ac:dyDescent="0.2">
      <c r="B69" s="13" t="s">
        <v>658</v>
      </c>
      <c r="C69" s="13" t="s">
        <v>567</v>
      </c>
      <c r="D69" s="13">
        <v>0.4</v>
      </c>
      <c r="E69" s="13"/>
      <c r="F69" s="15">
        <v>1.9019999999999999</v>
      </c>
      <c r="G69" s="15">
        <v>1.891</v>
      </c>
      <c r="H69" s="7">
        <f t="shared" si="8"/>
        <v>1.0999999999999899E-2</v>
      </c>
      <c r="I69" s="13" t="s">
        <v>41</v>
      </c>
      <c r="J69" s="13" t="s">
        <v>41</v>
      </c>
      <c r="L69" s="13" t="s">
        <v>41</v>
      </c>
      <c r="M69" s="6"/>
    </row>
    <row r="70" spans="2:13" x14ac:dyDescent="0.2">
      <c r="B70" s="13" t="s">
        <v>659</v>
      </c>
      <c r="C70" s="13" t="s">
        <v>649</v>
      </c>
      <c r="D70" s="13">
        <v>0.4</v>
      </c>
      <c r="E70" s="13"/>
      <c r="F70" s="15">
        <v>1.897</v>
      </c>
      <c r="G70" s="15">
        <v>1.885</v>
      </c>
      <c r="H70" s="7">
        <f t="shared" si="8"/>
        <v>1.2000000000000011E-2</v>
      </c>
      <c r="I70" s="13" t="s">
        <v>41</v>
      </c>
      <c r="J70" s="13" t="s">
        <v>41</v>
      </c>
      <c r="K70" s="15" t="s">
        <v>636</v>
      </c>
      <c r="L70" s="13" t="s">
        <v>41</v>
      </c>
      <c r="M70" s="6"/>
    </row>
    <row r="71" spans="2:13" x14ac:dyDescent="0.2">
      <c r="B71" s="13" t="s">
        <v>660</v>
      </c>
      <c r="C71" s="13" t="s">
        <v>567</v>
      </c>
      <c r="D71" s="14">
        <v>0.5</v>
      </c>
      <c r="E71" s="15"/>
      <c r="F71" s="15">
        <v>1.89</v>
      </c>
      <c r="G71" s="15">
        <v>1.8779999999999999</v>
      </c>
      <c r="H71" s="7">
        <f t="shared" si="8"/>
        <v>1.2000000000000011E-2</v>
      </c>
      <c r="I71" s="13" t="s">
        <v>41</v>
      </c>
      <c r="J71" s="13" t="s">
        <v>41</v>
      </c>
      <c r="K71" s="13"/>
      <c r="L71" s="13" t="s">
        <v>41</v>
      </c>
      <c r="M71" s="6"/>
    </row>
    <row r="72" spans="2:13" x14ac:dyDescent="0.2">
      <c r="B72" s="13" t="s">
        <v>661</v>
      </c>
      <c r="C72" s="13" t="s">
        <v>649</v>
      </c>
      <c r="D72" s="13">
        <v>0.7</v>
      </c>
      <c r="E72" s="13"/>
      <c r="F72" s="15">
        <v>1.895</v>
      </c>
      <c r="G72" s="15">
        <v>1.88</v>
      </c>
      <c r="H72" s="7">
        <f t="shared" si="8"/>
        <v>1.5000000000000124E-2</v>
      </c>
      <c r="I72" s="13" t="s">
        <v>41</v>
      </c>
      <c r="J72" s="13" t="s">
        <v>664</v>
      </c>
      <c r="K72" s="15" t="s">
        <v>636</v>
      </c>
      <c r="L72" s="13" t="s">
        <v>41</v>
      </c>
      <c r="M72" s="6"/>
    </row>
    <row r="73" spans="2:13" x14ac:dyDescent="0.2">
      <c r="B73" s="13" t="s">
        <v>667</v>
      </c>
      <c r="C73" s="13" t="s">
        <v>666</v>
      </c>
      <c r="D73" s="14">
        <v>0.7</v>
      </c>
      <c r="E73" s="15"/>
      <c r="F73" s="15">
        <v>1.8080000000000001</v>
      </c>
      <c r="G73" s="15">
        <v>1.8029999999999999</v>
      </c>
      <c r="H73" s="7">
        <f t="shared" si="8"/>
        <v>5.0000000000001155E-3</v>
      </c>
      <c r="I73" s="13" t="s">
        <v>41</v>
      </c>
      <c r="J73" s="13" t="s">
        <v>41</v>
      </c>
      <c r="K73" s="13" t="s">
        <v>665</v>
      </c>
      <c r="L73" s="23" t="s">
        <v>668</v>
      </c>
      <c r="M73" s="6"/>
    </row>
    <row r="74" spans="2:13" x14ac:dyDescent="0.2">
      <c r="B74" s="13" t="s">
        <v>669</v>
      </c>
      <c r="C74" s="13" t="s">
        <v>649</v>
      </c>
      <c r="D74" s="14">
        <v>0.2</v>
      </c>
      <c r="E74" s="15"/>
      <c r="F74" s="15">
        <v>1.9430000000000001</v>
      </c>
      <c r="G74" s="15">
        <v>1.9319999999999999</v>
      </c>
      <c r="H74" s="7">
        <f t="shared" si="8"/>
        <v>1.1000000000000121E-2</v>
      </c>
      <c r="I74" s="13" t="s">
        <v>41</v>
      </c>
      <c r="J74" s="13" t="s">
        <v>651</v>
      </c>
      <c r="K74" s="15" t="s">
        <v>636</v>
      </c>
      <c r="L74" s="13" t="s">
        <v>663</v>
      </c>
      <c r="M74" s="6"/>
    </row>
    <row r="75" spans="2:13" x14ac:dyDescent="0.2">
      <c r="B75" s="13" t="s">
        <v>670</v>
      </c>
      <c r="C75" s="13" t="s">
        <v>41</v>
      </c>
      <c r="D75" s="14">
        <v>0.3</v>
      </c>
      <c r="E75" s="15"/>
      <c r="F75" s="15">
        <v>1.9259999999999999</v>
      </c>
      <c r="G75" s="15">
        <v>1.9119999999999999</v>
      </c>
      <c r="H75" s="7">
        <f t="shared" si="8"/>
        <v>1.4000000000000012E-2</v>
      </c>
      <c r="I75" s="13" t="s">
        <v>41</v>
      </c>
      <c r="J75" s="13" t="s">
        <v>41</v>
      </c>
      <c r="K75" s="13" t="s">
        <v>41</v>
      </c>
      <c r="L75" s="13" t="s">
        <v>41</v>
      </c>
      <c r="M75" s="6"/>
    </row>
    <row r="76" spans="2:13" x14ac:dyDescent="0.2">
      <c r="B76" s="13" t="s">
        <v>671</v>
      </c>
      <c r="C76" s="13" t="s">
        <v>41</v>
      </c>
      <c r="D76" s="14">
        <v>0.2</v>
      </c>
      <c r="E76" s="15"/>
      <c r="F76" s="15">
        <v>1.9219999999999999</v>
      </c>
      <c r="G76" s="15">
        <v>1.907</v>
      </c>
      <c r="H76" s="7">
        <f t="shared" si="8"/>
        <v>1.4999999999999902E-2</v>
      </c>
      <c r="I76" s="13" t="s">
        <v>41</v>
      </c>
      <c r="J76" s="13" t="s">
        <v>41</v>
      </c>
      <c r="K76" s="13" t="s">
        <v>41</v>
      </c>
      <c r="L76" s="13" t="s">
        <v>41</v>
      </c>
      <c r="M76" s="6"/>
    </row>
    <row r="77" spans="2:13" x14ac:dyDescent="0.2">
      <c r="B77" s="13" t="s">
        <v>672</v>
      </c>
      <c r="C77" s="13" t="s">
        <v>41</v>
      </c>
      <c r="D77" s="6">
        <v>0.4</v>
      </c>
      <c r="E77" s="7"/>
      <c r="F77" s="15">
        <v>1.9330000000000001</v>
      </c>
      <c r="G77" s="15">
        <v>1.923</v>
      </c>
      <c r="H77" s="7">
        <f t="shared" si="8"/>
        <v>1.0000000000000009E-2</v>
      </c>
      <c r="I77" s="13" t="s">
        <v>41</v>
      </c>
      <c r="J77" s="13" t="s">
        <v>41</v>
      </c>
      <c r="K77" s="13" t="s">
        <v>41</v>
      </c>
      <c r="L77" s="13" t="s">
        <v>41</v>
      </c>
      <c r="M77" s="6"/>
    </row>
    <row r="78" spans="2:13" x14ac:dyDescent="0.2">
      <c r="B78" s="13" t="s">
        <v>673</v>
      </c>
      <c r="C78" s="13" t="s">
        <v>567</v>
      </c>
      <c r="D78" s="6">
        <v>0.5</v>
      </c>
      <c r="E78" s="7"/>
      <c r="F78" s="15">
        <v>1.9319999999999999</v>
      </c>
      <c r="G78" s="15">
        <v>1.919</v>
      </c>
      <c r="H78" s="7">
        <f t="shared" si="8"/>
        <v>1.2999999999999901E-2</v>
      </c>
      <c r="I78" s="13" t="s">
        <v>41</v>
      </c>
      <c r="J78" s="13" t="s">
        <v>41</v>
      </c>
      <c r="K78" s="15" t="s">
        <v>677</v>
      </c>
      <c r="L78" s="13" t="s">
        <v>41</v>
      </c>
      <c r="M78" s="6"/>
    </row>
    <row r="79" spans="2:13" x14ac:dyDescent="0.2">
      <c r="B79" s="13" t="s">
        <v>674</v>
      </c>
      <c r="C79" s="13" t="s">
        <v>41</v>
      </c>
      <c r="D79" s="60">
        <v>0.4</v>
      </c>
      <c r="E79" s="7"/>
      <c r="F79" s="15">
        <v>1.931</v>
      </c>
      <c r="G79" s="15">
        <v>1.92</v>
      </c>
      <c r="H79" s="7">
        <f t="shared" si="8"/>
        <v>1.1000000000000121E-2</v>
      </c>
      <c r="I79" s="13" t="s">
        <v>41</v>
      </c>
      <c r="J79" s="13" t="s">
        <v>41</v>
      </c>
      <c r="K79" s="13"/>
      <c r="L79" s="13" t="s">
        <v>41</v>
      </c>
      <c r="M79" s="6"/>
    </row>
    <row r="80" spans="2:13" x14ac:dyDescent="0.2">
      <c r="B80" s="13" t="s">
        <v>675</v>
      </c>
      <c r="C80" s="13" t="s">
        <v>41</v>
      </c>
      <c r="D80" s="6">
        <v>0.4</v>
      </c>
      <c r="E80" s="7"/>
      <c r="F80" s="15">
        <v>1.9159999999999999</v>
      </c>
      <c r="G80" s="15">
        <v>1.903</v>
      </c>
      <c r="H80" s="7">
        <f t="shared" si="8"/>
        <v>1.2999999999999901E-2</v>
      </c>
      <c r="I80" s="13" t="s">
        <v>41</v>
      </c>
      <c r="J80" s="13" t="s">
        <v>41</v>
      </c>
      <c r="K80" s="13"/>
      <c r="L80" s="13" t="s">
        <v>41</v>
      </c>
      <c r="M80" s="6"/>
    </row>
    <row r="81" spans="2:13" x14ac:dyDescent="0.2">
      <c r="B81" s="13" t="s">
        <v>676</v>
      </c>
      <c r="C81" s="13" t="s">
        <v>41</v>
      </c>
      <c r="D81" s="6">
        <v>0.6</v>
      </c>
      <c r="E81" s="7"/>
      <c r="F81" s="15">
        <v>1.9119999999999999</v>
      </c>
      <c r="G81" s="15">
        <v>1.9</v>
      </c>
      <c r="H81" s="7">
        <f t="shared" si="8"/>
        <v>1.2000000000000011E-2</v>
      </c>
      <c r="I81" s="13" t="s">
        <v>41</v>
      </c>
      <c r="J81" s="13" t="s">
        <v>41</v>
      </c>
      <c r="K81" s="13"/>
      <c r="L81" s="13" t="s">
        <v>41</v>
      </c>
      <c r="M81" s="6"/>
    </row>
    <row r="82" spans="2:13" x14ac:dyDescent="0.2">
      <c r="B82" s="13"/>
      <c r="D82" s="6"/>
      <c r="E82" s="7"/>
      <c r="F82" s="7"/>
      <c r="G82" s="7"/>
      <c r="H82" s="7"/>
      <c r="I82" s="13"/>
      <c r="J82" s="13"/>
      <c r="K82" s="6"/>
      <c r="L82" s="6"/>
      <c r="M82" s="6"/>
    </row>
    <row r="83" spans="2:13" x14ac:dyDescent="0.2">
      <c r="B83" s="13"/>
      <c r="C83" s="13"/>
      <c r="D83" s="6"/>
      <c r="E83" s="7"/>
      <c r="F83" s="7"/>
      <c r="G83" s="7"/>
      <c r="H83" s="7"/>
      <c r="I83" s="13"/>
      <c r="J83" s="13"/>
      <c r="K83" s="6"/>
      <c r="L83" s="6"/>
      <c r="M83" s="6"/>
    </row>
    <row r="84" spans="2:13" x14ac:dyDescent="0.2">
      <c r="B84" s="13"/>
      <c r="C84" s="13"/>
      <c r="D84" s="6"/>
      <c r="E84" s="7"/>
      <c r="F84" s="7"/>
      <c r="G84" s="7"/>
      <c r="H84" s="7"/>
      <c r="I84" s="13"/>
      <c r="J84" s="13"/>
      <c r="K84" s="6"/>
      <c r="L84" s="6"/>
      <c r="M84" s="6"/>
    </row>
    <row r="85" spans="2:13" x14ac:dyDescent="0.2">
      <c r="B85" s="13"/>
      <c r="C85" s="13"/>
      <c r="D85" s="6"/>
      <c r="E85" s="7"/>
      <c r="F85" s="7"/>
      <c r="G85" s="7"/>
      <c r="H85" s="7"/>
      <c r="I85" s="13"/>
      <c r="J85" s="13"/>
      <c r="K85" s="6"/>
      <c r="L85" s="6"/>
      <c r="M85" s="6"/>
    </row>
    <row r="86" spans="2:13" x14ac:dyDescent="0.2">
      <c r="B86" s="6"/>
      <c r="C86" s="6"/>
      <c r="D86" s="6"/>
      <c r="E86" s="7"/>
      <c r="F86" s="7"/>
      <c r="G86" s="7"/>
      <c r="H86" s="7"/>
      <c r="I86" s="7"/>
      <c r="J86" s="5"/>
      <c r="K86" s="6"/>
      <c r="L86" s="6"/>
      <c r="M86" s="6"/>
    </row>
    <row r="87" spans="2:13" x14ac:dyDescent="0.2">
      <c r="B87" s="6"/>
      <c r="C87" s="6"/>
      <c r="D87" s="6"/>
      <c r="E87" s="7"/>
      <c r="F87" s="7"/>
      <c r="G87" s="7"/>
      <c r="H87" s="7"/>
      <c r="I87" s="7"/>
      <c r="J87" s="5"/>
      <c r="K87" s="6"/>
      <c r="L87" s="6"/>
      <c r="M87" s="6"/>
    </row>
    <row r="88" spans="2:13" x14ac:dyDescent="0.2">
      <c r="B88" s="6"/>
      <c r="C88" s="6"/>
      <c r="D88" s="6"/>
      <c r="E88" s="7"/>
      <c r="F88" s="7"/>
      <c r="G88" s="7"/>
      <c r="H88" s="7"/>
      <c r="I88" s="7"/>
      <c r="J88" s="5"/>
      <c r="K88" s="6"/>
      <c r="L88" s="6"/>
      <c r="M88" s="6"/>
    </row>
    <row r="89" spans="2:13" x14ac:dyDescent="0.2">
      <c r="B89" s="6"/>
      <c r="C89" s="6"/>
      <c r="D89" s="6"/>
      <c r="E89" s="7"/>
      <c r="F89" s="7"/>
      <c r="G89" s="7"/>
      <c r="H89" s="7"/>
      <c r="I89" s="7"/>
      <c r="J89" s="5"/>
      <c r="K89" s="6"/>
      <c r="L89" s="6"/>
      <c r="M89" s="6"/>
    </row>
    <row r="90" spans="2:13" x14ac:dyDescent="0.2">
      <c r="B90" s="6"/>
      <c r="C90" s="6"/>
      <c r="D90" s="6"/>
      <c r="E90" s="7"/>
      <c r="F90" s="7"/>
      <c r="G90" s="7"/>
      <c r="H90" s="7"/>
      <c r="I90" s="7"/>
      <c r="J90" s="5"/>
      <c r="K90" s="6"/>
      <c r="L90" s="6"/>
      <c r="M90" s="6"/>
    </row>
    <row r="91" spans="2:13" x14ac:dyDescent="0.2">
      <c r="B91" s="6"/>
      <c r="C91" s="6"/>
      <c r="D91" s="6"/>
      <c r="E91" s="7"/>
      <c r="F91" s="7"/>
      <c r="G91" s="7"/>
      <c r="H91" s="7"/>
      <c r="I91" s="7"/>
      <c r="J91" s="5"/>
      <c r="K91" s="6"/>
      <c r="L91" s="6"/>
      <c r="M91" s="6"/>
    </row>
    <row r="92" spans="2:13" x14ac:dyDescent="0.2">
      <c r="B92" s="6"/>
      <c r="C92" s="6"/>
      <c r="D92" s="6"/>
      <c r="E92" s="7"/>
      <c r="F92" s="7"/>
      <c r="G92" s="7"/>
      <c r="H92" s="7"/>
      <c r="I92" s="7"/>
      <c r="J92" s="5"/>
      <c r="K92" s="6"/>
      <c r="L92" s="6"/>
      <c r="M92" s="6"/>
    </row>
    <row r="93" spans="2:13" x14ac:dyDescent="0.2">
      <c r="B93" s="6"/>
      <c r="C93" s="6"/>
      <c r="D93" s="6"/>
      <c r="E93" s="7"/>
      <c r="F93" s="7"/>
      <c r="G93" s="7"/>
      <c r="H93" s="7"/>
      <c r="I93" s="7"/>
      <c r="J93" s="5"/>
      <c r="K93" s="6"/>
      <c r="L93" s="6"/>
      <c r="M93" s="6"/>
    </row>
    <row r="94" spans="2:13" x14ac:dyDescent="0.2">
      <c r="B94" s="6"/>
      <c r="C94" s="6"/>
      <c r="D94" s="6"/>
      <c r="E94" s="7"/>
      <c r="F94" s="7"/>
      <c r="G94" s="7"/>
      <c r="H94" s="7"/>
      <c r="I94" s="7"/>
      <c r="J94" s="5"/>
      <c r="K94" s="6"/>
      <c r="L94" s="6"/>
      <c r="M94" s="6"/>
    </row>
    <row r="95" spans="2:13" x14ac:dyDescent="0.2">
      <c r="B95" s="6"/>
      <c r="C95" s="6"/>
      <c r="D95" s="6"/>
      <c r="E95" s="7"/>
      <c r="F95" s="7"/>
      <c r="G95" s="7"/>
      <c r="H95" s="7"/>
      <c r="I95" s="7"/>
      <c r="J95" s="5"/>
      <c r="K95" s="6"/>
      <c r="L95" s="6"/>
      <c r="M95" s="6"/>
    </row>
    <row r="96" spans="2:13" x14ac:dyDescent="0.2">
      <c r="B96" s="6"/>
      <c r="C96" s="6"/>
      <c r="D96" s="6"/>
      <c r="E96" s="7"/>
      <c r="F96" s="7"/>
      <c r="G96" s="7"/>
      <c r="H96" s="7"/>
      <c r="I96" s="7"/>
      <c r="J96" s="5"/>
      <c r="K96" s="6"/>
      <c r="L96" s="6"/>
      <c r="M96" s="6"/>
    </row>
    <row r="97" spans="2:13" x14ac:dyDescent="0.2">
      <c r="B97" s="6"/>
      <c r="C97" s="6"/>
      <c r="D97" s="6"/>
      <c r="E97" s="7"/>
      <c r="F97" s="7"/>
      <c r="G97" s="7"/>
      <c r="H97" s="7"/>
      <c r="I97" s="7"/>
      <c r="J97" s="5"/>
      <c r="K97" s="6"/>
      <c r="L97" s="6"/>
      <c r="M97" s="6"/>
    </row>
    <row r="98" spans="2:13" x14ac:dyDescent="0.2">
      <c r="B98" s="6"/>
      <c r="C98" s="6"/>
      <c r="D98" s="6"/>
      <c r="E98" s="7"/>
      <c r="F98" s="7"/>
      <c r="G98" s="7"/>
      <c r="H98" s="7"/>
      <c r="I98" s="7"/>
      <c r="J98" s="5"/>
      <c r="K98" s="6"/>
      <c r="L98" s="6"/>
      <c r="M98" s="6"/>
    </row>
    <row r="99" spans="2:13" x14ac:dyDescent="0.2">
      <c r="B99" s="6"/>
      <c r="C99" s="6"/>
      <c r="D99" s="6"/>
      <c r="E99" s="7"/>
      <c r="F99" s="7"/>
      <c r="G99" s="7"/>
      <c r="H99" s="7"/>
      <c r="I99" s="7"/>
      <c r="J99" s="5"/>
      <c r="K99" s="6"/>
      <c r="L99" s="6"/>
      <c r="M99" s="6"/>
    </row>
    <row r="100" spans="2:13" x14ac:dyDescent="0.2">
      <c r="B100" s="6"/>
      <c r="C100" s="6"/>
      <c r="D100" s="6"/>
      <c r="E100" s="7"/>
      <c r="F100" s="7"/>
      <c r="G100" s="7"/>
      <c r="H100" s="7"/>
      <c r="I100" s="7"/>
      <c r="J100" s="5"/>
      <c r="K100" s="6"/>
      <c r="L100" s="6"/>
      <c r="M100" s="6"/>
    </row>
    <row r="101" spans="2:13" x14ac:dyDescent="0.2">
      <c r="B101" s="6"/>
      <c r="C101" s="6"/>
      <c r="D101" s="6"/>
      <c r="E101" s="7"/>
      <c r="F101" s="7"/>
      <c r="G101" s="7"/>
      <c r="H101" s="7"/>
      <c r="I101" s="7"/>
      <c r="J101" s="5"/>
      <c r="K101" s="6"/>
      <c r="L101" s="6"/>
      <c r="M101" s="6"/>
    </row>
    <row r="102" spans="2:13" x14ac:dyDescent="0.2">
      <c r="B102" s="6"/>
      <c r="C102" s="6"/>
      <c r="D102" s="6"/>
      <c r="E102" s="7"/>
      <c r="F102" s="7"/>
      <c r="G102" s="7"/>
      <c r="H102" s="7"/>
      <c r="I102" s="7"/>
      <c r="J102" s="5"/>
      <c r="K102" s="6"/>
      <c r="L102" s="6"/>
      <c r="M102" s="6"/>
    </row>
    <row r="103" spans="2:13" x14ac:dyDescent="0.2">
      <c r="B103" s="6"/>
      <c r="C103" s="6"/>
      <c r="D103" s="6"/>
      <c r="E103" s="7"/>
      <c r="F103" s="7"/>
      <c r="G103" s="7"/>
      <c r="H103" s="7"/>
      <c r="I103" s="7"/>
      <c r="J103" s="5"/>
      <c r="K103" s="6"/>
      <c r="L103" s="6"/>
      <c r="M103" s="6"/>
    </row>
    <row r="104" spans="2:13" x14ac:dyDescent="0.2">
      <c r="B104" s="6"/>
      <c r="C104" s="6"/>
      <c r="D104" s="6"/>
      <c r="E104" s="7"/>
      <c r="F104" s="7"/>
      <c r="G104" s="7"/>
      <c r="H104" s="7"/>
      <c r="I104" s="7"/>
      <c r="J104" s="5"/>
      <c r="K104" s="6"/>
      <c r="L104" s="6"/>
      <c r="M104" s="6"/>
    </row>
    <row r="105" spans="2:13" x14ac:dyDescent="0.2">
      <c r="B105" s="6"/>
      <c r="C105" s="6"/>
      <c r="D105" s="6"/>
      <c r="E105" s="7"/>
      <c r="F105" s="7"/>
      <c r="G105" s="7"/>
      <c r="H105" s="7"/>
      <c r="I105" s="7"/>
      <c r="J105" s="5"/>
      <c r="K105" s="6"/>
      <c r="L105" s="6"/>
      <c r="M105" s="6"/>
    </row>
    <row r="106" spans="2:13" x14ac:dyDescent="0.2">
      <c r="B106" s="6"/>
      <c r="C106" s="6"/>
      <c r="D106" s="6"/>
      <c r="E106" s="7"/>
      <c r="F106" s="7"/>
      <c r="G106" s="7"/>
      <c r="H106" s="7"/>
      <c r="I106" s="7"/>
      <c r="J106" s="5"/>
      <c r="K106" s="6"/>
      <c r="L106" s="6"/>
      <c r="M106" s="6"/>
    </row>
    <row r="107" spans="2:13" x14ac:dyDescent="0.2">
      <c r="B107" s="6"/>
      <c r="C107" s="6"/>
      <c r="D107" s="6"/>
      <c r="E107" s="7"/>
      <c r="F107" s="7"/>
      <c r="G107" s="7"/>
      <c r="H107" s="7"/>
      <c r="I107" s="7"/>
      <c r="J107" s="5"/>
      <c r="K107" s="6"/>
      <c r="L107" s="6"/>
      <c r="M107" s="6"/>
    </row>
    <row r="108" spans="2:13" x14ac:dyDescent="0.2">
      <c r="B108" s="6"/>
      <c r="C108" s="6"/>
      <c r="D108" s="6"/>
      <c r="E108" s="7"/>
      <c r="F108" s="7"/>
      <c r="G108" s="7"/>
      <c r="H108" s="7"/>
      <c r="I108" s="7"/>
      <c r="J108" s="5"/>
      <c r="K108" s="6"/>
      <c r="L108" s="6"/>
      <c r="M108" s="6"/>
    </row>
    <row r="109" spans="2:13" x14ac:dyDescent="0.2">
      <c r="B109" s="6"/>
      <c r="C109" s="6"/>
      <c r="D109" s="6"/>
      <c r="E109" s="7"/>
      <c r="F109" s="7"/>
      <c r="G109" s="7"/>
      <c r="H109" s="7"/>
      <c r="I109" s="7"/>
      <c r="J109" s="5"/>
      <c r="K109" s="6"/>
      <c r="L109" s="6"/>
      <c r="M109" s="6"/>
    </row>
    <row r="110" spans="2:13" x14ac:dyDescent="0.2">
      <c r="B110" s="6"/>
      <c r="C110" s="6"/>
      <c r="D110" s="6"/>
      <c r="E110" s="7"/>
      <c r="F110" s="7"/>
      <c r="G110" s="7"/>
      <c r="H110" s="7"/>
      <c r="I110" s="7"/>
      <c r="J110" s="5"/>
      <c r="K110" s="6"/>
      <c r="L110" s="6"/>
      <c r="M110" s="6"/>
    </row>
    <row r="111" spans="2:13" x14ac:dyDescent="0.2">
      <c r="B111" s="6"/>
      <c r="C111" s="6"/>
      <c r="D111" s="6"/>
      <c r="E111" s="7"/>
      <c r="F111" s="7"/>
      <c r="G111" s="7"/>
      <c r="H111" s="7"/>
      <c r="I111" s="7"/>
      <c r="J111" s="5"/>
      <c r="K111" s="6"/>
      <c r="L111" s="6"/>
      <c r="M111" s="6"/>
    </row>
    <row r="112" spans="2:13" x14ac:dyDescent="0.2">
      <c r="B112" s="6"/>
      <c r="C112" s="6"/>
      <c r="D112" s="6"/>
      <c r="E112" s="7"/>
      <c r="F112" s="7"/>
      <c r="G112" s="7"/>
      <c r="H112" s="7"/>
      <c r="I112" s="7"/>
      <c r="J112" s="5"/>
      <c r="K112" s="6"/>
      <c r="L112" s="6"/>
      <c r="M112" s="6"/>
    </row>
    <row r="113" spans="2:13" x14ac:dyDescent="0.2">
      <c r="B113" s="6"/>
      <c r="C113" s="6"/>
      <c r="D113" s="6"/>
      <c r="E113" s="7"/>
      <c r="F113" s="7"/>
      <c r="G113" s="7"/>
      <c r="H113" s="7"/>
      <c r="I113" s="7"/>
      <c r="J113" s="5"/>
      <c r="K113" s="6"/>
      <c r="L113" s="6"/>
      <c r="M113" s="6"/>
    </row>
    <row r="114" spans="2:13" x14ac:dyDescent="0.2">
      <c r="B114" s="6"/>
      <c r="C114" s="6"/>
      <c r="D114" s="6"/>
      <c r="E114" s="7"/>
      <c r="F114" s="7"/>
      <c r="G114" s="7"/>
      <c r="H114" s="7"/>
      <c r="I114" s="7"/>
      <c r="J114" s="5"/>
      <c r="K114" s="6"/>
      <c r="L114" s="6"/>
      <c r="M114" s="6"/>
    </row>
    <row r="115" spans="2:13" x14ac:dyDescent="0.2">
      <c r="B115" s="6"/>
      <c r="C115" s="6"/>
      <c r="D115" s="6"/>
      <c r="E115" s="7"/>
      <c r="F115" s="7"/>
      <c r="G115" s="7"/>
      <c r="H115" s="7"/>
      <c r="I115" s="7"/>
      <c r="J115" s="5"/>
      <c r="K115" s="6"/>
      <c r="L115" s="6"/>
      <c r="M115" s="6"/>
    </row>
    <row r="116" spans="2:13" x14ac:dyDescent="0.2">
      <c r="B116" s="6"/>
      <c r="C116" s="6"/>
      <c r="D116" s="6"/>
      <c r="E116" s="7"/>
      <c r="F116" s="7"/>
      <c r="G116" s="7"/>
      <c r="H116" s="7"/>
      <c r="I116" s="7"/>
      <c r="J116" s="5"/>
      <c r="K116" s="6"/>
      <c r="L116" s="6"/>
      <c r="M116" s="6"/>
    </row>
    <row r="117" spans="2:13" x14ac:dyDescent="0.2">
      <c r="B117" s="6"/>
      <c r="C117" s="6"/>
      <c r="D117" s="6"/>
      <c r="E117" s="7"/>
      <c r="F117" s="7"/>
      <c r="G117" s="7"/>
      <c r="H117" s="7"/>
      <c r="I117" s="7"/>
      <c r="J117" s="5"/>
      <c r="K117" s="6"/>
      <c r="L117" s="6"/>
      <c r="M117" s="6"/>
    </row>
    <row r="118" spans="2:13" x14ac:dyDescent="0.2">
      <c r="B118" s="6"/>
      <c r="C118" s="6"/>
      <c r="D118" s="6"/>
      <c r="E118" s="7"/>
      <c r="F118" s="7"/>
      <c r="G118" s="7"/>
      <c r="H118" s="7"/>
      <c r="I118" s="7"/>
      <c r="J118" s="5"/>
      <c r="K118" s="6"/>
      <c r="L118" s="6"/>
      <c r="M118" s="6"/>
    </row>
    <row r="119" spans="2:13" x14ac:dyDescent="0.2">
      <c r="B119" s="6"/>
      <c r="C119" s="6"/>
      <c r="D119" s="6"/>
      <c r="E119" s="7"/>
      <c r="F119" s="7"/>
      <c r="G119" s="7"/>
      <c r="H119" s="7"/>
      <c r="I119" s="7"/>
      <c r="J119" s="5"/>
      <c r="K119" s="6"/>
      <c r="L119" s="6"/>
      <c r="M119" s="6"/>
    </row>
    <row r="120" spans="2:13" x14ac:dyDescent="0.2">
      <c r="B120" s="6"/>
      <c r="C120" s="6"/>
      <c r="D120" s="6"/>
      <c r="E120" s="7"/>
      <c r="F120" s="7"/>
      <c r="G120" s="7"/>
      <c r="H120" s="7"/>
      <c r="I120" s="7"/>
      <c r="J120" s="5"/>
      <c r="K120" s="6"/>
      <c r="L120" s="6"/>
      <c r="M120" s="6"/>
    </row>
    <row r="121" spans="2:13" x14ac:dyDescent="0.2">
      <c r="B121" s="6"/>
      <c r="C121" s="6"/>
      <c r="D121" s="6"/>
      <c r="E121" s="7"/>
      <c r="F121" s="7"/>
      <c r="G121" s="7"/>
      <c r="H121" s="7"/>
      <c r="I121" s="7"/>
      <c r="J121" s="5"/>
      <c r="K121" s="6"/>
      <c r="L121" s="6"/>
      <c r="M121" s="6"/>
    </row>
    <row r="122" spans="2:13" x14ac:dyDescent="0.2">
      <c r="B122" s="6"/>
      <c r="C122" s="6"/>
      <c r="D122" s="6"/>
      <c r="E122" s="7"/>
      <c r="F122" s="7"/>
      <c r="G122" s="7"/>
      <c r="H122" s="7"/>
      <c r="I122" s="7"/>
      <c r="J122" s="5"/>
      <c r="K122" s="6"/>
      <c r="L122" s="6"/>
      <c r="M122" s="6"/>
    </row>
    <row r="123" spans="2:13" x14ac:dyDescent="0.2">
      <c r="B123" s="6"/>
      <c r="C123" s="6"/>
      <c r="D123" s="6"/>
      <c r="E123" s="7"/>
      <c r="F123" s="7"/>
      <c r="G123" s="7"/>
      <c r="H123" s="7"/>
      <c r="I123" s="7"/>
      <c r="J123" s="5"/>
      <c r="K123" s="6"/>
      <c r="L123" s="6"/>
      <c r="M123" s="6"/>
    </row>
    <row r="124" spans="2:13" x14ac:dyDescent="0.2">
      <c r="B124" s="6"/>
      <c r="C124" s="6"/>
      <c r="D124" s="6"/>
      <c r="E124" s="7"/>
      <c r="F124" s="7"/>
      <c r="G124" s="7"/>
      <c r="H124" s="7"/>
      <c r="I124" s="7"/>
      <c r="J124" s="5"/>
      <c r="K124" s="6"/>
      <c r="L124" s="6"/>
      <c r="M124" s="6"/>
    </row>
    <row r="125" spans="2:13" x14ac:dyDescent="0.2">
      <c r="B125" s="6"/>
      <c r="C125" s="6"/>
      <c r="D125" s="6"/>
      <c r="E125" s="7"/>
      <c r="F125" s="7"/>
      <c r="G125" s="7"/>
      <c r="H125" s="7"/>
      <c r="I125" s="7"/>
      <c r="J125" s="5"/>
      <c r="K125" s="6"/>
      <c r="L125" s="6"/>
      <c r="M125" s="6"/>
    </row>
    <row r="126" spans="2:13" x14ac:dyDescent="0.2">
      <c r="B126" s="6"/>
      <c r="C126" s="6"/>
      <c r="D126" s="6"/>
      <c r="E126" s="7"/>
      <c r="F126" s="7"/>
      <c r="G126" s="7"/>
      <c r="H126" s="7"/>
      <c r="I126" s="7"/>
      <c r="J126" s="5"/>
      <c r="K126" s="6"/>
      <c r="L126" s="6"/>
      <c r="M126" s="6"/>
    </row>
    <row r="127" spans="2:13" x14ac:dyDescent="0.2">
      <c r="B127" s="6"/>
      <c r="C127" s="6"/>
      <c r="D127" s="6"/>
      <c r="E127" s="7"/>
      <c r="F127" s="7"/>
      <c r="G127" s="7"/>
      <c r="H127" s="7"/>
      <c r="I127" s="7"/>
      <c r="J127" s="5"/>
      <c r="K127" s="6"/>
      <c r="L127" s="6"/>
      <c r="M127" s="6"/>
    </row>
    <row r="128" spans="2:13" x14ac:dyDescent="0.2">
      <c r="B128" s="6"/>
      <c r="C128" s="6"/>
      <c r="D128" s="6"/>
      <c r="E128" s="7"/>
      <c r="F128" s="7"/>
      <c r="G128" s="7"/>
      <c r="H128" s="7"/>
      <c r="I128" s="7"/>
      <c r="J128" s="5"/>
      <c r="K128" s="6"/>
      <c r="L128" s="6"/>
      <c r="M128" s="6"/>
    </row>
    <row r="129" spans="2:13" x14ac:dyDescent="0.2">
      <c r="B129" s="6"/>
      <c r="C129" s="6"/>
      <c r="D129" s="6"/>
      <c r="E129" s="7"/>
      <c r="F129" s="7"/>
      <c r="G129" s="7"/>
      <c r="H129" s="7"/>
      <c r="I129" s="7"/>
      <c r="J129" s="5"/>
      <c r="K129" s="6"/>
      <c r="L129" s="6"/>
      <c r="M129" s="6"/>
    </row>
    <row r="130" spans="2:13" x14ac:dyDescent="0.2">
      <c r="B130" s="6"/>
      <c r="C130" s="6"/>
      <c r="D130" s="6"/>
      <c r="E130" s="7"/>
      <c r="F130" s="7"/>
      <c r="G130" s="7"/>
      <c r="H130" s="7"/>
      <c r="I130" s="7"/>
      <c r="J130" s="5"/>
      <c r="K130" s="6"/>
      <c r="L130" s="6"/>
      <c r="M130" s="6"/>
    </row>
    <row r="131" spans="2:13" x14ac:dyDescent="0.2">
      <c r="B131" s="6"/>
      <c r="C131" s="6"/>
      <c r="D131" s="6"/>
      <c r="E131" s="7"/>
      <c r="F131" s="7"/>
      <c r="G131" s="7"/>
      <c r="H131" s="7"/>
      <c r="I131" s="7"/>
      <c r="J131" s="5"/>
      <c r="K131" s="6"/>
      <c r="L131" s="6"/>
      <c r="M131" s="6"/>
    </row>
    <row r="132" spans="2:13" x14ac:dyDescent="0.2">
      <c r="B132" s="6"/>
      <c r="C132" s="6"/>
      <c r="D132" s="6"/>
      <c r="E132" s="7"/>
      <c r="F132" s="7"/>
      <c r="G132" s="7"/>
      <c r="H132" s="7"/>
      <c r="I132" s="7"/>
      <c r="J132" s="5"/>
      <c r="K132" s="6"/>
      <c r="L132" s="6"/>
      <c r="M132" s="6"/>
    </row>
    <row r="133" spans="2:13" x14ac:dyDescent="0.2">
      <c r="B133" s="6"/>
      <c r="C133" s="6"/>
      <c r="D133" s="6"/>
      <c r="E133" s="7"/>
      <c r="F133" s="7"/>
      <c r="G133" s="7"/>
      <c r="H133" s="7"/>
      <c r="I133" s="7"/>
      <c r="J133" s="5"/>
      <c r="K133" s="6"/>
      <c r="L133" s="6"/>
      <c r="M133" s="6"/>
    </row>
    <row r="134" spans="2:13" x14ac:dyDescent="0.2">
      <c r="B134" s="6"/>
      <c r="C134" s="6"/>
      <c r="D134" s="6"/>
      <c r="E134" s="7"/>
      <c r="F134" s="7"/>
      <c r="G134" s="7"/>
      <c r="H134" s="7"/>
      <c r="I134" s="7"/>
      <c r="J134" s="5"/>
      <c r="K134" s="6"/>
      <c r="L134" s="6"/>
      <c r="M134" s="6"/>
    </row>
    <row r="135" spans="2:13" x14ac:dyDescent="0.2">
      <c r="B135" s="6"/>
      <c r="C135" s="6"/>
      <c r="D135" s="6"/>
      <c r="E135" s="7"/>
      <c r="F135" s="7"/>
      <c r="G135" s="7"/>
      <c r="H135" s="7"/>
      <c r="I135" s="7"/>
      <c r="J135" s="5"/>
      <c r="K135" s="6"/>
      <c r="L135" s="6"/>
      <c r="M135" s="6"/>
    </row>
    <row r="136" spans="2:13" x14ac:dyDescent="0.2">
      <c r="B136" s="6"/>
      <c r="C136" s="6"/>
      <c r="D136" s="6"/>
      <c r="E136" s="7"/>
      <c r="F136" s="7"/>
      <c r="G136" s="7"/>
      <c r="H136" s="7"/>
      <c r="I136" s="7"/>
      <c r="J136" s="5"/>
      <c r="K136" s="6"/>
      <c r="L136" s="6"/>
      <c r="M136" s="6"/>
    </row>
    <row r="137" spans="2:13" x14ac:dyDescent="0.2">
      <c r="B137" s="6"/>
      <c r="C137" s="6"/>
      <c r="D137" s="6"/>
      <c r="E137" s="7"/>
      <c r="F137" s="7"/>
      <c r="G137" s="7"/>
      <c r="H137" s="7"/>
      <c r="I137" s="7"/>
      <c r="J137" s="5"/>
      <c r="K137" s="6"/>
      <c r="L137" s="6"/>
      <c r="M137" s="6"/>
    </row>
    <row r="138" spans="2:13" x14ac:dyDescent="0.2">
      <c r="B138" s="6"/>
      <c r="C138" s="6"/>
      <c r="D138" s="6"/>
      <c r="E138" s="7"/>
      <c r="F138" s="7"/>
      <c r="G138" s="7"/>
      <c r="H138" s="7"/>
      <c r="I138" s="7"/>
      <c r="J138" s="5"/>
      <c r="K138" s="6"/>
      <c r="L138" s="6"/>
      <c r="M138" s="6"/>
    </row>
    <row r="139" spans="2:13" x14ac:dyDescent="0.2">
      <c r="B139" s="6"/>
      <c r="C139" s="6"/>
      <c r="D139" s="6"/>
      <c r="E139" s="7"/>
      <c r="F139" s="7"/>
      <c r="G139" s="7"/>
      <c r="H139" s="7"/>
      <c r="I139" s="7"/>
      <c r="J139" s="5"/>
      <c r="K139" s="6"/>
      <c r="L139" s="6"/>
      <c r="M139" s="6"/>
    </row>
    <row r="140" spans="2:13" x14ac:dyDescent="0.2">
      <c r="B140" s="6"/>
      <c r="C140" s="6"/>
      <c r="D140" s="6"/>
      <c r="E140" s="7"/>
      <c r="F140" s="7"/>
      <c r="G140" s="7"/>
      <c r="H140" s="7"/>
      <c r="I140" s="7"/>
      <c r="J140" s="5"/>
      <c r="K140" s="6"/>
      <c r="L140" s="6"/>
      <c r="M140" s="6"/>
    </row>
    <row r="141" spans="2:13" x14ac:dyDescent="0.2">
      <c r="B141" s="6"/>
      <c r="C141" s="6"/>
      <c r="D141" s="6"/>
      <c r="E141" s="7"/>
      <c r="F141" s="7"/>
      <c r="G141" s="7"/>
      <c r="H141" s="7"/>
      <c r="I141" s="7"/>
      <c r="J141" s="5"/>
      <c r="K141" s="6"/>
      <c r="L141" s="6"/>
      <c r="M141" s="6"/>
    </row>
    <row r="142" spans="2:13" x14ac:dyDescent="0.2">
      <c r="B142" s="6"/>
      <c r="C142" s="6"/>
      <c r="D142" s="6"/>
      <c r="E142" s="7"/>
      <c r="F142" s="7"/>
      <c r="G142" s="7"/>
      <c r="H142" s="7"/>
      <c r="I142" s="7"/>
      <c r="J142" s="5"/>
      <c r="K142" s="6"/>
      <c r="L142" s="6"/>
      <c r="M142" s="6"/>
    </row>
    <row r="143" spans="2:13" x14ac:dyDescent="0.2">
      <c r="B143" s="6"/>
      <c r="C143" s="6"/>
      <c r="D143" s="6"/>
      <c r="E143" s="7"/>
      <c r="F143" s="7"/>
      <c r="G143" s="7"/>
      <c r="H143" s="7"/>
      <c r="I143" s="7"/>
      <c r="J143" s="5"/>
      <c r="K143" s="6"/>
      <c r="L143" s="6"/>
      <c r="M143" s="6"/>
    </row>
    <row r="144" spans="2:13" x14ac:dyDescent="0.2">
      <c r="B144" s="6"/>
      <c r="C144" s="6"/>
      <c r="D144" s="6"/>
      <c r="E144" s="7"/>
      <c r="F144" s="7"/>
      <c r="G144" s="7"/>
      <c r="H144" s="7"/>
      <c r="I144" s="7"/>
      <c r="J144" s="5"/>
      <c r="K144" s="6"/>
      <c r="L144" s="6"/>
      <c r="M144" s="6"/>
    </row>
    <row r="145" spans="2:10" s="9" customFormat="1" x14ac:dyDescent="0.2">
      <c r="B145" s="10"/>
      <c r="C145" s="11"/>
      <c r="D145" s="11"/>
      <c r="E145" s="12"/>
      <c r="F145" s="41"/>
      <c r="G145" s="30"/>
      <c r="H145" s="30"/>
      <c r="I145" s="11"/>
      <c r="J145" s="11"/>
    </row>
    <row r="146" spans="2:10" s="9" customFormat="1" x14ac:dyDescent="0.2">
      <c r="B146" s="10"/>
      <c r="C146" s="11"/>
      <c r="D146" s="11"/>
      <c r="E146" s="12"/>
      <c r="F146" s="41"/>
      <c r="G146" s="30"/>
      <c r="H146" s="30"/>
      <c r="I146" s="11"/>
      <c r="J146" s="11"/>
    </row>
    <row r="147" spans="2:10" s="9" customFormat="1" x14ac:dyDescent="0.2">
      <c r="B147" s="10"/>
      <c r="C147" s="11"/>
      <c r="D147" s="11"/>
      <c r="E147" s="12"/>
      <c r="F147" s="41"/>
      <c r="G147" s="30"/>
      <c r="H147" s="30"/>
      <c r="I147" s="11"/>
      <c r="J147" s="11"/>
    </row>
    <row r="148" spans="2:10" s="9" customFormat="1" x14ac:dyDescent="0.2">
      <c r="B148" s="10"/>
      <c r="C148" s="11"/>
      <c r="D148" s="11"/>
      <c r="E148" s="12"/>
      <c r="F148" s="41"/>
      <c r="G148" s="30"/>
      <c r="H148" s="30"/>
      <c r="I148" s="11"/>
      <c r="J148" s="11"/>
    </row>
    <row r="149" spans="2:10" s="9" customFormat="1" x14ac:dyDescent="0.2">
      <c r="B149" s="10"/>
      <c r="C149" s="11"/>
      <c r="D149" s="11"/>
      <c r="E149" s="12"/>
      <c r="F149" s="41"/>
      <c r="G149" s="30"/>
      <c r="H149" s="30"/>
      <c r="I149" s="11"/>
      <c r="J149" s="11"/>
    </row>
    <row r="150" spans="2:10" s="9" customFormat="1" x14ac:dyDescent="0.2">
      <c r="B150" s="10"/>
      <c r="C150" s="11"/>
      <c r="D150" s="11"/>
      <c r="E150" s="12"/>
      <c r="F150" s="41"/>
      <c r="G150" s="30"/>
      <c r="H150" s="30"/>
      <c r="I150" s="11"/>
      <c r="J150" s="11"/>
    </row>
    <row r="151" spans="2:10" s="9" customFormat="1" x14ac:dyDescent="0.2">
      <c r="B151" s="10"/>
      <c r="C151" s="11"/>
      <c r="D151" s="11"/>
      <c r="E151" s="12"/>
      <c r="F151" s="41"/>
      <c r="G151" s="30"/>
      <c r="H151" s="30"/>
      <c r="I151" s="11"/>
      <c r="J151" s="11"/>
    </row>
    <row r="152" spans="2:10" s="9" customFormat="1" x14ac:dyDescent="0.2">
      <c r="B152" s="10"/>
      <c r="C152" s="11"/>
      <c r="D152" s="11"/>
      <c r="E152" s="12"/>
      <c r="F152" s="41"/>
      <c r="G152" s="30"/>
      <c r="H152" s="30"/>
      <c r="I152" s="11"/>
      <c r="J152" s="11"/>
    </row>
    <row r="153" spans="2:10" s="9" customFormat="1" x14ac:dyDescent="0.2">
      <c r="B153" s="10"/>
      <c r="C153" s="11"/>
      <c r="D153" s="11"/>
      <c r="E153" s="12"/>
      <c r="F153" s="41"/>
      <c r="G153" s="30"/>
      <c r="H153" s="30"/>
      <c r="I153" s="11"/>
      <c r="J153" s="11"/>
    </row>
    <row r="154" spans="2:10" s="9" customFormat="1" x14ac:dyDescent="0.2">
      <c r="B154" s="10"/>
      <c r="C154" s="11"/>
      <c r="D154" s="11"/>
      <c r="E154" s="12"/>
      <c r="F154" s="41"/>
      <c r="G154" s="30"/>
      <c r="H154" s="30"/>
      <c r="I154" s="11"/>
      <c r="J154" s="11"/>
    </row>
    <row r="155" spans="2:10" s="9" customFormat="1" x14ac:dyDescent="0.2">
      <c r="B155" s="10"/>
      <c r="C155" s="11"/>
      <c r="D155" s="11"/>
      <c r="E155" s="12"/>
      <c r="F155" s="41"/>
      <c r="G155" s="30"/>
      <c r="H155" s="30"/>
      <c r="I155" s="11"/>
      <c r="J155" s="11"/>
    </row>
    <row r="156" spans="2:10" s="9" customFormat="1" x14ac:dyDescent="0.2">
      <c r="B156" s="10"/>
      <c r="C156" s="11"/>
      <c r="D156" s="11"/>
      <c r="E156" s="12"/>
      <c r="F156" s="41"/>
      <c r="G156" s="30"/>
      <c r="H156" s="30"/>
      <c r="I156" s="11"/>
      <c r="J156" s="11"/>
    </row>
    <row r="157" spans="2:10" s="9" customFormat="1" x14ac:dyDescent="0.2">
      <c r="B157" s="10"/>
      <c r="C157" s="11"/>
      <c r="D157" s="11"/>
      <c r="E157" s="12"/>
      <c r="F157" s="41"/>
      <c r="G157" s="30"/>
      <c r="H157" s="30"/>
      <c r="I157" s="11"/>
      <c r="J157" s="11"/>
    </row>
    <row r="158" spans="2:10" s="9" customFormat="1" x14ac:dyDescent="0.2">
      <c r="B158" s="10"/>
      <c r="C158" s="11"/>
      <c r="D158" s="11"/>
      <c r="E158" s="12"/>
      <c r="F158" s="41"/>
      <c r="G158" s="30"/>
      <c r="H158" s="30"/>
      <c r="I158" s="11"/>
      <c r="J158" s="11"/>
    </row>
    <row r="159" spans="2:10" s="9" customFormat="1" x14ac:dyDescent="0.2">
      <c r="B159" s="10"/>
      <c r="C159" s="11"/>
      <c r="D159" s="11"/>
      <c r="E159" s="12"/>
      <c r="F159" s="41"/>
      <c r="G159" s="30"/>
      <c r="H159" s="30"/>
      <c r="I159" s="11"/>
      <c r="J159" s="11"/>
    </row>
    <row r="160" spans="2:10" s="9" customFormat="1" x14ac:dyDescent="0.2">
      <c r="B160" s="10"/>
      <c r="C160" s="11"/>
      <c r="D160" s="11"/>
      <c r="E160" s="12"/>
      <c r="F160" s="41"/>
      <c r="G160" s="30"/>
      <c r="H160" s="30"/>
      <c r="I160" s="11"/>
      <c r="J160" s="11"/>
    </row>
    <row r="161" spans="2:10" s="9" customFormat="1" x14ac:dyDescent="0.2">
      <c r="B161" s="10"/>
      <c r="C161" s="11"/>
      <c r="D161" s="11"/>
      <c r="E161" s="12"/>
      <c r="F161" s="41"/>
      <c r="G161" s="30"/>
      <c r="H161" s="30"/>
      <c r="I161" s="11"/>
      <c r="J161" s="11"/>
    </row>
    <row r="162" spans="2:10" s="9" customFormat="1" x14ac:dyDescent="0.2">
      <c r="B162" s="10"/>
      <c r="C162" s="11"/>
      <c r="D162" s="11"/>
      <c r="E162" s="12"/>
      <c r="F162" s="41"/>
      <c r="G162" s="30"/>
      <c r="H162" s="30"/>
      <c r="I162" s="11"/>
      <c r="J162" s="11"/>
    </row>
    <row r="163" spans="2:10" s="9" customFormat="1" x14ac:dyDescent="0.2">
      <c r="B163" s="10"/>
      <c r="C163" s="11"/>
      <c r="D163" s="11"/>
      <c r="E163" s="12"/>
      <c r="F163" s="41"/>
      <c r="G163" s="30"/>
      <c r="H163" s="30"/>
      <c r="I163" s="11"/>
      <c r="J163" s="11"/>
    </row>
    <row r="164" spans="2:10" s="9" customFormat="1" x14ac:dyDescent="0.2">
      <c r="B164" s="10"/>
      <c r="C164" s="11"/>
      <c r="D164" s="11"/>
      <c r="E164" s="12"/>
      <c r="F164" s="41"/>
      <c r="G164" s="30"/>
      <c r="H164" s="30"/>
      <c r="I164" s="11"/>
      <c r="J164" s="11"/>
    </row>
    <row r="165" spans="2:10" s="9" customFormat="1" x14ac:dyDescent="0.2">
      <c r="B165" s="10"/>
      <c r="C165" s="11"/>
      <c r="D165" s="11"/>
      <c r="E165" s="12"/>
      <c r="F165" s="41"/>
      <c r="G165" s="30"/>
      <c r="H165" s="30"/>
      <c r="I165" s="11"/>
      <c r="J165" s="11"/>
    </row>
    <row r="166" spans="2:10" s="9" customFormat="1" x14ac:dyDescent="0.2">
      <c r="B166" s="10"/>
      <c r="C166" s="11"/>
      <c r="D166" s="11"/>
      <c r="E166" s="12"/>
      <c r="F166" s="41"/>
      <c r="G166" s="30"/>
      <c r="H166" s="30"/>
      <c r="I166" s="11"/>
      <c r="J166" s="11"/>
    </row>
    <row r="167" spans="2:10" s="9" customFormat="1" x14ac:dyDescent="0.2">
      <c r="B167" s="10"/>
      <c r="C167" s="11"/>
      <c r="D167" s="11"/>
      <c r="E167" s="12"/>
      <c r="F167" s="41"/>
      <c r="G167" s="30"/>
      <c r="H167" s="30"/>
      <c r="I167" s="11"/>
      <c r="J167" s="11"/>
    </row>
    <row r="168" spans="2:10" s="9" customFormat="1" x14ac:dyDescent="0.2">
      <c r="B168" s="10"/>
      <c r="C168" s="11"/>
      <c r="D168" s="11"/>
      <c r="E168" s="12"/>
      <c r="F168" s="41"/>
      <c r="G168" s="30"/>
      <c r="H168" s="30"/>
      <c r="I168" s="11"/>
      <c r="J168" s="11"/>
    </row>
    <row r="169" spans="2:10" s="9" customFormat="1" x14ac:dyDescent="0.2">
      <c r="B169" s="10"/>
      <c r="C169" s="11"/>
      <c r="D169" s="11"/>
      <c r="E169" s="12"/>
      <c r="F169" s="41"/>
      <c r="G169" s="30"/>
      <c r="H169" s="30"/>
      <c r="I169" s="11"/>
      <c r="J169" s="11"/>
    </row>
    <row r="170" spans="2:10" s="9" customFormat="1" x14ac:dyDescent="0.2">
      <c r="B170" s="10"/>
      <c r="C170" s="11"/>
      <c r="D170" s="11"/>
      <c r="E170" s="12"/>
      <c r="F170" s="41"/>
      <c r="G170" s="30"/>
      <c r="H170" s="30"/>
      <c r="I170" s="11"/>
      <c r="J170" s="11"/>
    </row>
    <row r="171" spans="2:10" s="9" customFormat="1" x14ac:dyDescent="0.2">
      <c r="B171" s="10"/>
      <c r="C171" s="11"/>
      <c r="D171" s="11"/>
      <c r="E171" s="12"/>
      <c r="F171" s="41"/>
      <c r="G171" s="30"/>
      <c r="H171" s="30"/>
      <c r="I171" s="11"/>
      <c r="J171" s="11"/>
    </row>
    <row r="172" spans="2:10" s="9" customFormat="1" x14ac:dyDescent="0.2">
      <c r="B172" s="10"/>
      <c r="C172" s="11"/>
      <c r="D172" s="11"/>
      <c r="E172" s="12"/>
      <c r="F172" s="41"/>
      <c r="G172" s="30"/>
      <c r="H172" s="30"/>
      <c r="I172" s="11"/>
      <c r="J172" s="11"/>
    </row>
    <row r="173" spans="2:10" s="9" customFormat="1" x14ac:dyDescent="0.2">
      <c r="B173" s="10"/>
      <c r="C173" s="11"/>
      <c r="D173" s="11"/>
      <c r="E173" s="12"/>
      <c r="F173" s="41"/>
      <c r="G173" s="30"/>
      <c r="H173" s="30"/>
      <c r="I173" s="11"/>
      <c r="J173" s="11"/>
    </row>
    <row r="174" spans="2:10" s="9" customFormat="1" x14ac:dyDescent="0.2">
      <c r="B174" s="10"/>
      <c r="C174" s="11"/>
      <c r="D174" s="11"/>
      <c r="E174" s="12"/>
      <c r="F174" s="41"/>
      <c r="G174" s="30"/>
      <c r="H174" s="30"/>
      <c r="I174" s="11"/>
      <c r="J174" s="11"/>
    </row>
    <row r="175" spans="2:10" s="9" customFormat="1" x14ac:dyDescent="0.2">
      <c r="B175" s="10"/>
      <c r="C175" s="11"/>
      <c r="D175" s="11"/>
      <c r="E175" s="12"/>
      <c r="F175" s="41"/>
      <c r="G175" s="30"/>
      <c r="H175" s="30"/>
      <c r="I175" s="11"/>
      <c r="J175" s="11"/>
    </row>
    <row r="176" spans="2:10" s="9" customFormat="1" x14ac:dyDescent="0.2">
      <c r="B176" s="10"/>
      <c r="C176" s="11"/>
      <c r="D176" s="11"/>
      <c r="E176" s="12"/>
      <c r="F176" s="41"/>
      <c r="G176" s="30"/>
      <c r="H176" s="30"/>
      <c r="I176" s="11"/>
      <c r="J176" s="11"/>
    </row>
    <row r="177" spans="2:10" s="9" customFormat="1" x14ac:dyDescent="0.2">
      <c r="B177" s="10"/>
      <c r="C177" s="11"/>
      <c r="D177" s="11"/>
      <c r="E177" s="12"/>
      <c r="F177" s="41"/>
      <c r="G177" s="30"/>
      <c r="H177" s="30"/>
      <c r="I177" s="11"/>
      <c r="J177" s="11"/>
    </row>
    <row r="178" spans="2:10" s="9" customFormat="1" x14ac:dyDescent="0.2">
      <c r="B178" s="10"/>
      <c r="C178" s="11"/>
      <c r="D178" s="11"/>
      <c r="E178" s="12"/>
      <c r="F178" s="41"/>
      <c r="G178" s="30"/>
      <c r="H178" s="30"/>
      <c r="I178" s="11"/>
      <c r="J178" s="11"/>
    </row>
    <row r="179" spans="2:10" s="9" customFormat="1" x14ac:dyDescent="0.2">
      <c r="B179" s="10"/>
      <c r="C179" s="11"/>
      <c r="D179" s="11"/>
      <c r="E179" s="12"/>
      <c r="F179" s="41"/>
      <c r="G179" s="30"/>
      <c r="H179" s="30"/>
      <c r="I179" s="11"/>
      <c r="J179" s="11"/>
    </row>
    <row r="180" spans="2:10" s="9" customFormat="1" x14ac:dyDescent="0.2">
      <c r="B180" s="10"/>
      <c r="C180" s="11"/>
      <c r="D180" s="11"/>
      <c r="E180" s="12"/>
      <c r="F180" s="41"/>
      <c r="G180" s="30"/>
      <c r="H180" s="30"/>
      <c r="I180" s="11"/>
      <c r="J180" s="11"/>
    </row>
    <row r="181" spans="2:10" s="9" customFormat="1" x14ac:dyDescent="0.2">
      <c r="B181" s="10"/>
      <c r="C181" s="11"/>
      <c r="D181" s="11"/>
      <c r="E181" s="12"/>
      <c r="F181" s="41"/>
      <c r="G181" s="30"/>
      <c r="H181" s="30"/>
      <c r="I181" s="11"/>
      <c r="J181" s="11"/>
    </row>
    <row r="182" spans="2:10" s="9" customFormat="1" x14ac:dyDescent="0.2">
      <c r="B182" s="10"/>
      <c r="C182" s="11"/>
      <c r="D182" s="11"/>
      <c r="E182" s="12"/>
      <c r="F182" s="41"/>
      <c r="G182" s="30"/>
      <c r="H182" s="30"/>
      <c r="I182" s="11"/>
      <c r="J182" s="11"/>
    </row>
    <row r="183" spans="2:10" s="9" customFormat="1" x14ac:dyDescent="0.2">
      <c r="B183" s="10"/>
      <c r="C183" s="11"/>
      <c r="D183" s="11"/>
      <c r="E183" s="12"/>
      <c r="F183" s="41"/>
      <c r="G183" s="30"/>
      <c r="H183" s="30"/>
      <c r="I183" s="11"/>
      <c r="J183" s="11"/>
    </row>
    <row r="184" spans="2:10" s="9" customFormat="1" x14ac:dyDescent="0.2">
      <c r="B184" s="10"/>
      <c r="C184" s="11"/>
      <c r="D184" s="11"/>
      <c r="E184" s="12"/>
      <c r="F184" s="41"/>
      <c r="G184" s="30"/>
      <c r="H184" s="30"/>
      <c r="I184" s="11"/>
      <c r="J184" s="11"/>
    </row>
    <row r="185" spans="2:10" s="9" customFormat="1" x14ac:dyDescent="0.2">
      <c r="B185" s="10"/>
      <c r="C185" s="11"/>
      <c r="D185" s="11"/>
      <c r="E185" s="12"/>
      <c r="F185" s="41"/>
      <c r="G185" s="30"/>
      <c r="H185" s="30"/>
      <c r="I185" s="11"/>
      <c r="J185" s="11"/>
    </row>
    <row r="186" spans="2:10" s="9" customFormat="1" x14ac:dyDescent="0.2">
      <c r="B186" s="10"/>
      <c r="C186" s="11"/>
      <c r="D186" s="11"/>
      <c r="E186" s="12"/>
      <c r="F186" s="41"/>
      <c r="G186" s="30"/>
      <c r="H186" s="30"/>
      <c r="I186" s="11"/>
      <c r="J186" s="11"/>
    </row>
    <row r="187" spans="2:10" s="9" customFormat="1" x14ac:dyDescent="0.2">
      <c r="B187" s="10"/>
      <c r="C187" s="11"/>
      <c r="D187" s="11"/>
      <c r="E187" s="12"/>
      <c r="F187" s="41"/>
      <c r="G187" s="30"/>
      <c r="H187" s="30"/>
      <c r="I187" s="11"/>
      <c r="J187" s="11"/>
    </row>
    <row r="188" spans="2:10" s="9" customFormat="1" x14ac:dyDescent="0.2">
      <c r="B188" s="10"/>
      <c r="C188" s="11"/>
      <c r="D188" s="11"/>
      <c r="E188" s="12"/>
      <c r="F188" s="41"/>
      <c r="G188" s="30"/>
      <c r="H188" s="30"/>
      <c r="I188" s="11"/>
      <c r="J188" s="11"/>
    </row>
    <row r="189" spans="2:10" s="9" customFormat="1" x14ac:dyDescent="0.2">
      <c r="B189" s="10"/>
      <c r="C189" s="11"/>
      <c r="D189" s="11"/>
      <c r="E189" s="12"/>
      <c r="F189" s="41"/>
      <c r="G189" s="30"/>
      <c r="H189" s="30"/>
      <c r="I189" s="11"/>
      <c r="J189" s="11"/>
    </row>
    <row r="190" spans="2:10" s="9" customFormat="1" x14ac:dyDescent="0.2">
      <c r="B190" s="10"/>
      <c r="C190" s="11"/>
      <c r="D190" s="11"/>
      <c r="E190" s="12"/>
      <c r="F190" s="41"/>
      <c r="G190" s="30"/>
      <c r="H190" s="30"/>
      <c r="I190" s="11"/>
      <c r="J190" s="11"/>
    </row>
    <row r="191" spans="2:10" s="9" customFormat="1" x14ac:dyDescent="0.2">
      <c r="B191" s="10"/>
      <c r="C191" s="11"/>
      <c r="D191" s="11"/>
      <c r="E191" s="12"/>
      <c r="F191" s="41"/>
      <c r="G191" s="30"/>
      <c r="H191" s="30"/>
      <c r="I191" s="11"/>
      <c r="J191" s="11"/>
    </row>
    <row r="192" spans="2:10" s="9" customFormat="1" x14ac:dyDescent="0.2">
      <c r="B192" s="10"/>
      <c r="C192" s="11"/>
      <c r="D192" s="11"/>
      <c r="E192" s="12"/>
      <c r="F192" s="41"/>
      <c r="G192" s="30"/>
      <c r="H192" s="30"/>
      <c r="I192" s="11"/>
      <c r="J192" s="11"/>
    </row>
    <row r="193" spans="2:10" s="9" customFormat="1" x14ac:dyDescent="0.2">
      <c r="B193" s="10"/>
      <c r="C193" s="11"/>
      <c r="D193" s="11"/>
      <c r="E193" s="12"/>
      <c r="F193" s="41"/>
      <c r="G193" s="30"/>
      <c r="H193" s="30"/>
      <c r="I193" s="11"/>
      <c r="J193" s="11"/>
    </row>
    <row r="194" spans="2:10" s="9" customFormat="1" x14ac:dyDescent="0.2">
      <c r="B194" s="10"/>
      <c r="C194" s="11"/>
      <c r="D194" s="11"/>
      <c r="E194" s="12"/>
      <c r="F194" s="41"/>
      <c r="G194" s="30"/>
      <c r="H194" s="30"/>
      <c r="I194" s="11"/>
      <c r="J194" s="11"/>
    </row>
    <row r="195" spans="2:10" s="9" customFormat="1" x14ac:dyDescent="0.2">
      <c r="B195" s="10"/>
      <c r="C195" s="11"/>
      <c r="D195" s="11"/>
      <c r="E195" s="12"/>
      <c r="F195" s="41"/>
      <c r="G195" s="30"/>
      <c r="H195" s="30"/>
      <c r="I195" s="11"/>
      <c r="J195" s="11"/>
    </row>
    <row r="196" spans="2:10" s="9" customFormat="1" x14ac:dyDescent="0.2">
      <c r="B196" s="10"/>
      <c r="C196" s="11"/>
      <c r="D196" s="11"/>
      <c r="E196" s="12"/>
      <c r="F196" s="41"/>
      <c r="G196" s="30"/>
      <c r="H196" s="30"/>
      <c r="I196" s="11"/>
      <c r="J196" s="11"/>
    </row>
    <row r="197" spans="2:10" s="9" customFormat="1" x14ac:dyDescent="0.2">
      <c r="B197" s="10"/>
      <c r="C197" s="11"/>
      <c r="D197" s="11"/>
      <c r="E197" s="12"/>
      <c r="F197" s="41"/>
      <c r="G197" s="30"/>
      <c r="H197" s="30"/>
      <c r="I197" s="11"/>
      <c r="J197" s="11"/>
    </row>
    <row r="198" spans="2:10" s="9" customFormat="1" x14ac:dyDescent="0.2">
      <c r="B198" s="10"/>
      <c r="C198" s="11"/>
      <c r="D198" s="11"/>
      <c r="E198" s="12"/>
      <c r="F198" s="41"/>
      <c r="G198" s="30"/>
      <c r="H198" s="30"/>
      <c r="I198" s="11"/>
      <c r="J198" s="11"/>
    </row>
    <row r="199" spans="2:10" s="9" customFormat="1" x14ac:dyDescent="0.2">
      <c r="B199" s="10"/>
      <c r="C199" s="11"/>
      <c r="D199" s="11"/>
      <c r="E199" s="12"/>
      <c r="F199" s="41"/>
      <c r="G199" s="30"/>
      <c r="H199" s="30"/>
      <c r="I199" s="11"/>
      <c r="J199" s="11"/>
    </row>
    <row r="200" spans="2:10" s="9" customFormat="1" x14ac:dyDescent="0.2">
      <c r="B200" s="10"/>
      <c r="C200" s="11"/>
      <c r="D200" s="11"/>
      <c r="E200" s="12"/>
      <c r="F200" s="41"/>
      <c r="G200" s="30"/>
      <c r="H200" s="30"/>
      <c r="I200" s="11"/>
      <c r="J200" s="11"/>
    </row>
    <row r="201" spans="2:10" s="9" customFormat="1" x14ac:dyDescent="0.2">
      <c r="B201" s="10"/>
      <c r="C201" s="11"/>
      <c r="D201" s="11"/>
      <c r="E201" s="12"/>
      <c r="F201" s="41"/>
      <c r="G201" s="30"/>
      <c r="H201" s="30"/>
      <c r="I201" s="11"/>
      <c r="J201" s="11"/>
    </row>
    <row r="202" spans="2:10" s="9" customFormat="1" x14ac:dyDescent="0.2">
      <c r="B202" s="10"/>
      <c r="C202" s="11"/>
      <c r="D202" s="11"/>
      <c r="E202" s="12"/>
      <c r="F202" s="41"/>
      <c r="G202" s="30"/>
      <c r="H202" s="30"/>
      <c r="I202" s="11"/>
      <c r="J202" s="11"/>
    </row>
    <row r="203" spans="2:10" s="9" customFormat="1" x14ac:dyDescent="0.2">
      <c r="B203" s="10"/>
      <c r="C203" s="11"/>
      <c r="D203" s="11"/>
      <c r="E203" s="12"/>
      <c r="F203" s="41"/>
      <c r="G203" s="30"/>
      <c r="H203" s="30"/>
      <c r="I203" s="11"/>
      <c r="J203" s="11"/>
    </row>
    <row r="204" spans="2:10" s="9" customFormat="1" x14ac:dyDescent="0.2">
      <c r="B204" s="10"/>
      <c r="C204" s="11"/>
      <c r="D204" s="11"/>
      <c r="E204" s="12"/>
      <c r="F204" s="41"/>
      <c r="G204" s="30"/>
      <c r="H204" s="30"/>
      <c r="I204" s="11"/>
      <c r="J204" s="11"/>
    </row>
    <row r="205" spans="2:10" s="9" customFormat="1" x14ac:dyDescent="0.2">
      <c r="B205" s="10"/>
      <c r="C205" s="11"/>
      <c r="D205" s="11"/>
      <c r="E205" s="12"/>
      <c r="F205" s="41"/>
      <c r="G205" s="30"/>
      <c r="H205" s="30"/>
      <c r="I205" s="11"/>
      <c r="J205" s="11"/>
    </row>
    <row r="206" spans="2:10" s="9" customFormat="1" x14ac:dyDescent="0.2">
      <c r="B206" s="10"/>
      <c r="C206" s="11"/>
      <c r="D206" s="11"/>
      <c r="E206" s="12"/>
      <c r="F206" s="41"/>
      <c r="G206" s="30"/>
      <c r="H206" s="30"/>
      <c r="I206" s="11"/>
      <c r="J206" s="11"/>
    </row>
    <row r="207" spans="2:10" s="9" customFormat="1" x14ac:dyDescent="0.2">
      <c r="B207" s="10"/>
      <c r="C207" s="11"/>
      <c r="D207" s="11"/>
      <c r="E207" s="12"/>
      <c r="F207" s="41"/>
      <c r="G207" s="30"/>
      <c r="H207" s="30"/>
      <c r="I207" s="11"/>
      <c r="J207" s="11"/>
    </row>
    <row r="208" spans="2:10" s="9" customFormat="1" x14ac:dyDescent="0.2">
      <c r="B208" s="10"/>
      <c r="C208" s="11"/>
      <c r="D208" s="11"/>
      <c r="E208" s="12"/>
      <c r="F208" s="41"/>
      <c r="G208" s="30"/>
      <c r="H208" s="30"/>
      <c r="I208" s="11"/>
      <c r="J208" s="11"/>
    </row>
    <row r="209" spans="2:10" s="9" customFormat="1" x14ac:dyDescent="0.2">
      <c r="B209" s="10"/>
      <c r="C209" s="11"/>
      <c r="D209" s="11"/>
      <c r="E209" s="12"/>
      <c r="F209" s="41"/>
      <c r="G209" s="30"/>
      <c r="H209" s="30"/>
      <c r="I209" s="11"/>
      <c r="J209" s="11"/>
    </row>
    <row r="210" spans="2:10" s="9" customFormat="1" x14ac:dyDescent="0.2">
      <c r="B210" s="10"/>
      <c r="C210" s="11"/>
      <c r="D210" s="11"/>
      <c r="E210" s="12"/>
      <c r="F210" s="41"/>
      <c r="G210" s="30"/>
      <c r="H210" s="30"/>
      <c r="I210" s="11"/>
      <c r="J210" s="11"/>
    </row>
    <row r="211" spans="2:10" s="9" customFormat="1" x14ac:dyDescent="0.2">
      <c r="B211" s="10"/>
      <c r="C211" s="11"/>
      <c r="D211" s="11"/>
      <c r="E211" s="12"/>
      <c r="F211" s="41"/>
      <c r="G211" s="30"/>
      <c r="H211" s="30"/>
      <c r="I211" s="11"/>
      <c r="J211" s="11"/>
    </row>
    <row r="212" spans="2:10" s="9" customFormat="1" x14ac:dyDescent="0.2">
      <c r="B212" s="10"/>
      <c r="C212" s="11"/>
      <c r="D212" s="11"/>
      <c r="E212" s="12"/>
      <c r="F212" s="41"/>
      <c r="G212" s="30"/>
      <c r="H212" s="30"/>
      <c r="I212" s="11"/>
      <c r="J212" s="11"/>
    </row>
    <row r="213" spans="2:10" s="9" customFormat="1" x14ac:dyDescent="0.2">
      <c r="B213" s="10"/>
      <c r="C213" s="11"/>
      <c r="D213" s="11"/>
      <c r="E213" s="12"/>
      <c r="F213" s="41"/>
      <c r="G213" s="30"/>
      <c r="H213" s="30"/>
      <c r="I213" s="11"/>
      <c r="J213" s="11"/>
    </row>
    <row r="214" spans="2:10" s="9" customFormat="1" x14ac:dyDescent="0.2">
      <c r="B214" s="10"/>
      <c r="C214" s="11"/>
      <c r="D214" s="11"/>
      <c r="E214" s="12"/>
      <c r="F214" s="41"/>
      <c r="G214" s="30"/>
      <c r="H214" s="30"/>
      <c r="I214" s="11"/>
      <c r="J214" s="11"/>
    </row>
    <row r="215" spans="2:10" s="9" customFormat="1" x14ac:dyDescent="0.2">
      <c r="B215" s="10"/>
      <c r="C215" s="11"/>
      <c r="D215" s="11"/>
      <c r="E215" s="12"/>
      <c r="F215" s="41"/>
      <c r="G215" s="30"/>
      <c r="H215" s="30"/>
      <c r="I215" s="11"/>
      <c r="J215" s="11"/>
    </row>
    <row r="216" spans="2:10" s="9" customFormat="1" x14ac:dyDescent="0.2">
      <c r="B216" s="10"/>
      <c r="C216" s="11"/>
      <c r="D216" s="11"/>
      <c r="E216" s="12"/>
      <c r="F216" s="41"/>
      <c r="G216" s="30"/>
      <c r="H216" s="30"/>
      <c r="I216" s="11"/>
      <c r="J216" s="11"/>
    </row>
    <row r="217" spans="2:10" s="9" customFormat="1" x14ac:dyDescent="0.2">
      <c r="B217" s="10"/>
      <c r="C217" s="11"/>
      <c r="D217" s="11"/>
      <c r="E217" s="12"/>
      <c r="F217" s="41"/>
      <c r="G217" s="30"/>
      <c r="H217" s="30"/>
      <c r="I217" s="11"/>
      <c r="J217" s="11"/>
    </row>
    <row r="218" spans="2:10" s="9" customFormat="1" x14ac:dyDescent="0.2">
      <c r="B218" s="10"/>
      <c r="C218" s="11"/>
      <c r="D218" s="11"/>
      <c r="E218" s="12"/>
      <c r="F218" s="41"/>
      <c r="G218" s="30"/>
      <c r="H218" s="30"/>
      <c r="I218" s="11"/>
      <c r="J218" s="11"/>
    </row>
    <row r="219" spans="2:10" s="9" customFormat="1" x14ac:dyDescent="0.2">
      <c r="B219" s="10"/>
      <c r="C219" s="11"/>
      <c r="D219" s="11"/>
      <c r="E219" s="12"/>
      <c r="F219" s="41"/>
      <c r="G219" s="30"/>
      <c r="H219" s="30"/>
      <c r="I219" s="11"/>
      <c r="J219" s="11"/>
    </row>
    <row r="220" spans="2:10" s="9" customFormat="1" x14ac:dyDescent="0.2">
      <c r="B220" s="10"/>
      <c r="C220" s="11"/>
      <c r="D220" s="11"/>
      <c r="E220" s="12"/>
      <c r="F220" s="41"/>
      <c r="G220" s="30"/>
      <c r="H220" s="30"/>
      <c r="I220" s="11"/>
      <c r="J220" s="11"/>
    </row>
    <row r="221" spans="2:10" s="9" customFormat="1" x14ac:dyDescent="0.2">
      <c r="B221" s="10"/>
      <c r="C221" s="11"/>
      <c r="D221" s="11"/>
      <c r="E221" s="12"/>
      <c r="F221" s="41"/>
      <c r="G221" s="30"/>
      <c r="H221" s="30"/>
      <c r="I221" s="11"/>
      <c r="J221" s="11"/>
    </row>
    <row r="222" spans="2:10" s="9" customFormat="1" x14ac:dyDescent="0.2">
      <c r="B222" s="10"/>
      <c r="C222" s="11"/>
      <c r="D222" s="11"/>
      <c r="E222" s="12"/>
      <c r="F222" s="41"/>
      <c r="G222" s="30"/>
      <c r="H222" s="30"/>
      <c r="I222" s="11"/>
      <c r="J222" s="11"/>
    </row>
    <row r="223" spans="2:10" s="9" customFormat="1" x14ac:dyDescent="0.2">
      <c r="B223" s="10"/>
      <c r="C223" s="11"/>
      <c r="D223" s="11"/>
      <c r="E223" s="12"/>
      <c r="F223" s="41"/>
      <c r="G223" s="30"/>
      <c r="H223" s="30"/>
      <c r="I223" s="11"/>
      <c r="J223" s="11"/>
    </row>
    <row r="224" spans="2:10" s="9" customFormat="1" x14ac:dyDescent="0.2">
      <c r="B224" s="10"/>
      <c r="C224" s="11"/>
      <c r="D224" s="11"/>
      <c r="E224" s="12"/>
      <c r="F224" s="41"/>
      <c r="G224" s="30"/>
      <c r="H224" s="30"/>
      <c r="I224" s="11"/>
      <c r="J224" s="11"/>
    </row>
    <row r="225" spans="2:10" s="9" customFormat="1" x14ac:dyDescent="0.2">
      <c r="B225" s="10"/>
      <c r="C225" s="11"/>
      <c r="D225" s="11"/>
      <c r="E225" s="12"/>
      <c r="F225" s="41"/>
      <c r="G225" s="30"/>
      <c r="H225" s="30"/>
      <c r="I225" s="11"/>
      <c r="J225" s="11"/>
    </row>
    <row r="226" spans="2:10" s="9" customFormat="1" x14ac:dyDescent="0.2">
      <c r="B226" s="10"/>
      <c r="C226" s="11"/>
      <c r="D226" s="11"/>
      <c r="E226" s="12"/>
      <c r="F226" s="41"/>
      <c r="G226" s="30"/>
      <c r="H226" s="30"/>
      <c r="I226" s="11"/>
      <c r="J226" s="11"/>
    </row>
    <row r="227" spans="2:10" s="9" customFormat="1" x14ac:dyDescent="0.2">
      <c r="B227" s="10"/>
      <c r="C227" s="11"/>
      <c r="D227" s="11"/>
      <c r="E227" s="12"/>
      <c r="F227" s="41"/>
      <c r="G227" s="30"/>
      <c r="H227" s="30"/>
      <c r="I227" s="11"/>
      <c r="J227" s="11"/>
    </row>
    <row r="228" spans="2:10" s="9" customFormat="1" x14ac:dyDescent="0.2">
      <c r="B228" s="10"/>
      <c r="C228" s="11"/>
      <c r="D228" s="11"/>
      <c r="E228" s="12"/>
      <c r="F228" s="41"/>
      <c r="G228" s="30"/>
      <c r="H228" s="30"/>
      <c r="I228" s="11"/>
      <c r="J228" s="11"/>
    </row>
    <row r="229" spans="2:10" s="9" customFormat="1" x14ac:dyDescent="0.2">
      <c r="B229" s="10"/>
      <c r="C229" s="11"/>
      <c r="D229" s="11"/>
      <c r="E229" s="12"/>
      <c r="F229" s="41"/>
      <c r="G229" s="30"/>
      <c r="H229" s="30"/>
      <c r="I229" s="11"/>
      <c r="J229" s="11"/>
    </row>
    <row r="230" spans="2:10" s="9" customFormat="1" x14ac:dyDescent="0.2">
      <c r="B230" s="10"/>
      <c r="C230" s="11"/>
      <c r="D230" s="11"/>
      <c r="E230" s="12"/>
      <c r="F230" s="41"/>
      <c r="G230" s="30"/>
      <c r="H230" s="30"/>
      <c r="I230" s="11"/>
      <c r="J230" s="11"/>
    </row>
    <row r="231" spans="2:10" s="9" customFormat="1" x14ac:dyDescent="0.2">
      <c r="B231" s="10"/>
      <c r="C231" s="11"/>
      <c r="D231" s="11"/>
      <c r="E231" s="12"/>
      <c r="F231" s="41"/>
      <c r="G231" s="30"/>
      <c r="H231" s="30"/>
      <c r="I231" s="11"/>
      <c r="J231" s="11"/>
    </row>
    <row r="232" spans="2:10" s="9" customFormat="1" x14ac:dyDescent="0.2">
      <c r="B232" s="10"/>
      <c r="C232" s="11"/>
      <c r="D232" s="11"/>
      <c r="E232" s="12"/>
      <c r="F232" s="41"/>
      <c r="G232" s="30"/>
      <c r="H232" s="30"/>
      <c r="I232" s="11"/>
      <c r="J232" s="11"/>
    </row>
    <row r="233" spans="2:10" s="9" customFormat="1" x14ac:dyDescent="0.2">
      <c r="B233" s="10"/>
      <c r="C233" s="11"/>
      <c r="D233" s="11"/>
      <c r="E233" s="12"/>
      <c r="F233" s="41"/>
      <c r="G233" s="30"/>
      <c r="H233" s="30"/>
      <c r="I233" s="11"/>
      <c r="J233" s="11"/>
    </row>
    <row r="234" spans="2:10" s="9" customFormat="1" x14ac:dyDescent="0.2">
      <c r="B234" s="10"/>
      <c r="C234" s="11"/>
      <c r="D234" s="11"/>
      <c r="E234" s="12"/>
      <c r="F234" s="41"/>
      <c r="G234" s="30"/>
      <c r="H234" s="30"/>
      <c r="I234" s="11"/>
      <c r="J234" s="11"/>
    </row>
    <row r="235" spans="2:10" s="9" customFormat="1" x14ac:dyDescent="0.2">
      <c r="B235" s="10"/>
      <c r="C235" s="11"/>
      <c r="D235" s="11"/>
      <c r="E235" s="12"/>
      <c r="F235" s="41"/>
      <c r="G235" s="30"/>
      <c r="H235" s="30"/>
      <c r="I235" s="11"/>
      <c r="J235" s="11"/>
    </row>
    <row r="236" spans="2:10" s="9" customFormat="1" x14ac:dyDescent="0.2">
      <c r="B236" s="10"/>
      <c r="C236" s="11"/>
      <c r="D236" s="11"/>
      <c r="E236" s="12"/>
      <c r="F236" s="41"/>
      <c r="G236" s="30"/>
      <c r="H236" s="30"/>
      <c r="I236" s="11"/>
      <c r="J236" s="11"/>
    </row>
    <row r="237" spans="2:10" s="9" customFormat="1" x14ac:dyDescent="0.2">
      <c r="B237" s="10"/>
      <c r="C237" s="11"/>
      <c r="D237" s="11"/>
      <c r="E237" s="12"/>
      <c r="F237" s="41"/>
      <c r="G237" s="30"/>
      <c r="H237" s="30"/>
      <c r="I237" s="11"/>
      <c r="J237" s="11"/>
    </row>
    <row r="238" spans="2:10" s="9" customFormat="1" x14ac:dyDescent="0.2">
      <c r="B238" s="10"/>
      <c r="C238" s="11"/>
      <c r="D238" s="11"/>
      <c r="E238" s="12"/>
      <c r="F238" s="41"/>
      <c r="G238" s="30"/>
      <c r="H238" s="30"/>
      <c r="I238" s="11"/>
      <c r="J238" s="11"/>
    </row>
    <row r="239" spans="2:10" s="9" customFormat="1" x14ac:dyDescent="0.2">
      <c r="B239" s="10"/>
      <c r="C239" s="11"/>
      <c r="D239" s="11"/>
      <c r="E239" s="12"/>
      <c r="F239" s="41"/>
      <c r="G239" s="30"/>
      <c r="H239" s="30"/>
      <c r="I239" s="11"/>
      <c r="J239" s="11"/>
    </row>
    <row r="240" spans="2:10" s="9" customFormat="1" x14ac:dyDescent="0.2">
      <c r="B240" s="10"/>
      <c r="C240" s="11"/>
      <c r="D240" s="11"/>
      <c r="E240" s="12"/>
      <c r="F240" s="41"/>
      <c r="G240" s="30"/>
      <c r="H240" s="30"/>
      <c r="I240" s="11"/>
      <c r="J240" s="11"/>
    </row>
    <row r="241" spans="2:10" s="9" customFormat="1" x14ac:dyDescent="0.2">
      <c r="B241" s="10"/>
      <c r="C241" s="11"/>
      <c r="D241" s="11"/>
      <c r="E241" s="12"/>
      <c r="F241" s="41"/>
      <c r="G241" s="30"/>
      <c r="H241" s="30"/>
      <c r="I241" s="11"/>
      <c r="J241" s="11"/>
    </row>
    <row r="242" spans="2:10" s="9" customFormat="1" x14ac:dyDescent="0.2">
      <c r="B242" s="10"/>
      <c r="C242" s="11"/>
      <c r="D242" s="11"/>
      <c r="E242" s="12"/>
      <c r="F242" s="41"/>
      <c r="G242" s="30"/>
      <c r="H242" s="30"/>
      <c r="I242" s="11"/>
      <c r="J242" s="11"/>
    </row>
    <row r="243" spans="2:10" s="9" customFormat="1" x14ac:dyDescent="0.2">
      <c r="B243" s="10"/>
      <c r="C243" s="11"/>
      <c r="D243" s="11"/>
      <c r="E243" s="12"/>
      <c r="F243" s="41"/>
      <c r="G243" s="30"/>
      <c r="H243" s="30"/>
      <c r="I243" s="11"/>
      <c r="J243" s="11"/>
    </row>
    <row r="244" spans="2:10" s="9" customFormat="1" x14ac:dyDescent="0.2">
      <c r="B244" s="10"/>
      <c r="C244" s="11"/>
      <c r="D244" s="11"/>
      <c r="E244" s="12"/>
      <c r="F244" s="41"/>
      <c r="G244" s="30"/>
      <c r="H244" s="30"/>
      <c r="I244" s="11"/>
      <c r="J244" s="11"/>
    </row>
    <row r="245" spans="2:10" s="9" customFormat="1" x14ac:dyDescent="0.2">
      <c r="B245" s="10"/>
      <c r="C245" s="11"/>
      <c r="D245" s="11"/>
      <c r="E245" s="12"/>
      <c r="F245" s="41"/>
      <c r="G245" s="30"/>
      <c r="H245" s="30"/>
      <c r="I245" s="11"/>
      <c r="J245" s="11"/>
    </row>
    <row r="246" spans="2:10" s="9" customFormat="1" x14ac:dyDescent="0.2">
      <c r="B246" s="10"/>
      <c r="C246" s="11"/>
      <c r="D246" s="11"/>
      <c r="E246" s="12"/>
      <c r="F246" s="41"/>
      <c r="G246" s="30"/>
      <c r="H246" s="30"/>
      <c r="I246" s="11"/>
      <c r="J246" s="11"/>
    </row>
    <row r="247" spans="2:10" s="9" customFormat="1" x14ac:dyDescent="0.2">
      <c r="B247" s="10"/>
      <c r="C247" s="11"/>
      <c r="D247" s="11"/>
      <c r="E247" s="12"/>
      <c r="F247" s="41"/>
      <c r="G247" s="30"/>
      <c r="H247" s="30"/>
      <c r="I247" s="11"/>
      <c r="J247" s="11"/>
    </row>
    <row r="248" spans="2:10" s="9" customFormat="1" x14ac:dyDescent="0.2">
      <c r="B248" s="10"/>
      <c r="C248" s="11"/>
      <c r="D248" s="11"/>
      <c r="E248" s="12"/>
      <c r="F248" s="41"/>
      <c r="G248" s="30"/>
      <c r="H248" s="30"/>
      <c r="I248" s="11"/>
      <c r="J248" s="11"/>
    </row>
    <row r="249" spans="2:10" s="9" customFormat="1" x14ac:dyDescent="0.2">
      <c r="B249" s="10"/>
      <c r="C249" s="11"/>
      <c r="D249" s="11"/>
      <c r="E249" s="12"/>
      <c r="F249" s="41"/>
      <c r="G249" s="30"/>
      <c r="H249" s="30"/>
      <c r="I249" s="11"/>
      <c r="J249" s="11"/>
    </row>
    <row r="250" spans="2:10" s="9" customFormat="1" x14ac:dyDescent="0.2">
      <c r="B250" s="10"/>
      <c r="C250" s="11"/>
      <c r="D250" s="11"/>
      <c r="E250" s="12"/>
      <c r="F250" s="41"/>
      <c r="G250" s="30"/>
      <c r="H250" s="30"/>
      <c r="I250" s="11"/>
      <c r="J250" s="11"/>
    </row>
    <row r="251" spans="2:10" s="9" customFormat="1" x14ac:dyDescent="0.2">
      <c r="B251" s="10"/>
      <c r="C251" s="11"/>
      <c r="D251" s="11"/>
      <c r="E251" s="12"/>
      <c r="F251" s="41"/>
      <c r="G251" s="30"/>
      <c r="H251" s="30"/>
      <c r="I251" s="11"/>
      <c r="J251" s="11"/>
    </row>
    <row r="252" spans="2:10" s="9" customFormat="1" x14ac:dyDescent="0.2">
      <c r="B252" s="10"/>
      <c r="C252" s="11"/>
      <c r="D252" s="11"/>
      <c r="E252" s="12"/>
      <c r="F252" s="41"/>
      <c r="G252" s="30"/>
      <c r="H252" s="30"/>
      <c r="I252" s="11"/>
      <c r="J252" s="11"/>
    </row>
    <row r="253" spans="2:10" s="9" customFormat="1" x14ac:dyDescent="0.2">
      <c r="B253" s="10"/>
      <c r="C253" s="11"/>
      <c r="D253" s="11"/>
      <c r="E253" s="12"/>
      <c r="F253" s="41"/>
      <c r="G253" s="30"/>
      <c r="H253" s="30"/>
      <c r="I253" s="11"/>
      <c r="J253" s="11"/>
    </row>
    <row r="254" spans="2:10" s="9" customFormat="1" x14ac:dyDescent="0.2">
      <c r="B254" s="10"/>
      <c r="C254" s="11"/>
      <c r="D254" s="11"/>
      <c r="E254" s="12"/>
      <c r="F254" s="41"/>
      <c r="G254" s="30"/>
      <c r="H254" s="30"/>
      <c r="I254" s="11"/>
      <c r="J254" s="11"/>
    </row>
    <row r="255" spans="2:10" s="9" customFormat="1" x14ac:dyDescent="0.2">
      <c r="B255" s="10"/>
      <c r="C255" s="11"/>
      <c r="D255" s="11"/>
      <c r="E255" s="12"/>
      <c r="F255" s="41"/>
      <c r="G255" s="30"/>
      <c r="H255" s="30"/>
      <c r="I255" s="11"/>
      <c r="J255" s="11"/>
    </row>
    <row r="256" spans="2:10" s="9" customFormat="1" x14ac:dyDescent="0.2">
      <c r="B256" s="10"/>
      <c r="C256" s="11"/>
      <c r="D256" s="11"/>
      <c r="E256" s="12"/>
      <c r="F256" s="41"/>
      <c r="G256" s="30"/>
      <c r="H256" s="30"/>
      <c r="I256" s="11"/>
      <c r="J256" s="11"/>
    </row>
    <row r="257" spans="2:10" s="9" customFormat="1" x14ac:dyDescent="0.2">
      <c r="B257" s="10"/>
      <c r="C257" s="11"/>
      <c r="D257" s="11"/>
      <c r="E257" s="12"/>
      <c r="F257" s="41"/>
      <c r="G257" s="30"/>
      <c r="H257" s="30"/>
      <c r="I257" s="11"/>
      <c r="J257" s="11"/>
    </row>
    <row r="258" spans="2:10" s="9" customFormat="1" x14ac:dyDescent="0.2">
      <c r="B258" s="10"/>
      <c r="C258" s="11"/>
      <c r="D258" s="11"/>
      <c r="E258" s="12"/>
      <c r="F258" s="41"/>
      <c r="G258" s="30"/>
      <c r="H258" s="30"/>
      <c r="I258" s="11"/>
      <c r="J258" s="11"/>
    </row>
    <row r="259" spans="2:10" s="9" customFormat="1" x14ac:dyDescent="0.2">
      <c r="B259" s="10"/>
      <c r="C259" s="11"/>
      <c r="D259" s="11"/>
      <c r="E259" s="12"/>
      <c r="F259" s="41"/>
      <c r="G259" s="30"/>
      <c r="H259" s="30"/>
      <c r="I259" s="11"/>
      <c r="J259" s="11"/>
    </row>
    <row r="260" spans="2:10" s="9" customFormat="1" x14ac:dyDescent="0.2">
      <c r="B260" s="10"/>
      <c r="C260" s="11"/>
      <c r="D260" s="11"/>
      <c r="E260" s="12"/>
      <c r="F260" s="41"/>
      <c r="G260" s="30"/>
      <c r="H260" s="30"/>
      <c r="I260" s="11"/>
      <c r="J260" s="11"/>
    </row>
    <row r="261" spans="2:10" s="9" customFormat="1" x14ac:dyDescent="0.2">
      <c r="B261" s="10"/>
      <c r="C261" s="11"/>
      <c r="D261" s="11"/>
      <c r="E261" s="12"/>
      <c r="F261" s="41"/>
      <c r="G261" s="30"/>
      <c r="H261" s="30"/>
      <c r="I261" s="11"/>
      <c r="J261" s="11"/>
    </row>
    <row r="262" spans="2:10" s="9" customFormat="1" x14ac:dyDescent="0.2">
      <c r="B262" s="10"/>
      <c r="C262" s="11"/>
      <c r="D262" s="11"/>
      <c r="E262" s="12"/>
      <c r="F262" s="41"/>
      <c r="G262" s="30"/>
      <c r="H262" s="30"/>
      <c r="I262" s="11"/>
      <c r="J262" s="11"/>
    </row>
    <row r="263" spans="2:10" s="9" customFormat="1" x14ac:dyDescent="0.2">
      <c r="B263" s="10"/>
      <c r="C263" s="11"/>
      <c r="D263" s="11"/>
      <c r="E263" s="12"/>
      <c r="F263" s="41"/>
      <c r="G263" s="30"/>
      <c r="H263" s="30"/>
      <c r="I263" s="11"/>
      <c r="J263" s="11"/>
    </row>
    <row r="264" spans="2:10" s="9" customFormat="1" x14ac:dyDescent="0.2">
      <c r="B264" s="10"/>
      <c r="C264" s="11"/>
      <c r="D264" s="11"/>
      <c r="E264" s="12"/>
      <c r="F264" s="41"/>
      <c r="G264" s="30"/>
      <c r="H264" s="30"/>
      <c r="I264" s="11"/>
      <c r="J264" s="11"/>
    </row>
    <row r="265" spans="2:10" s="9" customFormat="1" x14ac:dyDescent="0.2">
      <c r="B265" s="10"/>
      <c r="C265" s="11"/>
      <c r="D265" s="11"/>
      <c r="E265" s="12"/>
      <c r="F265" s="41"/>
      <c r="G265" s="30"/>
      <c r="H265" s="30"/>
      <c r="I265" s="11"/>
      <c r="J265" s="11"/>
    </row>
    <row r="266" spans="2:10" s="9" customFormat="1" x14ac:dyDescent="0.2">
      <c r="B266" s="10"/>
      <c r="C266" s="11"/>
      <c r="D266" s="11"/>
      <c r="E266" s="12"/>
      <c r="F266" s="41"/>
      <c r="G266" s="30"/>
      <c r="H266" s="30"/>
      <c r="I266" s="11"/>
      <c r="J266" s="11"/>
    </row>
    <row r="267" spans="2:10" s="9" customFormat="1" x14ac:dyDescent="0.2">
      <c r="B267" s="10"/>
      <c r="C267" s="11"/>
      <c r="D267" s="11"/>
      <c r="E267" s="12"/>
      <c r="F267" s="41"/>
      <c r="G267" s="30"/>
      <c r="H267" s="30"/>
      <c r="I267" s="11"/>
      <c r="J267" s="11"/>
    </row>
    <row r="268" spans="2:10" s="9" customFormat="1" x14ac:dyDescent="0.2">
      <c r="B268" s="10"/>
      <c r="C268" s="11"/>
      <c r="D268" s="11"/>
      <c r="E268" s="12"/>
      <c r="F268" s="41"/>
      <c r="G268" s="30"/>
      <c r="H268" s="30"/>
      <c r="I268" s="11"/>
      <c r="J268" s="11"/>
    </row>
    <row r="269" spans="2:10" s="9" customFormat="1" x14ac:dyDescent="0.2">
      <c r="B269" s="10"/>
      <c r="C269" s="11"/>
      <c r="D269" s="11"/>
      <c r="E269" s="12"/>
      <c r="F269" s="41"/>
      <c r="G269" s="30"/>
      <c r="H269" s="30"/>
      <c r="I269" s="11"/>
      <c r="J269" s="11"/>
    </row>
    <row r="270" spans="2:10" s="9" customFormat="1" x14ac:dyDescent="0.2">
      <c r="B270" s="10"/>
      <c r="C270" s="11"/>
      <c r="D270" s="11"/>
      <c r="E270" s="12"/>
      <c r="F270" s="41"/>
      <c r="G270" s="30"/>
      <c r="H270" s="30"/>
      <c r="I270" s="11"/>
      <c r="J270" s="11"/>
    </row>
    <row r="271" spans="2:10" s="9" customFormat="1" x14ac:dyDescent="0.2">
      <c r="B271" s="10"/>
      <c r="C271" s="11"/>
      <c r="D271" s="11"/>
      <c r="E271" s="12"/>
      <c r="F271" s="41"/>
      <c r="G271" s="30"/>
      <c r="H271" s="30"/>
      <c r="I271" s="11"/>
      <c r="J271" s="11"/>
    </row>
    <row r="272" spans="2:10" s="9" customFormat="1" x14ac:dyDescent="0.2">
      <c r="B272" s="10"/>
      <c r="C272" s="11"/>
      <c r="D272" s="11"/>
      <c r="E272" s="12"/>
      <c r="F272" s="41"/>
      <c r="G272" s="30"/>
      <c r="H272" s="30"/>
      <c r="I272" s="11"/>
      <c r="J272" s="11"/>
    </row>
    <row r="273" spans="2:10" s="9" customFormat="1" x14ac:dyDescent="0.2">
      <c r="B273" s="10"/>
      <c r="C273" s="11"/>
      <c r="D273" s="11"/>
      <c r="E273" s="12"/>
      <c r="F273" s="41"/>
      <c r="G273" s="30"/>
      <c r="H273" s="30"/>
      <c r="I273" s="11"/>
      <c r="J273" s="11"/>
    </row>
    <row r="274" spans="2:10" s="9" customFormat="1" x14ac:dyDescent="0.2">
      <c r="B274" s="10"/>
      <c r="C274" s="11"/>
      <c r="D274" s="11"/>
      <c r="E274" s="12"/>
      <c r="F274" s="41"/>
      <c r="G274" s="30"/>
      <c r="H274" s="30"/>
      <c r="I274" s="11"/>
      <c r="J274" s="11"/>
    </row>
    <row r="275" spans="2:10" s="9" customFormat="1" x14ac:dyDescent="0.2">
      <c r="B275" s="10"/>
      <c r="C275" s="11"/>
      <c r="D275" s="11"/>
      <c r="E275" s="12"/>
      <c r="F275" s="41"/>
      <c r="G275" s="30"/>
      <c r="H275" s="30"/>
      <c r="I275" s="11"/>
      <c r="J275" s="11"/>
    </row>
    <row r="276" spans="2:10" s="9" customFormat="1" x14ac:dyDescent="0.2">
      <c r="B276" s="10"/>
      <c r="C276" s="11"/>
      <c r="D276" s="11"/>
      <c r="E276" s="12"/>
      <c r="F276" s="41"/>
      <c r="G276" s="30"/>
      <c r="H276" s="30"/>
      <c r="I276" s="11"/>
      <c r="J276" s="11"/>
    </row>
    <row r="277" spans="2:10" s="9" customFormat="1" x14ac:dyDescent="0.2">
      <c r="B277" s="10"/>
      <c r="C277" s="11"/>
      <c r="D277" s="11"/>
      <c r="E277" s="12"/>
      <c r="F277" s="41"/>
      <c r="G277" s="30"/>
      <c r="H277" s="30"/>
      <c r="I277" s="11"/>
      <c r="J277" s="11"/>
    </row>
    <row r="278" spans="2:10" s="9" customFormat="1" x14ac:dyDescent="0.2">
      <c r="B278" s="10"/>
      <c r="C278" s="11"/>
      <c r="D278" s="11"/>
      <c r="E278" s="12"/>
      <c r="F278" s="41"/>
      <c r="G278" s="30"/>
      <c r="H278" s="30"/>
      <c r="I278" s="11"/>
      <c r="J278" s="11"/>
    </row>
    <row r="279" spans="2:10" s="9" customFormat="1" x14ac:dyDescent="0.2">
      <c r="B279" s="10"/>
      <c r="C279" s="11"/>
      <c r="D279" s="11"/>
      <c r="E279" s="12"/>
      <c r="F279" s="41"/>
      <c r="G279" s="30"/>
      <c r="H279" s="30"/>
      <c r="I279" s="11"/>
      <c r="J279" s="11"/>
    </row>
    <row r="280" spans="2:10" s="9" customFormat="1" x14ac:dyDescent="0.2">
      <c r="B280" s="10"/>
      <c r="C280" s="11"/>
      <c r="D280" s="11"/>
      <c r="E280" s="12"/>
      <c r="F280" s="41"/>
      <c r="G280" s="30"/>
      <c r="H280" s="30"/>
      <c r="I280" s="11"/>
      <c r="J280" s="11"/>
    </row>
    <row r="281" spans="2:10" s="9" customFormat="1" x14ac:dyDescent="0.2">
      <c r="B281" s="10"/>
      <c r="C281" s="11"/>
      <c r="D281" s="11"/>
      <c r="E281" s="12"/>
      <c r="F281" s="41"/>
      <c r="G281" s="30"/>
      <c r="H281" s="30"/>
      <c r="I281" s="11"/>
      <c r="J281" s="11"/>
    </row>
    <row r="282" spans="2:10" s="9" customFormat="1" x14ac:dyDescent="0.2">
      <c r="B282" s="10"/>
      <c r="C282" s="11"/>
      <c r="D282" s="11"/>
      <c r="E282" s="12"/>
      <c r="F282" s="41"/>
      <c r="G282" s="30"/>
      <c r="H282" s="30"/>
      <c r="I282" s="11"/>
      <c r="J282" s="11"/>
    </row>
    <row r="283" spans="2:10" s="9" customFormat="1" x14ac:dyDescent="0.2">
      <c r="B283" s="10"/>
      <c r="C283" s="11"/>
      <c r="D283" s="11"/>
      <c r="E283" s="12"/>
      <c r="F283" s="41"/>
      <c r="G283" s="30"/>
      <c r="H283" s="30"/>
      <c r="I283" s="11"/>
      <c r="J283" s="11"/>
    </row>
    <row r="284" spans="2:10" s="9" customFormat="1" x14ac:dyDescent="0.2">
      <c r="B284" s="10"/>
      <c r="C284" s="11"/>
      <c r="D284" s="11"/>
      <c r="E284" s="12"/>
      <c r="F284" s="41"/>
      <c r="G284" s="30"/>
      <c r="H284" s="30"/>
      <c r="I284" s="11"/>
      <c r="J284" s="11"/>
    </row>
    <row r="285" spans="2:10" s="9" customFormat="1" x14ac:dyDescent="0.2">
      <c r="B285" s="10"/>
      <c r="C285" s="11"/>
      <c r="D285" s="11"/>
      <c r="E285" s="12"/>
      <c r="F285" s="41"/>
      <c r="G285" s="30"/>
      <c r="H285" s="30"/>
      <c r="I285" s="11"/>
      <c r="J285" s="11"/>
    </row>
    <row r="286" spans="2:10" s="9" customFormat="1" x14ac:dyDescent="0.2">
      <c r="B286" s="10"/>
      <c r="C286" s="11"/>
      <c r="D286" s="11"/>
      <c r="E286" s="12"/>
      <c r="F286" s="41"/>
      <c r="G286" s="30"/>
      <c r="H286" s="30"/>
      <c r="I286" s="11"/>
      <c r="J286" s="11"/>
    </row>
    <row r="287" spans="2:10" s="9" customFormat="1" x14ac:dyDescent="0.2">
      <c r="B287" s="10"/>
      <c r="C287" s="11"/>
      <c r="D287" s="11"/>
      <c r="E287" s="12"/>
      <c r="F287" s="41"/>
      <c r="G287" s="30"/>
      <c r="H287" s="30"/>
      <c r="I287" s="11"/>
      <c r="J287" s="11"/>
    </row>
    <row r="288" spans="2:10" s="9" customFormat="1" x14ac:dyDescent="0.2">
      <c r="B288" s="10"/>
      <c r="C288" s="11"/>
      <c r="D288" s="11"/>
      <c r="E288" s="12"/>
      <c r="F288" s="41"/>
      <c r="G288" s="30"/>
      <c r="H288" s="30"/>
      <c r="I288" s="11"/>
      <c r="J288" s="11"/>
    </row>
    <row r="289" spans="2:10" s="9" customFormat="1" x14ac:dyDescent="0.2">
      <c r="B289" s="10"/>
      <c r="C289" s="11"/>
      <c r="D289" s="11"/>
      <c r="E289" s="12"/>
      <c r="F289" s="41"/>
      <c r="G289" s="30"/>
      <c r="H289" s="30"/>
      <c r="I289" s="11"/>
      <c r="J289" s="11"/>
    </row>
    <row r="290" spans="2:10" s="9" customFormat="1" x14ac:dyDescent="0.2">
      <c r="B290" s="10"/>
      <c r="C290" s="11"/>
      <c r="D290" s="11"/>
      <c r="E290" s="12"/>
      <c r="F290" s="41"/>
      <c r="G290" s="30"/>
      <c r="H290" s="30"/>
      <c r="I290" s="11"/>
      <c r="J290" s="11"/>
    </row>
    <row r="291" spans="2:10" s="9" customFormat="1" x14ac:dyDescent="0.2">
      <c r="B291" s="10"/>
      <c r="C291" s="11"/>
      <c r="D291" s="11"/>
      <c r="E291" s="12"/>
      <c r="F291" s="41"/>
      <c r="G291" s="30"/>
      <c r="H291" s="30"/>
      <c r="I291" s="11"/>
      <c r="J291" s="11"/>
    </row>
    <row r="292" spans="2:10" s="9" customFormat="1" x14ac:dyDescent="0.2">
      <c r="B292" s="10"/>
      <c r="C292" s="11"/>
      <c r="D292" s="11"/>
      <c r="E292" s="12"/>
      <c r="F292" s="41"/>
      <c r="G292" s="30"/>
      <c r="H292" s="30"/>
      <c r="I292" s="11"/>
      <c r="J292" s="11"/>
    </row>
    <row r="293" spans="2:10" s="9" customFormat="1" x14ac:dyDescent="0.2">
      <c r="B293" s="10"/>
      <c r="C293" s="11"/>
      <c r="D293" s="11"/>
      <c r="E293" s="12"/>
      <c r="F293" s="41"/>
      <c r="G293" s="30"/>
      <c r="H293" s="30"/>
      <c r="I293" s="11"/>
      <c r="J293" s="11"/>
    </row>
    <row r="294" spans="2:10" s="9" customFormat="1" x14ac:dyDescent="0.2">
      <c r="B294" s="10"/>
      <c r="C294" s="11"/>
      <c r="D294" s="11"/>
      <c r="E294" s="12"/>
      <c r="F294" s="41"/>
      <c r="G294" s="30"/>
      <c r="H294" s="30"/>
      <c r="I294" s="11"/>
      <c r="J294" s="11"/>
    </row>
    <row r="295" spans="2:10" s="9" customFormat="1" x14ac:dyDescent="0.2">
      <c r="B295" s="10"/>
      <c r="C295" s="11"/>
      <c r="D295" s="11"/>
      <c r="E295" s="12"/>
      <c r="F295" s="41"/>
      <c r="G295" s="30"/>
      <c r="H295" s="30"/>
      <c r="I295" s="11"/>
      <c r="J295" s="11"/>
    </row>
    <row r="296" spans="2:10" s="9" customFormat="1" x14ac:dyDescent="0.2">
      <c r="B296" s="10"/>
      <c r="C296" s="11"/>
      <c r="D296" s="11"/>
      <c r="E296" s="12"/>
      <c r="F296" s="41"/>
      <c r="G296" s="30"/>
      <c r="H296" s="30"/>
      <c r="I296" s="11"/>
      <c r="J296" s="11"/>
    </row>
    <row r="297" spans="2:10" s="9" customFormat="1" x14ac:dyDescent="0.2">
      <c r="B297" s="10"/>
      <c r="C297" s="11"/>
      <c r="D297" s="11"/>
      <c r="E297" s="12"/>
      <c r="F297" s="41"/>
      <c r="G297" s="30"/>
      <c r="H297" s="30"/>
      <c r="I297" s="11"/>
      <c r="J297" s="11"/>
    </row>
    <row r="298" spans="2:10" s="9" customFormat="1" x14ac:dyDescent="0.2">
      <c r="B298" s="10"/>
      <c r="C298" s="11"/>
      <c r="D298" s="11"/>
      <c r="E298" s="12"/>
      <c r="F298" s="41"/>
      <c r="G298" s="30"/>
      <c r="H298" s="30"/>
      <c r="I298" s="11"/>
      <c r="J298" s="11"/>
    </row>
    <row r="299" spans="2:10" s="9" customFormat="1" x14ac:dyDescent="0.2">
      <c r="B299" s="10"/>
      <c r="C299" s="11"/>
      <c r="D299" s="11"/>
      <c r="E299" s="12"/>
      <c r="F299" s="41"/>
      <c r="G299" s="30"/>
      <c r="H299" s="30"/>
      <c r="I299" s="11"/>
      <c r="J299" s="11"/>
    </row>
    <row r="300" spans="2:10" s="9" customFormat="1" x14ac:dyDescent="0.2">
      <c r="B300" s="10"/>
      <c r="C300" s="11"/>
      <c r="D300" s="11"/>
      <c r="E300" s="12"/>
      <c r="F300" s="41"/>
      <c r="G300" s="30"/>
      <c r="H300" s="30"/>
      <c r="I300" s="11"/>
      <c r="J300" s="11"/>
    </row>
    <row r="301" spans="2:10" s="9" customFormat="1" x14ac:dyDescent="0.2">
      <c r="B301" s="10"/>
      <c r="C301" s="11"/>
      <c r="D301" s="11"/>
      <c r="E301" s="12"/>
      <c r="F301" s="41"/>
      <c r="G301" s="30"/>
      <c r="H301" s="30"/>
      <c r="I301" s="11"/>
      <c r="J301" s="11"/>
    </row>
    <row r="302" spans="2:10" s="9" customFormat="1" x14ac:dyDescent="0.2">
      <c r="B302" s="10"/>
      <c r="C302" s="11"/>
      <c r="D302" s="11"/>
      <c r="E302" s="12"/>
      <c r="F302" s="41"/>
      <c r="G302" s="30"/>
      <c r="H302" s="30"/>
      <c r="I302" s="11"/>
      <c r="J302" s="11"/>
    </row>
    <row r="303" spans="2:10" s="9" customFormat="1" x14ac:dyDescent="0.2">
      <c r="B303" s="10"/>
      <c r="C303" s="11"/>
      <c r="D303" s="11"/>
      <c r="E303" s="12"/>
      <c r="F303" s="41"/>
      <c r="G303" s="30"/>
      <c r="H303" s="30"/>
      <c r="I303" s="11"/>
      <c r="J303" s="11"/>
    </row>
    <row r="304" spans="2:10" s="9" customFormat="1" x14ac:dyDescent="0.2">
      <c r="B304" s="10"/>
      <c r="C304" s="11"/>
      <c r="D304" s="11"/>
      <c r="E304" s="12"/>
      <c r="F304" s="41"/>
      <c r="G304" s="30"/>
      <c r="H304" s="30"/>
      <c r="I304" s="11"/>
      <c r="J304" s="11"/>
    </row>
    <row r="305" spans="2:10" s="9" customFormat="1" x14ac:dyDescent="0.2">
      <c r="B305" s="10"/>
      <c r="C305" s="11"/>
      <c r="D305" s="11"/>
      <c r="E305" s="12"/>
      <c r="F305" s="41"/>
      <c r="G305" s="30"/>
      <c r="H305" s="30"/>
      <c r="I305" s="11"/>
      <c r="J305" s="11"/>
    </row>
    <row r="306" spans="2:10" s="9" customFormat="1" x14ac:dyDescent="0.2">
      <c r="B306" s="10"/>
      <c r="C306" s="11"/>
      <c r="D306" s="11"/>
      <c r="E306" s="12"/>
      <c r="F306" s="41"/>
      <c r="G306" s="30"/>
      <c r="H306" s="30"/>
      <c r="I306" s="11"/>
      <c r="J306" s="11"/>
    </row>
    <row r="307" spans="2:10" s="9" customFormat="1" x14ac:dyDescent="0.2">
      <c r="B307" s="10"/>
      <c r="C307" s="11"/>
      <c r="D307" s="11"/>
      <c r="E307" s="12"/>
      <c r="F307" s="41"/>
      <c r="G307" s="30"/>
      <c r="H307" s="30"/>
      <c r="I307" s="11"/>
      <c r="J307" s="11"/>
    </row>
    <row r="308" spans="2:10" s="9" customFormat="1" x14ac:dyDescent="0.2">
      <c r="B308" s="10"/>
      <c r="C308" s="11"/>
      <c r="D308" s="11"/>
      <c r="E308" s="12"/>
      <c r="F308" s="41"/>
      <c r="G308" s="30"/>
      <c r="H308" s="30"/>
      <c r="I308" s="11"/>
      <c r="J308" s="11"/>
    </row>
    <row r="309" spans="2:10" s="9" customFormat="1" x14ac:dyDescent="0.2">
      <c r="B309" s="10"/>
      <c r="C309" s="11"/>
      <c r="D309" s="11"/>
      <c r="E309" s="12"/>
      <c r="F309" s="41"/>
      <c r="G309" s="30"/>
      <c r="H309" s="30"/>
      <c r="I309" s="11"/>
      <c r="J309" s="11"/>
    </row>
    <row r="310" spans="2:10" s="9" customFormat="1" x14ac:dyDescent="0.2">
      <c r="B310" s="10"/>
      <c r="C310" s="11"/>
      <c r="D310" s="11"/>
      <c r="E310" s="12"/>
      <c r="F310" s="41"/>
      <c r="G310" s="30"/>
      <c r="H310" s="30"/>
      <c r="I310" s="11"/>
      <c r="J310" s="11"/>
    </row>
    <row r="311" spans="2:10" s="9" customFormat="1" x14ac:dyDescent="0.2">
      <c r="B311" s="10"/>
      <c r="C311" s="11"/>
      <c r="D311" s="11"/>
      <c r="E311" s="12"/>
      <c r="F311" s="41"/>
      <c r="G311" s="30"/>
      <c r="H311" s="30"/>
      <c r="I311" s="11"/>
      <c r="J311" s="11"/>
    </row>
    <row r="312" spans="2:10" s="9" customFormat="1" x14ac:dyDescent="0.2">
      <c r="B312" s="10"/>
      <c r="C312" s="11"/>
      <c r="D312" s="11"/>
      <c r="E312" s="12"/>
      <c r="F312" s="41"/>
      <c r="G312" s="30"/>
      <c r="H312" s="30"/>
      <c r="I312" s="11"/>
      <c r="J312" s="11"/>
    </row>
    <row r="313" spans="2:10" s="9" customFormat="1" x14ac:dyDescent="0.2">
      <c r="B313" s="10"/>
      <c r="C313" s="11"/>
      <c r="D313" s="11"/>
      <c r="E313" s="12"/>
      <c r="F313" s="41"/>
      <c r="G313" s="30"/>
      <c r="H313" s="30"/>
      <c r="I313" s="11"/>
      <c r="J313" s="11"/>
    </row>
    <row r="314" spans="2:10" s="9" customFormat="1" x14ac:dyDescent="0.2">
      <c r="B314" s="10"/>
      <c r="C314" s="11"/>
      <c r="D314" s="11"/>
      <c r="E314" s="12"/>
      <c r="F314" s="41"/>
      <c r="G314" s="30"/>
      <c r="H314" s="30"/>
      <c r="I314" s="11"/>
      <c r="J314" s="11"/>
    </row>
    <row r="315" spans="2:10" s="9" customFormat="1" x14ac:dyDescent="0.2">
      <c r="B315" s="10"/>
      <c r="C315" s="11"/>
      <c r="D315" s="11"/>
      <c r="E315" s="12"/>
      <c r="F315" s="41"/>
      <c r="G315" s="30"/>
      <c r="H315" s="30"/>
      <c r="I315" s="11"/>
      <c r="J315" s="11"/>
    </row>
    <row r="316" spans="2:10" s="9" customFormat="1" x14ac:dyDescent="0.2">
      <c r="B316" s="10"/>
      <c r="C316" s="11"/>
      <c r="D316" s="11"/>
      <c r="E316" s="12"/>
      <c r="F316" s="41"/>
      <c r="G316" s="30"/>
      <c r="H316" s="30"/>
      <c r="I316" s="11"/>
      <c r="J316" s="11"/>
    </row>
    <row r="317" spans="2:10" s="9" customFormat="1" x14ac:dyDescent="0.2">
      <c r="B317" s="10"/>
      <c r="C317" s="11"/>
      <c r="D317" s="11"/>
      <c r="E317" s="12"/>
      <c r="F317" s="41"/>
      <c r="G317" s="30"/>
      <c r="H317" s="30"/>
      <c r="I317" s="11"/>
      <c r="J317" s="11"/>
    </row>
    <row r="318" spans="2:10" s="9" customFormat="1" x14ac:dyDescent="0.2">
      <c r="B318" s="10"/>
      <c r="C318" s="11"/>
      <c r="D318" s="11"/>
      <c r="E318" s="12"/>
      <c r="F318" s="41"/>
      <c r="G318" s="30"/>
      <c r="H318" s="30"/>
      <c r="I318" s="11"/>
      <c r="J318" s="11"/>
    </row>
    <row r="319" spans="2:10" s="9" customFormat="1" x14ac:dyDescent="0.2">
      <c r="B319" s="10"/>
      <c r="C319" s="11"/>
      <c r="D319" s="11"/>
      <c r="E319" s="12"/>
      <c r="F319" s="41"/>
      <c r="G319" s="30"/>
      <c r="H319" s="30"/>
      <c r="I319" s="11"/>
      <c r="J319" s="11"/>
    </row>
    <row r="320" spans="2:10" s="9" customFormat="1" x14ac:dyDescent="0.2">
      <c r="B320" s="10"/>
      <c r="C320" s="11"/>
      <c r="D320" s="11"/>
      <c r="E320" s="12"/>
      <c r="F320" s="41"/>
      <c r="G320" s="30"/>
      <c r="H320" s="30"/>
      <c r="I320" s="11"/>
      <c r="J320" s="11"/>
    </row>
    <row r="321" spans="2:10" s="9" customFormat="1" x14ac:dyDescent="0.2">
      <c r="B321" s="10"/>
      <c r="C321" s="11"/>
      <c r="D321" s="11"/>
      <c r="E321" s="12"/>
      <c r="F321" s="41"/>
      <c r="G321" s="30"/>
      <c r="H321" s="30"/>
      <c r="I321" s="11"/>
      <c r="J321" s="11"/>
    </row>
    <row r="322" spans="2:10" s="9" customFormat="1" x14ac:dyDescent="0.2">
      <c r="B322" s="10"/>
      <c r="C322" s="11"/>
      <c r="D322" s="11"/>
      <c r="E322" s="12"/>
      <c r="F322" s="41"/>
      <c r="G322" s="30"/>
      <c r="H322" s="30"/>
      <c r="I322" s="11"/>
      <c r="J322" s="11"/>
    </row>
    <row r="323" spans="2:10" s="9" customFormat="1" x14ac:dyDescent="0.2">
      <c r="B323" s="10"/>
      <c r="C323" s="11"/>
      <c r="D323" s="11"/>
      <c r="E323" s="12"/>
      <c r="F323" s="41"/>
      <c r="G323" s="30"/>
      <c r="H323" s="30"/>
      <c r="I323" s="11"/>
      <c r="J323" s="11"/>
    </row>
    <row r="324" spans="2:10" s="9" customFormat="1" x14ac:dyDescent="0.2">
      <c r="B324" s="10"/>
      <c r="C324" s="11"/>
      <c r="D324" s="11"/>
      <c r="E324" s="12"/>
      <c r="F324" s="41"/>
      <c r="G324" s="30"/>
      <c r="H324" s="30"/>
      <c r="I324" s="11"/>
      <c r="J324" s="11"/>
    </row>
    <row r="325" spans="2:10" s="9" customFormat="1" x14ac:dyDescent="0.2">
      <c r="B325" s="10"/>
      <c r="C325" s="11"/>
      <c r="D325" s="11"/>
      <c r="E325" s="12"/>
      <c r="F325" s="41"/>
      <c r="G325" s="30"/>
      <c r="H325" s="30"/>
      <c r="I325" s="11"/>
      <c r="J325" s="11"/>
    </row>
    <row r="326" spans="2:10" s="9" customFormat="1" x14ac:dyDescent="0.2">
      <c r="B326" s="10"/>
      <c r="C326" s="11"/>
      <c r="D326" s="11"/>
      <c r="E326" s="12"/>
      <c r="F326" s="41"/>
      <c r="G326" s="30"/>
      <c r="H326" s="30"/>
      <c r="I326" s="11"/>
      <c r="J326" s="11"/>
    </row>
    <row r="327" spans="2:10" s="9" customFormat="1" x14ac:dyDescent="0.2">
      <c r="B327" s="10"/>
      <c r="C327" s="11"/>
      <c r="D327" s="11"/>
      <c r="E327" s="12"/>
      <c r="F327" s="41"/>
      <c r="G327" s="30"/>
      <c r="H327" s="30"/>
      <c r="I327" s="11"/>
      <c r="J327" s="11"/>
    </row>
    <row r="328" spans="2:10" s="9" customFormat="1" x14ac:dyDescent="0.2">
      <c r="B328" s="10"/>
      <c r="C328" s="11"/>
      <c r="D328" s="11"/>
      <c r="E328" s="12"/>
      <c r="F328" s="41"/>
      <c r="G328" s="30"/>
      <c r="H328" s="30"/>
      <c r="I328" s="11"/>
      <c r="J328" s="11"/>
    </row>
    <row r="329" spans="2:10" s="9" customFormat="1" x14ac:dyDescent="0.2">
      <c r="B329" s="10"/>
      <c r="C329" s="11"/>
      <c r="D329" s="11"/>
      <c r="E329" s="12"/>
      <c r="F329" s="41"/>
      <c r="G329" s="30"/>
      <c r="H329" s="30"/>
      <c r="I329" s="11"/>
      <c r="J329" s="11"/>
    </row>
    <row r="330" spans="2:10" s="9" customFormat="1" x14ac:dyDescent="0.2">
      <c r="B330" s="10"/>
      <c r="C330" s="11"/>
      <c r="D330" s="11"/>
      <c r="E330" s="12"/>
      <c r="F330" s="41"/>
      <c r="G330" s="30"/>
      <c r="H330" s="30"/>
      <c r="I330" s="11"/>
      <c r="J330" s="11"/>
    </row>
    <row r="331" spans="2:10" s="9" customFormat="1" x14ac:dyDescent="0.2">
      <c r="B331" s="10"/>
      <c r="C331" s="11"/>
      <c r="D331" s="11"/>
      <c r="E331" s="12"/>
      <c r="F331" s="41"/>
      <c r="G331" s="30"/>
      <c r="H331" s="30"/>
      <c r="I331" s="11"/>
      <c r="J331" s="11"/>
    </row>
    <row r="332" spans="2:10" s="9" customFormat="1" x14ac:dyDescent="0.2">
      <c r="B332" s="10"/>
      <c r="C332" s="11"/>
      <c r="D332" s="11"/>
      <c r="E332" s="12"/>
      <c r="F332" s="41"/>
      <c r="G332" s="30"/>
      <c r="H332" s="30"/>
      <c r="I332" s="11"/>
      <c r="J332" s="11"/>
    </row>
    <row r="333" spans="2:10" s="9" customFormat="1" x14ac:dyDescent="0.2">
      <c r="B333" s="10"/>
      <c r="C333" s="11"/>
      <c r="D333" s="11"/>
      <c r="E333" s="12"/>
      <c r="F333" s="41"/>
      <c r="G333" s="30"/>
      <c r="H333" s="30"/>
      <c r="I333" s="11"/>
      <c r="J333" s="11"/>
    </row>
    <row r="334" spans="2:10" s="9" customFormat="1" x14ac:dyDescent="0.2">
      <c r="B334" s="10"/>
      <c r="C334" s="11"/>
      <c r="D334" s="11"/>
      <c r="E334" s="12"/>
      <c r="F334" s="41"/>
      <c r="G334" s="30"/>
      <c r="H334" s="30"/>
      <c r="I334" s="11"/>
      <c r="J334" s="11"/>
    </row>
    <row r="335" spans="2:10" s="9" customFormat="1" x14ac:dyDescent="0.2">
      <c r="B335" s="10"/>
      <c r="C335" s="11"/>
      <c r="D335" s="11"/>
      <c r="E335" s="12"/>
      <c r="F335" s="41"/>
      <c r="G335" s="30"/>
      <c r="H335" s="30"/>
      <c r="I335" s="11"/>
      <c r="J335" s="11"/>
    </row>
    <row r="336" spans="2:10" s="9" customFormat="1" x14ac:dyDescent="0.2">
      <c r="B336" s="10"/>
      <c r="C336" s="11"/>
      <c r="D336" s="11"/>
      <c r="E336" s="12"/>
      <c r="F336" s="41"/>
      <c r="G336" s="30"/>
      <c r="H336" s="30"/>
      <c r="I336" s="11"/>
      <c r="J336" s="11"/>
    </row>
    <row r="337" spans="2:10" s="9" customFormat="1" x14ac:dyDescent="0.2">
      <c r="B337" s="10"/>
      <c r="C337" s="11"/>
      <c r="D337" s="11"/>
      <c r="E337" s="12"/>
      <c r="F337" s="41"/>
      <c r="G337" s="30"/>
      <c r="H337" s="30"/>
      <c r="I337" s="11"/>
      <c r="J337" s="11"/>
    </row>
    <row r="338" spans="2:10" s="9" customFormat="1" x14ac:dyDescent="0.2">
      <c r="B338" s="10"/>
      <c r="C338" s="11"/>
      <c r="D338" s="11"/>
      <c r="E338" s="12"/>
      <c r="F338" s="41"/>
      <c r="G338" s="30"/>
      <c r="H338" s="30"/>
      <c r="I338" s="11"/>
      <c r="J338" s="11"/>
    </row>
    <row r="339" spans="2:10" s="9" customFormat="1" x14ac:dyDescent="0.2">
      <c r="B339" s="10"/>
      <c r="C339" s="11"/>
      <c r="D339" s="11"/>
      <c r="E339" s="12"/>
      <c r="F339" s="41"/>
      <c r="G339" s="30"/>
      <c r="H339" s="30"/>
      <c r="I339" s="11"/>
      <c r="J339" s="11"/>
    </row>
    <row r="340" spans="2:10" s="9" customFormat="1" x14ac:dyDescent="0.2">
      <c r="B340" s="10"/>
      <c r="C340" s="11"/>
      <c r="D340" s="11"/>
      <c r="E340" s="12"/>
      <c r="F340" s="41"/>
      <c r="G340" s="30"/>
      <c r="H340" s="30"/>
      <c r="I340" s="11"/>
      <c r="J340" s="11"/>
    </row>
    <row r="341" spans="2:10" s="9" customFormat="1" x14ac:dyDescent="0.2">
      <c r="B341" s="10"/>
      <c r="C341" s="11"/>
      <c r="D341" s="11"/>
      <c r="E341" s="12"/>
      <c r="F341" s="41"/>
      <c r="G341" s="30"/>
      <c r="H341" s="30"/>
      <c r="I341" s="11"/>
      <c r="J341" s="11"/>
    </row>
    <row r="342" spans="2:10" s="9" customFormat="1" x14ac:dyDescent="0.2">
      <c r="B342" s="10"/>
      <c r="C342" s="11"/>
      <c r="D342" s="11"/>
      <c r="E342" s="12"/>
      <c r="F342" s="41"/>
      <c r="G342" s="30"/>
      <c r="H342" s="30"/>
      <c r="I342" s="11"/>
      <c r="J342" s="11"/>
    </row>
    <row r="343" spans="2:10" s="9" customFormat="1" x14ac:dyDescent="0.2">
      <c r="B343" s="10"/>
      <c r="C343" s="11"/>
      <c r="D343" s="11"/>
      <c r="E343" s="12"/>
      <c r="F343" s="41"/>
      <c r="G343" s="30"/>
      <c r="H343" s="30"/>
      <c r="I343" s="11"/>
      <c r="J343" s="11"/>
    </row>
    <row r="344" spans="2:10" s="9" customFormat="1" x14ac:dyDescent="0.2">
      <c r="B344" s="10"/>
      <c r="C344" s="11"/>
      <c r="D344" s="11"/>
      <c r="E344" s="12"/>
      <c r="F344" s="41"/>
      <c r="G344" s="30"/>
      <c r="H344" s="30"/>
      <c r="I344" s="11"/>
      <c r="J344" s="11"/>
    </row>
    <row r="345" spans="2:10" s="9" customFormat="1" x14ac:dyDescent="0.2">
      <c r="B345" s="10"/>
      <c r="C345" s="11"/>
      <c r="D345" s="11"/>
      <c r="E345" s="12"/>
      <c r="F345" s="41"/>
      <c r="G345" s="30"/>
      <c r="H345" s="30"/>
      <c r="I345" s="11"/>
      <c r="J345" s="11"/>
    </row>
    <row r="346" spans="2:10" s="9" customFormat="1" x14ac:dyDescent="0.2">
      <c r="B346" s="10"/>
      <c r="C346" s="11"/>
      <c r="D346" s="11"/>
      <c r="E346" s="12"/>
      <c r="F346" s="41"/>
      <c r="G346" s="30"/>
      <c r="H346" s="30"/>
      <c r="I346" s="11"/>
      <c r="J346" s="11"/>
    </row>
    <row r="347" spans="2:10" s="9" customFormat="1" x14ac:dyDescent="0.2">
      <c r="B347" s="10"/>
      <c r="C347" s="11"/>
      <c r="D347" s="11"/>
      <c r="E347" s="12"/>
      <c r="F347" s="41"/>
      <c r="G347" s="30"/>
      <c r="H347" s="30"/>
      <c r="I347" s="11"/>
      <c r="J347" s="11"/>
    </row>
    <row r="348" spans="2:10" s="9" customFormat="1" x14ac:dyDescent="0.2">
      <c r="B348" s="10"/>
      <c r="C348" s="11"/>
      <c r="D348" s="11"/>
      <c r="E348" s="12"/>
      <c r="F348" s="41"/>
      <c r="G348" s="30"/>
      <c r="H348" s="30"/>
      <c r="I348" s="11"/>
      <c r="J348" s="11"/>
    </row>
    <row r="349" spans="2:10" s="9" customFormat="1" x14ac:dyDescent="0.2">
      <c r="B349" s="10"/>
      <c r="C349" s="11"/>
      <c r="D349" s="11"/>
      <c r="E349" s="12"/>
      <c r="F349" s="41"/>
      <c r="G349" s="30"/>
      <c r="H349" s="30"/>
      <c r="I349" s="11"/>
      <c r="J349" s="11"/>
    </row>
    <row r="350" spans="2:10" s="9" customFormat="1" x14ac:dyDescent="0.2">
      <c r="B350" s="10"/>
      <c r="C350" s="11"/>
      <c r="D350" s="11"/>
      <c r="E350" s="12"/>
      <c r="F350" s="41"/>
      <c r="G350" s="30"/>
      <c r="H350" s="30"/>
      <c r="I350" s="11"/>
      <c r="J350" s="11"/>
    </row>
    <row r="351" spans="2:10" s="9" customFormat="1" x14ac:dyDescent="0.2">
      <c r="B351" s="10"/>
      <c r="C351" s="11"/>
      <c r="D351" s="11"/>
      <c r="E351" s="12"/>
      <c r="F351" s="41"/>
      <c r="G351" s="30"/>
      <c r="H351" s="30"/>
      <c r="I351" s="11"/>
      <c r="J351" s="11"/>
    </row>
    <row r="352" spans="2:10" s="9" customFormat="1" x14ac:dyDescent="0.2">
      <c r="B352" s="10"/>
      <c r="C352" s="11"/>
      <c r="D352" s="11"/>
      <c r="E352" s="12"/>
      <c r="F352" s="41"/>
      <c r="G352" s="30"/>
      <c r="H352" s="30"/>
      <c r="I352" s="11"/>
      <c r="J352" s="11"/>
    </row>
    <row r="353" spans="2:10" s="9" customFormat="1" x14ac:dyDescent="0.2">
      <c r="B353" s="10"/>
      <c r="C353" s="11"/>
      <c r="D353" s="11"/>
      <c r="E353" s="12"/>
      <c r="F353" s="41"/>
      <c r="G353" s="30"/>
      <c r="H353" s="30"/>
      <c r="I353" s="11"/>
      <c r="J353" s="11"/>
    </row>
    <row r="354" spans="2:10" s="9" customFormat="1" x14ac:dyDescent="0.2">
      <c r="B354" s="10"/>
      <c r="C354" s="11"/>
      <c r="D354" s="11"/>
      <c r="E354" s="12"/>
      <c r="F354" s="41"/>
      <c r="G354" s="30"/>
      <c r="H354" s="30"/>
      <c r="I354" s="11"/>
      <c r="J354" s="11"/>
    </row>
    <row r="355" spans="2:10" s="9" customFormat="1" x14ac:dyDescent="0.2">
      <c r="B355" s="10"/>
      <c r="C355" s="11"/>
      <c r="D355" s="11"/>
      <c r="E355" s="12"/>
      <c r="F355" s="41"/>
      <c r="G355" s="30"/>
      <c r="H355" s="30"/>
      <c r="I355" s="11"/>
      <c r="J355" s="11"/>
    </row>
    <row r="356" spans="2:10" s="9" customFormat="1" x14ac:dyDescent="0.2">
      <c r="B356" s="10"/>
      <c r="C356" s="11"/>
      <c r="D356" s="11"/>
      <c r="E356" s="12"/>
      <c r="F356" s="41"/>
      <c r="G356" s="30"/>
      <c r="H356" s="30"/>
      <c r="I356" s="11"/>
      <c r="J356" s="11"/>
    </row>
    <row r="357" spans="2:10" s="9" customFormat="1" x14ac:dyDescent="0.2">
      <c r="B357" s="10"/>
      <c r="C357" s="11"/>
      <c r="D357" s="11"/>
      <c r="E357" s="12"/>
      <c r="F357" s="41"/>
      <c r="G357" s="30"/>
      <c r="H357" s="30"/>
      <c r="I357" s="11"/>
      <c r="J357" s="11"/>
    </row>
    <row r="358" spans="2:10" s="9" customFormat="1" x14ac:dyDescent="0.2">
      <c r="B358" s="10"/>
      <c r="C358" s="11"/>
      <c r="D358" s="11"/>
      <c r="E358" s="12"/>
      <c r="F358" s="41"/>
      <c r="G358" s="30"/>
      <c r="H358" s="30"/>
      <c r="I358" s="11"/>
      <c r="J358" s="11"/>
    </row>
    <row r="359" spans="2:10" s="9" customFormat="1" x14ac:dyDescent="0.2">
      <c r="B359" s="10"/>
      <c r="C359" s="11"/>
      <c r="D359" s="11"/>
      <c r="E359" s="12"/>
      <c r="F359" s="41"/>
      <c r="G359" s="30"/>
      <c r="H359" s="30"/>
      <c r="I359" s="11"/>
      <c r="J359" s="11"/>
    </row>
    <row r="360" spans="2:10" s="9" customFormat="1" x14ac:dyDescent="0.2">
      <c r="B360" s="10"/>
      <c r="C360" s="11"/>
      <c r="D360" s="11"/>
      <c r="E360" s="12"/>
      <c r="F360" s="41"/>
      <c r="G360" s="30"/>
      <c r="H360" s="30"/>
      <c r="I360" s="11"/>
      <c r="J360" s="11"/>
    </row>
    <row r="361" spans="2:10" s="9" customFormat="1" x14ac:dyDescent="0.2">
      <c r="B361" s="10"/>
      <c r="C361" s="11"/>
      <c r="D361" s="11"/>
      <c r="E361" s="12"/>
      <c r="F361" s="41"/>
      <c r="G361" s="30"/>
      <c r="H361" s="30"/>
      <c r="I361" s="11"/>
      <c r="J361" s="11"/>
    </row>
    <row r="362" spans="2:10" s="9" customFormat="1" x14ac:dyDescent="0.2">
      <c r="B362" s="10"/>
      <c r="C362" s="11"/>
      <c r="D362" s="11"/>
      <c r="E362" s="12"/>
      <c r="F362" s="41"/>
      <c r="G362" s="30"/>
      <c r="H362" s="30"/>
      <c r="I362" s="11"/>
      <c r="J362" s="11"/>
    </row>
    <row r="363" spans="2:10" s="9" customFormat="1" x14ac:dyDescent="0.2">
      <c r="B363" s="10"/>
      <c r="C363" s="11"/>
      <c r="D363" s="11"/>
      <c r="E363" s="12"/>
      <c r="F363" s="41"/>
      <c r="G363" s="30"/>
      <c r="H363" s="30"/>
      <c r="I363" s="11"/>
      <c r="J363" s="11"/>
    </row>
    <row r="364" spans="2:10" s="9" customFormat="1" x14ac:dyDescent="0.2">
      <c r="B364" s="10"/>
      <c r="C364" s="11"/>
      <c r="D364" s="11"/>
      <c r="E364" s="12"/>
      <c r="F364" s="41"/>
      <c r="G364" s="30"/>
      <c r="H364" s="30"/>
      <c r="I364" s="11"/>
      <c r="J364" s="11"/>
    </row>
    <row r="365" spans="2:10" s="9" customFormat="1" x14ac:dyDescent="0.2">
      <c r="B365" s="10"/>
      <c r="C365" s="11"/>
      <c r="D365" s="11"/>
      <c r="E365" s="12"/>
      <c r="F365" s="41"/>
      <c r="G365" s="30"/>
      <c r="H365" s="30"/>
      <c r="I365" s="11"/>
      <c r="J365" s="11"/>
    </row>
    <row r="366" spans="2:10" s="9" customFormat="1" x14ac:dyDescent="0.2">
      <c r="B366" s="10"/>
      <c r="C366" s="11"/>
      <c r="D366" s="11"/>
      <c r="E366" s="12"/>
      <c r="F366" s="41"/>
      <c r="G366" s="30"/>
      <c r="H366" s="30"/>
      <c r="I366" s="11"/>
      <c r="J366" s="11"/>
    </row>
    <row r="367" spans="2:10" s="9" customFormat="1" x14ac:dyDescent="0.2">
      <c r="B367" s="10"/>
      <c r="C367" s="11"/>
      <c r="D367" s="11"/>
      <c r="E367" s="12"/>
      <c r="F367" s="41"/>
      <c r="G367" s="30"/>
      <c r="H367" s="30"/>
      <c r="I367" s="11"/>
      <c r="J367" s="11"/>
    </row>
    <row r="368" spans="2:10" s="9" customFormat="1" x14ac:dyDescent="0.2">
      <c r="B368" s="10"/>
      <c r="C368" s="11"/>
      <c r="D368" s="11"/>
      <c r="E368" s="12"/>
      <c r="F368" s="41"/>
      <c r="G368" s="30"/>
      <c r="H368" s="30"/>
      <c r="I368" s="11"/>
      <c r="J368" s="11"/>
    </row>
    <row r="369" spans="2:10" s="9" customFormat="1" x14ac:dyDescent="0.2">
      <c r="B369" s="10"/>
      <c r="C369" s="11"/>
      <c r="D369" s="11"/>
      <c r="E369" s="12"/>
      <c r="F369" s="41"/>
      <c r="G369" s="30"/>
      <c r="H369" s="30"/>
      <c r="I369" s="11"/>
      <c r="J369" s="11"/>
    </row>
    <row r="370" spans="2:10" s="9" customFormat="1" x14ac:dyDescent="0.2">
      <c r="B370" s="10"/>
      <c r="C370" s="11"/>
      <c r="D370" s="11"/>
      <c r="E370" s="12"/>
      <c r="F370" s="41"/>
      <c r="G370" s="30"/>
      <c r="H370" s="30"/>
      <c r="I370" s="11"/>
      <c r="J370" s="11"/>
    </row>
    <row r="371" spans="2:10" s="9" customFormat="1" x14ac:dyDescent="0.2">
      <c r="B371" s="10"/>
      <c r="C371" s="11"/>
      <c r="D371" s="11"/>
      <c r="E371" s="12"/>
      <c r="F371" s="41"/>
      <c r="G371" s="30"/>
      <c r="H371" s="30"/>
      <c r="I371" s="11"/>
      <c r="J371" s="11"/>
    </row>
    <row r="372" spans="2:10" s="9" customFormat="1" x14ac:dyDescent="0.2">
      <c r="B372" s="10"/>
      <c r="C372" s="11"/>
      <c r="D372" s="11"/>
      <c r="E372" s="12"/>
      <c r="F372" s="41"/>
      <c r="G372" s="30"/>
      <c r="H372" s="30"/>
      <c r="I372" s="11"/>
      <c r="J372" s="11"/>
    </row>
    <row r="373" spans="2:10" s="9" customFormat="1" x14ac:dyDescent="0.2">
      <c r="B373" s="10"/>
      <c r="C373" s="11"/>
      <c r="D373" s="11"/>
      <c r="E373" s="12"/>
      <c r="F373" s="41"/>
      <c r="G373" s="30"/>
      <c r="H373" s="30"/>
      <c r="I373" s="11"/>
      <c r="J373" s="11"/>
    </row>
    <row r="374" spans="2:10" s="9" customFormat="1" x14ac:dyDescent="0.2">
      <c r="B374" s="10"/>
      <c r="C374" s="11"/>
      <c r="D374" s="11"/>
      <c r="E374" s="12"/>
      <c r="F374" s="41"/>
      <c r="G374" s="30"/>
      <c r="H374" s="30"/>
      <c r="I374" s="11"/>
      <c r="J374" s="11"/>
    </row>
    <row r="375" spans="2:10" s="9" customFormat="1" x14ac:dyDescent="0.2">
      <c r="B375" s="10"/>
      <c r="C375" s="11"/>
      <c r="D375" s="11"/>
      <c r="E375" s="12"/>
      <c r="F375" s="41"/>
      <c r="G375" s="30"/>
      <c r="H375" s="30"/>
      <c r="I375" s="11"/>
      <c r="J375" s="11"/>
    </row>
    <row r="376" spans="2:10" s="9" customFormat="1" x14ac:dyDescent="0.2">
      <c r="B376" s="10"/>
      <c r="C376" s="11"/>
      <c r="D376" s="11"/>
      <c r="E376" s="12"/>
      <c r="F376" s="41"/>
      <c r="G376" s="30"/>
      <c r="H376" s="30"/>
      <c r="I376" s="11"/>
      <c r="J376" s="11"/>
    </row>
    <row r="377" spans="2:10" s="9" customFormat="1" x14ac:dyDescent="0.2">
      <c r="B377" s="10"/>
      <c r="C377" s="11"/>
      <c r="D377" s="11"/>
      <c r="E377" s="12"/>
      <c r="F377" s="41"/>
      <c r="G377" s="30"/>
      <c r="H377" s="30"/>
      <c r="I377" s="11"/>
      <c r="J377" s="11"/>
    </row>
    <row r="378" spans="2:10" s="9" customFormat="1" x14ac:dyDescent="0.2">
      <c r="B378" s="10"/>
      <c r="C378" s="11"/>
      <c r="D378" s="11"/>
      <c r="E378" s="12"/>
      <c r="F378" s="41"/>
      <c r="G378" s="30"/>
      <c r="H378" s="30"/>
      <c r="I378" s="11"/>
      <c r="J378" s="11"/>
    </row>
    <row r="379" spans="2:10" s="9" customFormat="1" x14ac:dyDescent="0.2">
      <c r="B379" s="10"/>
      <c r="C379" s="11"/>
      <c r="D379" s="11"/>
      <c r="E379" s="12"/>
      <c r="F379" s="41"/>
      <c r="G379" s="30"/>
      <c r="H379" s="30"/>
      <c r="I379" s="11"/>
      <c r="J379" s="11"/>
    </row>
    <row r="380" spans="2:10" s="9" customFormat="1" x14ac:dyDescent="0.2">
      <c r="B380" s="10"/>
      <c r="C380" s="11"/>
      <c r="D380" s="11"/>
      <c r="E380" s="12"/>
      <c r="F380" s="41"/>
      <c r="G380" s="30"/>
      <c r="H380" s="30"/>
      <c r="I380" s="11"/>
      <c r="J380" s="11"/>
    </row>
    <row r="381" spans="2:10" s="9" customFormat="1" x14ac:dyDescent="0.2">
      <c r="B381" s="10"/>
      <c r="C381" s="11"/>
      <c r="D381" s="11"/>
      <c r="E381" s="12"/>
      <c r="F381" s="41"/>
      <c r="G381" s="30"/>
      <c r="H381" s="30"/>
      <c r="I381" s="11"/>
      <c r="J381" s="11"/>
    </row>
    <row r="382" spans="2:10" s="9" customFormat="1" x14ac:dyDescent="0.2">
      <c r="B382" s="10"/>
      <c r="C382" s="11"/>
      <c r="D382" s="11"/>
      <c r="E382" s="12"/>
      <c r="F382" s="41"/>
      <c r="G382" s="30"/>
      <c r="H382" s="30"/>
      <c r="I382" s="11"/>
      <c r="J382" s="11"/>
    </row>
    <row r="383" spans="2:10" s="9" customFormat="1" x14ac:dyDescent="0.2">
      <c r="B383" s="10"/>
      <c r="C383" s="11"/>
      <c r="D383" s="11"/>
      <c r="E383" s="12"/>
      <c r="F383" s="41"/>
      <c r="G383" s="30"/>
      <c r="H383" s="30"/>
      <c r="I383" s="11"/>
      <c r="J383" s="11"/>
    </row>
    <row r="384" spans="2:10" s="9" customFormat="1" x14ac:dyDescent="0.2">
      <c r="B384" s="10"/>
      <c r="C384" s="11"/>
      <c r="D384" s="11"/>
      <c r="E384" s="12"/>
      <c r="F384" s="41"/>
      <c r="G384" s="30"/>
      <c r="H384" s="30"/>
      <c r="I384" s="11"/>
      <c r="J384" s="11"/>
    </row>
    <row r="385" spans="2:10" s="9" customFormat="1" x14ac:dyDescent="0.2">
      <c r="B385" s="10"/>
      <c r="C385" s="11"/>
      <c r="D385" s="11"/>
      <c r="E385" s="12"/>
      <c r="F385" s="41"/>
      <c r="G385" s="30"/>
      <c r="H385" s="30"/>
      <c r="I385" s="11"/>
      <c r="J385" s="11"/>
    </row>
    <row r="386" spans="2:10" s="9" customFormat="1" x14ac:dyDescent="0.2">
      <c r="B386" s="10"/>
      <c r="C386" s="11"/>
      <c r="D386" s="11"/>
      <c r="E386" s="12"/>
      <c r="F386" s="41"/>
      <c r="G386" s="30"/>
      <c r="H386" s="30"/>
      <c r="I386" s="11"/>
      <c r="J386" s="11"/>
    </row>
    <row r="387" spans="2:10" s="9" customFormat="1" x14ac:dyDescent="0.2">
      <c r="B387" s="10"/>
      <c r="C387" s="11"/>
      <c r="D387" s="11"/>
      <c r="E387" s="12"/>
      <c r="F387" s="41"/>
      <c r="G387" s="30"/>
      <c r="H387" s="30"/>
      <c r="I387" s="11"/>
      <c r="J387" s="11"/>
    </row>
    <row r="388" spans="2:10" s="9" customFormat="1" x14ac:dyDescent="0.2">
      <c r="B388" s="10"/>
      <c r="C388" s="11"/>
      <c r="D388" s="11"/>
      <c r="E388" s="12"/>
      <c r="F388" s="41"/>
      <c r="G388" s="30"/>
      <c r="H388" s="30"/>
      <c r="I388" s="11"/>
      <c r="J388" s="11"/>
    </row>
    <row r="389" spans="2:10" s="9" customFormat="1" x14ac:dyDescent="0.2">
      <c r="B389" s="10"/>
      <c r="C389" s="11"/>
      <c r="D389" s="11"/>
      <c r="E389" s="12"/>
      <c r="F389" s="41"/>
      <c r="G389" s="30"/>
      <c r="H389" s="30"/>
      <c r="I389" s="11"/>
      <c r="J389" s="11"/>
    </row>
    <row r="390" spans="2:10" s="9" customFormat="1" x14ac:dyDescent="0.2">
      <c r="B390" s="10"/>
      <c r="C390" s="11"/>
      <c r="D390" s="11"/>
      <c r="E390" s="12"/>
      <c r="F390" s="41"/>
      <c r="G390" s="30"/>
      <c r="H390" s="30"/>
      <c r="I390" s="11"/>
      <c r="J390" s="11"/>
    </row>
    <row r="391" spans="2:10" s="9" customFormat="1" x14ac:dyDescent="0.2">
      <c r="B391" s="10"/>
      <c r="C391" s="11"/>
      <c r="D391" s="11"/>
      <c r="E391" s="12"/>
      <c r="F391" s="41"/>
      <c r="G391" s="30"/>
      <c r="H391" s="30"/>
      <c r="I391" s="11"/>
      <c r="J391" s="11"/>
    </row>
    <row r="392" spans="2:10" s="9" customFormat="1" x14ac:dyDescent="0.2">
      <c r="B392" s="10"/>
      <c r="C392" s="11"/>
      <c r="D392" s="11"/>
      <c r="E392" s="12"/>
      <c r="F392" s="41"/>
      <c r="G392" s="30"/>
      <c r="H392" s="30"/>
      <c r="I392" s="11"/>
      <c r="J392" s="11"/>
    </row>
    <row r="393" spans="2:10" s="9" customFormat="1" x14ac:dyDescent="0.2">
      <c r="B393" s="10"/>
      <c r="C393" s="11"/>
      <c r="D393" s="11"/>
      <c r="E393" s="12"/>
      <c r="F393" s="41"/>
      <c r="G393" s="30"/>
      <c r="H393" s="30"/>
      <c r="I393" s="11"/>
      <c r="J393" s="11"/>
    </row>
    <row r="394" spans="2:10" s="9" customFormat="1" x14ac:dyDescent="0.2">
      <c r="B394" s="10"/>
      <c r="C394" s="11"/>
      <c r="D394" s="11"/>
      <c r="E394" s="12"/>
      <c r="F394" s="41"/>
      <c r="G394" s="30"/>
      <c r="H394" s="30"/>
      <c r="I394" s="11"/>
      <c r="J394" s="11"/>
    </row>
    <row r="395" spans="2:10" s="9" customFormat="1" x14ac:dyDescent="0.2">
      <c r="B395" s="10"/>
      <c r="C395" s="11"/>
      <c r="D395" s="11"/>
      <c r="E395" s="12"/>
      <c r="F395" s="41"/>
      <c r="G395" s="30"/>
      <c r="H395" s="30"/>
      <c r="I395" s="11"/>
      <c r="J395" s="11"/>
    </row>
    <row r="396" spans="2:10" s="9" customFormat="1" x14ac:dyDescent="0.2">
      <c r="B396" s="10"/>
      <c r="C396" s="11"/>
      <c r="D396" s="11"/>
      <c r="E396" s="12"/>
      <c r="F396" s="41"/>
      <c r="G396" s="30"/>
      <c r="H396" s="30"/>
      <c r="I396" s="11"/>
      <c r="J396" s="11"/>
    </row>
    <row r="397" spans="2:10" s="9" customFormat="1" x14ac:dyDescent="0.2">
      <c r="B397" s="10"/>
      <c r="C397" s="11"/>
      <c r="D397" s="11"/>
      <c r="E397" s="12"/>
      <c r="F397" s="41"/>
      <c r="G397" s="30"/>
      <c r="H397" s="30"/>
      <c r="I397" s="11"/>
      <c r="J397" s="11"/>
    </row>
    <row r="398" spans="2:10" s="9" customFormat="1" x14ac:dyDescent="0.2">
      <c r="B398" s="10"/>
      <c r="C398" s="11"/>
      <c r="D398" s="11"/>
      <c r="E398" s="12"/>
      <c r="F398" s="41"/>
      <c r="G398" s="30"/>
      <c r="H398" s="30"/>
      <c r="I398" s="11"/>
      <c r="J398" s="11"/>
    </row>
    <row r="399" spans="2:10" s="9" customFormat="1" x14ac:dyDescent="0.2">
      <c r="B399" s="10"/>
      <c r="C399" s="11"/>
      <c r="D399" s="11"/>
      <c r="E399" s="12"/>
      <c r="F399" s="41"/>
      <c r="G399" s="30"/>
      <c r="H399" s="30"/>
      <c r="I399" s="11"/>
      <c r="J399" s="11"/>
    </row>
    <row r="400" spans="2:10" s="9" customFormat="1" x14ac:dyDescent="0.2">
      <c r="B400" s="10"/>
      <c r="C400" s="11"/>
      <c r="D400" s="11"/>
      <c r="E400" s="12"/>
      <c r="F400" s="41"/>
      <c r="G400" s="30"/>
      <c r="H400" s="30"/>
      <c r="I400" s="11"/>
      <c r="J400" s="11"/>
    </row>
    <row r="401" spans="2:10" s="9" customFormat="1" x14ac:dyDescent="0.2">
      <c r="B401" s="10"/>
      <c r="C401" s="11"/>
      <c r="D401" s="11"/>
      <c r="E401" s="12"/>
      <c r="F401" s="41"/>
      <c r="G401" s="30"/>
      <c r="H401" s="30"/>
      <c r="I401" s="11"/>
      <c r="J401" s="11"/>
    </row>
    <row r="402" spans="2:10" s="9" customFormat="1" x14ac:dyDescent="0.2">
      <c r="B402" s="10"/>
      <c r="C402" s="11"/>
      <c r="D402" s="11"/>
      <c r="E402" s="12"/>
      <c r="F402" s="41"/>
      <c r="G402" s="30"/>
      <c r="H402" s="30"/>
      <c r="I402" s="11"/>
      <c r="J402" s="11"/>
    </row>
    <row r="403" spans="2:10" s="9" customFormat="1" x14ac:dyDescent="0.2">
      <c r="B403" s="10"/>
      <c r="C403" s="11"/>
      <c r="D403" s="11"/>
      <c r="E403" s="12"/>
      <c r="F403" s="41"/>
      <c r="G403" s="30"/>
      <c r="H403" s="30"/>
      <c r="I403" s="11"/>
      <c r="J403" s="11"/>
    </row>
    <row r="404" spans="2:10" s="9" customFormat="1" x14ac:dyDescent="0.2">
      <c r="B404" s="10"/>
      <c r="C404" s="11"/>
      <c r="D404" s="11"/>
      <c r="E404" s="12"/>
      <c r="F404" s="41"/>
      <c r="G404" s="30"/>
      <c r="H404" s="30"/>
      <c r="I404" s="11"/>
      <c r="J404" s="11"/>
    </row>
    <row r="405" spans="2:10" s="9" customFormat="1" x14ac:dyDescent="0.2">
      <c r="B405" s="10"/>
      <c r="C405" s="11"/>
      <c r="D405" s="11"/>
      <c r="E405" s="12"/>
      <c r="F405" s="41"/>
      <c r="G405" s="30"/>
      <c r="H405" s="30"/>
      <c r="I405" s="11"/>
      <c r="J405" s="11"/>
    </row>
    <row r="406" spans="2:10" s="9" customFormat="1" x14ac:dyDescent="0.2">
      <c r="B406" s="10"/>
      <c r="C406" s="11"/>
      <c r="D406" s="11"/>
      <c r="E406" s="12"/>
      <c r="F406" s="41"/>
      <c r="G406" s="30"/>
      <c r="H406" s="30"/>
      <c r="I406" s="11"/>
      <c r="J406" s="11"/>
    </row>
    <row r="407" spans="2:10" s="9" customFormat="1" x14ac:dyDescent="0.2">
      <c r="B407" s="10"/>
      <c r="C407" s="11"/>
      <c r="D407" s="11"/>
      <c r="E407" s="12"/>
      <c r="F407" s="41"/>
      <c r="G407" s="30"/>
      <c r="H407" s="30"/>
      <c r="I407" s="11"/>
      <c r="J407" s="11"/>
    </row>
    <row r="408" spans="2:10" s="9" customFormat="1" x14ac:dyDescent="0.2">
      <c r="B408" s="10"/>
      <c r="C408" s="11"/>
      <c r="D408" s="11"/>
      <c r="E408" s="12"/>
      <c r="F408" s="41"/>
      <c r="G408" s="30"/>
      <c r="H408" s="30"/>
      <c r="I408" s="11"/>
      <c r="J408" s="11"/>
    </row>
    <row r="409" spans="2:10" s="9" customFormat="1" x14ac:dyDescent="0.2">
      <c r="B409" s="10"/>
      <c r="C409" s="11"/>
      <c r="D409" s="11"/>
      <c r="E409" s="12"/>
      <c r="F409" s="41"/>
      <c r="G409" s="30"/>
      <c r="H409" s="30"/>
      <c r="I409" s="11"/>
      <c r="J409" s="11"/>
    </row>
    <row r="410" spans="2:10" s="9" customFormat="1" x14ac:dyDescent="0.2">
      <c r="B410" s="10"/>
      <c r="C410" s="11"/>
      <c r="D410" s="11"/>
      <c r="E410" s="12"/>
      <c r="F410" s="41"/>
      <c r="G410" s="30"/>
      <c r="H410" s="30"/>
      <c r="I410" s="11"/>
      <c r="J410" s="11"/>
    </row>
    <row r="411" spans="2:10" s="9" customFormat="1" x14ac:dyDescent="0.2">
      <c r="B411" s="10"/>
      <c r="C411" s="11"/>
      <c r="D411" s="11"/>
      <c r="E411" s="12"/>
      <c r="F411" s="41"/>
      <c r="G411" s="30"/>
      <c r="H411" s="30"/>
      <c r="I411" s="11"/>
      <c r="J411" s="11"/>
    </row>
    <row r="412" spans="2:10" s="9" customFormat="1" x14ac:dyDescent="0.2">
      <c r="B412" s="10"/>
      <c r="C412" s="11"/>
      <c r="D412" s="11"/>
      <c r="E412" s="12"/>
      <c r="F412" s="41"/>
      <c r="G412" s="30"/>
      <c r="H412" s="30"/>
      <c r="I412" s="11"/>
      <c r="J412" s="11"/>
    </row>
    <row r="413" spans="2:10" s="9" customFormat="1" x14ac:dyDescent="0.2">
      <c r="B413" s="10"/>
      <c r="C413" s="11"/>
      <c r="D413" s="11"/>
      <c r="E413" s="12"/>
      <c r="F413" s="41"/>
      <c r="G413" s="30"/>
      <c r="H413" s="30"/>
      <c r="I413" s="11"/>
      <c r="J413" s="11"/>
    </row>
    <row r="414" spans="2:10" s="9" customFormat="1" x14ac:dyDescent="0.2">
      <c r="B414" s="10"/>
      <c r="C414" s="11"/>
      <c r="D414" s="11"/>
      <c r="E414" s="12"/>
      <c r="F414" s="41"/>
      <c r="G414" s="30"/>
      <c r="H414" s="30"/>
      <c r="I414" s="11"/>
      <c r="J414" s="11"/>
    </row>
    <row r="415" spans="2:10" s="9" customFormat="1" x14ac:dyDescent="0.2">
      <c r="B415" s="10"/>
      <c r="C415" s="11"/>
      <c r="D415" s="11"/>
      <c r="E415" s="12"/>
      <c r="F415" s="41"/>
      <c r="G415" s="30"/>
      <c r="H415" s="30"/>
      <c r="I415" s="11"/>
      <c r="J415" s="11"/>
    </row>
    <row r="416" spans="2:10" s="9" customFormat="1" x14ac:dyDescent="0.2">
      <c r="B416" s="10"/>
      <c r="C416" s="11"/>
      <c r="D416" s="11"/>
      <c r="E416" s="12"/>
      <c r="F416" s="41"/>
      <c r="G416" s="30"/>
      <c r="H416" s="30"/>
      <c r="I416" s="11"/>
      <c r="J416" s="11"/>
    </row>
    <row r="417" spans="2:10" s="9" customFormat="1" x14ac:dyDescent="0.2">
      <c r="B417" s="10"/>
      <c r="C417" s="11"/>
      <c r="D417" s="11"/>
      <c r="E417" s="12"/>
      <c r="F417" s="41"/>
      <c r="G417" s="30"/>
      <c r="H417" s="30"/>
      <c r="I417" s="11"/>
      <c r="J417" s="11"/>
    </row>
    <row r="418" spans="2:10" s="9" customFormat="1" x14ac:dyDescent="0.2">
      <c r="B418" s="10"/>
      <c r="C418" s="11"/>
      <c r="D418" s="11"/>
      <c r="E418" s="12"/>
      <c r="F418" s="41"/>
      <c r="G418" s="30"/>
      <c r="H418" s="30"/>
      <c r="I418" s="11"/>
      <c r="J418" s="11"/>
    </row>
    <row r="419" spans="2:10" s="9" customFormat="1" x14ac:dyDescent="0.2">
      <c r="B419" s="10"/>
      <c r="C419" s="11"/>
      <c r="D419" s="11"/>
      <c r="E419" s="12"/>
      <c r="F419" s="41"/>
      <c r="G419" s="30"/>
      <c r="H419" s="30"/>
      <c r="I419" s="11"/>
      <c r="J419" s="11"/>
    </row>
    <row r="420" spans="2:10" s="9" customFormat="1" x14ac:dyDescent="0.2">
      <c r="B420" s="10"/>
      <c r="C420" s="11"/>
      <c r="D420" s="11"/>
      <c r="E420" s="12"/>
      <c r="F420" s="41"/>
      <c r="G420" s="30"/>
      <c r="H420" s="30"/>
      <c r="I420" s="11"/>
      <c r="J420" s="11"/>
    </row>
    <row r="421" spans="2:10" s="9" customFormat="1" x14ac:dyDescent="0.2">
      <c r="B421" s="10"/>
      <c r="C421" s="11"/>
      <c r="D421" s="11"/>
      <c r="E421" s="12"/>
      <c r="F421" s="41"/>
      <c r="G421" s="30"/>
      <c r="H421" s="30"/>
      <c r="I421" s="11"/>
      <c r="J421" s="11"/>
    </row>
    <row r="422" spans="2:10" s="9" customFormat="1" x14ac:dyDescent="0.2">
      <c r="B422" s="10"/>
      <c r="C422" s="11"/>
      <c r="D422" s="11"/>
      <c r="E422" s="12"/>
      <c r="F422" s="41"/>
      <c r="G422" s="30"/>
      <c r="H422" s="30"/>
      <c r="I422" s="11"/>
      <c r="J422" s="11"/>
    </row>
    <row r="423" spans="2:10" s="9" customFormat="1" x14ac:dyDescent="0.2">
      <c r="B423" s="10"/>
      <c r="C423" s="11"/>
      <c r="D423" s="11"/>
      <c r="E423" s="12"/>
      <c r="F423" s="41"/>
      <c r="G423" s="30"/>
      <c r="H423" s="30"/>
      <c r="I423" s="11"/>
      <c r="J423" s="11"/>
    </row>
    <row r="424" spans="2:10" s="9" customFormat="1" x14ac:dyDescent="0.2">
      <c r="B424" s="10"/>
      <c r="C424" s="11"/>
      <c r="D424" s="11"/>
      <c r="E424" s="12"/>
      <c r="F424" s="41"/>
      <c r="G424" s="30"/>
      <c r="H424" s="30"/>
      <c r="I424" s="11"/>
      <c r="J424" s="11"/>
    </row>
    <row r="425" spans="2:10" s="9" customFormat="1" x14ac:dyDescent="0.2">
      <c r="B425" s="10"/>
      <c r="C425" s="11"/>
      <c r="D425" s="11"/>
      <c r="E425" s="12"/>
      <c r="F425" s="41"/>
      <c r="G425" s="30"/>
      <c r="H425" s="30"/>
      <c r="I425" s="11"/>
      <c r="J425" s="11"/>
    </row>
    <row r="426" spans="2:10" s="9" customFormat="1" x14ac:dyDescent="0.2">
      <c r="B426" s="10"/>
      <c r="C426" s="11"/>
      <c r="D426" s="11"/>
      <c r="E426" s="12"/>
      <c r="F426" s="41"/>
      <c r="G426" s="30"/>
      <c r="H426" s="30"/>
      <c r="I426" s="11"/>
      <c r="J426" s="11"/>
    </row>
    <row r="427" spans="2:10" s="9" customFormat="1" x14ac:dyDescent="0.2">
      <c r="B427" s="10"/>
      <c r="C427" s="11"/>
      <c r="D427" s="11"/>
      <c r="E427" s="12"/>
      <c r="F427" s="41"/>
      <c r="G427" s="30"/>
      <c r="H427" s="30"/>
      <c r="I427" s="11"/>
      <c r="J427" s="11"/>
    </row>
    <row r="428" spans="2:10" s="9" customFormat="1" x14ac:dyDescent="0.2">
      <c r="B428" s="10"/>
      <c r="C428" s="11"/>
      <c r="D428" s="11"/>
      <c r="E428" s="12"/>
      <c r="F428" s="41"/>
      <c r="G428" s="30"/>
      <c r="H428" s="30"/>
      <c r="I428" s="11"/>
      <c r="J428" s="11"/>
    </row>
    <row r="429" spans="2:10" s="9" customFormat="1" x14ac:dyDescent="0.2">
      <c r="B429" s="10"/>
      <c r="C429" s="11"/>
      <c r="D429" s="11"/>
      <c r="E429" s="12"/>
      <c r="F429" s="41"/>
      <c r="G429" s="30"/>
      <c r="H429" s="30"/>
      <c r="I429" s="11"/>
      <c r="J429" s="11"/>
    </row>
    <row r="430" spans="2:10" s="9" customFormat="1" x14ac:dyDescent="0.2">
      <c r="B430" s="10"/>
      <c r="C430" s="11"/>
      <c r="D430" s="11"/>
      <c r="E430" s="12"/>
      <c r="F430" s="41"/>
      <c r="G430" s="30"/>
      <c r="H430" s="30"/>
      <c r="I430" s="11"/>
      <c r="J430" s="11"/>
    </row>
    <row r="431" spans="2:10" s="9" customFormat="1" x14ac:dyDescent="0.2">
      <c r="B431" s="10"/>
      <c r="C431" s="11"/>
      <c r="D431" s="11"/>
      <c r="E431" s="12"/>
      <c r="F431" s="41"/>
      <c r="G431" s="30"/>
      <c r="H431" s="30"/>
      <c r="I431" s="11"/>
      <c r="J431" s="11"/>
    </row>
    <row r="432" spans="2:10" s="9" customFormat="1" x14ac:dyDescent="0.2">
      <c r="B432" s="10"/>
      <c r="C432" s="11"/>
      <c r="D432" s="11"/>
      <c r="E432" s="12"/>
      <c r="F432" s="41"/>
      <c r="G432" s="30"/>
      <c r="H432" s="30"/>
      <c r="I432" s="11"/>
      <c r="J432" s="11"/>
    </row>
    <row r="433" spans="2:10" s="9" customFormat="1" x14ac:dyDescent="0.2">
      <c r="B433" s="10"/>
      <c r="C433" s="11"/>
      <c r="D433" s="11"/>
      <c r="E433" s="12"/>
      <c r="F433" s="41"/>
      <c r="G433" s="30"/>
      <c r="H433" s="30"/>
      <c r="I433" s="11"/>
      <c r="J433" s="11"/>
    </row>
    <row r="434" spans="2:10" s="9" customFormat="1" x14ac:dyDescent="0.2">
      <c r="B434" s="10"/>
      <c r="C434" s="11"/>
      <c r="D434" s="11"/>
      <c r="E434" s="12"/>
      <c r="F434" s="41"/>
      <c r="G434" s="30"/>
      <c r="H434" s="30"/>
      <c r="I434" s="11"/>
      <c r="J434" s="11"/>
    </row>
    <row r="435" spans="2:10" s="9" customFormat="1" x14ac:dyDescent="0.2">
      <c r="B435" s="10"/>
      <c r="C435" s="11"/>
      <c r="D435" s="11"/>
      <c r="E435" s="12"/>
      <c r="F435" s="41"/>
      <c r="G435" s="30"/>
      <c r="H435" s="30"/>
      <c r="I435" s="11"/>
      <c r="J435" s="11"/>
    </row>
    <row r="436" spans="2:10" s="9" customFormat="1" x14ac:dyDescent="0.2">
      <c r="B436" s="10"/>
      <c r="C436" s="11"/>
      <c r="D436" s="11"/>
      <c r="E436" s="12"/>
      <c r="F436" s="41"/>
      <c r="G436" s="30"/>
      <c r="H436" s="30"/>
      <c r="I436" s="11"/>
      <c r="J436" s="11"/>
    </row>
    <row r="437" spans="2:10" s="9" customFormat="1" x14ac:dyDescent="0.2">
      <c r="B437" s="10"/>
      <c r="C437" s="11"/>
      <c r="D437" s="11"/>
      <c r="E437" s="12"/>
      <c r="F437" s="41"/>
      <c r="G437" s="30"/>
      <c r="H437" s="30"/>
      <c r="I437" s="11"/>
      <c r="J437" s="11"/>
    </row>
    <row r="438" spans="2:10" s="9" customFormat="1" x14ac:dyDescent="0.2">
      <c r="B438" s="10"/>
      <c r="C438" s="11"/>
      <c r="D438" s="11"/>
      <c r="E438" s="12"/>
      <c r="F438" s="41"/>
      <c r="G438" s="30"/>
      <c r="H438" s="30"/>
      <c r="I438" s="11"/>
      <c r="J438" s="11"/>
    </row>
    <row r="439" spans="2:10" s="9" customFormat="1" x14ac:dyDescent="0.2">
      <c r="B439" s="10"/>
      <c r="C439" s="11"/>
      <c r="D439" s="11"/>
      <c r="E439" s="12"/>
      <c r="F439" s="41"/>
      <c r="G439" s="30"/>
      <c r="H439" s="30"/>
      <c r="I439" s="11"/>
      <c r="J439" s="11"/>
    </row>
    <row r="440" spans="2:10" s="9" customFormat="1" x14ac:dyDescent="0.2">
      <c r="B440" s="10"/>
      <c r="C440" s="11"/>
      <c r="D440" s="11"/>
      <c r="E440" s="12"/>
      <c r="F440" s="41"/>
      <c r="G440" s="30"/>
      <c r="H440" s="30"/>
      <c r="I440" s="11"/>
      <c r="J440" s="11"/>
    </row>
    <row r="441" spans="2:10" s="9" customFormat="1" x14ac:dyDescent="0.2">
      <c r="B441" s="10"/>
      <c r="C441" s="11"/>
      <c r="D441" s="11"/>
      <c r="E441" s="12"/>
      <c r="F441" s="41"/>
      <c r="G441" s="30"/>
      <c r="H441" s="30"/>
      <c r="I441" s="11"/>
      <c r="J441" s="11"/>
    </row>
    <row r="442" spans="2:10" s="9" customFormat="1" x14ac:dyDescent="0.2">
      <c r="B442" s="10"/>
      <c r="C442" s="11"/>
      <c r="D442" s="11"/>
      <c r="E442" s="12"/>
      <c r="F442" s="41"/>
      <c r="G442" s="30"/>
      <c r="H442" s="30"/>
      <c r="I442" s="11"/>
      <c r="J442" s="11"/>
    </row>
    <row r="443" spans="2:10" s="9" customFormat="1" x14ac:dyDescent="0.2">
      <c r="B443" s="10"/>
      <c r="C443" s="11"/>
      <c r="D443" s="11"/>
      <c r="E443" s="12"/>
      <c r="F443" s="41"/>
      <c r="G443" s="30"/>
      <c r="H443" s="30"/>
      <c r="I443" s="11"/>
      <c r="J443" s="11"/>
    </row>
    <row r="444" spans="2:10" s="9" customFormat="1" x14ac:dyDescent="0.2">
      <c r="B444" s="10"/>
      <c r="C444" s="11"/>
      <c r="D444" s="11"/>
      <c r="E444" s="12"/>
      <c r="F444" s="41"/>
      <c r="G444" s="30"/>
      <c r="H444" s="30"/>
      <c r="I444" s="11"/>
      <c r="J444" s="11"/>
    </row>
    <row r="445" spans="2:10" s="9" customFormat="1" x14ac:dyDescent="0.2">
      <c r="B445" s="10"/>
      <c r="C445" s="11"/>
      <c r="D445" s="11"/>
      <c r="E445" s="12"/>
      <c r="F445" s="41"/>
      <c r="G445" s="30"/>
      <c r="H445" s="30"/>
      <c r="I445" s="11"/>
      <c r="J445" s="11"/>
    </row>
    <row r="446" spans="2:10" s="9" customFormat="1" x14ac:dyDescent="0.2">
      <c r="B446" s="10"/>
      <c r="C446" s="11"/>
      <c r="D446" s="11"/>
      <c r="E446" s="12"/>
      <c r="F446" s="41"/>
      <c r="G446" s="30"/>
      <c r="H446" s="30"/>
      <c r="I446" s="11"/>
      <c r="J446" s="11"/>
    </row>
    <row r="447" spans="2:10" s="9" customFormat="1" x14ac:dyDescent="0.2">
      <c r="B447" s="10"/>
      <c r="C447" s="11"/>
      <c r="D447" s="11"/>
      <c r="E447" s="12"/>
      <c r="F447" s="41"/>
      <c r="G447" s="30"/>
      <c r="H447" s="30"/>
      <c r="I447" s="11"/>
      <c r="J447" s="11"/>
    </row>
    <row r="448" spans="2:10" s="9" customFormat="1" x14ac:dyDescent="0.2">
      <c r="B448" s="10"/>
      <c r="C448" s="11"/>
      <c r="D448" s="11"/>
      <c r="E448" s="12"/>
      <c r="F448" s="41"/>
      <c r="G448" s="30"/>
      <c r="H448" s="30"/>
      <c r="I448" s="11"/>
      <c r="J448" s="11"/>
    </row>
    <row r="449" spans="2:10" s="9" customFormat="1" x14ac:dyDescent="0.2">
      <c r="B449" s="10"/>
      <c r="C449" s="11"/>
      <c r="D449" s="11"/>
      <c r="E449" s="12"/>
      <c r="F449" s="41"/>
      <c r="G449" s="30"/>
      <c r="H449" s="30"/>
      <c r="I449" s="11"/>
      <c r="J449" s="11"/>
    </row>
    <row r="450" spans="2:10" s="9" customFormat="1" x14ac:dyDescent="0.2">
      <c r="B450" s="10"/>
      <c r="C450" s="11"/>
      <c r="D450" s="11"/>
      <c r="E450" s="12"/>
      <c r="F450" s="41"/>
      <c r="G450" s="30"/>
      <c r="H450" s="30"/>
      <c r="I450" s="11"/>
      <c r="J450" s="11"/>
    </row>
    <row r="451" spans="2:10" s="9" customFormat="1" x14ac:dyDescent="0.2">
      <c r="B451" s="10"/>
      <c r="C451" s="11"/>
      <c r="D451" s="11"/>
      <c r="E451" s="12"/>
      <c r="F451" s="41"/>
      <c r="G451" s="30"/>
      <c r="H451" s="30"/>
      <c r="I451" s="11"/>
      <c r="J451" s="11"/>
    </row>
    <row r="452" spans="2:10" s="9" customFormat="1" x14ac:dyDescent="0.2">
      <c r="B452" s="10"/>
      <c r="C452" s="11"/>
      <c r="D452" s="11"/>
      <c r="E452" s="12"/>
      <c r="F452" s="41"/>
      <c r="G452" s="30"/>
      <c r="H452" s="30"/>
      <c r="I452" s="11"/>
      <c r="J452" s="11"/>
    </row>
    <row r="453" spans="2:10" s="9" customFormat="1" x14ac:dyDescent="0.2">
      <c r="B453" s="10"/>
      <c r="C453" s="11"/>
      <c r="D453" s="11"/>
      <c r="E453" s="12"/>
      <c r="F453" s="41"/>
      <c r="G453" s="30"/>
      <c r="H453" s="30"/>
      <c r="I453" s="11"/>
      <c r="J453" s="11"/>
    </row>
    <row r="454" spans="2:10" s="9" customFormat="1" x14ac:dyDescent="0.2">
      <c r="B454" s="10"/>
      <c r="C454" s="11"/>
      <c r="D454" s="11"/>
      <c r="E454" s="12"/>
      <c r="F454" s="41"/>
      <c r="G454" s="30"/>
      <c r="H454" s="30"/>
      <c r="I454" s="11"/>
      <c r="J454" s="11"/>
    </row>
    <row r="455" spans="2:10" s="9" customFormat="1" x14ac:dyDescent="0.2">
      <c r="B455" s="10"/>
      <c r="C455" s="11"/>
      <c r="D455" s="11"/>
      <c r="E455" s="12"/>
      <c r="F455" s="41"/>
      <c r="G455" s="30"/>
      <c r="H455" s="30"/>
      <c r="I455" s="11"/>
      <c r="J455" s="11"/>
    </row>
    <row r="456" spans="2:10" s="9" customFormat="1" x14ac:dyDescent="0.2">
      <c r="B456" s="10"/>
      <c r="C456" s="11"/>
      <c r="D456" s="11"/>
      <c r="E456" s="12"/>
      <c r="F456" s="41"/>
      <c r="G456" s="30"/>
      <c r="H456" s="30"/>
      <c r="I456" s="11"/>
      <c r="J456" s="11"/>
    </row>
    <row r="457" spans="2:10" s="9" customFormat="1" x14ac:dyDescent="0.2">
      <c r="B457" s="10"/>
      <c r="C457" s="11"/>
      <c r="D457" s="11"/>
      <c r="E457" s="12"/>
      <c r="F457" s="41"/>
      <c r="G457" s="30"/>
      <c r="H457" s="30"/>
      <c r="I457" s="11"/>
      <c r="J457" s="11"/>
    </row>
    <row r="458" spans="2:10" s="9" customFormat="1" x14ac:dyDescent="0.2">
      <c r="B458" s="10"/>
      <c r="C458" s="11"/>
      <c r="D458" s="11"/>
      <c r="E458" s="12"/>
      <c r="F458" s="41"/>
      <c r="G458" s="30"/>
      <c r="H458" s="30"/>
      <c r="I458" s="11"/>
      <c r="J458" s="11"/>
    </row>
    <row r="459" spans="2:10" s="9" customFormat="1" x14ac:dyDescent="0.2">
      <c r="B459" s="10"/>
      <c r="C459" s="11"/>
      <c r="D459" s="11"/>
      <c r="E459" s="12"/>
      <c r="F459" s="41"/>
      <c r="G459" s="30"/>
      <c r="H459" s="30"/>
      <c r="I459" s="11"/>
      <c r="J459" s="11"/>
    </row>
    <row r="460" spans="2:10" s="9" customFormat="1" x14ac:dyDescent="0.2">
      <c r="B460" s="10"/>
      <c r="C460" s="11"/>
      <c r="D460" s="11"/>
      <c r="E460" s="12"/>
      <c r="F460" s="41"/>
      <c r="G460" s="30"/>
      <c r="H460" s="30"/>
      <c r="I460" s="11"/>
      <c r="J460" s="11"/>
    </row>
    <row r="461" spans="2:10" s="9" customFormat="1" x14ac:dyDescent="0.2">
      <c r="B461" s="10"/>
      <c r="C461" s="11"/>
      <c r="D461" s="11"/>
      <c r="E461" s="12"/>
      <c r="F461" s="41"/>
      <c r="G461" s="30"/>
      <c r="H461" s="30"/>
      <c r="I461" s="11"/>
      <c r="J461" s="11"/>
    </row>
    <row r="462" spans="2:10" s="9" customFormat="1" x14ac:dyDescent="0.2">
      <c r="B462" s="10"/>
      <c r="C462" s="11"/>
      <c r="D462" s="11"/>
      <c r="E462" s="12"/>
      <c r="F462" s="41"/>
      <c r="G462" s="30"/>
      <c r="H462" s="30"/>
      <c r="I462" s="11"/>
      <c r="J462" s="11"/>
    </row>
    <row r="463" spans="2:10" s="9" customFormat="1" x14ac:dyDescent="0.2">
      <c r="B463" s="10"/>
      <c r="C463" s="11"/>
      <c r="D463" s="11"/>
      <c r="E463" s="12"/>
      <c r="F463" s="41"/>
      <c r="G463" s="30"/>
      <c r="H463" s="30"/>
      <c r="I463" s="11"/>
      <c r="J463" s="11"/>
    </row>
    <row r="464" spans="2:10" s="9" customFormat="1" x14ac:dyDescent="0.2">
      <c r="B464" s="10"/>
      <c r="C464" s="11"/>
      <c r="D464" s="11"/>
      <c r="E464" s="12"/>
      <c r="F464" s="41"/>
      <c r="G464" s="30"/>
      <c r="H464" s="30"/>
      <c r="I464" s="11"/>
      <c r="J464" s="11"/>
    </row>
    <row r="465" spans="2:10" s="9" customFormat="1" x14ac:dyDescent="0.2">
      <c r="B465" s="10"/>
      <c r="C465" s="11"/>
      <c r="D465" s="11"/>
      <c r="E465" s="12"/>
      <c r="F465" s="41"/>
      <c r="G465" s="30"/>
      <c r="H465" s="30"/>
      <c r="I465" s="11"/>
      <c r="J465" s="11"/>
    </row>
    <row r="466" spans="2:10" s="9" customFormat="1" x14ac:dyDescent="0.2">
      <c r="B466" s="10"/>
      <c r="C466" s="11"/>
      <c r="D466" s="11"/>
      <c r="E466" s="12"/>
      <c r="F466" s="41"/>
      <c r="G466" s="30"/>
      <c r="H466" s="30"/>
      <c r="I466" s="11"/>
      <c r="J466" s="11"/>
    </row>
    <row r="467" spans="2:10" s="9" customFormat="1" x14ac:dyDescent="0.2">
      <c r="B467" s="10"/>
      <c r="C467" s="11"/>
      <c r="D467" s="11"/>
      <c r="E467" s="12"/>
      <c r="F467" s="41"/>
      <c r="G467" s="30"/>
      <c r="H467" s="30"/>
      <c r="I467" s="11"/>
      <c r="J467" s="11"/>
    </row>
    <row r="468" spans="2:10" s="9" customFormat="1" x14ac:dyDescent="0.2">
      <c r="B468" s="10"/>
      <c r="C468" s="11"/>
      <c r="D468" s="11"/>
      <c r="E468" s="12"/>
      <c r="F468" s="41"/>
      <c r="G468" s="30"/>
      <c r="H468" s="30"/>
      <c r="I468" s="11"/>
      <c r="J468" s="11"/>
    </row>
    <row r="469" spans="2:10" s="9" customFormat="1" x14ac:dyDescent="0.2">
      <c r="B469" s="10"/>
      <c r="C469" s="11"/>
      <c r="D469" s="11"/>
      <c r="E469" s="12"/>
      <c r="F469" s="41"/>
      <c r="G469" s="30"/>
      <c r="H469" s="30"/>
      <c r="I469" s="11"/>
      <c r="J469" s="11"/>
    </row>
    <row r="470" spans="2:10" s="9" customFormat="1" x14ac:dyDescent="0.2">
      <c r="B470" s="10"/>
      <c r="C470" s="11"/>
      <c r="D470" s="11"/>
      <c r="E470" s="12"/>
      <c r="F470" s="41"/>
      <c r="G470" s="30"/>
      <c r="H470" s="30"/>
      <c r="I470" s="11"/>
      <c r="J470" s="11"/>
    </row>
    <row r="471" spans="2:10" s="9" customFormat="1" x14ac:dyDescent="0.2">
      <c r="B471" s="10"/>
      <c r="C471" s="11"/>
      <c r="D471" s="11"/>
      <c r="E471" s="12"/>
      <c r="F471" s="41"/>
      <c r="G471" s="30"/>
      <c r="H471" s="30"/>
      <c r="I471" s="11"/>
      <c r="J471" s="11"/>
    </row>
    <row r="472" spans="2:10" s="9" customFormat="1" x14ac:dyDescent="0.2">
      <c r="B472" s="10"/>
      <c r="C472" s="11"/>
      <c r="D472" s="11"/>
      <c r="E472" s="12"/>
      <c r="F472" s="41"/>
      <c r="G472" s="30"/>
      <c r="H472" s="30"/>
      <c r="I472" s="11"/>
      <c r="J472" s="11"/>
    </row>
    <row r="473" spans="2:10" s="9" customFormat="1" x14ac:dyDescent="0.2">
      <c r="B473" s="10"/>
      <c r="C473" s="11"/>
      <c r="D473" s="11"/>
      <c r="E473" s="12"/>
      <c r="F473" s="41"/>
      <c r="G473" s="30"/>
      <c r="H473" s="30"/>
      <c r="I473" s="11"/>
      <c r="J473" s="11"/>
    </row>
    <row r="474" spans="2:10" s="9" customFormat="1" x14ac:dyDescent="0.2">
      <c r="B474" s="10"/>
      <c r="C474" s="11"/>
      <c r="D474" s="11"/>
      <c r="E474" s="12"/>
      <c r="F474" s="41"/>
      <c r="G474" s="30"/>
      <c r="H474" s="30"/>
      <c r="I474" s="11"/>
      <c r="J474" s="11"/>
    </row>
    <row r="475" spans="2:10" s="9" customFormat="1" x14ac:dyDescent="0.2">
      <c r="B475" s="10"/>
      <c r="C475" s="11"/>
      <c r="D475" s="11"/>
      <c r="E475" s="12"/>
      <c r="F475" s="41"/>
      <c r="G475" s="30"/>
      <c r="H475" s="30"/>
      <c r="I475" s="11"/>
      <c r="J475" s="11"/>
    </row>
    <row r="476" spans="2:10" s="9" customFormat="1" x14ac:dyDescent="0.2">
      <c r="B476" s="10"/>
      <c r="C476" s="11"/>
      <c r="D476" s="11"/>
      <c r="E476" s="12"/>
      <c r="F476" s="41"/>
      <c r="G476" s="30"/>
      <c r="H476" s="30"/>
      <c r="I476" s="11"/>
      <c r="J476" s="11"/>
    </row>
    <row r="477" spans="2:10" s="9" customFormat="1" x14ac:dyDescent="0.2">
      <c r="B477" s="10"/>
      <c r="C477" s="11"/>
      <c r="D477" s="11"/>
      <c r="E477" s="12"/>
      <c r="F477" s="41"/>
      <c r="G477" s="30"/>
      <c r="H477" s="30"/>
      <c r="I477" s="11"/>
      <c r="J477" s="11"/>
    </row>
    <row r="478" spans="2:10" s="9" customFormat="1" x14ac:dyDescent="0.2">
      <c r="B478" s="10"/>
      <c r="C478" s="11"/>
      <c r="D478" s="11"/>
      <c r="E478" s="12"/>
      <c r="F478" s="41"/>
      <c r="G478" s="30"/>
      <c r="H478" s="30"/>
      <c r="I478" s="11"/>
      <c r="J478" s="11"/>
    </row>
    <row r="479" spans="2:10" s="9" customFormat="1" x14ac:dyDescent="0.2">
      <c r="B479" s="10"/>
      <c r="C479" s="11"/>
      <c r="D479" s="11"/>
      <c r="E479" s="12"/>
      <c r="F479" s="41"/>
      <c r="G479" s="30"/>
      <c r="H479" s="30"/>
      <c r="I479" s="11"/>
      <c r="J479" s="11"/>
    </row>
    <row r="480" spans="2:10" s="9" customFormat="1" x14ac:dyDescent="0.2">
      <c r="B480" s="10"/>
      <c r="C480" s="11"/>
      <c r="D480" s="11"/>
      <c r="E480" s="12"/>
      <c r="F480" s="41"/>
      <c r="G480" s="30"/>
      <c r="H480" s="30"/>
      <c r="I480" s="11"/>
      <c r="J480" s="11"/>
    </row>
    <row r="481" spans="2:10" s="9" customFormat="1" x14ac:dyDescent="0.2">
      <c r="B481" s="10"/>
      <c r="C481" s="11"/>
      <c r="D481" s="11"/>
      <c r="E481" s="12"/>
      <c r="F481" s="41"/>
      <c r="G481" s="30"/>
      <c r="H481" s="30"/>
      <c r="I481" s="11"/>
      <c r="J481" s="11"/>
    </row>
    <row r="482" spans="2:10" s="9" customFormat="1" x14ac:dyDescent="0.2">
      <c r="B482" s="10"/>
      <c r="C482" s="11"/>
      <c r="D482" s="11"/>
      <c r="E482" s="12"/>
      <c r="F482" s="41"/>
      <c r="G482" s="30"/>
      <c r="H482" s="30"/>
      <c r="I482" s="11"/>
      <c r="J482" s="11"/>
    </row>
    <row r="483" spans="2:10" s="9" customFormat="1" x14ac:dyDescent="0.2">
      <c r="B483" s="10"/>
      <c r="C483" s="11"/>
      <c r="D483" s="11"/>
      <c r="E483" s="12"/>
      <c r="F483" s="41"/>
      <c r="G483" s="30"/>
      <c r="H483" s="30"/>
      <c r="I483" s="11"/>
      <c r="J483" s="11"/>
    </row>
    <row r="484" spans="2:10" s="9" customFormat="1" x14ac:dyDescent="0.2">
      <c r="B484" s="10"/>
      <c r="C484" s="11"/>
      <c r="D484" s="11"/>
      <c r="E484" s="12"/>
      <c r="F484" s="41"/>
      <c r="G484" s="30"/>
      <c r="H484" s="30"/>
      <c r="I484" s="11"/>
      <c r="J484" s="11"/>
    </row>
    <row r="485" spans="2:10" s="9" customFormat="1" x14ac:dyDescent="0.2">
      <c r="B485" s="10"/>
      <c r="C485" s="11"/>
      <c r="D485" s="11"/>
      <c r="E485" s="12"/>
      <c r="F485" s="41"/>
      <c r="G485" s="30"/>
      <c r="H485" s="30"/>
      <c r="I485" s="11"/>
      <c r="J485" s="11"/>
    </row>
    <row r="486" spans="2:10" s="9" customFormat="1" x14ac:dyDescent="0.2">
      <c r="B486" s="10"/>
      <c r="C486" s="11"/>
      <c r="D486" s="11"/>
      <c r="E486" s="12"/>
      <c r="F486" s="41"/>
      <c r="G486" s="30"/>
      <c r="H486" s="30"/>
      <c r="I486" s="11"/>
      <c r="J486" s="11"/>
    </row>
    <row r="487" spans="2:10" s="9" customFormat="1" x14ac:dyDescent="0.2">
      <c r="B487" s="10"/>
      <c r="C487" s="11"/>
      <c r="D487" s="11"/>
      <c r="E487" s="12"/>
      <c r="F487" s="41"/>
      <c r="G487" s="30"/>
      <c r="H487" s="30"/>
      <c r="I487" s="11"/>
      <c r="J487" s="11"/>
    </row>
    <row r="488" spans="2:10" s="9" customFormat="1" x14ac:dyDescent="0.2">
      <c r="B488" s="10"/>
      <c r="C488" s="11"/>
      <c r="D488" s="11"/>
      <c r="E488" s="12"/>
      <c r="F488" s="41"/>
      <c r="G488" s="30"/>
      <c r="H488" s="30"/>
      <c r="I488" s="11"/>
      <c r="J488" s="11"/>
    </row>
    <row r="489" spans="2:10" s="9" customFormat="1" x14ac:dyDescent="0.2">
      <c r="B489" s="10"/>
      <c r="C489" s="11"/>
      <c r="D489" s="11"/>
      <c r="E489" s="12"/>
      <c r="F489" s="41"/>
      <c r="G489" s="30"/>
      <c r="H489" s="30"/>
      <c r="I489" s="11"/>
      <c r="J489" s="11"/>
    </row>
    <row r="490" spans="2:10" s="9" customFormat="1" x14ac:dyDescent="0.2">
      <c r="B490" s="10"/>
      <c r="C490" s="11"/>
      <c r="D490" s="11"/>
      <c r="E490" s="12"/>
      <c r="F490" s="41"/>
      <c r="G490" s="30"/>
      <c r="H490" s="30"/>
      <c r="I490" s="11"/>
      <c r="J490" s="11"/>
    </row>
    <row r="491" spans="2:10" s="9" customFormat="1" x14ac:dyDescent="0.2">
      <c r="B491" s="10"/>
      <c r="C491" s="11"/>
      <c r="D491" s="11"/>
      <c r="E491" s="12"/>
      <c r="F491" s="41"/>
      <c r="G491" s="30"/>
      <c r="H491" s="30"/>
      <c r="I491" s="11"/>
      <c r="J491" s="11"/>
    </row>
    <row r="492" spans="2:10" s="9" customFormat="1" x14ac:dyDescent="0.2">
      <c r="B492" s="10"/>
      <c r="C492" s="11"/>
      <c r="D492" s="11"/>
      <c r="E492" s="12"/>
      <c r="F492" s="41"/>
      <c r="G492" s="30"/>
      <c r="H492" s="30"/>
      <c r="I492" s="11"/>
      <c r="J492" s="11"/>
    </row>
    <row r="493" spans="2:10" s="9" customFormat="1" x14ac:dyDescent="0.2">
      <c r="B493" s="10"/>
      <c r="C493" s="11"/>
      <c r="D493" s="11"/>
      <c r="E493" s="12"/>
      <c r="F493" s="41"/>
      <c r="G493" s="30"/>
      <c r="H493" s="30"/>
      <c r="I493" s="11"/>
      <c r="J493" s="11"/>
    </row>
    <row r="494" spans="2:10" s="9" customFormat="1" x14ac:dyDescent="0.2">
      <c r="B494" s="10"/>
      <c r="C494" s="11"/>
      <c r="D494" s="11"/>
      <c r="E494" s="12"/>
      <c r="F494" s="41"/>
      <c r="G494" s="30"/>
      <c r="H494" s="30"/>
      <c r="I494" s="11"/>
      <c r="J494" s="11"/>
    </row>
    <row r="495" spans="2:10" s="9" customFormat="1" x14ac:dyDescent="0.2">
      <c r="B495" s="10"/>
      <c r="C495" s="11"/>
      <c r="D495" s="11"/>
      <c r="E495" s="12"/>
      <c r="F495" s="41"/>
      <c r="G495" s="30"/>
      <c r="H495" s="30"/>
      <c r="I495" s="11"/>
      <c r="J495" s="11"/>
    </row>
    <row r="496" spans="2:10" s="9" customFormat="1" x14ac:dyDescent="0.2">
      <c r="B496" s="10"/>
      <c r="C496" s="11"/>
      <c r="D496" s="11"/>
      <c r="E496" s="12"/>
      <c r="F496" s="41"/>
      <c r="G496" s="30"/>
      <c r="H496" s="30"/>
      <c r="I496" s="11"/>
      <c r="J496" s="11"/>
    </row>
    <row r="497" spans="2:10" s="9" customFormat="1" x14ac:dyDescent="0.2">
      <c r="B497" s="10"/>
      <c r="C497" s="11"/>
      <c r="D497" s="11"/>
      <c r="E497" s="12"/>
      <c r="F497" s="41"/>
      <c r="G497" s="30"/>
      <c r="H497" s="30"/>
      <c r="I497" s="11"/>
      <c r="J497" s="11"/>
    </row>
    <row r="498" spans="2:10" s="9" customFormat="1" x14ac:dyDescent="0.2">
      <c r="B498" s="10"/>
      <c r="C498" s="11"/>
      <c r="D498" s="11"/>
      <c r="E498" s="12"/>
      <c r="F498" s="41"/>
      <c r="G498" s="30"/>
      <c r="H498" s="30"/>
      <c r="I498" s="11"/>
      <c r="J498" s="11"/>
    </row>
    <row r="499" spans="2:10" s="9" customFormat="1" x14ac:dyDescent="0.2">
      <c r="B499" s="10"/>
      <c r="C499" s="11"/>
      <c r="D499" s="11"/>
      <c r="E499" s="12"/>
      <c r="F499" s="41"/>
      <c r="G499" s="30"/>
      <c r="H499" s="30"/>
      <c r="I499" s="11"/>
      <c r="J499" s="11"/>
    </row>
    <row r="500" spans="2:10" s="9" customFormat="1" x14ac:dyDescent="0.2">
      <c r="B500" s="10"/>
      <c r="C500" s="11"/>
      <c r="D500" s="11"/>
      <c r="E500" s="12"/>
      <c r="F500" s="41"/>
      <c r="G500" s="30"/>
      <c r="H500" s="30"/>
      <c r="I500" s="11"/>
      <c r="J500" s="11"/>
    </row>
    <row r="501" spans="2:10" s="9" customFormat="1" x14ac:dyDescent="0.2">
      <c r="B501" s="10"/>
      <c r="C501" s="11"/>
      <c r="D501" s="11"/>
      <c r="E501" s="12"/>
      <c r="F501" s="41"/>
      <c r="G501" s="30"/>
      <c r="H501" s="30"/>
      <c r="I501" s="11"/>
      <c r="J501" s="11"/>
    </row>
    <row r="502" spans="2:10" s="9" customFormat="1" x14ac:dyDescent="0.2">
      <c r="B502" s="10"/>
      <c r="C502" s="11"/>
      <c r="D502" s="11"/>
      <c r="E502" s="12"/>
      <c r="F502" s="41"/>
      <c r="G502" s="30"/>
      <c r="H502" s="30"/>
      <c r="I502" s="11"/>
      <c r="J502" s="11"/>
    </row>
    <row r="503" spans="2:10" s="9" customFormat="1" x14ac:dyDescent="0.2">
      <c r="B503" s="10"/>
      <c r="C503" s="11"/>
      <c r="D503" s="11"/>
      <c r="E503" s="12"/>
      <c r="F503" s="41"/>
      <c r="G503" s="30"/>
      <c r="H503" s="30"/>
      <c r="I503" s="11"/>
      <c r="J503" s="11"/>
    </row>
    <row r="504" spans="2:10" s="9" customFormat="1" x14ac:dyDescent="0.2">
      <c r="B504" s="10"/>
      <c r="C504" s="11"/>
      <c r="D504" s="11"/>
      <c r="E504" s="12"/>
      <c r="F504" s="41"/>
      <c r="G504" s="30"/>
      <c r="H504" s="30"/>
      <c r="I504" s="11"/>
      <c r="J504" s="11"/>
    </row>
    <row r="505" spans="2:10" s="9" customFormat="1" x14ac:dyDescent="0.2">
      <c r="B505" s="10"/>
      <c r="C505" s="11"/>
      <c r="D505" s="11"/>
      <c r="E505" s="12"/>
      <c r="F505" s="41"/>
      <c r="G505" s="30"/>
      <c r="H505" s="30"/>
      <c r="I505" s="11"/>
      <c r="J505" s="11"/>
    </row>
    <row r="506" spans="2:10" s="9" customFormat="1" x14ac:dyDescent="0.2">
      <c r="B506" s="10"/>
      <c r="C506" s="11"/>
      <c r="D506" s="11"/>
      <c r="E506" s="12"/>
      <c r="F506" s="41"/>
      <c r="G506" s="30"/>
      <c r="H506" s="30"/>
      <c r="I506" s="11"/>
      <c r="J506" s="11"/>
    </row>
    <row r="507" spans="2:10" s="9" customFormat="1" x14ac:dyDescent="0.2">
      <c r="B507" s="10"/>
      <c r="C507" s="11"/>
      <c r="D507" s="11"/>
      <c r="E507" s="12"/>
      <c r="F507" s="41"/>
      <c r="G507" s="30"/>
      <c r="H507" s="30"/>
      <c r="I507" s="11"/>
      <c r="J507" s="11"/>
    </row>
    <row r="508" spans="2:10" s="9" customFormat="1" x14ac:dyDescent="0.2">
      <c r="B508" s="10"/>
      <c r="C508" s="11"/>
      <c r="D508" s="11"/>
      <c r="E508" s="12"/>
      <c r="F508" s="41"/>
      <c r="G508" s="30"/>
      <c r="H508" s="30"/>
      <c r="I508" s="11"/>
      <c r="J508" s="11"/>
    </row>
    <row r="509" spans="2:10" s="9" customFormat="1" x14ac:dyDescent="0.2">
      <c r="B509" s="10"/>
      <c r="C509" s="11"/>
      <c r="D509" s="11"/>
      <c r="E509" s="12"/>
      <c r="F509" s="41"/>
      <c r="G509" s="30"/>
      <c r="H509" s="30"/>
      <c r="I509" s="11"/>
      <c r="J509" s="11"/>
    </row>
    <row r="510" spans="2:10" s="9" customFormat="1" x14ac:dyDescent="0.2">
      <c r="B510" s="10"/>
      <c r="C510" s="11"/>
      <c r="D510" s="11"/>
      <c r="E510" s="12"/>
      <c r="F510" s="41"/>
      <c r="G510" s="30"/>
      <c r="H510" s="30"/>
      <c r="I510" s="11"/>
      <c r="J510" s="11"/>
    </row>
    <row r="511" spans="2:10" s="9" customFormat="1" x14ac:dyDescent="0.2">
      <c r="B511" s="10"/>
      <c r="C511" s="11"/>
      <c r="D511" s="11"/>
      <c r="E511" s="12"/>
      <c r="F511" s="41"/>
      <c r="G511" s="30"/>
      <c r="H511" s="30"/>
      <c r="I511" s="11"/>
      <c r="J511" s="11"/>
    </row>
    <row r="512" spans="2:10" s="9" customFormat="1" x14ac:dyDescent="0.2">
      <c r="B512" s="10"/>
      <c r="C512" s="11"/>
      <c r="D512" s="11"/>
      <c r="E512" s="12"/>
      <c r="F512" s="41"/>
      <c r="G512" s="30"/>
      <c r="H512" s="30"/>
      <c r="I512" s="11"/>
      <c r="J512" s="11"/>
    </row>
    <row r="513" spans="2:10" s="9" customFormat="1" x14ac:dyDescent="0.2">
      <c r="B513" s="10"/>
      <c r="C513" s="11"/>
      <c r="D513" s="11"/>
      <c r="E513" s="12"/>
      <c r="F513" s="41"/>
      <c r="G513" s="30"/>
      <c r="H513" s="30"/>
      <c r="I513" s="11"/>
      <c r="J513" s="11"/>
    </row>
    <row r="514" spans="2:10" s="9" customFormat="1" x14ac:dyDescent="0.2">
      <c r="B514" s="10"/>
      <c r="C514" s="11"/>
      <c r="D514" s="11"/>
      <c r="E514" s="12"/>
      <c r="F514" s="41"/>
      <c r="G514" s="30"/>
      <c r="H514" s="30"/>
      <c r="I514" s="11"/>
      <c r="J514" s="11"/>
    </row>
    <row r="515" spans="2:10" s="9" customFormat="1" x14ac:dyDescent="0.2">
      <c r="B515" s="10"/>
      <c r="C515" s="11"/>
      <c r="D515" s="11"/>
      <c r="E515" s="12"/>
      <c r="F515" s="41"/>
      <c r="G515" s="30"/>
      <c r="H515" s="30"/>
      <c r="I515" s="11"/>
      <c r="J515" s="11"/>
    </row>
    <row r="516" spans="2:10" s="9" customFormat="1" x14ac:dyDescent="0.2">
      <c r="B516" s="10"/>
      <c r="C516" s="11"/>
      <c r="D516" s="11"/>
      <c r="E516" s="12"/>
      <c r="F516" s="41"/>
      <c r="G516" s="30"/>
      <c r="H516" s="30"/>
      <c r="I516" s="11"/>
      <c r="J516" s="11"/>
    </row>
    <row r="517" spans="2:10" s="9" customFormat="1" x14ac:dyDescent="0.2">
      <c r="B517" s="10"/>
      <c r="C517" s="11"/>
      <c r="D517" s="11"/>
      <c r="E517" s="12"/>
      <c r="F517" s="41"/>
      <c r="G517" s="30"/>
      <c r="H517" s="30"/>
      <c r="I517" s="11"/>
      <c r="J517" s="11"/>
    </row>
    <row r="518" spans="2:10" s="9" customFormat="1" x14ac:dyDescent="0.2">
      <c r="B518" s="10"/>
      <c r="C518" s="11"/>
      <c r="D518" s="11"/>
      <c r="E518" s="12"/>
      <c r="F518" s="41"/>
      <c r="G518" s="30"/>
      <c r="H518" s="30"/>
      <c r="I518" s="11"/>
      <c r="J518" s="11"/>
    </row>
    <row r="519" spans="2:10" s="9" customFormat="1" x14ac:dyDescent="0.2">
      <c r="B519" s="10"/>
      <c r="C519" s="11"/>
      <c r="D519" s="11"/>
      <c r="E519" s="12"/>
      <c r="F519" s="41"/>
      <c r="G519" s="30"/>
      <c r="H519" s="30"/>
      <c r="I519" s="11"/>
      <c r="J519" s="11"/>
    </row>
    <row r="520" spans="2:10" s="9" customFormat="1" x14ac:dyDescent="0.2">
      <c r="B520" s="10"/>
      <c r="C520" s="11"/>
      <c r="D520" s="11"/>
      <c r="E520" s="12"/>
      <c r="F520" s="41"/>
      <c r="G520" s="30"/>
      <c r="H520" s="30"/>
      <c r="I520" s="11"/>
      <c r="J520" s="11"/>
    </row>
    <row r="521" spans="2:10" s="9" customFormat="1" x14ac:dyDescent="0.2">
      <c r="B521" s="10"/>
      <c r="C521" s="11"/>
      <c r="D521" s="11"/>
      <c r="E521" s="12"/>
      <c r="F521" s="41"/>
      <c r="G521" s="30"/>
      <c r="H521" s="30"/>
      <c r="I521" s="11"/>
      <c r="J521" s="11"/>
    </row>
    <row r="522" spans="2:10" s="9" customFormat="1" x14ac:dyDescent="0.2">
      <c r="B522" s="10"/>
      <c r="C522" s="11"/>
      <c r="D522" s="11"/>
      <c r="E522" s="12"/>
      <c r="F522" s="41"/>
      <c r="G522" s="30"/>
      <c r="H522" s="30"/>
      <c r="I522" s="11"/>
      <c r="J522" s="11"/>
    </row>
    <row r="523" spans="2:10" s="9" customFormat="1" x14ac:dyDescent="0.2">
      <c r="B523" s="10"/>
      <c r="C523" s="11"/>
      <c r="D523" s="11"/>
      <c r="E523" s="12"/>
      <c r="F523" s="41"/>
      <c r="G523" s="30"/>
      <c r="H523" s="30"/>
      <c r="I523" s="11"/>
      <c r="J523" s="11"/>
    </row>
    <row r="524" spans="2:10" s="9" customFormat="1" x14ac:dyDescent="0.2">
      <c r="B524" s="10"/>
      <c r="C524" s="11"/>
      <c r="D524" s="11"/>
      <c r="E524" s="12"/>
      <c r="F524" s="41"/>
      <c r="G524" s="30"/>
      <c r="H524" s="30"/>
      <c r="I524" s="11"/>
      <c r="J524" s="11"/>
    </row>
    <row r="525" spans="2:10" s="9" customFormat="1" x14ac:dyDescent="0.2">
      <c r="B525" s="10"/>
      <c r="C525" s="11"/>
      <c r="D525" s="11"/>
      <c r="E525" s="12"/>
      <c r="F525" s="41"/>
      <c r="G525" s="30"/>
      <c r="H525" s="30"/>
      <c r="I525" s="11"/>
      <c r="J525" s="11"/>
    </row>
    <row r="526" spans="2:10" s="9" customFormat="1" x14ac:dyDescent="0.2">
      <c r="B526" s="10"/>
      <c r="C526" s="11"/>
      <c r="D526" s="11"/>
      <c r="E526" s="12"/>
      <c r="F526" s="41"/>
      <c r="G526" s="30"/>
      <c r="H526" s="30"/>
      <c r="I526" s="11"/>
      <c r="J526" s="11"/>
    </row>
    <row r="527" spans="2:10" s="9" customFormat="1" x14ac:dyDescent="0.2">
      <c r="B527" s="10"/>
      <c r="C527" s="11"/>
      <c r="D527" s="11"/>
      <c r="E527" s="12"/>
      <c r="F527" s="41"/>
      <c r="G527" s="30"/>
      <c r="H527" s="30"/>
      <c r="I527" s="11"/>
      <c r="J527" s="11"/>
    </row>
    <row r="528" spans="2:10" s="9" customFormat="1" x14ac:dyDescent="0.2">
      <c r="B528" s="10"/>
      <c r="C528" s="11"/>
      <c r="D528" s="11"/>
      <c r="E528" s="12"/>
      <c r="F528" s="41"/>
      <c r="G528" s="30"/>
      <c r="H528" s="30"/>
      <c r="I528" s="11"/>
      <c r="J528" s="11"/>
    </row>
    <row r="529" spans="2:10" s="9" customFormat="1" x14ac:dyDescent="0.2">
      <c r="B529" s="10"/>
      <c r="C529" s="11"/>
      <c r="D529" s="11"/>
      <c r="E529" s="12"/>
      <c r="F529" s="41"/>
      <c r="G529" s="30"/>
      <c r="H529" s="30"/>
      <c r="I529" s="11"/>
      <c r="J529" s="11"/>
    </row>
    <row r="530" spans="2:10" s="9" customFormat="1" x14ac:dyDescent="0.2">
      <c r="B530" s="10"/>
      <c r="C530" s="11"/>
      <c r="D530" s="11"/>
      <c r="E530" s="12"/>
      <c r="F530" s="41"/>
      <c r="G530" s="30"/>
      <c r="H530" s="30"/>
      <c r="I530" s="11"/>
      <c r="J530" s="11"/>
    </row>
    <row r="531" spans="2:10" s="9" customFormat="1" x14ac:dyDescent="0.2">
      <c r="B531" s="10"/>
      <c r="C531" s="11"/>
      <c r="D531" s="11"/>
      <c r="E531" s="12"/>
      <c r="F531" s="41"/>
      <c r="G531" s="30"/>
      <c r="H531" s="30"/>
      <c r="I531" s="11"/>
      <c r="J531" s="11"/>
    </row>
    <row r="532" spans="2:10" s="9" customFormat="1" x14ac:dyDescent="0.2">
      <c r="B532" s="10"/>
      <c r="C532" s="11"/>
      <c r="D532" s="11"/>
      <c r="E532" s="12"/>
      <c r="F532" s="41"/>
      <c r="G532" s="30"/>
      <c r="H532" s="30"/>
      <c r="I532" s="11"/>
      <c r="J532" s="11"/>
    </row>
    <row r="533" spans="2:10" s="9" customFormat="1" x14ac:dyDescent="0.2">
      <c r="B533" s="10"/>
      <c r="C533" s="11"/>
      <c r="D533" s="11"/>
      <c r="E533" s="12"/>
      <c r="F533" s="41"/>
      <c r="G533" s="30"/>
      <c r="H533" s="30"/>
      <c r="I533" s="11"/>
      <c r="J533" s="11"/>
    </row>
    <row r="534" spans="2:10" s="9" customFormat="1" x14ac:dyDescent="0.2">
      <c r="B534" s="10"/>
      <c r="C534" s="11"/>
      <c r="D534" s="11"/>
      <c r="E534" s="12"/>
      <c r="F534" s="41"/>
      <c r="G534" s="30"/>
      <c r="H534" s="30"/>
      <c r="I534" s="11"/>
      <c r="J534" s="11"/>
    </row>
    <row r="535" spans="2:10" s="9" customFormat="1" x14ac:dyDescent="0.2">
      <c r="B535" s="10"/>
      <c r="C535" s="11"/>
      <c r="D535" s="11"/>
      <c r="E535" s="12"/>
      <c r="F535" s="41"/>
      <c r="G535" s="30"/>
      <c r="H535" s="30"/>
      <c r="I535" s="11"/>
      <c r="J535" s="11"/>
    </row>
    <row r="536" spans="2:10" s="9" customFormat="1" x14ac:dyDescent="0.2">
      <c r="B536" s="10"/>
      <c r="C536" s="11"/>
      <c r="D536" s="11"/>
      <c r="E536" s="12"/>
      <c r="F536" s="41"/>
      <c r="G536" s="30"/>
      <c r="H536" s="30"/>
      <c r="I536" s="11"/>
      <c r="J536" s="11"/>
    </row>
    <row r="537" spans="2:10" s="9" customFormat="1" x14ac:dyDescent="0.2">
      <c r="B537" s="10"/>
      <c r="C537" s="11"/>
      <c r="D537" s="11"/>
      <c r="E537" s="12"/>
      <c r="F537" s="41"/>
      <c r="G537" s="30"/>
      <c r="H537" s="30"/>
      <c r="I537" s="11"/>
      <c r="J537" s="11"/>
    </row>
    <row r="538" spans="2:10" s="9" customFormat="1" x14ac:dyDescent="0.2">
      <c r="B538" s="10"/>
      <c r="C538" s="11"/>
      <c r="D538" s="11"/>
      <c r="E538" s="12"/>
      <c r="F538" s="41"/>
      <c r="G538" s="30"/>
      <c r="H538" s="30"/>
      <c r="I538" s="11"/>
      <c r="J538" s="11"/>
    </row>
    <row r="539" spans="2:10" s="9" customFormat="1" x14ac:dyDescent="0.2">
      <c r="B539" s="10"/>
      <c r="C539" s="11"/>
      <c r="D539" s="11"/>
      <c r="E539" s="12"/>
      <c r="F539" s="41"/>
      <c r="G539" s="30"/>
      <c r="H539" s="30"/>
      <c r="I539" s="11"/>
      <c r="J539" s="11"/>
    </row>
    <row r="540" spans="2:10" s="9" customFormat="1" x14ac:dyDescent="0.2">
      <c r="B540" s="10"/>
      <c r="C540" s="11"/>
      <c r="D540" s="11"/>
      <c r="E540" s="12"/>
      <c r="F540" s="41"/>
      <c r="G540" s="30"/>
      <c r="H540" s="30"/>
      <c r="I540" s="11"/>
      <c r="J540" s="11"/>
    </row>
    <row r="541" spans="2:10" s="9" customFormat="1" x14ac:dyDescent="0.2">
      <c r="B541" s="10"/>
      <c r="C541" s="11"/>
      <c r="D541" s="11"/>
      <c r="E541" s="12"/>
      <c r="F541" s="41"/>
      <c r="G541" s="30"/>
      <c r="H541" s="30"/>
      <c r="I541" s="11"/>
      <c r="J541" s="11"/>
    </row>
    <row r="542" spans="2:10" s="9" customFormat="1" x14ac:dyDescent="0.2">
      <c r="B542" s="10"/>
      <c r="C542" s="11"/>
      <c r="D542" s="11"/>
      <c r="E542" s="12"/>
      <c r="F542" s="41"/>
      <c r="G542" s="30"/>
      <c r="H542" s="30"/>
      <c r="I542" s="11"/>
      <c r="J542" s="11"/>
    </row>
    <row r="543" spans="2:10" s="9" customFormat="1" x14ac:dyDescent="0.2">
      <c r="B543" s="10"/>
      <c r="C543" s="11"/>
      <c r="D543" s="11"/>
      <c r="E543" s="12"/>
      <c r="F543" s="41"/>
      <c r="G543" s="30"/>
      <c r="H543" s="30"/>
      <c r="I543" s="11"/>
      <c r="J543" s="11"/>
    </row>
    <row r="544" spans="2:10" s="9" customFormat="1" x14ac:dyDescent="0.2">
      <c r="B544" s="10"/>
      <c r="C544" s="11"/>
      <c r="D544" s="11"/>
      <c r="E544" s="12"/>
      <c r="F544" s="41"/>
      <c r="G544" s="30"/>
      <c r="H544" s="30"/>
      <c r="I544" s="11"/>
      <c r="J544" s="11"/>
    </row>
    <row r="545" spans="2:10" s="9" customFormat="1" x14ac:dyDescent="0.2">
      <c r="B545" s="10"/>
      <c r="C545" s="11"/>
      <c r="D545" s="11"/>
      <c r="E545" s="12"/>
      <c r="F545" s="41"/>
      <c r="G545" s="30"/>
      <c r="H545" s="30"/>
      <c r="I545" s="11"/>
      <c r="J545" s="11"/>
    </row>
    <row r="546" spans="2:10" s="9" customFormat="1" x14ac:dyDescent="0.2">
      <c r="B546" s="10"/>
      <c r="C546" s="11"/>
      <c r="D546" s="11"/>
      <c r="E546" s="12"/>
      <c r="F546" s="41"/>
      <c r="G546" s="30"/>
      <c r="H546" s="30"/>
      <c r="I546" s="11"/>
      <c r="J546" s="11"/>
    </row>
    <row r="547" spans="2:10" s="9" customFormat="1" x14ac:dyDescent="0.2">
      <c r="B547" s="10"/>
      <c r="C547" s="11"/>
      <c r="D547" s="11"/>
      <c r="E547" s="12"/>
      <c r="F547" s="41"/>
      <c r="G547" s="30"/>
      <c r="H547" s="30"/>
      <c r="I547" s="11"/>
      <c r="J547" s="11"/>
    </row>
    <row r="548" spans="2:10" s="9" customFormat="1" x14ac:dyDescent="0.2">
      <c r="B548" s="10"/>
      <c r="C548" s="11"/>
      <c r="D548" s="11"/>
      <c r="E548" s="12"/>
      <c r="F548" s="41"/>
      <c r="G548" s="30"/>
      <c r="H548" s="30"/>
      <c r="I548" s="11"/>
      <c r="J548" s="11"/>
    </row>
    <row r="549" spans="2:10" s="9" customFormat="1" x14ac:dyDescent="0.2">
      <c r="B549" s="10"/>
      <c r="C549" s="11"/>
      <c r="D549" s="11"/>
      <c r="E549" s="12"/>
      <c r="F549" s="41"/>
      <c r="G549" s="30"/>
      <c r="H549" s="30"/>
      <c r="I549" s="11"/>
      <c r="J549" s="11"/>
    </row>
    <row r="550" spans="2:10" s="9" customFormat="1" x14ac:dyDescent="0.2">
      <c r="B550" s="10"/>
      <c r="C550" s="11"/>
      <c r="D550" s="11"/>
      <c r="E550" s="12"/>
      <c r="F550" s="41"/>
      <c r="G550" s="30"/>
      <c r="H550" s="30"/>
      <c r="I550" s="11"/>
      <c r="J550" s="11"/>
    </row>
    <row r="551" spans="2:10" s="9" customFormat="1" x14ac:dyDescent="0.2">
      <c r="B551" s="10"/>
      <c r="C551" s="11"/>
      <c r="D551" s="11"/>
      <c r="E551" s="12"/>
      <c r="F551" s="41"/>
      <c r="G551" s="30"/>
      <c r="H551" s="30"/>
      <c r="I551" s="11"/>
      <c r="J551" s="11"/>
    </row>
    <row r="552" spans="2:10" s="9" customFormat="1" x14ac:dyDescent="0.2">
      <c r="B552" s="10"/>
      <c r="C552" s="11"/>
      <c r="D552" s="11"/>
      <c r="E552" s="12"/>
      <c r="F552" s="41"/>
      <c r="G552" s="30"/>
      <c r="H552" s="30"/>
      <c r="I552" s="11"/>
      <c r="J552" s="11"/>
    </row>
    <row r="553" spans="2:10" s="9" customFormat="1" x14ac:dyDescent="0.2">
      <c r="B553" s="10"/>
      <c r="C553" s="11"/>
      <c r="D553" s="11"/>
      <c r="E553" s="12"/>
      <c r="F553" s="41"/>
      <c r="G553" s="30"/>
      <c r="H553" s="30"/>
      <c r="I553" s="11"/>
      <c r="J553" s="11"/>
    </row>
    <row r="554" spans="2:10" s="9" customFormat="1" x14ac:dyDescent="0.2">
      <c r="B554" s="10"/>
      <c r="C554" s="11"/>
      <c r="D554" s="11"/>
      <c r="E554" s="12"/>
      <c r="F554" s="41"/>
      <c r="G554" s="30"/>
      <c r="H554" s="30"/>
      <c r="I554" s="11"/>
      <c r="J554" s="11"/>
    </row>
    <row r="555" spans="2:10" s="9" customFormat="1" x14ac:dyDescent="0.2">
      <c r="B555" s="10"/>
      <c r="C555" s="11"/>
      <c r="D555" s="11"/>
      <c r="E555" s="12"/>
      <c r="F555" s="41"/>
      <c r="G555" s="30"/>
      <c r="H555" s="30"/>
      <c r="I555" s="11"/>
      <c r="J555" s="11"/>
    </row>
    <row r="556" spans="2:10" s="9" customFormat="1" x14ac:dyDescent="0.2">
      <c r="B556" s="10"/>
      <c r="C556" s="11"/>
      <c r="D556" s="11"/>
      <c r="E556" s="12"/>
      <c r="F556" s="41"/>
      <c r="G556" s="30"/>
      <c r="H556" s="30"/>
      <c r="I556" s="11"/>
      <c r="J556" s="11"/>
    </row>
    <row r="557" spans="2:10" s="9" customFormat="1" x14ac:dyDescent="0.2">
      <c r="B557" s="10"/>
      <c r="C557" s="11"/>
      <c r="D557" s="11"/>
      <c r="E557" s="12"/>
      <c r="F557" s="41"/>
      <c r="G557" s="30"/>
      <c r="H557" s="30"/>
      <c r="I557" s="11"/>
      <c r="J557" s="11"/>
    </row>
    <row r="558" spans="2:10" s="9" customFormat="1" x14ac:dyDescent="0.2">
      <c r="B558" s="10"/>
      <c r="C558" s="11"/>
      <c r="D558" s="11"/>
      <c r="E558" s="12"/>
      <c r="F558" s="41"/>
      <c r="G558" s="30"/>
      <c r="H558" s="30"/>
      <c r="I558" s="11"/>
      <c r="J558" s="11"/>
    </row>
    <row r="559" spans="2:10" s="9" customFormat="1" x14ac:dyDescent="0.2">
      <c r="B559" s="10"/>
      <c r="C559" s="11"/>
      <c r="D559" s="11"/>
      <c r="E559" s="12"/>
      <c r="F559" s="41"/>
      <c r="G559" s="30"/>
      <c r="H559" s="30"/>
      <c r="I559" s="11"/>
      <c r="J559" s="11"/>
    </row>
    <row r="560" spans="2:10" s="9" customFormat="1" x14ac:dyDescent="0.2">
      <c r="B560" s="10"/>
      <c r="C560" s="11"/>
      <c r="D560" s="11"/>
      <c r="E560" s="12"/>
      <c r="F560" s="41"/>
      <c r="G560" s="30"/>
      <c r="H560" s="30"/>
      <c r="I560" s="11"/>
      <c r="J560" s="11"/>
    </row>
    <row r="561" spans="2:10" s="9" customFormat="1" x14ac:dyDescent="0.2">
      <c r="B561" s="10"/>
      <c r="C561" s="11"/>
      <c r="D561" s="11"/>
      <c r="E561" s="12"/>
      <c r="F561" s="41"/>
      <c r="G561" s="30"/>
      <c r="H561" s="30"/>
      <c r="I561" s="11"/>
      <c r="J561" s="11"/>
    </row>
    <row r="562" spans="2:10" s="9" customFormat="1" x14ac:dyDescent="0.2">
      <c r="B562" s="10"/>
      <c r="C562" s="11"/>
      <c r="D562" s="11"/>
      <c r="E562" s="12"/>
      <c r="F562" s="41"/>
      <c r="G562" s="30"/>
      <c r="H562" s="30"/>
      <c r="I562" s="11"/>
      <c r="J562" s="11"/>
    </row>
    <row r="563" spans="2:10" s="9" customFormat="1" x14ac:dyDescent="0.2">
      <c r="B563" s="10"/>
      <c r="C563" s="11"/>
      <c r="D563" s="11"/>
      <c r="E563" s="12"/>
      <c r="F563" s="41"/>
      <c r="G563" s="30"/>
      <c r="H563" s="30"/>
      <c r="I563" s="11"/>
      <c r="J563" s="11"/>
    </row>
    <row r="564" spans="2:10" s="9" customFormat="1" x14ac:dyDescent="0.2">
      <c r="B564" s="10"/>
      <c r="C564" s="11"/>
      <c r="D564" s="11"/>
      <c r="E564" s="12"/>
      <c r="F564" s="41"/>
      <c r="G564" s="30"/>
      <c r="H564" s="30"/>
      <c r="I564" s="11"/>
      <c r="J564" s="11"/>
    </row>
    <row r="565" spans="2:10" s="9" customFormat="1" x14ac:dyDescent="0.2">
      <c r="B565" s="10"/>
      <c r="C565" s="11"/>
      <c r="D565" s="11"/>
      <c r="E565" s="12"/>
      <c r="F565" s="41"/>
      <c r="G565" s="30"/>
      <c r="H565" s="30"/>
      <c r="I565" s="11"/>
      <c r="J565" s="11"/>
    </row>
    <row r="566" spans="2:10" s="9" customFormat="1" x14ac:dyDescent="0.2">
      <c r="B566" s="10"/>
      <c r="C566" s="11"/>
      <c r="D566" s="11"/>
      <c r="E566" s="12"/>
      <c r="F566" s="41"/>
      <c r="G566" s="30"/>
      <c r="H566" s="30"/>
      <c r="I566" s="11"/>
      <c r="J566" s="11"/>
    </row>
    <row r="567" spans="2:10" s="9" customFormat="1" x14ac:dyDescent="0.2">
      <c r="B567" s="10"/>
      <c r="C567" s="11"/>
      <c r="D567" s="11"/>
      <c r="E567" s="12"/>
      <c r="F567" s="41"/>
      <c r="G567" s="30"/>
      <c r="H567" s="30"/>
      <c r="I567" s="11"/>
      <c r="J567" s="11"/>
    </row>
    <row r="568" spans="2:10" s="9" customFormat="1" x14ac:dyDescent="0.2">
      <c r="B568" s="10"/>
      <c r="C568" s="11"/>
      <c r="D568" s="11"/>
      <c r="E568" s="12"/>
      <c r="F568" s="41"/>
      <c r="G568" s="30"/>
      <c r="H568" s="30"/>
      <c r="I568" s="11"/>
      <c r="J568" s="11"/>
    </row>
    <row r="569" spans="2:10" s="9" customFormat="1" x14ac:dyDescent="0.2">
      <c r="B569" s="10"/>
      <c r="C569" s="11"/>
      <c r="D569" s="11"/>
      <c r="E569" s="12"/>
      <c r="F569" s="41"/>
      <c r="G569" s="30"/>
      <c r="H569" s="30"/>
      <c r="I569" s="11"/>
      <c r="J569" s="11"/>
    </row>
    <row r="570" spans="2:10" s="9" customFormat="1" x14ac:dyDescent="0.2">
      <c r="B570" s="10"/>
      <c r="C570" s="11"/>
      <c r="D570" s="11"/>
      <c r="E570" s="12"/>
      <c r="F570" s="41"/>
      <c r="G570" s="30"/>
      <c r="H570" s="30"/>
      <c r="I570" s="11"/>
      <c r="J570" s="11"/>
    </row>
    <row r="571" spans="2:10" s="9" customFormat="1" x14ac:dyDescent="0.2">
      <c r="B571" s="10"/>
      <c r="C571" s="11"/>
      <c r="D571" s="11"/>
      <c r="E571" s="12"/>
      <c r="F571" s="41"/>
      <c r="G571" s="30"/>
      <c r="H571" s="30"/>
      <c r="I571" s="11"/>
      <c r="J571" s="11"/>
    </row>
    <row r="572" spans="2:10" s="9" customFormat="1" x14ac:dyDescent="0.2">
      <c r="B572" s="10"/>
      <c r="C572" s="11"/>
      <c r="D572" s="11"/>
      <c r="E572" s="12"/>
      <c r="F572" s="41"/>
      <c r="G572" s="30"/>
      <c r="H572" s="30"/>
      <c r="I572" s="11"/>
      <c r="J572" s="11"/>
    </row>
    <row r="573" spans="2:10" s="9" customFormat="1" x14ac:dyDescent="0.2">
      <c r="B573" s="10"/>
      <c r="C573" s="11"/>
      <c r="D573" s="11"/>
      <c r="E573" s="12"/>
      <c r="F573" s="41"/>
      <c r="G573" s="30"/>
      <c r="H573" s="30"/>
      <c r="I573" s="11"/>
      <c r="J573" s="11"/>
    </row>
    <row r="574" spans="2:10" s="9" customFormat="1" x14ac:dyDescent="0.2">
      <c r="B574" s="10"/>
      <c r="C574" s="11"/>
      <c r="D574" s="11"/>
      <c r="E574" s="12"/>
      <c r="F574" s="41"/>
      <c r="G574" s="30"/>
      <c r="H574" s="30"/>
      <c r="I574" s="11"/>
      <c r="J574" s="11"/>
    </row>
    <row r="575" spans="2:10" s="9" customFormat="1" x14ac:dyDescent="0.2">
      <c r="B575" s="10"/>
      <c r="C575" s="11"/>
      <c r="D575" s="11"/>
      <c r="E575" s="12"/>
      <c r="F575" s="41"/>
      <c r="G575" s="30"/>
      <c r="H575" s="30"/>
      <c r="I575" s="11"/>
      <c r="J575" s="11"/>
    </row>
    <row r="576" spans="2:10" s="9" customFormat="1" x14ac:dyDescent="0.2">
      <c r="B576" s="10"/>
      <c r="C576" s="11"/>
      <c r="D576" s="11"/>
      <c r="E576" s="12"/>
      <c r="F576" s="41"/>
      <c r="G576" s="30"/>
      <c r="H576" s="30"/>
      <c r="I576" s="11"/>
      <c r="J576" s="11"/>
    </row>
    <row r="577" spans="2:10" s="9" customFormat="1" x14ac:dyDescent="0.2">
      <c r="B577" s="10"/>
      <c r="C577" s="11"/>
      <c r="D577" s="11"/>
      <c r="E577" s="12"/>
      <c r="F577" s="41"/>
      <c r="G577" s="30"/>
      <c r="H577" s="30"/>
      <c r="I577" s="11"/>
      <c r="J577" s="11"/>
    </row>
    <row r="578" spans="2:10" s="9" customFormat="1" x14ac:dyDescent="0.2">
      <c r="B578" s="10"/>
      <c r="C578" s="11"/>
      <c r="D578" s="11"/>
      <c r="E578" s="12"/>
      <c r="F578" s="41"/>
      <c r="G578" s="30"/>
      <c r="H578" s="30"/>
      <c r="I578" s="11"/>
      <c r="J578" s="11"/>
    </row>
    <row r="579" spans="2:10" s="9" customFormat="1" x14ac:dyDescent="0.2">
      <c r="B579" s="10"/>
      <c r="C579" s="11"/>
      <c r="D579" s="11"/>
      <c r="E579" s="12"/>
      <c r="F579" s="41"/>
      <c r="G579" s="30"/>
      <c r="H579" s="30"/>
      <c r="I579" s="11"/>
      <c r="J579" s="11"/>
    </row>
    <row r="580" spans="2:10" s="9" customFormat="1" x14ac:dyDescent="0.2">
      <c r="B580" s="10"/>
      <c r="C580" s="11"/>
      <c r="D580" s="11"/>
      <c r="E580" s="12"/>
      <c r="F580" s="41"/>
      <c r="G580" s="30"/>
      <c r="H580" s="30"/>
      <c r="I580" s="11"/>
      <c r="J580" s="11"/>
    </row>
    <row r="581" spans="2:10" s="9" customFormat="1" x14ac:dyDescent="0.2">
      <c r="B581" s="10"/>
      <c r="C581" s="11"/>
      <c r="D581" s="11"/>
      <c r="E581" s="12"/>
      <c r="F581" s="41"/>
      <c r="G581" s="30"/>
      <c r="H581" s="30"/>
      <c r="I581" s="11"/>
      <c r="J581" s="11"/>
    </row>
    <row r="582" spans="2:10" s="9" customFormat="1" x14ac:dyDescent="0.2">
      <c r="B582" s="10"/>
      <c r="C582" s="11"/>
      <c r="D582" s="11"/>
      <c r="E582" s="12"/>
      <c r="F582" s="41"/>
      <c r="G582" s="30"/>
      <c r="H582" s="30"/>
      <c r="I582" s="11"/>
      <c r="J582" s="11"/>
    </row>
    <row r="583" spans="2:10" s="9" customFormat="1" x14ac:dyDescent="0.2">
      <c r="B583" s="10"/>
      <c r="C583" s="11"/>
      <c r="D583" s="11"/>
      <c r="E583" s="12"/>
      <c r="F583" s="41"/>
      <c r="G583" s="30"/>
      <c r="H583" s="30"/>
      <c r="I583" s="11"/>
      <c r="J583" s="11"/>
    </row>
    <row r="584" spans="2:10" s="9" customFormat="1" x14ac:dyDescent="0.2">
      <c r="B584" s="10"/>
      <c r="C584" s="11"/>
      <c r="D584" s="11"/>
      <c r="E584" s="12"/>
      <c r="F584" s="41"/>
      <c r="G584" s="30"/>
      <c r="H584" s="30"/>
      <c r="I584" s="11"/>
      <c r="J584" s="11"/>
    </row>
    <row r="585" spans="2:10" s="9" customFormat="1" x14ac:dyDescent="0.2">
      <c r="B585" s="10"/>
      <c r="C585" s="11"/>
      <c r="D585" s="11"/>
      <c r="E585" s="12"/>
      <c r="F585" s="41"/>
      <c r="G585" s="30"/>
      <c r="H585" s="30"/>
      <c r="I585" s="11"/>
      <c r="J585" s="11"/>
    </row>
    <row r="586" spans="2:10" s="9" customFormat="1" x14ac:dyDescent="0.2">
      <c r="B586" s="10"/>
      <c r="C586" s="11"/>
      <c r="D586" s="11"/>
      <c r="E586" s="12"/>
      <c r="F586" s="41"/>
      <c r="G586" s="30"/>
      <c r="H586" s="30"/>
      <c r="I586" s="11"/>
      <c r="J586" s="11"/>
    </row>
    <row r="587" spans="2:10" s="9" customFormat="1" x14ac:dyDescent="0.2">
      <c r="B587" s="10"/>
      <c r="C587" s="11"/>
      <c r="D587" s="11"/>
      <c r="E587" s="12"/>
      <c r="F587" s="41"/>
      <c r="G587" s="30"/>
      <c r="H587" s="30"/>
      <c r="I587" s="11"/>
      <c r="J587" s="11"/>
    </row>
    <row r="588" spans="2:10" s="9" customFormat="1" x14ac:dyDescent="0.2">
      <c r="B588" s="10"/>
      <c r="C588" s="11"/>
      <c r="D588" s="11"/>
      <c r="E588" s="12"/>
      <c r="F588" s="41"/>
      <c r="G588" s="30"/>
      <c r="H588" s="30"/>
      <c r="I588" s="11"/>
      <c r="J588" s="11"/>
    </row>
    <row r="589" spans="2:10" s="9" customFormat="1" x14ac:dyDescent="0.2">
      <c r="B589" s="10"/>
      <c r="C589" s="11"/>
      <c r="D589" s="11"/>
      <c r="E589" s="12"/>
      <c r="F589" s="41"/>
      <c r="G589" s="30"/>
      <c r="H589" s="30"/>
      <c r="I589" s="11"/>
      <c r="J589" s="11"/>
    </row>
    <row r="590" spans="2:10" s="9" customFormat="1" x14ac:dyDescent="0.2">
      <c r="B590" s="10"/>
      <c r="C590" s="11"/>
      <c r="D590" s="11"/>
      <c r="E590" s="12"/>
      <c r="F590" s="41"/>
      <c r="G590" s="30"/>
      <c r="H590" s="30"/>
      <c r="I590" s="11"/>
      <c r="J590" s="11"/>
    </row>
    <row r="591" spans="2:10" s="9" customFormat="1" x14ac:dyDescent="0.2">
      <c r="B591" s="10"/>
      <c r="C591" s="11"/>
      <c r="D591" s="11"/>
      <c r="E591" s="12"/>
      <c r="F591" s="41"/>
      <c r="G591" s="30"/>
      <c r="H591" s="30"/>
      <c r="I591" s="11"/>
      <c r="J591" s="11"/>
    </row>
    <row r="592" spans="2:10" s="9" customFormat="1" x14ac:dyDescent="0.2">
      <c r="B592" s="10"/>
      <c r="C592" s="11"/>
      <c r="D592" s="11"/>
      <c r="E592" s="12"/>
      <c r="F592" s="41"/>
      <c r="G592" s="30"/>
      <c r="H592" s="30"/>
      <c r="I592" s="11"/>
      <c r="J592" s="11"/>
    </row>
    <row r="593" spans="2:10" s="9" customFormat="1" x14ac:dyDescent="0.2">
      <c r="B593" s="10"/>
      <c r="C593" s="11"/>
      <c r="D593" s="11"/>
      <c r="E593" s="12"/>
      <c r="F593" s="41"/>
      <c r="G593" s="30"/>
      <c r="H593" s="30"/>
      <c r="I593" s="11"/>
      <c r="J593" s="11"/>
    </row>
    <row r="594" spans="2:10" s="9" customFormat="1" x14ac:dyDescent="0.2">
      <c r="B594" s="10"/>
      <c r="C594" s="11"/>
      <c r="D594" s="11"/>
      <c r="E594" s="12"/>
      <c r="F594" s="41"/>
      <c r="G594" s="30"/>
      <c r="H594" s="30"/>
      <c r="I594" s="11"/>
      <c r="J594" s="11"/>
    </row>
    <row r="595" spans="2:10" s="9" customFormat="1" x14ac:dyDescent="0.2">
      <c r="B595" s="10"/>
      <c r="C595" s="11"/>
      <c r="D595" s="11"/>
      <c r="E595" s="12"/>
      <c r="F595" s="41"/>
      <c r="G595" s="30"/>
      <c r="H595" s="30"/>
      <c r="I595" s="11"/>
      <c r="J595" s="11"/>
    </row>
    <row r="596" spans="2:10" s="9" customFormat="1" x14ac:dyDescent="0.2">
      <c r="B596" s="10"/>
      <c r="C596" s="11"/>
      <c r="D596" s="11"/>
      <c r="E596" s="12"/>
      <c r="F596" s="41"/>
      <c r="G596" s="30"/>
      <c r="H596" s="30"/>
      <c r="I596" s="11"/>
      <c r="J596" s="11"/>
    </row>
    <row r="597" spans="2:10" s="9" customFormat="1" x14ac:dyDescent="0.2">
      <c r="B597" s="10"/>
      <c r="C597" s="11"/>
      <c r="D597" s="11"/>
      <c r="E597" s="12"/>
      <c r="F597" s="41"/>
      <c r="G597" s="30"/>
      <c r="H597" s="30"/>
      <c r="I597" s="11"/>
      <c r="J597" s="11"/>
    </row>
    <row r="598" spans="2:10" s="9" customFormat="1" x14ac:dyDescent="0.2">
      <c r="B598" s="10"/>
      <c r="C598" s="11"/>
      <c r="D598" s="11"/>
      <c r="E598" s="12"/>
      <c r="F598" s="41"/>
      <c r="G598" s="30"/>
      <c r="H598" s="30"/>
      <c r="I598" s="11"/>
      <c r="J598" s="11"/>
    </row>
    <row r="599" spans="2:10" s="9" customFormat="1" x14ac:dyDescent="0.2">
      <c r="B599" s="10"/>
      <c r="C599" s="11"/>
      <c r="D599" s="11"/>
      <c r="E599" s="12"/>
      <c r="F599" s="41"/>
      <c r="G599" s="30"/>
      <c r="H599" s="30"/>
      <c r="I599" s="11"/>
      <c r="J599" s="11"/>
    </row>
    <row r="600" spans="2:10" s="9" customFormat="1" x14ac:dyDescent="0.2">
      <c r="B600" s="10"/>
      <c r="C600" s="11"/>
      <c r="D600" s="11"/>
      <c r="E600" s="12"/>
      <c r="F600" s="41"/>
      <c r="G600" s="30"/>
      <c r="H600" s="30"/>
      <c r="I600" s="11"/>
      <c r="J600" s="11"/>
    </row>
    <row r="601" spans="2:10" s="9" customFormat="1" x14ac:dyDescent="0.2">
      <c r="B601" s="10"/>
      <c r="C601" s="11"/>
      <c r="D601" s="11"/>
      <c r="E601" s="12"/>
      <c r="F601" s="41"/>
      <c r="G601" s="30"/>
      <c r="H601" s="30"/>
      <c r="I601" s="11"/>
      <c r="J601" s="11"/>
    </row>
    <row r="602" spans="2:10" s="9" customFormat="1" x14ac:dyDescent="0.2">
      <c r="B602" s="10"/>
      <c r="C602" s="11"/>
      <c r="D602" s="11"/>
      <c r="E602" s="12"/>
      <c r="F602" s="41"/>
      <c r="G602" s="30"/>
      <c r="H602" s="30"/>
      <c r="I602" s="11"/>
      <c r="J602" s="11"/>
    </row>
    <row r="603" spans="2:10" s="9" customFormat="1" x14ac:dyDescent="0.2">
      <c r="B603" s="10"/>
      <c r="C603" s="11"/>
      <c r="D603" s="11"/>
      <c r="E603" s="12"/>
      <c r="F603" s="41"/>
      <c r="G603" s="30"/>
      <c r="H603" s="30"/>
      <c r="I603" s="11"/>
      <c r="J603" s="11"/>
    </row>
    <row r="604" spans="2:10" s="9" customFormat="1" x14ac:dyDescent="0.2">
      <c r="B604" s="10"/>
      <c r="C604" s="11"/>
      <c r="D604" s="11"/>
      <c r="E604" s="12"/>
      <c r="F604" s="41"/>
      <c r="G604" s="30"/>
      <c r="H604" s="30"/>
      <c r="I604" s="11"/>
      <c r="J604" s="11"/>
    </row>
    <row r="605" spans="2:10" s="9" customFormat="1" x14ac:dyDescent="0.2">
      <c r="B605" s="10"/>
      <c r="C605" s="11"/>
      <c r="D605" s="11"/>
      <c r="E605" s="12"/>
      <c r="F605" s="41"/>
      <c r="G605" s="30"/>
      <c r="H605" s="30"/>
      <c r="I605" s="11"/>
      <c r="J605" s="11"/>
    </row>
    <row r="606" spans="2:10" s="9" customFormat="1" x14ac:dyDescent="0.2">
      <c r="B606" s="10"/>
      <c r="C606" s="11"/>
      <c r="D606" s="11"/>
      <c r="E606" s="12"/>
      <c r="F606" s="41"/>
      <c r="G606" s="30"/>
      <c r="H606" s="30"/>
      <c r="I606" s="11"/>
      <c r="J606" s="11"/>
    </row>
    <row r="607" spans="2:10" s="9" customFormat="1" x14ac:dyDescent="0.2">
      <c r="B607" s="10"/>
      <c r="C607" s="11"/>
      <c r="D607" s="11"/>
      <c r="E607" s="12"/>
      <c r="F607" s="41"/>
      <c r="G607" s="30"/>
      <c r="H607" s="30"/>
      <c r="I607" s="11"/>
      <c r="J607" s="11"/>
    </row>
    <row r="608" spans="2:10" s="9" customFormat="1" x14ac:dyDescent="0.2">
      <c r="B608" s="10"/>
      <c r="C608" s="11"/>
      <c r="D608" s="11"/>
      <c r="E608" s="12"/>
      <c r="F608" s="41"/>
      <c r="G608" s="30"/>
      <c r="H608" s="30"/>
      <c r="I608" s="11"/>
      <c r="J608" s="11"/>
    </row>
    <row r="609" spans="2:10" s="9" customFormat="1" x14ac:dyDescent="0.2">
      <c r="B609" s="10"/>
      <c r="C609" s="11"/>
      <c r="D609" s="11"/>
      <c r="E609" s="12"/>
      <c r="F609" s="41"/>
      <c r="G609" s="30"/>
      <c r="H609" s="30"/>
      <c r="I609" s="11"/>
      <c r="J609" s="11"/>
    </row>
    <row r="610" spans="2:10" s="9" customFormat="1" x14ac:dyDescent="0.2">
      <c r="B610" s="10"/>
      <c r="C610" s="11"/>
      <c r="D610" s="11"/>
      <c r="E610" s="12"/>
      <c r="F610" s="41"/>
      <c r="G610" s="30"/>
      <c r="H610" s="30"/>
      <c r="I610" s="11"/>
      <c r="J610" s="11"/>
    </row>
    <row r="611" spans="2:10" s="9" customFormat="1" x14ac:dyDescent="0.2">
      <c r="B611" s="10"/>
      <c r="C611" s="11"/>
      <c r="D611" s="11"/>
      <c r="E611" s="12"/>
      <c r="F611" s="41"/>
      <c r="G611" s="30"/>
      <c r="H611" s="30"/>
      <c r="I611" s="11"/>
      <c r="J611" s="11"/>
    </row>
    <row r="612" spans="2:10" s="9" customFormat="1" x14ac:dyDescent="0.2">
      <c r="B612" s="10"/>
      <c r="C612" s="11"/>
      <c r="D612" s="11"/>
      <c r="E612" s="12"/>
      <c r="F612" s="41"/>
      <c r="G612" s="30"/>
      <c r="H612" s="30"/>
      <c r="I612" s="11"/>
      <c r="J612" s="11"/>
    </row>
    <row r="613" spans="2:10" s="9" customFormat="1" x14ac:dyDescent="0.2">
      <c r="B613" s="10"/>
      <c r="C613" s="11"/>
      <c r="D613" s="11"/>
      <c r="E613" s="12"/>
      <c r="F613" s="41"/>
      <c r="G613" s="30"/>
      <c r="H613" s="30"/>
      <c r="I613" s="11"/>
      <c r="J613" s="11"/>
    </row>
    <row r="614" spans="2:10" s="9" customFormat="1" x14ac:dyDescent="0.2">
      <c r="B614" s="10"/>
      <c r="C614" s="11"/>
      <c r="D614" s="11"/>
      <c r="E614" s="12"/>
      <c r="F614" s="41"/>
      <c r="G614" s="30"/>
      <c r="H614" s="30"/>
      <c r="I614" s="11"/>
      <c r="J614" s="11"/>
    </row>
    <row r="615" spans="2:10" s="9" customFormat="1" x14ac:dyDescent="0.2">
      <c r="B615" s="10"/>
      <c r="C615" s="11"/>
      <c r="D615" s="11"/>
      <c r="E615" s="12"/>
      <c r="F615" s="41"/>
      <c r="G615" s="30"/>
      <c r="H615" s="30"/>
      <c r="I615" s="11"/>
      <c r="J615" s="11"/>
    </row>
    <row r="616" spans="2:10" s="9" customFormat="1" x14ac:dyDescent="0.2">
      <c r="B616" s="10"/>
      <c r="C616" s="11"/>
      <c r="D616" s="11"/>
      <c r="E616" s="12"/>
      <c r="F616" s="41"/>
      <c r="G616" s="30"/>
      <c r="H616" s="30"/>
      <c r="I616" s="11"/>
      <c r="J616" s="11"/>
    </row>
    <row r="617" spans="2:10" s="9" customFormat="1" x14ac:dyDescent="0.2">
      <c r="B617" s="10"/>
      <c r="C617" s="11"/>
      <c r="D617" s="11"/>
      <c r="E617" s="12"/>
      <c r="F617" s="41"/>
      <c r="G617" s="30"/>
      <c r="H617" s="30"/>
      <c r="I617" s="11"/>
      <c r="J617" s="11"/>
    </row>
    <row r="618" spans="2:10" s="9" customFormat="1" x14ac:dyDescent="0.2">
      <c r="B618" s="10"/>
      <c r="C618" s="11"/>
      <c r="D618" s="11"/>
      <c r="E618" s="12"/>
      <c r="F618" s="41"/>
      <c r="G618" s="30"/>
      <c r="H618" s="30"/>
      <c r="I618" s="11"/>
      <c r="J618" s="11"/>
    </row>
    <row r="619" spans="2:10" s="9" customFormat="1" x14ac:dyDescent="0.2">
      <c r="B619" s="10"/>
      <c r="C619" s="11"/>
      <c r="D619" s="11"/>
      <c r="E619" s="12"/>
      <c r="F619" s="41"/>
      <c r="G619" s="30"/>
      <c r="H619" s="30"/>
      <c r="I619" s="11"/>
      <c r="J619" s="11"/>
    </row>
    <row r="620" spans="2:10" s="9" customFormat="1" x14ac:dyDescent="0.2">
      <c r="B620" s="10"/>
      <c r="C620" s="11"/>
      <c r="D620" s="11"/>
      <c r="E620" s="12"/>
      <c r="F620" s="41"/>
      <c r="G620" s="30"/>
      <c r="H620" s="30"/>
      <c r="I620" s="11"/>
      <c r="J620" s="11"/>
    </row>
    <row r="621" spans="2:10" s="9" customFormat="1" x14ac:dyDescent="0.2">
      <c r="B621" s="10"/>
      <c r="C621" s="11"/>
      <c r="D621" s="11"/>
      <c r="E621" s="12"/>
      <c r="F621" s="41"/>
      <c r="G621" s="30"/>
      <c r="H621" s="30"/>
      <c r="I621" s="11"/>
      <c r="J621" s="11"/>
    </row>
    <row r="622" spans="2:10" s="9" customFormat="1" x14ac:dyDescent="0.2">
      <c r="B622" s="10"/>
      <c r="C622" s="11"/>
      <c r="D622" s="11"/>
      <c r="E622" s="12"/>
      <c r="F622" s="41"/>
      <c r="G622" s="30"/>
      <c r="H622" s="30"/>
      <c r="I622" s="11"/>
      <c r="J622" s="11"/>
    </row>
    <row r="623" spans="2:10" s="9" customFormat="1" x14ac:dyDescent="0.2">
      <c r="B623" s="10"/>
      <c r="C623" s="11"/>
      <c r="D623" s="11"/>
      <c r="E623" s="12"/>
      <c r="F623" s="41"/>
      <c r="G623" s="30"/>
      <c r="H623" s="30"/>
      <c r="I623" s="11"/>
      <c r="J623" s="11"/>
    </row>
    <row r="624" spans="2:10" s="9" customFormat="1" x14ac:dyDescent="0.2">
      <c r="B624" s="10"/>
      <c r="C624" s="11"/>
      <c r="D624" s="11"/>
      <c r="E624" s="12"/>
      <c r="F624" s="41"/>
      <c r="G624" s="30"/>
      <c r="H624" s="30"/>
      <c r="I624" s="11"/>
      <c r="J624" s="11"/>
    </row>
    <row r="625" spans="2:10" s="9" customFormat="1" x14ac:dyDescent="0.2">
      <c r="B625" s="10"/>
      <c r="C625" s="11"/>
      <c r="D625" s="11"/>
      <c r="E625" s="12"/>
      <c r="F625" s="41"/>
      <c r="G625" s="30"/>
      <c r="H625" s="30"/>
      <c r="I625" s="11"/>
      <c r="J625" s="11"/>
    </row>
    <row r="626" spans="2:10" s="9" customFormat="1" x14ac:dyDescent="0.2">
      <c r="B626" s="10"/>
      <c r="C626" s="11"/>
      <c r="D626" s="11"/>
      <c r="E626" s="12"/>
      <c r="F626" s="41"/>
      <c r="G626" s="30"/>
      <c r="H626" s="30"/>
      <c r="I626" s="11"/>
      <c r="J626" s="11"/>
    </row>
    <row r="627" spans="2:10" s="9" customFormat="1" x14ac:dyDescent="0.2">
      <c r="B627" s="10"/>
      <c r="C627" s="11"/>
      <c r="D627" s="11"/>
      <c r="E627" s="12"/>
      <c r="F627" s="41"/>
      <c r="G627" s="30"/>
      <c r="H627" s="30"/>
      <c r="I627" s="11"/>
      <c r="J627" s="11"/>
    </row>
    <row r="628" spans="2:10" s="9" customFormat="1" x14ac:dyDescent="0.2">
      <c r="B628" s="10"/>
      <c r="C628" s="11"/>
      <c r="D628" s="11"/>
      <c r="E628" s="12"/>
      <c r="F628" s="41"/>
      <c r="G628" s="30"/>
      <c r="H628" s="30"/>
      <c r="I628" s="11"/>
      <c r="J628" s="11"/>
    </row>
    <row r="629" spans="2:10" s="9" customFormat="1" x14ac:dyDescent="0.2">
      <c r="B629" s="10"/>
      <c r="C629" s="11"/>
      <c r="D629" s="11"/>
      <c r="E629" s="12"/>
      <c r="F629" s="41"/>
      <c r="G629" s="30"/>
      <c r="H629" s="30"/>
      <c r="I629" s="11"/>
      <c r="J629" s="11"/>
    </row>
    <row r="630" spans="2:10" s="9" customFormat="1" x14ac:dyDescent="0.2">
      <c r="B630" s="10"/>
      <c r="C630" s="11"/>
      <c r="D630" s="11"/>
      <c r="E630" s="12"/>
      <c r="F630" s="41"/>
      <c r="G630" s="30"/>
      <c r="H630" s="30"/>
      <c r="I630" s="11"/>
      <c r="J630" s="11"/>
    </row>
    <row r="631" spans="2:10" s="9" customFormat="1" x14ac:dyDescent="0.2">
      <c r="B631" s="10"/>
      <c r="C631" s="11"/>
      <c r="D631" s="11"/>
      <c r="E631" s="12"/>
      <c r="F631" s="41"/>
      <c r="G631" s="30"/>
      <c r="H631" s="30"/>
      <c r="I631" s="11"/>
      <c r="J631" s="11"/>
    </row>
    <row r="632" spans="2:10" s="9" customFormat="1" x14ac:dyDescent="0.2">
      <c r="B632" s="10"/>
      <c r="C632" s="11"/>
      <c r="D632" s="11"/>
      <c r="E632" s="12"/>
      <c r="F632" s="41"/>
      <c r="G632" s="30"/>
      <c r="H632" s="30"/>
      <c r="I632" s="11"/>
      <c r="J632" s="11"/>
    </row>
    <row r="633" spans="2:10" s="9" customFormat="1" x14ac:dyDescent="0.2">
      <c r="B633" s="10"/>
      <c r="C633" s="11"/>
      <c r="D633" s="11"/>
      <c r="E633" s="12"/>
      <c r="F633" s="41"/>
      <c r="G633" s="30"/>
      <c r="H633" s="30"/>
      <c r="I633" s="11"/>
      <c r="J633" s="11"/>
    </row>
    <row r="634" spans="2:10" s="9" customFormat="1" x14ac:dyDescent="0.2">
      <c r="B634" s="10"/>
      <c r="C634" s="11"/>
      <c r="D634" s="11"/>
      <c r="E634" s="12"/>
      <c r="F634" s="41"/>
      <c r="G634" s="30"/>
      <c r="H634" s="30"/>
      <c r="I634" s="11"/>
      <c r="J634" s="11"/>
    </row>
    <row r="635" spans="2:10" s="9" customFormat="1" x14ac:dyDescent="0.2">
      <c r="B635" s="10"/>
      <c r="C635" s="11"/>
      <c r="D635" s="11"/>
      <c r="E635" s="12"/>
      <c r="F635" s="41"/>
      <c r="G635" s="30"/>
      <c r="H635" s="30"/>
      <c r="I635" s="11"/>
      <c r="J635" s="11"/>
    </row>
    <row r="636" spans="2:10" s="9" customFormat="1" x14ac:dyDescent="0.2">
      <c r="B636" s="10"/>
      <c r="C636" s="11"/>
      <c r="D636" s="11"/>
      <c r="E636" s="12"/>
      <c r="F636" s="41"/>
      <c r="G636" s="30"/>
      <c r="H636" s="30"/>
      <c r="I636" s="11"/>
      <c r="J636" s="11"/>
    </row>
    <row r="637" spans="2:10" s="9" customFormat="1" x14ac:dyDescent="0.2">
      <c r="B637" s="10"/>
      <c r="C637" s="11"/>
      <c r="D637" s="11"/>
      <c r="E637" s="12"/>
      <c r="F637" s="41"/>
      <c r="G637" s="30"/>
      <c r="H637" s="30"/>
      <c r="I637" s="11"/>
      <c r="J637" s="11"/>
    </row>
    <row r="638" spans="2:10" s="9" customFormat="1" x14ac:dyDescent="0.2">
      <c r="B638" s="10"/>
      <c r="C638" s="11"/>
      <c r="D638" s="11"/>
      <c r="E638" s="12"/>
      <c r="F638" s="41"/>
      <c r="G638" s="30"/>
      <c r="H638" s="30"/>
      <c r="I638" s="11"/>
      <c r="J638" s="11"/>
    </row>
    <row r="639" spans="2:10" s="9" customFormat="1" x14ac:dyDescent="0.2">
      <c r="B639" s="10"/>
      <c r="C639" s="11"/>
      <c r="D639" s="11"/>
      <c r="E639" s="12"/>
      <c r="F639" s="41"/>
      <c r="G639" s="30"/>
      <c r="H639" s="30"/>
      <c r="I639" s="11"/>
      <c r="J639" s="11"/>
    </row>
    <row r="640" spans="2:10" s="9" customFormat="1" x14ac:dyDescent="0.2">
      <c r="B640" s="10"/>
      <c r="C640" s="11"/>
      <c r="D640" s="11"/>
      <c r="E640" s="12"/>
      <c r="F640" s="41"/>
      <c r="G640" s="30"/>
      <c r="H640" s="30"/>
      <c r="I640" s="11"/>
      <c r="J640" s="11"/>
    </row>
    <row r="641" spans="2:10" s="9" customFormat="1" x14ac:dyDescent="0.2">
      <c r="B641" s="10"/>
      <c r="C641" s="11"/>
      <c r="D641" s="11"/>
      <c r="E641" s="12"/>
      <c r="F641" s="41"/>
      <c r="G641" s="30"/>
      <c r="H641" s="30"/>
      <c r="I641" s="11"/>
      <c r="J641" s="11"/>
    </row>
    <row r="642" spans="2:10" s="9" customFormat="1" x14ac:dyDescent="0.2">
      <c r="B642" s="10"/>
      <c r="C642" s="11"/>
      <c r="D642" s="11"/>
      <c r="E642" s="12"/>
      <c r="F642" s="41"/>
      <c r="G642" s="30"/>
      <c r="H642" s="30"/>
      <c r="I642" s="11"/>
      <c r="J642" s="11"/>
    </row>
    <row r="643" spans="2:10" s="9" customFormat="1" x14ac:dyDescent="0.2">
      <c r="B643" s="10"/>
      <c r="C643" s="11"/>
      <c r="D643" s="11"/>
      <c r="E643" s="12"/>
      <c r="F643" s="41"/>
      <c r="G643" s="30"/>
      <c r="H643" s="30"/>
      <c r="I643" s="11"/>
      <c r="J643" s="11"/>
    </row>
    <row r="644" spans="2:10" s="9" customFormat="1" x14ac:dyDescent="0.2">
      <c r="B644" s="10"/>
      <c r="C644" s="11"/>
      <c r="D644" s="11"/>
      <c r="E644" s="12"/>
      <c r="F644" s="41"/>
      <c r="G644" s="30"/>
      <c r="H644" s="30"/>
      <c r="I644" s="11"/>
      <c r="J644" s="11"/>
    </row>
    <row r="645" spans="2:10" s="9" customFormat="1" x14ac:dyDescent="0.2">
      <c r="B645" s="10"/>
      <c r="C645" s="11"/>
      <c r="D645" s="11"/>
      <c r="E645" s="12"/>
      <c r="F645" s="41"/>
      <c r="G645" s="30"/>
      <c r="H645" s="30"/>
      <c r="I645" s="11"/>
      <c r="J645" s="11"/>
    </row>
    <row r="646" spans="2:10" s="9" customFormat="1" x14ac:dyDescent="0.2">
      <c r="B646" s="10"/>
      <c r="C646" s="11"/>
      <c r="D646" s="11"/>
      <c r="E646" s="12"/>
      <c r="F646" s="41"/>
      <c r="G646" s="30"/>
      <c r="H646" s="30"/>
      <c r="I646" s="11"/>
      <c r="J646" s="11"/>
    </row>
    <row r="647" spans="2:10" s="9" customFormat="1" x14ac:dyDescent="0.2">
      <c r="B647" s="10"/>
      <c r="C647" s="11"/>
      <c r="D647" s="11"/>
      <c r="E647" s="12"/>
      <c r="F647" s="41"/>
      <c r="G647" s="30"/>
      <c r="H647" s="30"/>
      <c r="I647" s="11"/>
      <c r="J647" s="11"/>
    </row>
    <row r="648" spans="2:10" s="9" customFormat="1" x14ac:dyDescent="0.2">
      <c r="B648" s="10"/>
      <c r="C648" s="11"/>
      <c r="D648" s="11"/>
      <c r="E648" s="12"/>
      <c r="F648" s="41"/>
      <c r="G648" s="30"/>
      <c r="H648" s="30"/>
      <c r="I648" s="11"/>
      <c r="J648" s="11"/>
    </row>
    <row r="649" spans="2:10" s="9" customFormat="1" x14ac:dyDescent="0.2">
      <c r="B649" s="10"/>
      <c r="C649" s="11"/>
      <c r="D649" s="11"/>
      <c r="E649" s="12"/>
      <c r="F649" s="41"/>
      <c r="G649" s="30"/>
      <c r="H649" s="30"/>
      <c r="I649" s="11"/>
      <c r="J649" s="11"/>
    </row>
    <row r="650" spans="2:10" s="9" customFormat="1" x14ac:dyDescent="0.2">
      <c r="B650" s="10"/>
      <c r="C650" s="11"/>
      <c r="D650" s="11"/>
      <c r="E650" s="12"/>
      <c r="F650" s="41"/>
      <c r="G650" s="30"/>
      <c r="H650" s="30"/>
      <c r="I650" s="11"/>
      <c r="J650" s="11"/>
    </row>
    <row r="651" spans="2:10" s="9" customFormat="1" x14ac:dyDescent="0.2">
      <c r="B651" s="10"/>
      <c r="C651" s="11"/>
      <c r="D651" s="11"/>
      <c r="E651" s="12"/>
      <c r="F651" s="41"/>
      <c r="G651" s="30"/>
      <c r="H651" s="30"/>
      <c r="I651" s="11"/>
      <c r="J651" s="11"/>
    </row>
    <row r="652" spans="2:10" s="9" customFormat="1" x14ac:dyDescent="0.2">
      <c r="B652" s="10"/>
      <c r="C652" s="11"/>
      <c r="D652" s="11"/>
      <c r="E652" s="12"/>
      <c r="F652" s="41"/>
      <c r="G652" s="30"/>
      <c r="H652" s="30"/>
      <c r="I652" s="11"/>
      <c r="J652" s="11"/>
    </row>
    <row r="653" spans="2:10" s="9" customFormat="1" x14ac:dyDescent="0.2">
      <c r="B653" s="10"/>
      <c r="C653" s="11"/>
      <c r="D653" s="11"/>
      <c r="E653" s="12"/>
      <c r="F653" s="41"/>
      <c r="G653" s="30"/>
      <c r="H653" s="30"/>
      <c r="I653" s="11"/>
      <c r="J653" s="11"/>
    </row>
    <row r="654" spans="2:10" s="9" customFormat="1" x14ac:dyDescent="0.2">
      <c r="B654" s="10"/>
      <c r="C654" s="11"/>
      <c r="D654" s="11"/>
      <c r="E654" s="12"/>
      <c r="F654" s="41"/>
      <c r="G654" s="30"/>
      <c r="H654" s="30"/>
      <c r="I654" s="11"/>
      <c r="J654" s="11"/>
    </row>
    <row r="655" spans="2:10" s="9" customFormat="1" x14ac:dyDescent="0.2">
      <c r="B655" s="10"/>
      <c r="C655" s="11"/>
      <c r="D655" s="11"/>
      <c r="E655" s="12"/>
      <c r="F655" s="41"/>
      <c r="G655" s="30"/>
      <c r="H655" s="30"/>
      <c r="I655" s="11"/>
      <c r="J655" s="11"/>
    </row>
    <row r="656" spans="2:10" s="9" customFormat="1" x14ac:dyDescent="0.2">
      <c r="B656" s="10"/>
      <c r="C656" s="11"/>
      <c r="D656" s="11"/>
      <c r="E656" s="12"/>
      <c r="F656" s="41"/>
      <c r="G656" s="30"/>
      <c r="H656" s="30"/>
      <c r="I656" s="11"/>
      <c r="J656" s="11"/>
    </row>
    <row r="657" spans="2:10" s="9" customFormat="1" x14ac:dyDescent="0.2">
      <c r="B657" s="10"/>
      <c r="C657" s="11"/>
      <c r="D657" s="11"/>
      <c r="E657" s="12"/>
      <c r="F657" s="41"/>
      <c r="G657" s="30"/>
      <c r="H657" s="30"/>
      <c r="I657" s="11"/>
      <c r="J657" s="11"/>
    </row>
    <row r="658" spans="2:10" s="9" customFormat="1" x14ac:dyDescent="0.2">
      <c r="B658" s="10"/>
      <c r="C658" s="11"/>
      <c r="D658" s="11"/>
      <c r="E658" s="12"/>
      <c r="F658" s="41"/>
      <c r="G658" s="30"/>
      <c r="H658" s="30"/>
      <c r="I658" s="11"/>
      <c r="J658" s="11"/>
    </row>
    <row r="659" spans="2:10" s="9" customFormat="1" x14ac:dyDescent="0.2">
      <c r="B659" s="10"/>
      <c r="C659" s="11"/>
      <c r="D659" s="11"/>
      <c r="E659" s="12"/>
      <c r="F659" s="41"/>
      <c r="G659" s="30"/>
      <c r="H659" s="30"/>
      <c r="I659" s="11"/>
      <c r="J659" s="11"/>
    </row>
    <row r="660" spans="2:10" s="9" customFormat="1" x14ac:dyDescent="0.2">
      <c r="B660" s="10"/>
      <c r="C660" s="11"/>
      <c r="D660" s="11"/>
      <c r="E660" s="12"/>
      <c r="F660" s="41"/>
      <c r="G660" s="30"/>
      <c r="H660" s="30"/>
      <c r="I660" s="11"/>
      <c r="J660" s="11"/>
    </row>
    <row r="661" spans="2:10" s="9" customFormat="1" x14ac:dyDescent="0.2">
      <c r="B661" s="10"/>
      <c r="C661" s="11"/>
      <c r="D661" s="11"/>
      <c r="E661" s="12"/>
      <c r="F661" s="41"/>
      <c r="G661" s="30"/>
      <c r="H661" s="30"/>
      <c r="I661" s="11"/>
      <c r="J661" s="11"/>
    </row>
    <row r="662" spans="2:10" s="9" customFormat="1" x14ac:dyDescent="0.2">
      <c r="B662" s="10"/>
      <c r="C662" s="11"/>
      <c r="D662" s="11"/>
      <c r="E662" s="12"/>
      <c r="F662" s="41"/>
      <c r="G662" s="30"/>
      <c r="H662" s="30"/>
      <c r="I662" s="11"/>
      <c r="J662" s="11"/>
    </row>
    <row r="663" spans="2:10" s="9" customFormat="1" x14ac:dyDescent="0.2">
      <c r="B663" s="10"/>
      <c r="C663" s="11"/>
      <c r="D663" s="11"/>
      <c r="E663" s="12"/>
      <c r="F663" s="41"/>
      <c r="G663" s="30"/>
      <c r="H663" s="30"/>
      <c r="I663" s="11"/>
      <c r="J663" s="11"/>
    </row>
    <row r="664" spans="2:10" s="9" customFormat="1" x14ac:dyDescent="0.2">
      <c r="B664" s="10"/>
      <c r="C664" s="11"/>
      <c r="D664" s="11"/>
      <c r="E664" s="12"/>
      <c r="F664" s="41"/>
      <c r="G664" s="30"/>
      <c r="H664" s="30"/>
      <c r="I664" s="11"/>
      <c r="J664" s="11"/>
    </row>
    <row r="665" spans="2:10" s="9" customFormat="1" x14ac:dyDescent="0.2">
      <c r="B665" s="10"/>
      <c r="C665" s="11"/>
      <c r="D665" s="11"/>
      <c r="E665" s="12"/>
      <c r="F665" s="41"/>
      <c r="G665" s="30"/>
      <c r="H665" s="30"/>
      <c r="I665" s="11"/>
      <c r="J665" s="11"/>
    </row>
    <row r="666" spans="2:10" s="9" customFormat="1" x14ac:dyDescent="0.2">
      <c r="B666" s="10"/>
      <c r="C666" s="11"/>
      <c r="D666" s="11"/>
      <c r="E666" s="12"/>
      <c r="F666" s="41"/>
      <c r="G666" s="30"/>
      <c r="H666" s="30"/>
      <c r="I666" s="11"/>
      <c r="J666" s="11"/>
    </row>
    <row r="667" spans="2:10" s="9" customFormat="1" x14ac:dyDescent="0.2">
      <c r="B667" s="10"/>
      <c r="C667" s="11"/>
      <c r="D667" s="11"/>
      <c r="E667" s="12"/>
      <c r="F667" s="41"/>
      <c r="G667" s="30"/>
      <c r="H667" s="30"/>
      <c r="I667" s="11"/>
      <c r="J667" s="11"/>
    </row>
    <row r="668" spans="2:10" s="9" customFormat="1" x14ac:dyDescent="0.2">
      <c r="B668" s="10"/>
      <c r="C668" s="11"/>
      <c r="D668" s="11"/>
      <c r="E668" s="12"/>
      <c r="F668" s="41"/>
      <c r="G668" s="30"/>
      <c r="H668" s="30"/>
      <c r="I668" s="11"/>
      <c r="J668" s="11"/>
    </row>
    <row r="669" spans="2:10" s="9" customFormat="1" x14ac:dyDescent="0.2">
      <c r="B669" s="10"/>
      <c r="C669" s="11"/>
      <c r="D669" s="11"/>
      <c r="E669" s="12"/>
      <c r="F669" s="41"/>
      <c r="G669" s="30"/>
      <c r="H669" s="30"/>
      <c r="I669" s="11"/>
      <c r="J669" s="11"/>
    </row>
    <row r="670" spans="2:10" s="9" customFormat="1" x14ac:dyDescent="0.2">
      <c r="B670" s="10"/>
      <c r="C670" s="11"/>
      <c r="D670" s="11"/>
      <c r="E670" s="12"/>
      <c r="F670" s="41"/>
      <c r="G670" s="30"/>
      <c r="H670" s="30"/>
      <c r="I670" s="11"/>
      <c r="J670" s="11"/>
    </row>
    <row r="671" spans="2:10" s="9" customFormat="1" x14ac:dyDescent="0.2">
      <c r="B671" s="10"/>
      <c r="C671" s="11"/>
      <c r="D671" s="11"/>
      <c r="E671" s="12"/>
      <c r="F671" s="41"/>
      <c r="G671" s="30"/>
      <c r="H671" s="30"/>
      <c r="I671" s="11"/>
      <c r="J671" s="11"/>
    </row>
    <row r="672" spans="2:10" s="9" customFormat="1" x14ac:dyDescent="0.2">
      <c r="B672" s="10"/>
      <c r="C672" s="11"/>
      <c r="D672" s="11"/>
      <c r="E672" s="12"/>
      <c r="F672" s="41"/>
      <c r="G672" s="30"/>
      <c r="H672" s="30"/>
      <c r="I672" s="11"/>
      <c r="J672" s="11"/>
    </row>
    <row r="673" spans="2:10" s="9" customFormat="1" x14ac:dyDescent="0.2">
      <c r="B673" s="10"/>
      <c r="C673" s="11"/>
      <c r="D673" s="11"/>
      <c r="E673" s="12"/>
      <c r="F673" s="41"/>
      <c r="G673" s="30"/>
      <c r="H673" s="30"/>
      <c r="I673" s="11"/>
      <c r="J673" s="11"/>
    </row>
    <row r="674" spans="2:10" s="9" customFormat="1" x14ac:dyDescent="0.2">
      <c r="B674" s="10"/>
      <c r="C674" s="11"/>
      <c r="D674" s="11"/>
      <c r="E674" s="12"/>
      <c r="F674" s="41"/>
      <c r="G674" s="30"/>
      <c r="H674" s="30"/>
      <c r="I674" s="11"/>
      <c r="J674" s="11"/>
    </row>
    <row r="675" spans="2:10" s="9" customFormat="1" x14ac:dyDescent="0.2">
      <c r="B675" s="10"/>
      <c r="C675" s="11"/>
      <c r="D675" s="11"/>
      <c r="E675" s="12"/>
      <c r="F675" s="41"/>
      <c r="G675" s="30"/>
      <c r="H675" s="30"/>
      <c r="I675" s="11"/>
      <c r="J675" s="11"/>
    </row>
    <row r="676" spans="2:10" s="9" customFormat="1" x14ac:dyDescent="0.2">
      <c r="B676" s="10"/>
      <c r="C676" s="11"/>
      <c r="D676" s="11"/>
      <c r="E676" s="12"/>
      <c r="F676" s="41"/>
      <c r="G676" s="30"/>
      <c r="H676" s="30"/>
      <c r="I676" s="11"/>
      <c r="J676" s="11"/>
    </row>
    <row r="677" spans="2:10" s="9" customFormat="1" x14ac:dyDescent="0.2">
      <c r="B677" s="10"/>
      <c r="C677" s="11"/>
      <c r="D677" s="11"/>
      <c r="E677" s="12"/>
      <c r="F677" s="41"/>
      <c r="G677" s="30"/>
      <c r="H677" s="30"/>
      <c r="I677" s="11"/>
      <c r="J677" s="11"/>
    </row>
    <row r="678" spans="2:10" s="9" customFormat="1" x14ac:dyDescent="0.2">
      <c r="B678" s="10"/>
      <c r="C678" s="11"/>
      <c r="D678" s="11"/>
      <c r="E678" s="12"/>
      <c r="F678" s="41"/>
      <c r="G678" s="30"/>
      <c r="H678" s="30"/>
      <c r="I678" s="11"/>
      <c r="J678" s="11"/>
    </row>
    <row r="679" spans="2:10" s="9" customFormat="1" x14ac:dyDescent="0.2">
      <c r="B679" s="10"/>
      <c r="C679" s="11"/>
      <c r="D679" s="11"/>
      <c r="E679" s="12"/>
      <c r="F679" s="41"/>
      <c r="G679" s="30"/>
      <c r="H679" s="30"/>
      <c r="I679" s="11"/>
      <c r="J679" s="11"/>
    </row>
    <row r="680" spans="2:10" s="9" customFormat="1" x14ac:dyDescent="0.2">
      <c r="B680" s="10"/>
      <c r="C680" s="11"/>
      <c r="D680" s="11"/>
      <c r="E680" s="12"/>
      <c r="F680" s="41"/>
      <c r="G680" s="30"/>
      <c r="H680" s="30"/>
      <c r="I680" s="11"/>
      <c r="J680" s="11"/>
    </row>
    <row r="681" spans="2:10" s="9" customFormat="1" x14ac:dyDescent="0.2">
      <c r="B681" s="10"/>
      <c r="C681" s="11"/>
      <c r="D681" s="11"/>
      <c r="E681" s="12"/>
      <c r="F681" s="41"/>
      <c r="G681" s="30"/>
      <c r="H681" s="30"/>
      <c r="I681" s="11"/>
      <c r="J681" s="11"/>
    </row>
    <row r="682" spans="2:10" s="9" customFormat="1" x14ac:dyDescent="0.2">
      <c r="B682" s="10"/>
      <c r="C682" s="11"/>
      <c r="D682" s="11"/>
      <c r="E682" s="12"/>
      <c r="F682" s="41"/>
      <c r="G682" s="30"/>
      <c r="H682" s="30"/>
      <c r="I682" s="11"/>
      <c r="J682" s="11"/>
    </row>
    <row r="683" spans="2:10" s="9" customFormat="1" x14ac:dyDescent="0.2">
      <c r="B683" s="10"/>
      <c r="C683" s="11"/>
      <c r="D683" s="11"/>
      <c r="E683" s="12"/>
      <c r="F683" s="41"/>
      <c r="G683" s="30"/>
      <c r="H683" s="30"/>
      <c r="I683" s="11"/>
      <c r="J683" s="11"/>
    </row>
    <row r="684" spans="2:10" s="9" customFormat="1" x14ac:dyDescent="0.2">
      <c r="B684" s="10"/>
      <c r="C684" s="11"/>
      <c r="D684" s="11"/>
      <c r="E684" s="12"/>
      <c r="F684" s="41"/>
      <c r="G684" s="30"/>
      <c r="H684" s="30"/>
      <c r="I684" s="11"/>
      <c r="J684" s="11"/>
    </row>
    <row r="685" spans="2:10" s="9" customFormat="1" x14ac:dyDescent="0.2">
      <c r="B685" s="10"/>
      <c r="C685" s="11"/>
      <c r="D685" s="11"/>
      <c r="E685" s="12"/>
      <c r="F685" s="41"/>
      <c r="G685" s="30"/>
      <c r="H685" s="30"/>
      <c r="I685" s="11"/>
      <c r="J685" s="11"/>
    </row>
    <row r="686" spans="2:10" s="9" customFormat="1" x14ac:dyDescent="0.2">
      <c r="B686" s="10"/>
      <c r="C686" s="11"/>
      <c r="D686" s="11"/>
      <c r="E686" s="12"/>
      <c r="F686" s="41"/>
      <c r="G686" s="30"/>
      <c r="H686" s="30"/>
      <c r="I686" s="11"/>
      <c r="J686" s="11"/>
    </row>
    <row r="687" spans="2:10" s="9" customFormat="1" x14ac:dyDescent="0.2">
      <c r="B687" s="10"/>
      <c r="C687" s="11"/>
      <c r="D687" s="11"/>
      <c r="E687" s="12"/>
      <c r="F687" s="41"/>
      <c r="G687" s="30"/>
      <c r="H687" s="30"/>
      <c r="I687" s="11"/>
      <c r="J687" s="11"/>
    </row>
    <row r="688" spans="2:10" s="9" customFormat="1" x14ac:dyDescent="0.2">
      <c r="B688" s="10"/>
      <c r="C688" s="11"/>
      <c r="D688" s="11"/>
      <c r="E688" s="12"/>
      <c r="F688" s="41"/>
      <c r="G688" s="30"/>
      <c r="H688" s="30"/>
      <c r="I688" s="11"/>
      <c r="J688" s="11"/>
    </row>
    <row r="689" spans="2:10" s="9" customFormat="1" x14ac:dyDescent="0.2">
      <c r="B689" s="10"/>
      <c r="C689" s="11"/>
      <c r="D689" s="11"/>
      <c r="E689" s="12"/>
      <c r="F689" s="41"/>
      <c r="G689" s="30"/>
      <c r="H689" s="30"/>
      <c r="I689" s="11"/>
      <c r="J689" s="11"/>
    </row>
    <row r="690" spans="2:10" s="9" customFormat="1" x14ac:dyDescent="0.2">
      <c r="B690" s="10"/>
      <c r="C690" s="11"/>
      <c r="D690" s="11"/>
      <c r="E690" s="12"/>
      <c r="F690" s="41"/>
      <c r="G690" s="30"/>
      <c r="H690" s="30"/>
      <c r="I690" s="11"/>
      <c r="J690" s="11"/>
    </row>
    <row r="691" spans="2:10" s="9" customFormat="1" x14ac:dyDescent="0.2">
      <c r="B691" s="10"/>
      <c r="C691" s="11"/>
      <c r="D691" s="11"/>
      <c r="E691" s="12"/>
      <c r="F691" s="41"/>
      <c r="G691" s="30"/>
      <c r="H691" s="30"/>
      <c r="I691" s="11"/>
      <c r="J691" s="11"/>
    </row>
    <row r="692" spans="2:10" s="9" customFormat="1" x14ac:dyDescent="0.2">
      <c r="B692" s="10"/>
      <c r="C692" s="11"/>
      <c r="D692" s="11"/>
      <c r="E692" s="12"/>
      <c r="F692" s="41"/>
      <c r="G692" s="30"/>
      <c r="H692" s="30"/>
      <c r="I692" s="11"/>
      <c r="J692" s="11"/>
    </row>
    <row r="693" spans="2:10" s="9" customFormat="1" x14ac:dyDescent="0.2">
      <c r="B693" s="10"/>
      <c r="C693" s="11"/>
      <c r="D693" s="11"/>
      <c r="E693" s="12"/>
      <c r="F693" s="41"/>
      <c r="G693" s="30"/>
      <c r="H693" s="30"/>
      <c r="I693" s="11"/>
      <c r="J693" s="11"/>
    </row>
    <row r="694" spans="2:10" s="9" customFormat="1" x14ac:dyDescent="0.2">
      <c r="B694" s="10"/>
      <c r="C694" s="11"/>
      <c r="D694" s="11"/>
      <c r="E694" s="12"/>
      <c r="F694" s="41"/>
      <c r="G694" s="30"/>
      <c r="H694" s="30"/>
      <c r="I694" s="11"/>
      <c r="J694" s="11"/>
    </row>
    <row r="695" spans="2:10" s="9" customFormat="1" x14ac:dyDescent="0.2">
      <c r="B695" s="10"/>
      <c r="C695" s="11"/>
      <c r="D695" s="11"/>
      <c r="E695" s="12"/>
      <c r="F695" s="41"/>
      <c r="G695" s="30"/>
      <c r="H695" s="30"/>
      <c r="I695" s="11"/>
      <c r="J695" s="11"/>
    </row>
    <row r="696" spans="2:10" s="9" customFormat="1" x14ac:dyDescent="0.2">
      <c r="B696" s="10"/>
      <c r="C696" s="11"/>
      <c r="D696" s="11"/>
      <c r="E696" s="12"/>
      <c r="F696" s="41"/>
      <c r="G696" s="30"/>
      <c r="H696" s="30"/>
      <c r="I696" s="11"/>
      <c r="J696" s="11"/>
    </row>
    <row r="697" spans="2:10" s="9" customFormat="1" x14ac:dyDescent="0.2">
      <c r="B697" s="10"/>
      <c r="C697" s="11"/>
      <c r="D697" s="11"/>
      <c r="E697" s="12"/>
      <c r="F697" s="41"/>
      <c r="G697" s="30"/>
      <c r="H697" s="30"/>
      <c r="I697" s="11"/>
      <c r="J697" s="11"/>
    </row>
    <row r="698" spans="2:10" s="9" customFormat="1" x14ac:dyDescent="0.2">
      <c r="B698" s="10"/>
      <c r="C698" s="11"/>
      <c r="D698" s="11"/>
      <c r="E698" s="12"/>
      <c r="F698" s="41"/>
      <c r="G698" s="30"/>
      <c r="H698" s="30"/>
      <c r="I698" s="11"/>
      <c r="J698" s="11"/>
    </row>
    <row r="699" spans="2:10" s="9" customFormat="1" x14ac:dyDescent="0.2">
      <c r="B699" s="10"/>
      <c r="C699" s="11"/>
      <c r="D699" s="11"/>
      <c r="E699" s="12"/>
      <c r="F699" s="41"/>
      <c r="G699" s="30"/>
      <c r="H699" s="30"/>
      <c r="I699" s="11"/>
      <c r="J699" s="11"/>
    </row>
    <row r="700" spans="2:10" s="9" customFormat="1" x14ac:dyDescent="0.2">
      <c r="B700" s="10"/>
      <c r="C700" s="11"/>
      <c r="D700" s="11"/>
      <c r="E700" s="12"/>
      <c r="F700" s="41"/>
      <c r="G700" s="30"/>
      <c r="H700" s="30"/>
      <c r="I700" s="11"/>
      <c r="J700" s="11"/>
    </row>
    <row r="701" spans="2:10" s="9" customFormat="1" x14ac:dyDescent="0.2">
      <c r="B701" s="10"/>
      <c r="C701" s="11"/>
      <c r="D701" s="11"/>
      <c r="E701" s="12"/>
      <c r="F701" s="41"/>
      <c r="G701" s="30"/>
      <c r="H701" s="30"/>
      <c r="I701" s="11"/>
      <c r="J701" s="11"/>
    </row>
    <row r="702" spans="2:10" s="9" customFormat="1" x14ac:dyDescent="0.2">
      <c r="B702" s="10"/>
      <c r="C702" s="11"/>
      <c r="D702" s="11"/>
      <c r="E702" s="12"/>
      <c r="F702" s="41"/>
      <c r="G702" s="30"/>
      <c r="H702" s="30"/>
      <c r="I702" s="11"/>
      <c r="J702" s="11"/>
    </row>
    <row r="703" spans="2:10" s="9" customFormat="1" x14ac:dyDescent="0.2">
      <c r="B703" s="10"/>
      <c r="C703" s="11"/>
      <c r="D703" s="11"/>
      <c r="E703" s="12"/>
      <c r="F703" s="41"/>
      <c r="G703" s="30"/>
      <c r="H703" s="30"/>
      <c r="I703" s="11"/>
      <c r="J703" s="11"/>
    </row>
    <row r="704" spans="2:10" s="9" customFormat="1" x14ac:dyDescent="0.2">
      <c r="B704" s="10"/>
      <c r="C704" s="11"/>
      <c r="D704" s="11"/>
      <c r="E704" s="12"/>
      <c r="F704" s="41"/>
      <c r="G704" s="30"/>
      <c r="H704" s="30"/>
      <c r="I704" s="11"/>
      <c r="J704" s="11"/>
    </row>
    <row r="705" spans="2:10" s="9" customFormat="1" x14ac:dyDescent="0.2">
      <c r="B705" s="10"/>
      <c r="C705" s="11"/>
      <c r="D705" s="11"/>
      <c r="E705" s="12"/>
      <c r="F705" s="41"/>
      <c r="G705" s="30"/>
      <c r="H705" s="30"/>
      <c r="I705" s="11"/>
      <c r="J705" s="11"/>
    </row>
    <row r="706" spans="2:10" s="9" customFormat="1" x14ac:dyDescent="0.2">
      <c r="B706" s="10"/>
      <c r="C706" s="11"/>
      <c r="D706" s="11"/>
      <c r="E706" s="12"/>
      <c r="F706" s="41"/>
      <c r="G706" s="30"/>
      <c r="H706" s="30"/>
      <c r="I706" s="11"/>
      <c r="J706" s="11"/>
    </row>
    <row r="707" spans="2:10" s="9" customFormat="1" x14ac:dyDescent="0.2">
      <c r="B707" s="10"/>
      <c r="C707" s="11"/>
      <c r="D707" s="11"/>
      <c r="E707" s="12"/>
      <c r="F707" s="41"/>
      <c r="G707" s="30"/>
      <c r="H707" s="30"/>
      <c r="I707" s="11"/>
      <c r="J707" s="11"/>
    </row>
    <row r="708" spans="2:10" s="9" customFormat="1" x14ac:dyDescent="0.2">
      <c r="B708" s="10"/>
      <c r="C708" s="11"/>
      <c r="D708" s="11"/>
      <c r="E708" s="12"/>
      <c r="F708" s="41"/>
      <c r="G708" s="30"/>
      <c r="H708" s="30"/>
      <c r="I708" s="11"/>
      <c r="J708" s="11"/>
    </row>
    <row r="709" spans="2:10" s="9" customFormat="1" x14ac:dyDescent="0.2">
      <c r="B709" s="10"/>
      <c r="C709" s="11"/>
      <c r="D709" s="11"/>
      <c r="E709" s="12"/>
      <c r="F709" s="41"/>
      <c r="G709" s="30"/>
      <c r="H709" s="30"/>
      <c r="I709" s="11"/>
      <c r="J709" s="11"/>
    </row>
    <row r="710" spans="2:10" s="9" customFormat="1" x14ac:dyDescent="0.2">
      <c r="B710" s="10"/>
      <c r="C710" s="11"/>
      <c r="D710" s="11"/>
      <c r="E710" s="12"/>
      <c r="F710" s="41"/>
      <c r="G710" s="30"/>
      <c r="H710" s="30"/>
      <c r="I710" s="11"/>
      <c r="J710" s="11"/>
    </row>
    <row r="711" spans="2:10" s="9" customFormat="1" x14ac:dyDescent="0.2">
      <c r="B711" s="10"/>
      <c r="C711" s="11"/>
      <c r="D711" s="11"/>
      <c r="E711" s="12"/>
      <c r="F711" s="41"/>
      <c r="G711" s="30"/>
      <c r="H711" s="30"/>
      <c r="I711" s="11"/>
      <c r="J711" s="11"/>
    </row>
    <row r="712" spans="2:10" s="9" customFormat="1" x14ac:dyDescent="0.2">
      <c r="B712" s="10"/>
      <c r="C712" s="11"/>
      <c r="D712" s="11"/>
      <c r="E712" s="12"/>
      <c r="F712" s="41"/>
      <c r="G712" s="30"/>
      <c r="H712" s="30"/>
      <c r="I712" s="11"/>
      <c r="J712" s="11"/>
    </row>
    <row r="713" spans="2:10" s="9" customFormat="1" x14ac:dyDescent="0.2">
      <c r="B713" s="10"/>
      <c r="C713" s="11"/>
      <c r="D713" s="11"/>
      <c r="E713" s="12"/>
      <c r="F713" s="41"/>
      <c r="G713" s="30"/>
      <c r="H713" s="30"/>
      <c r="I713" s="11"/>
      <c r="J713" s="11"/>
    </row>
    <row r="714" spans="2:10" s="9" customFormat="1" x14ac:dyDescent="0.2">
      <c r="B714" s="10"/>
      <c r="C714" s="11"/>
      <c r="D714" s="11"/>
      <c r="E714" s="12"/>
      <c r="F714" s="41"/>
      <c r="G714" s="30"/>
      <c r="H714" s="30"/>
      <c r="I714" s="11"/>
      <c r="J714" s="11"/>
    </row>
    <row r="715" spans="2:10" s="9" customFormat="1" x14ac:dyDescent="0.2">
      <c r="B715" s="10"/>
      <c r="C715" s="11"/>
      <c r="D715" s="11"/>
      <c r="E715" s="12"/>
      <c r="F715" s="41"/>
      <c r="G715" s="30"/>
      <c r="H715" s="30"/>
      <c r="I715" s="11"/>
      <c r="J715" s="11"/>
    </row>
    <row r="716" spans="2:10" s="9" customFormat="1" x14ac:dyDescent="0.2">
      <c r="B716" s="10"/>
      <c r="C716" s="11"/>
      <c r="D716" s="11"/>
      <c r="E716" s="12"/>
      <c r="F716" s="41"/>
      <c r="G716" s="30"/>
      <c r="H716" s="30"/>
      <c r="I716" s="11"/>
      <c r="J716" s="11"/>
    </row>
    <row r="717" spans="2:10" s="9" customFormat="1" x14ac:dyDescent="0.2">
      <c r="B717" s="10"/>
      <c r="C717" s="11"/>
      <c r="D717" s="11"/>
      <c r="E717" s="12"/>
      <c r="F717" s="41"/>
      <c r="G717" s="30"/>
      <c r="H717" s="30"/>
      <c r="I717" s="11"/>
      <c r="J717" s="11"/>
    </row>
    <row r="718" spans="2:10" s="9" customFormat="1" x14ac:dyDescent="0.2">
      <c r="B718" s="10"/>
      <c r="C718" s="11"/>
      <c r="D718" s="11"/>
      <c r="E718" s="12"/>
      <c r="F718" s="41"/>
      <c r="G718" s="30"/>
      <c r="H718" s="30"/>
      <c r="I718" s="11"/>
      <c r="J718" s="11"/>
    </row>
    <row r="719" spans="2:10" s="9" customFormat="1" x14ac:dyDescent="0.2">
      <c r="B719" s="10"/>
      <c r="C719" s="11"/>
      <c r="D719" s="11"/>
      <c r="E719" s="12"/>
      <c r="F719" s="41"/>
      <c r="G719" s="30"/>
      <c r="H719" s="30"/>
      <c r="I719" s="11"/>
      <c r="J719" s="11"/>
    </row>
    <row r="720" spans="2:10" s="9" customFormat="1" x14ac:dyDescent="0.2">
      <c r="B720" s="10"/>
      <c r="C720" s="11"/>
      <c r="D720" s="11"/>
      <c r="E720" s="12"/>
      <c r="F720" s="41"/>
      <c r="G720" s="30"/>
      <c r="H720" s="30"/>
      <c r="I720" s="11"/>
      <c r="J720" s="11"/>
    </row>
    <row r="721" spans="2:10" s="9" customFormat="1" x14ac:dyDescent="0.2">
      <c r="B721" s="10"/>
      <c r="C721" s="11"/>
      <c r="D721" s="11"/>
      <c r="E721" s="12"/>
      <c r="F721" s="41"/>
      <c r="G721" s="30"/>
      <c r="H721" s="30"/>
      <c r="I721" s="11"/>
      <c r="J721" s="11"/>
    </row>
    <row r="722" spans="2:10" s="9" customFormat="1" x14ac:dyDescent="0.2">
      <c r="B722" s="10"/>
      <c r="C722" s="11"/>
      <c r="D722" s="11"/>
      <c r="E722" s="12"/>
      <c r="F722" s="41"/>
      <c r="G722" s="30"/>
      <c r="H722" s="30"/>
      <c r="I722" s="11"/>
      <c r="J722" s="11"/>
    </row>
    <row r="723" spans="2:10" s="9" customFormat="1" x14ac:dyDescent="0.2">
      <c r="B723" s="10"/>
      <c r="C723" s="11"/>
      <c r="D723" s="11"/>
      <c r="E723" s="12"/>
      <c r="F723" s="41"/>
      <c r="G723" s="30"/>
      <c r="H723" s="30"/>
      <c r="I723" s="11"/>
      <c r="J723" s="11"/>
    </row>
    <row r="724" spans="2:10" s="9" customFormat="1" x14ac:dyDescent="0.2">
      <c r="B724" s="10"/>
      <c r="C724" s="11"/>
      <c r="D724" s="11"/>
      <c r="E724" s="12"/>
      <c r="F724" s="41"/>
      <c r="G724" s="30"/>
      <c r="H724" s="30"/>
      <c r="I724" s="11"/>
      <c r="J724" s="11"/>
    </row>
    <row r="725" spans="2:10" s="9" customFormat="1" x14ac:dyDescent="0.2">
      <c r="B725" s="10"/>
      <c r="C725" s="11"/>
      <c r="D725" s="11"/>
      <c r="E725" s="12"/>
      <c r="F725" s="41"/>
      <c r="G725" s="30"/>
      <c r="H725" s="30"/>
      <c r="I725" s="11"/>
      <c r="J725" s="11"/>
    </row>
    <row r="726" spans="2:10" s="9" customFormat="1" x14ac:dyDescent="0.2">
      <c r="B726" s="10"/>
      <c r="C726" s="11"/>
      <c r="D726" s="11"/>
      <c r="E726" s="12"/>
      <c r="F726" s="41"/>
      <c r="G726" s="30"/>
      <c r="H726" s="30"/>
      <c r="I726" s="11"/>
      <c r="J726" s="11"/>
    </row>
    <row r="727" spans="2:10" s="9" customFormat="1" x14ac:dyDescent="0.2">
      <c r="B727" s="10"/>
      <c r="C727" s="11"/>
      <c r="D727" s="11"/>
      <c r="E727" s="12"/>
      <c r="F727" s="41"/>
      <c r="G727" s="30"/>
      <c r="H727" s="30"/>
      <c r="I727" s="11"/>
      <c r="J727" s="11"/>
    </row>
    <row r="728" spans="2:10" s="9" customFormat="1" x14ac:dyDescent="0.2">
      <c r="B728" s="10"/>
      <c r="C728" s="11"/>
      <c r="D728" s="11"/>
      <c r="E728" s="12"/>
      <c r="F728" s="41"/>
      <c r="G728" s="30"/>
      <c r="H728" s="30"/>
      <c r="I728" s="11"/>
      <c r="J728" s="11"/>
    </row>
    <row r="729" spans="2:10" s="9" customFormat="1" x14ac:dyDescent="0.2">
      <c r="B729" s="10"/>
      <c r="C729" s="11"/>
      <c r="D729" s="11"/>
      <c r="E729" s="12"/>
      <c r="F729" s="41"/>
      <c r="G729" s="30"/>
      <c r="H729" s="30"/>
      <c r="I729" s="11"/>
      <c r="J729" s="11"/>
    </row>
    <row r="730" spans="2:10" s="9" customFormat="1" x14ac:dyDescent="0.2">
      <c r="B730" s="10"/>
      <c r="C730" s="11"/>
      <c r="D730" s="11"/>
      <c r="E730" s="12"/>
      <c r="F730" s="41"/>
      <c r="G730" s="30"/>
      <c r="H730" s="30"/>
      <c r="I730" s="11"/>
      <c r="J730" s="11"/>
    </row>
    <row r="731" spans="2:10" s="9" customFormat="1" x14ac:dyDescent="0.2">
      <c r="B731" s="10"/>
      <c r="C731" s="11"/>
      <c r="D731" s="11"/>
      <c r="E731" s="12"/>
      <c r="F731" s="41"/>
      <c r="G731" s="30"/>
      <c r="H731" s="30"/>
      <c r="I731" s="11"/>
      <c r="J731" s="11"/>
    </row>
    <row r="732" spans="2:10" s="9" customFormat="1" x14ac:dyDescent="0.2">
      <c r="B732" s="10"/>
      <c r="C732" s="11"/>
      <c r="D732" s="11"/>
      <c r="E732" s="12"/>
      <c r="F732" s="41"/>
      <c r="G732" s="30"/>
      <c r="H732" s="30"/>
      <c r="I732" s="11"/>
      <c r="J732" s="11"/>
    </row>
    <row r="733" spans="2:10" s="9" customFormat="1" x14ac:dyDescent="0.2">
      <c r="B733" s="10"/>
      <c r="C733" s="11"/>
      <c r="D733" s="11"/>
      <c r="E733" s="12"/>
      <c r="F733" s="41"/>
      <c r="G733" s="30"/>
      <c r="H733" s="30"/>
      <c r="I733" s="11"/>
      <c r="J733" s="11"/>
    </row>
    <row r="734" spans="2:10" s="9" customFormat="1" x14ac:dyDescent="0.2">
      <c r="B734" s="10"/>
      <c r="C734" s="11"/>
      <c r="D734" s="11"/>
      <c r="E734" s="12"/>
      <c r="F734" s="41"/>
      <c r="G734" s="30"/>
      <c r="H734" s="30"/>
      <c r="I734" s="11"/>
      <c r="J734" s="11"/>
    </row>
    <row r="735" spans="2:10" s="9" customFormat="1" x14ac:dyDescent="0.2">
      <c r="B735" s="10"/>
      <c r="C735" s="11"/>
      <c r="D735" s="11"/>
      <c r="E735" s="12"/>
      <c r="F735" s="41"/>
      <c r="G735" s="30"/>
      <c r="H735" s="30"/>
      <c r="I735" s="11"/>
      <c r="J735" s="11"/>
    </row>
    <row r="736" spans="2:10" s="9" customFormat="1" x14ac:dyDescent="0.2">
      <c r="B736" s="10"/>
      <c r="C736" s="11"/>
      <c r="D736" s="11"/>
      <c r="E736" s="12"/>
      <c r="F736" s="41"/>
      <c r="G736" s="30"/>
      <c r="H736" s="30"/>
      <c r="I736" s="11"/>
      <c r="J736" s="11"/>
    </row>
    <row r="737" spans="2:10" s="9" customFormat="1" x14ac:dyDescent="0.2">
      <c r="B737" s="10"/>
      <c r="C737" s="11"/>
      <c r="D737" s="11"/>
      <c r="E737" s="12"/>
      <c r="F737" s="41"/>
      <c r="G737" s="30"/>
      <c r="H737" s="30"/>
      <c r="I737" s="11"/>
      <c r="J737" s="11"/>
    </row>
    <row r="738" spans="2:10" s="9" customFormat="1" x14ac:dyDescent="0.2">
      <c r="B738" s="10"/>
      <c r="C738" s="11"/>
      <c r="D738" s="11"/>
      <c r="E738" s="12"/>
      <c r="F738" s="41"/>
      <c r="G738" s="30"/>
      <c r="H738" s="30"/>
      <c r="I738" s="11"/>
      <c r="J738" s="11"/>
    </row>
    <row r="739" spans="2:10" s="9" customFormat="1" x14ac:dyDescent="0.2">
      <c r="B739" s="10"/>
      <c r="C739" s="11"/>
      <c r="D739" s="11"/>
      <c r="E739" s="12"/>
      <c r="F739" s="41"/>
      <c r="G739" s="30"/>
      <c r="H739" s="30"/>
      <c r="I739" s="11"/>
      <c r="J739" s="11"/>
    </row>
    <row r="740" spans="2:10" s="9" customFormat="1" x14ac:dyDescent="0.2">
      <c r="B740" s="10"/>
      <c r="C740" s="11"/>
      <c r="D740" s="11"/>
      <c r="E740" s="12"/>
      <c r="F740" s="41"/>
      <c r="G740" s="30"/>
      <c r="H740" s="30"/>
      <c r="I740" s="11"/>
      <c r="J740" s="11"/>
    </row>
    <row r="741" spans="2:10" s="9" customFormat="1" x14ac:dyDescent="0.2">
      <c r="B741" s="10"/>
      <c r="C741" s="11"/>
      <c r="D741" s="11"/>
      <c r="E741" s="12"/>
      <c r="F741" s="41"/>
      <c r="G741" s="30"/>
      <c r="H741" s="30"/>
      <c r="I741" s="11"/>
      <c r="J741" s="11"/>
    </row>
    <row r="742" spans="2:10" s="9" customFormat="1" x14ac:dyDescent="0.2">
      <c r="B742" s="10"/>
      <c r="C742" s="11"/>
      <c r="D742" s="11"/>
      <c r="E742" s="12"/>
      <c r="F742" s="41"/>
      <c r="G742" s="30"/>
      <c r="H742" s="30"/>
      <c r="I742" s="11"/>
      <c r="J742" s="11"/>
    </row>
    <row r="743" spans="2:10" s="9" customFormat="1" x14ac:dyDescent="0.2">
      <c r="B743" s="10"/>
      <c r="C743" s="11"/>
      <c r="D743" s="11"/>
      <c r="E743" s="12"/>
      <c r="F743" s="41"/>
      <c r="G743" s="30"/>
      <c r="H743" s="30"/>
      <c r="I743" s="11"/>
      <c r="J743" s="11"/>
    </row>
    <row r="744" spans="2:10" s="9" customFormat="1" x14ac:dyDescent="0.2">
      <c r="B744" s="10"/>
      <c r="C744" s="11"/>
      <c r="D744" s="11"/>
      <c r="E744" s="12"/>
      <c r="F744" s="41"/>
      <c r="G744" s="30"/>
      <c r="H744" s="30"/>
      <c r="I744" s="11"/>
      <c r="J744" s="11"/>
    </row>
    <row r="745" spans="2:10" s="9" customFormat="1" x14ac:dyDescent="0.2">
      <c r="B745" s="10"/>
      <c r="C745" s="11"/>
      <c r="D745" s="11"/>
      <c r="E745" s="12"/>
      <c r="F745" s="41"/>
      <c r="G745" s="30"/>
      <c r="H745" s="30"/>
      <c r="I745" s="11"/>
      <c r="J745" s="11"/>
    </row>
    <row r="746" spans="2:10" s="9" customFormat="1" x14ac:dyDescent="0.2">
      <c r="B746" s="10"/>
      <c r="C746" s="11"/>
      <c r="D746" s="11"/>
      <c r="E746" s="12"/>
      <c r="F746" s="41"/>
      <c r="G746" s="30"/>
      <c r="H746" s="30"/>
      <c r="I746" s="11"/>
      <c r="J746" s="11"/>
    </row>
    <row r="747" spans="2:10" s="9" customFormat="1" x14ac:dyDescent="0.2">
      <c r="B747" s="10"/>
      <c r="C747" s="11"/>
      <c r="D747" s="11"/>
      <c r="E747" s="12"/>
      <c r="F747" s="41"/>
      <c r="G747" s="30"/>
      <c r="H747" s="30"/>
      <c r="I747" s="11"/>
      <c r="J747" s="11"/>
    </row>
    <row r="748" spans="2:10" s="9" customFormat="1" x14ac:dyDescent="0.2">
      <c r="B748" s="10"/>
      <c r="C748" s="11"/>
      <c r="D748" s="11"/>
      <c r="E748" s="12"/>
      <c r="F748" s="41"/>
      <c r="G748" s="30"/>
      <c r="H748" s="30"/>
      <c r="I748" s="11"/>
      <c r="J748" s="11"/>
    </row>
    <row r="749" spans="2:10" s="9" customFormat="1" x14ac:dyDescent="0.2">
      <c r="B749" s="10"/>
      <c r="C749" s="11"/>
      <c r="D749" s="11"/>
      <c r="E749" s="12"/>
      <c r="F749" s="41"/>
      <c r="G749" s="30"/>
      <c r="H749" s="30"/>
      <c r="I749" s="11"/>
      <c r="J749" s="11"/>
    </row>
    <row r="750" spans="2:10" s="9" customFormat="1" x14ac:dyDescent="0.2">
      <c r="B750" s="10"/>
      <c r="C750" s="11"/>
      <c r="D750" s="11"/>
      <c r="E750" s="12"/>
      <c r="F750" s="41"/>
      <c r="G750" s="30"/>
      <c r="H750" s="30"/>
      <c r="I750" s="11"/>
      <c r="J750" s="11"/>
    </row>
    <row r="751" spans="2:10" s="9" customFormat="1" x14ac:dyDescent="0.2">
      <c r="B751" s="10"/>
      <c r="C751" s="11"/>
      <c r="D751" s="11"/>
      <c r="E751" s="12"/>
      <c r="F751" s="41"/>
      <c r="G751" s="30"/>
      <c r="H751" s="30"/>
      <c r="I751" s="11"/>
      <c r="J751" s="11"/>
    </row>
    <row r="752" spans="2:10" s="9" customFormat="1" x14ac:dyDescent="0.2">
      <c r="B752" s="10"/>
      <c r="C752" s="11"/>
      <c r="D752" s="11"/>
      <c r="E752" s="12"/>
      <c r="F752" s="41"/>
      <c r="G752" s="30"/>
      <c r="H752" s="30"/>
      <c r="I752" s="11"/>
      <c r="J752" s="11"/>
    </row>
    <row r="753" spans="2:10" s="9" customFormat="1" x14ac:dyDescent="0.2">
      <c r="B753" s="10"/>
      <c r="C753" s="11"/>
      <c r="D753" s="11"/>
      <c r="E753" s="12"/>
      <c r="F753" s="41"/>
      <c r="G753" s="30"/>
      <c r="H753" s="30"/>
      <c r="I753" s="11"/>
      <c r="J753" s="11"/>
    </row>
    <row r="754" spans="2:10" s="9" customFormat="1" x14ac:dyDescent="0.2">
      <c r="B754" s="10"/>
      <c r="C754" s="11"/>
      <c r="D754" s="11"/>
      <c r="E754" s="12"/>
      <c r="F754" s="41"/>
      <c r="G754" s="30"/>
      <c r="H754" s="30"/>
      <c r="I754" s="11"/>
      <c r="J754" s="11"/>
    </row>
    <row r="755" spans="2:10" s="9" customFormat="1" x14ac:dyDescent="0.2">
      <c r="B755" s="10"/>
      <c r="C755" s="11"/>
      <c r="D755" s="11"/>
      <c r="E755" s="12"/>
      <c r="F755" s="41"/>
      <c r="G755" s="30"/>
      <c r="H755" s="30"/>
      <c r="I755" s="11"/>
      <c r="J755" s="11"/>
    </row>
    <row r="756" spans="2:10" s="9" customFormat="1" x14ac:dyDescent="0.2">
      <c r="B756" s="10"/>
      <c r="C756" s="11"/>
      <c r="D756" s="11"/>
      <c r="E756" s="12"/>
      <c r="F756" s="41"/>
      <c r="G756" s="30"/>
      <c r="H756" s="30"/>
      <c r="I756" s="11"/>
      <c r="J756" s="11"/>
    </row>
    <row r="757" spans="2:10" s="9" customFormat="1" x14ac:dyDescent="0.2">
      <c r="B757" s="10"/>
      <c r="C757" s="11"/>
      <c r="D757" s="11"/>
      <c r="E757" s="12"/>
      <c r="F757" s="41"/>
      <c r="G757" s="30"/>
      <c r="H757" s="30"/>
      <c r="I757" s="11"/>
      <c r="J757" s="11"/>
    </row>
    <row r="758" spans="2:10" s="9" customFormat="1" x14ac:dyDescent="0.2">
      <c r="B758" s="10"/>
      <c r="C758" s="11"/>
      <c r="D758" s="11"/>
      <c r="E758" s="12"/>
      <c r="F758" s="41"/>
      <c r="G758" s="30"/>
      <c r="H758" s="30"/>
      <c r="I758" s="11"/>
      <c r="J758" s="11"/>
    </row>
    <row r="759" spans="2:10" s="9" customFormat="1" x14ac:dyDescent="0.2">
      <c r="B759" s="10"/>
      <c r="C759" s="11"/>
      <c r="D759" s="11"/>
      <c r="E759" s="12"/>
      <c r="F759" s="41"/>
      <c r="G759" s="30"/>
      <c r="H759" s="30"/>
      <c r="I759" s="11"/>
      <c r="J759" s="11"/>
    </row>
    <row r="760" spans="2:10" s="9" customFormat="1" x14ac:dyDescent="0.2">
      <c r="B760" s="10"/>
      <c r="C760" s="11"/>
      <c r="D760" s="11"/>
      <c r="E760" s="12"/>
      <c r="F760" s="41"/>
      <c r="G760" s="30"/>
      <c r="H760" s="30"/>
      <c r="I760" s="11"/>
      <c r="J760" s="11"/>
    </row>
    <row r="761" spans="2:10" s="9" customFormat="1" x14ac:dyDescent="0.2">
      <c r="B761" s="10"/>
      <c r="C761" s="11"/>
      <c r="D761" s="11"/>
      <c r="E761" s="12"/>
      <c r="F761" s="41"/>
      <c r="G761" s="30"/>
      <c r="H761" s="30"/>
      <c r="I761" s="11"/>
      <c r="J761" s="11"/>
    </row>
    <row r="762" spans="2:10" s="9" customFormat="1" x14ac:dyDescent="0.2">
      <c r="B762" s="10"/>
      <c r="C762" s="11"/>
      <c r="D762" s="11"/>
      <c r="E762" s="12"/>
      <c r="F762" s="41"/>
      <c r="G762" s="30"/>
      <c r="H762" s="30"/>
      <c r="I762" s="11"/>
      <c r="J762" s="11"/>
    </row>
    <row r="763" spans="2:10" s="9" customFormat="1" x14ac:dyDescent="0.2">
      <c r="B763" s="10"/>
      <c r="C763" s="11"/>
      <c r="D763" s="11"/>
      <c r="E763" s="12"/>
      <c r="F763" s="41"/>
      <c r="G763" s="30"/>
      <c r="H763" s="30"/>
      <c r="I763" s="11"/>
      <c r="J763" s="11"/>
    </row>
    <row r="764" spans="2:10" s="9" customFormat="1" x14ac:dyDescent="0.2">
      <c r="B764" s="10"/>
      <c r="C764" s="11"/>
      <c r="D764" s="11"/>
      <c r="E764" s="12"/>
      <c r="F764" s="41"/>
      <c r="G764" s="30"/>
      <c r="H764" s="30"/>
      <c r="I764" s="11"/>
      <c r="J764" s="11"/>
    </row>
    <row r="765" spans="2:10" s="9" customFormat="1" x14ac:dyDescent="0.2">
      <c r="B765" s="10"/>
      <c r="C765" s="11"/>
      <c r="D765" s="11"/>
      <c r="E765" s="12"/>
      <c r="F765" s="41"/>
      <c r="G765" s="30"/>
      <c r="H765" s="30"/>
      <c r="I765" s="11"/>
      <c r="J765" s="11"/>
    </row>
    <row r="766" spans="2:10" s="9" customFormat="1" x14ac:dyDescent="0.2">
      <c r="B766" s="10"/>
      <c r="C766" s="11"/>
      <c r="D766" s="11"/>
      <c r="E766" s="12"/>
      <c r="F766" s="41"/>
      <c r="G766" s="30"/>
      <c r="H766" s="30"/>
      <c r="I766" s="11"/>
      <c r="J766" s="11"/>
    </row>
    <row r="767" spans="2:10" s="9" customFormat="1" x14ac:dyDescent="0.2">
      <c r="B767" s="10"/>
      <c r="C767" s="11"/>
      <c r="D767" s="11"/>
      <c r="E767" s="12"/>
      <c r="F767" s="41"/>
      <c r="G767" s="30"/>
      <c r="H767" s="30"/>
      <c r="I767" s="11"/>
      <c r="J767" s="11"/>
    </row>
    <row r="768" spans="2:10" s="9" customFormat="1" x14ac:dyDescent="0.2">
      <c r="B768" s="10"/>
      <c r="C768" s="11"/>
      <c r="D768" s="11"/>
      <c r="E768" s="12"/>
      <c r="F768" s="41"/>
      <c r="G768" s="30"/>
      <c r="H768" s="30"/>
      <c r="I768" s="11"/>
      <c r="J768" s="11"/>
    </row>
    <row r="769" spans="2:10" s="9" customFormat="1" x14ac:dyDescent="0.2">
      <c r="B769" s="10"/>
      <c r="C769" s="11"/>
      <c r="D769" s="11"/>
      <c r="E769" s="12"/>
      <c r="F769" s="41"/>
      <c r="G769" s="30"/>
      <c r="H769" s="30"/>
      <c r="I769" s="11"/>
      <c r="J769" s="11"/>
    </row>
    <row r="770" spans="2:10" s="9" customFormat="1" x14ac:dyDescent="0.2">
      <c r="B770" s="10"/>
      <c r="C770" s="11"/>
      <c r="D770" s="11"/>
      <c r="E770" s="12"/>
      <c r="F770" s="41"/>
      <c r="G770" s="30"/>
      <c r="H770" s="30"/>
      <c r="I770" s="11"/>
      <c r="J770" s="11"/>
    </row>
    <row r="771" spans="2:10" s="9" customFormat="1" x14ac:dyDescent="0.2">
      <c r="B771" s="10"/>
      <c r="C771" s="11"/>
      <c r="D771" s="11"/>
      <c r="E771" s="12"/>
      <c r="F771" s="41"/>
      <c r="G771" s="30"/>
      <c r="H771" s="30"/>
      <c r="I771" s="11"/>
      <c r="J771" s="11"/>
    </row>
    <row r="772" spans="2:10" s="9" customFormat="1" x14ac:dyDescent="0.2">
      <c r="B772" s="10"/>
      <c r="C772" s="11"/>
      <c r="D772" s="11"/>
      <c r="E772" s="12"/>
      <c r="F772" s="41"/>
      <c r="G772" s="30"/>
      <c r="H772" s="30"/>
      <c r="I772" s="11"/>
      <c r="J772" s="11"/>
    </row>
    <row r="773" spans="2:10" s="9" customFormat="1" x14ac:dyDescent="0.2">
      <c r="B773" s="10"/>
      <c r="C773" s="11"/>
      <c r="D773" s="11"/>
      <c r="E773" s="12"/>
      <c r="F773" s="41"/>
      <c r="G773" s="30"/>
      <c r="H773" s="30"/>
      <c r="I773" s="11"/>
      <c r="J773" s="11"/>
    </row>
    <row r="774" spans="2:10" s="9" customFormat="1" x14ac:dyDescent="0.2">
      <c r="B774" s="10"/>
      <c r="C774" s="11"/>
      <c r="D774" s="11"/>
      <c r="E774" s="12"/>
      <c r="F774" s="41"/>
      <c r="G774" s="30"/>
      <c r="H774" s="30"/>
      <c r="I774" s="11"/>
      <c r="J774" s="11"/>
    </row>
    <row r="775" spans="2:10" s="9" customFormat="1" x14ac:dyDescent="0.2">
      <c r="B775" s="10"/>
      <c r="C775" s="11"/>
      <c r="D775" s="11"/>
      <c r="E775" s="12"/>
      <c r="F775" s="41"/>
      <c r="G775" s="30"/>
      <c r="H775" s="30"/>
      <c r="I775" s="11"/>
      <c r="J775" s="11"/>
    </row>
    <row r="776" spans="2:10" s="9" customFormat="1" x14ac:dyDescent="0.2">
      <c r="B776" s="10"/>
      <c r="C776" s="11"/>
      <c r="D776" s="11"/>
      <c r="E776" s="12"/>
      <c r="F776" s="41"/>
      <c r="G776" s="30"/>
      <c r="H776" s="30"/>
      <c r="I776" s="11"/>
      <c r="J776" s="11"/>
    </row>
    <row r="777" spans="2:10" s="9" customFormat="1" x14ac:dyDescent="0.2">
      <c r="B777" s="10"/>
      <c r="C777" s="11"/>
      <c r="D777" s="11"/>
      <c r="E777" s="12"/>
      <c r="F777" s="41"/>
      <c r="G777" s="30"/>
      <c r="H777" s="30"/>
      <c r="I777" s="11"/>
      <c r="J777" s="11"/>
    </row>
    <row r="778" spans="2:10" s="9" customFormat="1" x14ac:dyDescent="0.2">
      <c r="B778" s="10"/>
      <c r="C778" s="11"/>
      <c r="D778" s="11"/>
      <c r="E778" s="12"/>
      <c r="F778" s="41"/>
      <c r="G778" s="30"/>
      <c r="H778" s="30"/>
      <c r="I778" s="11"/>
      <c r="J778" s="11"/>
    </row>
    <row r="779" spans="2:10" s="9" customFormat="1" x14ac:dyDescent="0.2">
      <c r="B779" s="10"/>
      <c r="C779" s="11"/>
      <c r="D779" s="11"/>
      <c r="E779" s="12"/>
      <c r="F779" s="41"/>
      <c r="G779" s="30"/>
      <c r="H779" s="30"/>
      <c r="I779" s="11"/>
      <c r="J779" s="11"/>
    </row>
    <row r="780" spans="2:10" s="9" customFormat="1" x14ac:dyDescent="0.2">
      <c r="B780" s="10"/>
      <c r="C780" s="11"/>
      <c r="D780" s="11"/>
      <c r="E780" s="12"/>
      <c r="F780" s="41"/>
      <c r="G780" s="30"/>
      <c r="H780" s="30"/>
      <c r="I780" s="11"/>
      <c r="J780" s="11"/>
    </row>
    <row r="781" spans="2:10" s="9" customFormat="1" x14ac:dyDescent="0.2">
      <c r="B781" s="10"/>
      <c r="C781" s="11"/>
      <c r="D781" s="11"/>
      <c r="E781" s="12"/>
      <c r="F781" s="41"/>
      <c r="G781" s="30"/>
      <c r="H781" s="30"/>
      <c r="I781" s="11"/>
      <c r="J781" s="11"/>
    </row>
    <row r="782" spans="2:10" s="9" customFormat="1" x14ac:dyDescent="0.2">
      <c r="B782" s="10"/>
      <c r="C782" s="11"/>
      <c r="D782" s="11"/>
      <c r="E782" s="12"/>
      <c r="F782" s="41"/>
      <c r="G782" s="30"/>
      <c r="H782" s="30"/>
      <c r="I782" s="11"/>
      <c r="J782" s="11"/>
    </row>
    <row r="783" spans="2:10" s="9" customFormat="1" x14ac:dyDescent="0.2">
      <c r="B783" s="10"/>
      <c r="C783" s="11"/>
      <c r="D783" s="11"/>
      <c r="E783" s="12"/>
      <c r="F783" s="41"/>
      <c r="G783" s="30"/>
      <c r="H783" s="30"/>
      <c r="I783" s="11"/>
      <c r="J783" s="11"/>
    </row>
    <row r="784" spans="2:10" s="9" customFormat="1" x14ac:dyDescent="0.2">
      <c r="B784" s="10"/>
      <c r="C784" s="11"/>
      <c r="D784" s="11"/>
      <c r="E784" s="12"/>
      <c r="F784" s="41"/>
      <c r="G784" s="30"/>
      <c r="H784" s="30"/>
      <c r="I784" s="11"/>
      <c r="J784" s="11"/>
    </row>
    <row r="785" spans="2:10" s="9" customFormat="1" x14ac:dyDescent="0.2">
      <c r="B785" s="10"/>
      <c r="C785" s="11"/>
      <c r="D785" s="11"/>
      <c r="E785" s="12"/>
      <c r="F785" s="41"/>
      <c r="G785" s="30"/>
      <c r="H785" s="30"/>
      <c r="I785" s="11"/>
      <c r="J785" s="11"/>
    </row>
    <row r="786" spans="2:10" s="9" customFormat="1" x14ac:dyDescent="0.2">
      <c r="B786" s="10"/>
      <c r="C786" s="11"/>
      <c r="D786" s="11"/>
      <c r="E786" s="12"/>
      <c r="F786" s="41"/>
      <c r="G786" s="30"/>
      <c r="H786" s="30"/>
      <c r="I786" s="11"/>
      <c r="J786" s="11"/>
    </row>
    <row r="787" spans="2:10" s="9" customFormat="1" x14ac:dyDescent="0.2">
      <c r="B787" s="10"/>
      <c r="C787" s="11"/>
      <c r="D787" s="11"/>
      <c r="E787" s="12"/>
      <c r="F787" s="41"/>
      <c r="G787" s="30"/>
      <c r="H787" s="30"/>
      <c r="I787" s="11"/>
      <c r="J787" s="11"/>
    </row>
    <row r="788" spans="2:10" s="9" customFormat="1" x14ac:dyDescent="0.2">
      <c r="B788" s="10"/>
      <c r="C788" s="11"/>
      <c r="D788" s="11"/>
      <c r="E788" s="12"/>
      <c r="F788" s="41"/>
      <c r="G788" s="30"/>
      <c r="H788" s="30"/>
      <c r="I788" s="11"/>
      <c r="J788" s="11"/>
    </row>
    <row r="789" spans="2:10" s="9" customFormat="1" x14ac:dyDescent="0.2">
      <c r="B789" s="10"/>
      <c r="C789" s="11"/>
      <c r="D789" s="11"/>
      <c r="E789" s="12"/>
      <c r="F789" s="41"/>
      <c r="G789" s="30"/>
      <c r="H789" s="30"/>
      <c r="I789" s="11"/>
      <c r="J789" s="11"/>
    </row>
    <row r="790" spans="2:10" s="9" customFormat="1" x14ac:dyDescent="0.2">
      <c r="B790" s="10"/>
      <c r="C790" s="11"/>
      <c r="D790" s="11"/>
      <c r="E790" s="12"/>
      <c r="F790" s="41"/>
      <c r="G790" s="30"/>
      <c r="H790" s="30"/>
      <c r="I790" s="11"/>
      <c r="J790" s="11"/>
    </row>
    <row r="791" spans="2:10" s="9" customFormat="1" x14ac:dyDescent="0.2">
      <c r="B791" s="10"/>
      <c r="C791" s="11"/>
      <c r="D791" s="11"/>
      <c r="E791" s="12"/>
      <c r="F791" s="41"/>
      <c r="G791" s="30"/>
      <c r="H791" s="30"/>
      <c r="I791" s="11"/>
      <c r="J791" s="11"/>
    </row>
    <row r="792" spans="2:10" s="9" customFormat="1" x14ac:dyDescent="0.2">
      <c r="B792" s="10"/>
      <c r="C792" s="11"/>
      <c r="D792" s="11"/>
      <c r="E792" s="12"/>
      <c r="F792" s="41"/>
      <c r="G792" s="30"/>
      <c r="H792" s="30"/>
      <c r="I792" s="11"/>
      <c r="J792" s="11"/>
    </row>
    <row r="793" spans="2:10" s="9" customFormat="1" x14ac:dyDescent="0.2">
      <c r="B793" s="10"/>
      <c r="C793" s="11"/>
      <c r="D793" s="11"/>
      <c r="E793" s="12"/>
      <c r="F793" s="41"/>
      <c r="G793" s="30"/>
      <c r="H793" s="30"/>
      <c r="I793" s="11"/>
      <c r="J793" s="11"/>
    </row>
    <row r="794" spans="2:10" s="9" customFormat="1" x14ac:dyDescent="0.2">
      <c r="B794" s="10"/>
      <c r="C794" s="11"/>
      <c r="D794" s="11"/>
      <c r="E794" s="12"/>
      <c r="F794" s="41"/>
      <c r="G794" s="30"/>
      <c r="H794" s="30"/>
      <c r="I794" s="11"/>
      <c r="J794" s="11"/>
    </row>
    <row r="795" spans="2:10" s="9" customFormat="1" x14ac:dyDescent="0.2">
      <c r="B795" s="10"/>
      <c r="C795" s="11"/>
      <c r="D795" s="11"/>
      <c r="E795" s="12"/>
      <c r="F795" s="41"/>
      <c r="G795" s="30"/>
      <c r="H795" s="30"/>
      <c r="I795" s="11"/>
      <c r="J795" s="11"/>
    </row>
    <row r="796" spans="2:10" s="9" customFormat="1" x14ac:dyDescent="0.2">
      <c r="B796" s="10"/>
      <c r="C796" s="11"/>
      <c r="D796" s="11"/>
      <c r="E796" s="12"/>
      <c r="F796" s="41"/>
      <c r="G796" s="30"/>
      <c r="H796" s="30"/>
      <c r="I796" s="11"/>
      <c r="J796" s="11"/>
    </row>
    <row r="797" spans="2:10" s="9" customFormat="1" x14ac:dyDescent="0.2">
      <c r="B797" s="10"/>
      <c r="C797" s="11"/>
      <c r="D797" s="11"/>
      <c r="E797" s="12"/>
      <c r="F797" s="41"/>
      <c r="G797" s="30"/>
      <c r="H797" s="30"/>
      <c r="I797" s="11"/>
      <c r="J797" s="11"/>
    </row>
    <row r="798" spans="2:10" s="9" customFormat="1" x14ac:dyDescent="0.2">
      <c r="B798" s="10"/>
      <c r="C798" s="11"/>
      <c r="D798" s="11"/>
      <c r="E798" s="12"/>
      <c r="F798" s="41"/>
      <c r="G798" s="30"/>
      <c r="H798" s="30"/>
      <c r="I798" s="11"/>
      <c r="J798" s="11"/>
    </row>
    <row r="799" spans="2:10" s="9" customFormat="1" x14ac:dyDescent="0.2">
      <c r="B799" s="10"/>
      <c r="C799" s="11"/>
      <c r="D799" s="11"/>
      <c r="E799" s="12"/>
      <c r="F799" s="41"/>
      <c r="G799" s="30"/>
      <c r="H799" s="30"/>
      <c r="I799" s="11"/>
      <c r="J799" s="11"/>
    </row>
    <row r="800" spans="2:10" s="9" customFormat="1" x14ac:dyDescent="0.2">
      <c r="B800" s="10"/>
      <c r="C800" s="11"/>
      <c r="D800" s="11"/>
      <c r="E800" s="12"/>
      <c r="F800" s="41"/>
      <c r="G800" s="30"/>
      <c r="H800" s="30"/>
      <c r="I800" s="11"/>
      <c r="J800" s="11"/>
    </row>
    <row r="801" spans="2:10" s="9" customFormat="1" x14ac:dyDescent="0.2">
      <c r="B801" s="10"/>
      <c r="C801" s="11"/>
      <c r="D801" s="11"/>
      <c r="E801" s="12"/>
      <c r="F801" s="41"/>
      <c r="G801" s="30"/>
      <c r="H801" s="30"/>
      <c r="I801" s="11"/>
      <c r="J801" s="11"/>
    </row>
    <row r="802" spans="2:10" s="9" customFormat="1" x14ac:dyDescent="0.2">
      <c r="B802" s="10"/>
      <c r="C802" s="11"/>
      <c r="D802" s="11"/>
      <c r="E802" s="12"/>
      <c r="F802" s="41"/>
      <c r="G802" s="30"/>
      <c r="H802" s="30"/>
      <c r="I802" s="11"/>
      <c r="J802" s="11"/>
    </row>
    <row r="803" spans="2:10" s="9" customFormat="1" x14ac:dyDescent="0.2">
      <c r="B803" s="10"/>
      <c r="C803" s="11"/>
      <c r="D803" s="11"/>
      <c r="E803" s="12"/>
      <c r="F803" s="41"/>
      <c r="G803" s="30"/>
      <c r="H803" s="30"/>
      <c r="I803" s="11"/>
      <c r="J803" s="11"/>
    </row>
    <row r="804" spans="2:10" s="9" customFormat="1" x14ac:dyDescent="0.2">
      <c r="B804" s="10"/>
      <c r="C804" s="11"/>
      <c r="D804" s="11"/>
      <c r="E804" s="12"/>
      <c r="F804" s="41"/>
      <c r="G804" s="30"/>
      <c r="H804" s="30"/>
      <c r="I804" s="11"/>
      <c r="J804" s="11"/>
    </row>
    <row r="805" spans="2:10" s="9" customFormat="1" x14ac:dyDescent="0.2">
      <c r="B805" s="10"/>
      <c r="C805" s="11"/>
      <c r="D805" s="11"/>
      <c r="E805" s="12"/>
      <c r="F805" s="41"/>
      <c r="G805" s="30"/>
      <c r="H805" s="30"/>
      <c r="I805" s="11"/>
      <c r="J805" s="11"/>
    </row>
    <row r="806" spans="2:10" s="9" customFormat="1" x14ac:dyDescent="0.2">
      <c r="B806" s="10"/>
      <c r="C806" s="11"/>
      <c r="D806" s="11"/>
      <c r="E806" s="12"/>
      <c r="F806" s="41"/>
      <c r="G806" s="30"/>
      <c r="H806" s="30"/>
      <c r="I806" s="11"/>
      <c r="J806" s="11"/>
    </row>
    <row r="807" spans="2:10" s="9" customFormat="1" x14ac:dyDescent="0.2">
      <c r="B807" s="10"/>
      <c r="C807" s="11"/>
      <c r="D807" s="11"/>
      <c r="E807" s="12"/>
      <c r="F807" s="41"/>
      <c r="G807" s="30"/>
      <c r="H807" s="30"/>
      <c r="I807" s="11"/>
      <c r="J807" s="11"/>
    </row>
    <row r="808" spans="2:10" s="9" customFormat="1" x14ac:dyDescent="0.2">
      <c r="B808" s="10"/>
      <c r="C808" s="11"/>
      <c r="D808" s="11"/>
      <c r="E808" s="12"/>
      <c r="F808" s="41"/>
      <c r="G808" s="30"/>
      <c r="H808" s="30"/>
      <c r="I808" s="11"/>
      <c r="J808" s="11"/>
    </row>
    <row r="809" spans="2:10" s="9" customFormat="1" x14ac:dyDescent="0.2">
      <c r="B809" s="10"/>
      <c r="C809" s="11"/>
      <c r="D809" s="11"/>
      <c r="E809" s="12"/>
      <c r="F809" s="41"/>
      <c r="G809" s="30"/>
      <c r="H809" s="30"/>
      <c r="I809" s="11"/>
      <c r="J809" s="11"/>
    </row>
    <row r="810" spans="2:10" s="9" customFormat="1" x14ac:dyDescent="0.2">
      <c r="B810" s="10"/>
      <c r="C810" s="11"/>
      <c r="D810" s="11"/>
      <c r="E810" s="12"/>
      <c r="F810" s="41"/>
      <c r="G810" s="30"/>
      <c r="H810" s="30"/>
      <c r="I810" s="11"/>
      <c r="J810" s="11"/>
    </row>
    <row r="811" spans="2:10" s="9" customFormat="1" x14ac:dyDescent="0.2">
      <c r="B811" s="10"/>
      <c r="C811" s="11"/>
      <c r="D811" s="11"/>
      <c r="E811" s="12"/>
      <c r="F811" s="41"/>
      <c r="G811" s="30"/>
      <c r="H811" s="30"/>
      <c r="I811" s="11"/>
      <c r="J811" s="11"/>
    </row>
    <row r="812" spans="2:10" s="9" customFormat="1" x14ac:dyDescent="0.2">
      <c r="B812" s="10"/>
      <c r="C812" s="11"/>
      <c r="D812" s="11"/>
      <c r="E812" s="12"/>
      <c r="F812" s="41"/>
      <c r="G812" s="30"/>
      <c r="H812" s="30"/>
      <c r="I812" s="11"/>
      <c r="J812" s="11"/>
    </row>
    <row r="813" spans="2:10" s="9" customFormat="1" x14ac:dyDescent="0.2">
      <c r="B813" s="10"/>
      <c r="C813" s="11"/>
      <c r="D813" s="11"/>
      <c r="E813" s="12"/>
      <c r="F813" s="41"/>
      <c r="G813" s="30"/>
      <c r="H813" s="30"/>
      <c r="I813" s="11"/>
      <c r="J813" s="11"/>
    </row>
    <row r="814" spans="2:10" s="9" customFormat="1" x14ac:dyDescent="0.2">
      <c r="B814" s="10"/>
      <c r="C814" s="11"/>
      <c r="D814" s="11"/>
      <c r="E814" s="12"/>
      <c r="F814" s="41"/>
      <c r="G814" s="30"/>
      <c r="H814" s="30"/>
      <c r="I814" s="11"/>
      <c r="J814" s="11"/>
    </row>
    <row r="815" spans="2:10" s="9" customFormat="1" x14ac:dyDescent="0.2">
      <c r="B815" s="10"/>
      <c r="C815" s="11"/>
      <c r="D815" s="11"/>
      <c r="E815" s="12"/>
      <c r="F815" s="41"/>
      <c r="G815" s="30"/>
      <c r="H815" s="30"/>
      <c r="I815" s="11"/>
      <c r="J815" s="11"/>
    </row>
    <row r="816" spans="2:10" s="9" customFormat="1" x14ac:dyDescent="0.2">
      <c r="B816" s="10"/>
      <c r="C816" s="11"/>
      <c r="D816" s="11"/>
      <c r="E816" s="12"/>
      <c r="F816" s="41"/>
      <c r="G816" s="30"/>
      <c r="H816" s="30"/>
      <c r="I816" s="11"/>
      <c r="J816" s="11"/>
    </row>
    <row r="817" spans="2:10" s="9" customFormat="1" x14ac:dyDescent="0.2">
      <c r="B817" s="10"/>
      <c r="C817" s="11"/>
      <c r="D817" s="11"/>
      <c r="E817" s="12"/>
      <c r="F817" s="41"/>
      <c r="G817" s="30"/>
      <c r="H817" s="30"/>
      <c r="I817" s="11"/>
      <c r="J817" s="11"/>
    </row>
    <row r="818" spans="2:10" s="9" customFormat="1" x14ac:dyDescent="0.2">
      <c r="B818" s="10"/>
      <c r="C818" s="11"/>
      <c r="D818" s="11"/>
      <c r="E818" s="12"/>
      <c r="F818" s="41"/>
      <c r="G818" s="30"/>
      <c r="H818" s="30"/>
      <c r="I818" s="11"/>
      <c r="J818" s="11"/>
    </row>
    <row r="819" spans="2:10" s="9" customFormat="1" x14ac:dyDescent="0.2">
      <c r="B819" s="10"/>
      <c r="C819" s="11"/>
      <c r="D819" s="11"/>
      <c r="E819" s="12"/>
      <c r="F819" s="41"/>
      <c r="G819" s="30"/>
      <c r="H819" s="30"/>
      <c r="I819" s="11"/>
      <c r="J819" s="11"/>
    </row>
    <row r="820" spans="2:10" s="9" customFormat="1" x14ac:dyDescent="0.2">
      <c r="B820" s="10"/>
      <c r="C820" s="11"/>
      <c r="D820" s="11"/>
      <c r="E820" s="12"/>
      <c r="F820" s="41"/>
      <c r="G820" s="30"/>
      <c r="H820" s="30"/>
      <c r="I820" s="11"/>
      <c r="J820" s="11"/>
    </row>
    <row r="821" spans="2:10" s="9" customFormat="1" x14ac:dyDescent="0.2">
      <c r="B821" s="10"/>
      <c r="C821" s="11"/>
      <c r="D821" s="11"/>
      <c r="E821" s="12"/>
      <c r="F821" s="41"/>
      <c r="G821" s="30"/>
      <c r="H821" s="30"/>
      <c r="I821" s="11"/>
      <c r="J821" s="11"/>
    </row>
    <row r="822" spans="2:10" s="9" customFormat="1" x14ac:dyDescent="0.2">
      <c r="B822" s="10"/>
      <c r="C822" s="11"/>
      <c r="D822" s="11"/>
      <c r="E822" s="12"/>
      <c r="F822" s="41"/>
      <c r="G822" s="30"/>
      <c r="H822" s="30"/>
      <c r="I822" s="11"/>
      <c r="J822" s="11"/>
    </row>
    <row r="823" spans="2:10" s="9" customFormat="1" x14ac:dyDescent="0.2">
      <c r="B823" s="10"/>
      <c r="C823" s="11"/>
      <c r="D823" s="11"/>
      <c r="E823" s="12"/>
      <c r="F823" s="41"/>
      <c r="G823" s="30"/>
      <c r="H823" s="30"/>
      <c r="I823" s="11"/>
      <c r="J823" s="11"/>
    </row>
    <row r="824" spans="2:10" s="9" customFormat="1" x14ac:dyDescent="0.2">
      <c r="B824" s="10"/>
      <c r="C824" s="11"/>
      <c r="D824" s="11"/>
      <c r="E824" s="12"/>
      <c r="F824" s="41"/>
      <c r="G824" s="30"/>
      <c r="H824" s="30"/>
      <c r="I824" s="11"/>
      <c r="J824" s="11"/>
    </row>
    <row r="825" spans="2:10" s="9" customFormat="1" x14ac:dyDescent="0.2">
      <c r="B825" s="10"/>
      <c r="C825" s="11"/>
      <c r="D825" s="11"/>
      <c r="E825" s="12"/>
      <c r="F825" s="41"/>
      <c r="G825" s="30"/>
      <c r="H825" s="30"/>
      <c r="I825" s="11"/>
      <c r="J825" s="11"/>
    </row>
    <row r="826" spans="2:10" s="9" customFormat="1" x14ac:dyDescent="0.2">
      <c r="B826" s="10"/>
      <c r="C826" s="11"/>
      <c r="D826" s="11"/>
      <c r="E826" s="12"/>
      <c r="F826" s="41"/>
      <c r="G826" s="30"/>
      <c r="H826" s="30"/>
      <c r="I826" s="11"/>
      <c r="J826" s="11"/>
    </row>
    <row r="827" spans="2:10" s="9" customFormat="1" x14ac:dyDescent="0.2">
      <c r="B827" s="10"/>
      <c r="C827" s="11"/>
      <c r="D827" s="11"/>
      <c r="E827" s="12"/>
      <c r="F827" s="41"/>
      <c r="G827" s="30"/>
      <c r="H827" s="30"/>
      <c r="I827" s="11"/>
      <c r="J827" s="11"/>
    </row>
    <row r="828" spans="2:10" s="9" customFormat="1" x14ac:dyDescent="0.2">
      <c r="B828" s="10"/>
      <c r="C828" s="11"/>
      <c r="D828" s="11"/>
      <c r="E828" s="12"/>
      <c r="F828" s="41"/>
      <c r="G828" s="30"/>
      <c r="H828" s="30"/>
      <c r="I828" s="11"/>
      <c r="J828" s="11"/>
    </row>
    <row r="829" spans="2:10" s="9" customFormat="1" x14ac:dyDescent="0.2">
      <c r="B829" s="10"/>
      <c r="C829" s="11"/>
      <c r="D829" s="11"/>
      <c r="E829" s="12"/>
      <c r="F829" s="41"/>
      <c r="G829" s="30"/>
      <c r="H829" s="30"/>
      <c r="I829" s="11"/>
      <c r="J829" s="11"/>
    </row>
    <row r="830" spans="2:10" s="9" customFormat="1" x14ac:dyDescent="0.2">
      <c r="B830" s="10"/>
      <c r="C830" s="11"/>
      <c r="D830" s="11"/>
      <c r="E830" s="12"/>
      <c r="F830" s="41"/>
      <c r="G830" s="30"/>
      <c r="H830" s="30"/>
      <c r="I830" s="11"/>
      <c r="J830" s="11"/>
    </row>
    <row r="831" spans="2:10" s="9" customFormat="1" x14ac:dyDescent="0.2">
      <c r="B831" s="10"/>
      <c r="C831" s="11"/>
      <c r="D831" s="11"/>
      <c r="E831" s="12"/>
      <c r="F831" s="41"/>
      <c r="G831" s="30"/>
      <c r="H831" s="30"/>
      <c r="I831" s="11"/>
      <c r="J831" s="11"/>
    </row>
    <row r="832" spans="2:10" s="9" customFormat="1" x14ac:dyDescent="0.2">
      <c r="B832" s="10"/>
      <c r="C832" s="11"/>
      <c r="D832" s="11"/>
      <c r="E832" s="12"/>
      <c r="F832" s="41"/>
      <c r="G832" s="30"/>
      <c r="H832" s="30"/>
      <c r="I832" s="11"/>
      <c r="J832" s="11"/>
    </row>
    <row r="833" spans="2:10" s="9" customFormat="1" x14ac:dyDescent="0.2">
      <c r="B833" s="10"/>
      <c r="C833" s="11"/>
      <c r="D833" s="11"/>
      <c r="E833" s="12"/>
      <c r="F833" s="41"/>
      <c r="G833" s="30"/>
      <c r="H833" s="30"/>
      <c r="I833" s="11"/>
      <c r="J833" s="11"/>
    </row>
    <row r="834" spans="2:10" s="9" customFormat="1" x14ac:dyDescent="0.2">
      <c r="B834" s="10"/>
      <c r="C834" s="11"/>
      <c r="D834" s="11"/>
      <c r="E834" s="12"/>
      <c r="F834" s="41"/>
      <c r="G834" s="30"/>
      <c r="H834" s="30"/>
      <c r="I834" s="11"/>
      <c r="J834" s="11"/>
    </row>
    <row r="835" spans="2:10" s="9" customFormat="1" x14ac:dyDescent="0.2">
      <c r="B835" s="10"/>
      <c r="C835" s="11"/>
      <c r="D835" s="11"/>
      <c r="E835" s="12"/>
      <c r="F835" s="41"/>
      <c r="G835" s="30"/>
      <c r="H835" s="30"/>
      <c r="I835" s="11"/>
      <c r="J835" s="11"/>
    </row>
    <row r="836" spans="2:10" s="9" customFormat="1" x14ac:dyDescent="0.2">
      <c r="B836" s="10"/>
      <c r="C836" s="11"/>
      <c r="D836" s="11"/>
      <c r="E836" s="12"/>
      <c r="F836" s="41"/>
      <c r="G836" s="30"/>
      <c r="H836" s="30"/>
      <c r="I836" s="11"/>
      <c r="J836" s="11"/>
    </row>
    <row r="837" spans="2:10" s="9" customFormat="1" x14ac:dyDescent="0.2">
      <c r="B837" s="10"/>
      <c r="C837" s="11"/>
      <c r="D837" s="11"/>
      <c r="E837" s="12"/>
      <c r="F837" s="41"/>
      <c r="G837" s="30"/>
      <c r="H837" s="30"/>
      <c r="I837" s="11"/>
      <c r="J837" s="11"/>
    </row>
    <row r="838" spans="2:10" s="9" customFormat="1" x14ac:dyDescent="0.2">
      <c r="B838" s="10"/>
      <c r="C838" s="11"/>
      <c r="D838" s="11"/>
      <c r="E838" s="12"/>
      <c r="F838" s="41"/>
      <c r="G838" s="30"/>
      <c r="H838" s="30"/>
      <c r="I838" s="11"/>
      <c r="J838" s="11"/>
    </row>
    <row r="839" spans="2:10" s="9" customFormat="1" x14ac:dyDescent="0.2">
      <c r="B839" s="10"/>
      <c r="C839" s="11"/>
      <c r="D839" s="11"/>
      <c r="E839" s="12"/>
      <c r="F839" s="41"/>
      <c r="G839" s="30"/>
      <c r="H839" s="30"/>
      <c r="I839" s="11"/>
      <c r="J839" s="11"/>
    </row>
    <row r="840" spans="2:10" s="9" customFormat="1" x14ac:dyDescent="0.2">
      <c r="B840" s="10"/>
      <c r="C840" s="11"/>
      <c r="D840" s="11"/>
      <c r="E840" s="12"/>
      <c r="F840" s="41"/>
      <c r="G840" s="30"/>
      <c r="H840" s="30"/>
      <c r="I840" s="11"/>
      <c r="J840" s="11"/>
    </row>
    <row r="841" spans="2:10" s="9" customFormat="1" x14ac:dyDescent="0.2">
      <c r="B841" s="10"/>
      <c r="C841" s="11"/>
      <c r="D841" s="11"/>
      <c r="E841" s="12"/>
      <c r="F841" s="41"/>
      <c r="G841" s="30"/>
      <c r="H841" s="30"/>
      <c r="I841" s="11"/>
      <c r="J841" s="11"/>
    </row>
    <row r="842" spans="2:10" s="9" customFormat="1" x14ac:dyDescent="0.2">
      <c r="B842" s="10"/>
      <c r="C842" s="11"/>
      <c r="D842" s="11"/>
      <c r="E842" s="12"/>
      <c r="F842" s="41"/>
      <c r="G842" s="30"/>
      <c r="H842" s="30"/>
      <c r="I842" s="11"/>
      <c r="J842" s="11"/>
    </row>
    <row r="843" spans="2:10" s="9" customFormat="1" x14ac:dyDescent="0.2">
      <c r="B843" s="10"/>
      <c r="C843" s="11"/>
      <c r="D843" s="11"/>
      <c r="E843" s="12"/>
      <c r="F843" s="41"/>
      <c r="G843" s="30"/>
      <c r="H843" s="30"/>
      <c r="I843" s="11"/>
      <c r="J843" s="11"/>
    </row>
    <row r="844" spans="2:10" s="9" customFormat="1" x14ac:dyDescent="0.2">
      <c r="B844" s="10"/>
      <c r="C844" s="11"/>
      <c r="D844" s="11"/>
      <c r="E844" s="12"/>
      <c r="F844" s="41"/>
      <c r="G844" s="30"/>
      <c r="H844" s="30"/>
      <c r="I844" s="11"/>
      <c r="J844" s="11"/>
    </row>
    <row r="845" spans="2:10" s="9" customFormat="1" x14ac:dyDescent="0.2">
      <c r="B845" s="10"/>
      <c r="C845" s="11"/>
      <c r="D845" s="11"/>
      <c r="E845" s="12"/>
      <c r="F845" s="41"/>
      <c r="G845" s="30"/>
      <c r="H845" s="30"/>
      <c r="I845" s="11"/>
      <c r="J845" s="11"/>
    </row>
    <row r="846" spans="2:10" s="9" customFormat="1" x14ac:dyDescent="0.2">
      <c r="B846" s="10"/>
      <c r="C846" s="11"/>
      <c r="D846" s="11"/>
      <c r="E846" s="12"/>
      <c r="F846" s="41"/>
      <c r="G846" s="30"/>
      <c r="H846" s="30"/>
      <c r="I846" s="11"/>
      <c r="J846" s="11"/>
    </row>
    <row r="847" spans="2:10" s="9" customFormat="1" x14ac:dyDescent="0.2">
      <c r="B847" s="10"/>
      <c r="C847" s="11"/>
      <c r="D847" s="11"/>
      <c r="E847" s="12"/>
      <c r="F847" s="41"/>
      <c r="G847" s="30"/>
      <c r="H847" s="30"/>
      <c r="I847" s="11"/>
      <c r="J847" s="11"/>
    </row>
    <row r="848" spans="2:10" s="9" customFormat="1" x14ac:dyDescent="0.2">
      <c r="B848" s="10"/>
      <c r="C848" s="11"/>
      <c r="D848" s="11"/>
      <c r="E848" s="12"/>
      <c r="F848" s="41"/>
      <c r="G848" s="30"/>
      <c r="H848" s="30"/>
      <c r="I848" s="11"/>
      <c r="J848" s="11"/>
    </row>
    <row r="849" spans="2:10" s="9" customFormat="1" x14ac:dyDescent="0.2">
      <c r="B849" s="10"/>
      <c r="C849" s="11"/>
      <c r="D849" s="11"/>
      <c r="E849" s="12"/>
      <c r="F849" s="41"/>
      <c r="G849" s="30"/>
      <c r="H849" s="30"/>
      <c r="I849" s="11"/>
      <c r="J849" s="11"/>
    </row>
    <row r="850" spans="2:10" s="9" customFormat="1" x14ac:dyDescent="0.2">
      <c r="B850" s="10"/>
      <c r="C850" s="11"/>
      <c r="D850" s="11"/>
      <c r="E850" s="12"/>
      <c r="F850" s="41"/>
      <c r="G850" s="30"/>
      <c r="H850" s="30"/>
      <c r="I850" s="11"/>
      <c r="J850" s="11"/>
    </row>
    <row r="851" spans="2:10" s="9" customFormat="1" x14ac:dyDescent="0.2">
      <c r="B851" s="10"/>
      <c r="C851" s="11"/>
      <c r="D851" s="11"/>
      <c r="E851" s="12"/>
      <c r="F851" s="41"/>
      <c r="G851" s="30"/>
      <c r="H851" s="30"/>
      <c r="I851" s="11"/>
      <c r="J851" s="11"/>
    </row>
    <row r="852" spans="2:10" s="9" customFormat="1" x14ac:dyDescent="0.2">
      <c r="B852" s="10"/>
      <c r="C852" s="11"/>
      <c r="D852" s="11"/>
      <c r="E852" s="12"/>
      <c r="F852" s="41"/>
      <c r="G852" s="30"/>
      <c r="H852" s="30"/>
      <c r="I852" s="11"/>
      <c r="J852" s="11"/>
    </row>
    <row r="853" spans="2:10" s="9" customFormat="1" x14ac:dyDescent="0.2">
      <c r="B853" s="10"/>
      <c r="C853" s="11"/>
      <c r="D853" s="11"/>
      <c r="E853" s="12"/>
      <c r="F853" s="41"/>
      <c r="G853" s="30"/>
      <c r="H853" s="30"/>
      <c r="I853" s="11"/>
      <c r="J853" s="11"/>
    </row>
    <row r="854" spans="2:10" s="9" customFormat="1" x14ac:dyDescent="0.2">
      <c r="B854" s="10"/>
      <c r="C854" s="11"/>
      <c r="D854" s="11"/>
      <c r="E854" s="12"/>
      <c r="F854" s="41"/>
      <c r="G854" s="30"/>
      <c r="H854" s="30"/>
      <c r="I854" s="11"/>
      <c r="J854" s="11"/>
    </row>
    <row r="855" spans="2:10" s="9" customFormat="1" x14ac:dyDescent="0.2">
      <c r="B855" s="10"/>
      <c r="C855" s="11"/>
      <c r="D855" s="11"/>
      <c r="E855" s="12"/>
      <c r="F855" s="41"/>
      <c r="G855" s="30"/>
      <c r="H855" s="30"/>
      <c r="I855" s="11"/>
      <c r="J855" s="11"/>
    </row>
    <row r="856" spans="2:10" s="9" customFormat="1" x14ac:dyDescent="0.2">
      <c r="B856" s="10"/>
      <c r="C856" s="11"/>
      <c r="D856" s="11"/>
      <c r="E856" s="12"/>
      <c r="F856" s="41"/>
      <c r="G856" s="30"/>
      <c r="H856" s="30"/>
      <c r="I856" s="11"/>
      <c r="J856" s="11"/>
    </row>
    <row r="857" spans="2:10" s="9" customFormat="1" x14ac:dyDescent="0.2">
      <c r="B857" s="10"/>
      <c r="C857" s="11"/>
      <c r="D857" s="11"/>
      <c r="E857" s="12"/>
      <c r="F857" s="41"/>
      <c r="G857" s="30"/>
      <c r="H857" s="30"/>
      <c r="I857" s="11"/>
      <c r="J857" s="11"/>
    </row>
    <row r="858" spans="2:10" s="9" customFormat="1" x14ac:dyDescent="0.2">
      <c r="B858" s="10"/>
      <c r="C858" s="11"/>
      <c r="D858" s="11"/>
      <c r="E858" s="12"/>
      <c r="F858" s="41"/>
      <c r="G858" s="30"/>
      <c r="H858" s="30"/>
      <c r="I858" s="11"/>
      <c r="J858" s="11"/>
    </row>
    <row r="859" spans="2:10" s="9" customFormat="1" x14ac:dyDescent="0.2">
      <c r="B859" s="10"/>
      <c r="C859" s="11"/>
      <c r="D859" s="11"/>
      <c r="E859" s="12"/>
      <c r="F859" s="41"/>
      <c r="G859" s="30"/>
      <c r="H859" s="30"/>
      <c r="I859" s="11"/>
      <c r="J859" s="11"/>
    </row>
    <row r="860" spans="2:10" s="9" customFormat="1" x14ac:dyDescent="0.2">
      <c r="B860" s="10"/>
      <c r="C860" s="11"/>
      <c r="D860" s="11"/>
      <c r="E860" s="12"/>
      <c r="F860" s="41"/>
      <c r="G860" s="30"/>
      <c r="H860" s="30"/>
      <c r="I860" s="11"/>
      <c r="J860" s="11"/>
    </row>
    <row r="861" spans="2:10" s="9" customFormat="1" x14ac:dyDescent="0.2">
      <c r="B861" s="10"/>
      <c r="C861" s="11"/>
      <c r="D861" s="11"/>
      <c r="E861" s="12"/>
      <c r="F861" s="41"/>
      <c r="G861" s="30"/>
      <c r="H861" s="30"/>
      <c r="I861" s="11"/>
      <c r="J861" s="11"/>
    </row>
    <row r="862" spans="2:10" s="9" customFormat="1" x14ac:dyDescent="0.2">
      <c r="B862" s="10"/>
      <c r="C862" s="11"/>
      <c r="D862" s="11"/>
      <c r="E862" s="12"/>
      <c r="F862" s="41"/>
      <c r="G862" s="30"/>
      <c r="H862" s="30"/>
      <c r="I862" s="11"/>
      <c r="J862" s="11"/>
    </row>
    <row r="863" spans="2:10" s="9" customFormat="1" x14ac:dyDescent="0.2">
      <c r="B863" s="10"/>
      <c r="C863" s="11"/>
      <c r="D863" s="11"/>
      <c r="E863" s="12"/>
      <c r="F863" s="41"/>
      <c r="G863" s="30"/>
      <c r="H863" s="30"/>
      <c r="I863" s="11"/>
      <c r="J863" s="11"/>
    </row>
    <row r="864" spans="2:10" s="9" customFormat="1" x14ac:dyDescent="0.2">
      <c r="B864" s="10"/>
      <c r="C864" s="11"/>
      <c r="D864" s="11"/>
      <c r="E864" s="12"/>
      <c r="F864" s="41"/>
      <c r="G864" s="30"/>
      <c r="H864" s="30"/>
      <c r="I864" s="11"/>
      <c r="J864" s="11"/>
    </row>
    <row r="865" spans="2:10" s="9" customFormat="1" x14ac:dyDescent="0.2">
      <c r="B865" s="10"/>
      <c r="C865" s="11"/>
      <c r="D865" s="11"/>
      <c r="E865" s="12"/>
      <c r="F865" s="41"/>
      <c r="G865" s="30"/>
      <c r="H865" s="30"/>
      <c r="I865" s="11"/>
      <c r="J865" s="11"/>
    </row>
    <row r="866" spans="2:10" s="9" customFormat="1" x14ac:dyDescent="0.2">
      <c r="B866" s="10"/>
      <c r="C866" s="11"/>
      <c r="D866" s="11"/>
      <c r="E866" s="12"/>
      <c r="F866" s="41"/>
      <c r="G866" s="30"/>
      <c r="H866" s="30"/>
      <c r="I866" s="11"/>
      <c r="J866" s="11"/>
    </row>
    <row r="867" spans="2:10" s="9" customFormat="1" x14ac:dyDescent="0.2">
      <c r="B867" s="10"/>
      <c r="C867" s="11"/>
      <c r="D867" s="11"/>
      <c r="E867" s="12"/>
      <c r="F867" s="41"/>
      <c r="G867" s="30"/>
      <c r="H867" s="30"/>
      <c r="I867" s="11"/>
      <c r="J867" s="11"/>
    </row>
    <row r="868" spans="2:10" s="9" customFormat="1" x14ac:dyDescent="0.2">
      <c r="B868" s="10"/>
      <c r="C868" s="11"/>
      <c r="D868" s="11"/>
      <c r="E868" s="12"/>
      <c r="F868" s="41"/>
      <c r="G868" s="30"/>
      <c r="H868" s="30"/>
      <c r="I868" s="11"/>
      <c r="J868" s="11"/>
    </row>
    <row r="869" spans="2:10" s="9" customFormat="1" x14ac:dyDescent="0.2">
      <c r="B869" s="10"/>
      <c r="C869" s="11"/>
      <c r="D869" s="11"/>
      <c r="E869" s="12"/>
      <c r="F869" s="41"/>
      <c r="G869" s="30"/>
      <c r="H869" s="30"/>
      <c r="I869" s="11"/>
      <c r="J869" s="11"/>
    </row>
    <row r="870" spans="2:10" s="9" customFormat="1" x14ac:dyDescent="0.2">
      <c r="B870" s="10"/>
      <c r="C870" s="11"/>
      <c r="D870" s="11"/>
      <c r="E870" s="12"/>
      <c r="F870" s="41"/>
      <c r="G870" s="30"/>
      <c r="H870" s="30"/>
      <c r="I870" s="11"/>
      <c r="J870" s="11"/>
    </row>
    <row r="871" spans="2:10" s="9" customFormat="1" x14ac:dyDescent="0.2">
      <c r="B871" s="10"/>
      <c r="C871" s="11"/>
      <c r="D871" s="11"/>
      <c r="E871" s="12"/>
      <c r="F871" s="41"/>
      <c r="G871" s="30"/>
      <c r="H871" s="30"/>
      <c r="I871" s="11"/>
      <c r="J871" s="11"/>
    </row>
  </sheetData>
  <mergeCells count="1">
    <mergeCell ref="K2:L2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70"/>
  <sheetViews>
    <sheetView workbookViewId="0">
      <pane ySplit="2" topLeftCell="A33" activePane="bottomLeft" state="frozen"/>
      <selection pane="bottomLeft" activeCell="N29" sqref="N29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62" customWidth="1"/>
    <col min="5" max="5" width="9.5703125" style="2" customWidth="1"/>
    <col min="6" max="6" width="12.7109375" style="66" customWidth="1"/>
    <col min="7" max="7" width="13.28515625" style="3" customWidth="1"/>
    <col min="8" max="8" width="13.28515625" style="42" customWidth="1"/>
    <col min="9" max="9" width="13.28515625" style="31" customWidth="1"/>
    <col min="10" max="10" width="10" style="31" bestFit="1" customWidth="1"/>
    <col min="11" max="11" width="10" style="31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1.85546875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67"/>
      <c r="E1" s="68"/>
      <c r="F1" s="69"/>
      <c r="H1" s="29"/>
      <c r="I1" s="29"/>
      <c r="J1" s="29"/>
      <c r="K1" s="29"/>
    </row>
    <row r="2" spans="2:20" ht="32.25" x14ac:dyDescent="0.2">
      <c r="B2" s="4" t="s">
        <v>0</v>
      </c>
      <c r="C2" s="4" t="s">
        <v>8</v>
      </c>
      <c r="D2" s="61" t="s">
        <v>718</v>
      </c>
      <c r="E2" s="8" t="s">
        <v>719</v>
      </c>
      <c r="F2" s="64" t="s">
        <v>684</v>
      </c>
      <c r="G2" s="5" t="s">
        <v>361</v>
      </c>
      <c r="H2" s="5" t="s">
        <v>362</v>
      </c>
      <c r="I2" s="5" t="s">
        <v>7</v>
      </c>
      <c r="J2" s="73" t="s">
        <v>6</v>
      </c>
      <c r="K2" s="73" t="s">
        <v>683</v>
      </c>
      <c r="L2" s="5" t="s">
        <v>5</v>
      </c>
      <c r="M2" s="5" t="s">
        <v>685</v>
      </c>
      <c r="N2" s="5" t="s">
        <v>686</v>
      </c>
      <c r="O2" s="5" t="s">
        <v>1</v>
      </c>
      <c r="P2" s="158" t="s">
        <v>2</v>
      </c>
      <c r="Q2" s="159"/>
      <c r="R2" s="4" t="s">
        <v>3</v>
      </c>
      <c r="S2" s="27" t="s">
        <v>360</v>
      </c>
      <c r="T2" s="27">
        <v>2017</v>
      </c>
    </row>
    <row r="3" spans="2:20" x14ac:dyDescent="0.2">
      <c r="B3" s="13" t="s">
        <v>678</v>
      </c>
      <c r="C3" s="13" t="s">
        <v>587</v>
      </c>
      <c r="D3" s="70"/>
      <c r="E3" s="70"/>
      <c r="F3" s="71"/>
      <c r="G3" s="77">
        <v>1.8120000000000001</v>
      </c>
      <c r="H3" s="15"/>
      <c r="I3" s="15"/>
      <c r="J3" s="74">
        <f t="shared" ref="J3" si="0">H3-I3</f>
        <v>0</v>
      </c>
      <c r="K3" s="75">
        <f>(F3*(273.15+D3)/273.15)/(M3*N3)</f>
        <v>0</v>
      </c>
      <c r="L3" s="15" t="s">
        <v>682</v>
      </c>
      <c r="M3" s="72">
        <f>VLOOKUP(L3,allgemein!$B$3:$C$11,2,FALSE)</f>
        <v>12</v>
      </c>
      <c r="N3" s="14">
        <v>40</v>
      </c>
      <c r="O3" s="13" t="s">
        <v>681</v>
      </c>
      <c r="P3" s="22" t="s">
        <v>363</v>
      </c>
      <c r="Q3" s="44"/>
      <c r="R3" s="6"/>
    </row>
    <row r="4" spans="2:20" x14ac:dyDescent="0.2">
      <c r="B4" s="13"/>
      <c r="C4" s="13" t="s">
        <v>41</v>
      </c>
      <c r="D4" s="70"/>
      <c r="E4" s="70"/>
      <c r="F4" s="71"/>
      <c r="G4" s="77">
        <v>1.806</v>
      </c>
      <c r="H4" s="15"/>
      <c r="I4" s="15"/>
      <c r="J4" s="74">
        <f t="shared" ref="J4:J65" si="1">H4-I4</f>
        <v>0</v>
      </c>
      <c r="K4" s="75" t="e">
        <f t="shared" ref="K4:K65" si="2">(F4*(273.15+D4)/273.15)/(M4*N4)</f>
        <v>#N/A</v>
      </c>
      <c r="L4" s="15"/>
      <c r="M4" s="72" t="e">
        <f>VLOOKUP(L4,allgemein!$B$3:$C$11,2,FALSE)</f>
        <v>#N/A</v>
      </c>
      <c r="N4" s="14"/>
      <c r="O4" s="13"/>
      <c r="P4" s="78" t="s">
        <v>703</v>
      </c>
      <c r="Q4" s="44"/>
      <c r="R4" s="6"/>
    </row>
    <row r="5" spans="2:20" x14ac:dyDescent="0.2">
      <c r="B5" s="13"/>
      <c r="C5" s="13" t="s">
        <v>41</v>
      </c>
      <c r="D5" s="70"/>
      <c r="E5" s="70"/>
      <c r="F5" s="71"/>
      <c r="G5" s="77">
        <v>1.8080000000000001</v>
      </c>
      <c r="H5" s="15"/>
      <c r="I5" s="15"/>
      <c r="J5" s="74">
        <f t="shared" si="1"/>
        <v>0</v>
      </c>
      <c r="K5" s="75" t="e">
        <f t="shared" si="2"/>
        <v>#N/A</v>
      </c>
      <c r="L5" s="15"/>
      <c r="M5" s="72" t="e">
        <f>VLOOKUP(L5,allgemein!$B$3:$C$11,2,FALSE)</f>
        <v>#N/A</v>
      </c>
      <c r="N5" s="14"/>
      <c r="O5" s="13"/>
      <c r="P5" s="78" t="s">
        <v>721</v>
      </c>
      <c r="Q5" s="44"/>
      <c r="R5" s="6"/>
    </row>
    <row r="6" spans="2:20" x14ac:dyDescent="0.2">
      <c r="B6" s="13"/>
      <c r="C6" s="13" t="s">
        <v>41</v>
      </c>
      <c r="D6" s="70"/>
      <c r="E6" s="70"/>
      <c r="F6" s="71"/>
      <c r="G6" s="77">
        <v>1.8109999999999999</v>
      </c>
      <c r="H6" s="15"/>
      <c r="I6" s="15"/>
      <c r="J6" s="74">
        <f t="shared" si="1"/>
        <v>0</v>
      </c>
      <c r="K6" s="75" t="e">
        <f t="shared" si="2"/>
        <v>#N/A</v>
      </c>
      <c r="L6" s="15"/>
      <c r="M6" s="72" t="e">
        <f>VLOOKUP(L6,allgemein!$B$3:$C$11,2,FALSE)</f>
        <v>#N/A</v>
      </c>
      <c r="N6" s="14"/>
      <c r="O6" s="13"/>
      <c r="P6" s="15"/>
      <c r="Q6" s="44"/>
      <c r="R6" s="6"/>
    </row>
    <row r="7" spans="2:20" x14ac:dyDescent="0.2">
      <c r="B7" s="13"/>
      <c r="C7" s="13" t="s">
        <v>41</v>
      </c>
      <c r="D7" s="70"/>
      <c r="E7" s="70"/>
      <c r="F7" s="71"/>
      <c r="G7" s="77">
        <v>1.8140000000000001</v>
      </c>
      <c r="H7" s="15"/>
      <c r="I7" s="15"/>
      <c r="J7" s="74">
        <f t="shared" si="1"/>
        <v>0</v>
      </c>
      <c r="K7" s="75" t="e">
        <f t="shared" si="2"/>
        <v>#N/A</v>
      </c>
      <c r="L7" s="15"/>
      <c r="M7" s="72" t="e">
        <f>VLOOKUP(L7,allgemein!$B$3:$C$11,2,FALSE)</f>
        <v>#N/A</v>
      </c>
      <c r="N7" s="14"/>
      <c r="O7" s="13"/>
      <c r="P7" s="15"/>
      <c r="Q7" s="44"/>
      <c r="R7" s="6"/>
    </row>
    <row r="8" spans="2:20" x14ac:dyDescent="0.2">
      <c r="B8" s="13"/>
      <c r="C8" s="13" t="s">
        <v>41</v>
      </c>
      <c r="D8" s="70"/>
      <c r="E8" s="70"/>
      <c r="F8" s="71"/>
      <c r="G8" s="77">
        <v>1.8140000000000001</v>
      </c>
      <c r="H8" s="15"/>
      <c r="I8" s="15"/>
      <c r="J8" s="74">
        <f t="shared" si="1"/>
        <v>0</v>
      </c>
      <c r="K8" s="75" t="e">
        <f t="shared" si="2"/>
        <v>#N/A</v>
      </c>
      <c r="L8" s="15"/>
      <c r="M8" s="72" t="e">
        <f>VLOOKUP(L8,allgemein!$B$3:$C$11,2,FALSE)</f>
        <v>#N/A</v>
      </c>
      <c r="N8" s="14"/>
      <c r="O8" s="13"/>
      <c r="P8" s="15"/>
      <c r="Q8" s="44"/>
      <c r="R8" s="6"/>
    </row>
    <row r="9" spans="2:20" x14ac:dyDescent="0.2">
      <c r="B9" s="13"/>
      <c r="C9" s="13" t="s">
        <v>41</v>
      </c>
      <c r="D9" s="70"/>
      <c r="E9" s="70"/>
      <c r="F9" s="71"/>
      <c r="G9" s="77">
        <v>1.825</v>
      </c>
      <c r="H9" s="15"/>
      <c r="I9" s="15"/>
      <c r="J9" s="74">
        <f t="shared" si="1"/>
        <v>0</v>
      </c>
      <c r="K9" s="75" t="e">
        <f t="shared" si="2"/>
        <v>#N/A</v>
      </c>
      <c r="L9" s="15"/>
      <c r="M9" s="72" t="e">
        <f>VLOOKUP(L9,allgemein!$B$3:$C$11,2,FALSE)</f>
        <v>#N/A</v>
      </c>
      <c r="N9" s="14"/>
      <c r="O9" s="13"/>
      <c r="P9" s="15"/>
      <c r="Q9" s="44"/>
      <c r="R9" s="6"/>
    </row>
    <row r="10" spans="2:20" x14ac:dyDescent="0.2">
      <c r="B10" s="13"/>
      <c r="C10" s="13" t="s">
        <v>689</v>
      </c>
      <c r="D10" s="70"/>
      <c r="E10" s="70"/>
      <c r="F10" s="71"/>
      <c r="G10" s="77">
        <v>1.8089999999999999</v>
      </c>
      <c r="H10" s="15"/>
      <c r="I10" s="15"/>
      <c r="J10" s="74">
        <f t="shared" si="1"/>
        <v>0</v>
      </c>
      <c r="K10" s="75" t="e">
        <f t="shared" si="2"/>
        <v>#N/A</v>
      </c>
      <c r="L10" s="15"/>
      <c r="M10" s="72" t="e">
        <f>VLOOKUP(L10,allgemein!$B$3:$C$11,2,FALSE)</f>
        <v>#N/A</v>
      </c>
      <c r="N10" s="14"/>
      <c r="O10" s="13"/>
      <c r="P10" s="13"/>
      <c r="Q10" s="44"/>
      <c r="R10" s="6"/>
    </row>
    <row r="11" spans="2:20" x14ac:dyDescent="0.2">
      <c r="B11" s="13"/>
      <c r="C11" s="13" t="s">
        <v>41</v>
      </c>
      <c r="D11" s="70"/>
      <c r="E11" s="70"/>
      <c r="F11" s="71"/>
      <c r="G11" s="77">
        <v>1.8180000000000001</v>
      </c>
      <c r="H11" s="15"/>
      <c r="I11" s="15"/>
      <c r="J11" s="74">
        <f t="shared" si="1"/>
        <v>0</v>
      </c>
      <c r="K11" s="75" t="e">
        <f t="shared" si="2"/>
        <v>#N/A</v>
      </c>
      <c r="L11" s="15"/>
      <c r="M11" s="72" t="e">
        <f>VLOOKUP(L11,allgemein!$B$3:$C$11,2,FALSE)</f>
        <v>#N/A</v>
      </c>
      <c r="N11" s="14"/>
      <c r="O11" s="13"/>
      <c r="P11" s="13"/>
      <c r="Q11" s="44"/>
      <c r="R11" s="6"/>
    </row>
    <row r="12" spans="2:20" x14ac:dyDescent="0.2">
      <c r="B12" s="13"/>
      <c r="C12" s="13" t="s">
        <v>41</v>
      </c>
      <c r="D12" s="70"/>
      <c r="E12" s="70"/>
      <c r="F12" s="71"/>
      <c r="G12" s="77">
        <v>1.8169999999999999</v>
      </c>
      <c r="H12" s="15"/>
      <c r="I12" s="15"/>
      <c r="J12" s="74">
        <f t="shared" si="1"/>
        <v>0</v>
      </c>
      <c r="K12" s="75" t="e">
        <f t="shared" si="2"/>
        <v>#N/A</v>
      </c>
      <c r="L12" s="15"/>
      <c r="M12" s="72" t="e">
        <f>VLOOKUP(L12,allgemein!$B$3:$C$11,2,FALSE)</f>
        <v>#N/A</v>
      </c>
      <c r="N12" s="14"/>
      <c r="O12" s="13"/>
      <c r="P12" s="13"/>
      <c r="Q12" s="13"/>
      <c r="R12" s="6"/>
    </row>
    <row r="13" spans="2:20" x14ac:dyDescent="0.2">
      <c r="B13" s="13"/>
      <c r="C13" s="13" t="s">
        <v>41</v>
      </c>
      <c r="D13" s="70"/>
      <c r="E13" s="70"/>
      <c r="F13" s="71"/>
      <c r="G13" s="77">
        <v>1.8169999999999999</v>
      </c>
      <c r="H13" s="15"/>
      <c r="I13" s="15"/>
      <c r="J13" s="74">
        <f t="shared" si="1"/>
        <v>0</v>
      </c>
      <c r="K13" s="75" t="e">
        <f t="shared" si="2"/>
        <v>#N/A</v>
      </c>
      <c r="L13" s="15"/>
      <c r="M13" s="72" t="e">
        <f>VLOOKUP(L13,allgemein!$B$3:$C$11,2,FALSE)</f>
        <v>#N/A</v>
      </c>
      <c r="N13" s="14"/>
      <c r="O13" s="13"/>
      <c r="P13" s="13"/>
      <c r="Q13" s="13"/>
      <c r="R13" s="6"/>
    </row>
    <row r="14" spans="2:20" x14ac:dyDescent="0.2">
      <c r="B14" s="55"/>
      <c r="C14" s="13" t="s">
        <v>41</v>
      </c>
      <c r="D14" s="70"/>
      <c r="E14" s="70"/>
      <c r="F14" s="71"/>
      <c r="G14" s="77">
        <v>1.8169999999999999</v>
      </c>
      <c r="H14" s="57"/>
      <c r="I14" s="57"/>
      <c r="J14" s="74">
        <f t="shared" si="1"/>
        <v>0</v>
      </c>
      <c r="K14" s="75" t="e">
        <f t="shared" si="2"/>
        <v>#N/A</v>
      </c>
      <c r="L14" s="15"/>
      <c r="M14" s="72" t="e">
        <f>VLOOKUP(L14,allgemein!$B$3:$C$11,2,FALSE)</f>
        <v>#N/A</v>
      </c>
      <c r="N14" s="14"/>
      <c r="O14" s="13"/>
      <c r="P14" s="55"/>
      <c r="Q14" s="44"/>
      <c r="R14" s="6"/>
    </row>
    <row r="15" spans="2:20" x14ac:dyDescent="0.2">
      <c r="B15" s="13" t="s">
        <v>679</v>
      </c>
      <c r="C15" s="13" t="s">
        <v>41</v>
      </c>
      <c r="D15" s="70">
        <v>26.4</v>
      </c>
      <c r="E15" s="70">
        <v>0.6</v>
      </c>
      <c r="F15" s="71">
        <v>540</v>
      </c>
      <c r="G15" s="15">
        <v>1.875</v>
      </c>
      <c r="H15" s="15">
        <v>3.7509999999999999</v>
      </c>
      <c r="I15" s="15">
        <v>3.7250000000000001</v>
      </c>
      <c r="J15" s="74">
        <f t="shared" si="1"/>
        <v>2.5999999999999801E-2</v>
      </c>
      <c r="K15" s="75">
        <f t="shared" si="2"/>
        <v>7.4023887973640852</v>
      </c>
      <c r="L15" s="15" t="s">
        <v>323</v>
      </c>
      <c r="M15" s="72">
        <f>VLOOKUP(L15,allgemein!$B$3:$C$11,2,FALSE)</f>
        <v>2</v>
      </c>
      <c r="N15" s="14">
        <v>40</v>
      </c>
      <c r="O15" s="13" t="s">
        <v>692</v>
      </c>
      <c r="P15" s="23" t="s">
        <v>701</v>
      </c>
      <c r="Q15" s="13"/>
      <c r="R15" s="6"/>
    </row>
    <row r="16" spans="2:20" x14ac:dyDescent="0.2">
      <c r="C16" s="13" t="s">
        <v>41</v>
      </c>
      <c r="D16" s="70"/>
      <c r="E16" s="70"/>
      <c r="F16" s="71"/>
      <c r="G16" s="15">
        <v>1.8759999999999999</v>
      </c>
      <c r="H16" s="15"/>
      <c r="I16" s="15"/>
      <c r="J16" s="74">
        <f t="shared" si="1"/>
        <v>0</v>
      </c>
      <c r="K16" s="75" t="e">
        <f t="shared" si="2"/>
        <v>#N/A</v>
      </c>
      <c r="L16" s="15"/>
      <c r="M16" s="72" t="e">
        <f>VLOOKUP(L16,allgemein!$B$3:$C$11,2,FALSE)</f>
        <v>#N/A</v>
      </c>
      <c r="N16" s="14"/>
      <c r="O16" s="13"/>
      <c r="P16" s="13"/>
      <c r="Q16" s="13"/>
      <c r="R16" s="6"/>
    </row>
    <row r="17" spans="2:18" x14ac:dyDescent="0.2">
      <c r="B17" s="13" t="s">
        <v>680</v>
      </c>
      <c r="C17" s="13" t="s">
        <v>41</v>
      </c>
      <c r="D17" s="70">
        <v>26.6</v>
      </c>
      <c r="E17" s="70">
        <v>0.7</v>
      </c>
      <c r="F17" s="71">
        <v>537</v>
      </c>
      <c r="G17" s="15">
        <v>1.873</v>
      </c>
      <c r="H17" s="15">
        <v>3.7429999999999999</v>
      </c>
      <c r="I17" s="15">
        <v>3.7149999999999999</v>
      </c>
      <c r="J17" s="74">
        <f t="shared" si="1"/>
        <v>2.8000000000000025E-2</v>
      </c>
      <c r="K17" s="75">
        <f t="shared" si="2"/>
        <v>7.3661792970895119</v>
      </c>
      <c r="L17" s="15" t="s">
        <v>323</v>
      </c>
      <c r="M17" s="72">
        <f>VLOOKUP(L17,allgemein!$B$3:$C$11,2,FALSE)</f>
        <v>2</v>
      </c>
      <c r="N17" s="14">
        <v>40</v>
      </c>
      <c r="O17" s="13" t="s">
        <v>41</v>
      </c>
      <c r="P17" s="13" t="s">
        <v>41</v>
      </c>
      <c r="Q17" s="44"/>
      <c r="R17" s="6"/>
    </row>
    <row r="18" spans="2:18" x14ac:dyDescent="0.2">
      <c r="B18" s="13"/>
      <c r="C18" s="13" t="s">
        <v>41</v>
      </c>
      <c r="D18" s="70"/>
      <c r="E18" s="70"/>
      <c r="F18" s="71"/>
      <c r="G18" s="15">
        <v>1.87</v>
      </c>
      <c r="H18" s="15"/>
      <c r="I18" s="15"/>
      <c r="J18" s="74">
        <f t="shared" si="1"/>
        <v>0</v>
      </c>
      <c r="K18" s="75" t="e">
        <f t="shared" si="2"/>
        <v>#N/A</v>
      </c>
      <c r="L18" s="15"/>
      <c r="M18" s="72" t="e">
        <f>VLOOKUP(L18,allgemein!$B$3:$C$11,2,FALSE)</f>
        <v>#N/A</v>
      </c>
      <c r="N18" s="14"/>
      <c r="O18" s="13"/>
      <c r="P18" s="13"/>
      <c r="Q18" s="13"/>
      <c r="R18" s="6"/>
    </row>
    <row r="19" spans="2:18" x14ac:dyDescent="0.2">
      <c r="B19" s="13" t="s">
        <v>690</v>
      </c>
      <c r="C19" s="13" t="s">
        <v>41</v>
      </c>
      <c r="D19" s="70">
        <v>26.5</v>
      </c>
      <c r="E19" s="70">
        <v>0.5</v>
      </c>
      <c r="F19" s="71">
        <v>543</v>
      </c>
      <c r="G19" s="15">
        <v>1.87</v>
      </c>
      <c r="H19" s="15">
        <v>3.746</v>
      </c>
      <c r="I19" s="15">
        <v>3.7149999999999999</v>
      </c>
      <c r="J19" s="74">
        <f t="shared" si="1"/>
        <v>3.1000000000000139E-2</v>
      </c>
      <c r="K19" s="75">
        <f t="shared" si="2"/>
        <v>7.4459980779791319</v>
      </c>
      <c r="L19" s="15" t="s">
        <v>323</v>
      </c>
      <c r="M19" s="72">
        <f>VLOOKUP(L19,allgemein!$B$3:$C$11,2,FALSE)</f>
        <v>2</v>
      </c>
      <c r="N19" s="14">
        <v>40</v>
      </c>
      <c r="O19" s="13" t="s">
        <v>41</v>
      </c>
      <c r="P19" s="13" t="s">
        <v>41</v>
      </c>
      <c r="Q19" s="13"/>
      <c r="R19" s="6"/>
    </row>
    <row r="20" spans="2:18" x14ac:dyDescent="0.2">
      <c r="B20" s="13"/>
      <c r="C20" s="13" t="s">
        <v>41</v>
      </c>
      <c r="D20" s="70"/>
      <c r="E20" s="70"/>
      <c r="F20" s="71"/>
      <c r="G20" s="15">
        <v>1.875</v>
      </c>
      <c r="H20" s="15"/>
      <c r="I20" s="15"/>
      <c r="J20" s="74">
        <f t="shared" si="1"/>
        <v>0</v>
      </c>
      <c r="K20" s="75" t="e">
        <f t="shared" si="2"/>
        <v>#N/A</v>
      </c>
      <c r="L20" s="15"/>
      <c r="M20" s="72" t="e">
        <f>VLOOKUP(L20,allgemein!$B$3:$C$11,2,FALSE)</f>
        <v>#N/A</v>
      </c>
      <c r="N20" s="14"/>
      <c r="O20" s="13"/>
      <c r="P20" s="13"/>
      <c r="Q20" s="44"/>
      <c r="R20" s="6"/>
    </row>
    <row r="21" spans="2:18" x14ac:dyDescent="0.2">
      <c r="B21" s="13" t="s">
        <v>691</v>
      </c>
      <c r="C21" s="13" t="s">
        <v>41</v>
      </c>
      <c r="D21" s="70">
        <v>26.5</v>
      </c>
      <c r="E21" s="70">
        <v>0.9</v>
      </c>
      <c r="F21" s="71">
        <v>540</v>
      </c>
      <c r="G21" s="15">
        <v>1.8680000000000001</v>
      </c>
      <c r="H21" s="15">
        <v>3.7360000000000002</v>
      </c>
      <c r="I21" s="15">
        <v>3.7069999999999999</v>
      </c>
      <c r="J21" s="74">
        <f t="shared" si="1"/>
        <v>2.9000000000000359E-2</v>
      </c>
      <c r="K21" s="75">
        <f t="shared" si="2"/>
        <v>7.4048599670510713</v>
      </c>
      <c r="L21" s="15" t="s">
        <v>323</v>
      </c>
      <c r="M21" s="72">
        <f>VLOOKUP(L21,allgemein!$B$3:$C$11,2,FALSE)</f>
        <v>2</v>
      </c>
      <c r="N21" s="14">
        <v>40</v>
      </c>
      <c r="O21" s="13" t="s">
        <v>41</v>
      </c>
      <c r="P21" s="13" t="s">
        <v>41</v>
      </c>
      <c r="Q21" s="13"/>
      <c r="R21" s="6"/>
    </row>
    <row r="22" spans="2:18" x14ac:dyDescent="0.2">
      <c r="B22" s="55"/>
      <c r="C22" s="13" t="s">
        <v>41</v>
      </c>
      <c r="D22" s="70"/>
      <c r="E22" s="70"/>
      <c r="F22" s="71"/>
      <c r="G22" s="15">
        <v>1.867</v>
      </c>
      <c r="H22" s="15"/>
      <c r="I22" s="15"/>
      <c r="J22" s="74">
        <f t="shared" si="1"/>
        <v>0</v>
      </c>
      <c r="K22" s="75" t="e">
        <f t="shared" si="2"/>
        <v>#N/A</v>
      </c>
      <c r="L22" s="15"/>
      <c r="M22" s="72" t="e">
        <f>VLOOKUP(L22,allgemein!$B$3:$C$11,2,FALSE)</f>
        <v>#N/A</v>
      </c>
      <c r="N22" s="14"/>
      <c r="P22" s="13"/>
      <c r="Q22" s="13"/>
      <c r="R22" s="6"/>
    </row>
    <row r="23" spans="2:18" x14ac:dyDescent="0.2">
      <c r="B23" s="13" t="s">
        <v>694</v>
      </c>
      <c r="C23" s="13" t="s">
        <v>41</v>
      </c>
      <c r="D23" s="70">
        <v>25.3</v>
      </c>
      <c r="E23" s="70">
        <v>1.3</v>
      </c>
      <c r="F23" s="71">
        <v>265</v>
      </c>
      <c r="G23" s="57"/>
      <c r="H23" s="15">
        <v>1.871</v>
      </c>
      <c r="I23" s="15">
        <v>1.8520000000000001</v>
      </c>
      <c r="J23" s="74">
        <f t="shared" si="1"/>
        <v>1.8999999999999906E-2</v>
      </c>
      <c r="K23" s="75">
        <f t="shared" si="2"/>
        <v>7.2386280431997081</v>
      </c>
      <c r="L23" s="15" t="s">
        <v>328</v>
      </c>
      <c r="M23" s="72">
        <f>VLOOKUP(L23,allgemein!$B$3:$C$11,2,FALSE)</f>
        <v>1</v>
      </c>
      <c r="N23" s="14">
        <v>40</v>
      </c>
      <c r="O23" s="13" t="s">
        <v>693</v>
      </c>
      <c r="P23" s="13" t="s">
        <v>41</v>
      </c>
      <c r="Q23" s="44"/>
      <c r="R23" s="6"/>
    </row>
    <row r="24" spans="2:18" x14ac:dyDescent="0.2">
      <c r="B24" s="13" t="s">
        <v>695</v>
      </c>
      <c r="C24" s="13" t="s">
        <v>41</v>
      </c>
      <c r="D24" s="70">
        <v>25.2</v>
      </c>
      <c r="E24" s="70">
        <v>1.3</v>
      </c>
      <c r="F24" s="71">
        <v>264</v>
      </c>
      <c r="G24" s="57"/>
      <c r="H24" s="15">
        <v>1.859</v>
      </c>
      <c r="I24" s="15">
        <v>1.843</v>
      </c>
      <c r="J24" s="74">
        <f t="shared" si="1"/>
        <v>1.6000000000000014E-2</v>
      </c>
      <c r="K24" s="75">
        <f t="shared" si="2"/>
        <v>7.2088962108731467</v>
      </c>
      <c r="L24" s="15" t="s">
        <v>328</v>
      </c>
      <c r="M24" s="72">
        <f>VLOOKUP(L24,allgemein!$B$3:$C$11,2,FALSE)</f>
        <v>1</v>
      </c>
      <c r="N24" s="14">
        <v>40</v>
      </c>
      <c r="O24" s="13" t="s">
        <v>41</v>
      </c>
      <c r="P24" s="13" t="s">
        <v>41</v>
      </c>
      <c r="Q24" s="13"/>
      <c r="R24" s="6"/>
    </row>
    <row r="25" spans="2:18" x14ac:dyDescent="0.2">
      <c r="B25" s="13" t="s">
        <v>696</v>
      </c>
      <c r="C25" s="13" t="s">
        <v>41</v>
      </c>
      <c r="D25" s="70">
        <v>25.4</v>
      </c>
      <c r="E25" s="70">
        <v>1.5</v>
      </c>
      <c r="F25" s="71">
        <v>265</v>
      </c>
      <c r="G25" s="57"/>
      <c r="H25" s="15">
        <v>1.847</v>
      </c>
      <c r="I25" s="15">
        <v>1.8320000000000001</v>
      </c>
      <c r="J25" s="74">
        <f t="shared" si="1"/>
        <v>1.4999999999999902E-2</v>
      </c>
      <c r="K25" s="75">
        <f t="shared" si="2"/>
        <v>7.2410534504850803</v>
      </c>
      <c r="L25" s="15" t="s">
        <v>328</v>
      </c>
      <c r="M25" s="72">
        <f>VLOOKUP(L25,allgemein!$B$3:$C$11,2,FALSE)</f>
        <v>1</v>
      </c>
      <c r="N25" s="14">
        <v>40</v>
      </c>
      <c r="O25" s="13" t="s">
        <v>41</v>
      </c>
      <c r="P25" s="13" t="s">
        <v>41</v>
      </c>
      <c r="Q25" s="13"/>
      <c r="R25" s="6"/>
    </row>
    <row r="26" spans="2:18" x14ac:dyDescent="0.2">
      <c r="B26" s="13" t="s">
        <v>697</v>
      </c>
      <c r="C26" s="13" t="s">
        <v>41</v>
      </c>
      <c r="D26" s="70">
        <v>25.2</v>
      </c>
      <c r="E26" s="70">
        <v>1.1000000000000001</v>
      </c>
      <c r="F26" s="71">
        <v>270</v>
      </c>
      <c r="G26" s="15"/>
      <c r="H26" s="15">
        <v>1.8480000000000001</v>
      </c>
      <c r="I26" s="15">
        <v>1.829</v>
      </c>
      <c r="J26" s="74">
        <f t="shared" si="1"/>
        <v>1.9000000000000128E-2</v>
      </c>
      <c r="K26" s="75">
        <f t="shared" si="2"/>
        <v>7.3727347611202632</v>
      </c>
      <c r="L26" s="15" t="s">
        <v>328</v>
      </c>
      <c r="M26" s="72">
        <f>VLOOKUP(L26,allgemein!$B$3:$C$11,2,FALSE)</f>
        <v>1</v>
      </c>
      <c r="N26" s="14">
        <v>40</v>
      </c>
      <c r="O26" s="13" t="s">
        <v>41</v>
      </c>
      <c r="P26" s="13" t="s">
        <v>41</v>
      </c>
      <c r="Q26" s="13" t="s">
        <v>702</v>
      </c>
      <c r="R26" s="6"/>
    </row>
    <row r="27" spans="2:18" x14ac:dyDescent="0.2">
      <c r="B27" s="13" t="s">
        <v>698</v>
      </c>
      <c r="C27" s="13" t="s">
        <v>699</v>
      </c>
      <c r="D27" s="70">
        <v>26.5</v>
      </c>
      <c r="E27" s="70">
        <v>0.1</v>
      </c>
      <c r="F27" s="71">
        <v>272</v>
      </c>
      <c r="G27" s="15">
        <v>1.861</v>
      </c>
      <c r="H27" s="15">
        <v>1.861</v>
      </c>
      <c r="I27" s="15">
        <v>1.853</v>
      </c>
      <c r="J27" s="74">
        <f t="shared" si="1"/>
        <v>8.0000000000000071E-3</v>
      </c>
      <c r="K27" s="75">
        <f>(F27*(273.15+D27)/273.15)/(M27*N27)</f>
        <v>7.4597107816218182</v>
      </c>
      <c r="L27" s="15" t="s">
        <v>328</v>
      </c>
      <c r="M27" s="72">
        <f>VLOOKUP(L27,allgemein!$B$3:$C$11,2,FALSE)</f>
        <v>1</v>
      </c>
      <c r="N27" s="14">
        <v>40</v>
      </c>
      <c r="O27" s="13"/>
      <c r="P27" s="23" t="s">
        <v>700</v>
      </c>
      <c r="Q27" s="13"/>
      <c r="R27" s="6"/>
    </row>
    <row r="28" spans="2:18" x14ac:dyDescent="0.2">
      <c r="B28" s="13" t="s">
        <v>722</v>
      </c>
      <c r="C28" s="13" t="s">
        <v>707</v>
      </c>
      <c r="D28" s="70">
        <v>26</v>
      </c>
      <c r="E28" s="70">
        <v>0.5</v>
      </c>
      <c r="F28" s="71">
        <v>164</v>
      </c>
      <c r="G28" s="15"/>
      <c r="H28" s="15">
        <v>1.9490000000000001</v>
      </c>
      <c r="I28" s="15">
        <v>1.9359999999999999</v>
      </c>
      <c r="J28" s="74">
        <f t="shared" ref="J28" si="3">H28-I28</f>
        <v>1.3000000000000123E-2</v>
      </c>
      <c r="K28" s="75">
        <f t="shared" ref="K28" si="4">(F28*(273.15+D28)/273.15)/(M28*N28)</f>
        <v>7.1844188174995427</v>
      </c>
      <c r="L28" s="15" t="s">
        <v>732</v>
      </c>
      <c r="M28" s="72">
        <f>VLOOKUP(L28,allgemein!$B$3:$C$11,2,FALSE)</f>
        <v>1</v>
      </c>
      <c r="N28" s="14">
        <v>25</v>
      </c>
      <c r="O28" s="13" t="s">
        <v>723</v>
      </c>
      <c r="P28" s="23" t="s">
        <v>733</v>
      </c>
      <c r="Q28" s="13" t="s">
        <v>725</v>
      </c>
      <c r="R28" s="6"/>
    </row>
    <row r="29" spans="2:18" x14ac:dyDescent="0.2">
      <c r="B29" s="13" t="s">
        <v>704</v>
      </c>
      <c r="C29" s="2" t="s">
        <v>41</v>
      </c>
      <c r="D29" s="70">
        <v>26.1</v>
      </c>
      <c r="E29" s="70">
        <v>0.6</v>
      </c>
      <c r="F29" s="71">
        <v>166</v>
      </c>
      <c r="G29" s="15"/>
      <c r="H29" s="15">
        <v>1.9139999999999999</v>
      </c>
      <c r="I29" s="15">
        <v>1.899</v>
      </c>
      <c r="J29" s="74">
        <f t="shared" si="1"/>
        <v>1.4999999999999902E-2</v>
      </c>
      <c r="K29" s="75">
        <f t="shared" si="2"/>
        <v>7.2744645799011538</v>
      </c>
      <c r="L29" s="15" t="s">
        <v>728</v>
      </c>
      <c r="M29" s="72">
        <f>VLOOKUP(L29,allgemein!$B$3:$C$11,2,FALSE)</f>
        <v>1</v>
      </c>
      <c r="N29" s="14">
        <v>25</v>
      </c>
      <c r="O29" s="15" t="s">
        <v>651</v>
      </c>
      <c r="P29" s="13"/>
      <c r="Q29" s="13" t="s">
        <v>41</v>
      </c>
      <c r="R29" s="6"/>
    </row>
    <row r="30" spans="2:18" x14ac:dyDescent="0.2">
      <c r="B30" s="13" t="s">
        <v>705</v>
      </c>
      <c r="C30" s="13" t="s">
        <v>41</v>
      </c>
      <c r="D30" s="70">
        <v>26</v>
      </c>
      <c r="E30" s="70">
        <v>0.5</v>
      </c>
      <c r="F30" s="71">
        <v>162</v>
      </c>
      <c r="G30" s="15"/>
      <c r="H30" s="15">
        <v>1.891</v>
      </c>
      <c r="I30" s="15">
        <v>1.875</v>
      </c>
      <c r="J30" s="74">
        <f t="shared" si="1"/>
        <v>1.6000000000000014E-2</v>
      </c>
      <c r="K30" s="75">
        <f t="shared" si="2"/>
        <v>7.0968039538714995</v>
      </c>
      <c r="L30" s="15" t="s">
        <v>728</v>
      </c>
      <c r="M30" s="72">
        <f>VLOOKUP(L30,allgemein!$B$3:$C$11,2,FALSE)</f>
        <v>1</v>
      </c>
      <c r="N30" s="14">
        <v>25</v>
      </c>
      <c r="O30" s="13" t="s">
        <v>41</v>
      </c>
      <c r="P30" s="15"/>
      <c r="Q30" s="13" t="s">
        <v>41</v>
      </c>
      <c r="R30" s="6"/>
    </row>
    <row r="31" spans="2:18" x14ac:dyDescent="0.2">
      <c r="B31" s="13" t="s">
        <v>706</v>
      </c>
      <c r="C31" s="13" t="s">
        <v>41</v>
      </c>
      <c r="D31" s="70">
        <v>25.9</v>
      </c>
      <c r="E31" s="70">
        <v>0.7</v>
      </c>
      <c r="F31" s="71">
        <v>165</v>
      </c>
      <c r="G31" s="15"/>
      <c r="H31" s="15">
        <v>1.9139999999999999</v>
      </c>
      <c r="I31" s="15">
        <v>1.901</v>
      </c>
      <c r="J31" s="74">
        <f t="shared" si="1"/>
        <v>1.2999999999999901E-2</v>
      </c>
      <c r="K31" s="75">
        <f t="shared" si="2"/>
        <v>7.225809994508511</v>
      </c>
      <c r="L31" s="15" t="s">
        <v>728</v>
      </c>
      <c r="M31" s="72">
        <f>VLOOKUP(L31,allgemein!$B$3:$C$11,2,FALSE)</f>
        <v>1</v>
      </c>
      <c r="N31" s="14">
        <v>25</v>
      </c>
      <c r="O31" s="13" t="s">
        <v>41</v>
      </c>
      <c r="P31" s="15"/>
      <c r="Q31" s="13" t="s">
        <v>41</v>
      </c>
      <c r="R31" s="6"/>
    </row>
    <row r="32" spans="2:18" x14ac:dyDescent="0.2">
      <c r="B32" s="13" t="s">
        <v>709</v>
      </c>
      <c r="C32" s="13" t="s">
        <v>41</v>
      </c>
      <c r="D32" s="70">
        <v>26.2</v>
      </c>
      <c r="E32" s="70">
        <v>0.4</v>
      </c>
      <c r="F32" s="71">
        <v>163</v>
      </c>
      <c r="G32" s="15"/>
      <c r="H32" s="15">
        <v>1.9179999999999999</v>
      </c>
      <c r="I32" s="15">
        <v>1.9039999999999999</v>
      </c>
      <c r="J32" s="74">
        <f t="shared" si="1"/>
        <v>1.4000000000000012E-2</v>
      </c>
      <c r="K32" s="75">
        <f t="shared" si="2"/>
        <v>7.1453853194215631</v>
      </c>
      <c r="L32" s="15" t="s">
        <v>728</v>
      </c>
      <c r="M32" s="72">
        <f>VLOOKUP(L32,allgemein!$B$3:$C$11,2,FALSE)</f>
        <v>1</v>
      </c>
      <c r="N32" s="14">
        <v>25</v>
      </c>
      <c r="O32" s="13" t="s">
        <v>41</v>
      </c>
      <c r="P32" s="15"/>
      <c r="Q32" s="13" t="s">
        <v>41</v>
      </c>
      <c r="R32" s="6"/>
    </row>
    <row r="33" spans="2:18" x14ac:dyDescent="0.2">
      <c r="B33" s="13" t="s">
        <v>710</v>
      </c>
      <c r="C33" s="13" t="s">
        <v>41</v>
      </c>
      <c r="D33" s="70">
        <v>26.8</v>
      </c>
      <c r="E33" s="70">
        <v>0.3</v>
      </c>
      <c r="F33" s="71">
        <v>162</v>
      </c>
      <c r="G33" s="15"/>
      <c r="H33" s="15">
        <v>1.8919999999999999</v>
      </c>
      <c r="I33" s="15">
        <v>1.8779999999999999</v>
      </c>
      <c r="J33" s="74">
        <f t="shared" si="1"/>
        <v>1.4000000000000012E-2</v>
      </c>
      <c r="K33" s="75">
        <f t="shared" si="2"/>
        <v>7.1157825370675463</v>
      </c>
      <c r="L33" s="15" t="s">
        <v>728</v>
      </c>
      <c r="M33" s="72">
        <f>VLOOKUP(L33,allgemein!$B$3:$C$11,2,FALSE)</f>
        <v>1</v>
      </c>
      <c r="N33" s="14">
        <v>25</v>
      </c>
      <c r="O33" s="15" t="s">
        <v>708</v>
      </c>
      <c r="P33" s="15"/>
      <c r="Q33" s="13" t="s">
        <v>41</v>
      </c>
      <c r="R33" s="6"/>
    </row>
    <row r="34" spans="2:18" x14ac:dyDescent="0.2">
      <c r="B34" s="13" t="s">
        <v>711</v>
      </c>
      <c r="C34" s="13" t="s">
        <v>41</v>
      </c>
      <c r="D34" s="70">
        <v>26.7</v>
      </c>
      <c r="E34" s="70">
        <v>0.3</v>
      </c>
      <c r="F34" s="71">
        <v>171</v>
      </c>
      <c r="G34" s="15"/>
      <c r="H34" s="15">
        <v>1.893</v>
      </c>
      <c r="I34" s="15">
        <v>1.879</v>
      </c>
      <c r="J34" s="74">
        <f t="shared" si="1"/>
        <v>1.4000000000000012E-2</v>
      </c>
      <c r="K34" s="75">
        <f t="shared" si="2"/>
        <v>7.5085996705107076</v>
      </c>
      <c r="L34" s="15" t="s">
        <v>728</v>
      </c>
      <c r="M34" s="72">
        <f>VLOOKUP(L34,allgemein!$B$3:$C$11,2,FALSE)</f>
        <v>1</v>
      </c>
      <c r="N34" s="14">
        <v>25</v>
      </c>
      <c r="O34" s="13" t="s">
        <v>41</v>
      </c>
      <c r="P34" s="15"/>
      <c r="Q34" s="13" t="s">
        <v>41</v>
      </c>
      <c r="R34" s="6"/>
    </row>
    <row r="35" spans="2:18" x14ac:dyDescent="0.2">
      <c r="B35" s="13" t="s">
        <v>712</v>
      </c>
      <c r="C35" s="13" t="s">
        <v>41</v>
      </c>
      <c r="D35" s="70">
        <v>26.8</v>
      </c>
      <c r="E35" s="70">
        <v>0.3</v>
      </c>
      <c r="F35" s="71">
        <v>162</v>
      </c>
      <c r="G35" s="15"/>
      <c r="H35" s="15">
        <v>1.8839999999999999</v>
      </c>
      <c r="I35" s="15">
        <v>1.8720000000000001</v>
      </c>
      <c r="J35" s="74">
        <f t="shared" si="1"/>
        <v>1.1999999999999789E-2</v>
      </c>
      <c r="K35" s="75">
        <f t="shared" si="2"/>
        <v>7.1157825370675463</v>
      </c>
      <c r="L35" s="15" t="s">
        <v>728</v>
      </c>
      <c r="M35" s="72">
        <f>VLOOKUP(L35,allgemein!$B$3:$C$11,2,FALSE)</f>
        <v>1</v>
      </c>
      <c r="N35" s="14">
        <v>25</v>
      </c>
      <c r="O35" s="13" t="s">
        <v>41</v>
      </c>
      <c r="P35" s="15"/>
      <c r="Q35" s="79" t="s">
        <v>751</v>
      </c>
      <c r="R35" s="6"/>
    </row>
    <row r="36" spans="2:18" x14ac:dyDescent="0.2">
      <c r="B36" s="13" t="s">
        <v>713</v>
      </c>
      <c r="C36" s="13" t="s">
        <v>41</v>
      </c>
      <c r="D36" s="70">
        <v>26.5</v>
      </c>
      <c r="E36" s="70">
        <v>0.3</v>
      </c>
      <c r="F36" s="71">
        <v>167</v>
      </c>
      <c r="G36" s="15"/>
      <c r="H36" s="15">
        <v>1.891</v>
      </c>
      <c r="I36" s="15">
        <v>1.8759999999999999</v>
      </c>
      <c r="J36" s="74">
        <f t="shared" si="1"/>
        <v>1.5000000000000124E-2</v>
      </c>
      <c r="K36" s="75">
        <f t="shared" si="2"/>
        <v>7.3280688266520224</v>
      </c>
      <c r="L36" s="15" t="s">
        <v>728</v>
      </c>
      <c r="M36" s="72">
        <f>VLOOKUP(L36,allgemein!$B$3:$C$11,2,FALSE)</f>
        <v>1</v>
      </c>
      <c r="N36" s="14">
        <v>25</v>
      </c>
      <c r="O36" s="13" t="s">
        <v>41</v>
      </c>
      <c r="P36" s="15"/>
      <c r="Q36" s="13" t="s">
        <v>41</v>
      </c>
      <c r="R36" s="6"/>
    </row>
    <row r="37" spans="2:18" x14ac:dyDescent="0.2">
      <c r="B37" s="13" t="s">
        <v>714</v>
      </c>
      <c r="C37" s="13" t="s">
        <v>41</v>
      </c>
      <c r="D37" s="70">
        <v>26.1</v>
      </c>
      <c r="E37" s="70">
        <v>0.4</v>
      </c>
      <c r="F37" s="71">
        <v>164</v>
      </c>
      <c r="G37" s="15"/>
      <c r="H37" s="15">
        <v>1.889</v>
      </c>
      <c r="I37" s="15">
        <v>1.8759999999999999</v>
      </c>
      <c r="J37" s="74">
        <f t="shared" si="1"/>
        <v>1.3000000000000123E-2</v>
      </c>
      <c r="K37" s="75">
        <f t="shared" si="2"/>
        <v>7.1868204283360795</v>
      </c>
      <c r="L37" s="15" t="s">
        <v>728</v>
      </c>
      <c r="M37" s="72">
        <f>VLOOKUP(L37,allgemein!$B$3:$C$11,2,FALSE)</f>
        <v>1</v>
      </c>
      <c r="N37" s="14">
        <v>25</v>
      </c>
      <c r="O37" s="13" t="s">
        <v>41</v>
      </c>
      <c r="P37" s="15"/>
      <c r="Q37" s="13" t="s">
        <v>41</v>
      </c>
      <c r="R37" s="6"/>
    </row>
    <row r="38" spans="2:18" x14ac:dyDescent="0.2">
      <c r="B38" s="13" t="s">
        <v>715</v>
      </c>
      <c r="C38" s="13" t="s">
        <v>41</v>
      </c>
      <c r="D38" s="70">
        <v>25.3</v>
      </c>
      <c r="E38" s="70">
        <v>1</v>
      </c>
      <c r="F38" s="71">
        <v>170</v>
      </c>
      <c r="G38" s="15"/>
      <c r="H38" s="15">
        <v>1.887</v>
      </c>
      <c r="I38" s="15">
        <v>1.8740000000000001</v>
      </c>
      <c r="J38" s="74">
        <f t="shared" si="1"/>
        <v>1.2999999999999901E-2</v>
      </c>
      <c r="K38" s="75">
        <f t="shared" si="2"/>
        <v>7.4298370858502665</v>
      </c>
      <c r="L38" s="15" t="s">
        <v>728</v>
      </c>
      <c r="M38" s="72">
        <f>VLOOKUP(L38,allgemein!$B$3:$C$11,2,FALSE)</f>
        <v>1</v>
      </c>
      <c r="N38" s="14">
        <v>25</v>
      </c>
      <c r="O38" s="13" t="s">
        <v>41</v>
      </c>
      <c r="P38" s="15"/>
      <c r="Q38" s="13" t="s">
        <v>41</v>
      </c>
      <c r="R38" s="6"/>
    </row>
    <row r="39" spans="2:18" x14ac:dyDescent="0.2">
      <c r="B39" s="13" t="s">
        <v>716</v>
      </c>
      <c r="C39" s="13" t="s">
        <v>41</v>
      </c>
      <c r="D39" s="70">
        <v>25</v>
      </c>
      <c r="E39" s="70">
        <v>0.5</v>
      </c>
      <c r="F39" s="71">
        <v>166</v>
      </c>
      <c r="G39" s="15"/>
      <c r="H39" s="15">
        <v>1.9019999999999999</v>
      </c>
      <c r="I39" s="15">
        <v>1.8879999999999999</v>
      </c>
      <c r="J39" s="74">
        <f t="shared" si="1"/>
        <v>1.4000000000000012E-2</v>
      </c>
      <c r="K39" s="75">
        <f t="shared" si="2"/>
        <v>7.2477246933919091</v>
      </c>
      <c r="L39" s="15" t="s">
        <v>728</v>
      </c>
      <c r="M39" s="72">
        <f>VLOOKUP(L39,allgemein!$B$3:$C$11,2,FALSE)</f>
        <v>1</v>
      </c>
      <c r="N39" s="14">
        <v>25</v>
      </c>
      <c r="O39" s="13" t="s">
        <v>41</v>
      </c>
      <c r="P39" s="13"/>
      <c r="Q39" s="13" t="s">
        <v>41</v>
      </c>
      <c r="R39" s="6"/>
    </row>
    <row r="40" spans="2:18" x14ac:dyDescent="0.2">
      <c r="B40" s="13" t="s">
        <v>717</v>
      </c>
      <c r="C40" s="13" t="s">
        <v>41</v>
      </c>
      <c r="D40" s="70">
        <v>25</v>
      </c>
      <c r="E40" s="70">
        <v>0.3</v>
      </c>
      <c r="F40" s="71">
        <v>163</v>
      </c>
      <c r="G40" s="15"/>
      <c r="H40" s="15">
        <v>1.907</v>
      </c>
      <c r="I40" s="15">
        <v>1.897</v>
      </c>
      <c r="J40" s="74">
        <f t="shared" si="1"/>
        <v>1.0000000000000009E-2</v>
      </c>
      <c r="K40" s="75">
        <f t="shared" si="2"/>
        <v>7.1167417170053087</v>
      </c>
      <c r="L40" s="15" t="s">
        <v>728</v>
      </c>
      <c r="M40" s="72">
        <f>VLOOKUP(L40,allgemein!$B$3:$C$11,2,FALSE)</f>
        <v>1</v>
      </c>
      <c r="N40" s="14">
        <v>25</v>
      </c>
      <c r="O40" s="13" t="s">
        <v>41</v>
      </c>
      <c r="P40" s="15"/>
      <c r="Q40" s="13" t="s">
        <v>41</v>
      </c>
      <c r="R40" s="6"/>
    </row>
    <row r="41" spans="2:18" x14ac:dyDescent="0.2">
      <c r="B41" s="13" t="s">
        <v>720</v>
      </c>
      <c r="C41" s="13" t="s">
        <v>41</v>
      </c>
      <c r="D41" s="70">
        <v>24.9</v>
      </c>
      <c r="E41" s="70">
        <v>0.3</v>
      </c>
      <c r="F41" s="71">
        <v>169</v>
      </c>
      <c r="G41" s="15"/>
      <c r="H41" s="15">
        <v>1.901</v>
      </c>
      <c r="I41" s="15">
        <v>1.889</v>
      </c>
      <c r="J41" s="74">
        <f t="shared" si="1"/>
        <v>1.2000000000000011E-2</v>
      </c>
      <c r="K41" s="75">
        <f t="shared" si="2"/>
        <v>7.3762328390993943</v>
      </c>
      <c r="L41" s="15" t="s">
        <v>728</v>
      </c>
      <c r="M41" s="72">
        <f>VLOOKUP(L41,allgemein!$B$3:$C$11,2,FALSE)</f>
        <v>1</v>
      </c>
      <c r="N41" s="14">
        <v>25</v>
      </c>
      <c r="O41" s="13" t="s">
        <v>41</v>
      </c>
      <c r="P41" s="23" t="s">
        <v>724</v>
      </c>
      <c r="Q41" s="13" t="s">
        <v>41</v>
      </c>
      <c r="R41" s="6"/>
    </row>
    <row r="42" spans="2:18" x14ac:dyDescent="0.2">
      <c r="B42" s="13" t="s">
        <v>739</v>
      </c>
      <c r="C42" s="13" t="s">
        <v>689</v>
      </c>
      <c r="D42" s="70">
        <v>27.3</v>
      </c>
      <c r="E42" s="70">
        <v>0.8</v>
      </c>
      <c r="F42" s="71">
        <v>264</v>
      </c>
      <c r="G42" s="15"/>
      <c r="H42" s="15">
        <v>1.93</v>
      </c>
      <c r="I42" s="15">
        <v>1.919</v>
      </c>
      <c r="J42" s="74">
        <f t="shared" si="1"/>
        <v>1.0999999999999899E-2</v>
      </c>
      <c r="K42" s="75">
        <f t="shared" si="2"/>
        <v>7.2596375617792432</v>
      </c>
      <c r="L42" s="15" t="s">
        <v>729</v>
      </c>
      <c r="M42" s="72">
        <f>VLOOKUP(L42,allgemein!$B$3:$C$11,2,FALSE)</f>
        <v>1</v>
      </c>
      <c r="N42" s="14">
        <v>40</v>
      </c>
      <c r="O42" s="13" t="s">
        <v>726</v>
      </c>
      <c r="P42" s="15" t="s">
        <v>734</v>
      </c>
      <c r="Q42" s="13" t="s">
        <v>41</v>
      </c>
      <c r="R42" s="6"/>
    </row>
    <row r="43" spans="2:18" x14ac:dyDescent="0.2">
      <c r="B43" s="13" t="s">
        <v>740</v>
      </c>
      <c r="C43" s="13" t="s">
        <v>41</v>
      </c>
      <c r="D43" s="70">
        <v>27.3</v>
      </c>
      <c r="E43" s="70">
        <v>0.6</v>
      </c>
      <c r="F43" s="71">
        <v>267</v>
      </c>
      <c r="G43" s="15"/>
      <c r="H43" s="15">
        <v>1.9139999999999999</v>
      </c>
      <c r="I43" s="15">
        <v>1.899</v>
      </c>
      <c r="J43" s="74">
        <f t="shared" si="1"/>
        <v>1.4999999999999902E-2</v>
      </c>
      <c r="K43" s="75">
        <f t="shared" si="2"/>
        <v>7.3421334431630969</v>
      </c>
      <c r="L43" s="15" t="s">
        <v>729</v>
      </c>
      <c r="M43" s="72">
        <f>VLOOKUP(L43,allgemein!$B$3:$C$11,2,FALSE)</f>
        <v>1</v>
      </c>
      <c r="N43" s="14">
        <v>40</v>
      </c>
      <c r="O43" s="13" t="s">
        <v>41</v>
      </c>
      <c r="P43" s="15" t="s">
        <v>735</v>
      </c>
      <c r="Q43" s="13" t="s">
        <v>41</v>
      </c>
      <c r="R43" s="6"/>
    </row>
    <row r="44" spans="2:18" x14ac:dyDescent="0.2">
      <c r="B44" s="13" t="s">
        <v>741</v>
      </c>
      <c r="C44" s="13" t="s">
        <v>41</v>
      </c>
      <c r="D44" s="70">
        <v>27.3</v>
      </c>
      <c r="E44" s="70">
        <v>0.5</v>
      </c>
      <c r="F44" s="71">
        <v>264</v>
      </c>
      <c r="G44" s="15"/>
      <c r="H44" s="15">
        <v>1.921</v>
      </c>
      <c r="I44" s="15">
        <v>1.9059999999999999</v>
      </c>
      <c r="J44" s="74">
        <f t="shared" si="1"/>
        <v>1.5000000000000124E-2</v>
      </c>
      <c r="K44" s="75">
        <f t="shared" si="2"/>
        <v>7.2596375617792432</v>
      </c>
      <c r="L44" s="15" t="s">
        <v>729</v>
      </c>
      <c r="M44" s="72">
        <f>VLOOKUP(L44,allgemein!$B$3:$C$11,2,FALSE)</f>
        <v>1</v>
      </c>
      <c r="N44" s="14">
        <v>40</v>
      </c>
      <c r="O44" s="13" t="s">
        <v>41</v>
      </c>
      <c r="P44" s="15" t="s">
        <v>736</v>
      </c>
      <c r="Q44" s="13" t="s">
        <v>41</v>
      </c>
      <c r="R44" s="6"/>
    </row>
    <row r="45" spans="2:18" x14ac:dyDescent="0.2">
      <c r="B45" s="13" t="s">
        <v>742</v>
      </c>
      <c r="C45" s="13" t="s">
        <v>727</v>
      </c>
      <c r="D45" s="70">
        <v>27</v>
      </c>
      <c r="E45" s="70">
        <v>0.8</v>
      </c>
      <c r="F45" s="71">
        <v>264</v>
      </c>
      <c r="G45" s="15"/>
      <c r="H45" s="15">
        <v>1.921</v>
      </c>
      <c r="I45" s="15">
        <v>1.909</v>
      </c>
      <c r="J45" s="74">
        <f t="shared" si="1"/>
        <v>1.2000000000000011E-2</v>
      </c>
      <c r="K45" s="75">
        <f t="shared" si="2"/>
        <v>7.2523887973640857</v>
      </c>
      <c r="L45" s="15" t="s">
        <v>729</v>
      </c>
      <c r="M45" s="72">
        <f>VLOOKUP(L45,allgemein!$B$3:$C$11,2,FALSE)</f>
        <v>1</v>
      </c>
      <c r="N45" s="14">
        <v>40</v>
      </c>
      <c r="O45" s="13" t="s">
        <v>41</v>
      </c>
      <c r="P45" s="15" t="s">
        <v>737</v>
      </c>
      <c r="Q45" s="13" t="s">
        <v>41</v>
      </c>
      <c r="R45" s="6"/>
    </row>
    <row r="46" spans="2:18" x14ac:dyDescent="0.2">
      <c r="B46" s="13" t="s">
        <v>743</v>
      </c>
      <c r="C46" s="13" t="s">
        <v>41</v>
      </c>
      <c r="D46" s="70">
        <v>27</v>
      </c>
      <c r="E46" s="70">
        <v>0.6</v>
      </c>
      <c r="F46" s="71">
        <v>267</v>
      </c>
      <c r="G46" s="15"/>
      <c r="H46" s="15">
        <v>1.929</v>
      </c>
      <c r="I46" s="15">
        <v>1.917</v>
      </c>
      <c r="J46" s="74">
        <f t="shared" si="1"/>
        <v>1.2000000000000011E-2</v>
      </c>
      <c r="K46" s="75">
        <f t="shared" si="2"/>
        <v>7.3348023064250416</v>
      </c>
      <c r="L46" s="15" t="s">
        <v>729</v>
      </c>
      <c r="M46" s="72">
        <f>VLOOKUP(L46,allgemein!$B$3:$C$11,2,FALSE)</f>
        <v>1</v>
      </c>
      <c r="N46" s="14">
        <v>40</v>
      </c>
      <c r="O46" s="13" t="s">
        <v>41</v>
      </c>
      <c r="P46" s="15" t="s">
        <v>738</v>
      </c>
      <c r="Q46" s="13" t="s">
        <v>41</v>
      </c>
      <c r="R46" s="6"/>
    </row>
    <row r="47" spans="2:18" x14ac:dyDescent="0.2">
      <c r="B47" s="13" t="s">
        <v>744</v>
      </c>
      <c r="C47" s="13" t="s">
        <v>41</v>
      </c>
      <c r="D47" s="70">
        <v>28.8</v>
      </c>
      <c r="E47" s="70">
        <v>0.3</v>
      </c>
      <c r="F47" s="71"/>
      <c r="G47" s="15"/>
      <c r="H47" s="15">
        <v>1.9370000000000001</v>
      </c>
      <c r="I47" s="15">
        <v>1.9239999999999999</v>
      </c>
      <c r="J47" s="74">
        <f t="shared" si="1"/>
        <v>1.3000000000000123E-2</v>
      </c>
      <c r="K47" s="75">
        <f t="shared" si="2"/>
        <v>0</v>
      </c>
      <c r="L47" s="15" t="s">
        <v>730</v>
      </c>
      <c r="M47" s="72">
        <f>VLOOKUP(L47,allgemein!$B$3:$C$11,2,FALSE)</f>
        <v>1</v>
      </c>
      <c r="N47" s="14">
        <v>40</v>
      </c>
      <c r="O47" s="13" t="s">
        <v>749</v>
      </c>
      <c r="P47" s="15" t="s">
        <v>769</v>
      </c>
      <c r="Q47" s="13" t="s">
        <v>41</v>
      </c>
      <c r="R47" s="6"/>
    </row>
    <row r="48" spans="2:18" x14ac:dyDescent="0.2">
      <c r="B48" s="13" t="s">
        <v>745</v>
      </c>
      <c r="C48" s="13" t="s">
        <v>41</v>
      </c>
      <c r="D48" s="70">
        <v>29</v>
      </c>
      <c r="E48" s="70">
        <v>0.7</v>
      </c>
      <c r="F48" s="71"/>
      <c r="G48" s="15"/>
      <c r="H48" s="15">
        <v>1.9350000000000001</v>
      </c>
      <c r="I48" s="15">
        <v>1.923</v>
      </c>
      <c r="J48" s="74">
        <f t="shared" si="1"/>
        <v>1.2000000000000011E-2</v>
      </c>
      <c r="K48" s="75">
        <f t="shared" si="2"/>
        <v>0</v>
      </c>
      <c r="L48" s="15" t="s">
        <v>730</v>
      </c>
      <c r="M48" s="72">
        <f>VLOOKUP(L48,allgemein!$B$3:$C$11,2,FALSE)</f>
        <v>1</v>
      </c>
      <c r="N48" s="14">
        <v>40</v>
      </c>
      <c r="O48" s="13" t="s">
        <v>41</v>
      </c>
      <c r="P48" s="15" t="s">
        <v>770</v>
      </c>
      <c r="Q48" s="13" t="s">
        <v>41</v>
      </c>
      <c r="R48" s="6"/>
    </row>
    <row r="49" spans="2:18" x14ac:dyDescent="0.2">
      <c r="B49" s="13" t="s">
        <v>746</v>
      </c>
      <c r="C49" s="13" t="s">
        <v>41</v>
      </c>
      <c r="D49" s="70">
        <v>29.2</v>
      </c>
      <c r="E49" s="70">
        <v>0.6</v>
      </c>
      <c r="F49" s="71"/>
      <c r="G49" s="15"/>
      <c r="H49" s="15">
        <v>1.9379999999999999</v>
      </c>
      <c r="I49" s="15">
        <v>1.9259999999999999</v>
      </c>
      <c r="J49" s="74">
        <f t="shared" si="1"/>
        <v>1.2000000000000011E-2</v>
      </c>
      <c r="K49" s="75">
        <f t="shared" si="2"/>
        <v>0</v>
      </c>
      <c r="L49" s="15" t="s">
        <v>730</v>
      </c>
      <c r="M49" s="72">
        <f>VLOOKUP(L49,allgemein!$B$3:$C$11,2,FALSE)</f>
        <v>1</v>
      </c>
      <c r="N49" s="14">
        <v>40</v>
      </c>
      <c r="O49" s="13" t="s">
        <v>750</v>
      </c>
      <c r="P49" s="15" t="s">
        <v>763</v>
      </c>
      <c r="Q49" s="23" t="s">
        <v>766</v>
      </c>
      <c r="R49" s="6"/>
    </row>
    <row r="50" spans="2:18" x14ac:dyDescent="0.2">
      <c r="B50" s="13" t="s">
        <v>747</v>
      </c>
      <c r="C50" s="13" t="s">
        <v>707</v>
      </c>
      <c r="D50" s="13">
        <v>28.5</v>
      </c>
      <c r="E50" s="70">
        <v>0.7</v>
      </c>
      <c r="F50" s="71">
        <v>168</v>
      </c>
      <c r="G50" s="15"/>
      <c r="H50" s="15">
        <v>1.9430000000000001</v>
      </c>
      <c r="I50" s="15">
        <v>1.9339999999999999</v>
      </c>
      <c r="J50" s="74">
        <f t="shared" si="1"/>
        <v>9.000000000000119E-3</v>
      </c>
      <c r="K50" s="75">
        <f t="shared" si="2"/>
        <v>7.4211532125205926</v>
      </c>
      <c r="L50" s="15" t="s">
        <v>732</v>
      </c>
      <c r="M50" s="72">
        <f>VLOOKUP(L50,allgemein!$B$3:$C$11,2,FALSE)</f>
        <v>1</v>
      </c>
      <c r="N50" s="14">
        <v>25</v>
      </c>
      <c r="O50" s="13" t="s">
        <v>748</v>
      </c>
      <c r="P50" s="15" t="s">
        <v>752</v>
      </c>
      <c r="Q50" s="13" t="s">
        <v>753</v>
      </c>
      <c r="R50" s="6"/>
    </row>
    <row r="51" spans="2:18" x14ac:dyDescent="0.2">
      <c r="B51" s="13" t="s">
        <v>754</v>
      </c>
      <c r="C51" s="13" t="s">
        <v>41</v>
      </c>
      <c r="D51" s="70">
        <v>28.6</v>
      </c>
      <c r="E51" s="70">
        <v>0.8</v>
      </c>
      <c r="F51" s="71">
        <v>168</v>
      </c>
      <c r="G51" s="15"/>
      <c r="H51" s="15">
        <v>1.9079999999999999</v>
      </c>
      <c r="I51" s="15">
        <v>1.8919999999999999</v>
      </c>
      <c r="J51" s="74">
        <f>H51-I51</f>
        <v>1.6000000000000014E-2</v>
      </c>
      <c r="K51" s="75">
        <f>(F51*(273.15+D51)/273.15)/(M51*N51)</f>
        <v>7.4236133992311917</v>
      </c>
      <c r="L51" s="15" t="s">
        <v>728</v>
      </c>
      <c r="M51" s="72">
        <f>VLOOKUP(L51,allgemein!$B$3:$C$11,2,FALSE)</f>
        <v>1</v>
      </c>
      <c r="N51" s="14">
        <v>25</v>
      </c>
      <c r="O51" s="13" t="s">
        <v>756</v>
      </c>
      <c r="P51" s="15"/>
      <c r="Q51" s="13" t="s">
        <v>41</v>
      </c>
      <c r="R51" s="6"/>
    </row>
    <row r="52" spans="2:18" x14ac:dyDescent="0.2">
      <c r="B52" s="13" t="s">
        <v>755</v>
      </c>
      <c r="C52" s="13" t="s">
        <v>41</v>
      </c>
      <c r="D52" s="70">
        <v>28.5</v>
      </c>
      <c r="E52" s="70">
        <v>0.6</v>
      </c>
      <c r="F52" s="71">
        <v>167</v>
      </c>
      <c r="G52" s="15"/>
      <c r="H52" s="15">
        <v>1.9039999999999999</v>
      </c>
      <c r="I52" s="15">
        <v>1.8879999999999999</v>
      </c>
      <c r="J52" s="74">
        <f>H52-I52</f>
        <v>1.6000000000000014E-2</v>
      </c>
      <c r="K52" s="75">
        <f>(F52*(273.15+D52)/273.15)/(M52*N52)</f>
        <v>7.3769796814936841</v>
      </c>
      <c r="L52" s="15" t="s">
        <v>728</v>
      </c>
      <c r="M52" s="72">
        <f>VLOOKUP(L52,allgemein!$B$3:$C$11,2,FALSE)</f>
        <v>1</v>
      </c>
      <c r="N52" s="14">
        <v>25</v>
      </c>
      <c r="O52" s="13" t="s">
        <v>41</v>
      </c>
      <c r="P52" s="15"/>
      <c r="Q52" s="13" t="s">
        <v>41</v>
      </c>
      <c r="R52" s="6"/>
    </row>
    <row r="53" spans="2:18" x14ac:dyDescent="0.2">
      <c r="B53" s="13" t="s">
        <v>758</v>
      </c>
      <c r="C53" s="13" t="s">
        <v>727</v>
      </c>
      <c r="D53" s="70">
        <v>29.6</v>
      </c>
      <c r="E53" s="70">
        <v>0.6</v>
      </c>
      <c r="F53" s="71"/>
      <c r="G53" s="15">
        <v>1.87</v>
      </c>
      <c r="H53" s="15">
        <v>3.7440000000000002</v>
      </c>
      <c r="I53" s="15">
        <v>3.7170000000000001</v>
      </c>
      <c r="J53" s="74">
        <f>H53-I53</f>
        <v>2.7000000000000135E-2</v>
      </c>
      <c r="K53" s="75">
        <f>(F53*(273.15+D53)/273.15)/(M53*N53)</f>
        <v>0</v>
      </c>
      <c r="L53" s="15" t="s">
        <v>323</v>
      </c>
      <c r="M53" s="72">
        <f>VLOOKUP(L53,allgemein!$B$3:$C$11,2,FALSE)</f>
        <v>2</v>
      </c>
      <c r="N53" s="14">
        <v>40</v>
      </c>
      <c r="O53" s="13" t="s">
        <v>757</v>
      </c>
      <c r="P53" s="15"/>
      <c r="Q53" s="13" t="s">
        <v>767</v>
      </c>
      <c r="R53" s="6"/>
    </row>
    <row r="54" spans="2:18" x14ac:dyDescent="0.2">
      <c r="B54" s="13"/>
      <c r="C54" s="13" t="s">
        <v>41</v>
      </c>
      <c r="D54" s="70"/>
      <c r="E54" s="70"/>
      <c r="F54" s="71"/>
      <c r="G54" s="15">
        <v>1.8740000000000001</v>
      </c>
      <c r="H54" s="15"/>
      <c r="I54" s="15"/>
      <c r="J54" s="74">
        <f>H54-I54</f>
        <v>0</v>
      </c>
      <c r="K54" s="75"/>
      <c r="L54" s="15"/>
      <c r="M54" s="72"/>
      <c r="N54" s="14"/>
      <c r="O54" s="13"/>
      <c r="P54" s="15"/>
      <c r="Q54" s="13" t="s">
        <v>41</v>
      </c>
      <c r="R54" s="6"/>
    </row>
    <row r="55" spans="2:18" x14ac:dyDescent="0.2">
      <c r="B55" s="13" t="s">
        <v>759</v>
      </c>
      <c r="C55" s="13" t="s">
        <v>41</v>
      </c>
      <c r="D55" s="70">
        <v>29.5</v>
      </c>
      <c r="E55" s="70">
        <v>0.8</v>
      </c>
      <c r="F55" s="71"/>
      <c r="G55" s="15">
        <v>1.879</v>
      </c>
      <c r="H55" s="15">
        <v>3.7530000000000001</v>
      </c>
      <c r="I55" s="15">
        <v>3.726</v>
      </c>
      <c r="J55" s="74">
        <f>H55-I55</f>
        <v>2.7000000000000135E-2</v>
      </c>
      <c r="K55" s="75">
        <f>(F55*(273.15+D55)/273.15)/(M55*N55)</f>
        <v>0</v>
      </c>
      <c r="L55" s="15" t="s">
        <v>323</v>
      </c>
      <c r="M55" s="72">
        <f>VLOOKUP(L55,allgemein!$B$3:$C$11,2,FALSE)</f>
        <v>2</v>
      </c>
      <c r="N55" s="14">
        <v>40</v>
      </c>
      <c r="O55" s="13" t="s">
        <v>41</v>
      </c>
      <c r="P55" s="13"/>
      <c r="Q55" s="13" t="s">
        <v>41</v>
      </c>
      <c r="R55" s="6"/>
    </row>
    <row r="56" spans="2:18" x14ac:dyDescent="0.2">
      <c r="B56" s="13"/>
      <c r="C56" s="13" t="s">
        <v>41</v>
      </c>
      <c r="D56" s="70"/>
      <c r="E56" s="70"/>
      <c r="F56" s="71"/>
      <c r="G56" s="15">
        <v>1.8740000000000001</v>
      </c>
      <c r="H56" s="15"/>
      <c r="I56" s="15"/>
      <c r="J56" s="74"/>
      <c r="K56" s="75"/>
      <c r="L56" s="15"/>
      <c r="M56" s="72"/>
      <c r="N56" s="14"/>
      <c r="O56" s="13"/>
      <c r="P56" s="13"/>
      <c r="Q56" s="13" t="s">
        <v>768</v>
      </c>
      <c r="R56" s="6"/>
    </row>
    <row r="57" spans="2:18" x14ac:dyDescent="0.2">
      <c r="B57" s="13" t="s">
        <v>760</v>
      </c>
      <c r="C57" s="13" t="s">
        <v>41</v>
      </c>
      <c r="D57" s="70">
        <v>29.3</v>
      </c>
      <c r="E57" s="70">
        <v>0.7</v>
      </c>
      <c r="F57" s="71"/>
      <c r="G57" s="15">
        <v>1.87</v>
      </c>
      <c r="H57" s="15">
        <v>3.7490000000000001</v>
      </c>
      <c r="I57" s="15">
        <v>3.7229999999999999</v>
      </c>
      <c r="J57" s="74">
        <f>H57-I57</f>
        <v>2.6000000000000245E-2</v>
      </c>
      <c r="K57" s="75">
        <f>(F57*(273.15+D57)/273.15)/(M57*N57)</f>
        <v>0</v>
      </c>
      <c r="L57" s="15" t="s">
        <v>323</v>
      </c>
      <c r="M57" s="72">
        <f>VLOOKUP(L57,allgemein!$B$3:$C$11,2,FALSE)</f>
        <v>2</v>
      </c>
      <c r="N57" s="14">
        <v>40</v>
      </c>
      <c r="O57" s="13" t="s">
        <v>41</v>
      </c>
      <c r="P57" s="15"/>
      <c r="Q57" s="13" t="s">
        <v>41</v>
      </c>
      <c r="R57" s="6"/>
    </row>
    <row r="58" spans="2:18" x14ac:dyDescent="0.2">
      <c r="B58" s="13"/>
      <c r="C58" s="13" t="s">
        <v>41</v>
      </c>
      <c r="D58" s="70"/>
      <c r="E58" s="70"/>
      <c r="F58" s="71"/>
      <c r="G58" s="15">
        <v>1.879</v>
      </c>
      <c r="H58" s="15"/>
      <c r="I58" s="15"/>
      <c r="J58" s="74"/>
      <c r="K58" s="75"/>
      <c r="L58" s="15"/>
      <c r="M58" s="72"/>
      <c r="N58" s="14"/>
      <c r="O58" s="13"/>
      <c r="P58" s="15"/>
      <c r="Q58" s="13" t="s">
        <v>41</v>
      </c>
      <c r="R58" s="6"/>
    </row>
    <row r="59" spans="2:18" x14ac:dyDescent="0.2">
      <c r="B59" s="13" t="s">
        <v>761</v>
      </c>
      <c r="C59" s="13" t="s">
        <v>41</v>
      </c>
      <c r="D59" s="70">
        <v>29.7</v>
      </c>
      <c r="E59" s="70">
        <v>1.4</v>
      </c>
      <c r="F59" s="71"/>
      <c r="G59" s="15">
        <v>1.857</v>
      </c>
      <c r="H59" s="15">
        <v>3.714</v>
      </c>
      <c r="I59" s="15">
        <v>3.6989999999999998</v>
      </c>
      <c r="J59" s="74">
        <f>H59-I59</f>
        <v>1.5000000000000124E-2</v>
      </c>
      <c r="K59" s="75">
        <f>(F59*(273.15+D59)/273.15)/(M59*N59)</f>
        <v>0</v>
      </c>
      <c r="L59" s="15" t="s">
        <v>323</v>
      </c>
      <c r="M59" s="72">
        <f>VLOOKUP(L59,allgemein!$B$3:$C$11,2,FALSE)</f>
        <v>2</v>
      </c>
      <c r="N59" s="14">
        <v>40</v>
      </c>
      <c r="O59" s="13" t="s">
        <v>41</v>
      </c>
      <c r="P59" s="13"/>
      <c r="Q59" s="13" t="s">
        <v>41</v>
      </c>
      <c r="R59" s="6"/>
    </row>
    <row r="60" spans="2:18" x14ac:dyDescent="0.2">
      <c r="B60" s="13"/>
      <c r="C60" s="13" t="s">
        <v>41</v>
      </c>
      <c r="D60" s="70"/>
      <c r="E60" s="70"/>
      <c r="F60" s="71"/>
      <c r="G60" s="15">
        <v>1.857</v>
      </c>
      <c r="H60" s="15"/>
      <c r="I60" s="15"/>
      <c r="J60" s="74"/>
      <c r="K60" s="75"/>
      <c r="L60" s="15"/>
      <c r="M60" s="72"/>
      <c r="N60" s="14"/>
      <c r="O60" s="13"/>
      <c r="P60" s="13"/>
      <c r="Q60" s="13" t="s">
        <v>41</v>
      </c>
      <c r="R60" s="6"/>
    </row>
    <row r="61" spans="2:18" x14ac:dyDescent="0.2">
      <c r="B61" s="13" t="s">
        <v>762</v>
      </c>
      <c r="C61" s="13"/>
      <c r="D61" s="70">
        <v>30.3</v>
      </c>
      <c r="E61" s="70">
        <v>1.2</v>
      </c>
      <c r="F61" s="71"/>
      <c r="G61" s="15">
        <v>1.8260000000000001</v>
      </c>
      <c r="H61" s="15">
        <v>3.6509999999999998</v>
      </c>
      <c r="I61" s="15">
        <v>3.6280000000000001</v>
      </c>
      <c r="J61" s="74">
        <f>H61-I61</f>
        <v>2.2999999999999687E-2</v>
      </c>
      <c r="K61" s="75">
        <f>(F61*(273.15+D61)/273.15)/(M61*N61)</f>
        <v>0</v>
      </c>
      <c r="L61" s="15" t="s">
        <v>323</v>
      </c>
      <c r="M61" s="72">
        <f>VLOOKUP(L61,allgemein!$B$3:$C$11,2,FALSE)</f>
        <v>2</v>
      </c>
      <c r="N61" s="14">
        <v>40</v>
      </c>
      <c r="O61" s="13" t="s">
        <v>41</v>
      </c>
      <c r="P61" s="15"/>
      <c r="Q61" s="13" t="s">
        <v>41</v>
      </c>
      <c r="R61" s="6"/>
    </row>
    <row r="62" spans="2:18" x14ac:dyDescent="0.2">
      <c r="B62" s="13"/>
      <c r="C62" s="13"/>
      <c r="D62" s="70"/>
      <c r="E62" s="70"/>
      <c r="F62" s="71"/>
      <c r="G62" s="15">
        <v>1.825</v>
      </c>
      <c r="H62" s="15"/>
      <c r="I62" s="15"/>
      <c r="J62" s="74"/>
      <c r="K62" s="75"/>
      <c r="L62" s="15"/>
      <c r="M62" s="72"/>
      <c r="N62" s="14"/>
      <c r="O62" s="13"/>
      <c r="P62" s="13"/>
      <c r="Q62" s="13" t="s">
        <v>41</v>
      </c>
      <c r="R62" s="6"/>
    </row>
    <row r="63" spans="2:18" x14ac:dyDescent="0.2">
      <c r="B63" s="13" t="s">
        <v>765</v>
      </c>
      <c r="C63" s="13" t="s">
        <v>41</v>
      </c>
      <c r="D63" s="70">
        <v>30.5</v>
      </c>
      <c r="E63" s="70">
        <v>2</v>
      </c>
      <c r="F63" s="71"/>
      <c r="G63" s="15">
        <v>1.85</v>
      </c>
      <c r="H63" s="15">
        <v>3.7029999999999998</v>
      </c>
      <c r="I63" s="15">
        <v>3.6819999999999999</v>
      </c>
      <c r="J63" s="74">
        <f>H63-I63</f>
        <v>2.0999999999999908E-2</v>
      </c>
      <c r="K63" s="75">
        <f>(F63*(273.15+D63)/273.15)/(M63*N63)</f>
        <v>0</v>
      </c>
      <c r="L63" s="15" t="s">
        <v>323</v>
      </c>
      <c r="M63" s="72">
        <f>VLOOKUP(L63,allgemein!$B$3:$C$11,2,FALSE)</f>
        <v>2</v>
      </c>
      <c r="N63" s="14">
        <v>40</v>
      </c>
      <c r="O63" s="13" t="s">
        <v>764</v>
      </c>
      <c r="P63" s="15"/>
      <c r="Q63" s="13" t="s">
        <v>41</v>
      </c>
      <c r="R63" s="6"/>
    </row>
    <row r="64" spans="2:18" x14ac:dyDescent="0.2">
      <c r="B64" s="13"/>
      <c r="C64" s="13" t="s">
        <v>41</v>
      </c>
      <c r="D64" s="70"/>
      <c r="E64" s="70"/>
      <c r="F64" s="71"/>
      <c r="G64" s="15">
        <v>1.853</v>
      </c>
      <c r="H64" s="15"/>
      <c r="I64" s="15"/>
      <c r="J64" s="74"/>
      <c r="K64" s="75"/>
      <c r="L64" s="15"/>
      <c r="M64" s="72"/>
      <c r="N64" s="14"/>
      <c r="O64" s="13"/>
      <c r="P64" s="13"/>
      <c r="Q64" s="13" t="s">
        <v>41</v>
      </c>
      <c r="R64" s="6"/>
    </row>
    <row r="65" spans="2:18" x14ac:dyDescent="0.2">
      <c r="B65" s="13" t="s">
        <v>771</v>
      </c>
      <c r="C65" s="13" t="s">
        <v>41</v>
      </c>
      <c r="D65" s="70">
        <v>30</v>
      </c>
      <c r="E65" s="70">
        <v>2.2000000000000002</v>
      </c>
      <c r="F65" s="71"/>
      <c r="G65" s="15">
        <v>1.869</v>
      </c>
      <c r="H65" s="15">
        <v>5.5819999999999999</v>
      </c>
      <c r="I65" s="15">
        <v>5.5490000000000004</v>
      </c>
      <c r="J65" s="74">
        <f t="shared" si="1"/>
        <v>3.2999999999999474E-2</v>
      </c>
      <c r="K65" s="75">
        <f t="shared" si="2"/>
        <v>0</v>
      </c>
      <c r="L65" s="15" t="s">
        <v>335</v>
      </c>
      <c r="M65" s="72">
        <f>VLOOKUP(L65,allgemein!$B$3:$C$11,2,FALSE)</f>
        <v>3</v>
      </c>
      <c r="N65" s="14">
        <v>40</v>
      </c>
      <c r="O65" s="13" t="s">
        <v>772</v>
      </c>
      <c r="P65" s="15"/>
      <c r="Q65" s="13" t="s">
        <v>41</v>
      </c>
      <c r="R65" s="6"/>
    </row>
    <row r="66" spans="2:18" x14ac:dyDescent="0.2">
      <c r="B66" s="13"/>
      <c r="C66" s="13" t="s">
        <v>41</v>
      </c>
      <c r="D66" s="70"/>
      <c r="E66" s="70"/>
      <c r="F66" s="71"/>
      <c r="G66" s="15">
        <v>1.86</v>
      </c>
      <c r="H66" s="15"/>
      <c r="I66" s="15"/>
      <c r="J66" s="74"/>
      <c r="K66" s="75"/>
      <c r="L66" s="15"/>
      <c r="M66" s="72"/>
      <c r="N66" s="14"/>
      <c r="O66" s="13"/>
      <c r="P66" s="13"/>
      <c r="Q66" s="13" t="s">
        <v>41</v>
      </c>
      <c r="R66" s="6"/>
    </row>
    <row r="67" spans="2:18" x14ac:dyDescent="0.2">
      <c r="B67" s="13"/>
      <c r="C67" s="13" t="s">
        <v>773</v>
      </c>
      <c r="D67" s="70"/>
      <c r="E67" s="70"/>
      <c r="F67" s="71"/>
      <c r="G67" s="15">
        <v>1.853</v>
      </c>
      <c r="H67" s="15"/>
      <c r="I67" s="15"/>
      <c r="J67" s="74"/>
      <c r="K67" s="75"/>
      <c r="L67" s="15"/>
      <c r="M67" s="72"/>
      <c r="N67" s="14"/>
      <c r="O67" s="13"/>
      <c r="P67" s="15"/>
      <c r="Q67" s="13" t="s">
        <v>774</v>
      </c>
      <c r="R67" s="6"/>
    </row>
    <row r="68" spans="2:18" x14ac:dyDescent="0.2">
      <c r="B68" s="13" t="s">
        <v>776</v>
      </c>
      <c r="C68" s="13" t="s">
        <v>41</v>
      </c>
      <c r="D68" s="70">
        <v>30.2</v>
      </c>
      <c r="E68" s="70">
        <v>1.3</v>
      </c>
      <c r="F68" s="71"/>
      <c r="G68" s="15">
        <v>1.85</v>
      </c>
      <c r="H68" s="15">
        <v>5.56</v>
      </c>
      <c r="I68" s="15">
        <v>5.5250000000000004</v>
      </c>
      <c r="J68" s="74">
        <f t="shared" ref="J68" si="5">H68-I68</f>
        <v>3.4999999999999254E-2</v>
      </c>
      <c r="K68" s="75">
        <f t="shared" ref="K68" si="6">(F68*(273.15+D68)/273.15)/(M68*N68)</f>
        <v>0</v>
      </c>
      <c r="L68" s="15" t="s">
        <v>335</v>
      </c>
      <c r="M68" s="72">
        <f>VLOOKUP(L68,allgemein!$B$3:$C$11,2,FALSE)</f>
        <v>3</v>
      </c>
      <c r="N68" s="14">
        <v>40</v>
      </c>
      <c r="O68" s="13"/>
      <c r="Q68" s="13" t="s">
        <v>775</v>
      </c>
      <c r="R68" s="6"/>
    </row>
    <row r="69" spans="2:18" x14ac:dyDescent="0.2">
      <c r="B69" s="13"/>
      <c r="C69" s="13" t="s">
        <v>41</v>
      </c>
      <c r="D69" s="70"/>
      <c r="E69" s="70"/>
      <c r="F69" s="71"/>
      <c r="G69" s="15">
        <v>1.853</v>
      </c>
      <c r="H69" s="15"/>
      <c r="I69" s="15"/>
      <c r="J69" s="74"/>
      <c r="K69" s="75"/>
      <c r="L69" s="15"/>
      <c r="M69" s="72"/>
      <c r="N69" s="14"/>
      <c r="O69" s="13"/>
      <c r="P69" s="15"/>
      <c r="Q69" s="13" t="s">
        <v>41</v>
      </c>
      <c r="R69" s="6"/>
    </row>
    <row r="70" spans="2:18" x14ac:dyDescent="0.2">
      <c r="B70" s="13"/>
      <c r="C70" s="13" t="s">
        <v>41</v>
      </c>
      <c r="D70" s="70"/>
      <c r="E70" s="70"/>
      <c r="F70" s="71"/>
      <c r="G70" s="15">
        <v>1.857</v>
      </c>
      <c r="H70" s="15"/>
      <c r="I70" s="15"/>
      <c r="J70" s="74"/>
      <c r="K70" s="75"/>
      <c r="L70" s="15"/>
      <c r="M70" s="72"/>
      <c r="N70" s="14"/>
      <c r="O70" s="13"/>
      <c r="P70" s="13"/>
      <c r="Q70" s="13" t="s">
        <v>41</v>
      </c>
      <c r="R70" s="6"/>
    </row>
    <row r="71" spans="2:18" x14ac:dyDescent="0.2">
      <c r="B71" s="13" t="s">
        <v>777</v>
      </c>
      <c r="C71" s="13" t="s">
        <v>41</v>
      </c>
      <c r="D71" s="70">
        <v>29.9</v>
      </c>
      <c r="E71" s="70">
        <v>0.8</v>
      </c>
      <c r="F71" s="71"/>
      <c r="G71" s="15">
        <v>1.847</v>
      </c>
      <c r="H71" s="15">
        <v>5.5380000000000003</v>
      </c>
      <c r="I71" s="15">
        <v>5.5030000000000001</v>
      </c>
      <c r="J71" s="74">
        <f t="shared" ref="J71" si="7">H71-I71</f>
        <v>3.5000000000000142E-2</v>
      </c>
      <c r="K71" s="75">
        <f t="shared" ref="K71" si="8">(F71*(273.15+D71)/273.15)/(M71*N71)</f>
        <v>0</v>
      </c>
      <c r="L71" s="15" t="s">
        <v>335</v>
      </c>
      <c r="M71" s="72">
        <f>VLOOKUP(L71,allgemein!$B$3:$C$11,2,FALSE)</f>
        <v>3</v>
      </c>
      <c r="N71" s="14">
        <v>40</v>
      </c>
      <c r="O71" s="13"/>
      <c r="P71" s="15"/>
      <c r="Q71" s="13" t="s">
        <v>41</v>
      </c>
      <c r="R71" s="6"/>
    </row>
    <row r="72" spans="2:18" x14ac:dyDescent="0.2">
      <c r="B72" s="13"/>
      <c r="C72" s="13" t="s">
        <v>41</v>
      </c>
      <c r="D72" s="70"/>
      <c r="E72" s="70"/>
      <c r="F72" s="71"/>
      <c r="G72" s="15">
        <v>1.843</v>
      </c>
      <c r="H72" s="15"/>
      <c r="I72" s="15"/>
      <c r="J72" s="74"/>
      <c r="K72" s="75"/>
      <c r="L72" s="15"/>
      <c r="M72" s="72"/>
      <c r="N72" s="14"/>
      <c r="O72" s="13"/>
      <c r="P72" s="13"/>
      <c r="Q72" s="13" t="s">
        <v>41</v>
      </c>
      <c r="R72" s="6"/>
    </row>
    <row r="73" spans="2:18" x14ac:dyDescent="0.2">
      <c r="B73" s="13"/>
      <c r="C73" s="13" t="s">
        <v>41</v>
      </c>
      <c r="D73" s="70"/>
      <c r="E73" s="70"/>
      <c r="F73" s="71"/>
      <c r="G73" s="15">
        <v>1.8480000000000001</v>
      </c>
      <c r="H73" s="15"/>
      <c r="I73" s="15"/>
      <c r="J73" s="74"/>
      <c r="K73" s="75"/>
      <c r="L73" s="15"/>
      <c r="M73" s="72"/>
      <c r="N73" s="14"/>
      <c r="O73" s="13"/>
      <c r="P73" s="15"/>
      <c r="Q73" s="13" t="s">
        <v>41</v>
      </c>
      <c r="R73" s="6"/>
    </row>
    <row r="74" spans="2:18" x14ac:dyDescent="0.2">
      <c r="B74" s="13" t="s">
        <v>778</v>
      </c>
      <c r="C74" s="13" t="s">
        <v>41</v>
      </c>
      <c r="D74" s="70">
        <v>29.9</v>
      </c>
      <c r="E74" s="70">
        <v>1.2</v>
      </c>
      <c r="F74" s="71"/>
      <c r="G74" s="15">
        <v>1.8560000000000001</v>
      </c>
      <c r="H74" s="15">
        <v>5.57</v>
      </c>
      <c r="I74" s="15">
        <v>5.5339999999999998</v>
      </c>
      <c r="J74" s="74">
        <f t="shared" ref="J74" si="9">H74-I74</f>
        <v>3.6000000000000476E-2</v>
      </c>
      <c r="K74" s="75">
        <f t="shared" ref="K74" si="10">(F74*(273.15+D74)/273.15)/(M74*N74)</f>
        <v>0</v>
      </c>
      <c r="L74" s="15" t="s">
        <v>335</v>
      </c>
      <c r="M74" s="72">
        <f>VLOOKUP(L74,allgemein!$B$3:$C$11,2,FALSE)</f>
        <v>3</v>
      </c>
      <c r="N74" s="14">
        <v>40</v>
      </c>
      <c r="O74" s="13"/>
      <c r="P74" s="13"/>
      <c r="Q74" s="13" t="s">
        <v>41</v>
      </c>
      <c r="R74" s="6"/>
    </row>
    <row r="75" spans="2:18" x14ac:dyDescent="0.2">
      <c r="B75" s="13"/>
      <c r="C75" s="13" t="s">
        <v>41</v>
      </c>
      <c r="D75" s="70"/>
      <c r="E75" s="70"/>
      <c r="F75" s="71"/>
      <c r="G75" s="15">
        <v>1.857</v>
      </c>
      <c r="H75" s="15"/>
      <c r="I75" s="15"/>
      <c r="J75" s="74"/>
      <c r="K75" s="75"/>
      <c r="L75" s="15"/>
      <c r="M75" s="72"/>
      <c r="N75" s="14"/>
      <c r="O75" s="13"/>
      <c r="P75" s="13"/>
      <c r="Q75" s="13" t="s">
        <v>41</v>
      </c>
      <c r="R75" s="6"/>
    </row>
    <row r="76" spans="2:18" x14ac:dyDescent="0.2">
      <c r="B76" s="13"/>
      <c r="C76" s="13" t="s">
        <v>41</v>
      </c>
      <c r="D76" s="70"/>
      <c r="E76" s="70"/>
      <c r="F76" s="71"/>
      <c r="G76" s="15">
        <v>1.857</v>
      </c>
      <c r="H76" s="15"/>
      <c r="I76" s="15"/>
      <c r="J76" s="74"/>
      <c r="K76" s="75"/>
      <c r="L76" s="15"/>
      <c r="M76" s="72"/>
      <c r="N76" s="14"/>
      <c r="O76" s="13"/>
      <c r="P76" s="13"/>
      <c r="Q76" s="13" t="s">
        <v>41</v>
      </c>
      <c r="R76" s="6"/>
    </row>
    <row r="77" spans="2:18" x14ac:dyDescent="0.2">
      <c r="B77" s="13" t="s">
        <v>779</v>
      </c>
      <c r="C77" s="13" t="s">
        <v>41</v>
      </c>
      <c r="D77" s="70">
        <v>30.1</v>
      </c>
      <c r="E77" s="70">
        <v>0.8</v>
      </c>
      <c r="F77" s="71"/>
      <c r="G77" s="7"/>
      <c r="H77" s="15">
        <v>1.861</v>
      </c>
      <c r="I77" s="15">
        <v>1.8480000000000001</v>
      </c>
      <c r="J77" s="74">
        <f t="shared" ref="J77:J130" si="11">H77-I77</f>
        <v>1.2999999999999901E-2</v>
      </c>
      <c r="K77" s="75" t="e">
        <f t="shared" ref="K77:K130" si="12">(F77*(273.15+D77)/273.15)/(M77*N77)</f>
        <v>#DIV/0!</v>
      </c>
      <c r="L77" s="15" t="s">
        <v>328</v>
      </c>
      <c r="M77" s="72">
        <f>VLOOKUP(L77,allgemein!$B$3:$C$11,2,FALSE)</f>
        <v>1</v>
      </c>
      <c r="N77" s="14"/>
      <c r="O77" s="13" t="s">
        <v>780</v>
      </c>
      <c r="P77" s="15"/>
      <c r="Q77" s="13" t="s">
        <v>41</v>
      </c>
      <c r="R77" s="6"/>
    </row>
    <row r="78" spans="2:18" x14ac:dyDescent="0.2">
      <c r="B78" s="13"/>
      <c r="C78" s="13"/>
      <c r="D78" s="70"/>
      <c r="E78" s="70"/>
      <c r="F78" s="71"/>
      <c r="G78" s="7"/>
      <c r="H78" s="15"/>
      <c r="I78" s="15"/>
      <c r="J78" s="74">
        <f t="shared" si="11"/>
        <v>0</v>
      </c>
      <c r="K78" s="75" t="e">
        <f t="shared" si="12"/>
        <v>#N/A</v>
      </c>
      <c r="L78" s="15"/>
      <c r="M78" s="72" t="e">
        <f>VLOOKUP(L78,allgemein!$B$3:$C$11,2,FALSE)</f>
        <v>#N/A</v>
      </c>
      <c r="N78" s="14"/>
      <c r="O78" s="13"/>
      <c r="P78" s="13"/>
      <c r="Q78" s="13"/>
      <c r="R78" s="6"/>
    </row>
    <row r="79" spans="2:18" x14ac:dyDescent="0.2">
      <c r="B79" s="13"/>
      <c r="C79" s="13"/>
      <c r="D79" s="70"/>
      <c r="E79" s="70"/>
      <c r="F79" s="71"/>
      <c r="G79" s="7"/>
      <c r="H79" s="15"/>
      <c r="I79" s="15"/>
      <c r="J79" s="74">
        <f t="shared" si="11"/>
        <v>0</v>
      </c>
      <c r="K79" s="75" t="e">
        <f t="shared" si="12"/>
        <v>#N/A</v>
      </c>
      <c r="L79" s="15"/>
      <c r="M79" s="72" t="e">
        <f>VLOOKUP(L79,allgemein!$B$3:$C$11,2,FALSE)</f>
        <v>#N/A</v>
      </c>
      <c r="N79" s="14"/>
      <c r="O79" s="13"/>
      <c r="P79" s="13"/>
      <c r="Q79" s="13"/>
      <c r="R79" s="6"/>
    </row>
    <row r="80" spans="2:18" x14ac:dyDescent="0.2">
      <c r="B80" s="13"/>
      <c r="C80" s="13"/>
      <c r="D80" s="70"/>
      <c r="E80" s="70"/>
      <c r="F80" s="71"/>
      <c r="G80" s="7"/>
      <c r="H80" s="15"/>
      <c r="I80" s="15"/>
      <c r="J80" s="74">
        <f t="shared" si="11"/>
        <v>0</v>
      </c>
      <c r="K80" s="75" t="e">
        <f t="shared" si="12"/>
        <v>#N/A</v>
      </c>
      <c r="L80" s="15"/>
      <c r="M80" s="72" t="e">
        <f>VLOOKUP(L80,allgemein!$B$3:$C$11,2,FALSE)</f>
        <v>#N/A</v>
      </c>
      <c r="N80" s="14"/>
      <c r="O80" s="13"/>
      <c r="P80" s="13"/>
      <c r="Q80" s="13"/>
      <c r="R80" s="6"/>
    </row>
    <row r="81" spans="2:18" x14ac:dyDescent="0.2">
      <c r="B81" s="13"/>
      <c r="D81" s="70"/>
      <c r="E81" s="70"/>
      <c r="F81" s="71"/>
      <c r="G81" s="7"/>
      <c r="H81" s="7"/>
      <c r="I81" s="7"/>
      <c r="J81" s="74">
        <f t="shared" si="11"/>
        <v>0</v>
      </c>
      <c r="K81" s="75" t="e">
        <f t="shared" si="12"/>
        <v>#N/A</v>
      </c>
      <c r="L81" s="15"/>
      <c r="M81" s="72" t="e">
        <f>VLOOKUP(L81,allgemein!$B$3:$C$11,2,FALSE)</f>
        <v>#N/A</v>
      </c>
      <c r="N81" s="14"/>
      <c r="O81" s="13"/>
      <c r="P81" s="6"/>
      <c r="Q81" s="6"/>
      <c r="R81" s="6"/>
    </row>
    <row r="82" spans="2:18" x14ac:dyDescent="0.2">
      <c r="B82" s="13"/>
      <c r="C82" s="13"/>
      <c r="D82" s="70"/>
      <c r="E82" s="70"/>
      <c r="F82" s="71"/>
      <c r="G82" s="7"/>
      <c r="H82" s="7"/>
      <c r="I82" s="7"/>
      <c r="J82" s="74">
        <f t="shared" si="11"/>
        <v>0</v>
      </c>
      <c r="K82" s="75" t="e">
        <f t="shared" si="12"/>
        <v>#N/A</v>
      </c>
      <c r="L82" s="15"/>
      <c r="M82" s="72" t="e">
        <f>VLOOKUP(L82,allgemein!$B$3:$C$11,2,FALSE)</f>
        <v>#N/A</v>
      </c>
      <c r="N82" s="14"/>
      <c r="O82" s="13"/>
      <c r="P82" s="6"/>
      <c r="Q82" s="6"/>
      <c r="R82" s="6"/>
    </row>
    <row r="83" spans="2:18" x14ac:dyDescent="0.2">
      <c r="B83" s="13"/>
      <c r="C83" s="13"/>
      <c r="D83" s="70"/>
      <c r="E83" s="70"/>
      <c r="F83" s="71"/>
      <c r="G83" s="7"/>
      <c r="H83" s="7"/>
      <c r="I83" s="7"/>
      <c r="J83" s="74">
        <f t="shared" si="11"/>
        <v>0</v>
      </c>
      <c r="K83" s="75" t="e">
        <f t="shared" si="12"/>
        <v>#N/A</v>
      </c>
      <c r="L83" s="15"/>
      <c r="M83" s="72" t="e">
        <f>VLOOKUP(L83,allgemein!$B$3:$C$11,2,FALSE)</f>
        <v>#N/A</v>
      </c>
      <c r="N83" s="14"/>
      <c r="O83" s="13"/>
      <c r="P83" s="6"/>
      <c r="Q83" s="6"/>
      <c r="R83" s="6"/>
    </row>
    <row r="84" spans="2:18" x14ac:dyDescent="0.2">
      <c r="B84" s="13"/>
      <c r="C84" s="13"/>
      <c r="D84" s="70"/>
      <c r="E84" s="70"/>
      <c r="F84" s="71"/>
      <c r="G84" s="7"/>
      <c r="H84" s="7"/>
      <c r="I84" s="7"/>
      <c r="J84" s="74">
        <f t="shared" si="11"/>
        <v>0</v>
      </c>
      <c r="K84" s="75" t="e">
        <f t="shared" si="12"/>
        <v>#N/A</v>
      </c>
      <c r="L84" s="15"/>
      <c r="M84" s="72" t="e">
        <f>VLOOKUP(L84,allgemein!$B$3:$C$11,2,FALSE)</f>
        <v>#N/A</v>
      </c>
      <c r="N84" s="14"/>
      <c r="O84" s="13"/>
      <c r="P84" s="6"/>
      <c r="Q84" s="6"/>
      <c r="R84" s="6"/>
    </row>
    <row r="85" spans="2:18" x14ac:dyDescent="0.2">
      <c r="B85" s="6"/>
      <c r="C85" s="6"/>
      <c r="D85" s="70"/>
      <c r="E85" s="70"/>
      <c r="F85" s="71"/>
      <c r="G85" s="7"/>
      <c r="H85" s="7"/>
      <c r="I85" s="7"/>
      <c r="J85" s="74">
        <f t="shared" si="11"/>
        <v>0</v>
      </c>
      <c r="K85" s="75" t="e">
        <f t="shared" si="12"/>
        <v>#N/A</v>
      </c>
      <c r="L85" s="15"/>
      <c r="M85" s="72" t="e">
        <f>VLOOKUP(L85,allgemein!$B$3:$C$11,2,FALSE)</f>
        <v>#N/A</v>
      </c>
      <c r="N85" s="14"/>
      <c r="O85" s="5"/>
      <c r="P85" s="6"/>
      <c r="Q85" s="6"/>
      <c r="R85" s="6"/>
    </row>
    <row r="86" spans="2:18" x14ac:dyDescent="0.2">
      <c r="B86" s="6"/>
      <c r="C86" s="6"/>
      <c r="D86" s="70"/>
      <c r="E86" s="70"/>
      <c r="F86" s="71"/>
      <c r="G86" s="7"/>
      <c r="H86" s="7"/>
      <c r="I86" s="7"/>
      <c r="J86" s="74">
        <f t="shared" si="11"/>
        <v>0</v>
      </c>
      <c r="K86" s="75" t="e">
        <f t="shared" si="12"/>
        <v>#N/A</v>
      </c>
      <c r="L86" s="15"/>
      <c r="M86" s="72" t="e">
        <f>VLOOKUP(L86,allgemein!$B$3:$C$11,2,FALSE)</f>
        <v>#N/A</v>
      </c>
      <c r="N86" s="14"/>
      <c r="O86" s="5"/>
      <c r="P86" s="6"/>
      <c r="Q86" s="6"/>
      <c r="R86" s="6"/>
    </row>
    <row r="87" spans="2:18" x14ac:dyDescent="0.2">
      <c r="B87" s="6"/>
      <c r="C87" s="6"/>
      <c r="D87" s="70"/>
      <c r="E87" s="70"/>
      <c r="F87" s="71"/>
      <c r="G87" s="7"/>
      <c r="H87" s="7"/>
      <c r="I87" s="7"/>
      <c r="J87" s="74">
        <f t="shared" si="11"/>
        <v>0</v>
      </c>
      <c r="K87" s="75" t="e">
        <f t="shared" si="12"/>
        <v>#N/A</v>
      </c>
      <c r="L87" s="15"/>
      <c r="M87" s="72" t="e">
        <f>VLOOKUP(L87,allgemein!$B$3:$C$11,2,FALSE)</f>
        <v>#N/A</v>
      </c>
      <c r="N87" s="14"/>
      <c r="O87" s="5"/>
      <c r="P87" s="6"/>
      <c r="Q87" s="6"/>
      <c r="R87" s="6"/>
    </row>
    <row r="88" spans="2:18" x14ac:dyDescent="0.2">
      <c r="B88" s="6"/>
      <c r="C88" s="6"/>
      <c r="D88" s="70"/>
      <c r="E88" s="70"/>
      <c r="F88" s="71"/>
      <c r="G88" s="7"/>
      <c r="H88" s="7"/>
      <c r="I88" s="7"/>
      <c r="J88" s="74">
        <f t="shared" si="11"/>
        <v>0</v>
      </c>
      <c r="K88" s="75" t="e">
        <f t="shared" si="12"/>
        <v>#N/A</v>
      </c>
      <c r="L88" s="15"/>
      <c r="M88" s="72" t="e">
        <f>VLOOKUP(L88,allgemein!$B$3:$C$11,2,FALSE)</f>
        <v>#N/A</v>
      </c>
      <c r="N88" s="14"/>
      <c r="O88" s="5"/>
      <c r="P88" s="6"/>
      <c r="Q88" s="6"/>
      <c r="R88" s="6"/>
    </row>
    <row r="89" spans="2:18" x14ac:dyDescent="0.2">
      <c r="B89" s="6"/>
      <c r="C89" s="6"/>
      <c r="D89" s="70"/>
      <c r="E89" s="70"/>
      <c r="F89" s="71"/>
      <c r="G89" s="7"/>
      <c r="H89" s="7"/>
      <c r="I89" s="7"/>
      <c r="J89" s="74">
        <f t="shared" si="11"/>
        <v>0</v>
      </c>
      <c r="K89" s="75" t="e">
        <f t="shared" si="12"/>
        <v>#N/A</v>
      </c>
      <c r="L89" s="15"/>
      <c r="M89" s="72" t="e">
        <f>VLOOKUP(L89,allgemein!$B$3:$C$11,2,FALSE)</f>
        <v>#N/A</v>
      </c>
      <c r="N89" s="14"/>
      <c r="O89" s="5"/>
      <c r="P89" s="6"/>
      <c r="Q89" s="6"/>
      <c r="R89" s="6"/>
    </row>
    <row r="90" spans="2:18" x14ac:dyDescent="0.2">
      <c r="B90" s="6"/>
      <c r="C90" s="6"/>
      <c r="D90" s="70"/>
      <c r="E90" s="70"/>
      <c r="F90" s="71"/>
      <c r="G90" s="7"/>
      <c r="H90" s="7"/>
      <c r="I90" s="7"/>
      <c r="J90" s="74">
        <f t="shared" si="11"/>
        <v>0</v>
      </c>
      <c r="K90" s="75" t="e">
        <f t="shared" si="12"/>
        <v>#N/A</v>
      </c>
      <c r="L90" s="15"/>
      <c r="M90" s="72" t="e">
        <f>VLOOKUP(L90,allgemein!$B$3:$C$11,2,FALSE)</f>
        <v>#N/A</v>
      </c>
      <c r="N90" s="14"/>
      <c r="O90" s="5"/>
      <c r="P90" s="6"/>
      <c r="Q90" s="6"/>
      <c r="R90" s="6"/>
    </row>
    <row r="91" spans="2:18" x14ac:dyDescent="0.2">
      <c r="B91" s="6"/>
      <c r="C91" s="6"/>
      <c r="D91" s="70"/>
      <c r="E91" s="70"/>
      <c r="F91" s="71"/>
      <c r="G91" s="7"/>
      <c r="H91" s="7"/>
      <c r="I91" s="7"/>
      <c r="J91" s="74">
        <f t="shared" si="11"/>
        <v>0</v>
      </c>
      <c r="K91" s="75" t="e">
        <f t="shared" si="12"/>
        <v>#N/A</v>
      </c>
      <c r="L91" s="15"/>
      <c r="M91" s="72" t="e">
        <f>VLOOKUP(L91,allgemein!$B$3:$C$11,2,FALSE)</f>
        <v>#N/A</v>
      </c>
      <c r="N91" s="14"/>
      <c r="O91" s="5"/>
      <c r="P91" s="6"/>
      <c r="Q91" s="6"/>
      <c r="R91" s="6"/>
    </row>
    <row r="92" spans="2:18" x14ac:dyDescent="0.2">
      <c r="B92" s="6"/>
      <c r="C92" s="6"/>
      <c r="D92" s="70"/>
      <c r="E92" s="70"/>
      <c r="F92" s="71"/>
      <c r="G92" s="7"/>
      <c r="H92" s="7"/>
      <c r="I92" s="7"/>
      <c r="J92" s="74">
        <f t="shared" si="11"/>
        <v>0</v>
      </c>
      <c r="K92" s="75" t="e">
        <f t="shared" si="12"/>
        <v>#N/A</v>
      </c>
      <c r="L92" s="15"/>
      <c r="M92" s="72" t="e">
        <f>VLOOKUP(L92,allgemein!$B$3:$C$11,2,FALSE)</f>
        <v>#N/A</v>
      </c>
      <c r="N92" s="14"/>
      <c r="O92" s="5"/>
      <c r="P92" s="6"/>
      <c r="Q92" s="6"/>
      <c r="R92" s="6"/>
    </row>
    <row r="93" spans="2:18" x14ac:dyDescent="0.2">
      <c r="B93" s="6"/>
      <c r="C93" s="6"/>
      <c r="D93" s="70"/>
      <c r="E93" s="70"/>
      <c r="F93" s="71"/>
      <c r="G93" s="7"/>
      <c r="H93" s="7"/>
      <c r="I93" s="7"/>
      <c r="J93" s="74">
        <f t="shared" si="11"/>
        <v>0</v>
      </c>
      <c r="K93" s="75" t="e">
        <f t="shared" si="12"/>
        <v>#N/A</v>
      </c>
      <c r="L93" s="15"/>
      <c r="M93" s="72" t="e">
        <f>VLOOKUP(L93,allgemein!$B$3:$C$11,2,FALSE)</f>
        <v>#N/A</v>
      </c>
      <c r="N93" s="14"/>
      <c r="O93" s="5"/>
      <c r="P93" s="6"/>
      <c r="Q93" s="6"/>
      <c r="R93" s="6"/>
    </row>
    <row r="94" spans="2:18" x14ac:dyDescent="0.2">
      <c r="B94" s="6"/>
      <c r="C94" s="6"/>
      <c r="D94" s="70"/>
      <c r="E94" s="70"/>
      <c r="F94" s="71"/>
      <c r="G94" s="7"/>
      <c r="H94" s="7"/>
      <c r="I94" s="7"/>
      <c r="J94" s="74">
        <f t="shared" si="11"/>
        <v>0</v>
      </c>
      <c r="K94" s="75" t="e">
        <f t="shared" si="12"/>
        <v>#N/A</v>
      </c>
      <c r="L94" s="15"/>
      <c r="M94" s="72" t="e">
        <f>VLOOKUP(L94,allgemein!$B$3:$C$11,2,FALSE)</f>
        <v>#N/A</v>
      </c>
      <c r="N94" s="14"/>
      <c r="O94" s="5"/>
      <c r="P94" s="6"/>
      <c r="Q94" s="6"/>
      <c r="R94" s="6"/>
    </row>
    <row r="95" spans="2:18" x14ac:dyDescent="0.2">
      <c r="B95" s="6"/>
      <c r="C95" s="6"/>
      <c r="D95" s="70"/>
      <c r="E95" s="70"/>
      <c r="F95" s="71"/>
      <c r="G95" s="7"/>
      <c r="H95" s="7"/>
      <c r="I95" s="7"/>
      <c r="J95" s="74">
        <f t="shared" si="11"/>
        <v>0</v>
      </c>
      <c r="K95" s="75" t="e">
        <f t="shared" si="12"/>
        <v>#N/A</v>
      </c>
      <c r="L95" s="15"/>
      <c r="M95" s="72" t="e">
        <f>VLOOKUP(L95,allgemein!$B$3:$C$11,2,FALSE)</f>
        <v>#N/A</v>
      </c>
      <c r="N95" s="14"/>
      <c r="O95" s="5"/>
      <c r="P95" s="6"/>
      <c r="Q95" s="6"/>
      <c r="R95" s="6"/>
    </row>
    <row r="96" spans="2:18" x14ac:dyDescent="0.2">
      <c r="B96" s="6"/>
      <c r="C96" s="6"/>
      <c r="D96" s="70"/>
      <c r="E96" s="70"/>
      <c r="F96" s="71"/>
      <c r="G96" s="7"/>
      <c r="H96" s="7"/>
      <c r="I96" s="7"/>
      <c r="J96" s="74">
        <f t="shared" si="11"/>
        <v>0</v>
      </c>
      <c r="K96" s="75" t="e">
        <f t="shared" si="12"/>
        <v>#N/A</v>
      </c>
      <c r="L96" s="15"/>
      <c r="M96" s="72" t="e">
        <f>VLOOKUP(L96,allgemein!$B$3:$C$11,2,FALSE)</f>
        <v>#N/A</v>
      </c>
      <c r="N96" s="14"/>
      <c r="O96" s="5"/>
      <c r="P96" s="6"/>
      <c r="Q96" s="6"/>
      <c r="R96" s="6"/>
    </row>
    <row r="97" spans="2:18" x14ac:dyDescent="0.2">
      <c r="B97" s="6"/>
      <c r="C97" s="6"/>
      <c r="D97" s="70"/>
      <c r="E97" s="70"/>
      <c r="F97" s="71"/>
      <c r="G97" s="7"/>
      <c r="H97" s="7"/>
      <c r="I97" s="7"/>
      <c r="J97" s="74">
        <f t="shared" si="11"/>
        <v>0</v>
      </c>
      <c r="K97" s="75" t="e">
        <f t="shared" si="12"/>
        <v>#N/A</v>
      </c>
      <c r="L97" s="15"/>
      <c r="M97" s="72" t="e">
        <f>VLOOKUP(L97,allgemein!$B$3:$C$11,2,FALSE)</f>
        <v>#N/A</v>
      </c>
      <c r="N97" s="14"/>
      <c r="O97" s="5"/>
      <c r="P97" s="6"/>
      <c r="Q97" s="6"/>
      <c r="R97" s="6"/>
    </row>
    <row r="98" spans="2:18" x14ac:dyDescent="0.2">
      <c r="B98" s="6"/>
      <c r="C98" s="6"/>
      <c r="D98" s="70"/>
      <c r="E98" s="70"/>
      <c r="F98" s="71"/>
      <c r="G98" s="7"/>
      <c r="H98" s="7"/>
      <c r="I98" s="7"/>
      <c r="J98" s="74">
        <f t="shared" si="11"/>
        <v>0</v>
      </c>
      <c r="K98" s="75" t="e">
        <f t="shared" si="12"/>
        <v>#N/A</v>
      </c>
      <c r="L98" s="15"/>
      <c r="M98" s="72" t="e">
        <f>VLOOKUP(L98,allgemein!$B$3:$C$11,2,FALSE)</f>
        <v>#N/A</v>
      </c>
      <c r="N98" s="14"/>
      <c r="O98" s="5"/>
      <c r="P98" s="6"/>
      <c r="Q98" s="6"/>
      <c r="R98" s="6"/>
    </row>
    <row r="99" spans="2:18" x14ac:dyDescent="0.2">
      <c r="B99" s="6"/>
      <c r="C99" s="6"/>
      <c r="D99" s="70"/>
      <c r="E99" s="70"/>
      <c r="F99" s="71"/>
      <c r="G99" s="7"/>
      <c r="H99" s="7"/>
      <c r="I99" s="7"/>
      <c r="J99" s="74">
        <f t="shared" si="11"/>
        <v>0</v>
      </c>
      <c r="K99" s="75" t="e">
        <f t="shared" si="12"/>
        <v>#N/A</v>
      </c>
      <c r="L99" s="15"/>
      <c r="M99" s="72" t="e">
        <f>VLOOKUP(L99,allgemein!$B$3:$C$11,2,FALSE)</f>
        <v>#N/A</v>
      </c>
      <c r="N99" s="14"/>
      <c r="O99" s="5"/>
      <c r="P99" s="6"/>
      <c r="Q99" s="6"/>
      <c r="R99" s="6"/>
    </row>
    <row r="100" spans="2:18" x14ac:dyDescent="0.2">
      <c r="B100" s="6"/>
      <c r="C100" s="6"/>
      <c r="D100" s="70"/>
      <c r="E100" s="70"/>
      <c r="F100" s="71"/>
      <c r="G100" s="7"/>
      <c r="H100" s="7"/>
      <c r="I100" s="7"/>
      <c r="J100" s="74">
        <f t="shared" si="11"/>
        <v>0</v>
      </c>
      <c r="K100" s="75" t="e">
        <f t="shared" si="12"/>
        <v>#N/A</v>
      </c>
      <c r="L100" s="15"/>
      <c r="M100" s="72" t="e">
        <f>VLOOKUP(L100,allgemein!$B$3:$C$11,2,FALSE)</f>
        <v>#N/A</v>
      </c>
      <c r="N100" s="14"/>
      <c r="O100" s="5"/>
      <c r="P100" s="6"/>
      <c r="Q100" s="6"/>
      <c r="R100" s="6"/>
    </row>
    <row r="101" spans="2:18" x14ac:dyDescent="0.2">
      <c r="B101" s="6"/>
      <c r="C101" s="6"/>
      <c r="D101" s="70"/>
      <c r="E101" s="70"/>
      <c r="F101" s="71"/>
      <c r="G101" s="7"/>
      <c r="H101" s="7"/>
      <c r="I101" s="7"/>
      <c r="J101" s="74">
        <f t="shared" si="11"/>
        <v>0</v>
      </c>
      <c r="K101" s="75" t="e">
        <f t="shared" si="12"/>
        <v>#N/A</v>
      </c>
      <c r="L101" s="15"/>
      <c r="M101" s="72" t="e">
        <f>VLOOKUP(L101,allgemein!$B$3:$C$11,2,FALSE)</f>
        <v>#N/A</v>
      </c>
      <c r="N101" s="14"/>
      <c r="O101" s="5"/>
      <c r="P101" s="6"/>
      <c r="Q101" s="6"/>
      <c r="R101" s="6"/>
    </row>
    <row r="102" spans="2:18" x14ac:dyDescent="0.2">
      <c r="B102" s="6"/>
      <c r="C102" s="6"/>
      <c r="D102" s="70"/>
      <c r="E102" s="70"/>
      <c r="F102" s="71"/>
      <c r="G102" s="7"/>
      <c r="H102" s="7"/>
      <c r="I102" s="7"/>
      <c r="J102" s="74">
        <f t="shared" si="11"/>
        <v>0</v>
      </c>
      <c r="K102" s="75" t="e">
        <f t="shared" si="12"/>
        <v>#N/A</v>
      </c>
      <c r="L102" s="15"/>
      <c r="M102" s="72" t="e">
        <f>VLOOKUP(L102,allgemein!$B$3:$C$11,2,FALSE)</f>
        <v>#N/A</v>
      </c>
      <c r="N102" s="14"/>
      <c r="O102" s="5"/>
      <c r="P102" s="6"/>
      <c r="Q102" s="6"/>
      <c r="R102" s="6"/>
    </row>
    <row r="103" spans="2:18" x14ac:dyDescent="0.2">
      <c r="B103" s="6"/>
      <c r="C103" s="6"/>
      <c r="D103" s="70"/>
      <c r="E103" s="70"/>
      <c r="F103" s="71"/>
      <c r="G103" s="7"/>
      <c r="H103" s="7"/>
      <c r="I103" s="7"/>
      <c r="J103" s="74">
        <f t="shared" si="11"/>
        <v>0</v>
      </c>
      <c r="K103" s="75" t="e">
        <f t="shared" si="12"/>
        <v>#N/A</v>
      </c>
      <c r="L103" s="15"/>
      <c r="M103" s="72" t="e">
        <f>VLOOKUP(L103,allgemein!$B$3:$C$11,2,FALSE)</f>
        <v>#N/A</v>
      </c>
      <c r="N103" s="14"/>
      <c r="O103" s="5"/>
      <c r="P103" s="6"/>
      <c r="Q103" s="6"/>
      <c r="R103" s="6"/>
    </row>
    <row r="104" spans="2:18" x14ac:dyDescent="0.2">
      <c r="B104" s="6"/>
      <c r="C104" s="6"/>
      <c r="D104" s="70"/>
      <c r="E104" s="70"/>
      <c r="F104" s="71"/>
      <c r="G104" s="7"/>
      <c r="H104" s="7"/>
      <c r="I104" s="7"/>
      <c r="J104" s="74">
        <f t="shared" si="11"/>
        <v>0</v>
      </c>
      <c r="K104" s="75" t="e">
        <f t="shared" si="12"/>
        <v>#N/A</v>
      </c>
      <c r="L104" s="15"/>
      <c r="M104" s="72" t="e">
        <f>VLOOKUP(L104,allgemein!$B$3:$C$11,2,FALSE)</f>
        <v>#N/A</v>
      </c>
      <c r="N104" s="14"/>
      <c r="O104" s="5"/>
      <c r="P104" s="6"/>
      <c r="Q104" s="6"/>
      <c r="R104" s="6"/>
    </row>
    <row r="105" spans="2:18" x14ac:dyDescent="0.2">
      <c r="B105" s="6"/>
      <c r="C105" s="6"/>
      <c r="D105" s="70"/>
      <c r="E105" s="70"/>
      <c r="F105" s="71"/>
      <c r="G105" s="7"/>
      <c r="H105" s="7"/>
      <c r="I105" s="7"/>
      <c r="J105" s="74">
        <f t="shared" si="11"/>
        <v>0</v>
      </c>
      <c r="K105" s="75" t="e">
        <f t="shared" si="12"/>
        <v>#N/A</v>
      </c>
      <c r="L105" s="15"/>
      <c r="M105" s="72" t="e">
        <f>VLOOKUP(L105,allgemein!$B$3:$C$11,2,FALSE)</f>
        <v>#N/A</v>
      </c>
      <c r="N105" s="14"/>
      <c r="O105" s="5"/>
      <c r="P105" s="6"/>
      <c r="Q105" s="6"/>
      <c r="R105" s="6"/>
    </row>
    <row r="106" spans="2:18" x14ac:dyDescent="0.2">
      <c r="B106" s="6"/>
      <c r="C106" s="6"/>
      <c r="D106" s="70"/>
      <c r="E106" s="70"/>
      <c r="F106" s="71"/>
      <c r="G106" s="7"/>
      <c r="H106" s="7"/>
      <c r="I106" s="7"/>
      <c r="J106" s="74">
        <f t="shared" si="11"/>
        <v>0</v>
      </c>
      <c r="K106" s="75" t="e">
        <f t="shared" si="12"/>
        <v>#N/A</v>
      </c>
      <c r="L106" s="15"/>
      <c r="M106" s="72" t="e">
        <f>VLOOKUP(L106,allgemein!$B$3:$C$11,2,FALSE)</f>
        <v>#N/A</v>
      </c>
      <c r="N106" s="14"/>
      <c r="O106" s="5"/>
      <c r="P106" s="6"/>
      <c r="Q106" s="6"/>
      <c r="R106" s="6"/>
    </row>
    <row r="107" spans="2:18" x14ac:dyDescent="0.2">
      <c r="B107" s="6"/>
      <c r="C107" s="6"/>
      <c r="D107" s="70"/>
      <c r="E107" s="70"/>
      <c r="F107" s="71"/>
      <c r="G107" s="7"/>
      <c r="H107" s="7"/>
      <c r="I107" s="7"/>
      <c r="J107" s="74">
        <f t="shared" si="11"/>
        <v>0</v>
      </c>
      <c r="K107" s="75" t="e">
        <f t="shared" si="12"/>
        <v>#N/A</v>
      </c>
      <c r="L107" s="15"/>
      <c r="M107" s="72" t="e">
        <f>VLOOKUP(L107,allgemein!$B$3:$C$11,2,FALSE)</f>
        <v>#N/A</v>
      </c>
      <c r="N107" s="14"/>
      <c r="O107" s="5"/>
      <c r="P107" s="6"/>
      <c r="Q107" s="6"/>
      <c r="R107" s="6"/>
    </row>
    <row r="108" spans="2:18" x14ac:dyDescent="0.2">
      <c r="B108" s="6"/>
      <c r="C108" s="6"/>
      <c r="D108" s="70"/>
      <c r="E108" s="70"/>
      <c r="F108" s="71"/>
      <c r="G108" s="7"/>
      <c r="H108" s="7"/>
      <c r="I108" s="7"/>
      <c r="J108" s="74">
        <f t="shared" si="11"/>
        <v>0</v>
      </c>
      <c r="K108" s="75" t="e">
        <f t="shared" si="12"/>
        <v>#N/A</v>
      </c>
      <c r="L108" s="15"/>
      <c r="M108" s="72" t="e">
        <f>VLOOKUP(L108,allgemein!$B$3:$C$11,2,FALSE)</f>
        <v>#N/A</v>
      </c>
      <c r="N108" s="14"/>
      <c r="O108" s="5"/>
      <c r="P108" s="6"/>
      <c r="Q108" s="6"/>
      <c r="R108" s="6"/>
    </row>
    <row r="109" spans="2:18" x14ac:dyDescent="0.2">
      <c r="B109" s="6"/>
      <c r="C109" s="6"/>
      <c r="D109" s="70"/>
      <c r="E109" s="70"/>
      <c r="F109" s="71"/>
      <c r="G109" s="7"/>
      <c r="H109" s="7"/>
      <c r="I109" s="7"/>
      <c r="J109" s="74">
        <f t="shared" si="11"/>
        <v>0</v>
      </c>
      <c r="K109" s="75" t="e">
        <f t="shared" si="12"/>
        <v>#N/A</v>
      </c>
      <c r="L109" s="15"/>
      <c r="M109" s="72" t="e">
        <f>VLOOKUP(L109,allgemein!$B$3:$C$11,2,FALSE)</f>
        <v>#N/A</v>
      </c>
      <c r="N109" s="14"/>
      <c r="O109" s="5"/>
      <c r="P109" s="6"/>
      <c r="Q109" s="6"/>
      <c r="R109" s="6"/>
    </row>
    <row r="110" spans="2:18" x14ac:dyDescent="0.2">
      <c r="B110" s="6"/>
      <c r="C110" s="6"/>
      <c r="D110" s="70"/>
      <c r="E110" s="70"/>
      <c r="F110" s="71"/>
      <c r="G110" s="7"/>
      <c r="H110" s="7"/>
      <c r="I110" s="7"/>
      <c r="J110" s="74">
        <f t="shared" si="11"/>
        <v>0</v>
      </c>
      <c r="K110" s="75" t="e">
        <f t="shared" si="12"/>
        <v>#N/A</v>
      </c>
      <c r="L110" s="15"/>
      <c r="M110" s="72" t="e">
        <f>VLOOKUP(L110,allgemein!$B$3:$C$11,2,FALSE)</f>
        <v>#N/A</v>
      </c>
      <c r="N110" s="14"/>
      <c r="O110" s="5"/>
      <c r="P110" s="6"/>
      <c r="Q110" s="6"/>
      <c r="R110" s="6"/>
    </row>
    <row r="111" spans="2:18" x14ac:dyDescent="0.2">
      <c r="B111" s="6"/>
      <c r="C111" s="6"/>
      <c r="D111" s="70"/>
      <c r="E111" s="70"/>
      <c r="F111" s="71"/>
      <c r="G111" s="7"/>
      <c r="H111" s="7"/>
      <c r="I111" s="7"/>
      <c r="J111" s="74">
        <f t="shared" si="11"/>
        <v>0</v>
      </c>
      <c r="K111" s="75" t="e">
        <f t="shared" si="12"/>
        <v>#N/A</v>
      </c>
      <c r="L111" s="15"/>
      <c r="M111" s="72" t="e">
        <f>VLOOKUP(L111,allgemein!$B$3:$C$11,2,FALSE)</f>
        <v>#N/A</v>
      </c>
      <c r="N111" s="14"/>
      <c r="O111" s="5"/>
      <c r="P111" s="6"/>
      <c r="Q111" s="6"/>
      <c r="R111" s="6"/>
    </row>
    <row r="112" spans="2:18" x14ac:dyDescent="0.2">
      <c r="B112" s="6"/>
      <c r="C112" s="6"/>
      <c r="D112" s="70"/>
      <c r="E112" s="70"/>
      <c r="F112" s="71"/>
      <c r="G112" s="7"/>
      <c r="H112" s="7"/>
      <c r="I112" s="7"/>
      <c r="J112" s="74">
        <f t="shared" si="11"/>
        <v>0</v>
      </c>
      <c r="K112" s="75" t="e">
        <f t="shared" si="12"/>
        <v>#N/A</v>
      </c>
      <c r="L112" s="15"/>
      <c r="M112" s="72" t="e">
        <f>VLOOKUP(L112,allgemein!$B$3:$C$11,2,FALSE)</f>
        <v>#N/A</v>
      </c>
      <c r="N112" s="14"/>
      <c r="O112" s="5"/>
      <c r="P112" s="6"/>
      <c r="Q112" s="6"/>
      <c r="R112" s="6"/>
    </row>
    <row r="113" spans="2:18" x14ac:dyDescent="0.2">
      <c r="B113" s="6"/>
      <c r="C113" s="6"/>
      <c r="D113" s="70"/>
      <c r="E113" s="70"/>
      <c r="F113" s="71"/>
      <c r="G113" s="7"/>
      <c r="H113" s="7"/>
      <c r="I113" s="7"/>
      <c r="J113" s="74">
        <f t="shared" si="11"/>
        <v>0</v>
      </c>
      <c r="K113" s="75" t="e">
        <f t="shared" si="12"/>
        <v>#N/A</v>
      </c>
      <c r="L113" s="15"/>
      <c r="M113" s="72" t="e">
        <f>VLOOKUP(L113,allgemein!$B$3:$C$11,2,FALSE)</f>
        <v>#N/A</v>
      </c>
      <c r="N113" s="14"/>
      <c r="O113" s="5"/>
      <c r="P113" s="6"/>
      <c r="Q113" s="6"/>
      <c r="R113" s="6"/>
    </row>
    <row r="114" spans="2:18" x14ac:dyDescent="0.2">
      <c r="B114" s="6"/>
      <c r="C114" s="6"/>
      <c r="D114" s="70"/>
      <c r="E114" s="70"/>
      <c r="F114" s="71"/>
      <c r="G114" s="7"/>
      <c r="H114" s="7"/>
      <c r="I114" s="7"/>
      <c r="J114" s="74">
        <f t="shared" si="11"/>
        <v>0</v>
      </c>
      <c r="K114" s="75" t="e">
        <f t="shared" si="12"/>
        <v>#N/A</v>
      </c>
      <c r="L114" s="15"/>
      <c r="M114" s="72" t="e">
        <f>VLOOKUP(L114,allgemein!$B$3:$C$11,2,FALSE)</f>
        <v>#N/A</v>
      </c>
      <c r="N114" s="14"/>
      <c r="O114" s="5"/>
      <c r="P114" s="6"/>
      <c r="Q114" s="6"/>
      <c r="R114" s="6"/>
    </row>
    <row r="115" spans="2:18" x14ac:dyDescent="0.2">
      <c r="B115" s="6"/>
      <c r="C115" s="6"/>
      <c r="D115" s="70"/>
      <c r="E115" s="70"/>
      <c r="F115" s="71"/>
      <c r="G115" s="7"/>
      <c r="H115" s="7"/>
      <c r="I115" s="7"/>
      <c r="J115" s="74">
        <f t="shared" si="11"/>
        <v>0</v>
      </c>
      <c r="K115" s="75" t="e">
        <f t="shared" si="12"/>
        <v>#N/A</v>
      </c>
      <c r="L115" s="15"/>
      <c r="M115" s="72" t="e">
        <f>VLOOKUP(L115,allgemein!$B$3:$C$11,2,FALSE)</f>
        <v>#N/A</v>
      </c>
      <c r="N115" s="14"/>
      <c r="O115" s="5"/>
      <c r="P115" s="6"/>
      <c r="Q115" s="6"/>
      <c r="R115" s="6"/>
    </row>
    <row r="116" spans="2:18" x14ac:dyDescent="0.2">
      <c r="B116" s="6"/>
      <c r="C116" s="6"/>
      <c r="D116" s="70"/>
      <c r="E116" s="70"/>
      <c r="F116" s="71"/>
      <c r="G116" s="7"/>
      <c r="H116" s="7"/>
      <c r="I116" s="7"/>
      <c r="J116" s="74">
        <f t="shared" si="11"/>
        <v>0</v>
      </c>
      <c r="K116" s="75" t="e">
        <f t="shared" si="12"/>
        <v>#N/A</v>
      </c>
      <c r="L116" s="15"/>
      <c r="M116" s="72" t="e">
        <f>VLOOKUP(L116,allgemein!$B$3:$C$11,2,FALSE)</f>
        <v>#N/A</v>
      </c>
      <c r="N116" s="14"/>
      <c r="O116" s="5"/>
      <c r="P116" s="6"/>
      <c r="Q116" s="6"/>
      <c r="R116" s="6"/>
    </row>
    <row r="117" spans="2:18" x14ac:dyDescent="0.2">
      <c r="B117" s="6"/>
      <c r="C117" s="6"/>
      <c r="D117" s="70"/>
      <c r="E117" s="70"/>
      <c r="F117" s="71"/>
      <c r="G117" s="7"/>
      <c r="H117" s="7"/>
      <c r="I117" s="7"/>
      <c r="J117" s="74">
        <f t="shared" si="11"/>
        <v>0</v>
      </c>
      <c r="K117" s="75" t="e">
        <f t="shared" si="12"/>
        <v>#N/A</v>
      </c>
      <c r="L117" s="15"/>
      <c r="M117" s="72" t="e">
        <f>VLOOKUP(L117,allgemein!$B$3:$C$11,2,FALSE)</f>
        <v>#N/A</v>
      </c>
      <c r="N117" s="14"/>
      <c r="O117" s="5"/>
      <c r="P117" s="6"/>
      <c r="Q117" s="6"/>
      <c r="R117" s="6"/>
    </row>
    <row r="118" spans="2:18" x14ac:dyDescent="0.2">
      <c r="B118" s="6"/>
      <c r="C118" s="6"/>
      <c r="D118" s="70"/>
      <c r="E118" s="70"/>
      <c r="F118" s="71"/>
      <c r="G118" s="7"/>
      <c r="H118" s="7"/>
      <c r="I118" s="7"/>
      <c r="J118" s="74">
        <f t="shared" si="11"/>
        <v>0</v>
      </c>
      <c r="K118" s="75" t="e">
        <f t="shared" si="12"/>
        <v>#N/A</v>
      </c>
      <c r="L118" s="15"/>
      <c r="M118" s="72" t="e">
        <f>VLOOKUP(L118,allgemein!$B$3:$C$11,2,FALSE)</f>
        <v>#N/A</v>
      </c>
      <c r="N118" s="14"/>
      <c r="O118" s="5"/>
      <c r="P118" s="6"/>
      <c r="Q118" s="6"/>
      <c r="R118" s="6"/>
    </row>
    <row r="119" spans="2:18" x14ac:dyDescent="0.2">
      <c r="B119" s="6"/>
      <c r="C119" s="6"/>
      <c r="D119" s="70"/>
      <c r="E119" s="70"/>
      <c r="F119" s="71"/>
      <c r="G119" s="7"/>
      <c r="H119" s="7"/>
      <c r="I119" s="7"/>
      <c r="J119" s="74">
        <f t="shared" si="11"/>
        <v>0</v>
      </c>
      <c r="K119" s="75" t="e">
        <f t="shared" si="12"/>
        <v>#N/A</v>
      </c>
      <c r="L119" s="15"/>
      <c r="M119" s="72" t="e">
        <f>VLOOKUP(L119,allgemein!$B$3:$C$11,2,FALSE)</f>
        <v>#N/A</v>
      </c>
      <c r="N119" s="14"/>
      <c r="O119" s="5"/>
      <c r="P119" s="6"/>
      <c r="Q119" s="6"/>
      <c r="R119" s="6"/>
    </row>
    <row r="120" spans="2:18" x14ac:dyDescent="0.2">
      <c r="B120" s="6"/>
      <c r="C120" s="6"/>
      <c r="D120" s="70"/>
      <c r="E120" s="70"/>
      <c r="F120" s="71"/>
      <c r="G120" s="7"/>
      <c r="H120" s="7"/>
      <c r="I120" s="7"/>
      <c r="J120" s="74">
        <f t="shared" si="11"/>
        <v>0</v>
      </c>
      <c r="K120" s="75" t="e">
        <f t="shared" si="12"/>
        <v>#N/A</v>
      </c>
      <c r="L120" s="15"/>
      <c r="M120" s="72" t="e">
        <f>VLOOKUP(L120,allgemein!$B$3:$C$11,2,FALSE)</f>
        <v>#N/A</v>
      </c>
      <c r="N120" s="14"/>
      <c r="O120" s="5"/>
      <c r="P120" s="6"/>
      <c r="Q120" s="6"/>
      <c r="R120" s="6"/>
    </row>
    <row r="121" spans="2:18" x14ac:dyDescent="0.2">
      <c r="B121" s="6"/>
      <c r="C121" s="6"/>
      <c r="D121" s="70"/>
      <c r="E121" s="70"/>
      <c r="F121" s="71"/>
      <c r="G121" s="7"/>
      <c r="H121" s="7"/>
      <c r="I121" s="7"/>
      <c r="J121" s="74">
        <f t="shared" si="11"/>
        <v>0</v>
      </c>
      <c r="K121" s="75" t="e">
        <f t="shared" si="12"/>
        <v>#N/A</v>
      </c>
      <c r="L121" s="15"/>
      <c r="M121" s="72" t="e">
        <f>VLOOKUP(L121,allgemein!$B$3:$C$11,2,FALSE)</f>
        <v>#N/A</v>
      </c>
      <c r="N121" s="14"/>
      <c r="O121" s="5"/>
      <c r="P121" s="6"/>
      <c r="Q121" s="6"/>
      <c r="R121" s="6"/>
    </row>
    <row r="122" spans="2:18" x14ac:dyDescent="0.2">
      <c r="B122" s="6"/>
      <c r="C122" s="6"/>
      <c r="D122" s="70"/>
      <c r="E122" s="70"/>
      <c r="F122" s="71"/>
      <c r="G122" s="7"/>
      <c r="H122" s="7"/>
      <c r="I122" s="7"/>
      <c r="J122" s="74">
        <f t="shared" si="11"/>
        <v>0</v>
      </c>
      <c r="K122" s="75" t="e">
        <f t="shared" si="12"/>
        <v>#N/A</v>
      </c>
      <c r="L122" s="15"/>
      <c r="M122" s="72" t="e">
        <f>VLOOKUP(L122,allgemein!$B$3:$C$11,2,FALSE)</f>
        <v>#N/A</v>
      </c>
      <c r="N122" s="14"/>
      <c r="O122" s="5"/>
      <c r="P122" s="6"/>
      <c r="Q122" s="6"/>
      <c r="R122" s="6"/>
    </row>
    <row r="123" spans="2:18" x14ac:dyDescent="0.2">
      <c r="B123" s="6"/>
      <c r="C123" s="6"/>
      <c r="D123" s="70"/>
      <c r="E123" s="70"/>
      <c r="F123" s="71"/>
      <c r="G123" s="7"/>
      <c r="H123" s="7"/>
      <c r="I123" s="7"/>
      <c r="J123" s="74">
        <f t="shared" si="11"/>
        <v>0</v>
      </c>
      <c r="K123" s="75" t="e">
        <f t="shared" si="12"/>
        <v>#N/A</v>
      </c>
      <c r="L123" s="15"/>
      <c r="M123" s="72" t="e">
        <f>VLOOKUP(L123,allgemein!$B$3:$C$11,2,FALSE)</f>
        <v>#N/A</v>
      </c>
      <c r="N123" s="14"/>
      <c r="O123" s="5"/>
      <c r="P123" s="6"/>
      <c r="Q123" s="6"/>
      <c r="R123" s="6"/>
    </row>
    <row r="124" spans="2:18" x14ac:dyDescent="0.2">
      <c r="B124" s="6"/>
      <c r="C124" s="6"/>
      <c r="D124" s="70"/>
      <c r="E124" s="70"/>
      <c r="F124" s="71"/>
      <c r="G124" s="7"/>
      <c r="H124" s="7"/>
      <c r="I124" s="7"/>
      <c r="J124" s="74">
        <f t="shared" si="11"/>
        <v>0</v>
      </c>
      <c r="K124" s="75" t="e">
        <f t="shared" si="12"/>
        <v>#N/A</v>
      </c>
      <c r="L124" s="15"/>
      <c r="M124" s="72" t="e">
        <f>VLOOKUP(L124,allgemein!$B$3:$C$11,2,FALSE)</f>
        <v>#N/A</v>
      </c>
      <c r="N124" s="14"/>
      <c r="O124" s="5"/>
      <c r="P124" s="6"/>
      <c r="Q124" s="6"/>
      <c r="R124" s="6"/>
    </row>
    <row r="125" spans="2:18" x14ac:dyDescent="0.2">
      <c r="B125" s="6"/>
      <c r="C125" s="6"/>
      <c r="D125" s="70"/>
      <c r="E125" s="70"/>
      <c r="F125" s="71"/>
      <c r="G125" s="7"/>
      <c r="H125" s="7"/>
      <c r="I125" s="7"/>
      <c r="J125" s="74">
        <f t="shared" si="11"/>
        <v>0</v>
      </c>
      <c r="K125" s="75" t="e">
        <f t="shared" si="12"/>
        <v>#N/A</v>
      </c>
      <c r="L125" s="15"/>
      <c r="M125" s="72" t="e">
        <f>VLOOKUP(L125,allgemein!$B$3:$C$11,2,FALSE)</f>
        <v>#N/A</v>
      </c>
      <c r="N125" s="14"/>
      <c r="O125" s="5"/>
      <c r="P125" s="6"/>
      <c r="Q125" s="6"/>
      <c r="R125" s="6"/>
    </row>
    <row r="126" spans="2:18" x14ac:dyDescent="0.2">
      <c r="B126" s="6"/>
      <c r="C126" s="6"/>
      <c r="D126" s="70"/>
      <c r="E126" s="70"/>
      <c r="F126" s="71"/>
      <c r="G126" s="7"/>
      <c r="H126" s="7"/>
      <c r="I126" s="7"/>
      <c r="J126" s="74">
        <f t="shared" si="11"/>
        <v>0</v>
      </c>
      <c r="K126" s="75" t="e">
        <f t="shared" si="12"/>
        <v>#N/A</v>
      </c>
      <c r="L126" s="15"/>
      <c r="M126" s="72" t="e">
        <f>VLOOKUP(L126,allgemein!$B$3:$C$11,2,FALSE)</f>
        <v>#N/A</v>
      </c>
      <c r="N126" s="14"/>
      <c r="O126" s="5"/>
      <c r="P126" s="6"/>
      <c r="Q126" s="6"/>
      <c r="R126" s="6"/>
    </row>
    <row r="127" spans="2:18" x14ac:dyDescent="0.2">
      <c r="B127" s="6"/>
      <c r="C127" s="6"/>
      <c r="D127" s="70"/>
      <c r="E127" s="70"/>
      <c r="F127" s="71"/>
      <c r="G127" s="7"/>
      <c r="H127" s="7"/>
      <c r="I127" s="7"/>
      <c r="J127" s="74">
        <f t="shared" si="11"/>
        <v>0</v>
      </c>
      <c r="K127" s="75" t="e">
        <f t="shared" si="12"/>
        <v>#N/A</v>
      </c>
      <c r="L127" s="15"/>
      <c r="M127" s="72" t="e">
        <f>VLOOKUP(L127,allgemein!$B$3:$C$11,2,FALSE)</f>
        <v>#N/A</v>
      </c>
      <c r="N127" s="14"/>
      <c r="O127" s="5"/>
      <c r="P127" s="6"/>
      <c r="Q127" s="6"/>
      <c r="R127" s="6"/>
    </row>
    <row r="128" spans="2:18" x14ac:dyDescent="0.2">
      <c r="B128" s="6"/>
      <c r="C128" s="6"/>
      <c r="D128" s="70"/>
      <c r="E128" s="70"/>
      <c r="F128" s="71"/>
      <c r="G128" s="7"/>
      <c r="H128" s="7"/>
      <c r="I128" s="7"/>
      <c r="J128" s="74">
        <f t="shared" si="11"/>
        <v>0</v>
      </c>
      <c r="K128" s="75" t="e">
        <f t="shared" si="12"/>
        <v>#N/A</v>
      </c>
      <c r="L128" s="15"/>
      <c r="M128" s="72" t="e">
        <f>VLOOKUP(L128,allgemein!$B$3:$C$11,2,FALSE)</f>
        <v>#N/A</v>
      </c>
      <c r="N128" s="14"/>
      <c r="O128" s="5"/>
      <c r="P128" s="6"/>
      <c r="Q128" s="6"/>
      <c r="R128" s="6"/>
    </row>
    <row r="129" spans="2:18" x14ac:dyDescent="0.2">
      <c r="B129" s="6"/>
      <c r="C129" s="6"/>
      <c r="D129" s="70"/>
      <c r="E129" s="70"/>
      <c r="F129" s="71"/>
      <c r="G129" s="7"/>
      <c r="H129" s="7"/>
      <c r="I129" s="7"/>
      <c r="J129" s="74">
        <f t="shared" si="11"/>
        <v>0</v>
      </c>
      <c r="K129" s="75" t="e">
        <f t="shared" si="12"/>
        <v>#N/A</v>
      </c>
      <c r="L129" s="15"/>
      <c r="M129" s="72" t="e">
        <f>VLOOKUP(L129,allgemein!$B$3:$C$11,2,FALSE)</f>
        <v>#N/A</v>
      </c>
      <c r="N129" s="14"/>
      <c r="O129" s="5"/>
      <c r="P129" s="6"/>
      <c r="Q129" s="6"/>
      <c r="R129" s="6"/>
    </row>
    <row r="130" spans="2:18" x14ac:dyDescent="0.2">
      <c r="B130" s="6"/>
      <c r="C130" s="6"/>
      <c r="D130" s="70"/>
      <c r="E130" s="70"/>
      <c r="F130" s="71"/>
      <c r="G130" s="7"/>
      <c r="H130" s="7"/>
      <c r="I130" s="7"/>
      <c r="J130" s="74">
        <f t="shared" si="11"/>
        <v>0</v>
      </c>
      <c r="K130" s="75" t="e">
        <f t="shared" si="12"/>
        <v>#N/A</v>
      </c>
      <c r="L130" s="15"/>
      <c r="M130" s="72" t="e">
        <f>VLOOKUP(L130,allgemein!$B$3:$C$11,2,FALSE)</f>
        <v>#N/A</v>
      </c>
      <c r="N130" s="14"/>
      <c r="O130" s="5"/>
      <c r="P130" s="6"/>
      <c r="Q130" s="6"/>
      <c r="R130" s="6"/>
    </row>
    <row r="131" spans="2:18" x14ac:dyDescent="0.2">
      <c r="B131" s="6"/>
      <c r="C131" s="6"/>
      <c r="D131" s="70"/>
      <c r="E131" s="70"/>
      <c r="F131" s="71"/>
      <c r="G131" s="7"/>
      <c r="H131" s="7"/>
      <c r="I131" s="7"/>
      <c r="J131" s="74">
        <f t="shared" ref="J131:J143" si="13">H131-I131</f>
        <v>0</v>
      </c>
      <c r="K131" s="75" t="e">
        <f t="shared" ref="K131:K143" si="14">(F131*(273.15+D131)/273.15)/(M131*N131)</f>
        <v>#N/A</v>
      </c>
      <c r="L131" s="15"/>
      <c r="M131" s="72" t="e">
        <f>VLOOKUP(L131,allgemein!$B$3:$C$11,2,FALSE)</f>
        <v>#N/A</v>
      </c>
      <c r="N131" s="14"/>
      <c r="O131" s="5"/>
      <c r="P131" s="6"/>
      <c r="Q131" s="6"/>
      <c r="R131" s="6"/>
    </row>
    <row r="132" spans="2:18" x14ac:dyDescent="0.2">
      <c r="B132" s="6"/>
      <c r="C132" s="6"/>
      <c r="D132" s="70"/>
      <c r="E132" s="70"/>
      <c r="F132" s="71"/>
      <c r="G132" s="7"/>
      <c r="H132" s="7"/>
      <c r="I132" s="7"/>
      <c r="J132" s="74">
        <f t="shared" si="13"/>
        <v>0</v>
      </c>
      <c r="K132" s="75" t="e">
        <f t="shared" si="14"/>
        <v>#N/A</v>
      </c>
      <c r="L132" s="15"/>
      <c r="M132" s="72" t="e">
        <f>VLOOKUP(L132,allgemein!$B$3:$C$11,2,FALSE)</f>
        <v>#N/A</v>
      </c>
      <c r="N132" s="14"/>
      <c r="O132" s="5"/>
      <c r="P132" s="6"/>
      <c r="Q132" s="6"/>
      <c r="R132" s="6"/>
    </row>
    <row r="133" spans="2:18" x14ac:dyDescent="0.2">
      <c r="B133" s="6"/>
      <c r="C133" s="6"/>
      <c r="D133" s="70"/>
      <c r="E133" s="70"/>
      <c r="F133" s="71"/>
      <c r="G133" s="7"/>
      <c r="H133" s="7"/>
      <c r="I133" s="7"/>
      <c r="J133" s="74">
        <f t="shared" si="13"/>
        <v>0</v>
      </c>
      <c r="K133" s="75" t="e">
        <f t="shared" si="14"/>
        <v>#N/A</v>
      </c>
      <c r="L133" s="15"/>
      <c r="M133" s="72" t="e">
        <f>VLOOKUP(L133,allgemein!$B$3:$C$11,2,FALSE)</f>
        <v>#N/A</v>
      </c>
      <c r="N133" s="14"/>
      <c r="O133" s="5"/>
      <c r="P133" s="6"/>
      <c r="Q133" s="6"/>
      <c r="R133" s="6"/>
    </row>
    <row r="134" spans="2:18" x14ac:dyDescent="0.2">
      <c r="B134" s="6"/>
      <c r="C134" s="6"/>
      <c r="D134" s="70"/>
      <c r="E134" s="70"/>
      <c r="F134" s="71"/>
      <c r="G134" s="7"/>
      <c r="H134" s="7"/>
      <c r="I134" s="7"/>
      <c r="J134" s="74">
        <f t="shared" si="13"/>
        <v>0</v>
      </c>
      <c r="K134" s="75" t="e">
        <f t="shared" si="14"/>
        <v>#N/A</v>
      </c>
      <c r="L134" s="15"/>
      <c r="M134" s="72" t="e">
        <f>VLOOKUP(L134,allgemein!$B$3:$C$11,2,FALSE)</f>
        <v>#N/A</v>
      </c>
      <c r="N134" s="14"/>
      <c r="O134" s="5"/>
      <c r="P134" s="6"/>
      <c r="Q134" s="6"/>
      <c r="R134" s="6"/>
    </row>
    <row r="135" spans="2:18" x14ac:dyDescent="0.2">
      <c r="B135" s="6"/>
      <c r="C135" s="6"/>
      <c r="D135" s="70"/>
      <c r="E135" s="70"/>
      <c r="F135" s="71"/>
      <c r="G135" s="7"/>
      <c r="H135" s="7"/>
      <c r="I135" s="7"/>
      <c r="J135" s="74">
        <f t="shared" si="13"/>
        <v>0</v>
      </c>
      <c r="K135" s="75" t="e">
        <f t="shared" si="14"/>
        <v>#N/A</v>
      </c>
      <c r="L135" s="15"/>
      <c r="M135" s="72" t="e">
        <f>VLOOKUP(L135,allgemein!$B$3:$C$11,2,FALSE)</f>
        <v>#N/A</v>
      </c>
      <c r="N135" s="14"/>
      <c r="O135" s="5"/>
      <c r="P135" s="6"/>
      <c r="Q135" s="6"/>
      <c r="R135" s="6"/>
    </row>
    <row r="136" spans="2:18" x14ac:dyDescent="0.2">
      <c r="B136" s="6"/>
      <c r="C136" s="6"/>
      <c r="D136" s="70"/>
      <c r="E136" s="70"/>
      <c r="F136" s="71"/>
      <c r="G136" s="7"/>
      <c r="H136" s="7"/>
      <c r="I136" s="7"/>
      <c r="J136" s="74">
        <f t="shared" si="13"/>
        <v>0</v>
      </c>
      <c r="K136" s="75" t="e">
        <f t="shared" si="14"/>
        <v>#N/A</v>
      </c>
      <c r="L136" s="15"/>
      <c r="M136" s="72" t="e">
        <f>VLOOKUP(L136,allgemein!$B$3:$C$11,2,FALSE)</f>
        <v>#N/A</v>
      </c>
      <c r="N136" s="14"/>
      <c r="O136" s="5"/>
      <c r="P136" s="6"/>
      <c r="Q136" s="6"/>
      <c r="R136" s="6"/>
    </row>
    <row r="137" spans="2:18" x14ac:dyDescent="0.2">
      <c r="B137" s="6"/>
      <c r="C137" s="6"/>
      <c r="D137" s="70"/>
      <c r="E137" s="70"/>
      <c r="F137" s="71"/>
      <c r="G137" s="7"/>
      <c r="H137" s="7"/>
      <c r="I137" s="7"/>
      <c r="J137" s="74">
        <f t="shared" si="13"/>
        <v>0</v>
      </c>
      <c r="K137" s="75" t="e">
        <f t="shared" si="14"/>
        <v>#N/A</v>
      </c>
      <c r="L137" s="15"/>
      <c r="M137" s="72" t="e">
        <f>VLOOKUP(L137,allgemein!$B$3:$C$11,2,FALSE)</f>
        <v>#N/A</v>
      </c>
      <c r="N137" s="14"/>
      <c r="O137" s="5"/>
      <c r="P137" s="6"/>
      <c r="Q137" s="6"/>
      <c r="R137" s="6"/>
    </row>
    <row r="138" spans="2:18" x14ac:dyDescent="0.2">
      <c r="B138" s="6"/>
      <c r="C138" s="6"/>
      <c r="D138" s="70"/>
      <c r="E138" s="70"/>
      <c r="F138" s="71"/>
      <c r="G138" s="7"/>
      <c r="H138" s="7"/>
      <c r="I138" s="7"/>
      <c r="J138" s="74">
        <f t="shared" si="13"/>
        <v>0</v>
      </c>
      <c r="K138" s="75" t="e">
        <f t="shared" si="14"/>
        <v>#N/A</v>
      </c>
      <c r="L138" s="15"/>
      <c r="M138" s="72" t="e">
        <f>VLOOKUP(L138,allgemein!$B$3:$C$11,2,FALSE)</f>
        <v>#N/A</v>
      </c>
      <c r="N138" s="14"/>
      <c r="O138" s="5"/>
      <c r="P138" s="6"/>
      <c r="Q138" s="6"/>
      <c r="R138" s="6"/>
    </row>
    <row r="139" spans="2:18" x14ac:dyDescent="0.2">
      <c r="B139" s="6"/>
      <c r="C139" s="6"/>
      <c r="D139" s="70"/>
      <c r="E139" s="70"/>
      <c r="F139" s="71"/>
      <c r="G139" s="7"/>
      <c r="H139" s="7"/>
      <c r="I139" s="7"/>
      <c r="J139" s="74">
        <f t="shared" si="13"/>
        <v>0</v>
      </c>
      <c r="K139" s="75" t="e">
        <f t="shared" si="14"/>
        <v>#N/A</v>
      </c>
      <c r="L139" s="15"/>
      <c r="M139" s="72" t="e">
        <f>VLOOKUP(L139,allgemein!$B$3:$C$11,2,FALSE)</f>
        <v>#N/A</v>
      </c>
      <c r="N139" s="14"/>
      <c r="O139" s="5"/>
      <c r="P139" s="6"/>
      <c r="Q139" s="6"/>
      <c r="R139" s="6"/>
    </row>
    <row r="140" spans="2:18" x14ac:dyDescent="0.2">
      <c r="B140" s="6"/>
      <c r="C140" s="6"/>
      <c r="D140" s="70"/>
      <c r="E140" s="70"/>
      <c r="F140" s="71"/>
      <c r="G140" s="7"/>
      <c r="H140" s="7"/>
      <c r="I140" s="7"/>
      <c r="J140" s="74">
        <f t="shared" si="13"/>
        <v>0</v>
      </c>
      <c r="K140" s="75" t="e">
        <f t="shared" si="14"/>
        <v>#N/A</v>
      </c>
      <c r="L140" s="15"/>
      <c r="M140" s="72" t="e">
        <f>VLOOKUP(L140,allgemein!$B$3:$C$11,2,FALSE)</f>
        <v>#N/A</v>
      </c>
      <c r="N140" s="14"/>
      <c r="O140" s="5"/>
      <c r="P140" s="6"/>
      <c r="Q140" s="6"/>
      <c r="R140" s="6"/>
    </row>
    <row r="141" spans="2:18" x14ac:dyDescent="0.2">
      <c r="B141" s="6"/>
      <c r="C141" s="6"/>
      <c r="D141" s="70"/>
      <c r="E141" s="70"/>
      <c r="F141" s="71"/>
      <c r="G141" s="7"/>
      <c r="H141" s="7"/>
      <c r="I141" s="7"/>
      <c r="J141" s="74">
        <f t="shared" si="13"/>
        <v>0</v>
      </c>
      <c r="K141" s="75" t="e">
        <f t="shared" si="14"/>
        <v>#N/A</v>
      </c>
      <c r="L141" s="15"/>
      <c r="M141" s="72" t="e">
        <f>VLOOKUP(L141,allgemein!$B$3:$C$11,2,FALSE)</f>
        <v>#N/A</v>
      </c>
      <c r="N141" s="14"/>
      <c r="O141" s="5"/>
      <c r="P141" s="6"/>
      <c r="Q141" s="6"/>
      <c r="R141" s="6"/>
    </row>
    <row r="142" spans="2:18" x14ac:dyDescent="0.2">
      <c r="B142" s="6"/>
      <c r="C142" s="6"/>
      <c r="D142" s="70"/>
      <c r="E142" s="70"/>
      <c r="F142" s="71"/>
      <c r="G142" s="7"/>
      <c r="H142" s="7"/>
      <c r="I142" s="7"/>
      <c r="J142" s="74">
        <f t="shared" si="13"/>
        <v>0</v>
      </c>
      <c r="K142" s="75" t="e">
        <f t="shared" si="14"/>
        <v>#N/A</v>
      </c>
      <c r="L142" s="15"/>
      <c r="M142" s="72" t="e">
        <f>VLOOKUP(L142,allgemein!$B$3:$C$11,2,FALSE)</f>
        <v>#N/A</v>
      </c>
      <c r="N142" s="14"/>
      <c r="O142" s="5"/>
      <c r="P142" s="6"/>
      <c r="Q142" s="6"/>
      <c r="R142" s="6"/>
    </row>
    <row r="143" spans="2:18" x14ac:dyDescent="0.2">
      <c r="B143" s="6"/>
      <c r="C143" s="6"/>
      <c r="D143" s="70"/>
      <c r="E143" s="70"/>
      <c r="F143" s="71"/>
      <c r="G143" s="7"/>
      <c r="H143" s="7"/>
      <c r="I143" s="7"/>
      <c r="J143" s="74">
        <f t="shared" si="13"/>
        <v>0</v>
      </c>
      <c r="K143" s="75" t="e">
        <f t="shared" si="14"/>
        <v>#N/A</v>
      </c>
      <c r="L143" s="15"/>
      <c r="M143" s="72" t="e">
        <f>VLOOKUP(L143,allgemein!$B$3:$C$11,2,FALSE)</f>
        <v>#N/A</v>
      </c>
      <c r="N143" s="14"/>
      <c r="O143" s="5"/>
      <c r="P143" s="6"/>
      <c r="Q143" s="6"/>
      <c r="R143" s="6"/>
    </row>
    <row r="144" spans="2:18" s="9" customFormat="1" x14ac:dyDescent="0.2">
      <c r="B144" s="10"/>
      <c r="C144" s="11"/>
      <c r="D144" s="63"/>
      <c r="E144" s="11"/>
      <c r="F144" s="65"/>
      <c r="G144" s="12"/>
      <c r="H144" s="41"/>
      <c r="I144" s="30"/>
      <c r="J144" s="30"/>
      <c r="K144" s="30"/>
      <c r="L144" s="11"/>
      <c r="M144" s="11"/>
      <c r="N144" s="11"/>
      <c r="O144" s="11"/>
    </row>
    <row r="145" spans="2:15" s="9" customFormat="1" x14ac:dyDescent="0.2">
      <c r="B145" s="10"/>
      <c r="C145" s="11"/>
      <c r="D145" s="63"/>
      <c r="E145" s="11"/>
      <c r="F145" s="65"/>
      <c r="G145" s="12"/>
      <c r="H145" s="41"/>
      <c r="I145" s="30"/>
      <c r="J145" s="30"/>
      <c r="K145" s="30"/>
      <c r="L145" s="11"/>
      <c r="M145" s="11"/>
      <c r="N145" s="11"/>
      <c r="O145" s="11"/>
    </row>
    <row r="146" spans="2:15" s="9" customFormat="1" x14ac:dyDescent="0.2">
      <c r="B146" s="10"/>
      <c r="C146" s="11"/>
      <c r="D146" s="63"/>
      <c r="E146" s="11"/>
      <c r="F146" s="65"/>
      <c r="G146" s="12"/>
      <c r="H146" s="41"/>
      <c r="I146" s="30"/>
      <c r="J146" s="30"/>
      <c r="K146" s="30"/>
      <c r="L146" s="11"/>
      <c r="M146" s="11"/>
      <c r="N146" s="11"/>
      <c r="O146" s="11"/>
    </row>
    <row r="147" spans="2:15" s="9" customFormat="1" x14ac:dyDescent="0.2">
      <c r="B147" s="10"/>
      <c r="C147" s="11"/>
      <c r="D147" s="63"/>
      <c r="E147" s="11"/>
      <c r="F147" s="65"/>
      <c r="G147" s="12"/>
      <c r="H147" s="41"/>
      <c r="I147" s="30"/>
      <c r="J147" s="30"/>
      <c r="K147" s="30"/>
      <c r="L147" s="11"/>
      <c r="M147" s="11"/>
      <c r="N147" s="11"/>
      <c r="O147" s="11"/>
    </row>
    <row r="148" spans="2:15" s="9" customFormat="1" x14ac:dyDescent="0.2">
      <c r="B148" s="10"/>
      <c r="C148" s="11"/>
      <c r="D148" s="63"/>
      <c r="E148" s="11"/>
      <c r="F148" s="65"/>
      <c r="G148" s="12"/>
      <c r="H148" s="41"/>
      <c r="I148" s="30"/>
      <c r="J148" s="30"/>
      <c r="K148" s="30"/>
      <c r="L148" s="11"/>
      <c r="M148" s="11"/>
      <c r="N148" s="11"/>
      <c r="O148" s="11"/>
    </row>
    <row r="149" spans="2:15" s="9" customFormat="1" x14ac:dyDescent="0.2">
      <c r="B149" s="10"/>
      <c r="C149" s="11"/>
      <c r="D149" s="63"/>
      <c r="E149" s="11"/>
      <c r="F149" s="65"/>
      <c r="G149" s="12"/>
      <c r="H149" s="41"/>
      <c r="I149" s="30"/>
      <c r="J149" s="30"/>
      <c r="K149" s="30"/>
      <c r="L149" s="11"/>
      <c r="M149" s="11"/>
      <c r="N149" s="11"/>
      <c r="O149" s="11"/>
    </row>
    <row r="150" spans="2:15" s="9" customFormat="1" x14ac:dyDescent="0.2">
      <c r="B150" s="10"/>
      <c r="C150" s="11"/>
      <c r="D150" s="63"/>
      <c r="E150" s="11"/>
      <c r="F150" s="65"/>
      <c r="G150" s="12"/>
      <c r="H150" s="41"/>
      <c r="I150" s="30"/>
      <c r="J150" s="30"/>
      <c r="K150" s="30"/>
      <c r="L150" s="11"/>
      <c r="M150" s="11"/>
      <c r="N150" s="11"/>
      <c r="O150" s="11"/>
    </row>
    <row r="151" spans="2:15" s="9" customFormat="1" x14ac:dyDescent="0.2">
      <c r="B151" s="10"/>
      <c r="C151" s="11"/>
      <c r="D151" s="63"/>
      <c r="E151" s="11"/>
      <c r="F151" s="65"/>
      <c r="G151" s="12"/>
      <c r="H151" s="41"/>
      <c r="I151" s="30"/>
      <c r="J151" s="30"/>
      <c r="K151" s="30"/>
      <c r="L151" s="11"/>
      <c r="M151" s="11"/>
      <c r="N151" s="11"/>
      <c r="O151" s="11"/>
    </row>
    <row r="152" spans="2:15" s="9" customFormat="1" x14ac:dyDescent="0.2">
      <c r="B152" s="10"/>
      <c r="C152" s="11"/>
      <c r="D152" s="63"/>
      <c r="E152" s="11"/>
      <c r="F152" s="65"/>
      <c r="G152" s="12"/>
      <c r="H152" s="41"/>
      <c r="I152" s="30"/>
      <c r="J152" s="30"/>
      <c r="K152" s="30"/>
      <c r="L152" s="11"/>
      <c r="M152" s="11"/>
      <c r="N152" s="11"/>
      <c r="O152" s="11"/>
    </row>
    <row r="153" spans="2:15" s="9" customFormat="1" x14ac:dyDescent="0.2">
      <c r="B153" s="10"/>
      <c r="C153" s="11"/>
      <c r="D153" s="63"/>
      <c r="E153" s="11"/>
      <c r="F153" s="65"/>
      <c r="G153" s="12"/>
      <c r="H153" s="41"/>
      <c r="I153" s="30"/>
      <c r="J153" s="30"/>
      <c r="K153" s="30"/>
      <c r="L153" s="11"/>
      <c r="M153" s="11"/>
      <c r="N153" s="11"/>
      <c r="O153" s="11"/>
    </row>
    <row r="154" spans="2:15" s="9" customFormat="1" x14ac:dyDescent="0.2">
      <c r="B154" s="10"/>
      <c r="C154" s="11"/>
      <c r="D154" s="63"/>
      <c r="E154" s="11"/>
      <c r="F154" s="65"/>
      <c r="G154" s="12"/>
      <c r="H154" s="41"/>
      <c r="I154" s="30"/>
      <c r="J154" s="30"/>
      <c r="K154" s="30"/>
      <c r="L154" s="11"/>
      <c r="M154" s="11"/>
      <c r="N154" s="11"/>
      <c r="O154" s="11"/>
    </row>
    <row r="155" spans="2:15" s="9" customFormat="1" x14ac:dyDescent="0.2">
      <c r="B155" s="10"/>
      <c r="C155" s="11"/>
      <c r="D155" s="63"/>
      <c r="E155" s="11"/>
      <c r="F155" s="65"/>
      <c r="G155" s="12"/>
      <c r="H155" s="41"/>
      <c r="I155" s="30"/>
      <c r="J155" s="30"/>
      <c r="K155" s="30"/>
      <c r="L155" s="11"/>
      <c r="M155" s="11"/>
      <c r="N155" s="11"/>
      <c r="O155" s="11"/>
    </row>
    <row r="156" spans="2:15" s="9" customFormat="1" x14ac:dyDescent="0.2">
      <c r="B156" s="10"/>
      <c r="C156" s="11"/>
      <c r="D156" s="63"/>
      <c r="E156" s="11"/>
      <c r="F156" s="65"/>
      <c r="G156" s="12"/>
      <c r="H156" s="41"/>
      <c r="I156" s="30"/>
      <c r="J156" s="30"/>
      <c r="K156" s="30"/>
      <c r="L156" s="11"/>
      <c r="M156" s="11"/>
      <c r="N156" s="11"/>
      <c r="O156" s="11"/>
    </row>
    <row r="157" spans="2:15" s="9" customFormat="1" x14ac:dyDescent="0.2">
      <c r="B157" s="10"/>
      <c r="C157" s="11"/>
      <c r="D157" s="63"/>
      <c r="E157" s="11"/>
      <c r="F157" s="65"/>
      <c r="G157" s="12"/>
      <c r="H157" s="41"/>
      <c r="I157" s="30"/>
      <c r="J157" s="30"/>
      <c r="K157" s="30"/>
      <c r="L157" s="11"/>
      <c r="M157" s="11"/>
      <c r="N157" s="11"/>
      <c r="O157" s="11"/>
    </row>
    <row r="158" spans="2:15" s="9" customFormat="1" x14ac:dyDescent="0.2">
      <c r="B158" s="10"/>
      <c r="C158" s="11"/>
      <c r="D158" s="63"/>
      <c r="E158" s="11"/>
      <c r="F158" s="65"/>
      <c r="G158" s="12"/>
      <c r="H158" s="41"/>
      <c r="I158" s="30"/>
      <c r="J158" s="30"/>
      <c r="K158" s="30"/>
      <c r="L158" s="11"/>
      <c r="M158" s="11"/>
      <c r="N158" s="11"/>
      <c r="O158" s="11"/>
    </row>
    <row r="159" spans="2:15" s="9" customFormat="1" x14ac:dyDescent="0.2">
      <c r="B159" s="10"/>
      <c r="C159" s="11"/>
      <c r="D159" s="63"/>
      <c r="E159" s="11"/>
      <c r="F159" s="65"/>
      <c r="G159" s="12"/>
      <c r="H159" s="41"/>
      <c r="I159" s="30"/>
      <c r="J159" s="30"/>
      <c r="K159" s="30"/>
      <c r="L159" s="11"/>
      <c r="M159" s="11"/>
      <c r="N159" s="11"/>
      <c r="O159" s="11"/>
    </row>
    <row r="160" spans="2:15" s="9" customFormat="1" x14ac:dyDescent="0.2">
      <c r="B160" s="10"/>
      <c r="C160" s="11"/>
      <c r="D160" s="63"/>
      <c r="E160" s="11"/>
      <c r="F160" s="65"/>
      <c r="G160" s="12"/>
      <c r="H160" s="41"/>
      <c r="I160" s="30"/>
      <c r="J160" s="30"/>
      <c r="K160" s="30"/>
      <c r="L160" s="11"/>
      <c r="M160" s="11"/>
      <c r="N160" s="11"/>
      <c r="O160" s="11"/>
    </row>
    <row r="161" spans="2:15" s="9" customFormat="1" x14ac:dyDescent="0.2">
      <c r="B161" s="10"/>
      <c r="C161" s="11"/>
      <c r="D161" s="63"/>
      <c r="E161" s="11"/>
      <c r="F161" s="65"/>
      <c r="G161" s="12"/>
      <c r="H161" s="41"/>
      <c r="I161" s="30"/>
      <c r="J161" s="30"/>
      <c r="K161" s="30"/>
      <c r="L161" s="11"/>
      <c r="M161" s="11"/>
      <c r="N161" s="11"/>
      <c r="O161" s="11"/>
    </row>
    <row r="162" spans="2:15" s="9" customFormat="1" x14ac:dyDescent="0.2">
      <c r="B162" s="10"/>
      <c r="C162" s="11"/>
      <c r="D162" s="63"/>
      <c r="E162" s="11"/>
      <c r="F162" s="65"/>
      <c r="G162" s="12"/>
      <c r="H162" s="41"/>
      <c r="I162" s="30"/>
      <c r="J162" s="30"/>
      <c r="K162" s="30"/>
      <c r="L162" s="11"/>
      <c r="M162" s="11"/>
      <c r="N162" s="11"/>
      <c r="O162" s="11"/>
    </row>
    <row r="163" spans="2:15" s="9" customFormat="1" x14ac:dyDescent="0.2">
      <c r="B163" s="10"/>
      <c r="C163" s="11"/>
      <c r="D163" s="63"/>
      <c r="E163" s="11"/>
      <c r="F163" s="65"/>
      <c r="G163" s="12"/>
      <c r="H163" s="41"/>
      <c r="I163" s="30"/>
      <c r="J163" s="30"/>
      <c r="K163" s="30"/>
      <c r="L163" s="11"/>
      <c r="M163" s="11"/>
      <c r="N163" s="11"/>
      <c r="O163" s="11"/>
    </row>
    <row r="164" spans="2:15" s="9" customFormat="1" x14ac:dyDescent="0.2">
      <c r="B164" s="10"/>
      <c r="C164" s="11"/>
      <c r="D164" s="63"/>
      <c r="E164" s="11"/>
      <c r="F164" s="65"/>
      <c r="G164" s="12"/>
      <c r="H164" s="41"/>
      <c r="I164" s="30"/>
      <c r="J164" s="30"/>
      <c r="K164" s="30"/>
      <c r="L164" s="11"/>
      <c r="M164" s="11"/>
      <c r="N164" s="11"/>
      <c r="O164" s="11"/>
    </row>
    <row r="165" spans="2:15" s="9" customFormat="1" x14ac:dyDescent="0.2">
      <c r="B165" s="10"/>
      <c r="C165" s="11"/>
      <c r="D165" s="63"/>
      <c r="E165" s="11"/>
      <c r="F165" s="65"/>
      <c r="G165" s="12"/>
      <c r="H165" s="41"/>
      <c r="I165" s="30"/>
      <c r="J165" s="30"/>
      <c r="K165" s="30"/>
      <c r="L165" s="11"/>
      <c r="M165" s="11"/>
      <c r="N165" s="11"/>
      <c r="O165" s="11"/>
    </row>
    <row r="166" spans="2:15" s="9" customFormat="1" x14ac:dyDescent="0.2">
      <c r="B166" s="10"/>
      <c r="C166" s="11"/>
      <c r="D166" s="63"/>
      <c r="E166" s="11"/>
      <c r="F166" s="65"/>
      <c r="G166" s="12"/>
      <c r="H166" s="41"/>
      <c r="I166" s="30"/>
      <c r="J166" s="30"/>
      <c r="K166" s="30"/>
      <c r="L166" s="11"/>
      <c r="M166" s="11"/>
      <c r="N166" s="11"/>
      <c r="O166" s="11"/>
    </row>
    <row r="167" spans="2:15" s="9" customFormat="1" x14ac:dyDescent="0.2">
      <c r="B167" s="10"/>
      <c r="C167" s="11"/>
      <c r="D167" s="63"/>
      <c r="E167" s="11"/>
      <c r="F167" s="65"/>
      <c r="G167" s="12"/>
      <c r="H167" s="41"/>
      <c r="I167" s="30"/>
      <c r="J167" s="30"/>
      <c r="K167" s="30"/>
      <c r="L167" s="11"/>
      <c r="M167" s="11"/>
      <c r="N167" s="11"/>
      <c r="O167" s="11"/>
    </row>
    <row r="168" spans="2:15" s="9" customFormat="1" x14ac:dyDescent="0.2">
      <c r="B168" s="10"/>
      <c r="C168" s="11"/>
      <c r="D168" s="63"/>
      <c r="E168" s="11"/>
      <c r="F168" s="65"/>
      <c r="G168" s="12"/>
      <c r="H168" s="41"/>
      <c r="I168" s="30"/>
      <c r="J168" s="30"/>
      <c r="K168" s="30"/>
      <c r="L168" s="11"/>
      <c r="M168" s="11"/>
      <c r="N168" s="11"/>
      <c r="O168" s="11"/>
    </row>
    <row r="169" spans="2:15" s="9" customFormat="1" x14ac:dyDescent="0.2">
      <c r="B169" s="10"/>
      <c r="C169" s="11"/>
      <c r="D169" s="63"/>
      <c r="E169" s="11"/>
      <c r="F169" s="65"/>
      <c r="G169" s="12"/>
      <c r="H169" s="41"/>
      <c r="I169" s="30"/>
      <c r="J169" s="30"/>
      <c r="K169" s="30"/>
      <c r="L169" s="11"/>
      <c r="M169" s="11"/>
      <c r="N169" s="11"/>
      <c r="O169" s="11"/>
    </row>
    <row r="170" spans="2:15" s="9" customFormat="1" x14ac:dyDescent="0.2">
      <c r="B170" s="10"/>
      <c r="C170" s="11"/>
      <c r="D170" s="63"/>
      <c r="E170" s="11"/>
      <c r="F170" s="65"/>
      <c r="G170" s="12"/>
      <c r="H170" s="41"/>
      <c r="I170" s="30"/>
      <c r="J170" s="30"/>
      <c r="K170" s="30"/>
      <c r="L170" s="11"/>
      <c r="M170" s="11"/>
      <c r="N170" s="11"/>
      <c r="O170" s="11"/>
    </row>
    <row r="171" spans="2:15" s="9" customFormat="1" x14ac:dyDescent="0.2">
      <c r="B171" s="10"/>
      <c r="C171" s="11"/>
      <c r="D171" s="63"/>
      <c r="E171" s="11"/>
      <c r="F171" s="65"/>
      <c r="G171" s="12"/>
      <c r="H171" s="41"/>
      <c r="I171" s="30"/>
      <c r="J171" s="30"/>
      <c r="K171" s="30"/>
      <c r="L171" s="11"/>
      <c r="M171" s="11"/>
      <c r="N171" s="11"/>
      <c r="O171" s="11"/>
    </row>
    <row r="172" spans="2:15" s="9" customFormat="1" x14ac:dyDescent="0.2">
      <c r="B172" s="10"/>
      <c r="C172" s="11"/>
      <c r="D172" s="63"/>
      <c r="E172" s="11"/>
      <c r="F172" s="65"/>
      <c r="G172" s="12"/>
      <c r="H172" s="41"/>
      <c r="I172" s="30"/>
      <c r="J172" s="30"/>
      <c r="K172" s="30"/>
      <c r="L172" s="11"/>
      <c r="M172" s="11"/>
      <c r="N172" s="11"/>
      <c r="O172" s="11"/>
    </row>
    <row r="173" spans="2:15" s="9" customFormat="1" x14ac:dyDescent="0.2">
      <c r="B173" s="10"/>
      <c r="C173" s="11"/>
      <c r="D173" s="63"/>
      <c r="E173" s="11"/>
      <c r="F173" s="65"/>
      <c r="G173" s="12"/>
      <c r="H173" s="41"/>
      <c r="I173" s="30"/>
      <c r="J173" s="30"/>
      <c r="K173" s="30"/>
      <c r="L173" s="11"/>
      <c r="M173" s="11"/>
      <c r="N173" s="11"/>
      <c r="O173" s="11"/>
    </row>
    <row r="174" spans="2:15" s="9" customFormat="1" x14ac:dyDescent="0.2">
      <c r="B174" s="10"/>
      <c r="C174" s="11"/>
      <c r="D174" s="63"/>
      <c r="E174" s="11"/>
      <c r="F174" s="65"/>
      <c r="G174" s="12"/>
      <c r="H174" s="41"/>
      <c r="I174" s="30"/>
      <c r="J174" s="30"/>
      <c r="K174" s="30"/>
      <c r="L174" s="11"/>
      <c r="M174" s="11"/>
      <c r="N174" s="11"/>
      <c r="O174" s="11"/>
    </row>
    <row r="175" spans="2:15" s="9" customFormat="1" x14ac:dyDescent="0.2">
      <c r="B175" s="10"/>
      <c r="C175" s="11"/>
      <c r="D175" s="63"/>
      <c r="E175" s="11"/>
      <c r="F175" s="65"/>
      <c r="G175" s="12"/>
      <c r="H175" s="41"/>
      <c r="I175" s="30"/>
      <c r="J175" s="30"/>
      <c r="K175" s="30"/>
      <c r="L175" s="11"/>
      <c r="M175" s="11"/>
      <c r="N175" s="11"/>
      <c r="O175" s="11"/>
    </row>
    <row r="176" spans="2:15" s="9" customFormat="1" x14ac:dyDescent="0.2">
      <c r="B176" s="10"/>
      <c r="C176" s="11"/>
      <c r="D176" s="63"/>
      <c r="E176" s="11"/>
      <c r="F176" s="65"/>
      <c r="G176" s="12"/>
      <c r="H176" s="41"/>
      <c r="I176" s="30"/>
      <c r="J176" s="30"/>
      <c r="K176" s="30"/>
      <c r="L176" s="11"/>
      <c r="M176" s="11"/>
      <c r="N176" s="11"/>
      <c r="O176" s="11"/>
    </row>
    <row r="177" spans="2:15" s="9" customFormat="1" x14ac:dyDescent="0.2">
      <c r="B177" s="10"/>
      <c r="C177" s="11"/>
      <c r="D177" s="63"/>
      <c r="E177" s="11"/>
      <c r="F177" s="65"/>
      <c r="G177" s="12"/>
      <c r="H177" s="41"/>
      <c r="I177" s="30"/>
      <c r="J177" s="30"/>
      <c r="K177" s="30"/>
      <c r="L177" s="11"/>
      <c r="M177" s="11"/>
      <c r="N177" s="11"/>
      <c r="O177" s="11"/>
    </row>
    <row r="178" spans="2:15" s="9" customFormat="1" x14ac:dyDescent="0.2">
      <c r="B178" s="10"/>
      <c r="C178" s="11"/>
      <c r="D178" s="63"/>
      <c r="E178" s="11"/>
      <c r="F178" s="65"/>
      <c r="G178" s="12"/>
      <c r="H178" s="41"/>
      <c r="I178" s="30"/>
      <c r="J178" s="30"/>
      <c r="K178" s="30"/>
      <c r="L178" s="11"/>
      <c r="M178" s="11"/>
      <c r="N178" s="11"/>
      <c r="O178" s="11"/>
    </row>
    <row r="179" spans="2:15" s="9" customFormat="1" x14ac:dyDescent="0.2">
      <c r="B179" s="10"/>
      <c r="C179" s="11"/>
      <c r="D179" s="63"/>
      <c r="E179" s="11"/>
      <c r="F179" s="65"/>
      <c r="G179" s="12"/>
      <c r="H179" s="41"/>
      <c r="I179" s="30"/>
      <c r="J179" s="30"/>
      <c r="K179" s="30"/>
      <c r="L179" s="11"/>
      <c r="M179" s="11"/>
      <c r="N179" s="11"/>
      <c r="O179" s="11"/>
    </row>
    <row r="180" spans="2:15" s="9" customFormat="1" x14ac:dyDescent="0.2">
      <c r="B180" s="10"/>
      <c r="C180" s="11"/>
      <c r="D180" s="63"/>
      <c r="E180" s="11"/>
      <c r="F180" s="65"/>
      <c r="G180" s="12"/>
      <c r="H180" s="41"/>
      <c r="I180" s="30"/>
      <c r="J180" s="30"/>
      <c r="K180" s="30"/>
      <c r="L180" s="11"/>
      <c r="M180" s="11"/>
      <c r="N180" s="11"/>
      <c r="O180" s="11"/>
    </row>
    <row r="181" spans="2:15" s="9" customFormat="1" x14ac:dyDescent="0.2">
      <c r="B181" s="10"/>
      <c r="C181" s="11"/>
      <c r="D181" s="63"/>
      <c r="E181" s="11"/>
      <c r="F181" s="65"/>
      <c r="G181" s="12"/>
      <c r="H181" s="41"/>
      <c r="I181" s="30"/>
      <c r="J181" s="30"/>
      <c r="K181" s="30"/>
      <c r="L181" s="11"/>
      <c r="M181" s="11"/>
      <c r="N181" s="11"/>
      <c r="O181" s="11"/>
    </row>
    <row r="182" spans="2:15" s="9" customFormat="1" x14ac:dyDescent="0.2">
      <c r="B182" s="10"/>
      <c r="C182" s="11"/>
      <c r="D182" s="63"/>
      <c r="E182" s="11"/>
      <c r="F182" s="65"/>
      <c r="G182" s="12"/>
      <c r="H182" s="41"/>
      <c r="I182" s="30"/>
      <c r="J182" s="30"/>
      <c r="K182" s="30"/>
      <c r="L182" s="11"/>
      <c r="M182" s="11"/>
      <c r="N182" s="11"/>
      <c r="O182" s="11"/>
    </row>
    <row r="183" spans="2:15" s="9" customFormat="1" x14ac:dyDescent="0.2">
      <c r="B183" s="10"/>
      <c r="C183" s="11"/>
      <c r="D183" s="63"/>
      <c r="E183" s="11"/>
      <c r="F183" s="65"/>
      <c r="G183" s="12"/>
      <c r="H183" s="41"/>
      <c r="I183" s="30"/>
      <c r="J183" s="30"/>
      <c r="K183" s="30"/>
      <c r="L183" s="11"/>
      <c r="M183" s="11"/>
      <c r="N183" s="11"/>
      <c r="O183" s="11"/>
    </row>
    <row r="184" spans="2:15" s="9" customFormat="1" x14ac:dyDescent="0.2">
      <c r="B184" s="10"/>
      <c r="C184" s="11"/>
      <c r="D184" s="63"/>
      <c r="E184" s="11"/>
      <c r="F184" s="65"/>
      <c r="G184" s="12"/>
      <c r="H184" s="41"/>
      <c r="I184" s="30"/>
      <c r="J184" s="30"/>
      <c r="K184" s="30"/>
      <c r="L184" s="11"/>
      <c r="M184" s="11"/>
      <c r="N184" s="11"/>
      <c r="O184" s="11"/>
    </row>
    <row r="185" spans="2:15" s="9" customFormat="1" x14ac:dyDescent="0.2">
      <c r="B185" s="10"/>
      <c r="C185" s="11"/>
      <c r="D185" s="63"/>
      <c r="E185" s="11"/>
      <c r="F185" s="65"/>
      <c r="G185" s="12"/>
      <c r="H185" s="41"/>
      <c r="I185" s="30"/>
      <c r="J185" s="30"/>
      <c r="K185" s="30"/>
      <c r="L185" s="11"/>
      <c r="M185" s="11"/>
      <c r="N185" s="11"/>
      <c r="O185" s="11"/>
    </row>
    <row r="186" spans="2:15" s="9" customFormat="1" x14ac:dyDescent="0.2">
      <c r="B186" s="10"/>
      <c r="C186" s="11"/>
      <c r="D186" s="63"/>
      <c r="E186" s="11"/>
      <c r="F186" s="65"/>
      <c r="G186" s="12"/>
      <c r="H186" s="41"/>
      <c r="I186" s="30"/>
      <c r="J186" s="30"/>
      <c r="K186" s="30"/>
      <c r="L186" s="11"/>
      <c r="M186" s="11"/>
      <c r="N186" s="11"/>
      <c r="O186" s="11"/>
    </row>
    <row r="187" spans="2:15" s="9" customFormat="1" x14ac:dyDescent="0.2">
      <c r="B187" s="10"/>
      <c r="C187" s="11"/>
      <c r="D187" s="63"/>
      <c r="E187" s="11"/>
      <c r="F187" s="65"/>
      <c r="G187" s="12"/>
      <c r="H187" s="41"/>
      <c r="I187" s="30"/>
      <c r="J187" s="30"/>
      <c r="K187" s="30"/>
      <c r="L187" s="11"/>
      <c r="M187" s="11"/>
      <c r="N187" s="11"/>
      <c r="O187" s="11"/>
    </row>
    <row r="188" spans="2:15" s="9" customFormat="1" x14ac:dyDescent="0.2">
      <c r="B188" s="10"/>
      <c r="C188" s="11"/>
      <c r="D188" s="63"/>
      <c r="E188" s="11"/>
      <c r="F188" s="65"/>
      <c r="G188" s="12"/>
      <c r="H188" s="41"/>
      <c r="I188" s="30"/>
      <c r="J188" s="30"/>
      <c r="K188" s="30"/>
      <c r="L188" s="11"/>
      <c r="M188" s="11"/>
      <c r="N188" s="11"/>
      <c r="O188" s="11"/>
    </row>
    <row r="189" spans="2:15" s="9" customFormat="1" x14ac:dyDescent="0.2">
      <c r="B189" s="10"/>
      <c r="C189" s="11"/>
      <c r="D189" s="63"/>
      <c r="E189" s="11"/>
      <c r="F189" s="65"/>
      <c r="G189" s="12"/>
      <c r="H189" s="41"/>
      <c r="I189" s="30"/>
      <c r="J189" s="30"/>
      <c r="K189" s="30"/>
      <c r="L189" s="11"/>
      <c r="M189" s="11"/>
      <c r="N189" s="11"/>
      <c r="O189" s="11"/>
    </row>
    <row r="190" spans="2:15" s="9" customFormat="1" x14ac:dyDescent="0.2">
      <c r="B190" s="10"/>
      <c r="C190" s="11"/>
      <c r="D190" s="63"/>
      <c r="E190" s="11"/>
      <c r="F190" s="65"/>
      <c r="G190" s="12"/>
      <c r="H190" s="41"/>
      <c r="I190" s="30"/>
      <c r="J190" s="30"/>
      <c r="K190" s="30"/>
      <c r="L190" s="11"/>
      <c r="M190" s="11"/>
      <c r="N190" s="11"/>
      <c r="O190" s="11"/>
    </row>
    <row r="191" spans="2:15" s="9" customFormat="1" x14ac:dyDescent="0.2">
      <c r="B191" s="10"/>
      <c r="C191" s="11"/>
      <c r="D191" s="63"/>
      <c r="E191" s="11"/>
      <c r="F191" s="65"/>
      <c r="G191" s="12"/>
      <c r="H191" s="41"/>
      <c r="I191" s="30"/>
      <c r="J191" s="30"/>
      <c r="K191" s="30"/>
      <c r="L191" s="11"/>
      <c r="M191" s="11"/>
      <c r="N191" s="11"/>
      <c r="O191" s="11"/>
    </row>
    <row r="192" spans="2:15" s="9" customFormat="1" x14ac:dyDescent="0.2">
      <c r="B192" s="10"/>
      <c r="C192" s="11"/>
      <c r="D192" s="63"/>
      <c r="E192" s="11"/>
      <c r="F192" s="65"/>
      <c r="G192" s="12"/>
      <c r="H192" s="41"/>
      <c r="I192" s="30"/>
      <c r="J192" s="30"/>
      <c r="K192" s="30"/>
      <c r="L192" s="11"/>
      <c r="M192" s="11"/>
      <c r="N192" s="11"/>
      <c r="O192" s="11"/>
    </row>
    <row r="193" spans="2:15" s="9" customFormat="1" x14ac:dyDescent="0.2">
      <c r="B193" s="10"/>
      <c r="C193" s="11"/>
      <c r="D193" s="63"/>
      <c r="E193" s="11"/>
      <c r="F193" s="65"/>
      <c r="G193" s="12"/>
      <c r="H193" s="41"/>
      <c r="I193" s="30"/>
      <c r="J193" s="30"/>
      <c r="K193" s="30"/>
      <c r="L193" s="11"/>
      <c r="M193" s="11"/>
      <c r="N193" s="11"/>
      <c r="O193" s="11"/>
    </row>
    <row r="194" spans="2:15" s="9" customFormat="1" x14ac:dyDescent="0.2">
      <c r="B194" s="10"/>
      <c r="C194" s="11"/>
      <c r="D194" s="63"/>
      <c r="E194" s="11"/>
      <c r="F194" s="65"/>
      <c r="G194" s="12"/>
      <c r="H194" s="41"/>
      <c r="I194" s="30"/>
      <c r="J194" s="30"/>
      <c r="K194" s="30"/>
      <c r="L194" s="11"/>
      <c r="M194" s="11"/>
      <c r="N194" s="11"/>
      <c r="O194" s="11"/>
    </row>
    <row r="195" spans="2:15" s="9" customFormat="1" x14ac:dyDescent="0.2">
      <c r="B195" s="10"/>
      <c r="C195" s="11"/>
      <c r="D195" s="63"/>
      <c r="E195" s="11"/>
      <c r="F195" s="65"/>
      <c r="G195" s="12"/>
      <c r="H195" s="41"/>
      <c r="I195" s="30"/>
      <c r="J195" s="30"/>
      <c r="K195" s="30"/>
      <c r="L195" s="11"/>
      <c r="M195" s="11"/>
      <c r="N195" s="11"/>
      <c r="O195" s="11"/>
    </row>
    <row r="196" spans="2:15" s="9" customFormat="1" x14ac:dyDescent="0.2">
      <c r="B196" s="10"/>
      <c r="C196" s="11"/>
      <c r="D196" s="63"/>
      <c r="E196" s="11"/>
      <c r="F196" s="65"/>
      <c r="G196" s="12"/>
      <c r="H196" s="41"/>
      <c r="I196" s="30"/>
      <c r="J196" s="30"/>
      <c r="K196" s="30"/>
      <c r="L196" s="11"/>
      <c r="M196" s="11"/>
      <c r="N196" s="11"/>
      <c r="O196" s="11"/>
    </row>
    <row r="197" spans="2:15" s="9" customFormat="1" x14ac:dyDescent="0.2">
      <c r="B197" s="10"/>
      <c r="C197" s="11"/>
      <c r="D197" s="63"/>
      <c r="E197" s="11"/>
      <c r="F197" s="65"/>
      <c r="G197" s="12"/>
      <c r="H197" s="41"/>
      <c r="I197" s="30"/>
      <c r="J197" s="30"/>
      <c r="K197" s="30"/>
      <c r="L197" s="11"/>
      <c r="M197" s="11"/>
      <c r="N197" s="11"/>
      <c r="O197" s="11"/>
    </row>
    <row r="198" spans="2:15" s="9" customFormat="1" x14ac:dyDescent="0.2">
      <c r="B198" s="10"/>
      <c r="C198" s="11"/>
      <c r="D198" s="63"/>
      <c r="E198" s="11"/>
      <c r="F198" s="65"/>
      <c r="G198" s="12"/>
      <c r="H198" s="41"/>
      <c r="I198" s="30"/>
      <c r="J198" s="30"/>
      <c r="K198" s="30"/>
      <c r="L198" s="11"/>
      <c r="M198" s="11"/>
      <c r="N198" s="11"/>
      <c r="O198" s="11"/>
    </row>
    <row r="199" spans="2:15" s="9" customFormat="1" x14ac:dyDescent="0.2">
      <c r="B199" s="10"/>
      <c r="C199" s="11"/>
      <c r="D199" s="63"/>
      <c r="E199" s="11"/>
      <c r="F199" s="65"/>
      <c r="G199" s="12"/>
      <c r="H199" s="41"/>
      <c r="I199" s="30"/>
      <c r="J199" s="30"/>
      <c r="K199" s="30"/>
      <c r="L199" s="11"/>
      <c r="M199" s="11"/>
      <c r="N199" s="11"/>
      <c r="O199" s="11"/>
    </row>
    <row r="200" spans="2:15" s="9" customFormat="1" x14ac:dyDescent="0.2">
      <c r="B200" s="10"/>
      <c r="C200" s="11"/>
      <c r="D200" s="63"/>
      <c r="E200" s="11"/>
      <c r="F200" s="65"/>
      <c r="G200" s="12"/>
      <c r="H200" s="41"/>
      <c r="I200" s="30"/>
      <c r="J200" s="30"/>
      <c r="K200" s="30"/>
      <c r="L200" s="11"/>
      <c r="M200" s="11"/>
      <c r="N200" s="11"/>
      <c r="O200" s="11"/>
    </row>
    <row r="201" spans="2:15" s="9" customFormat="1" x14ac:dyDescent="0.2">
      <c r="B201" s="10"/>
      <c r="C201" s="11"/>
      <c r="D201" s="63"/>
      <c r="E201" s="11"/>
      <c r="F201" s="65"/>
      <c r="G201" s="12"/>
      <c r="H201" s="41"/>
      <c r="I201" s="30"/>
      <c r="J201" s="30"/>
      <c r="K201" s="30"/>
      <c r="L201" s="11"/>
      <c r="M201" s="11"/>
      <c r="N201" s="11"/>
      <c r="O201" s="11"/>
    </row>
    <row r="202" spans="2:15" s="9" customFormat="1" x14ac:dyDescent="0.2">
      <c r="B202" s="10"/>
      <c r="C202" s="11"/>
      <c r="D202" s="63"/>
      <c r="E202" s="11"/>
      <c r="F202" s="65"/>
      <c r="G202" s="12"/>
      <c r="H202" s="41"/>
      <c r="I202" s="30"/>
      <c r="J202" s="30"/>
      <c r="K202" s="30"/>
      <c r="L202" s="11"/>
      <c r="M202" s="11"/>
      <c r="N202" s="11"/>
      <c r="O202" s="11"/>
    </row>
    <row r="203" spans="2:15" s="9" customFormat="1" x14ac:dyDescent="0.2">
      <c r="B203" s="10"/>
      <c r="C203" s="11"/>
      <c r="D203" s="63"/>
      <c r="E203" s="11"/>
      <c r="F203" s="65"/>
      <c r="G203" s="12"/>
      <c r="H203" s="41"/>
      <c r="I203" s="30"/>
      <c r="J203" s="30"/>
      <c r="K203" s="30"/>
      <c r="L203" s="11"/>
      <c r="M203" s="11"/>
      <c r="N203" s="11"/>
      <c r="O203" s="11"/>
    </row>
    <row r="204" spans="2:15" s="9" customFormat="1" x14ac:dyDescent="0.2">
      <c r="B204" s="10"/>
      <c r="C204" s="11"/>
      <c r="D204" s="63"/>
      <c r="E204" s="11"/>
      <c r="F204" s="65"/>
      <c r="G204" s="12"/>
      <c r="H204" s="41"/>
      <c r="I204" s="30"/>
      <c r="J204" s="30"/>
      <c r="K204" s="30"/>
      <c r="L204" s="11"/>
      <c r="M204" s="11"/>
      <c r="N204" s="11"/>
      <c r="O204" s="11"/>
    </row>
    <row r="205" spans="2:15" s="9" customFormat="1" x14ac:dyDescent="0.2">
      <c r="B205" s="10"/>
      <c r="C205" s="11"/>
      <c r="D205" s="63"/>
      <c r="E205" s="11"/>
      <c r="F205" s="65"/>
      <c r="G205" s="12"/>
      <c r="H205" s="41"/>
      <c r="I205" s="30"/>
      <c r="J205" s="30"/>
      <c r="K205" s="30"/>
      <c r="L205" s="11"/>
      <c r="M205" s="11"/>
      <c r="N205" s="11"/>
      <c r="O205" s="11"/>
    </row>
    <row r="206" spans="2:15" s="9" customFormat="1" x14ac:dyDescent="0.2">
      <c r="B206" s="10"/>
      <c r="C206" s="11"/>
      <c r="D206" s="63"/>
      <c r="E206" s="11"/>
      <c r="F206" s="65"/>
      <c r="G206" s="12"/>
      <c r="H206" s="41"/>
      <c r="I206" s="30"/>
      <c r="J206" s="30"/>
      <c r="K206" s="30"/>
      <c r="L206" s="11"/>
      <c r="M206" s="11"/>
      <c r="N206" s="11"/>
      <c r="O206" s="11"/>
    </row>
    <row r="207" spans="2:15" s="9" customFormat="1" x14ac:dyDescent="0.2">
      <c r="B207" s="10"/>
      <c r="C207" s="11"/>
      <c r="D207" s="63"/>
      <c r="E207" s="11"/>
      <c r="F207" s="65"/>
      <c r="G207" s="12"/>
      <c r="H207" s="41"/>
      <c r="I207" s="30"/>
      <c r="J207" s="30"/>
      <c r="K207" s="30"/>
      <c r="L207" s="11"/>
      <c r="M207" s="11"/>
      <c r="N207" s="11"/>
      <c r="O207" s="11"/>
    </row>
    <row r="208" spans="2:15" s="9" customFormat="1" x14ac:dyDescent="0.2">
      <c r="B208" s="10"/>
      <c r="C208" s="11"/>
      <c r="D208" s="63"/>
      <c r="E208" s="11"/>
      <c r="F208" s="65"/>
      <c r="G208" s="12"/>
      <c r="H208" s="41"/>
      <c r="I208" s="30"/>
      <c r="J208" s="30"/>
      <c r="K208" s="30"/>
      <c r="L208" s="11"/>
      <c r="M208" s="11"/>
      <c r="N208" s="11"/>
      <c r="O208" s="11"/>
    </row>
    <row r="209" spans="2:15" s="9" customFormat="1" x14ac:dyDescent="0.2">
      <c r="B209" s="10"/>
      <c r="C209" s="11"/>
      <c r="D209" s="63"/>
      <c r="E209" s="11"/>
      <c r="F209" s="65"/>
      <c r="G209" s="12"/>
      <c r="H209" s="41"/>
      <c r="I209" s="30"/>
      <c r="J209" s="30"/>
      <c r="K209" s="30"/>
      <c r="L209" s="11"/>
      <c r="M209" s="11"/>
      <c r="N209" s="11"/>
      <c r="O209" s="11"/>
    </row>
    <row r="210" spans="2:15" s="9" customFormat="1" x14ac:dyDescent="0.2">
      <c r="B210" s="10"/>
      <c r="C210" s="11"/>
      <c r="D210" s="63"/>
      <c r="E210" s="11"/>
      <c r="F210" s="65"/>
      <c r="G210" s="12"/>
      <c r="H210" s="41"/>
      <c r="I210" s="30"/>
      <c r="J210" s="30"/>
      <c r="K210" s="30"/>
      <c r="L210" s="11"/>
      <c r="M210" s="11"/>
      <c r="N210" s="11"/>
      <c r="O210" s="11"/>
    </row>
    <row r="211" spans="2:15" s="9" customFormat="1" x14ac:dyDescent="0.2">
      <c r="B211" s="10"/>
      <c r="C211" s="11"/>
      <c r="D211" s="63"/>
      <c r="E211" s="11"/>
      <c r="F211" s="65"/>
      <c r="G211" s="12"/>
      <c r="H211" s="41"/>
      <c r="I211" s="30"/>
      <c r="J211" s="30"/>
      <c r="K211" s="30"/>
      <c r="L211" s="11"/>
      <c r="M211" s="11"/>
      <c r="N211" s="11"/>
      <c r="O211" s="11"/>
    </row>
    <row r="212" spans="2:15" s="9" customFormat="1" x14ac:dyDescent="0.2">
      <c r="B212" s="10"/>
      <c r="C212" s="11"/>
      <c r="D212" s="63"/>
      <c r="E212" s="11"/>
      <c r="F212" s="65"/>
      <c r="G212" s="12"/>
      <c r="H212" s="41"/>
      <c r="I212" s="30"/>
      <c r="J212" s="30"/>
      <c r="K212" s="30"/>
      <c r="L212" s="11"/>
      <c r="M212" s="11"/>
      <c r="N212" s="11"/>
      <c r="O212" s="11"/>
    </row>
    <row r="213" spans="2:15" s="9" customFormat="1" x14ac:dyDescent="0.2">
      <c r="B213" s="10"/>
      <c r="C213" s="11"/>
      <c r="D213" s="63"/>
      <c r="E213" s="11"/>
      <c r="F213" s="65"/>
      <c r="G213" s="12"/>
      <c r="H213" s="41"/>
      <c r="I213" s="30"/>
      <c r="J213" s="30"/>
      <c r="K213" s="30"/>
      <c r="L213" s="11"/>
      <c r="M213" s="11"/>
      <c r="N213" s="11"/>
      <c r="O213" s="11"/>
    </row>
    <row r="214" spans="2:15" s="9" customFormat="1" x14ac:dyDescent="0.2">
      <c r="B214" s="10"/>
      <c r="C214" s="11"/>
      <c r="D214" s="63"/>
      <c r="E214" s="11"/>
      <c r="F214" s="65"/>
      <c r="G214" s="12"/>
      <c r="H214" s="41"/>
      <c r="I214" s="30"/>
      <c r="J214" s="30"/>
      <c r="K214" s="30"/>
      <c r="L214" s="11"/>
      <c r="M214" s="11"/>
      <c r="N214" s="11"/>
      <c r="O214" s="11"/>
    </row>
    <row r="215" spans="2:15" s="9" customFormat="1" x14ac:dyDescent="0.2">
      <c r="B215" s="10"/>
      <c r="C215" s="11"/>
      <c r="D215" s="63"/>
      <c r="E215" s="11"/>
      <c r="F215" s="65"/>
      <c r="G215" s="12"/>
      <c r="H215" s="41"/>
      <c r="I215" s="30"/>
      <c r="J215" s="30"/>
      <c r="K215" s="30"/>
      <c r="L215" s="11"/>
      <c r="M215" s="11"/>
      <c r="N215" s="11"/>
      <c r="O215" s="11"/>
    </row>
    <row r="216" spans="2:15" s="9" customFormat="1" x14ac:dyDescent="0.2">
      <c r="B216" s="10"/>
      <c r="C216" s="11"/>
      <c r="D216" s="63"/>
      <c r="E216" s="11"/>
      <c r="F216" s="65"/>
      <c r="G216" s="12"/>
      <c r="H216" s="41"/>
      <c r="I216" s="30"/>
      <c r="J216" s="30"/>
      <c r="K216" s="30"/>
      <c r="L216" s="11"/>
      <c r="M216" s="11"/>
      <c r="N216" s="11"/>
      <c r="O216" s="11"/>
    </row>
    <row r="217" spans="2:15" s="9" customFormat="1" x14ac:dyDescent="0.2">
      <c r="B217" s="10"/>
      <c r="C217" s="11"/>
      <c r="D217" s="63"/>
      <c r="E217" s="11"/>
      <c r="F217" s="65"/>
      <c r="G217" s="12"/>
      <c r="H217" s="41"/>
      <c r="I217" s="30"/>
      <c r="J217" s="30"/>
      <c r="K217" s="30"/>
      <c r="L217" s="11"/>
      <c r="M217" s="11"/>
      <c r="N217" s="11"/>
      <c r="O217" s="11"/>
    </row>
    <row r="218" spans="2:15" s="9" customFormat="1" x14ac:dyDescent="0.2">
      <c r="B218" s="10"/>
      <c r="C218" s="11"/>
      <c r="D218" s="63"/>
      <c r="E218" s="11"/>
      <c r="F218" s="65"/>
      <c r="G218" s="12"/>
      <c r="H218" s="41"/>
      <c r="I218" s="30"/>
      <c r="J218" s="30"/>
      <c r="K218" s="30"/>
      <c r="L218" s="11"/>
      <c r="M218" s="11"/>
      <c r="N218" s="11"/>
      <c r="O218" s="11"/>
    </row>
    <row r="219" spans="2:15" s="9" customFormat="1" x14ac:dyDescent="0.2">
      <c r="B219" s="10"/>
      <c r="C219" s="11"/>
      <c r="D219" s="63"/>
      <c r="E219" s="11"/>
      <c r="F219" s="65"/>
      <c r="G219" s="12"/>
      <c r="H219" s="41"/>
      <c r="I219" s="30"/>
      <c r="J219" s="30"/>
      <c r="K219" s="30"/>
      <c r="L219" s="11"/>
      <c r="M219" s="11"/>
      <c r="N219" s="11"/>
      <c r="O219" s="11"/>
    </row>
    <row r="220" spans="2:15" s="9" customFormat="1" x14ac:dyDescent="0.2">
      <c r="B220" s="10"/>
      <c r="C220" s="11"/>
      <c r="D220" s="63"/>
      <c r="E220" s="11"/>
      <c r="F220" s="65"/>
      <c r="G220" s="12"/>
      <c r="H220" s="41"/>
      <c r="I220" s="30"/>
      <c r="J220" s="30"/>
      <c r="K220" s="30"/>
      <c r="L220" s="11"/>
      <c r="M220" s="11"/>
      <c r="N220" s="11"/>
      <c r="O220" s="11"/>
    </row>
    <row r="221" spans="2:15" s="9" customFormat="1" x14ac:dyDescent="0.2">
      <c r="B221" s="10"/>
      <c r="C221" s="11"/>
      <c r="D221" s="63"/>
      <c r="E221" s="11"/>
      <c r="F221" s="65"/>
      <c r="G221" s="12"/>
      <c r="H221" s="41"/>
      <c r="I221" s="30"/>
      <c r="J221" s="30"/>
      <c r="K221" s="30"/>
      <c r="L221" s="11"/>
      <c r="M221" s="11"/>
      <c r="N221" s="11"/>
      <c r="O221" s="11"/>
    </row>
    <row r="222" spans="2:15" s="9" customFormat="1" x14ac:dyDescent="0.2">
      <c r="B222" s="10"/>
      <c r="C222" s="11"/>
      <c r="D222" s="63"/>
      <c r="E222" s="11"/>
      <c r="F222" s="65"/>
      <c r="G222" s="12"/>
      <c r="H222" s="41"/>
      <c r="I222" s="30"/>
      <c r="J222" s="30"/>
      <c r="K222" s="30"/>
      <c r="L222" s="11"/>
      <c r="M222" s="11"/>
      <c r="N222" s="11"/>
      <c r="O222" s="11"/>
    </row>
    <row r="223" spans="2:15" s="9" customFormat="1" x14ac:dyDescent="0.2">
      <c r="B223" s="10"/>
      <c r="C223" s="11"/>
      <c r="D223" s="63"/>
      <c r="E223" s="11"/>
      <c r="F223" s="65"/>
      <c r="G223" s="12"/>
      <c r="H223" s="41"/>
      <c r="I223" s="30"/>
      <c r="J223" s="30"/>
      <c r="K223" s="30"/>
      <c r="L223" s="11"/>
      <c r="M223" s="11"/>
      <c r="N223" s="11"/>
      <c r="O223" s="11"/>
    </row>
    <row r="224" spans="2:15" s="9" customFormat="1" x14ac:dyDescent="0.2">
      <c r="B224" s="10"/>
      <c r="C224" s="11"/>
      <c r="D224" s="63"/>
      <c r="E224" s="11"/>
      <c r="F224" s="65"/>
      <c r="G224" s="12"/>
      <c r="H224" s="41"/>
      <c r="I224" s="30"/>
      <c r="J224" s="30"/>
      <c r="K224" s="30"/>
      <c r="L224" s="11"/>
      <c r="M224" s="11"/>
      <c r="N224" s="11"/>
      <c r="O224" s="11"/>
    </row>
    <row r="225" spans="2:15" s="9" customFormat="1" x14ac:dyDescent="0.2">
      <c r="B225" s="10"/>
      <c r="C225" s="11"/>
      <c r="D225" s="63"/>
      <c r="E225" s="11"/>
      <c r="F225" s="65"/>
      <c r="G225" s="12"/>
      <c r="H225" s="41"/>
      <c r="I225" s="30"/>
      <c r="J225" s="30"/>
      <c r="K225" s="30"/>
      <c r="L225" s="11"/>
      <c r="M225" s="11"/>
      <c r="N225" s="11"/>
      <c r="O225" s="11"/>
    </row>
    <row r="226" spans="2:15" s="9" customFormat="1" x14ac:dyDescent="0.2">
      <c r="B226" s="10"/>
      <c r="C226" s="11"/>
      <c r="D226" s="63"/>
      <c r="E226" s="11"/>
      <c r="F226" s="65"/>
      <c r="G226" s="12"/>
      <c r="H226" s="41"/>
      <c r="I226" s="30"/>
      <c r="J226" s="30"/>
      <c r="K226" s="30"/>
      <c r="L226" s="11"/>
      <c r="M226" s="11"/>
      <c r="N226" s="11"/>
      <c r="O226" s="11"/>
    </row>
    <row r="227" spans="2:15" s="9" customFormat="1" x14ac:dyDescent="0.2">
      <c r="B227" s="10"/>
      <c r="C227" s="11"/>
      <c r="D227" s="63"/>
      <c r="E227" s="11"/>
      <c r="F227" s="65"/>
      <c r="G227" s="12"/>
      <c r="H227" s="41"/>
      <c r="I227" s="30"/>
      <c r="J227" s="30"/>
      <c r="K227" s="30"/>
      <c r="L227" s="11"/>
      <c r="M227" s="11"/>
      <c r="N227" s="11"/>
      <c r="O227" s="11"/>
    </row>
    <row r="228" spans="2:15" s="9" customFormat="1" x14ac:dyDescent="0.2">
      <c r="B228" s="10"/>
      <c r="C228" s="11"/>
      <c r="D228" s="63"/>
      <c r="E228" s="11"/>
      <c r="F228" s="65"/>
      <c r="G228" s="12"/>
      <c r="H228" s="41"/>
      <c r="I228" s="30"/>
      <c r="J228" s="30"/>
      <c r="K228" s="30"/>
      <c r="L228" s="11"/>
      <c r="M228" s="11"/>
      <c r="N228" s="11"/>
      <c r="O228" s="11"/>
    </row>
    <row r="229" spans="2:15" s="9" customFormat="1" x14ac:dyDescent="0.2">
      <c r="B229" s="10"/>
      <c r="C229" s="11"/>
      <c r="D229" s="63"/>
      <c r="E229" s="11"/>
      <c r="F229" s="65"/>
      <c r="G229" s="12"/>
      <c r="H229" s="41"/>
      <c r="I229" s="30"/>
      <c r="J229" s="30"/>
      <c r="K229" s="30"/>
      <c r="L229" s="11"/>
      <c r="M229" s="11"/>
      <c r="N229" s="11"/>
      <c r="O229" s="11"/>
    </row>
    <row r="230" spans="2:15" s="9" customFormat="1" x14ac:dyDescent="0.2">
      <c r="B230" s="10"/>
      <c r="C230" s="11"/>
      <c r="D230" s="63"/>
      <c r="E230" s="11"/>
      <c r="F230" s="65"/>
      <c r="G230" s="12"/>
      <c r="H230" s="41"/>
      <c r="I230" s="30"/>
      <c r="J230" s="30"/>
      <c r="K230" s="30"/>
      <c r="L230" s="11"/>
      <c r="M230" s="11"/>
      <c r="N230" s="11"/>
      <c r="O230" s="11"/>
    </row>
    <row r="231" spans="2:15" s="9" customFormat="1" x14ac:dyDescent="0.2">
      <c r="B231" s="10"/>
      <c r="C231" s="11"/>
      <c r="D231" s="63"/>
      <c r="E231" s="11"/>
      <c r="F231" s="65"/>
      <c r="G231" s="12"/>
      <c r="H231" s="41"/>
      <c r="I231" s="30"/>
      <c r="J231" s="30"/>
      <c r="K231" s="30"/>
      <c r="L231" s="11"/>
      <c r="M231" s="11"/>
      <c r="N231" s="11"/>
      <c r="O231" s="11"/>
    </row>
    <row r="232" spans="2:15" s="9" customFormat="1" x14ac:dyDescent="0.2">
      <c r="B232" s="10"/>
      <c r="C232" s="11"/>
      <c r="D232" s="63"/>
      <c r="E232" s="11"/>
      <c r="F232" s="65"/>
      <c r="G232" s="12"/>
      <c r="H232" s="41"/>
      <c r="I232" s="30"/>
      <c r="J232" s="30"/>
      <c r="K232" s="30"/>
      <c r="L232" s="11"/>
      <c r="M232" s="11"/>
      <c r="N232" s="11"/>
      <c r="O232" s="11"/>
    </row>
    <row r="233" spans="2:15" s="9" customFormat="1" x14ac:dyDescent="0.2">
      <c r="B233" s="10"/>
      <c r="C233" s="11"/>
      <c r="D233" s="63"/>
      <c r="E233" s="11"/>
      <c r="F233" s="65"/>
      <c r="G233" s="12"/>
      <c r="H233" s="41"/>
      <c r="I233" s="30"/>
      <c r="J233" s="30"/>
      <c r="K233" s="30"/>
      <c r="L233" s="11"/>
      <c r="M233" s="11"/>
      <c r="N233" s="11"/>
      <c r="O233" s="11"/>
    </row>
    <row r="234" spans="2:15" s="9" customFormat="1" x14ac:dyDescent="0.2">
      <c r="B234" s="10"/>
      <c r="C234" s="11"/>
      <c r="D234" s="63"/>
      <c r="E234" s="11"/>
      <c r="F234" s="65"/>
      <c r="G234" s="12"/>
      <c r="H234" s="41"/>
      <c r="I234" s="30"/>
      <c r="J234" s="30"/>
      <c r="K234" s="30"/>
      <c r="L234" s="11"/>
      <c r="M234" s="11"/>
      <c r="N234" s="11"/>
      <c r="O234" s="11"/>
    </row>
    <row r="235" spans="2:15" s="9" customFormat="1" x14ac:dyDescent="0.2">
      <c r="B235" s="10"/>
      <c r="C235" s="11"/>
      <c r="D235" s="63"/>
      <c r="E235" s="11"/>
      <c r="F235" s="65"/>
      <c r="G235" s="12"/>
      <c r="H235" s="41"/>
      <c r="I235" s="30"/>
      <c r="J235" s="30"/>
      <c r="K235" s="30"/>
      <c r="L235" s="11"/>
      <c r="M235" s="11"/>
      <c r="N235" s="11"/>
      <c r="O235" s="11"/>
    </row>
    <row r="236" spans="2:15" s="9" customFormat="1" x14ac:dyDescent="0.2">
      <c r="B236" s="10"/>
      <c r="C236" s="11"/>
      <c r="D236" s="63"/>
      <c r="E236" s="11"/>
      <c r="F236" s="65"/>
      <c r="G236" s="12"/>
      <c r="H236" s="41"/>
      <c r="I236" s="30"/>
      <c r="J236" s="30"/>
      <c r="K236" s="30"/>
      <c r="L236" s="11"/>
      <c r="M236" s="11"/>
      <c r="N236" s="11"/>
      <c r="O236" s="11"/>
    </row>
    <row r="237" spans="2:15" s="9" customFormat="1" x14ac:dyDescent="0.2">
      <c r="B237" s="10"/>
      <c r="C237" s="11"/>
      <c r="D237" s="63"/>
      <c r="E237" s="11"/>
      <c r="F237" s="65"/>
      <c r="G237" s="12"/>
      <c r="H237" s="41"/>
      <c r="I237" s="30"/>
      <c r="J237" s="30"/>
      <c r="K237" s="30"/>
      <c r="L237" s="11"/>
      <c r="M237" s="11"/>
      <c r="N237" s="11"/>
      <c r="O237" s="11"/>
    </row>
    <row r="238" spans="2:15" s="9" customFormat="1" x14ac:dyDescent="0.2">
      <c r="B238" s="10"/>
      <c r="C238" s="11"/>
      <c r="D238" s="63"/>
      <c r="E238" s="11"/>
      <c r="F238" s="65"/>
      <c r="G238" s="12"/>
      <c r="H238" s="41"/>
      <c r="I238" s="30"/>
      <c r="J238" s="30"/>
      <c r="K238" s="30"/>
      <c r="L238" s="11"/>
      <c r="M238" s="11"/>
      <c r="N238" s="11"/>
      <c r="O238" s="11"/>
    </row>
    <row r="239" spans="2:15" s="9" customFormat="1" x14ac:dyDescent="0.2">
      <c r="B239" s="10"/>
      <c r="C239" s="11"/>
      <c r="D239" s="63"/>
      <c r="E239" s="11"/>
      <c r="F239" s="65"/>
      <c r="G239" s="12"/>
      <c r="H239" s="41"/>
      <c r="I239" s="30"/>
      <c r="J239" s="30"/>
      <c r="K239" s="30"/>
      <c r="L239" s="11"/>
      <c r="M239" s="11"/>
      <c r="N239" s="11"/>
      <c r="O239" s="11"/>
    </row>
    <row r="240" spans="2:15" s="9" customFormat="1" x14ac:dyDescent="0.2">
      <c r="B240" s="10"/>
      <c r="C240" s="11"/>
      <c r="D240" s="63"/>
      <c r="E240" s="11"/>
      <c r="F240" s="65"/>
      <c r="G240" s="12"/>
      <c r="H240" s="41"/>
      <c r="I240" s="30"/>
      <c r="J240" s="30"/>
      <c r="K240" s="30"/>
      <c r="L240" s="11"/>
      <c r="M240" s="11"/>
      <c r="N240" s="11"/>
      <c r="O240" s="11"/>
    </row>
    <row r="241" spans="2:15" s="9" customFormat="1" x14ac:dyDescent="0.2">
      <c r="B241" s="10"/>
      <c r="C241" s="11"/>
      <c r="D241" s="63"/>
      <c r="E241" s="11"/>
      <c r="F241" s="65"/>
      <c r="G241" s="12"/>
      <c r="H241" s="41"/>
      <c r="I241" s="30"/>
      <c r="J241" s="30"/>
      <c r="K241" s="30"/>
      <c r="L241" s="11"/>
      <c r="M241" s="11"/>
      <c r="N241" s="11"/>
      <c r="O241" s="11"/>
    </row>
    <row r="242" spans="2:15" s="9" customFormat="1" x14ac:dyDescent="0.2">
      <c r="B242" s="10"/>
      <c r="C242" s="11"/>
      <c r="D242" s="63"/>
      <c r="E242" s="11"/>
      <c r="F242" s="65"/>
      <c r="G242" s="12"/>
      <c r="H242" s="41"/>
      <c r="I242" s="30"/>
      <c r="J242" s="30"/>
      <c r="K242" s="30"/>
      <c r="L242" s="11"/>
      <c r="M242" s="11"/>
      <c r="N242" s="11"/>
      <c r="O242" s="11"/>
    </row>
    <row r="243" spans="2:15" s="9" customFormat="1" x14ac:dyDescent="0.2">
      <c r="B243" s="10"/>
      <c r="C243" s="11"/>
      <c r="D243" s="63"/>
      <c r="E243" s="11"/>
      <c r="F243" s="65"/>
      <c r="G243" s="12"/>
      <c r="H243" s="41"/>
      <c r="I243" s="30"/>
      <c r="J243" s="30"/>
      <c r="K243" s="30"/>
      <c r="L243" s="11"/>
      <c r="M243" s="11"/>
      <c r="N243" s="11"/>
      <c r="O243" s="11"/>
    </row>
    <row r="244" spans="2:15" s="9" customFormat="1" x14ac:dyDescent="0.2">
      <c r="B244" s="10"/>
      <c r="C244" s="11"/>
      <c r="D244" s="63"/>
      <c r="E244" s="11"/>
      <c r="F244" s="65"/>
      <c r="G244" s="12"/>
      <c r="H244" s="41"/>
      <c r="I244" s="30"/>
      <c r="J244" s="30"/>
      <c r="K244" s="30"/>
      <c r="L244" s="11"/>
      <c r="M244" s="11"/>
      <c r="N244" s="11"/>
      <c r="O244" s="11"/>
    </row>
    <row r="245" spans="2:15" s="9" customFormat="1" x14ac:dyDescent="0.2">
      <c r="B245" s="10"/>
      <c r="C245" s="11"/>
      <c r="D245" s="63"/>
      <c r="E245" s="11"/>
      <c r="F245" s="65"/>
      <c r="G245" s="12"/>
      <c r="H245" s="41"/>
      <c r="I245" s="30"/>
      <c r="J245" s="30"/>
      <c r="K245" s="30"/>
      <c r="L245" s="11"/>
      <c r="M245" s="11"/>
      <c r="N245" s="11"/>
      <c r="O245" s="11"/>
    </row>
    <row r="246" spans="2:15" s="9" customFormat="1" x14ac:dyDescent="0.2">
      <c r="B246" s="10"/>
      <c r="C246" s="11"/>
      <c r="D246" s="63"/>
      <c r="E246" s="11"/>
      <c r="F246" s="65"/>
      <c r="G246" s="12"/>
      <c r="H246" s="41"/>
      <c r="I246" s="30"/>
      <c r="J246" s="30"/>
      <c r="K246" s="30"/>
      <c r="L246" s="11"/>
      <c r="M246" s="11"/>
      <c r="N246" s="11"/>
      <c r="O246" s="11"/>
    </row>
    <row r="247" spans="2:15" s="9" customFormat="1" x14ac:dyDescent="0.2">
      <c r="B247" s="10"/>
      <c r="C247" s="11"/>
      <c r="D247" s="63"/>
      <c r="E247" s="11"/>
      <c r="F247" s="65"/>
      <c r="G247" s="12"/>
      <c r="H247" s="41"/>
      <c r="I247" s="30"/>
      <c r="J247" s="30"/>
      <c r="K247" s="30"/>
      <c r="L247" s="11"/>
      <c r="M247" s="11"/>
      <c r="N247" s="11"/>
      <c r="O247" s="11"/>
    </row>
    <row r="248" spans="2:15" s="9" customFormat="1" x14ac:dyDescent="0.2">
      <c r="B248" s="10"/>
      <c r="C248" s="11"/>
      <c r="D248" s="63"/>
      <c r="E248" s="11"/>
      <c r="F248" s="65"/>
      <c r="G248" s="12"/>
      <c r="H248" s="41"/>
      <c r="I248" s="30"/>
      <c r="J248" s="30"/>
      <c r="K248" s="30"/>
      <c r="L248" s="11"/>
      <c r="M248" s="11"/>
      <c r="N248" s="11"/>
      <c r="O248" s="11"/>
    </row>
    <row r="249" spans="2:15" s="9" customFormat="1" x14ac:dyDescent="0.2">
      <c r="B249" s="10"/>
      <c r="C249" s="11"/>
      <c r="D249" s="63"/>
      <c r="E249" s="11"/>
      <c r="F249" s="65"/>
      <c r="G249" s="12"/>
      <c r="H249" s="41"/>
      <c r="I249" s="30"/>
      <c r="J249" s="30"/>
      <c r="K249" s="30"/>
      <c r="L249" s="11"/>
      <c r="M249" s="11"/>
      <c r="N249" s="11"/>
      <c r="O249" s="11"/>
    </row>
    <row r="250" spans="2:15" s="9" customFormat="1" x14ac:dyDescent="0.2">
      <c r="B250" s="10"/>
      <c r="C250" s="11"/>
      <c r="D250" s="63"/>
      <c r="E250" s="11"/>
      <c r="F250" s="65"/>
      <c r="G250" s="12"/>
      <c r="H250" s="41"/>
      <c r="I250" s="30"/>
      <c r="J250" s="30"/>
      <c r="K250" s="30"/>
      <c r="L250" s="11"/>
      <c r="M250" s="11"/>
      <c r="N250" s="11"/>
      <c r="O250" s="11"/>
    </row>
    <row r="251" spans="2:15" s="9" customFormat="1" x14ac:dyDescent="0.2">
      <c r="B251" s="10"/>
      <c r="C251" s="11"/>
      <c r="D251" s="63"/>
      <c r="E251" s="11"/>
      <c r="F251" s="65"/>
      <c r="G251" s="12"/>
      <c r="H251" s="41"/>
      <c r="I251" s="30"/>
      <c r="J251" s="30"/>
      <c r="K251" s="30"/>
      <c r="L251" s="11"/>
      <c r="M251" s="11"/>
      <c r="N251" s="11"/>
      <c r="O251" s="11"/>
    </row>
    <row r="252" spans="2:15" s="9" customFormat="1" x14ac:dyDescent="0.2">
      <c r="B252" s="10"/>
      <c r="C252" s="11"/>
      <c r="D252" s="63"/>
      <c r="E252" s="11"/>
      <c r="F252" s="65"/>
      <c r="G252" s="12"/>
      <c r="H252" s="41"/>
      <c r="I252" s="30"/>
      <c r="J252" s="30"/>
      <c r="K252" s="30"/>
      <c r="L252" s="11"/>
      <c r="M252" s="11"/>
      <c r="N252" s="11"/>
      <c r="O252" s="11"/>
    </row>
    <row r="253" spans="2:15" s="9" customFormat="1" x14ac:dyDescent="0.2">
      <c r="B253" s="10"/>
      <c r="C253" s="11"/>
      <c r="D253" s="63"/>
      <c r="E253" s="11"/>
      <c r="F253" s="65"/>
      <c r="G253" s="12"/>
      <c r="H253" s="41"/>
      <c r="I253" s="30"/>
      <c r="J253" s="30"/>
      <c r="K253" s="30"/>
      <c r="L253" s="11"/>
      <c r="M253" s="11"/>
      <c r="N253" s="11"/>
      <c r="O253" s="11"/>
    </row>
    <row r="254" spans="2:15" s="9" customFormat="1" x14ac:dyDescent="0.2">
      <c r="B254" s="10"/>
      <c r="C254" s="11"/>
      <c r="D254" s="63"/>
      <c r="E254" s="11"/>
      <c r="F254" s="65"/>
      <c r="G254" s="12"/>
      <c r="H254" s="41"/>
      <c r="I254" s="30"/>
      <c r="J254" s="30"/>
      <c r="K254" s="30"/>
      <c r="L254" s="11"/>
      <c r="M254" s="11"/>
      <c r="N254" s="11"/>
      <c r="O254" s="11"/>
    </row>
    <row r="255" spans="2:15" s="9" customFormat="1" x14ac:dyDescent="0.2">
      <c r="B255" s="10"/>
      <c r="C255" s="11"/>
      <c r="D255" s="63"/>
      <c r="E255" s="11"/>
      <c r="F255" s="65"/>
      <c r="G255" s="12"/>
      <c r="H255" s="41"/>
      <c r="I255" s="30"/>
      <c r="J255" s="30"/>
      <c r="K255" s="30"/>
      <c r="L255" s="11"/>
      <c r="M255" s="11"/>
      <c r="N255" s="11"/>
      <c r="O255" s="11"/>
    </row>
    <row r="256" spans="2:15" s="9" customFormat="1" x14ac:dyDescent="0.2">
      <c r="B256" s="10"/>
      <c r="C256" s="11"/>
      <c r="D256" s="63"/>
      <c r="E256" s="11"/>
      <c r="F256" s="65"/>
      <c r="G256" s="12"/>
      <c r="H256" s="41"/>
      <c r="I256" s="30"/>
      <c r="J256" s="30"/>
      <c r="K256" s="30"/>
      <c r="L256" s="11"/>
      <c r="M256" s="11"/>
      <c r="N256" s="11"/>
      <c r="O256" s="11"/>
    </row>
    <row r="257" spans="2:15" s="9" customFormat="1" x14ac:dyDescent="0.2">
      <c r="B257" s="10"/>
      <c r="C257" s="11"/>
      <c r="D257" s="63"/>
      <c r="E257" s="11"/>
      <c r="F257" s="65"/>
      <c r="G257" s="12"/>
      <c r="H257" s="41"/>
      <c r="I257" s="30"/>
      <c r="J257" s="30"/>
      <c r="K257" s="30"/>
      <c r="L257" s="11"/>
      <c r="M257" s="11"/>
      <c r="N257" s="11"/>
      <c r="O257" s="11"/>
    </row>
    <row r="258" spans="2:15" s="9" customFormat="1" x14ac:dyDescent="0.2">
      <c r="B258" s="10"/>
      <c r="C258" s="11"/>
      <c r="D258" s="63"/>
      <c r="E258" s="11"/>
      <c r="F258" s="65"/>
      <c r="G258" s="12"/>
      <c r="H258" s="41"/>
      <c r="I258" s="30"/>
      <c r="J258" s="30"/>
      <c r="K258" s="30"/>
      <c r="L258" s="11"/>
      <c r="M258" s="11"/>
      <c r="N258" s="11"/>
      <c r="O258" s="11"/>
    </row>
    <row r="259" spans="2:15" s="9" customFormat="1" x14ac:dyDescent="0.2">
      <c r="B259" s="10"/>
      <c r="C259" s="11"/>
      <c r="D259" s="63"/>
      <c r="E259" s="11"/>
      <c r="F259" s="65"/>
      <c r="G259" s="12"/>
      <c r="H259" s="41"/>
      <c r="I259" s="30"/>
      <c r="J259" s="30"/>
      <c r="K259" s="30"/>
      <c r="L259" s="11"/>
      <c r="M259" s="11"/>
      <c r="N259" s="11"/>
      <c r="O259" s="11"/>
    </row>
    <row r="260" spans="2:15" s="9" customFormat="1" x14ac:dyDescent="0.2">
      <c r="B260" s="10"/>
      <c r="C260" s="11"/>
      <c r="D260" s="63"/>
      <c r="E260" s="11"/>
      <c r="F260" s="65"/>
      <c r="G260" s="12"/>
      <c r="H260" s="41"/>
      <c r="I260" s="30"/>
      <c r="J260" s="30"/>
      <c r="K260" s="30"/>
      <c r="L260" s="11"/>
      <c r="M260" s="11"/>
      <c r="N260" s="11"/>
      <c r="O260" s="11"/>
    </row>
    <row r="261" spans="2:15" s="9" customFormat="1" x14ac:dyDescent="0.2">
      <c r="B261" s="10"/>
      <c r="C261" s="11"/>
      <c r="D261" s="63"/>
      <c r="E261" s="11"/>
      <c r="F261" s="65"/>
      <c r="G261" s="12"/>
      <c r="H261" s="41"/>
      <c r="I261" s="30"/>
      <c r="J261" s="30"/>
      <c r="K261" s="30"/>
      <c r="L261" s="11"/>
      <c r="M261" s="11"/>
      <c r="N261" s="11"/>
      <c r="O261" s="11"/>
    </row>
    <row r="262" spans="2:15" s="9" customFormat="1" x14ac:dyDescent="0.2">
      <c r="B262" s="10"/>
      <c r="C262" s="11"/>
      <c r="D262" s="63"/>
      <c r="E262" s="11"/>
      <c r="F262" s="65"/>
      <c r="G262" s="12"/>
      <c r="H262" s="41"/>
      <c r="I262" s="30"/>
      <c r="J262" s="30"/>
      <c r="K262" s="30"/>
      <c r="L262" s="11"/>
      <c r="M262" s="11"/>
      <c r="N262" s="11"/>
      <c r="O262" s="11"/>
    </row>
    <row r="263" spans="2:15" s="9" customFormat="1" x14ac:dyDescent="0.2">
      <c r="B263" s="10"/>
      <c r="C263" s="11"/>
      <c r="D263" s="63"/>
      <c r="E263" s="11"/>
      <c r="F263" s="65"/>
      <c r="G263" s="12"/>
      <c r="H263" s="41"/>
      <c r="I263" s="30"/>
      <c r="J263" s="30"/>
      <c r="K263" s="30"/>
      <c r="L263" s="11"/>
      <c r="M263" s="11"/>
      <c r="N263" s="11"/>
      <c r="O263" s="11"/>
    </row>
    <row r="264" spans="2:15" s="9" customFormat="1" x14ac:dyDescent="0.2">
      <c r="B264" s="10"/>
      <c r="C264" s="11"/>
      <c r="D264" s="63"/>
      <c r="E264" s="11"/>
      <c r="F264" s="65"/>
      <c r="G264" s="12"/>
      <c r="H264" s="41"/>
      <c r="I264" s="30"/>
      <c r="J264" s="30"/>
      <c r="K264" s="30"/>
      <c r="L264" s="11"/>
      <c r="M264" s="11"/>
      <c r="N264" s="11"/>
      <c r="O264" s="11"/>
    </row>
    <row r="265" spans="2:15" s="9" customFormat="1" x14ac:dyDescent="0.2">
      <c r="B265" s="10"/>
      <c r="C265" s="11"/>
      <c r="D265" s="63"/>
      <c r="E265" s="11"/>
      <c r="F265" s="65"/>
      <c r="G265" s="12"/>
      <c r="H265" s="41"/>
      <c r="I265" s="30"/>
      <c r="J265" s="30"/>
      <c r="K265" s="30"/>
      <c r="L265" s="11"/>
      <c r="M265" s="11"/>
      <c r="N265" s="11"/>
      <c r="O265" s="11"/>
    </row>
    <row r="266" spans="2:15" s="9" customFormat="1" x14ac:dyDescent="0.2">
      <c r="B266" s="10"/>
      <c r="C266" s="11"/>
      <c r="D266" s="63"/>
      <c r="E266" s="11"/>
      <c r="F266" s="65"/>
      <c r="G266" s="12"/>
      <c r="H266" s="41"/>
      <c r="I266" s="30"/>
      <c r="J266" s="30"/>
      <c r="K266" s="30"/>
      <c r="L266" s="11"/>
      <c r="M266" s="11"/>
      <c r="N266" s="11"/>
      <c r="O266" s="11"/>
    </row>
    <row r="267" spans="2:15" s="9" customFormat="1" x14ac:dyDescent="0.2">
      <c r="B267" s="10"/>
      <c r="C267" s="11"/>
      <c r="D267" s="63"/>
      <c r="E267" s="11"/>
      <c r="F267" s="65"/>
      <c r="G267" s="12"/>
      <c r="H267" s="41"/>
      <c r="I267" s="30"/>
      <c r="J267" s="30"/>
      <c r="K267" s="30"/>
      <c r="L267" s="11"/>
      <c r="M267" s="11"/>
      <c r="N267" s="11"/>
      <c r="O267" s="11"/>
    </row>
    <row r="268" spans="2:15" s="9" customFormat="1" x14ac:dyDescent="0.2">
      <c r="B268" s="10"/>
      <c r="C268" s="11"/>
      <c r="D268" s="63"/>
      <c r="E268" s="11"/>
      <c r="F268" s="65"/>
      <c r="G268" s="12"/>
      <c r="H268" s="41"/>
      <c r="I268" s="30"/>
      <c r="J268" s="30"/>
      <c r="K268" s="30"/>
      <c r="L268" s="11"/>
      <c r="M268" s="11"/>
      <c r="N268" s="11"/>
      <c r="O268" s="11"/>
    </row>
    <row r="269" spans="2:15" s="9" customFormat="1" x14ac:dyDescent="0.2">
      <c r="B269" s="10"/>
      <c r="C269" s="11"/>
      <c r="D269" s="63"/>
      <c r="E269" s="11"/>
      <c r="F269" s="65"/>
      <c r="G269" s="12"/>
      <c r="H269" s="41"/>
      <c r="I269" s="30"/>
      <c r="J269" s="30"/>
      <c r="K269" s="30"/>
      <c r="L269" s="11"/>
      <c r="M269" s="11"/>
      <c r="N269" s="11"/>
      <c r="O269" s="11"/>
    </row>
    <row r="270" spans="2:15" s="9" customFormat="1" x14ac:dyDescent="0.2">
      <c r="B270" s="10"/>
      <c r="C270" s="11"/>
      <c r="D270" s="63"/>
      <c r="E270" s="11"/>
      <c r="F270" s="65"/>
      <c r="G270" s="12"/>
      <c r="H270" s="41"/>
      <c r="I270" s="30"/>
      <c r="J270" s="30"/>
      <c r="K270" s="30"/>
      <c r="L270" s="11"/>
      <c r="M270" s="11"/>
      <c r="N270" s="11"/>
      <c r="O270" s="11"/>
    </row>
    <row r="271" spans="2:15" s="9" customFormat="1" x14ac:dyDescent="0.2">
      <c r="B271" s="10"/>
      <c r="C271" s="11"/>
      <c r="D271" s="63"/>
      <c r="E271" s="11"/>
      <c r="F271" s="65"/>
      <c r="G271" s="12"/>
      <c r="H271" s="41"/>
      <c r="I271" s="30"/>
      <c r="J271" s="30"/>
      <c r="K271" s="30"/>
      <c r="L271" s="11"/>
      <c r="M271" s="11"/>
      <c r="N271" s="11"/>
      <c r="O271" s="11"/>
    </row>
    <row r="272" spans="2:15" s="9" customFormat="1" x14ac:dyDescent="0.2">
      <c r="B272" s="10"/>
      <c r="C272" s="11"/>
      <c r="D272" s="63"/>
      <c r="E272" s="11"/>
      <c r="F272" s="65"/>
      <c r="G272" s="12"/>
      <c r="H272" s="41"/>
      <c r="I272" s="30"/>
      <c r="J272" s="30"/>
      <c r="K272" s="30"/>
      <c r="L272" s="11"/>
      <c r="M272" s="11"/>
      <c r="N272" s="11"/>
      <c r="O272" s="11"/>
    </row>
    <row r="273" spans="2:15" s="9" customFormat="1" x14ac:dyDescent="0.2">
      <c r="B273" s="10"/>
      <c r="C273" s="11"/>
      <c r="D273" s="63"/>
      <c r="E273" s="11"/>
      <c r="F273" s="65"/>
      <c r="G273" s="12"/>
      <c r="H273" s="41"/>
      <c r="I273" s="30"/>
      <c r="J273" s="30"/>
      <c r="K273" s="30"/>
      <c r="L273" s="11"/>
      <c r="M273" s="11"/>
      <c r="N273" s="11"/>
      <c r="O273" s="11"/>
    </row>
    <row r="274" spans="2:15" s="9" customFormat="1" x14ac:dyDescent="0.2">
      <c r="B274" s="10"/>
      <c r="C274" s="11"/>
      <c r="D274" s="63"/>
      <c r="E274" s="11"/>
      <c r="F274" s="65"/>
      <c r="G274" s="12"/>
      <c r="H274" s="41"/>
      <c r="I274" s="30"/>
      <c r="J274" s="30"/>
      <c r="K274" s="30"/>
      <c r="L274" s="11"/>
      <c r="M274" s="11"/>
      <c r="N274" s="11"/>
      <c r="O274" s="11"/>
    </row>
    <row r="275" spans="2:15" s="9" customFormat="1" x14ac:dyDescent="0.2">
      <c r="B275" s="10"/>
      <c r="C275" s="11"/>
      <c r="D275" s="63"/>
      <c r="E275" s="11"/>
      <c r="F275" s="65"/>
      <c r="G275" s="12"/>
      <c r="H275" s="41"/>
      <c r="I275" s="30"/>
      <c r="J275" s="30"/>
      <c r="K275" s="30"/>
      <c r="L275" s="11"/>
      <c r="M275" s="11"/>
      <c r="N275" s="11"/>
      <c r="O275" s="11"/>
    </row>
    <row r="276" spans="2:15" s="9" customFormat="1" x14ac:dyDescent="0.2">
      <c r="B276" s="10"/>
      <c r="C276" s="11"/>
      <c r="D276" s="63"/>
      <c r="E276" s="11"/>
      <c r="F276" s="65"/>
      <c r="G276" s="12"/>
      <c r="H276" s="41"/>
      <c r="I276" s="30"/>
      <c r="J276" s="30"/>
      <c r="K276" s="30"/>
      <c r="L276" s="11"/>
      <c r="M276" s="11"/>
      <c r="N276" s="11"/>
      <c r="O276" s="11"/>
    </row>
    <row r="277" spans="2:15" s="9" customFormat="1" x14ac:dyDescent="0.2">
      <c r="B277" s="10"/>
      <c r="C277" s="11"/>
      <c r="D277" s="63"/>
      <c r="E277" s="11"/>
      <c r="F277" s="65"/>
      <c r="G277" s="12"/>
      <c r="H277" s="41"/>
      <c r="I277" s="30"/>
      <c r="J277" s="30"/>
      <c r="K277" s="30"/>
      <c r="L277" s="11"/>
      <c r="M277" s="11"/>
      <c r="N277" s="11"/>
      <c r="O277" s="11"/>
    </row>
    <row r="278" spans="2:15" s="9" customFormat="1" x14ac:dyDescent="0.2">
      <c r="B278" s="10"/>
      <c r="C278" s="11"/>
      <c r="D278" s="63"/>
      <c r="E278" s="11"/>
      <c r="F278" s="65"/>
      <c r="G278" s="12"/>
      <c r="H278" s="41"/>
      <c r="I278" s="30"/>
      <c r="J278" s="30"/>
      <c r="K278" s="30"/>
      <c r="L278" s="11"/>
      <c r="M278" s="11"/>
      <c r="N278" s="11"/>
      <c r="O278" s="11"/>
    </row>
    <row r="279" spans="2:15" s="9" customFormat="1" x14ac:dyDescent="0.2">
      <c r="B279" s="10"/>
      <c r="C279" s="11"/>
      <c r="D279" s="63"/>
      <c r="E279" s="11"/>
      <c r="F279" s="65"/>
      <c r="G279" s="12"/>
      <c r="H279" s="41"/>
      <c r="I279" s="30"/>
      <c r="J279" s="30"/>
      <c r="K279" s="30"/>
      <c r="L279" s="11"/>
      <c r="M279" s="11"/>
      <c r="N279" s="11"/>
      <c r="O279" s="11"/>
    </row>
    <row r="280" spans="2:15" s="9" customFormat="1" x14ac:dyDescent="0.2">
      <c r="B280" s="10"/>
      <c r="C280" s="11"/>
      <c r="D280" s="63"/>
      <c r="E280" s="11"/>
      <c r="F280" s="65"/>
      <c r="G280" s="12"/>
      <c r="H280" s="41"/>
      <c r="I280" s="30"/>
      <c r="J280" s="30"/>
      <c r="K280" s="30"/>
      <c r="L280" s="11"/>
      <c r="M280" s="11"/>
      <c r="N280" s="11"/>
      <c r="O280" s="11"/>
    </row>
    <row r="281" spans="2:15" s="9" customFormat="1" x14ac:dyDescent="0.2">
      <c r="B281" s="10"/>
      <c r="C281" s="11"/>
      <c r="D281" s="63"/>
      <c r="E281" s="11"/>
      <c r="F281" s="65"/>
      <c r="G281" s="12"/>
      <c r="H281" s="41"/>
      <c r="I281" s="30"/>
      <c r="J281" s="30"/>
      <c r="K281" s="30"/>
      <c r="L281" s="11"/>
      <c r="M281" s="11"/>
      <c r="N281" s="11"/>
      <c r="O281" s="11"/>
    </row>
    <row r="282" spans="2:15" s="9" customFormat="1" x14ac:dyDescent="0.2">
      <c r="B282" s="10"/>
      <c r="C282" s="11"/>
      <c r="D282" s="63"/>
      <c r="E282" s="11"/>
      <c r="F282" s="65"/>
      <c r="G282" s="12"/>
      <c r="H282" s="41"/>
      <c r="I282" s="30"/>
      <c r="J282" s="30"/>
      <c r="K282" s="30"/>
      <c r="L282" s="11"/>
      <c r="M282" s="11"/>
      <c r="N282" s="11"/>
      <c r="O282" s="11"/>
    </row>
    <row r="283" spans="2:15" s="9" customFormat="1" x14ac:dyDescent="0.2">
      <c r="B283" s="10"/>
      <c r="C283" s="11"/>
      <c r="D283" s="63"/>
      <c r="E283" s="11"/>
      <c r="F283" s="65"/>
      <c r="G283" s="12"/>
      <c r="H283" s="41"/>
      <c r="I283" s="30"/>
      <c r="J283" s="30"/>
      <c r="K283" s="30"/>
      <c r="L283" s="11"/>
      <c r="M283" s="11"/>
      <c r="N283" s="11"/>
      <c r="O283" s="11"/>
    </row>
    <row r="284" spans="2:15" s="9" customFormat="1" x14ac:dyDescent="0.2">
      <c r="B284" s="10"/>
      <c r="C284" s="11"/>
      <c r="D284" s="63"/>
      <c r="E284" s="11"/>
      <c r="F284" s="65"/>
      <c r="G284" s="12"/>
      <c r="H284" s="41"/>
      <c r="I284" s="30"/>
      <c r="J284" s="30"/>
      <c r="K284" s="30"/>
      <c r="L284" s="11"/>
      <c r="M284" s="11"/>
      <c r="N284" s="11"/>
      <c r="O284" s="11"/>
    </row>
    <row r="285" spans="2:15" s="9" customFormat="1" x14ac:dyDescent="0.2">
      <c r="B285" s="10"/>
      <c r="C285" s="11"/>
      <c r="D285" s="63"/>
      <c r="E285" s="11"/>
      <c r="F285" s="65"/>
      <c r="G285" s="12"/>
      <c r="H285" s="41"/>
      <c r="I285" s="30"/>
      <c r="J285" s="30"/>
      <c r="K285" s="30"/>
      <c r="L285" s="11"/>
      <c r="M285" s="11"/>
      <c r="N285" s="11"/>
      <c r="O285" s="11"/>
    </row>
    <row r="286" spans="2:15" s="9" customFormat="1" x14ac:dyDescent="0.2">
      <c r="B286" s="10"/>
      <c r="C286" s="11"/>
      <c r="D286" s="63"/>
      <c r="E286" s="11"/>
      <c r="F286" s="65"/>
      <c r="G286" s="12"/>
      <c r="H286" s="41"/>
      <c r="I286" s="30"/>
      <c r="J286" s="30"/>
      <c r="K286" s="30"/>
      <c r="L286" s="11"/>
      <c r="M286" s="11"/>
      <c r="N286" s="11"/>
      <c r="O286" s="11"/>
    </row>
    <row r="287" spans="2:15" s="9" customFormat="1" x14ac:dyDescent="0.2">
      <c r="B287" s="10"/>
      <c r="C287" s="11"/>
      <c r="D287" s="63"/>
      <c r="E287" s="11"/>
      <c r="F287" s="65"/>
      <c r="G287" s="12"/>
      <c r="H287" s="41"/>
      <c r="I287" s="30"/>
      <c r="J287" s="30"/>
      <c r="K287" s="30"/>
      <c r="L287" s="11"/>
      <c r="M287" s="11"/>
      <c r="N287" s="11"/>
      <c r="O287" s="11"/>
    </row>
    <row r="288" spans="2:15" s="9" customFormat="1" x14ac:dyDescent="0.2">
      <c r="B288" s="10"/>
      <c r="C288" s="11"/>
      <c r="D288" s="63"/>
      <c r="E288" s="11"/>
      <c r="F288" s="65"/>
      <c r="G288" s="12"/>
      <c r="H288" s="41"/>
      <c r="I288" s="30"/>
      <c r="J288" s="30"/>
      <c r="K288" s="30"/>
      <c r="L288" s="11"/>
      <c r="M288" s="11"/>
      <c r="N288" s="11"/>
      <c r="O288" s="11"/>
    </row>
    <row r="289" spans="2:15" s="9" customFormat="1" x14ac:dyDescent="0.2">
      <c r="B289" s="10"/>
      <c r="C289" s="11"/>
      <c r="D289" s="63"/>
      <c r="E289" s="11"/>
      <c r="F289" s="65"/>
      <c r="G289" s="12"/>
      <c r="H289" s="41"/>
      <c r="I289" s="30"/>
      <c r="J289" s="30"/>
      <c r="K289" s="30"/>
      <c r="L289" s="11"/>
      <c r="M289" s="11"/>
      <c r="N289" s="11"/>
      <c r="O289" s="11"/>
    </row>
    <row r="290" spans="2:15" s="9" customFormat="1" x14ac:dyDescent="0.2">
      <c r="B290" s="10"/>
      <c r="C290" s="11"/>
      <c r="D290" s="63"/>
      <c r="E290" s="11"/>
      <c r="F290" s="65"/>
      <c r="G290" s="12"/>
      <c r="H290" s="41"/>
      <c r="I290" s="30"/>
      <c r="J290" s="30"/>
      <c r="K290" s="30"/>
      <c r="L290" s="11"/>
      <c r="M290" s="11"/>
      <c r="N290" s="11"/>
      <c r="O290" s="11"/>
    </row>
    <row r="291" spans="2:15" s="9" customFormat="1" x14ac:dyDescent="0.2">
      <c r="B291" s="10"/>
      <c r="C291" s="11"/>
      <c r="D291" s="63"/>
      <c r="E291" s="11"/>
      <c r="F291" s="65"/>
      <c r="G291" s="12"/>
      <c r="H291" s="41"/>
      <c r="I291" s="30"/>
      <c r="J291" s="30"/>
      <c r="K291" s="30"/>
      <c r="L291" s="11"/>
      <c r="M291" s="11"/>
      <c r="N291" s="11"/>
      <c r="O291" s="11"/>
    </row>
    <row r="292" spans="2:15" s="9" customFormat="1" x14ac:dyDescent="0.2">
      <c r="B292" s="10"/>
      <c r="C292" s="11"/>
      <c r="D292" s="63"/>
      <c r="E292" s="11"/>
      <c r="F292" s="65"/>
      <c r="G292" s="12"/>
      <c r="H292" s="41"/>
      <c r="I292" s="30"/>
      <c r="J292" s="30"/>
      <c r="K292" s="30"/>
      <c r="L292" s="11"/>
      <c r="M292" s="11"/>
      <c r="N292" s="11"/>
      <c r="O292" s="11"/>
    </row>
    <row r="293" spans="2:15" s="9" customFormat="1" x14ac:dyDescent="0.2">
      <c r="B293" s="10"/>
      <c r="C293" s="11"/>
      <c r="D293" s="63"/>
      <c r="E293" s="11"/>
      <c r="F293" s="65"/>
      <c r="G293" s="12"/>
      <c r="H293" s="41"/>
      <c r="I293" s="30"/>
      <c r="J293" s="30"/>
      <c r="K293" s="30"/>
      <c r="L293" s="11"/>
      <c r="M293" s="11"/>
      <c r="N293" s="11"/>
      <c r="O293" s="11"/>
    </row>
    <row r="294" spans="2:15" s="9" customFormat="1" x14ac:dyDescent="0.2">
      <c r="B294" s="10"/>
      <c r="C294" s="11"/>
      <c r="D294" s="63"/>
      <c r="E294" s="11"/>
      <c r="F294" s="65"/>
      <c r="G294" s="12"/>
      <c r="H294" s="41"/>
      <c r="I294" s="30"/>
      <c r="J294" s="30"/>
      <c r="K294" s="30"/>
      <c r="L294" s="11"/>
      <c r="M294" s="11"/>
      <c r="N294" s="11"/>
      <c r="O294" s="11"/>
    </row>
    <row r="295" spans="2:15" s="9" customFormat="1" x14ac:dyDescent="0.2">
      <c r="B295" s="10"/>
      <c r="C295" s="11"/>
      <c r="D295" s="63"/>
      <c r="E295" s="11"/>
      <c r="F295" s="65"/>
      <c r="G295" s="12"/>
      <c r="H295" s="41"/>
      <c r="I295" s="30"/>
      <c r="J295" s="30"/>
      <c r="K295" s="30"/>
      <c r="L295" s="11"/>
      <c r="M295" s="11"/>
      <c r="N295" s="11"/>
      <c r="O295" s="11"/>
    </row>
    <row r="296" spans="2:15" s="9" customFormat="1" x14ac:dyDescent="0.2">
      <c r="B296" s="10"/>
      <c r="C296" s="11"/>
      <c r="D296" s="63"/>
      <c r="E296" s="11"/>
      <c r="F296" s="65"/>
      <c r="G296" s="12"/>
      <c r="H296" s="41"/>
      <c r="I296" s="30"/>
      <c r="J296" s="30"/>
      <c r="K296" s="30"/>
      <c r="L296" s="11"/>
      <c r="M296" s="11"/>
      <c r="N296" s="11"/>
      <c r="O296" s="11"/>
    </row>
    <row r="297" spans="2:15" s="9" customFormat="1" x14ac:dyDescent="0.2">
      <c r="B297" s="10"/>
      <c r="C297" s="11"/>
      <c r="D297" s="63"/>
      <c r="E297" s="11"/>
      <c r="F297" s="65"/>
      <c r="G297" s="12"/>
      <c r="H297" s="41"/>
      <c r="I297" s="30"/>
      <c r="J297" s="30"/>
      <c r="K297" s="30"/>
      <c r="L297" s="11"/>
      <c r="M297" s="11"/>
      <c r="N297" s="11"/>
      <c r="O297" s="11"/>
    </row>
    <row r="298" spans="2:15" s="9" customFormat="1" x14ac:dyDescent="0.2">
      <c r="B298" s="10"/>
      <c r="C298" s="11"/>
      <c r="D298" s="63"/>
      <c r="E298" s="11"/>
      <c r="F298" s="65"/>
      <c r="G298" s="12"/>
      <c r="H298" s="41"/>
      <c r="I298" s="30"/>
      <c r="J298" s="30"/>
      <c r="K298" s="30"/>
      <c r="L298" s="11"/>
      <c r="M298" s="11"/>
      <c r="N298" s="11"/>
      <c r="O298" s="11"/>
    </row>
    <row r="299" spans="2:15" s="9" customFormat="1" x14ac:dyDescent="0.2">
      <c r="B299" s="10"/>
      <c r="C299" s="11"/>
      <c r="D299" s="63"/>
      <c r="E299" s="11"/>
      <c r="F299" s="65"/>
      <c r="G299" s="12"/>
      <c r="H299" s="41"/>
      <c r="I299" s="30"/>
      <c r="J299" s="30"/>
      <c r="K299" s="30"/>
      <c r="L299" s="11"/>
      <c r="M299" s="11"/>
      <c r="N299" s="11"/>
      <c r="O299" s="11"/>
    </row>
    <row r="300" spans="2:15" s="9" customFormat="1" x14ac:dyDescent="0.2">
      <c r="B300" s="10"/>
      <c r="C300" s="11"/>
      <c r="D300" s="63"/>
      <c r="E300" s="11"/>
      <c r="F300" s="65"/>
      <c r="G300" s="12"/>
      <c r="H300" s="41"/>
      <c r="I300" s="30"/>
      <c r="J300" s="30"/>
      <c r="K300" s="30"/>
      <c r="L300" s="11"/>
      <c r="M300" s="11"/>
      <c r="N300" s="11"/>
      <c r="O300" s="11"/>
    </row>
    <row r="301" spans="2:15" s="9" customFormat="1" x14ac:dyDescent="0.2">
      <c r="B301" s="10"/>
      <c r="C301" s="11"/>
      <c r="D301" s="63"/>
      <c r="E301" s="11"/>
      <c r="F301" s="65"/>
      <c r="G301" s="12"/>
      <c r="H301" s="41"/>
      <c r="I301" s="30"/>
      <c r="J301" s="30"/>
      <c r="K301" s="30"/>
      <c r="L301" s="11"/>
      <c r="M301" s="11"/>
      <c r="N301" s="11"/>
      <c r="O301" s="11"/>
    </row>
    <row r="302" spans="2:15" s="9" customFormat="1" x14ac:dyDescent="0.2">
      <c r="B302" s="10"/>
      <c r="C302" s="11"/>
      <c r="D302" s="63"/>
      <c r="E302" s="11"/>
      <c r="F302" s="65"/>
      <c r="G302" s="12"/>
      <c r="H302" s="41"/>
      <c r="I302" s="30"/>
      <c r="J302" s="30"/>
      <c r="K302" s="30"/>
      <c r="L302" s="11"/>
      <c r="M302" s="11"/>
      <c r="N302" s="11"/>
      <c r="O302" s="11"/>
    </row>
    <row r="303" spans="2:15" s="9" customFormat="1" x14ac:dyDescent="0.2">
      <c r="B303" s="10"/>
      <c r="C303" s="11"/>
      <c r="D303" s="63"/>
      <c r="E303" s="11"/>
      <c r="F303" s="65"/>
      <c r="G303" s="12"/>
      <c r="H303" s="41"/>
      <c r="I303" s="30"/>
      <c r="J303" s="30"/>
      <c r="K303" s="30"/>
      <c r="L303" s="11"/>
      <c r="M303" s="11"/>
      <c r="N303" s="11"/>
      <c r="O303" s="11"/>
    </row>
    <row r="304" spans="2:15" s="9" customFormat="1" x14ac:dyDescent="0.2">
      <c r="B304" s="10"/>
      <c r="C304" s="11"/>
      <c r="D304" s="63"/>
      <c r="E304" s="11"/>
      <c r="F304" s="65"/>
      <c r="G304" s="12"/>
      <c r="H304" s="41"/>
      <c r="I304" s="30"/>
      <c r="J304" s="30"/>
      <c r="K304" s="30"/>
      <c r="L304" s="11"/>
      <c r="M304" s="11"/>
      <c r="N304" s="11"/>
      <c r="O304" s="11"/>
    </row>
    <row r="305" spans="2:15" s="9" customFormat="1" x14ac:dyDescent="0.2">
      <c r="B305" s="10"/>
      <c r="C305" s="11"/>
      <c r="D305" s="63"/>
      <c r="E305" s="11"/>
      <c r="F305" s="65"/>
      <c r="G305" s="12"/>
      <c r="H305" s="41"/>
      <c r="I305" s="30"/>
      <c r="J305" s="30"/>
      <c r="K305" s="30"/>
      <c r="L305" s="11"/>
      <c r="M305" s="11"/>
      <c r="N305" s="11"/>
      <c r="O305" s="11"/>
    </row>
    <row r="306" spans="2:15" s="9" customFormat="1" x14ac:dyDescent="0.2">
      <c r="B306" s="10"/>
      <c r="C306" s="11"/>
      <c r="D306" s="63"/>
      <c r="E306" s="11"/>
      <c r="F306" s="65"/>
      <c r="G306" s="12"/>
      <c r="H306" s="41"/>
      <c r="I306" s="30"/>
      <c r="J306" s="30"/>
      <c r="K306" s="30"/>
      <c r="L306" s="11"/>
      <c r="M306" s="11"/>
      <c r="N306" s="11"/>
      <c r="O306" s="11"/>
    </row>
    <row r="307" spans="2:15" s="9" customFormat="1" x14ac:dyDescent="0.2">
      <c r="B307" s="10"/>
      <c r="C307" s="11"/>
      <c r="D307" s="63"/>
      <c r="E307" s="11"/>
      <c r="F307" s="65"/>
      <c r="G307" s="12"/>
      <c r="H307" s="41"/>
      <c r="I307" s="30"/>
      <c r="J307" s="30"/>
      <c r="K307" s="30"/>
      <c r="L307" s="11"/>
      <c r="M307" s="11"/>
      <c r="N307" s="11"/>
      <c r="O307" s="11"/>
    </row>
    <row r="308" spans="2:15" s="9" customFormat="1" x14ac:dyDescent="0.2">
      <c r="B308" s="10"/>
      <c r="C308" s="11"/>
      <c r="D308" s="63"/>
      <c r="E308" s="11"/>
      <c r="F308" s="65"/>
      <c r="G308" s="12"/>
      <c r="H308" s="41"/>
      <c r="I308" s="30"/>
      <c r="J308" s="30"/>
      <c r="K308" s="30"/>
      <c r="L308" s="11"/>
      <c r="M308" s="11"/>
      <c r="N308" s="11"/>
      <c r="O308" s="11"/>
    </row>
    <row r="309" spans="2:15" s="9" customFormat="1" x14ac:dyDescent="0.2">
      <c r="B309" s="10"/>
      <c r="C309" s="11"/>
      <c r="D309" s="63"/>
      <c r="E309" s="11"/>
      <c r="F309" s="65"/>
      <c r="G309" s="12"/>
      <c r="H309" s="41"/>
      <c r="I309" s="30"/>
      <c r="J309" s="30"/>
      <c r="K309" s="30"/>
      <c r="L309" s="11"/>
      <c r="M309" s="11"/>
      <c r="N309" s="11"/>
      <c r="O309" s="11"/>
    </row>
    <row r="310" spans="2:15" s="9" customFormat="1" x14ac:dyDescent="0.2">
      <c r="B310" s="10"/>
      <c r="C310" s="11"/>
      <c r="D310" s="63"/>
      <c r="E310" s="11"/>
      <c r="F310" s="65"/>
      <c r="G310" s="12"/>
      <c r="H310" s="41"/>
      <c r="I310" s="30"/>
      <c r="J310" s="30"/>
      <c r="K310" s="30"/>
      <c r="L310" s="11"/>
      <c r="M310" s="11"/>
      <c r="N310" s="11"/>
      <c r="O310" s="11"/>
    </row>
    <row r="311" spans="2:15" s="9" customFormat="1" x14ac:dyDescent="0.2">
      <c r="B311" s="10"/>
      <c r="C311" s="11"/>
      <c r="D311" s="63"/>
      <c r="E311" s="11"/>
      <c r="F311" s="65"/>
      <c r="G311" s="12"/>
      <c r="H311" s="41"/>
      <c r="I311" s="30"/>
      <c r="J311" s="30"/>
      <c r="K311" s="30"/>
      <c r="L311" s="11"/>
      <c r="M311" s="11"/>
      <c r="N311" s="11"/>
      <c r="O311" s="11"/>
    </row>
    <row r="312" spans="2:15" s="9" customFormat="1" x14ac:dyDescent="0.2">
      <c r="B312" s="10"/>
      <c r="C312" s="11"/>
      <c r="D312" s="63"/>
      <c r="E312" s="11"/>
      <c r="F312" s="65"/>
      <c r="G312" s="12"/>
      <c r="H312" s="41"/>
      <c r="I312" s="30"/>
      <c r="J312" s="30"/>
      <c r="K312" s="30"/>
      <c r="L312" s="11"/>
      <c r="M312" s="11"/>
      <c r="N312" s="11"/>
      <c r="O312" s="11"/>
    </row>
    <row r="313" spans="2:15" s="9" customFormat="1" x14ac:dyDescent="0.2">
      <c r="B313" s="10"/>
      <c r="C313" s="11"/>
      <c r="D313" s="63"/>
      <c r="E313" s="11"/>
      <c r="F313" s="65"/>
      <c r="G313" s="12"/>
      <c r="H313" s="41"/>
      <c r="I313" s="30"/>
      <c r="J313" s="30"/>
      <c r="K313" s="30"/>
      <c r="L313" s="11"/>
      <c r="M313" s="11"/>
      <c r="N313" s="11"/>
      <c r="O313" s="11"/>
    </row>
    <row r="314" spans="2:15" s="9" customFormat="1" x14ac:dyDescent="0.2">
      <c r="B314" s="10"/>
      <c r="C314" s="11"/>
      <c r="D314" s="63"/>
      <c r="E314" s="11"/>
      <c r="F314" s="65"/>
      <c r="G314" s="12"/>
      <c r="H314" s="41"/>
      <c r="I314" s="30"/>
      <c r="J314" s="30"/>
      <c r="K314" s="30"/>
      <c r="L314" s="11"/>
      <c r="M314" s="11"/>
      <c r="N314" s="11"/>
      <c r="O314" s="11"/>
    </row>
    <row r="315" spans="2:15" s="9" customFormat="1" x14ac:dyDescent="0.2">
      <c r="B315" s="10"/>
      <c r="C315" s="11"/>
      <c r="D315" s="63"/>
      <c r="E315" s="11"/>
      <c r="F315" s="65"/>
      <c r="G315" s="12"/>
      <c r="H315" s="41"/>
      <c r="I315" s="30"/>
      <c r="J315" s="30"/>
      <c r="K315" s="30"/>
      <c r="L315" s="11"/>
      <c r="M315" s="11"/>
      <c r="N315" s="11"/>
      <c r="O315" s="11"/>
    </row>
    <row r="316" spans="2:15" s="9" customFormat="1" x14ac:dyDescent="0.2">
      <c r="B316" s="10"/>
      <c r="C316" s="11"/>
      <c r="D316" s="63"/>
      <c r="E316" s="11"/>
      <c r="F316" s="65"/>
      <c r="G316" s="12"/>
      <c r="H316" s="41"/>
      <c r="I316" s="30"/>
      <c r="J316" s="30"/>
      <c r="K316" s="30"/>
      <c r="L316" s="11"/>
      <c r="M316" s="11"/>
      <c r="N316" s="11"/>
      <c r="O316" s="11"/>
    </row>
    <row r="317" spans="2:15" s="9" customFormat="1" x14ac:dyDescent="0.2">
      <c r="B317" s="10"/>
      <c r="C317" s="11"/>
      <c r="D317" s="63"/>
      <c r="E317" s="11"/>
      <c r="F317" s="65"/>
      <c r="G317" s="12"/>
      <c r="H317" s="41"/>
      <c r="I317" s="30"/>
      <c r="J317" s="30"/>
      <c r="K317" s="30"/>
      <c r="L317" s="11"/>
      <c r="M317" s="11"/>
      <c r="N317" s="11"/>
      <c r="O317" s="11"/>
    </row>
    <row r="318" spans="2:15" s="9" customFormat="1" x14ac:dyDescent="0.2">
      <c r="B318" s="10"/>
      <c r="C318" s="11"/>
      <c r="D318" s="63"/>
      <c r="E318" s="11"/>
      <c r="F318" s="65"/>
      <c r="G318" s="12"/>
      <c r="H318" s="41"/>
      <c r="I318" s="30"/>
      <c r="J318" s="30"/>
      <c r="K318" s="30"/>
      <c r="L318" s="11"/>
      <c r="M318" s="11"/>
      <c r="N318" s="11"/>
      <c r="O318" s="11"/>
    </row>
    <row r="319" spans="2:15" s="9" customFormat="1" x14ac:dyDescent="0.2">
      <c r="B319" s="10"/>
      <c r="C319" s="11"/>
      <c r="D319" s="63"/>
      <c r="E319" s="11"/>
      <c r="F319" s="65"/>
      <c r="G319" s="12"/>
      <c r="H319" s="41"/>
      <c r="I319" s="30"/>
      <c r="J319" s="30"/>
      <c r="K319" s="30"/>
      <c r="L319" s="11"/>
      <c r="M319" s="11"/>
      <c r="N319" s="11"/>
      <c r="O319" s="11"/>
    </row>
    <row r="320" spans="2:15" s="9" customFormat="1" x14ac:dyDescent="0.2">
      <c r="B320" s="10"/>
      <c r="C320" s="11"/>
      <c r="D320" s="63"/>
      <c r="E320" s="11"/>
      <c r="F320" s="65"/>
      <c r="G320" s="12"/>
      <c r="H320" s="41"/>
      <c r="I320" s="30"/>
      <c r="J320" s="30"/>
      <c r="K320" s="30"/>
      <c r="L320" s="11"/>
      <c r="M320" s="11"/>
      <c r="N320" s="11"/>
      <c r="O320" s="11"/>
    </row>
    <row r="321" spans="2:15" s="9" customFormat="1" x14ac:dyDescent="0.2">
      <c r="B321" s="10"/>
      <c r="C321" s="11"/>
      <c r="D321" s="63"/>
      <c r="E321" s="11"/>
      <c r="F321" s="65"/>
      <c r="G321" s="12"/>
      <c r="H321" s="41"/>
      <c r="I321" s="30"/>
      <c r="J321" s="30"/>
      <c r="K321" s="30"/>
      <c r="L321" s="11"/>
      <c r="M321" s="11"/>
      <c r="N321" s="11"/>
      <c r="O321" s="11"/>
    </row>
    <row r="322" spans="2:15" s="9" customFormat="1" x14ac:dyDescent="0.2">
      <c r="B322" s="10"/>
      <c r="C322" s="11"/>
      <c r="D322" s="63"/>
      <c r="E322" s="11"/>
      <c r="F322" s="65"/>
      <c r="G322" s="12"/>
      <c r="H322" s="41"/>
      <c r="I322" s="30"/>
      <c r="J322" s="30"/>
      <c r="K322" s="30"/>
      <c r="L322" s="11"/>
      <c r="M322" s="11"/>
      <c r="N322" s="11"/>
      <c r="O322" s="11"/>
    </row>
    <row r="323" spans="2:15" s="9" customFormat="1" x14ac:dyDescent="0.2">
      <c r="B323" s="10"/>
      <c r="C323" s="11"/>
      <c r="D323" s="63"/>
      <c r="E323" s="11"/>
      <c r="F323" s="65"/>
      <c r="G323" s="12"/>
      <c r="H323" s="41"/>
      <c r="I323" s="30"/>
      <c r="J323" s="30"/>
      <c r="K323" s="30"/>
      <c r="L323" s="11"/>
      <c r="M323" s="11"/>
      <c r="N323" s="11"/>
      <c r="O323" s="11"/>
    </row>
    <row r="324" spans="2:15" s="9" customFormat="1" x14ac:dyDescent="0.2">
      <c r="B324" s="10"/>
      <c r="C324" s="11"/>
      <c r="D324" s="63"/>
      <c r="E324" s="11"/>
      <c r="F324" s="65"/>
      <c r="G324" s="12"/>
      <c r="H324" s="41"/>
      <c r="I324" s="30"/>
      <c r="J324" s="30"/>
      <c r="K324" s="30"/>
      <c r="L324" s="11"/>
      <c r="M324" s="11"/>
      <c r="N324" s="11"/>
      <c r="O324" s="11"/>
    </row>
    <row r="325" spans="2:15" s="9" customFormat="1" x14ac:dyDescent="0.2">
      <c r="B325" s="10"/>
      <c r="C325" s="11"/>
      <c r="D325" s="63"/>
      <c r="E325" s="11"/>
      <c r="F325" s="65"/>
      <c r="G325" s="12"/>
      <c r="H325" s="41"/>
      <c r="I325" s="30"/>
      <c r="J325" s="30"/>
      <c r="K325" s="30"/>
      <c r="L325" s="11"/>
      <c r="M325" s="11"/>
      <c r="N325" s="11"/>
      <c r="O325" s="11"/>
    </row>
    <row r="326" spans="2:15" s="9" customFormat="1" x14ac:dyDescent="0.2">
      <c r="B326" s="10"/>
      <c r="C326" s="11"/>
      <c r="D326" s="63"/>
      <c r="E326" s="11"/>
      <c r="F326" s="65"/>
      <c r="G326" s="12"/>
      <c r="H326" s="41"/>
      <c r="I326" s="30"/>
      <c r="J326" s="30"/>
      <c r="K326" s="30"/>
      <c r="L326" s="11"/>
      <c r="M326" s="11"/>
      <c r="N326" s="11"/>
      <c r="O326" s="11"/>
    </row>
    <row r="327" spans="2:15" s="9" customFormat="1" x14ac:dyDescent="0.2">
      <c r="B327" s="10"/>
      <c r="C327" s="11"/>
      <c r="D327" s="63"/>
      <c r="E327" s="11"/>
      <c r="F327" s="65"/>
      <c r="G327" s="12"/>
      <c r="H327" s="41"/>
      <c r="I327" s="30"/>
      <c r="J327" s="30"/>
      <c r="K327" s="30"/>
      <c r="L327" s="11"/>
      <c r="M327" s="11"/>
      <c r="N327" s="11"/>
      <c r="O327" s="11"/>
    </row>
    <row r="328" spans="2:15" s="9" customFormat="1" x14ac:dyDescent="0.2">
      <c r="B328" s="10"/>
      <c r="C328" s="11"/>
      <c r="D328" s="63"/>
      <c r="E328" s="11"/>
      <c r="F328" s="65"/>
      <c r="G328" s="12"/>
      <c r="H328" s="41"/>
      <c r="I328" s="30"/>
      <c r="J328" s="30"/>
      <c r="K328" s="30"/>
      <c r="L328" s="11"/>
      <c r="M328" s="11"/>
      <c r="N328" s="11"/>
      <c r="O328" s="11"/>
    </row>
    <row r="329" spans="2:15" s="9" customFormat="1" x14ac:dyDescent="0.2">
      <c r="B329" s="10"/>
      <c r="C329" s="11"/>
      <c r="D329" s="63"/>
      <c r="E329" s="11"/>
      <c r="F329" s="65"/>
      <c r="G329" s="12"/>
      <c r="H329" s="41"/>
      <c r="I329" s="30"/>
      <c r="J329" s="30"/>
      <c r="K329" s="30"/>
      <c r="L329" s="11"/>
      <c r="M329" s="11"/>
      <c r="N329" s="11"/>
      <c r="O329" s="11"/>
    </row>
    <row r="330" spans="2:15" s="9" customFormat="1" x14ac:dyDescent="0.2">
      <c r="B330" s="10"/>
      <c r="C330" s="11"/>
      <c r="D330" s="63"/>
      <c r="E330" s="11"/>
      <c r="F330" s="65"/>
      <c r="G330" s="12"/>
      <c r="H330" s="41"/>
      <c r="I330" s="30"/>
      <c r="J330" s="30"/>
      <c r="K330" s="30"/>
      <c r="L330" s="11"/>
      <c r="M330" s="11"/>
      <c r="N330" s="11"/>
      <c r="O330" s="11"/>
    </row>
    <row r="331" spans="2:15" s="9" customFormat="1" x14ac:dyDescent="0.2">
      <c r="B331" s="10"/>
      <c r="C331" s="11"/>
      <c r="D331" s="63"/>
      <c r="E331" s="11"/>
      <c r="F331" s="65"/>
      <c r="G331" s="12"/>
      <c r="H331" s="41"/>
      <c r="I331" s="30"/>
      <c r="J331" s="30"/>
      <c r="K331" s="30"/>
      <c r="L331" s="11"/>
      <c r="M331" s="11"/>
      <c r="N331" s="11"/>
      <c r="O331" s="11"/>
    </row>
    <row r="332" spans="2:15" s="9" customFormat="1" x14ac:dyDescent="0.2">
      <c r="B332" s="10"/>
      <c r="C332" s="11"/>
      <c r="D332" s="63"/>
      <c r="E332" s="11"/>
      <c r="F332" s="65"/>
      <c r="G332" s="12"/>
      <c r="H332" s="41"/>
      <c r="I332" s="30"/>
      <c r="J332" s="30"/>
      <c r="K332" s="30"/>
      <c r="L332" s="11"/>
      <c r="M332" s="11"/>
      <c r="N332" s="11"/>
      <c r="O332" s="11"/>
    </row>
    <row r="333" spans="2:15" s="9" customFormat="1" x14ac:dyDescent="0.2">
      <c r="B333" s="10"/>
      <c r="C333" s="11"/>
      <c r="D333" s="63"/>
      <c r="E333" s="11"/>
      <c r="F333" s="65"/>
      <c r="G333" s="12"/>
      <c r="H333" s="41"/>
      <c r="I333" s="30"/>
      <c r="J333" s="30"/>
      <c r="K333" s="30"/>
      <c r="L333" s="11"/>
      <c r="M333" s="11"/>
      <c r="N333" s="11"/>
      <c r="O333" s="11"/>
    </row>
    <row r="334" spans="2:15" s="9" customFormat="1" x14ac:dyDescent="0.2">
      <c r="B334" s="10"/>
      <c r="C334" s="11"/>
      <c r="D334" s="63"/>
      <c r="E334" s="11"/>
      <c r="F334" s="65"/>
      <c r="G334" s="12"/>
      <c r="H334" s="41"/>
      <c r="I334" s="30"/>
      <c r="J334" s="30"/>
      <c r="K334" s="30"/>
      <c r="L334" s="11"/>
      <c r="M334" s="11"/>
      <c r="N334" s="11"/>
      <c r="O334" s="11"/>
    </row>
    <row r="335" spans="2:15" s="9" customFormat="1" x14ac:dyDescent="0.2">
      <c r="B335" s="10"/>
      <c r="C335" s="11"/>
      <c r="D335" s="63"/>
      <c r="E335" s="11"/>
      <c r="F335" s="65"/>
      <c r="G335" s="12"/>
      <c r="H335" s="41"/>
      <c r="I335" s="30"/>
      <c r="J335" s="30"/>
      <c r="K335" s="30"/>
      <c r="L335" s="11"/>
      <c r="M335" s="11"/>
      <c r="N335" s="11"/>
      <c r="O335" s="11"/>
    </row>
    <row r="336" spans="2:15" s="9" customFormat="1" x14ac:dyDescent="0.2">
      <c r="B336" s="10"/>
      <c r="C336" s="11"/>
      <c r="D336" s="63"/>
      <c r="E336" s="11"/>
      <c r="F336" s="65"/>
      <c r="G336" s="12"/>
      <c r="H336" s="41"/>
      <c r="I336" s="30"/>
      <c r="J336" s="30"/>
      <c r="K336" s="30"/>
      <c r="L336" s="11"/>
      <c r="M336" s="11"/>
      <c r="N336" s="11"/>
      <c r="O336" s="11"/>
    </row>
    <row r="337" spans="2:15" s="9" customFormat="1" x14ac:dyDescent="0.2">
      <c r="B337" s="10"/>
      <c r="C337" s="11"/>
      <c r="D337" s="63"/>
      <c r="E337" s="11"/>
      <c r="F337" s="65"/>
      <c r="G337" s="12"/>
      <c r="H337" s="41"/>
      <c r="I337" s="30"/>
      <c r="J337" s="30"/>
      <c r="K337" s="30"/>
      <c r="L337" s="11"/>
      <c r="M337" s="11"/>
      <c r="N337" s="11"/>
      <c r="O337" s="11"/>
    </row>
    <row r="338" spans="2:15" s="9" customFormat="1" x14ac:dyDescent="0.2">
      <c r="B338" s="10"/>
      <c r="C338" s="11"/>
      <c r="D338" s="63"/>
      <c r="E338" s="11"/>
      <c r="F338" s="65"/>
      <c r="G338" s="12"/>
      <c r="H338" s="41"/>
      <c r="I338" s="30"/>
      <c r="J338" s="30"/>
      <c r="K338" s="30"/>
      <c r="L338" s="11"/>
      <c r="M338" s="11"/>
      <c r="N338" s="11"/>
      <c r="O338" s="11"/>
    </row>
    <row r="339" spans="2:15" s="9" customFormat="1" x14ac:dyDescent="0.2">
      <c r="B339" s="10"/>
      <c r="C339" s="11"/>
      <c r="D339" s="63"/>
      <c r="E339" s="11"/>
      <c r="F339" s="65"/>
      <c r="G339" s="12"/>
      <c r="H339" s="41"/>
      <c r="I339" s="30"/>
      <c r="J339" s="30"/>
      <c r="K339" s="30"/>
      <c r="L339" s="11"/>
      <c r="M339" s="11"/>
      <c r="N339" s="11"/>
      <c r="O339" s="11"/>
    </row>
    <row r="340" spans="2:15" s="9" customFormat="1" x14ac:dyDescent="0.2">
      <c r="B340" s="10"/>
      <c r="C340" s="11"/>
      <c r="D340" s="63"/>
      <c r="E340" s="11"/>
      <c r="F340" s="65"/>
      <c r="G340" s="12"/>
      <c r="H340" s="41"/>
      <c r="I340" s="30"/>
      <c r="J340" s="30"/>
      <c r="K340" s="30"/>
      <c r="L340" s="11"/>
      <c r="M340" s="11"/>
      <c r="N340" s="11"/>
      <c r="O340" s="11"/>
    </row>
    <row r="341" spans="2:15" s="9" customFormat="1" x14ac:dyDescent="0.2">
      <c r="B341" s="10"/>
      <c r="C341" s="11"/>
      <c r="D341" s="63"/>
      <c r="E341" s="11"/>
      <c r="F341" s="65"/>
      <c r="G341" s="12"/>
      <c r="H341" s="41"/>
      <c r="I341" s="30"/>
      <c r="J341" s="30"/>
      <c r="K341" s="30"/>
      <c r="L341" s="11"/>
      <c r="M341" s="11"/>
      <c r="N341" s="11"/>
      <c r="O341" s="11"/>
    </row>
    <row r="342" spans="2:15" s="9" customFormat="1" x14ac:dyDescent="0.2">
      <c r="B342" s="10"/>
      <c r="C342" s="11"/>
      <c r="D342" s="63"/>
      <c r="E342" s="11"/>
      <c r="F342" s="65"/>
      <c r="G342" s="12"/>
      <c r="H342" s="41"/>
      <c r="I342" s="30"/>
      <c r="J342" s="30"/>
      <c r="K342" s="30"/>
      <c r="L342" s="11"/>
      <c r="M342" s="11"/>
      <c r="N342" s="11"/>
      <c r="O342" s="11"/>
    </row>
    <row r="343" spans="2:15" s="9" customFormat="1" x14ac:dyDescent="0.2">
      <c r="B343" s="10"/>
      <c r="C343" s="11"/>
      <c r="D343" s="63"/>
      <c r="E343" s="11"/>
      <c r="F343" s="65"/>
      <c r="G343" s="12"/>
      <c r="H343" s="41"/>
      <c r="I343" s="30"/>
      <c r="J343" s="30"/>
      <c r="K343" s="30"/>
      <c r="L343" s="11"/>
      <c r="M343" s="11"/>
      <c r="N343" s="11"/>
      <c r="O343" s="11"/>
    </row>
    <row r="344" spans="2:15" s="9" customFormat="1" x14ac:dyDescent="0.2">
      <c r="B344" s="10"/>
      <c r="C344" s="11"/>
      <c r="D344" s="63"/>
      <c r="E344" s="11"/>
      <c r="F344" s="65"/>
      <c r="G344" s="12"/>
      <c r="H344" s="41"/>
      <c r="I344" s="30"/>
      <c r="J344" s="30"/>
      <c r="K344" s="30"/>
      <c r="L344" s="11"/>
      <c r="M344" s="11"/>
      <c r="N344" s="11"/>
      <c r="O344" s="11"/>
    </row>
    <row r="345" spans="2:15" s="9" customFormat="1" x14ac:dyDescent="0.2">
      <c r="B345" s="10"/>
      <c r="C345" s="11"/>
      <c r="D345" s="63"/>
      <c r="E345" s="11"/>
      <c r="F345" s="65"/>
      <c r="G345" s="12"/>
      <c r="H345" s="41"/>
      <c r="I345" s="30"/>
      <c r="J345" s="30"/>
      <c r="K345" s="30"/>
      <c r="L345" s="11"/>
      <c r="M345" s="11"/>
      <c r="N345" s="11"/>
      <c r="O345" s="11"/>
    </row>
    <row r="346" spans="2:15" s="9" customFormat="1" x14ac:dyDescent="0.2">
      <c r="B346" s="10"/>
      <c r="C346" s="11"/>
      <c r="D346" s="63"/>
      <c r="E346" s="11"/>
      <c r="F346" s="65"/>
      <c r="G346" s="12"/>
      <c r="H346" s="41"/>
      <c r="I346" s="30"/>
      <c r="J346" s="30"/>
      <c r="K346" s="30"/>
      <c r="L346" s="11"/>
      <c r="M346" s="11"/>
      <c r="N346" s="11"/>
      <c r="O346" s="11"/>
    </row>
    <row r="347" spans="2:15" s="9" customFormat="1" x14ac:dyDescent="0.2">
      <c r="B347" s="10"/>
      <c r="C347" s="11"/>
      <c r="D347" s="63"/>
      <c r="E347" s="11"/>
      <c r="F347" s="65"/>
      <c r="G347" s="12"/>
      <c r="H347" s="41"/>
      <c r="I347" s="30"/>
      <c r="J347" s="30"/>
      <c r="K347" s="30"/>
      <c r="L347" s="11"/>
      <c r="M347" s="11"/>
      <c r="N347" s="11"/>
      <c r="O347" s="11"/>
    </row>
    <row r="348" spans="2:15" s="9" customFormat="1" x14ac:dyDescent="0.2">
      <c r="B348" s="10"/>
      <c r="C348" s="11"/>
      <c r="D348" s="63"/>
      <c r="E348" s="11"/>
      <c r="F348" s="65"/>
      <c r="G348" s="12"/>
      <c r="H348" s="41"/>
      <c r="I348" s="30"/>
      <c r="J348" s="30"/>
      <c r="K348" s="30"/>
      <c r="L348" s="11"/>
      <c r="M348" s="11"/>
      <c r="N348" s="11"/>
      <c r="O348" s="11"/>
    </row>
    <row r="349" spans="2:15" s="9" customFormat="1" x14ac:dyDescent="0.2">
      <c r="B349" s="10"/>
      <c r="C349" s="11"/>
      <c r="D349" s="63"/>
      <c r="E349" s="11"/>
      <c r="F349" s="65"/>
      <c r="G349" s="12"/>
      <c r="H349" s="41"/>
      <c r="I349" s="30"/>
      <c r="J349" s="30"/>
      <c r="K349" s="30"/>
      <c r="L349" s="11"/>
      <c r="M349" s="11"/>
      <c r="N349" s="11"/>
      <c r="O349" s="11"/>
    </row>
    <row r="350" spans="2:15" s="9" customFormat="1" x14ac:dyDescent="0.2">
      <c r="B350" s="10"/>
      <c r="C350" s="11"/>
      <c r="D350" s="63"/>
      <c r="E350" s="11"/>
      <c r="F350" s="65"/>
      <c r="G350" s="12"/>
      <c r="H350" s="41"/>
      <c r="I350" s="30"/>
      <c r="J350" s="30"/>
      <c r="K350" s="30"/>
      <c r="L350" s="11"/>
      <c r="M350" s="11"/>
      <c r="N350" s="11"/>
      <c r="O350" s="11"/>
    </row>
    <row r="351" spans="2:15" s="9" customFormat="1" x14ac:dyDescent="0.2">
      <c r="B351" s="10"/>
      <c r="C351" s="11"/>
      <c r="D351" s="63"/>
      <c r="E351" s="11"/>
      <c r="F351" s="65"/>
      <c r="G351" s="12"/>
      <c r="H351" s="41"/>
      <c r="I351" s="30"/>
      <c r="J351" s="30"/>
      <c r="K351" s="30"/>
      <c r="L351" s="11"/>
      <c r="M351" s="11"/>
      <c r="N351" s="11"/>
      <c r="O351" s="11"/>
    </row>
    <row r="352" spans="2:15" s="9" customFormat="1" x14ac:dyDescent="0.2">
      <c r="B352" s="10"/>
      <c r="C352" s="11"/>
      <c r="D352" s="63"/>
      <c r="E352" s="11"/>
      <c r="F352" s="65"/>
      <c r="G352" s="12"/>
      <c r="H352" s="41"/>
      <c r="I352" s="30"/>
      <c r="J352" s="30"/>
      <c r="K352" s="30"/>
      <c r="L352" s="11"/>
      <c r="M352" s="11"/>
      <c r="N352" s="11"/>
      <c r="O352" s="11"/>
    </row>
    <row r="353" spans="2:15" s="9" customFormat="1" x14ac:dyDescent="0.2">
      <c r="B353" s="10"/>
      <c r="C353" s="11"/>
      <c r="D353" s="63"/>
      <c r="E353" s="11"/>
      <c r="F353" s="65"/>
      <c r="G353" s="12"/>
      <c r="H353" s="41"/>
      <c r="I353" s="30"/>
      <c r="J353" s="30"/>
      <c r="K353" s="30"/>
      <c r="L353" s="11"/>
      <c r="M353" s="11"/>
      <c r="N353" s="11"/>
      <c r="O353" s="11"/>
    </row>
    <row r="354" spans="2:15" s="9" customFormat="1" x14ac:dyDescent="0.2">
      <c r="B354" s="10"/>
      <c r="C354" s="11"/>
      <c r="D354" s="63"/>
      <c r="E354" s="11"/>
      <c r="F354" s="65"/>
      <c r="G354" s="12"/>
      <c r="H354" s="41"/>
      <c r="I354" s="30"/>
      <c r="J354" s="30"/>
      <c r="K354" s="30"/>
      <c r="L354" s="11"/>
      <c r="M354" s="11"/>
      <c r="N354" s="11"/>
      <c r="O354" s="11"/>
    </row>
    <row r="355" spans="2:15" s="9" customFormat="1" x14ac:dyDescent="0.2">
      <c r="B355" s="10"/>
      <c r="C355" s="11"/>
      <c r="D355" s="63"/>
      <c r="E355" s="11"/>
      <c r="F355" s="65"/>
      <c r="G355" s="12"/>
      <c r="H355" s="41"/>
      <c r="I355" s="30"/>
      <c r="J355" s="30"/>
      <c r="K355" s="30"/>
      <c r="L355" s="11"/>
      <c r="M355" s="11"/>
      <c r="N355" s="11"/>
      <c r="O355" s="11"/>
    </row>
    <row r="356" spans="2:15" s="9" customFormat="1" x14ac:dyDescent="0.2">
      <c r="B356" s="10"/>
      <c r="C356" s="11"/>
      <c r="D356" s="63"/>
      <c r="E356" s="11"/>
      <c r="F356" s="65"/>
      <c r="G356" s="12"/>
      <c r="H356" s="41"/>
      <c r="I356" s="30"/>
      <c r="J356" s="30"/>
      <c r="K356" s="30"/>
      <c r="L356" s="11"/>
      <c r="M356" s="11"/>
      <c r="N356" s="11"/>
      <c r="O356" s="11"/>
    </row>
    <row r="357" spans="2:15" s="9" customFormat="1" x14ac:dyDescent="0.2">
      <c r="B357" s="10"/>
      <c r="C357" s="11"/>
      <c r="D357" s="63"/>
      <c r="E357" s="11"/>
      <c r="F357" s="65"/>
      <c r="G357" s="12"/>
      <c r="H357" s="41"/>
      <c r="I357" s="30"/>
      <c r="J357" s="30"/>
      <c r="K357" s="30"/>
      <c r="L357" s="11"/>
      <c r="M357" s="11"/>
      <c r="N357" s="11"/>
      <c r="O357" s="11"/>
    </row>
    <row r="358" spans="2:15" s="9" customFormat="1" x14ac:dyDescent="0.2">
      <c r="B358" s="10"/>
      <c r="C358" s="11"/>
      <c r="D358" s="63"/>
      <c r="E358" s="11"/>
      <c r="F358" s="65"/>
      <c r="G358" s="12"/>
      <c r="H358" s="41"/>
      <c r="I358" s="30"/>
      <c r="J358" s="30"/>
      <c r="K358" s="30"/>
      <c r="L358" s="11"/>
      <c r="M358" s="11"/>
      <c r="N358" s="11"/>
      <c r="O358" s="11"/>
    </row>
    <row r="359" spans="2:15" s="9" customFormat="1" x14ac:dyDescent="0.2">
      <c r="B359" s="10"/>
      <c r="C359" s="11"/>
      <c r="D359" s="63"/>
      <c r="E359" s="11"/>
      <c r="F359" s="65"/>
      <c r="G359" s="12"/>
      <c r="H359" s="41"/>
      <c r="I359" s="30"/>
      <c r="J359" s="30"/>
      <c r="K359" s="30"/>
      <c r="L359" s="11"/>
      <c r="M359" s="11"/>
      <c r="N359" s="11"/>
      <c r="O359" s="11"/>
    </row>
    <row r="360" spans="2:15" s="9" customFormat="1" x14ac:dyDescent="0.2">
      <c r="B360" s="10"/>
      <c r="C360" s="11"/>
      <c r="D360" s="63"/>
      <c r="E360" s="11"/>
      <c r="F360" s="65"/>
      <c r="G360" s="12"/>
      <c r="H360" s="41"/>
      <c r="I360" s="30"/>
      <c r="J360" s="30"/>
      <c r="K360" s="30"/>
      <c r="L360" s="11"/>
      <c r="M360" s="11"/>
      <c r="N360" s="11"/>
      <c r="O360" s="11"/>
    </row>
    <row r="361" spans="2:15" s="9" customFormat="1" x14ac:dyDescent="0.2">
      <c r="B361" s="10"/>
      <c r="C361" s="11"/>
      <c r="D361" s="63"/>
      <c r="E361" s="11"/>
      <c r="F361" s="65"/>
      <c r="G361" s="12"/>
      <c r="H361" s="41"/>
      <c r="I361" s="30"/>
      <c r="J361" s="30"/>
      <c r="K361" s="30"/>
      <c r="L361" s="11"/>
      <c r="M361" s="11"/>
      <c r="N361" s="11"/>
      <c r="O361" s="11"/>
    </row>
    <row r="362" spans="2:15" s="9" customFormat="1" x14ac:dyDescent="0.2">
      <c r="B362" s="10"/>
      <c r="C362" s="11"/>
      <c r="D362" s="63"/>
      <c r="E362" s="11"/>
      <c r="F362" s="65"/>
      <c r="G362" s="12"/>
      <c r="H362" s="41"/>
      <c r="I362" s="30"/>
      <c r="J362" s="30"/>
      <c r="K362" s="30"/>
      <c r="L362" s="11"/>
      <c r="M362" s="11"/>
      <c r="N362" s="11"/>
      <c r="O362" s="11"/>
    </row>
    <row r="363" spans="2:15" s="9" customFormat="1" x14ac:dyDescent="0.2">
      <c r="B363" s="10"/>
      <c r="C363" s="11"/>
      <c r="D363" s="63"/>
      <c r="E363" s="11"/>
      <c r="F363" s="65"/>
      <c r="G363" s="12"/>
      <c r="H363" s="41"/>
      <c r="I363" s="30"/>
      <c r="J363" s="30"/>
      <c r="K363" s="30"/>
      <c r="L363" s="11"/>
      <c r="M363" s="11"/>
      <c r="N363" s="11"/>
      <c r="O363" s="11"/>
    </row>
    <row r="364" spans="2:15" s="9" customFormat="1" x14ac:dyDescent="0.2">
      <c r="B364" s="10"/>
      <c r="C364" s="11"/>
      <c r="D364" s="63"/>
      <c r="E364" s="11"/>
      <c r="F364" s="65"/>
      <c r="G364" s="12"/>
      <c r="H364" s="41"/>
      <c r="I364" s="30"/>
      <c r="J364" s="30"/>
      <c r="K364" s="30"/>
      <c r="L364" s="11"/>
      <c r="M364" s="11"/>
      <c r="N364" s="11"/>
      <c r="O364" s="11"/>
    </row>
    <row r="365" spans="2:15" s="9" customFormat="1" x14ac:dyDescent="0.2">
      <c r="B365" s="10"/>
      <c r="C365" s="11"/>
      <c r="D365" s="63"/>
      <c r="E365" s="11"/>
      <c r="F365" s="65"/>
      <c r="G365" s="12"/>
      <c r="H365" s="41"/>
      <c r="I365" s="30"/>
      <c r="J365" s="30"/>
      <c r="K365" s="30"/>
      <c r="L365" s="11"/>
      <c r="M365" s="11"/>
      <c r="N365" s="11"/>
      <c r="O365" s="11"/>
    </row>
    <row r="366" spans="2:15" s="9" customFormat="1" x14ac:dyDescent="0.2">
      <c r="B366" s="10"/>
      <c r="C366" s="11"/>
      <c r="D366" s="63"/>
      <c r="E366" s="11"/>
      <c r="F366" s="65"/>
      <c r="G366" s="12"/>
      <c r="H366" s="41"/>
      <c r="I366" s="30"/>
      <c r="J366" s="30"/>
      <c r="K366" s="30"/>
      <c r="L366" s="11"/>
      <c r="M366" s="11"/>
      <c r="N366" s="11"/>
      <c r="O366" s="11"/>
    </row>
    <row r="367" spans="2:15" s="9" customFormat="1" x14ac:dyDescent="0.2">
      <c r="B367" s="10"/>
      <c r="C367" s="11"/>
      <c r="D367" s="63"/>
      <c r="E367" s="11"/>
      <c r="F367" s="65"/>
      <c r="G367" s="12"/>
      <c r="H367" s="41"/>
      <c r="I367" s="30"/>
      <c r="J367" s="30"/>
      <c r="K367" s="30"/>
      <c r="L367" s="11"/>
      <c r="M367" s="11"/>
      <c r="N367" s="11"/>
      <c r="O367" s="11"/>
    </row>
    <row r="368" spans="2:15" s="9" customFormat="1" x14ac:dyDescent="0.2">
      <c r="B368" s="10"/>
      <c r="C368" s="11"/>
      <c r="D368" s="63"/>
      <c r="E368" s="11"/>
      <c r="F368" s="65"/>
      <c r="G368" s="12"/>
      <c r="H368" s="41"/>
      <c r="I368" s="30"/>
      <c r="J368" s="30"/>
      <c r="K368" s="30"/>
      <c r="L368" s="11"/>
      <c r="M368" s="11"/>
      <c r="N368" s="11"/>
      <c r="O368" s="11"/>
    </row>
    <row r="369" spans="2:15" s="9" customFormat="1" x14ac:dyDescent="0.2">
      <c r="B369" s="10"/>
      <c r="C369" s="11"/>
      <c r="D369" s="63"/>
      <c r="E369" s="11"/>
      <c r="F369" s="65"/>
      <c r="G369" s="12"/>
      <c r="H369" s="41"/>
      <c r="I369" s="30"/>
      <c r="J369" s="30"/>
      <c r="K369" s="30"/>
      <c r="L369" s="11"/>
      <c r="M369" s="11"/>
      <c r="N369" s="11"/>
      <c r="O369" s="11"/>
    </row>
    <row r="370" spans="2:15" s="9" customFormat="1" x14ac:dyDescent="0.2">
      <c r="B370" s="10"/>
      <c r="C370" s="11"/>
      <c r="D370" s="63"/>
      <c r="E370" s="11"/>
      <c r="F370" s="65"/>
      <c r="G370" s="12"/>
      <c r="H370" s="41"/>
      <c r="I370" s="30"/>
      <c r="J370" s="30"/>
      <c r="K370" s="30"/>
      <c r="L370" s="11"/>
      <c r="M370" s="11"/>
      <c r="N370" s="11"/>
      <c r="O370" s="11"/>
    </row>
    <row r="371" spans="2:15" s="9" customFormat="1" x14ac:dyDescent="0.2">
      <c r="B371" s="10"/>
      <c r="C371" s="11"/>
      <c r="D371" s="63"/>
      <c r="E371" s="11"/>
      <c r="F371" s="65"/>
      <c r="G371" s="12"/>
      <c r="H371" s="41"/>
      <c r="I371" s="30"/>
      <c r="J371" s="30"/>
      <c r="K371" s="30"/>
      <c r="L371" s="11"/>
      <c r="M371" s="11"/>
      <c r="N371" s="11"/>
      <c r="O371" s="11"/>
    </row>
    <row r="372" spans="2:15" s="9" customFormat="1" x14ac:dyDescent="0.2">
      <c r="B372" s="10"/>
      <c r="C372" s="11"/>
      <c r="D372" s="63"/>
      <c r="E372" s="11"/>
      <c r="F372" s="65"/>
      <c r="G372" s="12"/>
      <c r="H372" s="41"/>
      <c r="I372" s="30"/>
      <c r="J372" s="30"/>
      <c r="K372" s="30"/>
      <c r="L372" s="11"/>
      <c r="M372" s="11"/>
      <c r="N372" s="11"/>
      <c r="O372" s="11"/>
    </row>
    <row r="373" spans="2:15" s="9" customFormat="1" x14ac:dyDescent="0.2">
      <c r="B373" s="10"/>
      <c r="C373" s="11"/>
      <c r="D373" s="63"/>
      <c r="E373" s="11"/>
      <c r="F373" s="65"/>
      <c r="G373" s="12"/>
      <c r="H373" s="41"/>
      <c r="I373" s="30"/>
      <c r="J373" s="30"/>
      <c r="K373" s="30"/>
      <c r="L373" s="11"/>
      <c r="M373" s="11"/>
      <c r="N373" s="11"/>
      <c r="O373" s="11"/>
    </row>
    <row r="374" spans="2:15" s="9" customFormat="1" x14ac:dyDescent="0.2">
      <c r="B374" s="10"/>
      <c r="C374" s="11"/>
      <c r="D374" s="63"/>
      <c r="E374" s="11"/>
      <c r="F374" s="65"/>
      <c r="G374" s="12"/>
      <c r="H374" s="41"/>
      <c r="I374" s="30"/>
      <c r="J374" s="30"/>
      <c r="K374" s="30"/>
      <c r="L374" s="11"/>
      <c r="M374" s="11"/>
      <c r="N374" s="11"/>
      <c r="O374" s="11"/>
    </row>
    <row r="375" spans="2:15" s="9" customFormat="1" x14ac:dyDescent="0.2">
      <c r="B375" s="10"/>
      <c r="C375" s="11"/>
      <c r="D375" s="63"/>
      <c r="E375" s="11"/>
      <c r="F375" s="65"/>
      <c r="G375" s="12"/>
      <c r="H375" s="41"/>
      <c r="I375" s="30"/>
      <c r="J375" s="30"/>
      <c r="K375" s="30"/>
      <c r="L375" s="11"/>
      <c r="M375" s="11"/>
      <c r="N375" s="11"/>
      <c r="O375" s="11"/>
    </row>
    <row r="376" spans="2:15" s="9" customFormat="1" x14ac:dyDescent="0.2">
      <c r="B376" s="10"/>
      <c r="C376" s="11"/>
      <c r="D376" s="63"/>
      <c r="E376" s="11"/>
      <c r="F376" s="65"/>
      <c r="G376" s="12"/>
      <c r="H376" s="41"/>
      <c r="I376" s="30"/>
      <c r="J376" s="30"/>
      <c r="K376" s="30"/>
      <c r="L376" s="11"/>
      <c r="M376" s="11"/>
      <c r="N376" s="11"/>
      <c r="O376" s="11"/>
    </row>
    <row r="377" spans="2:15" s="9" customFormat="1" x14ac:dyDescent="0.2">
      <c r="B377" s="10"/>
      <c r="C377" s="11"/>
      <c r="D377" s="63"/>
      <c r="E377" s="11"/>
      <c r="F377" s="65"/>
      <c r="G377" s="12"/>
      <c r="H377" s="41"/>
      <c r="I377" s="30"/>
      <c r="J377" s="30"/>
      <c r="K377" s="30"/>
      <c r="L377" s="11"/>
      <c r="M377" s="11"/>
      <c r="N377" s="11"/>
      <c r="O377" s="11"/>
    </row>
    <row r="378" spans="2:15" s="9" customFormat="1" x14ac:dyDescent="0.2">
      <c r="B378" s="10"/>
      <c r="C378" s="11"/>
      <c r="D378" s="63"/>
      <c r="E378" s="11"/>
      <c r="F378" s="65"/>
      <c r="G378" s="12"/>
      <c r="H378" s="41"/>
      <c r="I378" s="30"/>
      <c r="J378" s="30"/>
      <c r="K378" s="30"/>
      <c r="L378" s="11"/>
      <c r="M378" s="11"/>
      <c r="N378" s="11"/>
      <c r="O378" s="11"/>
    </row>
    <row r="379" spans="2:15" s="9" customFormat="1" x14ac:dyDescent="0.2">
      <c r="B379" s="10"/>
      <c r="C379" s="11"/>
      <c r="D379" s="63"/>
      <c r="E379" s="11"/>
      <c r="F379" s="65"/>
      <c r="G379" s="12"/>
      <c r="H379" s="41"/>
      <c r="I379" s="30"/>
      <c r="J379" s="30"/>
      <c r="K379" s="30"/>
      <c r="L379" s="11"/>
      <c r="M379" s="11"/>
      <c r="N379" s="11"/>
      <c r="O379" s="11"/>
    </row>
    <row r="380" spans="2:15" s="9" customFormat="1" x14ac:dyDescent="0.2">
      <c r="B380" s="10"/>
      <c r="C380" s="11"/>
      <c r="D380" s="63"/>
      <c r="E380" s="11"/>
      <c r="F380" s="65"/>
      <c r="G380" s="12"/>
      <c r="H380" s="41"/>
      <c r="I380" s="30"/>
      <c r="J380" s="30"/>
      <c r="K380" s="30"/>
      <c r="L380" s="11"/>
      <c r="M380" s="11"/>
      <c r="N380" s="11"/>
      <c r="O380" s="11"/>
    </row>
    <row r="381" spans="2:15" s="9" customFormat="1" x14ac:dyDescent="0.2">
      <c r="B381" s="10"/>
      <c r="C381" s="11"/>
      <c r="D381" s="63"/>
      <c r="E381" s="11"/>
      <c r="F381" s="65"/>
      <c r="G381" s="12"/>
      <c r="H381" s="41"/>
      <c r="I381" s="30"/>
      <c r="J381" s="30"/>
      <c r="K381" s="30"/>
      <c r="L381" s="11"/>
      <c r="M381" s="11"/>
      <c r="N381" s="11"/>
      <c r="O381" s="11"/>
    </row>
    <row r="382" spans="2:15" s="9" customFormat="1" x14ac:dyDescent="0.2">
      <c r="B382" s="10"/>
      <c r="C382" s="11"/>
      <c r="D382" s="63"/>
      <c r="E382" s="11"/>
      <c r="F382" s="65"/>
      <c r="G382" s="12"/>
      <c r="H382" s="41"/>
      <c r="I382" s="30"/>
      <c r="J382" s="30"/>
      <c r="K382" s="30"/>
      <c r="L382" s="11"/>
      <c r="M382" s="11"/>
      <c r="N382" s="11"/>
      <c r="O382" s="11"/>
    </row>
    <row r="383" spans="2:15" s="9" customFormat="1" x14ac:dyDescent="0.2">
      <c r="B383" s="10"/>
      <c r="C383" s="11"/>
      <c r="D383" s="63"/>
      <c r="E383" s="11"/>
      <c r="F383" s="65"/>
      <c r="G383" s="12"/>
      <c r="H383" s="41"/>
      <c r="I383" s="30"/>
      <c r="J383" s="30"/>
      <c r="K383" s="30"/>
      <c r="L383" s="11"/>
      <c r="M383" s="11"/>
      <c r="N383" s="11"/>
      <c r="O383" s="11"/>
    </row>
    <row r="384" spans="2:15" s="9" customFormat="1" x14ac:dyDescent="0.2">
      <c r="B384" s="10"/>
      <c r="C384" s="11"/>
      <c r="D384" s="63"/>
      <c r="E384" s="11"/>
      <c r="F384" s="65"/>
      <c r="G384" s="12"/>
      <c r="H384" s="41"/>
      <c r="I384" s="30"/>
      <c r="J384" s="30"/>
      <c r="K384" s="30"/>
      <c r="L384" s="11"/>
      <c r="M384" s="11"/>
      <c r="N384" s="11"/>
      <c r="O384" s="11"/>
    </row>
    <row r="385" spans="2:15" s="9" customFormat="1" x14ac:dyDescent="0.2">
      <c r="B385" s="10"/>
      <c r="C385" s="11"/>
      <c r="D385" s="63"/>
      <c r="E385" s="11"/>
      <c r="F385" s="65"/>
      <c r="G385" s="12"/>
      <c r="H385" s="41"/>
      <c r="I385" s="30"/>
      <c r="J385" s="30"/>
      <c r="K385" s="30"/>
      <c r="L385" s="11"/>
      <c r="M385" s="11"/>
      <c r="N385" s="11"/>
      <c r="O385" s="11"/>
    </row>
    <row r="386" spans="2:15" s="9" customFormat="1" x14ac:dyDescent="0.2">
      <c r="B386" s="10"/>
      <c r="C386" s="11"/>
      <c r="D386" s="63"/>
      <c r="E386" s="11"/>
      <c r="F386" s="65"/>
      <c r="G386" s="12"/>
      <c r="H386" s="41"/>
      <c r="I386" s="30"/>
      <c r="J386" s="30"/>
      <c r="K386" s="30"/>
      <c r="L386" s="11"/>
      <c r="M386" s="11"/>
      <c r="N386" s="11"/>
      <c r="O386" s="11"/>
    </row>
    <row r="387" spans="2:15" s="9" customFormat="1" x14ac:dyDescent="0.2">
      <c r="B387" s="10"/>
      <c r="C387" s="11"/>
      <c r="D387" s="63"/>
      <c r="E387" s="11"/>
      <c r="F387" s="65"/>
      <c r="G387" s="12"/>
      <c r="H387" s="41"/>
      <c r="I387" s="30"/>
      <c r="J387" s="30"/>
      <c r="K387" s="30"/>
      <c r="L387" s="11"/>
      <c r="M387" s="11"/>
      <c r="N387" s="11"/>
      <c r="O387" s="11"/>
    </row>
    <row r="388" spans="2:15" s="9" customFormat="1" x14ac:dyDescent="0.2">
      <c r="B388" s="10"/>
      <c r="C388" s="11"/>
      <c r="D388" s="63"/>
      <c r="E388" s="11"/>
      <c r="F388" s="65"/>
      <c r="G388" s="12"/>
      <c r="H388" s="41"/>
      <c r="I388" s="30"/>
      <c r="J388" s="30"/>
      <c r="K388" s="30"/>
      <c r="L388" s="11"/>
      <c r="M388" s="11"/>
      <c r="N388" s="11"/>
      <c r="O388" s="11"/>
    </row>
    <row r="389" spans="2:15" s="9" customFormat="1" x14ac:dyDescent="0.2">
      <c r="B389" s="10"/>
      <c r="C389" s="11"/>
      <c r="D389" s="63"/>
      <c r="E389" s="11"/>
      <c r="F389" s="65"/>
      <c r="G389" s="12"/>
      <c r="H389" s="41"/>
      <c r="I389" s="30"/>
      <c r="J389" s="30"/>
      <c r="K389" s="30"/>
      <c r="L389" s="11"/>
      <c r="M389" s="11"/>
      <c r="N389" s="11"/>
      <c r="O389" s="11"/>
    </row>
    <row r="390" spans="2:15" s="9" customFormat="1" x14ac:dyDescent="0.2">
      <c r="B390" s="10"/>
      <c r="C390" s="11"/>
      <c r="D390" s="63"/>
      <c r="E390" s="11"/>
      <c r="F390" s="65"/>
      <c r="G390" s="12"/>
      <c r="H390" s="41"/>
      <c r="I390" s="30"/>
      <c r="J390" s="30"/>
      <c r="K390" s="30"/>
      <c r="L390" s="11"/>
      <c r="M390" s="11"/>
      <c r="N390" s="11"/>
      <c r="O390" s="11"/>
    </row>
    <row r="391" spans="2:15" s="9" customFormat="1" x14ac:dyDescent="0.2">
      <c r="B391" s="10"/>
      <c r="C391" s="11"/>
      <c r="D391" s="63"/>
      <c r="E391" s="11"/>
      <c r="F391" s="65"/>
      <c r="G391" s="12"/>
      <c r="H391" s="41"/>
      <c r="I391" s="30"/>
      <c r="J391" s="30"/>
      <c r="K391" s="30"/>
      <c r="L391" s="11"/>
      <c r="M391" s="11"/>
      <c r="N391" s="11"/>
      <c r="O391" s="11"/>
    </row>
    <row r="392" spans="2:15" s="9" customFormat="1" x14ac:dyDescent="0.2">
      <c r="B392" s="10"/>
      <c r="C392" s="11"/>
      <c r="D392" s="63"/>
      <c r="E392" s="11"/>
      <c r="F392" s="65"/>
      <c r="G392" s="12"/>
      <c r="H392" s="41"/>
      <c r="I392" s="30"/>
      <c r="J392" s="30"/>
      <c r="K392" s="30"/>
      <c r="L392" s="11"/>
      <c r="M392" s="11"/>
      <c r="N392" s="11"/>
      <c r="O392" s="11"/>
    </row>
    <row r="393" spans="2:15" s="9" customFormat="1" x14ac:dyDescent="0.2">
      <c r="B393" s="10"/>
      <c r="C393" s="11"/>
      <c r="D393" s="63"/>
      <c r="E393" s="11"/>
      <c r="F393" s="65"/>
      <c r="G393" s="12"/>
      <c r="H393" s="41"/>
      <c r="I393" s="30"/>
      <c r="J393" s="30"/>
      <c r="K393" s="30"/>
      <c r="L393" s="11"/>
      <c r="M393" s="11"/>
      <c r="N393" s="11"/>
      <c r="O393" s="11"/>
    </row>
    <row r="394" spans="2:15" s="9" customFormat="1" x14ac:dyDescent="0.2">
      <c r="B394" s="10"/>
      <c r="C394" s="11"/>
      <c r="D394" s="63"/>
      <c r="E394" s="11"/>
      <c r="F394" s="65"/>
      <c r="G394" s="12"/>
      <c r="H394" s="41"/>
      <c r="I394" s="30"/>
      <c r="J394" s="30"/>
      <c r="K394" s="30"/>
      <c r="L394" s="11"/>
      <c r="M394" s="11"/>
      <c r="N394" s="11"/>
      <c r="O394" s="11"/>
    </row>
    <row r="395" spans="2:15" s="9" customFormat="1" x14ac:dyDescent="0.2">
      <c r="B395" s="10"/>
      <c r="C395" s="11"/>
      <c r="D395" s="63"/>
      <c r="E395" s="11"/>
      <c r="F395" s="65"/>
      <c r="G395" s="12"/>
      <c r="H395" s="41"/>
      <c r="I395" s="30"/>
      <c r="J395" s="30"/>
      <c r="K395" s="30"/>
      <c r="L395" s="11"/>
      <c r="M395" s="11"/>
      <c r="N395" s="11"/>
      <c r="O395" s="11"/>
    </row>
    <row r="396" spans="2:15" s="9" customFormat="1" x14ac:dyDescent="0.2">
      <c r="B396" s="10"/>
      <c r="C396" s="11"/>
      <c r="D396" s="63"/>
      <c r="E396" s="11"/>
      <c r="F396" s="65"/>
      <c r="G396" s="12"/>
      <c r="H396" s="41"/>
      <c r="I396" s="30"/>
      <c r="J396" s="30"/>
      <c r="K396" s="30"/>
      <c r="L396" s="11"/>
      <c r="M396" s="11"/>
      <c r="N396" s="11"/>
      <c r="O396" s="11"/>
    </row>
    <row r="397" spans="2:15" s="9" customFormat="1" x14ac:dyDescent="0.2">
      <c r="B397" s="10"/>
      <c r="C397" s="11"/>
      <c r="D397" s="63"/>
      <c r="E397" s="11"/>
      <c r="F397" s="65"/>
      <c r="G397" s="12"/>
      <c r="H397" s="41"/>
      <c r="I397" s="30"/>
      <c r="J397" s="30"/>
      <c r="K397" s="30"/>
      <c r="L397" s="11"/>
      <c r="M397" s="11"/>
      <c r="N397" s="11"/>
      <c r="O397" s="11"/>
    </row>
    <row r="398" spans="2:15" s="9" customFormat="1" x14ac:dyDescent="0.2">
      <c r="B398" s="10"/>
      <c r="C398" s="11"/>
      <c r="D398" s="63"/>
      <c r="E398" s="11"/>
      <c r="F398" s="65"/>
      <c r="G398" s="12"/>
      <c r="H398" s="41"/>
      <c r="I398" s="30"/>
      <c r="J398" s="30"/>
      <c r="K398" s="30"/>
      <c r="L398" s="11"/>
      <c r="M398" s="11"/>
      <c r="N398" s="11"/>
      <c r="O398" s="11"/>
    </row>
    <row r="399" spans="2:15" s="9" customFormat="1" x14ac:dyDescent="0.2">
      <c r="B399" s="10"/>
      <c r="C399" s="11"/>
      <c r="D399" s="63"/>
      <c r="E399" s="11"/>
      <c r="F399" s="65"/>
      <c r="G399" s="12"/>
      <c r="H399" s="41"/>
      <c r="I399" s="30"/>
      <c r="J399" s="30"/>
      <c r="K399" s="30"/>
      <c r="L399" s="11"/>
      <c r="M399" s="11"/>
      <c r="N399" s="11"/>
      <c r="O399" s="11"/>
    </row>
    <row r="400" spans="2:15" s="9" customFormat="1" x14ac:dyDescent="0.2">
      <c r="B400" s="10"/>
      <c r="C400" s="11"/>
      <c r="D400" s="63"/>
      <c r="E400" s="11"/>
      <c r="F400" s="65"/>
      <c r="G400" s="12"/>
      <c r="H400" s="41"/>
      <c r="I400" s="30"/>
      <c r="J400" s="30"/>
      <c r="K400" s="30"/>
      <c r="L400" s="11"/>
      <c r="M400" s="11"/>
      <c r="N400" s="11"/>
      <c r="O400" s="11"/>
    </row>
    <row r="401" spans="2:15" s="9" customFormat="1" x14ac:dyDescent="0.2">
      <c r="B401" s="10"/>
      <c r="C401" s="11"/>
      <c r="D401" s="63"/>
      <c r="E401" s="11"/>
      <c r="F401" s="65"/>
      <c r="G401" s="12"/>
      <c r="H401" s="41"/>
      <c r="I401" s="30"/>
      <c r="J401" s="30"/>
      <c r="K401" s="30"/>
      <c r="L401" s="11"/>
      <c r="M401" s="11"/>
      <c r="N401" s="11"/>
      <c r="O401" s="11"/>
    </row>
    <row r="402" spans="2:15" s="9" customFormat="1" x14ac:dyDescent="0.2">
      <c r="B402" s="10"/>
      <c r="C402" s="11"/>
      <c r="D402" s="63"/>
      <c r="E402" s="11"/>
      <c r="F402" s="65"/>
      <c r="G402" s="12"/>
      <c r="H402" s="41"/>
      <c r="I402" s="30"/>
      <c r="J402" s="30"/>
      <c r="K402" s="30"/>
      <c r="L402" s="11"/>
      <c r="M402" s="11"/>
      <c r="N402" s="11"/>
      <c r="O402" s="11"/>
    </row>
    <row r="403" spans="2:15" s="9" customFormat="1" x14ac:dyDescent="0.2">
      <c r="B403" s="10"/>
      <c r="C403" s="11"/>
      <c r="D403" s="63"/>
      <c r="E403" s="11"/>
      <c r="F403" s="65"/>
      <c r="G403" s="12"/>
      <c r="H403" s="41"/>
      <c r="I403" s="30"/>
      <c r="J403" s="30"/>
      <c r="K403" s="30"/>
      <c r="L403" s="11"/>
      <c r="M403" s="11"/>
      <c r="N403" s="11"/>
      <c r="O403" s="11"/>
    </row>
    <row r="404" spans="2:15" s="9" customFormat="1" x14ac:dyDescent="0.2">
      <c r="B404" s="10"/>
      <c r="C404" s="11"/>
      <c r="D404" s="63"/>
      <c r="E404" s="11"/>
      <c r="F404" s="65"/>
      <c r="G404" s="12"/>
      <c r="H404" s="41"/>
      <c r="I404" s="30"/>
      <c r="J404" s="30"/>
      <c r="K404" s="30"/>
      <c r="L404" s="11"/>
      <c r="M404" s="11"/>
      <c r="N404" s="11"/>
      <c r="O404" s="11"/>
    </row>
    <row r="405" spans="2:15" s="9" customFormat="1" x14ac:dyDescent="0.2">
      <c r="B405" s="10"/>
      <c r="C405" s="11"/>
      <c r="D405" s="63"/>
      <c r="E405" s="11"/>
      <c r="F405" s="65"/>
      <c r="G405" s="12"/>
      <c r="H405" s="41"/>
      <c r="I405" s="30"/>
      <c r="J405" s="30"/>
      <c r="K405" s="30"/>
      <c r="L405" s="11"/>
      <c r="M405" s="11"/>
      <c r="N405" s="11"/>
      <c r="O405" s="11"/>
    </row>
    <row r="406" spans="2:15" s="9" customFormat="1" x14ac:dyDescent="0.2">
      <c r="B406" s="10"/>
      <c r="C406" s="11"/>
      <c r="D406" s="63"/>
      <c r="E406" s="11"/>
      <c r="F406" s="65"/>
      <c r="G406" s="12"/>
      <c r="H406" s="41"/>
      <c r="I406" s="30"/>
      <c r="J406" s="30"/>
      <c r="K406" s="30"/>
      <c r="L406" s="11"/>
      <c r="M406" s="11"/>
      <c r="N406" s="11"/>
      <c r="O406" s="11"/>
    </row>
    <row r="407" spans="2:15" s="9" customFormat="1" x14ac:dyDescent="0.2">
      <c r="B407" s="10"/>
      <c r="C407" s="11"/>
      <c r="D407" s="63"/>
      <c r="E407" s="11"/>
      <c r="F407" s="65"/>
      <c r="G407" s="12"/>
      <c r="H407" s="41"/>
      <c r="I407" s="30"/>
      <c r="J407" s="30"/>
      <c r="K407" s="30"/>
      <c r="L407" s="11"/>
      <c r="M407" s="11"/>
      <c r="N407" s="11"/>
      <c r="O407" s="11"/>
    </row>
    <row r="408" spans="2:15" s="9" customFormat="1" x14ac:dyDescent="0.2">
      <c r="B408" s="10"/>
      <c r="C408" s="11"/>
      <c r="D408" s="63"/>
      <c r="E408" s="11"/>
      <c r="F408" s="65"/>
      <c r="G408" s="12"/>
      <c r="H408" s="41"/>
      <c r="I408" s="30"/>
      <c r="J408" s="30"/>
      <c r="K408" s="30"/>
      <c r="L408" s="11"/>
      <c r="M408" s="11"/>
      <c r="N408" s="11"/>
      <c r="O408" s="11"/>
    </row>
    <row r="409" spans="2:15" s="9" customFormat="1" x14ac:dyDescent="0.2">
      <c r="B409" s="10"/>
      <c r="C409" s="11"/>
      <c r="D409" s="63"/>
      <c r="E409" s="11"/>
      <c r="F409" s="65"/>
      <c r="G409" s="12"/>
      <c r="H409" s="41"/>
      <c r="I409" s="30"/>
      <c r="J409" s="30"/>
      <c r="K409" s="30"/>
      <c r="L409" s="11"/>
      <c r="M409" s="11"/>
      <c r="N409" s="11"/>
      <c r="O409" s="11"/>
    </row>
    <row r="410" spans="2:15" s="9" customFormat="1" x14ac:dyDescent="0.2">
      <c r="B410" s="10"/>
      <c r="C410" s="11"/>
      <c r="D410" s="63"/>
      <c r="E410" s="11"/>
      <c r="F410" s="65"/>
      <c r="G410" s="12"/>
      <c r="H410" s="41"/>
      <c r="I410" s="30"/>
      <c r="J410" s="30"/>
      <c r="K410" s="30"/>
      <c r="L410" s="11"/>
      <c r="M410" s="11"/>
      <c r="N410" s="11"/>
      <c r="O410" s="11"/>
    </row>
    <row r="411" spans="2:15" s="9" customFormat="1" x14ac:dyDescent="0.2">
      <c r="B411" s="10"/>
      <c r="C411" s="11"/>
      <c r="D411" s="63"/>
      <c r="E411" s="11"/>
      <c r="F411" s="65"/>
      <c r="G411" s="12"/>
      <c r="H411" s="41"/>
      <c r="I411" s="30"/>
      <c r="J411" s="30"/>
      <c r="K411" s="30"/>
      <c r="L411" s="11"/>
      <c r="M411" s="11"/>
      <c r="N411" s="11"/>
      <c r="O411" s="11"/>
    </row>
    <row r="412" spans="2:15" s="9" customFormat="1" x14ac:dyDescent="0.2">
      <c r="B412" s="10"/>
      <c r="C412" s="11"/>
      <c r="D412" s="63"/>
      <c r="E412" s="11"/>
      <c r="F412" s="65"/>
      <c r="G412" s="12"/>
      <c r="H412" s="41"/>
      <c r="I412" s="30"/>
      <c r="J412" s="30"/>
      <c r="K412" s="30"/>
      <c r="L412" s="11"/>
      <c r="M412" s="11"/>
      <c r="N412" s="11"/>
      <c r="O412" s="11"/>
    </row>
    <row r="413" spans="2:15" s="9" customFormat="1" x14ac:dyDescent="0.2">
      <c r="B413" s="10"/>
      <c r="C413" s="11"/>
      <c r="D413" s="63"/>
      <c r="E413" s="11"/>
      <c r="F413" s="65"/>
      <c r="G413" s="12"/>
      <c r="H413" s="41"/>
      <c r="I413" s="30"/>
      <c r="J413" s="30"/>
      <c r="K413" s="30"/>
      <c r="L413" s="11"/>
      <c r="M413" s="11"/>
      <c r="N413" s="11"/>
      <c r="O413" s="11"/>
    </row>
    <row r="414" spans="2:15" s="9" customFormat="1" x14ac:dyDescent="0.2">
      <c r="B414" s="10"/>
      <c r="C414" s="11"/>
      <c r="D414" s="63"/>
      <c r="E414" s="11"/>
      <c r="F414" s="65"/>
      <c r="G414" s="12"/>
      <c r="H414" s="41"/>
      <c r="I414" s="30"/>
      <c r="J414" s="30"/>
      <c r="K414" s="30"/>
      <c r="L414" s="11"/>
      <c r="M414" s="11"/>
      <c r="N414" s="11"/>
      <c r="O414" s="11"/>
    </row>
    <row r="415" spans="2:15" s="9" customFormat="1" x14ac:dyDescent="0.2">
      <c r="B415" s="10"/>
      <c r="C415" s="11"/>
      <c r="D415" s="63"/>
      <c r="E415" s="11"/>
      <c r="F415" s="65"/>
      <c r="G415" s="12"/>
      <c r="H415" s="41"/>
      <c r="I415" s="30"/>
      <c r="J415" s="30"/>
      <c r="K415" s="30"/>
      <c r="L415" s="11"/>
      <c r="M415" s="11"/>
      <c r="N415" s="11"/>
      <c r="O415" s="11"/>
    </row>
    <row r="416" spans="2:15" s="9" customFormat="1" x14ac:dyDescent="0.2">
      <c r="B416" s="10"/>
      <c r="C416" s="11"/>
      <c r="D416" s="63"/>
      <c r="E416" s="11"/>
      <c r="F416" s="65"/>
      <c r="G416" s="12"/>
      <c r="H416" s="41"/>
      <c r="I416" s="30"/>
      <c r="J416" s="30"/>
      <c r="K416" s="30"/>
      <c r="L416" s="11"/>
      <c r="M416" s="11"/>
      <c r="N416" s="11"/>
      <c r="O416" s="11"/>
    </row>
    <row r="417" spans="2:15" s="9" customFormat="1" x14ac:dyDescent="0.2">
      <c r="B417" s="10"/>
      <c r="C417" s="11"/>
      <c r="D417" s="63"/>
      <c r="E417" s="11"/>
      <c r="F417" s="65"/>
      <c r="G417" s="12"/>
      <c r="H417" s="41"/>
      <c r="I417" s="30"/>
      <c r="J417" s="30"/>
      <c r="K417" s="30"/>
      <c r="L417" s="11"/>
      <c r="M417" s="11"/>
      <c r="N417" s="11"/>
      <c r="O417" s="11"/>
    </row>
    <row r="418" spans="2:15" s="9" customFormat="1" x14ac:dyDescent="0.2">
      <c r="B418" s="10"/>
      <c r="C418" s="11"/>
      <c r="D418" s="63"/>
      <c r="E418" s="11"/>
      <c r="F418" s="65"/>
      <c r="G418" s="12"/>
      <c r="H418" s="41"/>
      <c r="I418" s="30"/>
      <c r="J418" s="30"/>
      <c r="K418" s="30"/>
      <c r="L418" s="11"/>
      <c r="M418" s="11"/>
      <c r="N418" s="11"/>
      <c r="O418" s="11"/>
    </row>
    <row r="419" spans="2:15" s="9" customFormat="1" x14ac:dyDescent="0.2">
      <c r="B419" s="10"/>
      <c r="C419" s="11"/>
      <c r="D419" s="63"/>
      <c r="E419" s="11"/>
      <c r="F419" s="65"/>
      <c r="G419" s="12"/>
      <c r="H419" s="41"/>
      <c r="I419" s="30"/>
      <c r="J419" s="30"/>
      <c r="K419" s="30"/>
      <c r="L419" s="11"/>
      <c r="M419" s="11"/>
      <c r="N419" s="11"/>
      <c r="O419" s="11"/>
    </row>
    <row r="420" spans="2:15" s="9" customFormat="1" x14ac:dyDescent="0.2">
      <c r="B420" s="10"/>
      <c r="C420" s="11"/>
      <c r="D420" s="63"/>
      <c r="E420" s="11"/>
      <c r="F420" s="65"/>
      <c r="G420" s="12"/>
      <c r="H420" s="41"/>
      <c r="I420" s="30"/>
      <c r="J420" s="30"/>
      <c r="K420" s="30"/>
      <c r="L420" s="11"/>
      <c r="M420" s="11"/>
      <c r="N420" s="11"/>
      <c r="O420" s="11"/>
    </row>
    <row r="421" spans="2:15" s="9" customFormat="1" x14ac:dyDescent="0.2">
      <c r="B421" s="10"/>
      <c r="C421" s="11"/>
      <c r="D421" s="63"/>
      <c r="E421" s="11"/>
      <c r="F421" s="65"/>
      <c r="G421" s="12"/>
      <c r="H421" s="41"/>
      <c r="I421" s="30"/>
      <c r="J421" s="30"/>
      <c r="K421" s="30"/>
      <c r="L421" s="11"/>
      <c r="M421" s="11"/>
      <c r="N421" s="11"/>
      <c r="O421" s="11"/>
    </row>
    <row r="422" spans="2:15" s="9" customFormat="1" x14ac:dyDescent="0.2">
      <c r="B422" s="10"/>
      <c r="C422" s="11"/>
      <c r="D422" s="63"/>
      <c r="E422" s="11"/>
      <c r="F422" s="65"/>
      <c r="G422" s="12"/>
      <c r="H422" s="41"/>
      <c r="I422" s="30"/>
      <c r="J422" s="30"/>
      <c r="K422" s="30"/>
      <c r="L422" s="11"/>
      <c r="M422" s="11"/>
      <c r="N422" s="11"/>
      <c r="O422" s="11"/>
    </row>
    <row r="423" spans="2:15" s="9" customFormat="1" x14ac:dyDescent="0.2">
      <c r="B423" s="10"/>
      <c r="C423" s="11"/>
      <c r="D423" s="63"/>
      <c r="E423" s="11"/>
      <c r="F423" s="65"/>
      <c r="G423" s="12"/>
      <c r="H423" s="41"/>
      <c r="I423" s="30"/>
      <c r="J423" s="30"/>
      <c r="K423" s="30"/>
      <c r="L423" s="11"/>
      <c r="M423" s="11"/>
      <c r="N423" s="11"/>
      <c r="O423" s="11"/>
    </row>
    <row r="424" spans="2:15" s="9" customFormat="1" x14ac:dyDescent="0.2">
      <c r="B424" s="10"/>
      <c r="C424" s="11"/>
      <c r="D424" s="63"/>
      <c r="E424" s="11"/>
      <c r="F424" s="65"/>
      <c r="G424" s="12"/>
      <c r="H424" s="41"/>
      <c r="I424" s="30"/>
      <c r="J424" s="30"/>
      <c r="K424" s="30"/>
      <c r="L424" s="11"/>
      <c r="M424" s="11"/>
      <c r="N424" s="11"/>
      <c r="O424" s="11"/>
    </row>
    <row r="425" spans="2:15" s="9" customFormat="1" x14ac:dyDescent="0.2">
      <c r="B425" s="10"/>
      <c r="C425" s="11"/>
      <c r="D425" s="63"/>
      <c r="E425" s="11"/>
      <c r="F425" s="65"/>
      <c r="G425" s="12"/>
      <c r="H425" s="41"/>
      <c r="I425" s="30"/>
      <c r="J425" s="30"/>
      <c r="K425" s="30"/>
      <c r="L425" s="11"/>
      <c r="M425" s="11"/>
      <c r="N425" s="11"/>
      <c r="O425" s="11"/>
    </row>
    <row r="426" spans="2:15" s="9" customFormat="1" x14ac:dyDescent="0.2">
      <c r="B426" s="10"/>
      <c r="C426" s="11"/>
      <c r="D426" s="63"/>
      <c r="E426" s="11"/>
      <c r="F426" s="65"/>
      <c r="G426" s="12"/>
      <c r="H426" s="41"/>
      <c r="I426" s="30"/>
      <c r="J426" s="30"/>
      <c r="K426" s="30"/>
      <c r="L426" s="11"/>
      <c r="M426" s="11"/>
      <c r="N426" s="11"/>
      <c r="O426" s="11"/>
    </row>
    <row r="427" spans="2:15" s="9" customFormat="1" x14ac:dyDescent="0.2">
      <c r="B427" s="10"/>
      <c r="C427" s="11"/>
      <c r="D427" s="63"/>
      <c r="E427" s="11"/>
      <c r="F427" s="65"/>
      <c r="G427" s="12"/>
      <c r="H427" s="41"/>
      <c r="I427" s="30"/>
      <c r="J427" s="30"/>
      <c r="K427" s="30"/>
      <c r="L427" s="11"/>
      <c r="M427" s="11"/>
      <c r="N427" s="11"/>
      <c r="O427" s="11"/>
    </row>
    <row r="428" spans="2:15" s="9" customFormat="1" x14ac:dyDescent="0.2">
      <c r="B428" s="10"/>
      <c r="C428" s="11"/>
      <c r="D428" s="63"/>
      <c r="E428" s="11"/>
      <c r="F428" s="65"/>
      <c r="G428" s="12"/>
      <c r="H428" s="41"/>
      <c r="I428" s="30"/>
      <c r="J428" s="30"/>
      <c r="K428" s="30"/>
      <c r="L428" s="11"/>
      <c r="M428" s="11"/>
      <c r="N428" s="11"/>
      <c r="O428" s="11"/>
    </row>
    <row r="429" spans="2:15" s="9" customFormat="1" x14ac:dyDescent="0.2">
      <c r="B429" s="10"/>
      <c r="C429" s="11"/>
      <c r="D429" s="63"/>
      <c r="E429" s="11"/>
      <c r="F429" s="65"/>
      <c r="G429" s="12"/>
      <c r="H429" s="41"/>
      <c r="I429" s="30"/>
      <c r="J429" s="30"/>
      <c r="K429" s="30"/>
      <c r="L429" s="11"/>
      <c r="M429" s="11"/>
      <c r="N429" s="11"/>
      <c r="O429" s="11"/>
    </row>
    <row r="430" spans="2:15" s="9" customFormat="1" x14ac:dyDescent="0.2">
      <c r="B430" s="10"/>
      <c r="C430" s="11"/>
      <c r="D430" s="63"/>
      <c r="E430" s="11"/>
      <c r="F430" s="65"/>
      <c r="G430" s="12"/>
      <c r="H430" s="41"/>
      <c r="I430" s="30"/>
      <c r="J430" s="30"/>
      <c r="K430" s="30"/>
      <c r="L430" s="11"/>
      <c r="M430" s="11"/>
      <c r="N430" s="11"/>
      <c r="O430" s="11"/>
    </row>
    <row r="431" spans="2:15" s="9" customFormat="1" x14ac:dyDescent="0.2">
      <c r="B431" s="10"/>
      <c r="C431" s="11"/>
      <c r="D431" s="63"/>
      <c r="E431" s="11"/>
      <c r="F431" s="65"/>
      <c r="G431" s="12"/>
      <c r="H431" s="41"/>
      <c r="I431" s="30"/>
      <c r="J431" s="30"/>
      <c r="K431" s="30"/>
      <c r="L431" s="11"/>
      <c r="M431" s="11"/>
      <c r="N431" s="11"/>
      <c r="O431" s="11"/>
    </row>
    <row r="432" spans="2:15" s="9" customFormat="1" x14ac:dyDescent="0.2">
      <c r="B432" s="10"/>
      <c r="C432" s="11"/>
      <c r="D432" s="63"/>
      <c r="E432" s="11"/>
      <c r="F432" s="65"/>
      <c r="G432" s="12"/>
      <c r="H432" s="41"/>
      <c r="I432" s="30"/>
      <c r="J432" s="30"/>
      <c r="K432" s="30"/>
      <c r="L432" s="11"/>
      <c r="M432" s="11"/>
      <c r="N432" s="11"/>
      <c r="O432" s="11"/>
    </row>
    <row r="433" spans="2:15" s="9" customFormat="1" x14ac:dyDescent="0.2">
      <c r="B433" s="10"/>
      <c r="C433" s="11"/>
      <c r="D433" s="63"/>
      <c r="E433" s="11"/>
      <c r="F433" s="65"/>
      <c r="G433" s="12"/>
      <c r="H433" s="41"/>
      <c r="I433" s="30"/>
      <c r="J433" s="30"/>
      <c r="K433" s="30"/>
      <c r="L433" s="11"/>
      <c r="M433" s="11"/>
      <c r="N433" s="11"/>
      <c r="O433" s="11"/>
    </row>
    <row r="434" spans="2:15" s="9" customFormat="1" x14ac:dyDescent="0.2">
      <c r="B434" s="10"/>
      <c r="C434" s="11"/>
      <c r="D434" s="63"/>
      <c r="E434" s="11"/>
      <c r="F434" s="65"/>
      <c r="G434" s="12"/>
      <c r="H434" s="41"/>
      <c r="I434" s="30"/>
      <c r="J434" s="30"/>
      <c r="K434" s="30"/>
      <c r="L434" s="11"/>
      <c r="M434" s="11"/>
      <c r="N434" s="11"/>
      <c r="O434" s="11"/>
    </row>
    <row r="435" spans="2:15" s="9" customFormat="1" x14ac:dyDescent="0.2">
      <c r="B435" s="10"/>
      <c r="C435" s="11"/>
      <c r="D435" s="63"/>
      <c r="E435" s="11"/>
      <c r="F435" s="65"/>
      <c r="G435" s="12"/>
      <c r="H435" s="41"/>
      <c r="I435" s="30"/>
      <c r="J435" s="30"/>
      <c r="K435" s="30"/>
      <c r="L435" s="11"/>
      <c r="M435" s="11"/>
      <c r="N435" s="11"/>
      <c r="O435" s="11"/>
    </row>
    <row r="436" spans="2:15" s="9" customFormat="1" x14ac:dyDescent="0.2">
      <c r="B436" s="10"/>
      <c r="C436" s="11"/>
      <c r="D436" s="63"/>
      <c r="E436" s="11"/>
      <c r="F436" s="65"/>
      <c r="G436" s="12"/>
      <c r="H436" s="41"/>
      <c r="I436" s="30"/>
      <c r="J436" s="30"/>
      <c r="K436" s="30"/>
      <c r="L436" s="11"/>
      <c r="M436" s="11"/>
      <c r="N436" s="11"/>
      <c r="O436" s="11"/>
    </row>
    <row r="437" spans="2:15" s="9" customFormat="1" x14ac:dyDescent="0.2">
      <c r="B437" s="10"/>
      <c r="C437" s="11"/>
      <c r="D437" s="63"/>
      <c r="E437" s="11"/>
      <c r="F437" s="65"/>
      <c r="G437" s="12"/>
      <c r="H437" s="41"/>
      <c r="I437" s="30"/>
      <c r="J437" s="30"/>
      <c r="K437" s="30"/>
      <c r="L437" s="11"/>
      <c r="M437" s="11"/>
      <c r="N437" s="11"/>
      <c r="O437" s="11"/>
    </row>
    <row r="438" spans="2:15" s="9" customFormat="1" x14ac:dyDescent="0.2">
      <c r="B438" s="10"/>
      <c r="C438" s="11"/>
      <c r="D438" s="63"/>
      <c r="E438" s="11"/>
      <c r="F438" s="65"/>
      <c r="G438" s="12"/>
      <c r="H438" s="41"/>
      <c r="I438" s="30"/>
      <c r="J438" s="30"/>
      <c r="K438" s="30"/>
      <c r="L438" s="11"/>
      <c r="M438" s="11"/>
      <c r="N438" s="11"/>
      <c r="O438" s="11"/>
    </row>
    <row r="439" spans="2:15" s="9" customFormat="1" x14ac:dyDescent="0.2">
      <c r="B439" s="10"/>
      <c r="C439" s="11"/>
      <c r="D439" s="63"/>
      <c r="E439" s="11"/>
      <c r="F439" s="65"/>
      <c r="G439" s="12"/>
      <c r="H439" s="41"/>
      <c r="I439" s="30"/>
      <c r="J439" s="30"/>
      <c r="K439" s="30"/>
      <c r="L439" s="11"/>
      <c r="M439" s="11"/>
      <c r="N439" s="11"/>
      <c r="O439" s="11"/>
    </row>
    <row r="440" spans="2:15" s="9" customFormat="1" x14ac:dyDescent="0.2">
      <c r="B440" s="10"/>
      <c r="C440" s="11"/>
      <c r="D440" s="63"/>
      <c r="E440" s="11"/>
      <c r="F440" s="65"/>
      <c r="G440" s="12"/>
      <c r="H440" s="41"/>
      <c r="I440" s="30"/>
      <c r="J440" s="30"/>
      <c r="K440" s="30"/>
      <c r="L440" s="11"/>
      <c r="M440" s="11"/>
      <c r="N440" s="11"/>
      <c r="O440" s="11"/>
    </row>
    <row r="441" spans="2:15" s="9" customFormat="1" x14ac:dyDescent="0.2">
      <c r="B441" s="10"/>
      <c r="C441" s="11"/>
      <c r="D441" s="63"/>
      <c r="E441" s="11"/>
      <c r="F441" s="65"/>
      <c r="G441" s="12"/>
      <c r="H441" s="41"/>
      <c r="I441" s="30"/>
      <c r="J441" s="30"/>
      <c r="K441" s="30"/>
      <c r="L441" s="11"/>
      <c r="M441" s="11"/>
      <c r="N441" s="11"/>
      <c r="O441" s="11"/>
    </row>
    <row r="442" spans="2:15" s="9" customFormat="1" x14ac:dyDescent="0.2">
      <c r="B442" s="10"/>
      <c r="C442" s="11"/>
      <c r="D442" s="63"/>
      <c r="E442" s="11"/>
      <c r="F442" s="65"/>
      <c r="G442" s="12"/>
      <c r="H442" s="41"/>
      <c r="I442" s="30"/>
      <c r="J442" s="30"/>
      <c r="K442" s="30"/>
      <c r="L442" s="11"/>
      <c r="M442" s="11"/>
      <c r="N442" s="11"/>
      <c r="O442" s="11"/>
    </row>
    <row r="443" spans="2:15" s="9" customFormat="1" x14ac:dyDescent="0.2">
      <c r="B443" s="10"/>
      <c r="C443" s="11"/>
      <c r="D443" s="63"/>
      <c r="E443" s="11"/>
      <c r="F443" s="65"/>
      <c r="G443" s="12"/>
      <c r="H443" s="41"/>
      <c r="I443" s="30"/>
      <c r="J443" s="30"/>
      <c r="K443" s="30"/>
      <c r="L443" s="11"/>
      <c r="M443" s="11"/>
      <c r="N443" s="11"/>
      <c r="O443" s="11"/>
    </row>
    <row r="444" spans="2:15" s="9" customFormat="1" x14ac:dyDescent="0.2">
      <c r="B444" s="10"/>
      <c r="C444" s="11"/>
      <c r="D444" s="63"/>
      <c r="E444" s="11"/>
      <c r="F444" s="65"/>
      <c r="G444" s="12"/>
      <c r="H444" s="41"/>
      <c r="I444" s="30"/>
      <c r="J444" s="30"/>
      <c r="K444" s="30"/>
      <c r="L444" s="11"/>
      <c r="M444" s="11"/>
      <c r="N444" s="11"/>
      <c r="O444" s="11"/>
    </row>
    <row r="445" spans="2:15" s="9" customFormat="1" x14ac:dyDescent="0.2">
      <c r="B445" s="10"/>
      <c r="C445" s="11"/>
      <c r="D445" s="63"/>
      <c r="E445" s="11"/>
      <c r="F445" s="65"/>
      <c r="G445" s="12"/>
      <c r="H445" s="41"/>
      <c r="I445" s="30"/>
      <c r="J445" s="30"/>
      <c r="K445" s="30"/>
      <c r="L445" s="11"/>
      <c r="M445" s="11"/>
      <c r="N445" s="11"/>
      <c r="O445" s="11"/>
    </row>
    <row r="446" spans="2:15" s="9" customFormat="1" x14ac:dyDescent="0.2">
      <c r="B446" s="10"/>
      <c r="C446" s="11"/>
      <c r="D446" s="63"/>
      <c r="E446" s="11"/>
      <c r="F446" s="65"/>
      <c r="G446" s="12"/>
      <c r="H446" s="41"/>
      <c r="I446" s="30"/>
      <c r="J446" s="30"/>
      <c r="K446" s="30"/>
      <c r="L446" s="11"/>
      <c r="M446" s="11"/>
      <c r="N446" s="11"/>
      <c r="O446" s="11"/>
    </row>
    <row r="447" spans="2:15" s="9" customFormat="1" x14ac:dyDescent="0.2">
      <c r="B447" s="10"/>
      <c r="C447" s="11"/>
      <c r="D447" s="63"/>
      <c r="E447" s="11"/>
      <c r="F447" s="65"/>
      <c r="G447" s="12"/>
      <c r="H447" s="41"/>
      <c r="I447" s="30"/>
      <c r="J447" s="30"/>
      <c r="K447" s="30"/>
      <c r="L447" s="11"/>
      <c r="M447" s="11"/>
      <c r="N447" s="11"/>
      <c r="O447" s="11"/>
    </row>
    <row r="448" spans="2:15" s="9" customFormat="1" x14ac:dyDescent="0.2">
      <c r="B448" s="10"/>
      <c r="C448" s="11"/>
      <c r="D448" s="63"/>
      <c r="E448" s="11"/>
      <c r="F448" s="65"/>
      <c r="G448" s="12"/>
      <c r="H448" s="41"/>
      <c r="I448" s="30"/>
      <c r="J448" s="30"/>
      <c r="K448" s="30"/>
      <c r="L448" s="11"/>
      <c r="M448" s="11"/>
      <c r="N448" s="11"/>
      <c r="O448" s="11"/>
    </row>
    <row r="449" spans="2:15" s="9" customFormat="1" x14ac:dyDescent="0.2">
      <c r="B449" s="10"/>
      <c r="C449" s="11"/>
      <c r="D449" s="63"/>
      <c r="E449" s="11"/>
      <c r="F449" s="65"/>
      <c r="G449" s="12"/>
      <c r="H449" s="41"/>
      <c r="I449" s="30"/>
      <c r="J449" s="30"/>
      <c r="K449" s="30"/>
      <c r="L449" s="11"/>
      <c r="M449" s="11"/>
      <c r="N449" s="11"/>
      <c r="O449" s="11"/>
    </row>
    <row r="450" spans="2:15" s="9" customFormat="1" x14ac:dyDescent="0.2">
      <c r="B450" s="10"/>
      <c r="C450" s="11"/>
      <c r="D450" s="63"/>
      <c r="E450" s="11"/>
      <c r="F450" s="65"/>
      <c r="G450" s="12"/>
      <c r="H450" s="41"/>
      <c r="I450" s="30"/>
      <c r="J450" s="30"/>
      <c r="K450" s="30"/>
      <c r="L450" s="11"/>
      <c r="M450" s="11"/>
      <c r="N450" s="11"/>
      <c r="O450" s="11"/>
    </row>
    <row r="451" spans="2:15" s="9" customFormat="1" x14ac:dyDescent="0.2">
      <c r="B451" s="10"/>
      <c r="C451" s="11"/>
      <c r="D451" s="63"/>
      <c r="E451" s="11"/>
      <c r="F451" s="65"/>
      <c r="G451" s="12"/>
      <c r="H451" s="41"/>
      <c r="I451" s="30"/>
      <c r="J451" s="30"/>
      <c r="K451" s="30"/>
      <c r="L451" s="11"/>
      <c r="M451" s="11"/>
      <c r="N451" s="11"/>
      <c r="O451" s="11"/>
    </row>
    <row r="452" spans="2:15" s="9" customFormat="1" x14ac:dyDescent="0.2">
      <c r="B452" s="10"/>
      <c r="C452" s="11"/>
      <c r="D452" s="63"/>
      <c r="E452" s="11"/>
      <c r="F452" s="65"/>
      <c r="G452" s="12"/>
      <c r="H452" s="41"/>
      <c r="I452" s="30"/>
      <c r="J452" s="30"/>
      <c r="K452" s="30"/>
      <c r="L452" s="11"/>
      <c r="M452" s="11"/>
      <c r="N452" s="11"/>
      <c r="O452" s="11"/>
    </row>
    <row r="453" spans="2:15" s="9" customFormat="1" x14ac:dyDescent="0.2">
      <c r="B453" s="10"/>
      <c r="C453" s="11"/>
      <c r="D453" s="63"/>
      <c r="E453" s="11"/>
      <c r="F453" s="65"/>
      <c r="G453" s="12"/>
      <c r="H453" s="41"/>
      <c r="I453" s="30"/>
      <c r="J453" s="30"/>
      <c r="K453" s="30"/>
      <c r="L453" s="11"/>
      <c r="M453" s="11"/>
      <c r="N453" s="11"/>
      <c r="O453" s="11"/>
    </row>
    <row r="454" spans="2:15" s="9" customFormat="1" x14ac:dyDescent="0.2">
      <c r="B454" s="10"/>
      <c r="C454" s="11"/>
      <c r="D454" s="63"/>
      <c r="E454" s="11"/>
      <c r="F454" s="65"/>
      <c r="G454" s="12"/>
      <c r="H454" s="41"/>
      <c r="I454" s="30"/>
      <c r="J454" s="30"/>
      <c r="K454" s="30"/>
      <c r="L454" s="11"/>
      <c r="M454" s="11"/>
      <c r="N454" s="11"/>
      <c r="O454" s="11"/>
    </row>
    <row r="455" spans="2:15" s="9" customFormat="1" x14ac:dyDescent="0.2">
      <c r="B455" s="10"/>
      <c r="C455" s="11"/>
      <c r="D455" s="63"/>
      <c r="E455" s="11"/>
      <c r="F455" s="65"/>
      <c r="G455" s="12"/>
      <c r="H455" s="41"/>
      <c r="I455" s="30"/>
      <c r="J455" s="30"/>
      <c r="K455" s="30"/>
      <c r="L455" s="11"/>
      <c r="M455" s="11"/>
      <c r="N455" s="11"/>
      <c r="O455" s="11"/>
    </row>
    <row r="456" spans="2:15" s="9" customFormat="1" x14ac:dyDescent="0.2">
      <c r="B456" s="10"/>
      <c r="C456" s="11"/>
      <c r="D456" s="63"/>
      <c r="E456" s="11"/>
      <c r="F456" s="65"/>
      <c r="G456" s="12"/>
      <c r="H456" s="41"/>
      <c r="I456" s="30"/>
      <c r="J456" s="30"/>
      <c r="K456" s="30"/>
      <c r="L456" s="11"/>
      <c r="M456" s="11"/>
      <c r="N456" s="11"/>
      <c r="O456" s="11"/>
    </row>
    <row r="457" spans="2:15" s="9" customFormat="1" x14ac:dyDescent="0.2">
      <c r="B457" s="10"/>
      <c r="C457" s="11"/>
      <c r="D457" s="63"/>
      <c r="E457" s="11"/>
      <c r="F457" s="65"/>
      <c r="G457" s="12"/>
      <c r="H457" s="41"/>
      <c r="I457" s="30"/>
      <c r="J457" s="30"/>
      <c r="K457" s="30"/>
      <c r="L457" s="11"/>
      <c r="M457" s="11"/>
      <c r="N457" s="11"/>
      <c r="O457" s="11"/>
    </row>
    <row r="458" spans="2:15" s="9" customFormat="1" x14ac:dyDescent="0.2">
      <c r="B458" s="10"/>
      <c r="C458" s="11"/>
      <c r="D458" s="63"/>
      <c r="E458" s="11"/>
      <c r="F458" s="65"/>
      <c r="G458" s="12"/>
      <c r="H458" s="41"/>
      <c r="I458" s="30"/>
      <c r="J458" s="30"/>
      <c r="K458" s="30"/>
      <c r="L458" s="11"/>
      <c r="M458" s="11"/>
      <c r="N458" s="11"/>
      <c r="O458" s="11"/>
    </row>
    <row r="459" spans="2:15" s="9" customFormat="1" x14ac:dyDescent="0.2">
      <c r="B459" s="10"/>
      <c r="C459" s="11"/>
      <c r="D459" s="63"/>
      <c r="E459" s="11"/>
      <c r="F459" s="65"/>
      <c r="G459" s="12"/>
      <c r="H459" s="41"/>
      <c r="I459" s="30"/>
      <c r="J459" s="30"/>
      <c r="K459" s="30"/>
      <c r="L459" s="11"/>
      <c r="M459" s="11"/>
      <c r="N459" s="11"/>
      <c r="O459" s="11"/>
    </row>
    <row r="460" spans="2:15" s="9" customFormat="1" x14ac:dyDescent="0.2">
      <c r="B460" s="10"/>
      <c r="C460" s="11"/>
      <c r="D460" s="63"/>
      <c r="E460" s="11"/>
      <c r="F460" s="65"/>
      <c r="G460" s="12"/>
      <c r="H460" s="41"/>
      <c r="I460" s="30"/>
      <c r="J460" s="30"/>
      <c r="K460" s="30"/>
      <c r="L460" s="11"/>
      <c r="M460" s="11"/>
      <c r="N460" s="11"/>
      <c r="O460" s="11"/>
    </row>
    <row r="461" spans="2:15" s="9" customFormat="1" x14ac:dyDescent="0.2">
      <c r="B461" s="10"/>
      <c r="C461" s="11"/>
      <c r="D461" s="63"/>
      <c r="E461" s="11"/>
      <c r="F461" s="65"/>
      <c r="G461" s="12"/>
      <c r="H461" s="41"/>
      <c r="I461" s="30"/>
      <c r="J461" s="30"/>
      <c r="K461" s="30"/>
      <c r="L461" s="11"/>
      <c r="M461" s="11"/>
      <c r="N461" s="11"/>
      <c r="O461" s="11"/>
    </row>
    <row r="462" spans="2:15" s="9" customFormat="1" x14ac:dyDescent="0.2">
      <c r="B462" s="10"/>
      <c r="C462" s="11"/>
      <c r="D462" s="63"/>
      <c r="E462" s="11"/>
      <c r="F462" s="65"/>
      <c r="G462" s="12"/>
      <c r="H462" s="41"/>
      <c r="I462" s="30"/>
      <c r="J462" s="30"/>
      <c r="K462" s="30"/>
      <c r="L462" s="11"/>
      <c r="M462" s="11"/>
      <c r="N462" s="11"/>
      <c r="O462" s="11"/>
    </row>
    <row r="463" spans="2:15" s="9" customFormat="1" x14ac:dyDescent="0.2">
      <c r="B463" s="10"/>
      <c r="C463" s="11"/>
      <c r="D463" s="63"/>
      <c r="E463" s="11"/>
      <c r="F463" s="65"/>
      <c r="G463" s="12"/>
      <c r="H463" s="41"/>
      <c r="I463" s="30"/>
      <c r="J463" s="30"/>
      <c r="K463" s="30"/>
      <c r="L463" s="11"/>
      <c r="M463" s="11"/>
      <c r="N463" s="11"/>
      <c r="O463" s="11"/>
    </row>
    <row r="464" spans="2:15" s="9" customFormat="1" x14ac:dyDescent="0.2">
      <c r="B464" s="10"/>
      <c r="C464" s="11"/>
      <c r="D464" s="63"/>
      <c r="E464" s="11"/>
      <c r="F464" s="65"/>
      <c r="G464" s="12"/>
      <c r="H464" s="41"/>
      <c r="I464" s="30"/>
      <c r="J464" s="30"/>
      <c r="K464" s="30"/>
      <c r="L464" s="11"/>
      <c r="M464" s="11"/>
      <c r="N464" s="11"/>
      <c r="O464" s="11"/>
    </row>
    <row r="465" spans="2:15" s="9" customFormat="1" x14ac:dyDescent="0.2">
      <c r="B465" s="10"/>
      <c r="C465" s="11"/>
      <c r="D465" s="63"/>
      <c r="E465" s="11"/>
      <c r="F465" s="65"/>
      <c r="G465" s="12"/>
      <c r="H465" s="41"/>
      <c r="I465" s="30"/>
      <c r="J465" s="30"/>
      <c r="K465" s="30"/>
      <c r="L465" s="11"/>
      <c r="M465" s="11"/>
      <c r="N465" s="11"/>
      <c r="O465" s="11"/>
    </row>
    <row r="466" spans="2:15" s="9" customFormat="1" x14ac:dyDescent="0.2">
      <c r="B466" s="10"/>
      <c r="C466" s="11"/>
      <c r="D466" s="63"/>
      <c r="E466" s="11"/>
      <c r="F466" s="65"/>
      <c r="G466" s="12"/>
      <c r="H466" s="41"/>
      <c r="I466" s="30"/>
      <c r="J466" s="30"/>
      <c r="K466" s="30"/>
      <c r="L466" s="11"/>
      <c r="M466" s="11"/>
      <c r="N466" s="11"/>
      <c r="O466" s="11"/>
    </row>
    <row r="467" spans="2:15" s="9" customFormat="1" x14ac:dyDescent="0.2">
      <c r="B467" s="10"/>
      <c r="C467" s="11"/>
      <c r="D467" s="63"/>
      <c r="E467" s="11"/>
      <c r="F467" s="65"/>
      <c r="G467" s="12"/>
      <c r="H467" s="41"/>
      <c r="I467" s="30"/>
      <c r="J467" s="30"/>
      <c r="K467" s="30"/>
      <c r="L467" s="11"/>
      <c r="M467" s="11"/>
      <c r="N467" s="11"/>
      <c r="O467" s="11"/>
    </row>
    <row r="468" spans="2:15" s="9" customFormat="1" x14ac:dyDescent="0.2">
      <c r="B468" s="10"/>
      <c r="C468" s="11"/>
      <c r="D468" s="63"/>
      <c r="E468" s="11"/>
      <c r="F468" s="65"/>
      <c r="G468" s="12"/>
      <c r="H468" s="41"/>
      <c r="I468" s="30"/>
      <c r="J468" s="30"/>
      <c r="K468" s="30"/>
      <c r="L468" s="11"/>
      <c r="M468" s="11"/>
      <c r="N468" s="11"/>
      <c r="O468" s="11"/>
    </row>
    <row r="469" spans="2:15" s="9" customFormat="1" x14ac:dyDescent="0.2">
      <c r="B469" s="10"/>
      <c r="C469" s="11"/>
      <c r="D469" s="63"/>
      <c r="E469" s="11"/>
      <c r="F469" s="65"/>
      <c r="G469" s="12"/>
      <c r="H469" s="41"/>
      <c r="I469" s="30"/>
      <c r="J469" s="30"/>
      <c r="K469" s="30"/>
      <c r="L469" s="11"/>
      <c r="M469" s="11"/>
      <c r="N469" s="11"/>
      <c r="O469" s="11"/>
    </row>
    <row r="470" spans="2:15" s="9" customFormat="1" x14ac:dyDescent="0.2">
      <c r="B470" s="10"/>
      <c r="C470" s="11"/>
      <c r="D470" s="63"/>
      <c r="E470" s="11"/>
      <c r="F470" s="65"/>
      <c r="G470" s="12"/>
      <c r="H470" s="41"/>
      <c r="I470" s="30"/>
      <c r="J470" s="30"/>
      <c r="K470" s="30"/>
      <c r="L470" s="11"/>
      <c r="M470" s="11"/>
      <c r="N470" s="11"/>
      <c r="O470" s="11"/>
    </row>
    <row r="471" spans="2:15" s="9" customFormat="1" x14ac:dyDescent="0.2">
      <c r="B471" s="10"/>
      <c r="C471" s="11"/>
      <c r="D471" s="63"/>
      <c r="E471" s="11"/>
      <c r="F471" s="65"/>
      <c r="G471" s="12"/>
      <c r="H471" s="41"/>
      <c r="I471" s="30"/>
      <c r="J471" s="30"/>
      <c r="K471" s="30"/>
      <c r="L471" s="11"/>
      <c r="M471" s="11"/>
      <c r="N471" s="11"/>
      <c r="O471" s="11"/>
    </row>
    <row r="472" spans="2:15" s="9" customFormat="1" x14ac:dyDescent="0.2">
      <c r="B472" s="10"/>
      <c r="C472" s="11"/>
      <c r="D472" s="63"/>
      <c r="E472" s="11"/>
      <c r="F472" s="65"/>
      <c r="G472" s="12"/>
      <c r="H472" s="41"/>
      <c r="I472" s="30"/>
      <c r="J472" s="30"/>
      <c r="K472" s="30"/>
      <c r="L472" s="11"/>
      <c r="M472" s="11"/>
      <c r="N472" s="11"/>
      <c r="O472" s="11"/>
    </row>
    <row r="473" spans="2:15" s="9" customFormat="1" x14ac:dyDescent="0.2">
      <c r="B473" s="10"/>
      <c r="C473" s="11"/>
      <c r="D473" s="63"/>
      <c r="E473" s="11"/>
      <c r="F473" s="65"/>
      <c r="G473" s="12"/>
      <c r="H473" s="41"/>
      <c r="I473" s="30"/>
      <c r="J473" s="30"/>
      <c r="K473" s="30"/>
      <c r="L473" s="11"/>
      <c r="M473" s="11"/>
      <c r="N473" s="11"/>
      <c r="O473" s="11"/>
    </row>
    <row r="474" spans="2:15" s="9" customFormat="1" x14ac:dyDescent="0.2">
      <c r="B474" s="10"/>
      <c r="C474" s="11"/>
      <c r="D474" s="63"/>
      <c r="E474" s="11"/>
      <c r="F474" s="65"/>
      <c r="G474" s="12"/>
      <c r="H474" s="41"/>
      <c r="I474" s="30"/>
      <c r="J474" s="30"/>
      <c r="K474" s="30"/>
      <c r="L474" s="11"/>
      <c r="M474" s="11"/>
      <c r="N474" s="11"/>
      <c r="O474" s="11"/>
    </row>
    <row r="475" spans="2:15" s="9" customFormat="1" x14ac:dyDescent="0.2">
      <c r="B475" s="10"/>
      <c r="C475" s="11"/>
      <c r="D475" s="63"/>
      <c r="E475" s="11"/>
      <c r="F475" s="65"/>
      <c r="G475" s="12"/>
      <c r="H475" s="41"/>
      <c r="I475" s="30"/>
      <c r="J475" s="30"/>
      <c r="K475" s="30"/>
      <c r="L475" s="11"/>
      <c r="M475" s="11"/>
      <c r="N475" s="11"/>
      <c r="O475" s="11"/>
    </row>
    <row r="476" spans="2:15" s="9" customFormat="1" x14ac:dyDescent="0.2">
      <c r="B476" s="10"/>
      <c r="C476" s="11"/>
      <c r="D476" s="63"/>
      <c r="E476" s="11"/>
      <c r="F476" s="65"/>
      <c r="G476" s="12"/>
      <c r="H476" s="41"/>
      <c r="I476" s="30"/>
      <c r="J476" s="30"/>
      <c r="K476" s="30"/>
      <c r="L476" s="11"/>
      <c r="M476" s="11"/>
      <c r="N476" s="11"/>
      <c r="O476" s="11"/>
    </row>
    <row r="477" spans="2:15" s="9" customFormat="1" x14ac:dyDescent="0.2">
      <c r="B477" s="10"/>
      <c r="C477" s="11"/>
      <c r="D477" s="63"/>
      <c r="E477" s="11"/>
      <c r="F477" s="65"/>
      <c r="G477" s="12"/>
      <c r="H477" s="41"/>
      <c r="I477" s="30"/>
      <c r="J477" s="30"/>
      <c r="K477" s="30"/>
      <c r="L477" s="11"/>
      <c r="M477" s="11"/>
      <c r="N477" s="11"/>
      <c r="O477" s="11"/>
    </row>
    <row r="478" spans="2:15" s="9" customFormat="1" x14ac:dyDescent="0.2">
      <c r="B478" s="10"/>
      <c r="C478" s="11"/>
      <c r="D478" s="63"/>
      <c r="E478" s="11"/>
      <c r="F478" s="65"/>
      <c r="G478" s="12"/>
      <c r="H478" s="41"/>
      <c r="I478" s="30"/>
      <c r="J478" s="30"/>
      <c r="K478" s="30"/>
      <c r="L478" s="11"/>
      <c r="M478" s="11"/>
      <c r="N478" s="11"/>
      <c r="O478" s="11"/>
    </row>
    <row r="479" spans="2:15" s="9" customFormat="1" x14ac:dyDescent="0.2">
      <c r="B479" s="10"/>
      <c r="C479" s="11"/>
      <c r="D479" s="63"/>
      <c r="E479" s="11"/>
      <c r="F479" s="65"/>
      <c r="G479" s="12"/>
      <c r="H479" s="41"/>
      <c r="I479" s="30"/>
      <c r="J479" s="30"/>
      <c r="K479" s="30"/>
      <c r="L479" s="11"/>
      <c r="M479" s="11"/>
      <c r="N479" s="11"/>
      <c r="O479" s="11"/>
    </row>
    <row r="480" spans="2:15" s="9" customFormat="1" x14ac:dyDescent="0.2">
      <c r="B480" s="10"/>
      <c r="C480" s="11"/>
      <c r="D480" s="63"/>
      <c r="E480" s="11"/>
      <c r="F480" s="65"/>
      <c r="G480" s="12"/>
      <c r="H480" s="41"/>
      <c r="I480" s="30"/>
      <c r="J480" s="30"/>
      <c r="K480" s="30"/>
      <c r="L480" s="11"/>
      <c r="M480" s="11"/>
      <c r="N480" s="11"/>
      <c r="O480" s="11"/>
    </row>
    <row r="481" spans="2:15" s="9" customFormat="1" x14ac:dyDescent="0.2">
      <c r="B481" s="10"/>
      <c r="C481" s="11"/>
      <c r="D481" s="63"/>
      <c r="E481" s="11"/>
      <c r="F481" s="65"/>
      <c r="G481" s="12"/>
      <c r="H481" s="41"/>
      <c r="I481" s="30"/>
      <c r="J481" s="30"/>
      <c r="K481" s="30"/>
      <c r="L481" s="11"/>
      <c r="M481" s="11"/>
      <c r="N481" s="11"/>
      <c r="O481" s="11"/>
    </row>
    <row r="482" spans="2:15" s="9" customFormat="1" x14ac:dyDescent="0.2">
      <c r="B482" s="10"/>
      <c r="C482" s="11"/>
      <c r="D482" s="63"/>
      <c r="E482" s="11"/>
      <c r="F482" s="65"/>
      <c r="G482" s="12"/>
      <c r="H482" s="41"/>
      <c r="I482" s="30"/>
      <c r="J482" s="30"/>
      <c r="K482" s="30"/>
      <c r="L482" s="11"/>
      <c r="M482" s="11"/>
      <c r="N482" s="11"/>
      <c r="O482" s="11"/>
    </row>
    <row r="483" spans="2:15" s="9" customFormat="1" x14ac:dyDescent="0.2">
      <c r="B483" s="10"/>
      <c r="C483" s="11"/>
      <c r="D483" s="63"/>
      <c r="E483" s="11"/>
      <c r="F483" s="65"/>
      <c r="G483" s="12"/>
      <c r="H483" s="41"/>
      <c r="I483" s="30"/>
      <c r="J483" s="30"/>
      <c r="K483" s="30"/>
      <c r="L483" s="11"/>
      <c r="M483" s="11"/>
      <c r="N483" s="11"/>
      <c r="O483" s="11"/>
    </row>
    <row r="484" spans="2:15" s="9" customFormat="1" x14ac:dyDescent="0.2">
      <c r="B484" s="10"/>
      <c r="C484" s="11"/>
      <c r="D484" s="63"/>
      <c r="E484" s="11"/>
      <c r="F484" s="65"/>
      <c r="G484" s="12"/>
      <c r="H484" s="41"/>
      <c r="I484" s="30"/>
      <c r="J484" s="30"/>
      <c r="K484" s="30"/>
      <c r="L484" s="11"/>
      <c r="M484" s="11"/>
      <c r="N484" s="11"/>
      <c r="O484" s="11"/>
    </row>
    <row r="485" spans="2:15" s="9" customFormat="1" x14ac:dyDescent="0.2">
      <c r="B485" s="10"/>
      <c r="C485" s="11"/>
      <c r="D485" s="63"/>
      <c r="E485" s="11"/>
      <c r="F485" s="65"/>
      <c r="G485" s="12"/>
      <c r="H485" s="41"/>
      <c r="I485" s="30"/>
      <c r="J485" s="30"/>
      <c r="K485" s="30"/>
      <c r="L485" s="11"/>
      <c r="M485" s="11"/>
      <c r="N485" s="11"/>
      <c r="O485" s="11"/>
    </row>
    <row r="486" spans="2:15" s="9" customFormat="1" x14ac:dyDescent="0.2">
      <c r="B486" s="10"/>
      <c r="C486" s="11"/>
      <c r="D486" s="63"/>
      <c r="E486" s="11"/>
      <c r="F486" s="65"/>
      <c r="G486" s="12"/>
      <c r="H486" s="41"/>
      <c r="I486" s="30"/>
      <c r="J486" s="30"/>
      <c r="K486" s="30"/>
      <c r="L486" s="11"/>
      <c r="M486" s="11"/>
      <c r="N486" s="11"/>
      <c r="O486" s="11"/>
    </row>
    <row r="487" spans="2:15" s="9" customFormat="1" x14ac:dyDescent="0.2">
      <c r="B487" s="10"/>
      <c r="C487" s="11"/>
      <c r="D487" s="63"/>
      <c r="E487" s="11"/>
      <c r="F487" s="65"/>
      <c r="G487" s="12"/>
      <c r="H487" s="41"/>
      <c r="I487" s="30"/>
      <c r="J487" s="30"/>
      <c r="K487" s="30"/>
      <c r="L487" s="11"/>
      <c r="M487" s="11"/>
      <c r="N487" s="11"/>
      <c r="O487" s="11"/>
    </row>
    <row r="488" spans="2:15" s="9" customFormat="1" x14ac:dyDescent="0.2">
      <c r="B488" s="10"/>
      <c r="C488" s="11"/>
      <c r="D488" s="63"/>
      <c r="E488" s="11"/>
      <c r="F488" s="65"/>
      <c r="G488" s="12"/>
      <c r="H488" s="41"/>
      <c r="I488" s="30"/>
      <c r="J488" s="30"/>
      <c r="K488" s="30"/>
      <c r="L488" s="11"/>
      <c r="M488" s="11"/>
      <c r="N488" s="11"/>
      <c r="O488" s="11"/>
    </row>
    <row r="489" spans="2:15" s="9" customFormat="1" x14ac:dyDescent="0.2">
      <c r="B489" s="10"/>
      <c r="C489" s="11"/>
      <c r="D489" s="63"/>
      <c r="E489" s="11"/>
      <c r="F489" s="65"/>
      <c r="G489" s="12"/>
      <c r="H489" s="41"/>
      <c r="I489" s="30"/>
      <c r="J489" s="30"/>
      <c r="K489" s="30"/>
      <c r="L489" s="11"/>
      <c r="M489" s="11"/>
      <c r="N489" s="11"/>
      <c r="O489" s="11"/>
    </row>
    <row r="490" spans="2:15" s="9" customFormat="1" x14ac:dyDescent="0.2">
      <c r="B490" s="10"/>
      <c r="C490" s="11"/>
      <c r="D490" s="63"/>
      <c r="E490" s="11"/>
      <c r="F490" s="65"/>
      <c r="G490" s="12"/>
      <c r="H490" s="41"/>
      <c r="I490" s="30"/>
      <c r="J490" s="30"/>
      <c r="K490" s="30"/>
      <c r="L490" s="11"/>
      <c r="M490" s="11"/>
      <c r="N490" s="11"/>
      <c r="O490" s="11"/>
    </row>
    <row r="491" spans="2:15" s="9" customFormat="1" x14ac:dyDescent="0.2">
      <c r="B491" s="10"/>
      <c r="C491" s="11"/>
      <c r="D491" s="63"/>
      <c r="E491" s="11"/>
      <c r="F491" s="65"/>
      <c r="G491" s="12"/>
      <c r="H491" s="41"/>
      <c r="I491" s="30"/>
      <c r="J491" s="30"/>
      <c r="K491" s="30"/>
      <c r="L491" s="11"/>
      <c r="M491" s="11"/>
      <c r="N491" s="11"/>
      <c r="O491" s="11"/>
    </row>
    <row r="492" spans="2:15" s="9" customFormat="1" x14ac:dyDescent="0.2">
      <c r="B492" s="10"/>
      <c r="C492" s="11"/>
      <c r="D492" s="63"/>
      <c r="E492" s="11"/>
      <c r="F492" s="65"/>
      <c r="G492" s="12"/>
      <c r="H492" s="41"/>
      <c r="I492" s="30"/>
      <c r="J492" s="30"/>
      <c r="K492" s="30"/>
      <c r="L492" s="11"/>
      <c r="M492" s="11"/>
      <c r="N492" s="11"/>
      <c r="O492" s="11"/>
    </row>
    <row r="493" spans="2:15" s="9" customFormat="1" x14ac:dyDescent="0.2">
      <c r="B493" s="10"/>
      <c r="C493" s="11"/>
      <c r="D493" s="63"/>
      <c r="E493" s="11"/>
      <c r="F493" s="65"/>
      <c r="G493" s="12"/>
      <c r="H493" s="41"/>
      <c r="I493" s="30"/>
      <c r="J493" s="30"/>
      <c r="K493" s="30"/>
      <c r="L493" s="11"/>
      <c r="M493" s="11"/>
      <c r="N493" s="11"/>
      <c r="O493" s="11"/>
    </row>
    <row r="494" spans="2:15" s="9" customFormat="1" x14ac:dyDescent="0.2">
      <c r="B494" s="10"/>
      <c r="C494" s="11"/>
      <c r="D494" s="63"/>
      <c r="E494" s="11"/>
      <c r="F494" s="65"/>
      <c r="G494" s="12"/>
      <c r="H494" s="41"/>
      <c r="I494" s="30"/>
      <c r="J494" s="30"/>
      <c r="K494" s="30"/>
      <c r="L494" s="11"/>
      <c r="M494" s="11"/>
      <c r="N494" s="11"/>
      <c r="O494" s="11"/>
    </row>
    <row r="495" spans="2:15" s="9" customFormat="1" x14ac:dyDescent="0.2">
      <c r="B495" s="10"/>
      <c r="C495" s="11"/>
      <c r="D495" s="63"/>
      <c r="E495" s="11"/>
      <c r="F495" s="65"/>
      <c r="G495" s="12"/>
      <c r="H495" s="41"/>
      <c r="I495" s="30"/>
      <c r="J495" s="30"/>
      <c r="K495" s="30"/>
      <c r="L495" s="11"/>
      <c r="M495" s="11"/>
      <c r="N495" s="11"/>
      <c r="O495" s="11"/>
    </row>
    <row r="496" spans="2:15" s="9" customFormat="1" x14ac:dyDescent="0.2">
      <c r="B496" s="10"/>
      <c r="C496" s="11"/>
      <c r="D496" s="63"/>
      <c r="E496" s="11"/>
      <c r="F496" s="65"/>
      <c r="G496" s="12"/>
      <c r="H496" s="41"/>
      <c r="I496" s="30"/>
      <c r="J496" s="30"/>
      <c r="K496" s="30"/>
      <c r="L496" s="11"/>
      <c r="M496" s="11"/>
      <c r="N496" s="11"/>
      <c r="O496" s="11"/>
    </row>
    <row r="497" spans="2:15" s="9" customFormat="1" x14ac:dyDescent="0.2">
      <c r="B497" s="10"/>
      <c r="C497" s="11"/>
      <c r="D497" s="63"/>
      <c r="E497" s="11"/>
      <c r="F497" s="65"/>
      <c r="G497" s="12"/>
      <c r="H497" s="41"/>
      <c r="I497" s="30"/>
      <c r="J497" s="30"/>
      <c r="K497" s="30"/>
      <c r="L497" s="11"/>
      <c r="M497" s="11"/>
      <c r="N497" s="11"/>
      <c r="O497" s="11"/>
    </row>
    <row r="498" spans="2:15" s="9" customFormat="1" x14ac:dyDescent="0.2">
      <c r="B498" s="10"/>
      <c r="C498" s="11"/>
      <c r="D498" s="63"/>
      <c r="E498" s="11"/>
      <c r="F498" s="65"/>
      <c r="G498" s="12"/>
      <c r="H498" s="41"/>
      <c r="I498" s="30"/>
      <c r="J498" s="30"/>
      <c r="K498" s="30"/>
      <c r="L498" s="11"/>
      <c r="M498" s="11"/>
      <c r="N498" s="11"/>
      <c r="O498" s="11"/>
    </row>
    <row r="499" spans="2:15" s="9" customFormat="1" x14ac:dyDescent="0.2">
      <c r="B499" s="10"/>
      <c r="C499" s="11"/>
      <c r="D499" s="63"/>
      <c r="E499" s="11"/>
      <c r="F499" s="65"/>
      <c r="G499" s="12"/>
      <c r="H499" s="41"/>
      <c r="I499" s="30"/>
      <c r="J499" s="30"/>
      <c r="K499" s="30"/>
      <c r="L499" s="11"/>
      <c r="M499" s="11"/>
      <c r="N499" s="11"/>
      <c r="O499" s="11"/>
    </row>
    <row r="500" spans="2:15" s="9" customFormat="1" x14ac:dyDescent="0.2">
      <c r="B500" s="10"/>
      <c r="C500" s="11"/>
      <c r="D500" s="63"/>
      <c r="E500" s="11"/>
      <c r="F500" s="65"/>
      <c r="G500" s="12"/>
      <c r="H500" s="41"/>
      <c r="I500" s="30"/>
      <c r="J500" s="30"/>
      <c r="K500" s="30"/>
      <c r="L500" s="11"/>
      <c r="M500" s="11"/>
      <c r="N500" s="11"/>
      <c r="O500" s="11"/>
    </row>
    <row r="501" spans="2:15" s="9" customFormat="1" x14ac:dyDescent="0.2">
      <c r="B501" s="10"/>
      <c r="C501" s="11"/>
      <c r="D501" s="63"/>
      <c r="E501" s="11"/>
      <c r="F501" s="65"/>
      <c r="G501" s="12"/>
      <c r="H501" s="41"/>
      <c r="I501" s="30"/>
      <c r="J501" s="30"/>
      <c r="K501" s="30"/>
      <c r="L501" s="11"/>
      <c r="M501" s="11"/>
      <c r="N501" s="11"/>
      <c r="O501" s="11"/>
    </row>
    <row r="502" spans="2:15" s="9" customFormat="1" x14ac:dyDescent="0.2">
      <c r="B502" s="10"/>
      <c r="C502" s="11"/>
      <c r="D502" s="63"/>
      <c r="E502" s="11"/>
      <c r="F502" s="65"/>
      <c r="G502" s="12"/>
      <c r="H502" s="41"/>
      <c r="I502" s="30"/>
      <c r="J502" s="30"/>
      <c r="K502" s="30"/>
      <c r="L502" s="11"/>
      <c r="M502" s="11"/>
      <c r="N502" s="11"/>
      <c r="O502" s="11"/>
    </row>
    <row r="503" spans="2:15" s="9" customFormat="1" x14ac:dyDescent="0.2">
      <c r="B503" s="10"/>
      <c r="C503" s="11"/>
      <c r="D503" s="63"/>
      <c r="E503" s="11"/>
      <c r="F503" s="65"/>
      <c r="G503" s="12"/>
      <c r="H503" s="41"/>
      <c r="I503" s="30"/>
      <c r="J503" s="30"/>
      <c r="K503" s="30"/>
      <c r="L503" s="11"/>
      <c r="M503" s="11"/>
      <c r="N503" s="11"/>
      <c r="O503" s="11"/>
    </row>
    <row r="504" spans="2:15" s="9" customFormat="1" x14ac:dyDescent="0.2">
      <c r="B504" s="10"/>
      <c r="C504" s="11"/>
      <c r="D504" s="63"/>
      <c r="E504" s="11"/>
      <c r="F504" s="65"/>
      <c r="G504" s="12"/>
      <c r="H504" s="41"/>
      <c r="I504" s="30"/>
      <c r="J504" s="30"/>
      <c r="K504" s="30"/>
      <c r="L504" s="11"/>
      <c r="M504" s="11"/>
      <c r="N504" s="11"/>
      <c r="O504" s="11"/>
    </row>
    <row r="505" spans="2:15" s="9" customFormat="1" x14ac:dyDescent="0.2">
      <c r="B505" s="10"/>
      <c r="C505" s="11"/>
      <c r="D505" s="63"/>
      <c r="E505" s="11"/>
      <c r="F505" s="65"/>
      <c r="G505" s="12"/>
      <c r="H505" s="41"/>
      <c r="I505" s="30"/>
      <c r="J505" s="30"/>
      <c r="K505" s="30"/>
      <c r="L505" s="11"/>
      <c r="M505" s="11"/>
      <c r="N505" s="11"/>
      <c r="O505" s="11"/>
    </row>
    <row r="506" spans="2:15" s="9" customFormat="1" x14ac:dyDescent="0.2">
      <c r="B506" s="10"/>
      <c r="C506" s="11"/>
      <c r="D506" s="63"/>
      <c r="E506" s="11"/>
      <c r="F506" s="65"/>
      <c r="G506" s="12"/>
      <c r="H506" s="41"/>
      <c r="I506" s="30"/>
      <c r="J506" s="30"/>
      <c r="K506" s="30"/>
      <c r="L506" s="11"/>
      <c r="M506" s="11"/>
      <c r="N506" s="11"/>
      <c r="O506" s="11"/>
    </row>
    <row r="507" spans="2:15" s="9" customFormat="1" x14ac:dyDescent="0.2">
      <c r="B507" s="10"/>
      <c r="C507" s="11"/>
      <c r="D507" s="63"/>
      <c r="E507" s="11"/>
      <c r="F507" s="65"/>
      <c r="G507" s="12"/>
      <c r="H507" s="41"/>
      <c r="I507" s="30"/>
      <c r="J507" s="30"/>
      <c r="K507" s="30"/>
      <c r="L507" s="11"/>
      <c r="M507" s="11"/>
      <c r="N507" s="11"/>
      <c r="O507" s="11"/>
    </row>
    <row r="508" spans="2:15" s="9" customFormat="1" x14ac:dyDescent="0.2">
      <c r="B508" s="10"/>
      <c r="C508" s="11"/>
      <c r="D508" s="63"/>
      <c r="E508" s="11"/>
      <c r="F508" s="65"/>
      <c r="G508" s="12"/>
      <c r="H508" s="41"/>
      <c r="I508" s="30"/>
      <c r="J508" s="30"/>
      <c r="K508" s="30"/>
      <c r="L508" s="11"/>
      <c r="M508" s="11"/>
      <c r="N508" s="11"/>
      <c r="O508" s="11"/>
    </row>
    <row r="509" spans="2:15" s="9" customFormat="1" x14ac:dyDescent="0.2">
      <c r="B509" s="10"/>
      <c r="C509" s="11"/>
      <c r="D509" s="63"/>
      <c r="E509" s="11"/>
      <c r="F509" s="65"/>
      <c r="G509" s="12"/>
      <c r="H509" s="41"/>
      <c r="I509" s="30"/>
      <c r="J509" s="30"/>
      <c r="K509" s="30"/>
      <c r="L509" s="11"/>
      <c r="M509" s="11"/>
      <c r="N509" s="11"/>
      <c r="O509" s="11"/>
    </row>
    <row r="510" spans="2:15" s="9" customFormat="1" x14ac:dyDescent="0.2">
      <c r="B510" s="10"/>
      <c r="C510" s="11"/>
      <c r="D510" s="63"/>
      <c r="E510" s="11"/>
      <c r="F510" s="65"/>
      <c r="G510" s="12"/>
      <c r="H510" s="41"/>
      <c r="I510" s="30"/>
      <c r="J510" s="30"/>
      <c r="K510" s="30"/>
      <c r="L510" s="11"/>
      <c r="M510" s="11"/>
      <c r="N510" s="11"/>
      <c r="O510" s="11"/>
    </row>
    <row r="511" spans="2:15" s="9" customFormat="1" x14ac:dyDescent="0.2">
      <c r="B511" s="10"/>
      <c r="C511" s="11"/>
      <c r="D511" s="63"/>
      <c r="E511" s="11"/>
      <c r="F511" s="65"/>
      <c r="G511" s="12"/>
      <c r="H511" s="41"/>
      <c r="I511" s="30"/>
      <c r="J511" s="30"/>
      <c r="K511" s="30"/>
      <c r="L511" s="11"/>
      <c r="M511" s="11"/>
      <c r="N511" s="11"/>
      <c r="O511" s="11"/>
    </row>
    <row r="512" spans="2:15" s="9" customFormat="1" x14ac:dyDescent="0.2">
      <c r="B512" s="10"/>
      <c r="C512" s="11"/>
      <c r="D512" s="63"/>
      <c r="E512" s="11"/>
      <c r="F512" s="65"/>
      <c r="G512" s="12"/>
      <c r="H512" s="41"/>
      <c r="I512" s="30"/>
      <c r="J512" s="30"/>
      <c r="K512" s="30"/>
      <c r="L512" s="11"/>
      <c r="M512" s="11"/>
      <c r="N512" s="11"/>
      <c r="O512" s="11"/>
    </row>
    <row r="513" spans="2:15" s="9" customFormat="1" x14ac:dyDescent="0.2">
      <c r="B513" s="10"/>
      <c r="C513" s="11"/>
      <c r="D513" s="63"/>
      <c r="E513" s="11"/>
      <c r="F513" s="65"/>
      <c r="G513" s="12"/>
      <c r="H513" s="41"/>
      <c r="I513" s="30"/>
      <c r="J513" s="30"/>
      <c r="K513" s="30"/>
      <c r="L513" s="11"/>
      <c r="M513" s="11"/>
      <c r="N513" s="11"/>
      <c r="O513" s="11"/>
    </row>
    <row r="514" spans="2:15" s="9" customFormat="1" x14ac:dyDescent="0.2">
      <c r="B514" s="10"/>
      <c r="C514" s="11"/>
      <c r="D514" s="63"/>
      <c r="E514" s="11"/>
      <c r="F514" s="65"/>
      <c r="G514" s="12"/>
      <c r="H514" s="41"/>
      <c r="I514" s="30"/>
      <c r="J514" s="30"/>
      <c r="K514" s="30"/>
      <c r="L514" s="11"/>
      <c r="M514" s="11"/>
      <c r="N514" s="11"/>
      <c r="O514" s="11"/>
    </row>
    <row r="515" spans="2:15" s="9" customFormat="1" x14ac:dyDescent="0.2">
      <c r="B515" s="10"/>
      <c r="C515" s="11"/>
      <c r="D515" s="63"/>
      <c r="E515" s="11"/>
      <c r="F515" s="65"/>
      <c r="G515" s="12"/>
      <c r="H515" s="41"/>
      <c r="I515" s="30"/>
      <c r="J515" s="30"/>
      <c r="K515" s="30"/>
      <c r="L515" s="11"/>
      <c r="M515" s="11"/>
      <c r="N515" s="11"/>
      <c r="O515" s="11"/>
    </row>
    <row r="516" spans="2:15" s="9" customFormat="1" x14ac:dyDescent="0.2">
      <c r="B516" s="10"/>
      <c r="C516" s="11"/>
      <c r="D516" s="63"/>
      <c r="E516" s="11"/>
      <c r="F516" s="65"/>
      <c r="G516" s="12"/>
      <c r="H516" s="41"/>
      <c r="I516" s="30"/>
      <c r="J516" s="30"/>
      <c r="K516" s="30"/>
      <c r="L516" s="11"/>
      <c r="M516" s="11"/>
      <c r="N516" s="11"/>
      <c r="O516" s="11"/>
    </row>
    <row r="517" spans="2:15" s="9" customFormat="1" x14ac:dyDescent="0.2">
      <c r="B517" s="10"/>
      <c r="C517" s="11"/>
      <c r="D517" s="63"/>
      <c r="E517" s="11"/>
      <c r="F517" s="65"/>
      <c r="G517" s="12"/>
      <c r="H517" s="41"/>
      <c r="I517" s="30"/>
      <c r="J517" s="30"/>
      <c r="K517" s="30"/>
      <c r="L517" s="11"/>
      <c r="M517" s="11"/>
      <c r="N517" s="11"/>
      <c r="O517" s="11"/>
    </row>
    <row r="518" spans="2:15" s="9" customFormat="1" x14ac:dyDescent="0.2">
      <c r="B518" s="10"/>
      <c r="C518" s="11"/>
      <c r="D518" s="63"/>
      <c r="E518" s="11"/>
      <c r="F518" s="65"/>
      <c r="G518" s="12"/>
      <c r="H518" s="41"/>
      <c r="I518" s="30"/>
      <c r="J518" s="30"/>
      <c r="K518" s="30"/>
      <c r="L518" s="11"/>
      <c r="M518" s="11"/>
      <c r="N518" s="11"/>
      <c r="O518" s="11"/>
    </row>
    <row r="519" spans="2:15" s="9" customFormat="1" x14ac:dyDescent="0.2">
      <c r="B519" s="10"/>
      <c r="C519" s="11"/>
      <c r="D519" s="63"/>
      <c r="E519" s="11"/>
      <c r="F519" s="65"/>
      <c r="G519" s="12"/>
      <c r="H519" s="41"/>
      <c r="I519" s="30"/>
      <c r="J519" s="30"/>
      <c r="K519" s="30"/>
      <c r="L519" s="11"/>
      <c r="M519" s="11"/>
      <c r="N519" s="11"/>
      <c r="O519" s="11"/>
    </row>
    <row r="520" spans="2:15" s="9" customFormat="1" x14ac:dyDescent="0.2">
      <c r="B520" s="10"/>
      <c r="C520" s="11"/>
      <c r="D520" s="63"/>
      <c r="E520" s="11"/>
      <c r="F520" s="65"/>
      <c r="G520" s="12"/>
      <c r="H520" s="41"/>
      <c r="I520" s="30"/>
      <c r="J520" s="30"/>
      <c r="K520" s="30"/>
      <c r="L520" s="11"/>
      <c r="M520" s="11"/>
      <c r="N520" s="11"/>
      <c r="O520" s="11"/>
    </row>
    <row r="521" spans="2:15" s="9" customFormat="1" x14ac:dyDescent="0.2">
      <c r="B521" s="10"/>
      <c r="C521" s="11"/>
      <c r="D521" s="63"/>
      <c r="E521" s="11"/>
      <c r="F521" s="65"/>
      <c r="G521" s="12"/>
      <c r="H521" s="41"/>
      <c r="I521" s="30"/>
      <c r="J521" s="30"/>
      <c r="K521" s="30"/>
      <c r="L521" s="11"/>
      <c r="M521" s="11"/>
      <c r="N521" s="11"/>
      <c r="O521" s="11"/>
    </row>
    <row r="522" spans="2:15" s="9" customFormat="1" x14ac:dyDescent="0.2">
      <c r="B522" s="10"/>
      <c r="C522" s="11"/>
      <c r="D522" s="63"/>
      <c r="E522" s="11"/>
      <c r="F522" s="65"/>
      <c r="G522" s="12"/>
      <c r="H522" s="41"/>
      <c r="I522" s="30"/>
      <c r="J522" s="30"/>
      <c r="K522" s="30"/>
      <c r="L522" s="11"/>
      <c r="M522" s="11"/>
      <c r="N522" s="11"/>
      <c r="O522" s="11"/>
    </row>
    <row r="523" spans="2:15" s="9" customFormat="1" x14ac:dyDescent="0.2">
      <c r="B523" s="10"/>
      <c r="C523" s="11"/>
      <c r="D523" s="63"/>
      <c r="E523" s="11"/>
      <c r="F523" s="65"/>
      <c r="G523" s="12"/>
      <c r="H523" s="41"/>
      <c r="I523" s="30"/>
      <c r="J523" s="30"/>
      <c r="K523" s="30"/>
      <c r="L523" s="11"/>
      <c r="M523" s="11"/>
      <c r="N523" s="11"/>
      <c r="O523" s="11"/>
    </row>
    <row r="524" spans="2:15" s="9" customFormat="1" x14ac:dyDescent="0.2">
      <c r="B524" s="10"/>
      <c r="C524" s="11"/>
      <c r="D524" s="63"/>
      <c r="E524" s="11"/>
      <c r="F524" s="65"/>
      <c r="G524" s="12"/>
      <c r="H524" s="41"/>
      <c r="I524" s="30"/>
      <c r="J524" s="30"/>
      <c r="K524" s="30"/>
      <c r="L524" s="11"/>
      <c r="M524" s="11"/>
      <c r="N524" s="11"/>
      <c r="O524" s="11"/>
    </row>
    <row r="525" spans="2:15" s="9" customFormat="1" x14ac:dyDescent="0.2">
      <c r="B525" s="10"/>
      <c r="C525" s="11"/>
      <c r="D525" s="63"/>
      <c r="E525" s="11"/>
      <c r="F525" s="65"/>
      <c r="G525" s="12"/>
      <c r="H525" s="41"/>
      <c r="I525" s="30"/>
      <c r="J525" s="30"/>
      <c r="K525" s="30"/>
      <c r="L525" s="11"/>
      <c r="M525" s="11"/>
      <c r="N525" s="11"/>
      <c r="O525" s="11"/>
    </row>
    <row r="526" spans="2:15" s="9" customFormat="1" x14ac:dyDescent="0.2">
      <c r="B526" s="10"/>
      <c r="C526" s="11"/>
      <c r="D526" s="63"/>
      <c r="E526" s="11"/>
      <c r="F526" s="65"/>
      <c r="G526" s="12"/>
      <c r="H526" s="41"/>
      <c r="I526" s="30"/>
      <c r="J526" s="30"/>
      <c r="K526" s="30"/>
      <c r="L526" s="11"/>
      <c r="M526" s="11"/>
      <c r="N526" s="11"/>
      <c r="O526" s="11"/>
    </row>
    <row r="527" spans="2:15" s="9" customFormat="1" x14ac:dyDescent="0.2">
      <c r="B527" s="10"/>
      <c r="C527" s="11"/>
      <c r="D527" s="63"/>
      <c r="E527" s="11"/>
      <c r="F527" s="65"/>
      <c r="G527" s="12"/>
      <c r="H527" s="41"/>
      <c r="I527" s="30"/>
      <c r="J527" s="30"/>
      <c r="K527" s="30"/>
      <c r="L527" s="11"/>
      <c r="M527" s="11"/>
      <c r="N527" s="11"/>
      <c r="O527" s="11"/>
    </row>
    <row r="528" spans="2:15" s="9" customFormat="1" x14ac:dyDescent="0.2">
      <c r="B528" s="10"/>
      <c r="C528" s="11"/>
      <c r="D528" s="63"/>
      <c r="E528" s="11"/>
      <c r="F528" s="65"/>
      <c r="G528" s="12"/>
      <c r="H528" s="41"/>
      <c r="I528" s="30"/>
      <c r="J528" s="30"/>
      <c r="K528" s="30"/>
      <c r="L528" s="11"/>
      <c r="M528" s="11"/>
      <c r="N528" s="11"/>
      <c r="O528" s="11"/>
    </row>
    <row r="529" spans="2:15" s="9" customFormat="1" x14ac:dyDescent="0.2">
      <c r="B529" s="10"/>
      <c r="C529" s="11"/>
      <c r="D529" s="63"/>
      <c r="E529" s="11"/>
      <c r="F529" s="65"/>
      <c r="G529" s="12"/>
      <c r="H529" s="41"/>
      <c r="I529" s="30"/>
      <c r="J529" s="30"/>
      <c r="K529" s="30"/>
      <c r="L529" s="11"/>
      <c r="M529" s="11"/>
      <c r="N529" s="11"/>
      <c r="O529" s="11"/>
    </row>
    <row r="530" spans="2:15" s="9" customFormat="1" x14ac:dyDescent="0.2">
      <c r="B530" s="10"/>
      <c r="C530" s="11"/>
      <c r="D530" s="63"/>
      <c r="E530" s="11"/>
      <c r="F530" s="65"/>
      <c r="G530" s="12"/>
      <c r="H530" s="41"/>
      <c r="I530" s="30"/>
      <c r="J530" s="30"/>
      <c r="K530" s="30"/>
      <c r="L530" s="11"/>
      <c r="M530" s="11"/>
      <c r="N530" s="11"/>
      <c r="O530" s="11"/>
    </row>
    <row r="531" spans="2:15" s="9" customFormat="1" x14ac:dyDescent="0.2">
      <c r="B531" s="10"/>
      <c r="C531" s="11"/>
      <c r="D531" s="63"/>
      <c r="E531" s="11"/>
      <c r="F531" s="65"/>
      <c r="G531" s="12"/>
      <c r="H531" s="41"/>
      <c r="I531" s="30"/>
      <c r="J531" s="30"/>
      <c r="K531" s="30"/>
      <c r="L531" s="11"/>
      <c r="M531" s="11"/>
      <c r="N531" s="11"/>
      <c r="O531" s="11"/>
    </row>
    <row r="532" spans="2:15" s="9" customFormat="1" x14ac:dyDescent="0.2">
      <c r="B532" s="10"/>
      <c r="C532" s="11"/>
      <c r="D532" s="63"/>
      <c r="E532" s="11"/>
      <c r="F532" s="65"/>
      <c r="G532" s="12"/>
      <c r="H532" s="41"/>
      <c r="I532" s="30"/>
      <c r="J532" s="30"/>
      <c r="K532" s="30"/>
      <c r="L532" s="11"/>
      <c r="M532" s="11"/>
      <c r="N532" s="11"/>
      <c r="O532" s="11"/>
    </row>
    <row r="533" spans="2:15" s="9" customFormat="1" x14ac:dyDescent="0.2">
      <c r="B533" s="10"/>
      <c r="C533" s="11"/>
      <c r="D533" s="63"/>
      <c r="E533" s="11"/>
      <c r="F533" s="65"/>
      <c r="G533" s="12"/>
      <c r="H533" s="41"/>
      <c r="I533" s="30"/>
      <c r="J533" s="30"/>
      <c r="K533" s="30"/>
      <c r="L533" s="11"/>
      <c r="M533" s="11"/>
      <c r="N533" s="11"/>
      <c r="O533" s="11"/>
    </row>
    <row r="534" spans="2:15" s="9" customFormat="1" x14ac:dyDescent="0.2">
      <c r="B534" s="10"/>
      <c r="C534" s="11"/>
      <c r="D534" s="63"/>
      <c r="E534" s="11"/>
      <c r="F534" s="65"/>
      <c r="G534" s="12"/>
      <c r="H534" s="41"/>
      <c r="I534" s="30"/>
      <c r="J534" s="30"/>
      <c r="K534" s="30"/>
      <c r="L534" s="11"/>
      <c r="M534" s="11"/>
      <c r="N534" s="11"/>
      <c r="O534" s="11"/>
    </row>
    <row r="535" spans="2:15" s="9" customFormat="1" x14ac:dyDescent="0.2">
      <c r="B535" s="10"/>
      <c r="C535" s="11"/>
      <c r="D535" s="63"/>
      <c r="E535" s="11"/>
      <c r="F535" s="65"/>
      <c r="G535" s="12"/>
      <c r="H535" s="41"/>
      <c r="I535" s="30"/>
      <c r="J535" s="30"/>
      <c r="K535" s="30"/>
      <c r="L535" s="11"/>
      <c r="M535" s="11"/>
      <c r="N535" s="11"/>
      <c r="O535" s="11"/>
    </row>
    <row r="536" spans="2:15" s="9" customFormat="1" x14ac:dyDescent="0.2">
      <c r="B536" s="10"/>
      <c r="C536" s="11"/>
      <c r="D536" s="63"/>
      <c r="E536" s="11"/>
      <c r="F536" s="65"/>
      <c r="G536" s="12"/>
      <c r="H536" s="41"/>
      <c r="I536" s="30"/>
      <c r="J536" s="30"/>
      <c r="K536" s="30"/>
      <c r="L536" s="11"/>
      <c r="M536" s="11"/>
      <c r="N536" s="11"/>
      <c r="O536" s="11"/>
    </row>
    <row r="537" spans="2:15" s="9" customFormat="1" x14ac:dyDescent="0.2">
      <c r="B537" s="10"/>
      <c r="C537" s="11"/>
      <c r="D537" s="63"/>
      <c r="E537" s="11"/>
      <c r="F537" s="65"/>
      <c r="G537" s="12"/>
      <c r="H537" s="41"/>
      <c r="I537" s="30"/>
      <c r="J537" s="30"/>
      <c r="K537" s="30"/>
      <c r="L537" s="11"/>
      <c r="M537" s="11"/>
      <c r="N537" s="11"/>
      <c r="O537" s="11"/>
    </row>
    <row r="538" spans="2:15" s="9" customFormat="1" x14ac:dyDescent="0.2">
      <c r="B538" s="10"/>
      <c r="C538" s="11"/>
      <c r="D538" s="63"/>
      <c r="E538" s="11"/>
      <c r="F538" s="65"/>
      <c r="G538" s="12"/>
      <c r="H538" s="41"/>
      <c r="I538" s="30"/>
      <c r="J538" s="30"/>
      <c r="K538" s="30"/>
      <c r="L538" s="11"/>
      <c r="M538" s="11"/>
      <c r="N538" s="11"/>
      <c r="O538" s="11"/>
    </row>
    <row r="539" spans="2:15" s="9" customFormat="1" x14ac:dyDescent="0.2">
      <c r="B539" s="10"/>
      <c r="C539" s="11"/>
      <c r="D539" s="63"/>
      <c r="E539" s="11"/>
      <c r="F539" s="65"/>
      <c r="G539" s="12"/>
      <c r="H539" s="41"/>
      <c r="I539" s="30"/>
      <c r="J539" s="30"/>
      <c r="K539" s="30"/>
      <c r="L539" s="11"/>
      <c r="M539" s="11"/>
      <c r="N539" s="11"/>
      <c r="O539" s="11"/>
    </row>
    <row r="540" spans="2:15" s="9" customFormat="1" x14ac:dyDescent="0.2">
      <c r="B540" s="10"/>
      <c r="C540" s="11"/>
      <c r="D540" s="63"/>
      <c r="E540" s="11"/>
      <c r="F540" s="65"/>
      <c r="G540" s="12"/>
      <c r="H540" s="41"/>
      <c r="I540" s="30"/>
      <c r="J540" s="30"/>
      <c r="K540" s="30"/>
      <c r="L540" s="11"/>
      <c r="M540" s="11"/>
      <c r="N540" s="11"/>
      <c r="O540" s="11"/>
    </row>
    <row r="541" spans="2:15" s="9" customFormat="1" x14ac:dyDescent="0.2">
      <c r="B541" s="10"/>
      <c r="C541" s="11"/>
      <c r="D541" s="63"/>
      <c r="E541" s="11"/>
      <c r="F541" s="65"/>
      <c r="G541" s="12"/>
      <c r="H541" s="41"/>
      <c r="I541" s="30"/>
      <c r="J541" s="30"/>
      <c r="K541" s="30"/>
      <c r="L541" s="11"/>
      <c r="M541" s="11"/>
      <c r="N541" s="11"/>
      <c r="O541" s="11"/>
    </row>
    <row r="542" spans="2:15" s="9" customFormat="1" x14ac:dyDescent="0.2">
      <c r="B542" s="10"/>
      <c r="C542" s="11"/>
      <c r="D542" s="63"/>
      <c r="E542" s="11"/>
      <c r="F542" s="65"/>
      <c r="G542" s="12"/>
      <c r="H542" s="41"/>
      <c r="I542" s="30"/>
      <c r="J542" s="30"/>
      <c r="K542" s="30"/>
      <c r="L542" s="11"/>
      <c r="M542" s="11"/>
      <c r="N542" s="11"/>
      <c r="O542" s="11"/>
    </row>
    <row r="543" spans="2:15" s="9" customFormat="1" x14ac:dyDescent="0.2">
      <c r="B543" s="10"/>
      <c r="C543" s="11"/>
      <c r="D543" s="63"/>
      <c r="E543" s="11"/>
      <c r="F543" s="65"/>
      <c r="G543" s="12"/>
      <c r="H543" s="41"/>
      <c r="I543" s="30"/>
      <c r="J543" s="30"/>
      <c r="K543" s="30"/>
      <c r="L543" s="11"/>
      <c r="M543" s="11"/>
      <c r="N543" s="11"/>
      <c r="O543" s="11"/>
    </row>
    <row r="544" spans="2:15" s="9" customFormat="1" x14ac:dyDescent="0.2">
      <c r="B544" s="10"/>
      <c r="C544" s="11"/>
      <c r="D544" s="63"/>
      <c r="E544" s="11"/>
      <c r="F544" s="65"/>
      <c r="G544" s="12"/>
      <c r="H544" s="41"/>
      <c r="I544" s="30"/>
      <c r="J544" s="30"/>
      <c r="K544" s="30"/>
      <c r="L544" s="11"/>
      <c r="M544" s="11"/>
      <c r="N544" s="11"/>
      <c r="O544" s="11"/>
    </row>
    <row r="545" spans="2:15" s="9" customFormat="1" x14ac:dyDescent="0.2">
      <c r="B545" s="10"/>
      <c r="C545" s="11"/>
      <c r="D545" s="63"/>
      <c r="E545" s="11"/>
      <c r="F545" s="65"/>
      <c r="G545" s="12"/>
      <c r="H545" s="41"/>
      <c r="I545" s="30"/>
      <c r="J545" s="30"/>
      <c r="K545" s="30"/>
      <c r="L545" s="11"/>
      <c r="M545" s="11"/>
      <c r="N545" s="11"/>
      <c r="O545" s="11"/>
    </row>
    <row r="546" spans="2:15" s="9" customFormat="1" x14ac:dyDescent="0.2">
      <c r="B546" s="10"/>
      <c r="C546" s="11"/>
      <c r="D546" s="63"/>
      <c r="E546" s="11"/>
      <c r="F546" s="65"/>
      <c r="G546" s="12"/>
      <c r="H546" s="41"/>
      <c r="I546" s="30"/>
      <c r="J546" s="30"/>
      <c r="K546" s="30"/>
      <c r="L546" s="11"/>
      <c r="M546" s="11"/>
      <c r="N546" s="11"/>
      <c r="O546" s="11"/>
    </row>
    <row r="547" spans="2:15" s="9" customFormat="1" x14ac:dyDescent="0.2">
      <c r="B547" s="10"/>
      <c r="C547" s="11"/>
      <c r="D547" s="63"/>
      <c r="E547" s="11"/>
      <c r="F547" s="65"/>
      <c r="G547" s="12"/>
      <c r="H547" s="41"/>
      <c r="I547" s="30"/>
      <c r="J547" s="30"/>
      <c r="K547" s="30"/>
      <c r="L547" s="11"/>
      <c r="M547" s="11"/>
      <c r="N547" s="11"/>
      <c r="O547" s="11"/>
    </row>
    <row r="548" spans="2:15" s="9" customFormat="1" x14ac:dyDescent="0.2">
      <c r="B548" s="10"/>
      <c r="C548" s="11"/>
      <c r="D548" s="63"/>
      <c r="E548" s="11"/>
      <c r="F548" s="65"/>
      <c r="G548" s="12"/>
      <c r="H548" s="41"/>
      <c r="I548" s="30"/>
      <c r="J548" s="30"/>
      <c r="K548" s="30"/>
      <c r="L548" s="11"/>
      <c r="M548" s="11"/>
      <c r="N548" s="11"/>
      <c r="O548" s="11"/>
    </row>
    <row r="549" spans="2:15" s="9" customFormat="1" x14ac:dyDescent="0.2">
      <c r="B549" s="10"/>
      <c r="C549" s="11"/>
      <c r="D549" s="63"/>
      <c r="E549" s="11"/>
      <c r="F549" s="65"/>
      <c r="G549" s="12"/>
      <c r="H549" s="41"/>
      <c r="I549" s="30"/>
      <c r="J549" s="30"/>
      <c r="K549" s="30"/>
      <c r="L549" s="11"/>
      <c r="M549" s="11"/>
      <c r="N549" s="11"/>
      <c r="O549" s="11"/>
    </row>
    <row r="550" spans="2:15" s="9" customFormat="1" x14ac:dyDescent="0.2">
      <c r="B550" s="10"/>
      <c r="C550" s="11"/>
      <c r="D550" s="63"/>
      <c r="E550" s="11"/>
      <c r="F550" s="65"/>
      <c r="G550" s="12"/>
      <c r="H550" s="41"/>
      <c r="I550" s="30"/>
      <c r="J550" s="30"/>
      <c r="K550" s="30"/>
      <c r="L550" s="11"/>
      <c r="M550" s="11"/>
      <c r="N550" s="11"/>
      <c r="O550" s="11"/>
    </row>
    <row r="551" spans="2:15" s="9" customFormat="1" x14ac:dyDescent="0.2">
      <c r="B551" s="10"/>
      <c r="C551" s="11"/>
      <c r="D551" s="63"/>
      <c r="E551" s="11"/>
      <c r="F551" s="65"/>
      <c r="G551" s="12"/>
      <c r="H551" s="41"/>
      <c r="I551" s="30"/>
      <c r="J551" s="30"/>
      <c r="K551" s="30"/>
      <c r="L551" s="11"/>
      <c r="M551" s="11"/>
      <c r="N551" s="11"/>
      <c r="O551" s="11"/>
    </row>
    <row r="552" spans="2:15" s="9" customFormat="1" x14ac:dyDescent="0.2">
      <c r="B552" s="10"/>
      <c r="C552" s="11"/>
      <c r="D552" s="63"/>
      <c r="E552" s="11"/>
      <c r="F552" s="65"/>
      <c r="G552" s="12"/>
      <c r="H552" s="41"/>
      <c r="I552" s="30"/>
      <c r="J552" s="30"/>
      <c r="K552" s="30"/>
      <c r="L552" s="11"/>
      <c r="M552" s="11"/>
      <c r="N552" s="11"/>
      <c r="O552" s="11"/>
    </row>
    <row r="553" spans="2:15" s="9" customFormat="1" x14ac:dyDescent="0.2">
      <c r="B553" s="10"/>
      <c r="C553" s="11"/>
      <c r="D553" s="63"/>
      <c r="E553" s="11"/>
      <c r="F553" s="65"/>
      <c r="G553" s="12"/>
      <c r="H553" s="41"/>
      <c r="I553" s="30"/>
      <c r="J553" s="30"/>
      <c r="K553" s="30"/>
      <c r="L553" s="11"/>
      <c r="M553" s="11"/>
      <c r="N553" s="11"/>
      <c r="O553" s="11"/>
    </row>
    <row r="554" spans="2:15" s="9" customFormat="1" x14ac:dyDescent="0.2">
      <c r="B554" s="10"/>
      <c r="C554" s="11"/>
      <c r="D554" s="63"/>
      <c r="E554" s="11"/>
      <c r="F554" s="65"/>
      <c r="G554" s="12"/>
      <c r="H554" s="41"/>
      <c r="I554" s="30"/>
      <c r="J554" s="30"/>
      <c r="K554" s="30"/>
      <c r="L554" s="11"/>
      <c r="M554" s="11"/>
      <c r="N554" s="11"/>
      <c r="O554" s="11"/>
    </row>
    <row r="555" spans="2:15" s="9" customFormat="1" x14ac:dyDescent="0.2">
      <c r="B555" s="10"/>
      <c r="C555" s="11"/>
      <c r="D555" s="63"/>
      <c r="E555" s="11"/>
      <c r="F555" s="65"/>
      <c r="G555" s="12"/>
      <c r="H555" s="41"/>
      <c r="I555" s="30"/>
      <c r="J555" s="30"/>
      <c r="K555" s="30"/>
      <c r="L555" s="11"/>
      <c r="M555" s="11"/>
      <c r="N555" s="11"/>
      <c r="O555" s="11"/>
    </row>
    <row r="556" spans="2:15" s="9" customFormat="1" x14ac:dyDescent="0.2">
      <c r="B556" s="10"/>
      <c r="C556" s="11"/>
      <c r="D556" s="63"/>
      <c r="E556" s="11"/>
      <c r="F556" s="65"/>
      <c r="G556" s="12"/>
      <c r="H556" s="41"/>
      <c r="I556" s="30"/>
      <c r="J556" s="30"/>
      <c r="K556" s="30"/>
      <c r="L556" s="11"/>
      <c r="M556" s="11"/>
      <c r="N556" s="11"/>
      <c r="O556" s="11"/>
    </row>
    <row r="557" spans="2:15" s="9" customFormat="1" x14ac:dyDescent="0.2">
      <c r="B557" s="10"/>
      <c r="C557" s="11"/>
      <c r="D557" s="63"/>
      <c r="E557" s="11"/>
      <c r="F557" s="65"/>
      <c r="G557" s="12"/>
      <c r="H557" s="41"/>
      <c r="I557" s="30"/>
      <c r="J557" s="30"/>
      <c r="K557" s="30"/>
      <c r="L557" s="11"/>
      <c r="M557" s="11"/>
      <c r="N557" s="11"/>
      <c r="O557" s="11"/>
    </row>
    <row r="558" spans="2:15" s="9" customFormat="1" x14ac:dyDescent="0.2">
      <c r="B558" s="10"/>
      <c r="C558" s="11"/>
      <c r="D558" s="63"/>
      <c r="E558" s="11"/>
      <c r="F558" s="65"/>
      <c r="G558" s="12"/>
      <c r="H558" s="41"/>
      <c r="I558" s="30"/>
      <c r="J558" s="30"/>
      <c r="K558" s="30"/>
      <c r="L558" s="11"/>
      <c r="M558" s="11"/>
      <c r="N558" s="11"/>
      <c r="O558" s="11"/>
    </row>
    <row r="559" spans="2:15" s="9" customFormat="1" x14ac:dyDescent="0.2">
      <c r="B559" s="10"/>
      <c r="C559" s="11"/>
      <c r="D559" s="63"/>
      <c r="E559" s="11"/>
      <c r="F559" s="65"/>
      <c r="G559" s="12"/>
      <c r="H559" s="41"/>
      <c r="I559" s="30"/>
      <c r="J559" s="30"/>
      <c r="K559" s="30"/>
      <c r="L559" s="11"/>
      <c r="M559" s="11"/>
      <c r="N559" s="11"/>
      <c r="O559" s="11"/>
    </row>
    <row r="560" spans="2:15" s="9" customFormat="1" x14ac:dyDescent="0.2">
      <c r="B560" s="10"/>
      <c r="C560" s="11"/>
      <c r="D560" s="63"/>
      <c r="E560" s="11"/>
      <c r="F560" s="65"/>
      <c r="G560" s="12"/>
      <c r="H560" s="41"/>
      <c r="I560" s="30"/>
      <c r="J560" s="30"/>
      <c r="K560" s="30"/>
      <c r="L560" s="11"/>
      <c r="M560" s="11"/>
      <c r="N560" s="11"/>
      <c r="O560" s="11"/>
    </row>
    <row r="561" spans="2:15" s="9" customFormat="1" x14ac:dyDescent="0.2">
      <c r="B561" s="10"/>
      <c r="C561" s="11"/>
      <c r="D561" s="63"/>
      <c r="E561" s="11"/>
      <c r="F561" s="65"/>
      <c r="G561" s="12"/>
      <c r="H561" s="41"/>
      <c r="I561" s="30"/>
      <c r="J561" s="30"/>
      <c r="K561" s="30"/>
      <c r="L561" s="11"/>
      <c r="M561" s="11"/>
      <c r="N561" s="11"/>
      <c r="O561" s="11"/>
    </row>
    <row r="562" spans="2:15" s="9" customFormat="1" x14ac:dyDescent="0.2">
      <c r="B562" s="10"/>
      <c r="C562" s="11"/>
      <c r="D562" s="63"/>
      <c r="E562" s="11"/>
      <c r="F562" s="65"/>
      <c r="G562" s="12"/>
      <c r="H562" s="41"/>
      <c r="I562" s="30"/>
      <c r="J562" s="30"/>
      <c r="K562" s="30"/>
      <c r="L562" s="11"/>
      <c r="M562" s="11"/>
      <c r="N562" s="11"/>
      <c r="O562" s="11"/>
    </row>
    <row r="563" spans="2:15" s="9" customFormat="1" x14ac:dyDescent="0.2">
      <c r="B563" s="10"/>
      <c r="C563" s="11"/>
      <c r="D563" s="63"/>
      <c r="E563" s="11"/>
      <c r="F563" s="65"/>
      <c r="G563" s="12"/>
      <c r="H563" s="41"/>
      <c r="I563" s="30"/>
      <c r="J563" s="30"/>
      <c r="K563" s="30"/>
      <c r="L563" s="11"/>
      <c r="M563" s="11"/>
      <c r="N563" s="11"/>
      <c r="O563" s="11"/>
    </row>
    <row r="564" spans="2:15" s="9" customFormat="1" x14ac:dyDescent="0.2">
      <c r="B564" s="10"/>
      <c r="C564" s="11"/>
      <c r="D564" s="63"/>
      <c r="E564" s="11"/>
      <c r="F564" s="65"/>
      <c r="G564" s="12"/>
      <c r="H564" s="41"/>
      <c r="I564" s="30"/>
      <c r="J564" s="30"/>
      <c r="K564" s="30"/>
      <c r="L564" s="11"/>
      <c r="M564" s="11"/>
      <c r="N564" s="11"/>
      <c r="O564" s="11"/>
    </row>
    <row r="565" spans="2:15" s="9" customFormat="1" x14ac:dyDescent="0.2">
      <c r="B565" s="10"/>
      <c r="C565" s="11"/>
      <c r="D565" s="63"/>
      <c r="E565" s="11"/>
      <c r="F565" s="65"/>
      <c r="G565" s="12"/>
      <c r="H565" s="41"/>
      <c r="I565" s="30"/>
      <c r="J565" s="30"/>
      <c r="K565" s="30"/>
      <c r="L565" s="11"/>
      <c r="M565" s="11"/>
      <c r="N565" s="11"/>
      <c r="O565" s="11"/>
    </row>
    <row r="566" spans="2:15" s="9" customFormat="1" x14ac:dyDescent="0.2">
      <c r="B566" s="10"/>
      <c r="C566" s="11"/>
      <c r="D566" s="63"/>
      <c r="E566" s="11"/>
      <c r="F566" s="65"/>
      <c r="G566" s="12"/>
      <c r="H566" s="41"/>
      <c r="I566" s="30"/>
      <c r="J566" s="30"/>
      <c r="K566" s="30"/>
      <c r="L566" s="11"/>
      <c r="M566" s="11"/>
      <c r="N566" s="11"/>
      <c r="O566" s="11"/>
    </row>
    <row r="567" spans="2:15" s="9" customFormat="1" x14ac:dyDescent="0.2">
      <c r="B567" s="10"/>
      <c r="C567" s="11"/>
      <c r="D567" s="63"/>
      <c r="E567" s="11"/>
      <c r="F567" s="65"/>
      <c r="G567" s="12"/>
      <c r="H567" s="41"/>
      <c r="I567" s="30"/>
      <c r="J567" s="30"/>
      <c r="K567" s="30"/>
      <c r="L567" s="11"/>
      <c r="M567" s="11"/>
      <c r="N567" s="11"/>
      <c r="O567" s="11"/>
    </row>
    <row r="568" spans="2:15" s="9" customFormat="1" x14ac:dyDescent="0.2">
      <c r="B568" s="10"/>
      <c r="C568" s="11"/>
      <c r="D568" s="63"/>
      <c r="E568" s="11"/>
      <c r="F568" s="65"/>
      <c r="G568" s="12"/>
      <c r="H568" s="41"/>
      <c r="I568" s="30"/>
      <c r="J568" s="30"/>
      <c r="K568" s="30"/>
      <c r="L568" s="11"/>
      <c r="M568" s="11"/>
      <c r="N568" s="11"/>
      <c r="O568" s="11"/>
    </row>
    <row r="569" spans="2:15" s="9" customFormat="1" x14ac:dyDescent="0.2">
      <c r="B569" s="10"/>
      <c r="C569" s="11"/>
      <c r="D569" s="63"/>
      <c r="E569" s="11"/>
      <c r="F569" s="65"/>
      <c r="G569" s="12"/>
      <c r="H569" s="41"/>
      <c r="I569" s="30"/>
      <c r="J569" s="30"/>
      <c r="K569" s="30"/>
      <c r="L569" s="11"/>
      <c r="M569" s="11"/>
      <c r="N569" s="11"/>
      <c r="O569" s="11"/>
    </row>
    <row r="570" spans="2:15" s="9" customFormat="1" x14ac:dyDescent="0.2">
      <c r="B570" s="10"/>
      <c r="C570" s="11"/>
      <c r="D570" s="63"/>
      <c r="E570" s="11"/>
      <c r="F570" s="65"/>
      <c r="G570" s="12"/>
      <c r="H570" s="41"/>
      <c r="I570" s="30"/>
      <c r="J570" s="30"/>
      <c r="K570" s="30"/>
      <c r="L570" s="11"/>
      <c r="M570" s="11"/>
      <c r="N570" s="11"/>
      <c r="O570" s="11"/>
    </row>
    <row r="571" spans="2:15" s="9" customFormat="1" x14ac:dyDescent="0.2">
      <c r="B571" s="10"/>
      <c r="C571" s="11"/>
      <c r="D571" s="63"/>
      <c r="E571" s="11"/>
      <c r="F571" s="65"/>
      <c r="G571" s="12"/>
      <c r="H571" s="41"/>
      <c r="I571" s="30"/>
      <c r="J571" s="30"/>
      <c r="K571" s="30"/>
      <c r="L571" s="11"/>
      <c r="M571" s="11"/>
      <c r="N571" s="11"/>
      <c r="O571" s="11"/>
    </row>
    <row r="572" spans="2:15" s="9" customFormat="1" x14ac:dyDescent="0.2">
      <c r="B572" s="10"/>
      <c r="C572" s="11"/>
      <c r="D572" s="63"/>
      <c r="E572" s="11"/>
      <c r="F572" s="65"/>
      <c r="G572" s="12"/>
      <c r="H572" s="41"/>
      <c r="I572" s="30"/>
      <c r="J572" s="30"/>
      <c r="K572" s="30"/>
      <c r="L572" s="11"/>
      <c r="M572" s="11"/>
      <c r="N572" s="11"/>
      <c r="O572" s="11"/>
    </row>
    <row r="573" spans="2:15" s="9" customFormat="1" x14ac:dyDescent="0.2">
      <c r="B573" s="10"/>
      <c r="C573" s="11"/>
      <c r="D573" s="63"/>
      <c r="E573" s="11"/>
      <c r="F573" s="65"/>
      <c r="G573" s="12"/>
      <c r="H573" s="41"/>
      <c r="I573" s="30"/>
      <c r="J573" s="30"/>
      <c r="K573" s="30"/>
      <c r="L573" s="11"/>
      <c r="M573" s="11"/>
      <c r="N573" s="11"/>
      <c r="O573" s="11"/>
    </row>
    <row r="574" spans="2:15" s="9" customFormat="1" x14ac:dyDescent="0.2">
      <c r="B574" s="10"/>
      <c r="C574" s="11"/>
      <c r="D574" s="63"/>
      <c r="E574" s="11"/>
      <c r="F574" s="65"/>
      <c r="G574" s="12"/>
      <c r="H574" s="41"/>
      <c r="I574" s="30"/>
      <c r="J574" s="30"/>
      <c r="K574" s="30"/>
      <c r="L574" s="11"/>
      <c r="M574" s="11"/>
      <c r="N574" s="11"/>
      <c r="O574" s="11"/>
    </row>
    <row r="575" spans="2:15" s="9" customFormat="1" x14ac:dyDescent="0.2">
      <c r="B575" s="10"/>
      <c r="C575" s="11"/>
      <c r="D575" s="63"/>
      <c r="E575" s="11"/>
      <c r="F575" s="65"/>
      <c r="G575" s="12"/>
      <c r="H575" s="41"/>
      <c r="I575" s="30"/>
      <c r="J575" s="30"/>
      <c r="K575" s="30"/>
      <c r="L575" s="11"/>
      <c r="M575" s="11"/>
      <c r="N575" s="11"/>
      <c r="O575" s="11"/>
    </row>
    <row r="576" spans="2:15" s="9" customFormat="1" x14ac:dyDescent="0.2">
      <c r="B576" s="10"/>
      <c r="C576" s="11"/>
      <c r="D576" s="63"/>
      <c r="E576" s="11"/>
      <c r="F576" s="65"/>
      <c r="G576" s="12"/>
      <c r="H576" s="41"/>
      <c r="I576" s="30"/>
      <c r="J576" s="30"/>
      <c r="K576" s="30"/>
      <c r="L576" s="11"/>
      <c r="M576" s="11"/>
      <c r="N576" s="11"/>
      <c r="O576" s="11"/>
    </row>
    <row r="577" spans="2:15" s="9" customFormat="1" x14ac:dyDescent="0.2">
      <c r="B577" s="10"/>
      <c r="C577" s="11"/>
      <c r="D577" s="63"/>
      <c r="E577" s="11"/>
      <c r="F577" s="65"/>
      <c r="G577" s="12"/>
      <c r="H577" s="41"/>
      <c r="I577" s="30"/>
      <c r="J577" s="30"/>
      <c r="K577" s="30"/>
      <c r="L577" s="11"/>
      <c r="M577" s="11"/>
      <c r="N577" s="11"/>
      <c r="O577" s="11"/>
    </row>
    <row r="578" spans="2:15" s="9" customFormat="1" x14ac:dyDescent="0.2">
      <c r="B578" s="10"/>
      <c r="C578" s="11"/>
      <c r="D578" s="63"/>
      <c r="E578" s="11"/>
      <c r="F578" s="65"/>
      <c r="G578" s="12"/>
      <c r="H578" s="41"/>
      <c r="I578" s="30"/>
      <c r="J578" s="30"/>
      <c r="K578" s="30"/>
      <c r="L578" s="11"/>
      <c r="M578" s="11"/>
      <c r="N578" s="11"/>
      <c r="O578" s="11"/>
    </row>
    <row r="579" spans="2:15" s="9" customFormat="1" x14ac:dyDescent="0.2">
      <c r="B579" s="10"/>
      <c r="C579" s="11"/>
      <c r="D579" s="63"/>
      <c r="E579" s="11"/>
      <c r="F579" s="65"/>
      <c r="G579" s="12"/>
      <c r="H579" s="41"/>
      <c r="I579" s="30"/>
      <c r="J579" s="30"/>
      <c r="K579" s="30"/>
      <c r="L579" s="11"/>
      <c r="M579" s="11"/>
      <c r="N579" s="11"/>
      <c r="O579" s="11"/>
    </row>
    <row r="580" spans="2:15" s="9" customFormat="1" x14ac:dyDescent="0.2">
      <c r="B580" s="10"/>
      <c r="C580" s="11"/>
      <c r="D580" s="63"/>
      <c r="E580" s="11"/>
      <c r="F580" s="65"/>
      <c r="G580" s="12"/>
      <c r="H580" s="41"/>
      <c r="I580" s="30"/>
      <c r="J580" s="30"/>
      <c r="K580" s="30"/>
      <c r="L580" s="11"/>
      <c r="M580" s="11"/>
      <c r="N580" s="11"/>
      <c r="O580" s="11"/>
    </row>
    <row r="581" spans="2:15" s="9" customFormat="1" x14ac:dyDescent="0.2">
      <c r="B581" s="10"/>
      <c r="C581" s="11"/>
      <c r="D581" s="63"/>
      <c r="E581" s="11"/>
      <c r="F581" s="65"/>
      <c r="G581" s="12"/>
      <c r="H581" s="41"/>
      <c r="I581" s="30"/>
      <c r="J581" s="30"/>
      <c r="K581" s="30"/>
      <c r="L581" s="11"/>
      <c r="M581" s="11"/>
      <c r="N581" s="11"/>
      <c r="O581" s="11"/>
    </row>
    <row r="582" spans="2:15" s="9" customFormat="1" x14ac:dyDescent="0.2">
      <c r="B582" s="10"/>
      <c r="C582" s="11"/>
      <c r="D582" s="63"/>
      <c r="E582" s="11"/>
      <c r="F582" s="65"/>
      <c r="G582" s="12"/>
      <c r="H582" s="41"/>
      <c r="I582" s="30"/>
      <c r="J582" s="30"/>
      <c r="K582" s="30"/>
      <c r="L582" s="11"/>
      <c r="M582" s="11"/>
      <c r="N582" s="11"/>
      <c r="O582" s="11"/>
    </row>
    <row r="583" spans="2:15" s="9" customFormat="1" x14ac:dyDescent="0.2">
      <c r="B583" s="10"/>
      <c r="C583" s="11"/>
      <c r="D583" s="63"/>
      <c r="E583" s="11"/>
      <c r="F583" s="65"/>
      <c r="G583" s="12"/>
      <c r="H583" s="41"/>
      <c r="I583" s="30"/>
      <c r="J583" s="30"/>
      <c r="K583" s="30"/>
      <c r="L583" s="11"/>
      <c r="M583" s="11"/>
      <c r="N583" s="11"/>
      <c r="O583" s="11"/>
    </row>
    <row r="584" spans="2:15" s="9" customFormat="1" x14ac:dyDescent="0.2">
      <c r="B584" s="10"/>
      <c r="C584" s="11"/>
      <c r="D584" s="63"/>
      <c r="E584" s="11"/>
      <c r="F584" s="65"/>
      <c r="G584" s="12"/>
      <c r="H584" s="41"/>
      <c r="I584" s="30"/>
      <c r="J584" s="30"/>
      <c r="K584" s="30"/>
      <c r="L584" s="11"/>
      <c r="M584" s="11"/>
      <c r="N584" s="11"/>
      <c r="O584" s="11"/>
    </row>
    <row r="585" spans="2:15" s="9" customFormat="1" x14ac:dyDescent="0.2">
      <c r="B585" s="10"/>
      <c r="C585" s="11"/>
      <c r="D585" s="63"/>
      <c r="E585" s="11"/>
      <c r="F585" s="65"/>
      <c r="G585" s="12"/>
      <c r="H585" s="41"/>
      <c r="I585" s="30"/>
      <c r="J585" s="30"/>
      <c r="K585" s="30"/>
      <c r="L585" s="11"/>
      <c r="M585" s="11"/>
      <c r="N585" s="11"/>
      <c r="O585" s="11"/>
    </row>
    <row r="586" spans="2:15" s="9" customFormat="1" x14ac:dyDescent="0.2">
      <c r="B586" s="10"/>
      <c r="C586" s="11"/>
      <c r="D586" s="63"/>
      <c r="E586" s="11"/>
      <c r="F586" s="65"/>
      <c r="G586" s="12"/>
      <c r="H586" s="41"/>
      <c r="I586" s="30"/>
      <c r="J586" s="30"/>
      <c r="K586" s="30"/>
      <c r="L586" s="11"/>
      <c r="M586" s="11"/>
      <c r="N586" s="11"/>
      <c r="O586" s="11"/>
    </row>
    <row r="587" spans="2:15" s="9" customFormat="1" x14ac:dyDescent="0.2">
      <c r="B587" s="10"/>
      <c r="C587" s="11"/>
      <c r="D587" s="63"/>
      <c r="E587" s="11"/>
      <c r="F587" s="65"/>
      <c r="G587" s="12"/>
      <c r="H587" s="41"/>
      <c r="I587" s="30"/>
      <c r="J587" s="30"/>
      <c r="K587" s="30"/>
      <c r="L587" s="11"/>
      <c r="M587" s="11"/>
      <c r="N587" s="11"/>
      <c r="O587" s="11"/>
    </row>
    <row r="588" spans="2:15" s="9" customFormat="1" x14ac:dyDescent="0.2">
      <c r="B588" s="10"/>
      <c r="C588" s="11"/>
      <c r="D588" s="63"/>
      <c r="E588" s="11"/>
      <c r="F588" s="65"/>
      <c r="G588" s="12"/>
      <c r="H588" s="41"/>
      <c r="I588" s="30"/>
      <c r="J588" s="30"/>
      <c r="K588" s="30"/>
      <c r="L588" s="11"/>
      <c r="M588" s="11"/>
      <c r="N588" s="11"/>
      <c r="O588" s="11"/>
    </row>
    <row r="589" spans="2:15" s="9" customFormat="1" x14ac:dyDescent="0.2">
      <c r="B589" s="10"/>
      <c r="C589" s="11"/>
      <c r="D589" s="63"/>
      <c r="E589" s="11"/>
      <c r="F589" s="65"/>
      <c r="G589" s="12"/>
      <c r="H589" s="41"/>
      <c r="I589" s="30"/>
      <c r="J589" s="30"/>
      <c r="K589" s="30"/>
      <c r="L589" s="11"/>
      <c r="M589" s="11"/>
      <c r="N589" s="11"/>
      <c r="O589" s="11"/>
    </row>
    <row r="590" spans="2:15" s="9" customFormat="1" x14ac:dyDescent="0.2">
      <c r="B590" s="10"/>
      <c r="C590" s="11"/>
      <c r="D590" s="63"/>
      <c r="E590" s="11"/>
      <c r="F590" s="65"/>
      <c r="G590" s="12"/>
      <c r="H590" s="41"/>
      <c r="I590" s="30"/>
      <c r="J590" s="30"/>
      <c r="K590" s="30"/>
      <c r="L590" s="11"/>
      <c r="M590" s="11"/>
      <c r="N590" s="11"/>
      <c r="O590" s="11"/>
    </row>
    <row r="591" spans="2:15" s="9" customFormat="1" x14ac:dyDescent="0.2">
      <c r="B591" s="10"/>
      <c r="C591" s="11"/>
      <c r="D591" s="63"/>
      <c r="E591" s="11"/>
      <c r="F591" s="65"/>
      <c r="G591" s="12"/>
      <c r="H591" s="41"/>
      <c r="I591" s="30"/>
      <c r="J591" s="30"/>
      <c r="K591" s="30"/>
      <c r="L591" s="11"/>
      <c r="M591" s="11"/>
      <c r="N591" s="11"/>
      <c r="O591" s="11"/>
    </row>
    <row r="592" spans="2:15" s="9" customFormat="1" x14ac:dyDescent="0.2">
      <c r="B592" s="10"/>
      <c r="C592" s="11"/>
      <c r="D592" s="63"/>
      <c r="E592" s="11"/>
      <c r="F592" s="65"/>
      <c r="G592" s="12"/>
      <c r="H592" s="41"/>
      <c r="I592" s="30"/>
      <c r="J592" s="30"/>
      <c r="K592" s="30"/>
      <c r="L592" s="11"/>
      <c r="M592" s="11"/>
      <c r="N592" s="11"/>
      <c r="O592" s="11"/>
    </row>
    <row r="593" spans="2:15" s="9" customFormat="1" x14ac:dyDescent="0.2">
      <c r="B593" s="10"/>
      <c r="C593" s="11"/>
      <c r="D593" s="63"/>
      <c r="E593" s="11"/>
      <c r="F593" s="65"/>
      <c r="G593" s="12"/>
      <c r="H593" s="41"/>
      <c r="I593" s="30"/>
      <c r="J593" s="30"/>
      <c r="K593" s="30"/>
      <c r="L593" s="11"/>
      <c r="M593" s="11"/>
      <c r="N593" s="11"/>
      <c r="O593" s="11"/>
    </row>
    <row r="594" spans="2:15" s="9" customFormat="1" x14ac:dyDescent="0.2">
      <c r="B594" s="10"/>
      <c r="C594" s="11"/>
      <c r="D594" s="63"/>
      <c r="E594" s="11"/>
      <c r="F594" s="65"/>
      <c r="G594" s="12"/>
      <c r="H594" s="41"/>
      <c r="I594" s="30"/>
      <c r="J594" s="30"/>
      <c r="K594" s="30"/>
      <c r="L594" s="11"/>
      <c r="M594" s="11"/>
      <c r="N594" s="11"/>
      <c r="O594" s="11"/>
    </row>
    <row r="595" spans="2:15" s="9" customFormat="1" x14ac:dyDescent="0.2">
      <c r="B595" s="10"/>
      <c r="C595" s="11"/>
      <c r="D595" s="63"/>
      <c r="E595" s="11"/>
      <c r="F595" s="65"/>
      <c r="G595" s="12"/>
      <c r="H595" s="41"/>
      <c r="I595" s="30"/>
      <c r="J595" s="30"/>
      <c r="K595" s="30"/>
      <c r="L595" s="11"/>
      <c r="M595" s="11"/>
      <c r="N595" s="11"/>
      <c r="O595" s="11"/>
    </row>
    <row r="596" spans="2:15" s="9" customFormat="1" x14ac:dyDescent="0.2">
      <c r="B596" s="10"/>
      <c r="C596" s="11"/>
      <c r="D596" s="63"/>
      <c r="E596" s="11"/>
      <c r="F596" s="65"/>
      <c r="G596" s="12"/>
      <c r="H596" s="41"/>
      <c r="I596" s="30"/>
      <c r="J596" s="30"/>
      <c r="K596" s="30"/>
      <c r="L596" s="11"/>
      <c r="M596" s="11"/>
      <c r="N596" s="11"/>
      <c r="O596" s="11"/>
    </row>
    <row r="597" spans="2:15" s="9" customFormat="1" x14ac:dyDescent="0.2">
      <c r="B597" s="10"/>
      <c r="C597" s="11"/>
      <c r="D597" s="63"/>
      <c r="E597" s="11"/>
      <c r="F597" s="65"/>
      <c r="G597" s="12"/>
      <c r="H597" s="41"/>
      <c r="I597" s="30"/>
      <c r="J597" s="30"/>
      <c r="K597" s="30"/>
      <c r="L597" s="11"/>
      <c r="M597" s="11"/>
      <c r="N597" s="11"/>
      <c r="O597" s="11"/>
    </row>
    <row r="598" spans="2:15" s="9" customFormat="1" x14ac:dyDescent="0.2">
      <c r="B598" s="10"/>
      <c r="C598" s="11"/>
      <c r="D598" s="63"/>
      <c r="E598" s="11"/>
      <c r="F598" s="65"/>
      <c r="G598" s="12"/>
      <c r="H598" s="41"/>
      <c r="I598" s="30"/>
      <c r="J598" s="30"/>
      <c r="K598" s="30"/>
      <c r="L598" s="11"/>
      <c r="M598" s="11"/>
      <c r="N598" s="11"/>
      <c r="O598" s="11"/>
    </row>
    <row r="599" spans="2:15" s="9" customFormat="1" x14ac:dyDescent="0.2">
      <c r="B599" s="10"/>
      <c r="C599" s="11"/>
      <c r="D599" s="63"/>
      <c r="E599" s="11"/>
      <c r="F599" s="65"/>
      <c r="G599" s="12"/>
      <c r="H599" s="41"/>
      <c r="I599" s="30"/>
      <c r="J599" s="30"/>
      <c r="K599" s="30"/>
      <c r="L599" s="11"/>
      <c r="M599" s="11"/>
      <c r="N599" s="11"/>
      <c r="O599" s="11"/>
    </row>
    <row r="600" spans="2:15" s="9" customFormat="1" x14ac:dyDescent="0.2">
      <c r="B600" s="10"/>
      <c r="C600" s="11"/>
      <c r="D600" s="63"/>
      <c r="E600" s="11"/>
      <c r="F600" s="65"/>
      <c r="G600" s="12"/>
      <c r="H600" s="41"/>
      <c r="I600" s="30"/>
      <c r="J600" s="30"/>
      <c r="K600" s="30"/>
      <c r="L600" s="11"/>
      <c r="M600" s="11"/>
      <c r="N600" s="11"/>
      <c r="O600" s="11"/>
    </row>
    <row r="601" spans="2:15" s="9" customFormat="1" x14ac:dyDescent="0.2">
      <c r="B601" s="10"/>
      <c r="C601" s="11"/>
      <c r="D601" s="63"/>
      <c r="E601" s="11"/>
      <c r="F601" s="65"/>
      <c r="G601" s="12"/>
      <c r="H601" s="41"/>
      <c r="I601" s="30"/>
      <c r="J601" s="30"/>
      <c r="K601" s="30"/>
      <c r="L601" s="11"/>
      <c r="M601" s="11"/>
      <c r="N601" s="11"/>
      <c r="O601" s="11"/>
    </row>
    <row r="602" spans="2:15" s="9" customFormat="1" x14ac:dyDescent="0.2">
      <c r="B602" s="10"/>
      <c r="C602" s="11"/>
      <c r="D602" s="63"/>
      <c r="E602" s="11"/>
      <c r="F602" s="65"/>
      <c r="G602" s="12"/>
      <c r="H602" s="41"/>
      <c r="I602" s="30"/>
      <c r="J602" s="30"/>
      <c r="K602" s="30"/>
      <c r="L602" s="11"/>
      <c r="M602" s="11"/>
      <c r="N602" s="11"/>
      <c r="O602" s="11"/>
    </row>
    <row r="603" spans="2:15" s="9" customFormat="1" x14ac:dyDescent="0.2">
      <c r="B603" s="10"/>
      <c r="C603" s="11"/>
      <c r="D603" s="63"/>
      <c r="E603" s="11"/>
      <c r="F603" s="65"/>
      <c r="G603" s="12"/>
      <c r="H603" s="41"/>
      <c r="I603" s="30"/>
      <c r="J603" s="30"/>
      <c r="K603" s="30"/>
      <c r="L603" s="11"/>
      <c r="M603" s="11"/>
      <c r="N603" s="11"/>
      <c r="O603" s="11"/>
    </row>
    <row r="604" spans="2:15" s="9" customFormat="1" x14ac:dyDescent="0.2">
      <c r="B604" s="10"/>
      <c r="C604" s="11"/>
      <c r="D604" s="63"/>
      <c r="E604" s="11"/>
      <c r="F604" s="65"/>
      <c r="G604" s="12"/>
      <c r="H604" s="41"/>
      <c r="I604" s="30"/>
      <c r="J604" s="30"/>
      <c r="K604" s="30"/>
      <c r="L604" s="11"/>
      <c r="M604" s="11"/>
      <c r="N604" s="11"/>
      <c r="O604" s="11"/>
    </row>
    <row r="605" spans="2:15" s="9" customFormat="1" x14ac:dyDescent="0.2">
      <c r="B605" s="10"/>
      <c r="C605" s="11"/>
      <c r="D605" s="63"/>
      <c r="E605" s="11"/>
      <c r="F605" s="65"/>
      <c r="G605" s="12"/>
      <c r="H605" s="41"/>
      <c r="I605" s="30"/>
      <c r="J605" s="30"/>
      <c r="K605" s="30"/>
      <c r="L605" s="11"/>
      <c r="M605" s="11"/>
      <c r="N605" s="11"/>
      <c r="O605" s="11"/>
    </row>
    <row r="606" spans="2:15" s="9" customFormat="1" x14ac:dyDescent="0.2">
      <c r="B606" s="10"/>
      <c r="C606" s="11"/>
      <c r="D606" s="63"/>
      <c r="E606" s="11"/>
      <c r="F606" s="65"/>
      <c r="G606" s="12"/>
      <c r="H606" s="41"/>
      <c r="I606" s="30"/>
      <c r="J606" s="30"/>
      <c r="K606" s="30"/>
      <c r="L606" s="11"/>
      <c r="M606" s="11"/>
      <c r="N606" s="11"/>
      <c r="O606" s="11"/>
    </row>
    <row r="607" spans="2:15" s="9" customFormat="1" x14ac:dyDescent="0.2">
      <c r="B607" s="10"/>
      <c r="C607" s="11"/>
      <c r="D607" s="63"/>
      <c r="E607" s="11"/>
      <c r="F607" s="65"/>
      <c r="G607" s="12"/>
      <c r="H607" s="41"/>
      <c r="I607" s="30"/>
      <c r="J607" s="30"/>
      <c r="K607" s="30"/>
      <c r="L607" s="11"/>
      <c r="M607" s="11"/>
      <c r="N607" s="11"/>
      <c r="O607" s="11"/>
    </row>
    <row r="608" spans="2:15" s="9" customFormat="1" x14ac:dyDescent="0.2">
      <c r="B608" s="10"/>
      <c r="C608" s="11"/>
      <c r="D608" s="63"/>
      <c r="E608" s="11"/>
      <c r="F608" s="65"/>
      <c r="G608" s="12"/>
      <c r="H608" s="41"/>
      <c r="I608" s="30"/>
      <c r="J608" s="30"/>
      <c r="K608" s="30"/>
      <c r="L608" s="11"/>
      <c r="M608" s="11"/>
      <c r="N608" s="11"/>
      <c r="O608" s="11"/>
    </row>
    <row r="609" spans="2:15" s="9" customFormat="1" x14ac:dyDescent="0.2">
      <c r="B609" s="10"/>
      <c r="C609" s="11"/>
      <c r="D609" s="63"/>
      <c r="E609" s="11"/>
      <c r="F609" s="65"/>
      <c r="G609" s="12"/>
      <c r="H609" s="41"/>
      <c r="I609" s="30"/>
      <c r="J609" s="30"/>
      <c r="K609" s="30"/>
      <c r="L609" s="11"/>
      <c r="M609" s="11"/>
      <c r="N609" s="11"/>
      <c r="O609" s="11"/>
    </row>
    <row r="610" spans="2:15" s="9" customFormat="1" x14ac:dyDescent="0.2">
      <c r="B610" s="10"/>
      <c r="C610" s="11"/>
      <c r="D610" s="63"/>
      <c r="E610" s="11"/>
      <c r="F610" s="65"/>
      <c r="G610" s="12"/>
      <c r="H610" s="41"/>
      <c r="I610" s="30"/>
      <c r="J610" s="30"/>
      <c r="K610" s="30"/>
      <c r="L610" s="11"/>
      <c r="M610" s="11"/>
      <c r="N610" s="11"/>
      <c r="O610" s="11"/>
    </row>
    <row r="611" spans="2:15" s="9" customFormat="1" x14ac:dyDescent="0.2">
      <c r="B611" s="10"/>
      <c r="C611" s="11"/>
      <c r="D611" s="63"/>
      <c r="E611" s="11"/>
      <c r="F611" s="65"/>
      <c r="G611" s="12"/>
      <c r="H611" s="41"/>
      <c r="I611" s="30"/>
      <c r="J611" s="30"/>
      <c r="K611" s="30"/>
      <c r="L611" s="11"/>
      <c r="M611" s="11"/>
      <c r="N611" s="11"/>
      <c r="O611" s="11"/>
    </row>
    <row r="612" spans="2:15" s="9" customFormat="1" x14ac:dyDescent="0.2">
      <c r="B612" s="10"/>
      <c r="C612" s="11"/>
      <c r="D612" s="63"/>
      <c r="E612" s="11"/>
      <c r="F612" s="65"/>
      <c r="G612" s="12"/>
      <c r="H612" s="41"/>
      <c r="I612" s="30"/>
      <c r="J612" s="30"/>
      <c r="K612" s="30"/>
      <c r="L612" s="11"/>
      <c r="M612" s="11"/>
      <c r="N612" s="11"/>
      <c r="O612" s="11"/>
    </row>
    <row r="613" spans="2:15" s="9" customFormat="1" x14ac:dyDescent="0.2">
      <c r="B613" s="10"/>
      <c r="C613" s="11"/>
      <c r="D613" s="63"/>
      <c r="E613" s="11"/>
      <c r="F613" s="65"/>
      <c r="G613" s="12"/>
      <c r="H613" s="41"/>
      <c r="I613" s="30"/>
      <c r="J613" s="30"/>
      <c r="K613" s="30"/>
      <c r="L613" s="11"/>
      <c r="M613" s="11"/>
      <c r="N613" s="11"/>
      <c r="O613" s="11"/>
    </row>
    <row r="614" spans="2:15" s="9" customFormat="1" x14ac:dyDescent="0.2">
      <c r="B614" s="10"/>
      <c r="C614" s="11"/>
      <c r="D614" s="63"/>
      <c r="E614" s="11"/>
      <c r="F614" s="65"/>
      <c r="G614" s="12"/>
      <c r="H614" s="41"/>
      <c r="I614" s="30"/>
      <c r="J614" s="30"/>
      <c r="K614" s="30"/>
      <c r="L614" s="11"/>
      <c r="M614" s="11"/>
      <c r="N614" s="11"/>
      <c r="O614" s="11"/>
    </row>
    <row r="615" spans="2:15" s="9" customFormat="1" x14ac:dyDescent="0.2">
      <c r="B615" s="10"/>
      <c r="C615" s="11"/>
      <c r="D615" s="63"/>
      <c r="E615" s="11"/>
      <c r="F615" s="65"/>
      <c r="G615" s="12"/>
      <c r="H615" s="41"/>
      <c r="I615" s="30"/>
      <c r="J615" s="30"/>
      <c r="K615" s="30"/>
      <c r="L615" s="11"/>
      <c r="M615" s="11"/>
      <c r="N615" s="11"/>
      <c r="O615" s="11"/>
    </row>
    <row r="616" spans="2:15" s="9" customFormat="1" x14ac:dyDescent="0.2">
      <c r="B616" s="10"/>
      <c r="C616" s="11"/>
      <c r="D616" s="63"/>
      <c r="E616" s="11"/>
      <c r="F616" s="65"/>
      <c r="G616" s="12"/>
      <c r="H616" s="41"/>
      <c r="I616" s="30"/>
      <c r="J616" s="30"/>
      <c r="K616" s="30"/>
      <c r="L616" s="11"/>
      <c r="M616" s="11"/>
      <c r="N616" s="11"/>
      <c r="O616" s="11"/>
    </row>
    <row r="617" spans="2:15" s="9" customFormat="1" x14ac:dyDescent="0.2">
      <c r="B617" s="10"/>
      <c r="C617" s="11"/>
      <c r="D617" s="63"/>
      <c r="E617" s="11"/>
      <c r="F617" s="65"/>
      <c r="G617" s="12"/>
      <c r="H617" s="41"/>
      <c r="I617" s="30"/>
      <c r="J617" s="30"/>
      <c r="K617" s="30"/>
      <c r="L617" s="11"/>
      <c r="M617" s="11"/>
      <c r="N617" s="11"/>
      <c r="O617" s="11"/>
    </row>
    <row r="618" spans="2:15" s="9" customFormat="1" x14ac:dyDescent="0.2">
      <c r="B618" s="10"/>
      <c r="C618" s="11"/>
      <c r="D618" s="63"/>
      <c r="E618" s="11"/>
      <c r="F618" s="65"/>
      <c r="G618" s="12"/>
      <c r="H618" s="41"/>
      <c r="I618" s="30"/>
      <c r="J618" s="30"/>
      <c r="K618" s="30"/>
      <c r="L618" s="11"/>
      <c r="M618" s="11"/>
      <c r="N618" s="11"/>
      <c r="O618" s="11"/>
    </row>
    <row r="619" spans="2:15" s="9" customFormat="1" x14ac:dyDescent="0.2">
      <c r="B619" s="10"/>
      <c r="C619" s="11"/>
      <c r="D619" s="63"/>
      <c r="E619" s="11"/>
      <c r="F619" s="65"/>
      <c r="G619" s="12"/>
      <c r="H619" s="41"/>
      <c r="I619" s="30"/>
      <c r="J619" s="30"/>
      <c r="K619" s="30"/>
      <c r="L619" s="11"/>
      <c r="M619" s="11"/>
      <c r="N619" s="11"/>
      <c r="O619" s="11"/>
    </row>
    <row r="620" spans="2:15" s="9" customFormat="1" x14ac:dyDescent="0.2">
      <c r="B620" s="10"/>
      <c r="C620" s="11"/>
      <c r="D620" s="63"/>
      <c r="E620" s="11"/>
      <c r="F620" s="65"/>
      <c r="G620" s="12"/>
      <c r="H620" s="41"/>
      <c r="I620" s="30"/>
      <c r="J620" s="30"/>
      <c r="K620" s="30"/>
      <c r="L620" s="11"/>
      <c r="M620" s="11"/>
      <c r="N620" s="11"/>
      <c r="O620" s="11"/>
    </row>
    <row r="621" spans="2:15" s="9" customFormat="1" x14ac:dyDescent="0.2">
      <c r="B621" s="10"/>
      <c r="C621" s="11"/>
      <c r="D621" s="63"/>
      <c r="E621" s="11"/>
      <c r="F621" s="65"/>
      <c r="G621" s="12"/>
      <c r="H621" s="41"/>
      <c r="I621" s="30"/>
      <c r="J621" s="30"/>
      <c r="K621" s="30"/>
      <c r="L621" s="11"/>
      <c r="M621" s="11"/>
      <c r="N621" s="11"/>
      <c r="O621" s="11"/>
    </row>
    <row r="622" spans="2:15" s="9" customFormat="1" x14ac:dyDescent="0.2">
      <c r="B622" s="10"/>
      <c r="C622" s="11"/>
      <c r="D622" s="63"/>
      <c r="E622" s="11"/>
      <c r="F622" s="65"/>
      <c r="G622" s="12"/>
      <c r="H622" s="41"/>
      <c r="I622" s="30"/>
      <c r="J622" s="30"/>
      <c r="K622" s="30"/>
      <c r="L622" s="11"/>
      <c r="M622" s="11"/>
      <c r="N622" s="11"/>
      <c r="O622" s="11"/>
    </row>
    <row r="623" spans="2:15" s="9" customFormat="1" x14ac:dyDescent="0.2">
      <c r="B623" s="10"/>
      <c r="C623" s="11"/>
      <c r="D623" s="63"/>
      <c r="E623" s="11"/>
      <c r="F623" s="65"/>
      <c r="G623" s="12"/>
      <c r="H623" s="41"/>
      <c r="I623" s="30"/>
      <c r="J623" s="30"/>
      <c r="K623" s="30"/>
      <c r="L623" s="11"/>
      <c r="M623" s="11"/>
      <c r="N623" s="11"/>
      <c r="O623" s="11"/>
    </row>
    <row r="624" spans="2:15" s="9" customFormat="1" x14ac:dyDescent="0.2">
      <c r="B624" s="10"/>
      <c r="C624" s="11"/>
      <c r="D624" s="63"/>
      <c r="E624" s="11"/>
      <c r="F624" s="65"/>
      <c r="G624" s="12"/>
      <c r="H624" s="41"/>
      <c r="I624" s="30"/>
      <c r="J624" s="30"/>
      <c r="K624" s="30"/>
      <c r="L624" s="11"/>
      <c r="M624" s="11"/>
      <c r="N624" s="11"/>
      <c r="O624" s="11"/>
    </row>
    <row r="625" spans="2:15" s="9" customFormat="1" x14ac:dyDescent="0.2">
      <c r="B625" s="10"/>
      <c r="C625" s="11"/>
      <c r="D625" s="63"/>
      <c r="E625" s="11"/>
      <c r="F625" s="65"/>
      <c r="G625" s="12"/>
      <c r="H625" s="41"/>
      <c r="I625" s="30"/>
      <c r="J625" s="30"/>
      <c r="K625" s="30"/>
      <c r="L625" s="11"/>
      <c r="M625" s="11"/>
      <c r="N625" s="11"/>
      <c r="O625" s="11"/>
    </row>
    <row r="626" spans="2:15" s="9" customFormat="1" x14ac:dyDescent="0.2">
      <c r="B626" s="10"/>
      <c r="C626" s="11"/>
      <c r="D626" s="63"/>
      <c r="E626" s="11"/>
      <c r="F626" s="65"/>
      <c r="G626" s="12"/>
      <c r="H626" s="41"/>
      <c r="I626" s="30"/>
      <c r="J626" s="30"/>
      <c r="K626" s="30"/>
      <c r="L626" s="11"/>
      <c r="M626" s="11"/>
      <c r="N626" s="11"/>
      <c r="O626" s="11"/>
    </row>
    <row r="627" spans="2:15" s="9" customFormat="1" x14ac:dyDescent="0.2">
      <c r="B627" s="10"/>
      <c r="C627" s="11"/>
      <c r="D627" s="63"/>
      <c r="E627" s="11"/>
      <c r="F627" s="65"/>
      <c r="G627" s="12"/>
      <c r="H627" s="41"/>
      <c r="I627" s="30"/>
      <c r="J627" s="30"/>
      <c r="K627" s="30"/>
      <c r="L627" s="11"/>
      <c r="M627" s="11"/>
      <c r="N627" s="11"/>
      <c r="O627" s="11"/>
    </row>
    <row r="628" spans="2:15" s="9" customFormat="1" x14ac:dyDescent="0.2">
      <c r="B628" s="10"/>
      <c r="C628" s="11"/>
      <c r="D628" s="63"/>
      <c r="E628" s="11"/>
      <c r="F628" s="65"/>
      <c r="G628" s="12"/>
      <c r="H628" s="41"/>
      <c r="I628" s="30"/>
      <c r="J628" s="30"/>
      <c r="K628" s="30"/>
      <c r="L628" s="11"/>
      <c r="M628" s="11"/>
      <c r="N628" s="11"/>
      <c r="O628" s="11"/>
    </row>
    <row r="629" spans="2:15" s="9" customFormat="1" x14ac:dyDescent="0.2">
      <c r="B629" s="10"/>
      <c r="C629" s="11"/>
      <c r="D629" s="63"/>
      <c r="E629" s="11"/>
      <c r="F629" s="65"/>
      <c r="G629" s="12"/>
      <c r="H629" s="41"/>
      <c r="I629" s="30"/>
      <c r="J629" s="30"/>
      <c r="K629" s="30"/>
      <c r="L629" s="11"/>
      <c r="M629" s="11"/>
      <c r="N629" s="11"/>
      <c r="O629" s="11"/>
    </row>
    <row r="630" spans="2:15" s="9" customFormat="1" x14ac:dyDescent="0.2">
      <c r="B630" s="10"/>
      <c r="C630" s="11"/>
      <c r="D630" s="63"/>
      <c r="E630" s="11"/>
      <c r="F630" s="65"/>
      <c r="G630" s="12"/>
      <c r="H630" s="41"/>
      <c r="I630" s="30"/>
      <c r="J630" s="30"/>
      <c r="K630" s="30"/>
      <c r="L630" s="11"/>
      <c r="M630" s="11"/>
      <c r="N630" s="11"/>
      <c r="O630" s="11"/>
    </row>
    <row r="631" spans="2:15" s="9" customFormat="1" x14ac:dyDescent="0.2">
      <c r="B631" s="10"/>
      <c r="C631" s="11"/>
      <c r="D631" s="63"/>
      <c r="E631" s="11"/>
      <c r="F631" s="65"/>
      <c r="G631" s="12"/>
      <c r="H631" s="41"/>
      <c r="I631" s="30"/>
      <c r="J631" s="30"/>
      <c r="K631" s="30"/>
      <c r="L631" s="11"/>
      <c r="M631" s="11"/>
      <c r="N631" s="11"/>
      <c r="O631" s="11"/>
    </row>
    <row r="632" spans="2:15" s="9" customFormat="1" x14ac:dyDescent="0.2">
      <c r="B632" s="10"/>
      <c r="C632" s="11"/>
      <c r="D632" s="63"/>
      <c r="E632" s="11"/>
      <c r="F632" s="65"/>
      <c r="G632" s="12"/>
      <c r="H632" s="41"/>
      <c r="I632" s="30"/>
      <c r="J632" s="30"/>
      <c r="K632" s="30"/>
      <c r="L632" s="11"/>
      <c r="M632" s="11"/>
      <c r="N632" s="11"/>
      <c r="O632" s="11"/>
    </row>
    <row r="633" spans="2:15" s="9" customFormat="1" x14ac:dyDescent="0.2">
      <c r="B633" s="10"/>
      <c r="C633" s="11"/>
      <c r="D633" s="63"/>
      <c r="E633" s="11"/>
      <c r="F633" s="65"/>
      <c r="G633" s="12"/>
      <c r="H633" s="41"/>
      <c r="I633" s="30"/>
      <c r="J633" s="30"/>
      <c r="K633" s="30"/>
      <c r="L633" s="11"/>
      <c r="M633" s="11"/>
      <c r="N633" s="11"/>
      <c r="O633" s="11"/>
    </row>
    <row r="634" spans="2:15" s="9" customFormat="1" x14ac:dyDescent="0.2">
      <c r="B634" s="10"/>
      <c r="C634" s="11"/>
      <c r="D634" s="63"/>
      <c r="E634" s="11"/>
      <c r="F634" s="65"/>
      <c r="G634" s="12"/>
      <c r="H634" s="41"/>
      <c r="I634" s="30"/>
      <c r="J634" s="30"/>
      <c r="K634" s="30"/>
      <c r="L634" s="11"/>
      <c r="M634" s="11"/>
      <c r="N634" s="11"/>
      <c r="O634" s="11"/>
    </row>
    <row r="635" spans="2:15" s="9" customFormat="1" x14ac:dyDescent="0.2">
      <c r="B635" s="10"/>
      <c r="C635" s="11"/>
      <c r="D635" s="63"/>
      <c r="E635" s="11"/>
      <c r="F635" s="65"/>
      <c r="G635" s="12"/>
      <c r="H635" s="41"/>
      <c r="I635" s="30"/>
      <c r="J635" s="30"/>
      <c r="K635" s="30"/>
      <c r="L635" s="11"/>
      <c r="M635" s="11"/>
      <c r="N635" s="11"/>
      <c r="O635" s="11"/>
    </row>
    <row r="636" spans="2:15" s="9" customFormat="1" x14ac:dyDescent="0.2">
      <c r="B636" s="10"/>
      <c r="C636" s="11"/>
      <c r="D636" s="63"/>
      <c r="E636" s="11"/>
      <c r="F636" s="65"/>
      <c r="G636" s="12"/>
      <c r="H636" s="41"/>
      <c r="I636" s="30"/>
      <c r="J636" s="30"/>
      <c r="K636" s="30"/>
      <c r="L636" s="11"/>
      <c r="M636" s="11"/>
      <c r="N636" s="11"/>
      <c r="O636" s="11"/>
    </row>
    <row r="637" spans="2:15" s="9" customFormat="1" x14ac:dyDescent="0.2">
      <c r="B637" s="10"/>
      <c r="C637" s="11"/>
      <c r="D637" s="63"/>
      <c r="E637" s="11"/>
      <c r="F637" s="65"/>
      <c r="G637" s="12"/>
      <c r="H637" s="41"/>
      <c r="I637" s="30"/>
      <c r="J637" s="30"/>
      <c r="K637" s="30"/>
      <c r="L637" s="11"/>
      <c r="M637" s="11"/>
      <c r="N637" s="11"/>
      <c r="O637" s="11"/>
    </row>
    <row r="638" spans="2:15" s="9" customFormat="1" x14ac:dyDescent="0.2">
      <c r="B638" s="10"/>
      <c r="C638" s="11"/>
      <c r="D638" s="63"/>
      <c r="E638" s="11"/>
      <c r="F638" s="65"/>
      <c r="G638" s="12"/>
      <c r="H638" s="41"/>
      <c r="I638" s="30"/>
      <c r="J638" s="30"/>
      <c r="K638" s="30"/>
      <c r="L638" s="11"/>
      <c r="M638" s="11"/>
      <c r="N638" s="11"/>
      <c r="O638" s="11"/>
    </row>
    <row r="639" spans="2:15" s="9" customFormat="1" x14ac:dyDescent="0.2">
      <c r="B639" s="10"/>
      <c r="C639" s="11"/>
      <c r="D639" s="63"/>
      <c r="E639" s="11"/>
      <c r="F639" s="65"/>
      <c r="G639" s="12"/>
      <c r="H639" s="41"/>
      <c r="I639" s="30"/>
      <c r="J639" s="30"/>
      <c r="K639" s="30"/>
      <c r="L639" s="11"/>
      <c r="M639" s="11"/>
      <c r="N639" s="11"/>
      <c r="O639" s="11"/>
    </row>
    <row r="640" spans="2:15" s="9" customFormat="1" x14ac:dyDescent="0.2">
      <c r="B640" s="10"/>
      <c r="C640" s="11"/>
      <c r="D640" s="63"/>
      <c r="E640" s="11"/>
      <c r="F640" s="65"/>
      <c r="G640" s="12"/>
      <c r="H640" s="41"/>
      <c r="I640" s="30"/>
      <c r="J640" s="30"/>
      <c r="K640" s="30"/>
      <c r="L640" s="11"/>
      <c r="M640" s="11"/>
      <c r="N640" s="11"/>
      <c r="O640" s="11"/>
    </row>
    <row r="641" spans="2:15" s="9" customFormat="1" x14ac:dyDescent="0.2">
      <c r="B641" s="10"/>
      <c r="C641" s="11"/>
      <c r="D641" s="63"/>
      <c r="E641" s="11"/>
      <c r="F641" s="65"/>
      <c r="G641" s="12"/>
      <c r="H641" s="41"/>
      <c r="I641" s="30"/>
      <c r="J641" s="30"/>
      <c r="K641" s="30"/>
      <c r="L641" s="11"/>
      <c r="M641" s="11"/>
      <c r="N641" s="11"/>
      <c r="O641" s="11"/>
    </row>
    <row r="642" spans="2:15" s="9" customFormat="1" x14ac:dyDescent="0.2">
      <c r="B642" s="10"/>
      <c r="C642" s="11"/>
      <c r="D642" s="63"/>
      <c r="E642" s="11"/>
      <c r="F642" s="65"/>
      <c r="G642" s="12"/>
      <c r="H642" s="41"/>
      <c r="I642" s="30"/>
      <c r="J642" s="30"/>
      <c r="K642" s="30"/>
      <c r="L642" s="11"/>
      <c r="M642" s="11"/>
      <c r="N642" s="11"/>
      <c r="O642" s="11"/>
    </row>
    <row r="643" spans="2:15" s="9" customFormat="1" x14ac:dyDescent="0.2">
      <c r="B643" s="10"/>
      <c r="C643" s="11"/>
      <c r="D643" s="63"/>
      <c r="E643" s="11"/>
      <c r="F643" s="65"/>
      <c r="G643" s="12"/>
      <c r="H643" s="41"/>
      <c r="I643" s="30"/>
      <c r="J643" s="30"/>
      <c r="K643" s="30"/>
      <c r="L643" s="11"/>
      <c r="M643" s="11"/>
      <c r="N643" s="11"/>
      <c r="O643" s="11"/>
    </row>
    <row r="644" spans="2:15" s="9" customFormat="1" x14ac:dyDescent="0.2">
      <c r="B644" s="10"/>
      <c r="C644" s="11"/>
      <c r="D644" s="63"/>
      <c r="E644" s="11"/>
      <c r="F644" s="65"/>
      <c r="G644" s="12"/>
      <c r="H644" s="41"/>
      <c r="I644" s="30"/>
      <c r="J644" s="30"/>
      <c r="K644" s="30"/>
      <c r="L644" s="11"/>
      <c r="M644" s="11"/>
      <c r="N644" s="11"/>
      <c r="O644" s="11"/>
    </row>
    <row r="645" spans="2:15" s="9" customFormat="1" x14ac:dyDescent="0.2">
      <c r="B645" s="10"/>
      <c r="C645" s="11"/>
      <c r="D645" s="63"/>
      <c r="E645" s="11"/>
      <c r="F645" s="65"/>
      <c r="G645" s="12"/>
      <c r="H645" s="41"/>
      <c r="I645" s="30"/>
      <c r="J645" s="30"/>
      <c r="K645" s="30"/>
      <c r="L645" s="11"/>
      <c r="M645" s="11"/>
      <c r="N645" s="11"/>
      <c r="O645" s="11"/>
    </row>
    <row r="646" spans="2:15" s="9" customFormat="1" x14ac:dyDescent="0.2">
      <c r="B646" s="10"/>
      <c r="C646" s="11"/>
      <c r="D646" s="63"/>
      <c r="E646" s="11"/>
      <c r="F646" s="65"/>
      <c r="G646" s="12"/>
      <c r="H646" s="41"/>
      <c r="I646" s="30"/>
      <c r="J646" s="30"/>
      <c r="K646" s="30"/>
      <c r="L646" s="11"/>
      <c r="M646" s="11"/>
      <c r="N646" s="11"/>
      <c r="O646" s="11"/>
    </row>
    <row r="647" spans="2:15" s="9" customFormat="1" x14ac:dyDescent="0.2">
      <c r="B647" s="10"/>
      <c r="C647" s="11"/>
      <c r="D647" s="63"/>
      <c r="E647" s="11"/>
      <c r="F647" s="65"/>
      <c r="G647" s="12"/>
      <c r="H647" s="41"/>
      <c r="I647" s="30"/>
      <c r="J647" s="30"/>
      <c r="K647" s="30"/>
      <c r="L647" s="11"/>
      <c r="M647" s="11"/>
      <c r="N647" s="11"/>
      <c r="O647" s="11"/>
    </row>
    <row r="648" spans="2:15" s="9" customFormat="1" x14ac:dyDescent="0.2">
      <c r="B648" s="10"/>
      <c r="C648" s="11"/>
      <c r="D648" s="63"/>
      <c r="E648" s="11"/>
      <c r="F648" s="65"/>
      <c r="G648" s="12"/>
      <c r="H648" s="41"/>
      <c r="I648" s="30"/>
      <c r="J648" s="30"/>
      <c r="K648" s="30"/>
      <c r="L648" s="11"/>
      <c r="M648" s="11"/>
      <c r="N648" s="11"/>
      <c r="O648" s="11"/>
    </row>
    <row r="649" spans="2:15" s="9" customFormat="1" x14ac:dyDescent="0.2">
      <c r="B649" s="10"/>
      <c r="C649" s="11"/>
      <c r="D649" s="63"/>
      <c r="E649" s="11"/>
      <c r="F649" s="65"/>
      <c r="G649" s="12"/>
      <c r="H649" s="41"/>
      <c r="I649" s="30"/>
      <c r="J649" s="30"/>
      <c r="K649" s="30"/>
      <c r="L649" s="11"/>
      <c r="M649" s="11"/>
      <c r="N649" s="11"/>
      <c r="O649" s="11"/>
    </row>
    <row r="650" spans="2:15" s="9" customFormat="1" x14ac:dyDescent="0.2">
      <c r="B650" s="10"/>
      <c r="C650" s="11"/>
      <c r="D650" s="63"/>
      <c r="E650" s="11"/>
      <c r="F650" s="65"/>
      <c r="G650" s="12"/>
      <c r="H650" s="41"/>
      <c r="I650" s="30"/>
      <c r="J650" s="30"/>
      <c r="K650" s="30"/>
      <c r="L650" s="11"/>
      <c r="M650" s="11"/>
      <c r="N650" s="11"/>
      <c r="O650" s="11"/>
    </row>
    <row r="651" spans="2:15" s="9" customFormat="1" x14ac:dyDescent="0.2">
      <c r="B651" s="10"/>
      <c r="C651" s="11"/>
      <c r="D651" s="63"/>
      <c r="E651" s="11"/>
      <c r="F651" s="65"/>
      <c r="G651" s="12"/>
      <c r="H651" s="41"/>
      <c r="I651" s="30"/>
      <c r="J651" s="30"/>
      <c r="K651" s="30"/>
      <c r="L651" s="11"/>
      <c r="M651" s="11"/>
      <c r="N651" s="11"/>
      <c r="O651" s="11"/>
    </row>
    <row r="652" spans="2:15" s="9" customFormat="1" x14ac:dyDescent="0.2">
      <c r="B652" s="10"/>
      <c r="C652" s="11"/>
      <c r="D652" s="63"/>
      <c r="E652" s="11"/>
      <c r="F652" s="65"/>
      <c r="G652" s="12"/>
      <c r="H652" s="41"/>
      <c r="I652" s="30"/>
      <c r="J652" s="30"/>
      <c r="K652" s="30"/>
      <c r="L652" s="11"/>
      <c r="M652" s="11"/>
      <c r="N652" s="11"/>
      <c r="O652" s="11"/>
    </row>
    <row r="653" spans="2:15" s="9" customFormat="1" x14ac:dyDescent="0.2">
      <c r="B653" s="10"/>
      <c r="C653" s="11"/>
      <c r="D653" s="63"/>
      <c r="E653" s="11"/>
      <c r="F653" s="65"/>
      <c r="G653" s="12"/>
      <c r="H653" s="41"/>
      <c r="I653" s="30"/>
      <c r="J653" s="30"/>
      <c r="K653" s="30"/>
      <c r="L653" s="11"/>
      <c r="M653" s="11"/>
      <c r="N653" s="11"/>
      <c r="O653" s="11"/>
    </row>
    <row r="654" spans="2:15" s="9" customFormat="1" x14ac:dyDescent="0.2">
      <c r="B654" s="10"/>
      <c r="C654" s="11"/>
      <c r="D654" s="63"/>
      <c r="E654" s="11"/>
      <c r="F654" s="65"/>
      <c r="G654" s="12"/>
      <c r="H654" s="41"/>
      <c r="I654" s="30"/>
      <c r="J654" s="30"/>
      <c r="K654" s="30"/>
      <c r="L654" s="11"/>
      <c r="M654" s="11"/>
      <c r="N654" s="11"/>
      <c r="O654" s="11"/>
    </row>
    <row r="655" spans="2:15" s="9" customFormat="1" x14ac:dyDescent="0.2">
      <c r="B655" s="10"/>
      <c r="C655" s="11"/>
      <c r="D655" s="63"/>
      <c r="E655" s="11"/>
      <c r="F655" s="65"/>
      <c r="G655" s="12"/>
      <c r="H655" s="41"/>
      <c r="I655" s="30"/>
      <c r="J655" s="30"/>
      <c r="K655" s="30"/>
      <c r="L655" s="11"/>
      <c r="M655" s="11"/>
      <c r="N655" s="11"/>
      <c r="O655" s="11"/>
    </row>
    <row r="656" spans="2:15" s="9" customFormat="1" x14ac:dyDescent="0.2">
      <c r="B656" s="10"/>
      <c r="C656" s="11"/>
      <c r="D656" s="63"/>
      <c r="E656" s="11"/>
      <c r="F656" s="65"/>
      <c r="G656" s="12"/>
      <c r="H656" s="41"/>
      <c r="I656" s="30"/>
      <c r="J656" s="30"/>
      <c r="K656" s="30"/>
      <c r="L656" s="11"/>
      <c r="M656" s="11"/>
      <c r="N656" s="11"/>
      <c r="O656" s="11"/>
    </row>
    <row r="657" spans="2:15" s="9" customFormat="1" x14ac:dyDescent="0.2">
      <c r="B657" s="10"/>
      <c r="C657" s="11"/>
      <c r="D657" s="63"/>
      <c r="E657" s="11"/>
      <c r="F657" s="65"/>
      <c r="G657" s="12"/>
      <c r="H657" s="41"/>
      <c r="I657" s="30"/>
      <c r="J657" s="30"/>
      <c r="K657" s="30"/>
      <c r="L657" s="11"/>
      <c r="M657" s="11"/>
      <c r="N657" s="11"/>
      <c r="O657" s="11"/>
    </row>
    <row r="658" spans="2:15" s="9" customFormat="1" x14ac:dyDescent="0.2">
      <c r="B658" s="10"/>
      <c r="C658" s="11"/>
      <c r="D658" s="63"/>
      <c r="E658" s="11"/>
      <c r="F658" s="65"/>
      <c r="G658" s="12"/>
      <c r="H658" s="41"/>
      <c r="I658" s="30"/>
      <c r="J658" s="30"/>
      <c r="K658" s="30"/>
      <c r="L658" s="11"/>
      <c r="M658" s="11"/>
      <c r="N658" s="11"/>
      <c r="O658" s="11"/>
    </row>
    <row r="659" spans="2:15" s="9" customFormat="1" x14ac:dyDescent="0.2">
      <c r="B659" s="10"/>
      <c r="C659" s="11"/>
      <c r="D659" s="63"/>
      <c r="E659" s="11"/>
      <c r="F659" s="65"/>
      <c r="G659" s="12"/>
      <c r="H659" s="41"/>
      <c r="I659" s="30"/>
      <c r="J659" s="30"/>
      <c r="K659" s="30"/>
      <c r="L659" s="11"/>
      <c r="M659" s="11"/>
      <c r="N659" s="11"/>
      <c r="O659" s="11"/>
    </row>
    <row r="660" spans="2:15" s="9" customFormat="1" x14ac:dyDescent="0.2">
      <c r="B660" s="10"/>
      <c r="C660" s="11"/>
      <c r="D660" s="63"/>
      <c r="E660" s="11"/>
      <c r="F660" s="65"/>
      <c r="G660" s="12"/>
      <c r="H660" s="41"/>
      <c r="I660" s="30"/>
      <c r="J660" s="30"/>
      <c r="K660" s="30"/>
      <c r="L660" s="11"/>
      <c r="M660" s="11"/>
      <c r="N660" s="11"/>
      <c r="O660" s="11"/>
    </row>
    <row r="661" spans="2:15" s="9" customFormat="1" x14ac:dyDescent="0.2">
      <c r="B661" s="10"/>
      <c r="C661" s="11"/>
      <c r="D661" s="63"/>
      <c r="E661" s="11"/>
      <c r="F661" s="65"/>
      <c r="G661" s="12"/>
      <c r="H661" s="41"/>
      <c r="I661" s="30"/>
      <c r="J661" s="30"/>
      <c r="K661" s="30"/>
      <c r="L661" s="11"/>
      <c r="M661" s="11"/>
      <c r="N661" s="11"/>
      <c r="O661" s="11"/>
    </row>
    <row r="662" spans="2:15" s="9" customFormat="1" x14ac:dyDescent="0.2">
      <c r="B662" s="10"/>
      <c r="C662" s="11"/>
      <c r="D662" s="63"/>
      <c r="E662" s="11"/>
      <c r="F662" s="65"/>
      <c r="G662" s="12"/>
      <c r="H662" s="41"/>
      <c r="I662" s="30"/>
      <c r="J662" s="30"/>
      <c r="K662" s="30"/>
      <c r="L662" s="11"/>
      <c r="M662" s="11"/>
      <c r="N662" s="11"/>
      <c r="O662" s="11"/>
    </row>
    <row r="663" spans="2:15" s="9" customFormat="1" x14ac:dyDescent="0.2">
      <c r="B663" s="10"/>
      <c r="C663" s="11"/>
      <c r="D663" s="63"/>
      <c r="E663" s="11"/>
      <c r="F663" s="65"/>
      <c r="G663" s="12"/>
      <c r="H663" s="41"/>
      <c r="I663" s="30"/>
      <c r="J663" s="30"/>
      <c r="K663" s="30"/>
      <c r="L663" s="11"/>
      <c r="M663" s="11"/>
      <c r="N663" s="11"/>
      <c r="O663" s="11"/>
    </row>
    <row r="664" spans="2:15" s="9" customFormat="1" x14ac:dyDescent="0.2">
      <c r="B664" s="10"/>
      <c r="C664" s="11"/>
      <c r="D664" s="63"/>
      <c r="E664" s="11"/>
      <c r="F664" s="65"/>
      <c r="G664" s="12"/>
      <c r="H664" s="41"/>
      <c r="I664" s="30"/>
      <c r="J664" s="30"/>
      <c r="K664" s="30"/>
      <c r="L664" s="11"/>
      <c r="M664" s="11"/>
      <c r="N664" s="11"/>
      <c r="O664" s="11"/>
    </row>
    <row r="665" spans="2:15" s="9" customFormat="1" x14ac:dyDescent="0.2">
      <c r="B665" s="10"/>
      <c r="C665" s="11"/>
      <c r="D665" s="63"/>
      <c r="E665" s="11"/>
      <c r="F665" s="65"/>
      <c r="G665" s="12"/>
      <c r="H665" s="41"/>
      <c r="I665" s="30"/>
      <c r="J665" s="30"/>
      <c r="K665" s="30"/>
      <c r="L665" s="11"/>
      <c r="M665" s="11"/>
      <c r="N665" s="11"/>
      <c r="O665" s="11"/>
    </row>
    <row r="666" spans="2:15" s="9" customFormat="1" x14ac:dyDescent="0.2">
      <c r="B666" s="10"/>
      <c r="C666" s="11"/>
      <c r="D666" s="63"/>
      <c r="E666" s="11"/>
      <c r="F666" s="65"/>
      <c r="G666" s="12"/>
      <c r="H666" s="41"/>
      <c r="I666" s="30"/>
      <c r="J666" s="30"/>
      <c r="K666" s="30"/>
      <c r="L666" s="11"/>
      <c r="M666" s="11"/>
      <c r="N666" s="11"/>
      <c r="O666" s="11"/>
    </row>
    <row r="667" spans="2:15" s="9" customFormat="1" x14ac:dyDescent="0.2">
      <c r="B667" s="10"/>
      <c r="C667" s="11"/>
      <c r="D667" s="63"/>
      <c r="E667" s="11"/>
      <c r="F667" s="65"/>
      <c r="G667" s="12"/>
      <c r="H667" s="41"/>
      <c r="I667" s="30"/>
      <c r="J667" s="30"/>
      <c r="K667" s="30"/>
      <c r="L667" s="11"/>
      <c r="M667" s="11"/>
      <c r="N667" s="11"/>
      <c r="O667" s="11"/>
    </row>
    <row r="668" spans="2:15" s="9" customFormat="1" x14ac:dyDescent="0.2">
      <c r="B668" s="10"/>
      <c r="C668" s="11"/>
      <c r="D668" s="63"/>
      <c r="E668" s="11"/>
      <c r="F668" s="65"/>
      <c r="G668" s="12"/>
      <c r="H668" s="41"/>
      <c r="I668" s="30"/>
      <c r="J668" s="30"/>
      <c r="K668" s="30"/>
      <c r="L668" s="11"/>
      <c r="M668" s="11"/>
      <c r="N668" s="11"/>
      <c r="O668" s="11"/>
    </row>
    <row r="669" spans="2:15" s="9" customFormat="1" x14ac:dyDescent="0.2">
      <c r="B669" s="10"/>
      <c r="C669" s="11"/>
      <c r="D669" s="63"/>
      <c r="E669" s="11"/>
      <c r="F669" s="65"/>
      <c r="G669" s="12"/>
      <c r="H669" s="41"/>
      <c r="I669" s="30"/>
      <c r="J669" s="30"/>
      <c r="K669" s="30"/>
      <c r="L669" s="11"/>
      <c r="M669" s="11"/>
      <c r="N669" s="11"/>
      <c r="O669" s="11"/>
    </row>
    <row r="670" spans="2:15" s="9" customFormat="1" x14ac:dyDescent="0.2">
      <c r="B670" s="10"/>
      <c r="C670" s="11"/>
      <c r="D670" s="63"/>
      <c r="E670" s="11"/>
      <c r="F670" s="65"/>
      <c r="G670" s="12"/>
      <c r="H670" s="41"/>
      <c r="I670" s="30"/>
      <c r="J670" s="30"/>
      <c r="K670" s="30"/>
      <c r="L670" s="11"/>
      <c r="M670" s="11"/>
      <c r="N670" s="11"/>
      <c r="O670" s="11"/>
    </row>
    <row r="671" spans="2:15" s="9" customFormat="1" x14ac:dyDescent="0.2">
      <c r="B671" s="10"/>
      <c r="C671" s="11"/>
      <c r="D671" s="63"/>
      <c r="E671" s="11"/>
      <c r="F671" s="65"/>
      <c r="G671" s="12"/>
      <c r="H671" s="41"/>
      <c r="I671" s="30"/>
      <c r="J671" s="30"/>
      <c r="K671" s="30"/>
      <c r="L671" s="11"/>
      <c r="M671" s="11"/>
      <c r="N671" s="11"/>
      <c r="O671" s="11"/>
    </row>
    <row r="672" spans="2:15" s="9" customFormat="1" x14ac:dyDescent="0.2">
      <c r="B672" s="10"/>
      <c r="C672" s="11"/>
      <c r="D672" s="63"/>
      <c r="E672" s="11"/>
      <c r="F672" s="65"/>
      <c r="G672" s="12"/>
      <c r="H672" s="41"/>
      <c r="I672" s="30"/>
      <c r="J672" s="30"/>
      <c r="K672" s="30"/>
      <c r="L672" s="11"/>
      <c r="M672" s="11"/>
      <c r="N672" s="11"/>
      <c r="O672" s="11"/>
    </row>
    <row r="673" spans="2:15" s="9" customFormat="1" x14ac:dyDescent="0.2">
      <c r="B673" s="10"/>
      <c r="C673" s="11"/>
      <c r="D673" s="63"/>
      <c r="E673" s="11"/>
      <c r="F673" s="65"/>
      <c r="G673" s="12"/>
      <c r="H673" s="41"/>
      <c r="I673" s="30"/>
      <c r="J673" s="30"/>
      <c r="K673" s="30"/>
      <c r="L673" s="11"/>
      <c r="M673" s="11"/>
      <c r="N673" s="11"/>
      <c r="O673" s="11"/>
    </row>
    <row r="674" spans="2:15" s="9" customFormat="1" x14ac:dyDescent="0.2">
      <c r="B674" s="10"/>
      <c r="C674" s="11"/>
      <c r="D674" s="63"/>
      <c r="E674" s="11"/>
      <c r="F674" s="65"/>
      <c r="G674" s="12"/>
      <c r="H674" s="41"/>
      <c r="I674" s="30"/>
      <c r="J674" s="30"/>
      <c r="K674" s="30"/>
      <c r="L674" s="11"/>
      <c r="M674" s="11"/>
      <c r="N674" s="11"/>
      <c r="O674" s="11"/>
    </row>
    <row r="675" spans="2:15" s="9" customFormat="1" x14ac:dyDescent="0.2">
      <c r="B675" s="10"/>
      <c r="C675" s="11"/>
      <c r="D675" s="63"/>
      <c r="E675" s="11"/>
      <c r="F675" s="65"/>
      <c r="G675" s="12"/>
      <c r="H675" s="41"/>
      <c r="I675" s="30"/>
      <c r="J675" s="30"/>
      <c r="K675" s="30"/>
      <c r="L675" s="11"/>
      <c r="M675" s="11"/>
      <c r="N675" s="11"/>
      <c r="O675" s="11"/>
    </row>
    <row r="676" spans="2:15" s="9" customFormat="1" x14ac:dyDescent="0.2">
      <c r="B676" s="10"/>
      <c r="C676" s="11"/>
      <c r="D676" s="63"/>
      <c r="E676" s="11"/>
      <c r="F676" s="65"/>
      <c r="G676" s="12"/>
      <c r="H676" s="41"/>
      <c r="I676" s="30"/>
      <c r="J676" s="30"/>
      <c r="K676" s="30"/>
      <c r="L676" s="11"/>
      <c r="M676" s="11"/>
      <c r="N676" s="11"/>
      <c r="O676" s="11"/>
    </row>
    <row r="677" spans="2:15" s="9" customFormat="1" x14ac:dyDescent="0.2">
      <c r="B677" s="10"/>
      <c r="C677" s="11"/>
      <c r="D677" s="63"/>
      <c r="E677" s="11"/>
      <c r="F677" s="65"/>
      <c r="G677" s="12"/>
      <c r="H677" s="41"/>
      <c r="I677" s="30"/>
      <c r="J677" s="30"/>
      <c r="K677" s="30"/>
      <c r="L677" s="11"/>
      <c r="M677" s="11"/>
      <c r="N677" s="11"/>
      <c r="O677" s="11"/>
    </row>
    <row r="678" spans="2:15" s="9" customFormat="1" x14ac:dyDescent="0.2">
      <c r="B678" s="10"/>
      <c r="C678" s="11"/>
      <c r="D678" s="63"/>
      <c r="E678" s="11"/>
      <c r="F678" s="65"/>
      <c r="G678" s="12"/>
      <c r="H678" s="41"/>
      <c r="I678" s="30"/>
      <c r="J678" s="30"/>
      <c r="K678" s="30"/>
      <c r="L678" s="11"/>
      <c r="M678" s="11"/>
      <c r="N678" s="11"/>
      <c r="O678" s="11"/>
    </row>
    <row r="679" spans="2:15" s="9" customFormat="1" x14ac:dyDescent="0.2">
      <c r="B679" s="10"/>
      <c r="C679" s="11"/>
      <c r="D679" s="63"/>
      <c r="E679" s="11"/>
      <c r="F679" s="65"/>
      <c r="G679" s="12"/>
      <c r="H679" s="41"/>
      <c r="I679" s="30"/>
      <c r="J679" s="30"/>
      <c r="K679" s="30"/>
      <c r="L679" s="11"/>
      <c r="M679" s="11"/>
      <c r="N679" s="11"/>
      <c r="O679" s="11"/>
    </row>
    <row r="680" spans="2:15" s="9" customFormat="1" x14ac:dyDescent="0.2">
      <c r="B680" s="10"/>
      <c r="C680" s="11"/>
      <c r="D680" s="63"/>
      <c r="E680" s="11"/>
      <c r="F680" s="65"/>
      <c r="G680" s="12"/>
      <c r="H680" s="41"/>
      <c r="I680" s="30"/>
      <c r="J680" s="30"/>
      <c r="K680" s="30"/>
      <c r="L680" s="11"/>
      <c r="M680" s="11"/>
      <c r="N680" s="11"/>
      <c r="O680" s="11"/>
    </row>
    <row r="681" spans="2:15" s="9" customFormat="1" x14ac:dyDescent="0.2">
      <c r="B681" s="10"/>
      <c r="C681" s="11"/>
      <c r="D681" s="63"/>
      <c r="E681" s="11"/>
      <c r="F681" s="65"/>
      <c r="G681" s="12"/>
      <c r="H681" s="41"/>
      <c r="I681" s="30"/>
      <c r="J681" s="30"/>
      <c r="K681" s="30"/>
      <c r="L681" s="11"/>
      <c r="M681" s="11"/>
      <c r="N681" s="11"/>
      <c r="O681" s="11"/>
    </row>
    <row r="682" spans="2:15" s="9" customFormat="1" x14ac:dyDescent="0.2">
      <c r="B682" s="10"/>
      <c r="C682" s="11"/>
      <c r="D682" s="63"/>
      <c r="E682" s="11"/>
      <c r="F682" s="65"/>
      <c r="G682" s="12"/>
      <c r="H682" s="41"/>
      <c r="I682" s="30"/>
      <c r="J682" s="30"/>
      <c r="K682" s="30"/>
      <c r="L682" s="11"/>
      <c r="M682" s="11"/>
      <c r="N682" s="11"/>
      <c r="O682" s="11"/>
    </row>
    <row r="683" spans="2:15" s="9" customFormat="1" x14ac:dyDescent="0.2">
      <c r="B683" s="10"/>
      <c r="C683" s="11"/>
      <c r="D683" s="63"/>
      <c r="E683" s="11"/>
      <c r="F683" s="65"/>
      <c r="G683" s="12"/>
      <c r="H683" s="41"/>
      <c r="I683" s="30"/>
      <c r="J683" s="30"/>
      <c r="K683" s="30"/>
      <c r="L683" s="11"/>
      <c r="M683" s="11"/>
      <c r="N683" s="11"/>
      <c r="O683" s="11"/>
    </row>
    <row r="684" spans="2:15" s="9" customFormat="1" x14ac:dyDescent="0.2">
      <c r="B684" s="10"/>
      <c r="C684" s="11"/>
      <c r="D684" s="63"/>
      <c r="E684" s="11"/>
      <c r="F684" s="65"/>
      <c r="G684" s="12"/>
      <c r="H684" s="41"/>
      <c r="I684" s="30"/>
      <c r="J684" s="30"/>
      <c r="K684" s="30"/>
      <c r="L684" s="11"/>
      <c r="M684" s="11"/>
      <c r="N684" s="11"/>
      <c r="O684" s="11"/>
    </row>
    <row r="685" spans="2:15" s="9" customFormat="1" x14ac:dyDescent="0.2">
      <c r="B685" s="10"/>
      <c r="C685" s="11"/>
      <c r="D685" s="63"/>
      <c r="E685" s="11"/>
      <c r="F685" s="65"/>
      <c r="G685" s="12"/>
      <c r="H685" s="41"/>
      <c r="I685" s="30"/>
      <c r="J685" s="30"/>
      <c r="K685" s="30"/>
      <c r="L685" s="11"/>
      <c r="M685" s="11"/>
      <c r="N685" s="11"/>
      <c r="O685" s="11"/>
    </row>
    <row r="686" spans="2:15" s="9" customFormat="1" x14ac:dyDescent="0.2">
      <c r="B686" s="10"/>
      <c r="C686" s="11"/>
      <c r="D686" s="63"/>
      <c r="E686" s="11"/>
      <c r="F686" s="65"/>
      <c r="G686" s="12"/>
      <c r="H686" s="41"/>
      <c r="I686" s="30"/>
      <c r="J686" s="30"/>
      <c r="K686" s="30"/>
      <c r="L686" s="11"/>
      <c r="M686" s="11"/>
      <c r="N686" s="11"/>
      <c r="O686" s="11"/>
    </row>
    <row r="687" spans="2:15" s="9" customFormat="1" x14ac:dyDescent="0.2">
      <c r="B687" s="10"/>
      <c r="C687" s="11"/>
      <c r="D687" s="63"/>
      <c r="E687" s="11"/>
      <c r="F687" s="65"/>
      <c r="G687" s="12"/>
      <c r="H687" s="41"/>
      <c r="I687" s="30"/>
      <c r="J687" s="30"/>
      <c r="K687" s="30"/>
      <c r="L687" s="11"/>
      <c r="M687" s="11"/>
      <c r="N687" s="11"/>
      <c r="O687" s="11"/>
    </row>
    <row r="688" spans="2:15" s="9" customFormat="1" x14ac:dyDescent="0.2">
      <c r="B688" s="10"/>
      <c r="C688" s="11"/>
      <c r="D688" s="63"/>
      <c r="E688" s="11"/>
      <c r="F688" s="65"/>
      <c r="G688" s="12"/>
      <c r="H688" s="41"/>
      <c r="I688" s="30"/>
      <c r="J688" s="30"/>
      <c r="K688" s="30"/>
      <c r="L688" s="11"/>
      <c r="M688" s="11"/>
      <c r="N688" s="11"/>
      <c r="O688" s="11"/>
    </row>
    <row r="689" spans="2:15" s="9" customFormat="1" x14ac:dyDescent="0.2">
      <c r="B689" s="10"/>
      <c r="C689" s="11"/>
      <c r="D689" s="63"/>
      <c r="E689" s="11"/>
      <c r="F689" s="65"/>
      <c r="G689" s="12"/>
      <c r="H689" s="41"/>
      <c r="I689" s="30"/>
      <c r="J689" s="30"/>
      <c r="K689" s="30"/>
      <c r="L689" s="11"/>
      <c r="M689" s="11"/>
      <c r="N689" s="11"/>
      <c r="O689" s="11"/>
    </row>
    <row r="690" spans="2:15" s="9" customFormat="1" x14ac:dyDescent="0.2">
      <c r="B690" s="10"/>
      <c r="C690" s="11"/>
      <c r="D690" s="63"/>
      <c r="E690" s="11"/>
      <c r="F690" s="65"/>
      <c r="G690" s="12"/>
      <c r="H690" s="41"/>
      <c r="I690" s="30"/>
      <c r="J690" s="30"/>
      <c r="K690" s="30"/>
      <c r="L690" s="11"/>
      <c r="M690" s="11"/>
      <c r="N690" s="11"/>
      <c r="O690" s="11"/>
    </row>
    <row r="691" spans="2:15" s="9" customFormat="1" x14ac:dyDescent="0.2">
      <c r="B691" s="10"/>
      <c r="C691" s="11"/>
      <c r="D691" s="63"/>
      <c r="E691" s="11"/>
      <c r="F691" s="65"/>
      <c r="G691" s="12"/>
      <c r="H691" s="41"/>
      <c r="I691" s="30"/>
      <c r="J691" s="30"/>
      <c r="K691" s="30"/>
      <c r="L691" s="11"/>
      <c r="M691" s="11"/>
      <c r="N691" s="11"/>
      <c r="O691" s="11"/>
    </row>
    <row r="692" spans="2:15" s="9" customFormat="1" x14ac:dyDescent="0.2">
      <c r="B692" s="10"/>
      <c r="C692" s="11"/>
      <c r="D692" s="63"/>
      <c r="E692" s="11"/>
      <c r="F692" s="65"/>
      <c r="G692" s="12"/>
      <c r="H692" s="41"/>
      <c r="I692" s="30"/>
      <c r="J692" s="30"/>
      <c r="K692" s="30"/>
      <c r="L692" s="11"/>
      <c r="M692" s="11"/>
      <c r="N692" s="11"/>
      <c r="O692" s="11"/>
    </row>
    <row r="693" spans="2:15" s="9" customFormat="1" x14ac:dyDescent="0.2">
      <c r="B693" s="10"/>
      <c r="C693" s="11"/>
      <c r="D693" s="63"/>
      <c r="E693" s="11"/>
      <c r="F693" s="65"/>
      <c r="G693" s="12"/>
      <c r="H693" s="41"/>
      <c r="I693" s="30"/>
      <c r="J693" s="30"/>
      <c r="K693" s="30"/>
      <c r="L693" s="11"/>
      <c r="M693" s="11"/>
      <c r="N693" s="11"/>
      <c r="O693" s="11"/>
    </row>
    <row r="694" spans="2:15" s="9" customFormat="1" x14ac:dyDescent="0.2">
      <c r="B694" s="10"/>
      <c r="C694" s="11"/>
      <c r="D694" s="63"/>
      <c r="E694" s="11"/>
      <c r="F694" s="65"/>
      <c r="G694" s="12"/>
      <c r="H694" s="41"/>
      <c r="I694" s="30"/>
      <c r="J694" s="30"/>
      <c r="K694" s="30"/>
      <c r="L694" s="11"/>
      <c r="M694" s="11"/>
      <c r="N694" s="11"/>
      <c r="O694" s="11"/>
    </row>
    <row r="695" spans="2:15" s="9" customFormat="1" x14ac:dyDescent="0.2">
      <c r="B695" s="10"/>
      <c r="C695" s="11"/>
      <c r="D695" s="63"/>
      <c r="E695" s="11"/>
      <c r="F695" s="65"/>
      <c r="G695" s="12"/>
      <c r="H695" s="41"/>
      <c r="I695" s="30"/>
      <c r="J695" s="30"/>
      <c r="K695" s="30"/>
      <c r="L695" s="11"/>
      <c r="M695" s="11"/>
      <c r="N695" s="11"/>
      <c r="O695" s="11"/>
    </row>
    <row r="696" spans="2:15" s="9" customFormat="1" x14ac:dyDescent="0.2">
      <c r="B696" s="10"/>
      <c r="C696" s="11"/>
      <c r="D696" s="63"/>
      <c r="E696" s="11"/>
      <c r="F696" s="65"/>
      <c r="G696" s="12"/>
      <c r="H696" s="41"/>
      <c r="I696" s="30"/>
      <c r="J696" s="30"/>
      <c r="K696" s="30"/>
      <c r="L696" s="11"/>
      <c r="M696" s="11"/>
      <c r="N696" s="11"/>
      <c r="O696" s="11"/>
    </row>
    <row r="697" spans="2:15" s="9" customFormat="1" x14ac:dyDescent="0.2">
      <c r="B697" s="10"/>
      <c r="C697" s="11"/>
      <c r="D697" s="63"/>
      <c r="E697" s="11"/>
      <c r="F697" s="65"/>
      <c r="G697" s="12"/>
      <c r="H697" s="41"/>
      <c r="I697" s="30"/>
      <c r="J697" s="30"/>
      <c r="K697" s="30"/>
      <c r="L697" s="11"/>
      <c r="M697" s="11"/>
      <c r="N697" s="11"/>
      <c r="O697" s="11"/>
    </row>
    <row r="698" spans="2:15" s="9" customFormat="1" x14ac:dyDescent="0.2">
      <c r="B698" s="10"/>
      <c r="C698" s="11"/>
      <c r="D698" s="63"/>
      <c r="E698" s="11"/>
      <c r="F698" s="65"/>
      <c r="G698" s="12"/>
      <c r="H698" s="41"/>
      <c r="I698" s="30"/>
      <c r="J698" s="30"/>
      <c r="K698" s="30"/>
      <c r="L698" s="11"/>
      <c r="M698" s="11"/>
      <c r="N698" s="11"/>
      <c r="O698" s="11"/>
    </row>
    <row r="699" spans="2:15" s="9" customFormat="1" x14ac:dyDescent="0.2">
      <c r="B699" s="10"/>
      <c r="C699" s="11"/>
      <c r="D699" s="63"/>
      <c r="E699" s="11"/>
      <c r="F699" s="65"/>
      <c r="G699" s="12"/>
      <c r="H699" s="41"/>
      <c r="I699" s="30"/>
      <c r="J699" s="30"/>
      <c r="K699" s="30"/>
      <c r="L699" s="11"/>
      <c r="M699" s="11"/>
      <c r="N699" s="11"/>
      <c r="O699" s="11"/>
    </row>
    <row r="700" spans="2:15" s="9" customFormat="1" x14ac:dyDescent="0.2">
      <c r="B700" s="10"/>
      <c r="C700" s="11"/>
      <c r="D700" s="63"/>
      <c r="E700" s="11"/>
      <c r="F700" s="65"/>
      <c r="G700" s="12"/>
      <c r="H700" s="41"/>
      <c r="I700" s="30"/>
      <c r="J700" s="30"/>
      <c r="K700" s="30"/>
      <c r="L700" s="11"/>
      <c r="M700" s="11"/>
      <c r="N700" s="11"/>
      <c r="O700" s="11"/>
    </row>
    <row r="701" spans="2:15" s="9" customFormat="1" x14ac:dyDescent="0.2">
      <c r="B701" s="10"/>
      <c r="C701" s="11"/>
      <c r="D701" s="63"/>
      <c r="E701" s="11"/>
      <c r="F701" s="65"/>
      <c r="G701" s="12"/>
      <c r="H701" s="41"/>
      <c r="I701" s="30"/>
      <c r="J701" s="30"/>
      <c r="K701" s="30"/>
      <c r="L701" s="11"/>
      <c r="M701" s="11"/>
      <c r="N701" s="11"/>
      <c r="O701" s="11"/>
    </row>
    <row r="702" spans="2:15" s="9" customFormat="1" x14ac:dyDescent="0.2">
      <c r="B702" s="10"/>
      <c r="C702" s="11"/>
      <c r="D702" s="63"/>
      <c r="E702" s="11"/>
      <c r="F702" s="65"/>
      <c r="G702" s="12"/>
      <c r="H702" s="41"/>
      <c r="I702" s="30"/>
      <c r="J702" s="30"/>
      <c r="K702" s="30"/>
      <c r="L702" s="11"/>
      <c r="M702" s="11"/>
      <c r="N702" s="11"/>
      <c r="O702" s="11"/>
    </row>
    <row r="703" spans="2:15" s="9" customFormat="1" x14ac:dyDescent="0.2">
      <c r="B703" s="10"/>
      <c r="C703" s="11"/>
      <c r="D703" s="63"/>
      <c r="E703" s="11"/>
      <c r="F703" s="65"/>
      <c r="G703" s="12"/>
      <c r="H703" s="41"/>
      <c r="I703" s="30"/>
      <c r="J703" s="30"/>
      <c r="K703" s="30"/>
      <c r="L703" s="11"/>
      <c r="M703" s="11"/>
      <c r="N703" s="11"/>
      <c r="O703" s="11"/>
    </row>
    <row r="704" spans="2:15" s="9" customFormat="1" x14ac:dyDescent="0.2">
      <c r="B704" s="10"/>
      <c r="C704" s="11"/>
      <c r="D704" s="63"/>
      <c r="E704" s="11"/>
      <c r="F704" s="65"/>
      <c r="G704" s="12"/>
      <c r="H704" s="41"/>
      <c r="I704" s="30"/>
      <c r="J704" s="30"/>
      <c r="K704" s="30"/>
      <c r="L704" s="11"/>
      <c r="M704" s="11"/>
      <c r="N704" s="11"/>
      <c r="O704" s="11"/>
    </row>
    <row r="705" spans="2:15" s="9" customFormat="1" x14ac:dyDescent="0.2">
      <c r="B705" s="10"/>
      <c r="C705" s="11"/>
      <c r="D705" s="63"/>
      <c r="E705" s="11"/>
      <c r="F705" s="65"/>
      <c r="G705" s="12"/>
      <c r="H705" s="41"/>
      <c r="I705" s="30"/>
      <c r="J705" s="30"/>
      <c r="K705" s="30"/>
      <c r="L705" s="11"/>
      <c r="M705" s="11"/>
      <c r="N705" s="11"/>
      <c r="O705" s="11"/>
    </row>
    <row r="706" spans="2:15" s="9" customFormat="1" x14ac:dyDescent="0.2">
      <c r="B706" s="10"/>
      <c r="C706" s="11"/>
      <c r="D706" s="63"/>
      <c r="E706" s="11"/>
      <c r="F706" s="65"/>
      <c r="G706" s="12"/>
      <c r="H706" s="41"/>
      <c r="I706" s="30"/>
      <c r="J706" s="30"/>
      <c r="K706" s="30"/>
      <c r="L706" s="11"/>
      <c r="M706" s="11"/>
      <c r="N706" s="11"/>
      <c r="O706" s="11"/>
    </row>
    <row r="707" spans="2:15" s="9" customFormat="1" x14ac:dyDescent="0.2">
      <c r="B707" s="10"/>
      <c r="C707" s="11"/>
      <c r="D707" s="63"/>
      <c r="E707" s="11"/>
      <c r="F707" s="65"/>
      <c r="G707" s="12"/>
      <c r="H707" s="41"/>
      <c r="I707" s="30"/>
      <c r="J707" s="30"/>
      <c r="K707" s="30"/>
      <c r="L707" s="11"/>
      <c r="M707" s="11"/>
      <c r="N707" s="11"/>
      <c r="O707" s="11"/>
    </row>
    <row r="708" spans="2:15" s="9" customFormat="1" x14ac:dyDescent="0.2">
      <c r="B708" s="10"/>
      <c r="C708" s="11"/>
      <c r="D708" s="63"/>
      <c r="E708" s="11"/>
      <c r="F708" s="65"/>
      <c r="G708" s="12"/>
      <c r="H708" s="41"/>
      <c r="I708" s="30"/>
      <c r="J708" s="30"/>
      <c r="K708" s="30"/>
      <c r="L708" s="11"/>
      <c r="M708" s="11"/>
      <c r="N708" s="11"/>
      <c r="O708" s="11"/>
    </row>
    <row r="709" spans="2:15" s="9" customFormat="1" x14ac:dyDescent="0.2">
      <c r="B709" s="10"/>
      <c r="C709" s="11"/>
      <c r="D709" s="63"/>
      <c r="E709" s="11"/>
      <c r="F709" s="65"/>
      <c r="G709" s="12"/>
      <c r="H709" s="41"/>
      <c r="I709" s="30"/>
      <c r="J709" s="30"/>
      <c r="K709" s="30"/>
      <c r="L709" s="11"/>
      <c r="M709" s="11"/>
      <c r="N709" s="11"/>
      <c r="O709" s="11"/>
    </row>
    <row r="710" spans="2:15" s="9" customFormat="1" x14ac:dyDescent="0.2">
      <c r="B710" s="10"/>
      <c r="C710" s="11"/>
      <c r="D710" s="63"/>
      <c r="E710" s="11"/>
      <c r="F710" s="65"/>
      <c r="G710" s="12"/>
      <c r="H710" s="41"/>
      <c r="I710" s="30"/>
      <c r="J710" s="30"/>
      <c r="K710" s="30"/>
      <c r="L710" s="11"/>
      <c r="M710" s="11"/>
      <c r="N710" s="11"/>
      <c r="O710" s="11"/>
    </row>
    <row r="711" spans="2:15" s="9" customFormat="1" x14ac:dyDescent="0.2">
      <c r="B711" s="10"/>
      <c r="C711" s="11"/>
      <c r="D711" s="63"/>
      <c r="E711" s="11"/>
      <c r="F711" s="65"/>
      <c r="G711" s="12"/>
      <c r="H711" s="41"/>
      <c r="I711" s="30"/>
      <c r="J711" s="30"/>
      <c r="K711" s="30"/>
      <c r="L711" s="11"/>
      <c r="M711" s="11"/>
      <c r="N711" s="11"/>
      <c r="O711" s="11"/>
    </row>
    <row r="712" spans="2:15" s="9" customFormat="1" x14ac:dyDescent="0.2">
      <c r="B712" s="10"/>
      <c r="C712" s="11"/>
      <c r="D712" s="63"/>
      <c r="E712" s="11"/>
      <c r="F712" s="65"/>
      <c r="G712" s="12"/>
      <c r="H712" s="41"/>
      <c r="I712" s="30"/>
      <c r="J712" s="30"/>
      <c r="K712" s="30"/>
      <c r="L712" s="11"/>
      <c r="M712" s="11"/>
      <c r="N712" s="11"/>
      <c r="O712" s="11"/>
    </row>
    <row r="713" spans="2:15" s="9" customFormat="1" x14ac:dyDescent="0.2">
      <c r="B713" s="10"/>
      <c r="C713" s="11"/>
      <c r="D713" s="63"/>
      <c r="E713" s="11"/>
      <c r="F713" s="65"/>
      <c r="G713" s="12"/>
      <c r="H713" s="41"/>
      <c r="I713" s="30"/>
      <c r="J713" s="30"/>
      <c r="K713" s="30"/>
      <c r="L713" s="11"/>
      <c r="M713" s="11"/>
      <c r="N713" s="11"/>
      <c r="O713" s="11"/>
    </row>
    <row r="714" spans="2:15" s="9" customFormat="1" x14ac:dyDescent="0.2">
      <c r="B714" s="10"/>
      <c r="C714" s="11"/>
      <c r="D714" s="63"/>
      <c r="E714" s="11"/>
      <c r="F714" s="65"/>
      <c r="G714" s="12"/>
      <c r="H714" s="41"/>
      <c r="I714" s="30"/>
      <c r="J714" s="30"/>
      <c r="K714" s="30"/>
      <c r="L714" s="11"/>
      <c r="M714" s="11"/>
      <c r="N714" s="11"/>
      <c r="O714" s="11"/>
    </row>
    <row r="715" spans="2:15" s="9" customFormat="1" x14ac:dyDescent="0.2">
      <c r="B715" s="10"/>
      <c r="C715" s="11"/>
      <c r="D715" s="63"/>
      <c r="E715" s="11"/>
      <c r="F715" s="65"/>
      <c r="G715" s="12"/>
      <c r="H715" s="41"/>
      <c r="I715" s="30"/>
      <c r="J715" s="30"/>
      <c r="K715" s="30"/>
      <c r="L715" s="11"/>
      <c r="M715" s="11"/>
      <c r="N715" s="11"/>
      <c r="O715" s="11"/>
    </row>
    <row r="716" spans="2:15" s="9" customFormat="1" x14ac:dyDescent="0.2">
      <c r="B716" s="10"/>
      <c r="C716" s="11"/>
      <c r="D716" s="63"/>
      <c r="E716" s="11"/>
      <c r="F716" s="65"/>
      <c r="G716" s="12"/>
      <c r="H716" s="41"/>
      <c r="I716" s="30"/>
      <c r="J716" s="30"/>
      <c r="K716" s="30"/>
      <c r="L716" s="11"/>
      <c r="M716" s="11"/>
      <c r="N716" s="11"/>
      <c r="O716" s="11"/>
    </row>
    <row r="717" spans="2:15" s="9" customFormat="1" x14ac:dyDescent="0.2">
      <c r="B717" s="10"/>
      <c r="C717" s="11"/>
      <c r="D717" s="63"/>
      <c r="E717" s="11"/>
      <c r="F717" s="65"/>
      <c r="G717" s="12"/>
      <c r="H717" s="41"/>
      <c r="I717" s="30"/>
      <c r="J717" s="30"/>
      <c r="K717" s="30"/>
      <c r="L717" s="11"/>
      <c r="M717" s="11"/>
      <c r="N717" s="11"/>
      <c r="O717" s="11"/>
    </row>
    <row r="718" spans="2:15" s="9" customFormat="1" x14ac:dyDescent="0.2">
      <c r="B718" s="10"/>
      <c r="C718" s="11"/>
      <c r="D718" s="63"/>
      <c r="E718" s="11"/>
      <c r="F718" s="65"/>
      <c r="G718" s="12"/>
      <c r="H718" s="41"/>
      <c r="I718" s="30"/>
      <c r="J718" s="30"/>
      <c r="K718" s="30"/>
      <c r="L718" s="11"/>
      <c r="M718" s="11"/>
      <c r="N718" s="11"/>
      <c r="O718" s="11"/>
    </row>
    <row r="719" spans="2:15" s="9" customFormat="1" x14ac:dyDescent="0.2">
      <c r="B719" s="10"/>
      <c r="C719" s="11"/>
      <c r="D719" s="63"/>
      <c r="E719" s="11"/>
      <c r="F719" s="65"/>
      <c r="G719" s="12"/>
      <c r="H719" s="41"/>
      <c r="I719" s="30"/>
      <c r="J719" s="30"/>
      <c r="K719" s="30"/>
      <c r="L719" s="11"/>
      <c r="M719" s="11"/>
      <c r="N719" s="11"/>
      <c r="O719" s="11"/>
    </row>
    <row r="720" spans="2:15" s="9" customFormat="1" x14ac:dyDescent="0.2">
      <c r="B720" s="10"/>
      <c r="C720" s="11"/>
      <c r="D720" s="63"/>
      <c r="E720" s="11"/>
      <c r="F720" s="65"/>
      <c r="G720" s="12"/>
      <c r="H720" s="41"/>
      <c r="I720" s="30"/>
      <c r="J720" s="30"/>
      <c r="K720" s="30"/>
      <c r="L720" s="11"/>
      <c r="M720" s="11"/>
      <c r="N720" s="11"/>
      <c r="O720" s="11"/>
    </row>
    <row r="721" spans="2:15" s="9" customFormat="1" x14ac:dyDescent="0.2">
      <c r="B721" s="10"/>
      <c r="C721" s="11"/>
      <c r="D721" s="63"/>
      <c r="E721" s="11"/>
      <c r="F721" s="65"/>
      <c r="G721" s="12"/>
      <c r="H721" s="41"/>
      <c r="I721" s="30"/>
      <c r="J721" s="30"/>
      <c r="K721" s="30"/>
      <c r="L721" s="11"/>
      <c r="M721" s="11"/>
      <c r="N721" s="11"/>
      <c r="O721" s="11"/>
    </row>
    <row r="722" spans="2:15" s="9" customFormat="1" x14ac:dyDescent="0.2">
      <c r="B722" s="10"/>
      <c r="C722" s="11"/>
      <c r="D722" s="63"/>
      <c r="E722" s="11"/>
      <c r="F722" s="65"/>
      <c r="G722" s="12"/>
      <c r="H722" s="41"/>
      <c r="I722" s="30"/>
      <c r="J722" s="30"/>
      <c r="K722" s="30"/>
      <c r="L722" s="11"/>
      <c r="M722" s="11"/>
      <c r="N722" s="11"/>
      <c r="O722" s="11"/>
    </row>
    <row r="723" spans="2:15" s="9" customFormat="1" x14ac:dyDescent="0.2">
      <c r="B723" s="10"/>
      <c r="C723" s="11"/>
      <c r="D723" s="63"/>
      <c r="E723" s="11"/>
      <c r="F723" s="65"/>
      <c r="G723" s="12"/>
      <c r="H723" s="41"/>
      <c r="I723" s="30"/>
      <c r="J723" s="30"/>
      <c r="K723" s="30"/>
      <c r="L723" s="11"/>
      <c r="M723" s="11"/>
      <c r="N723" s="11"/>
      <c r="O723" s="11"/>
    </row>
    <row r="724" spans="2:15" s="9" customFormat="1" x14ac:dyDescent="0.2">
      <c r="B724" s="10"/>
      <c r="C724" s="11"/>
      <c r="D724" s="63"/>
      <c r="E724" s="11"/>
      <c r="F724" s="65"/>
      <c r="G724" s="12"/>
      <c r="H724" s="41"/>
      <c r="I724" s="30"/>
      <c r="J724" s="30"/>
      <c r="K724" s="30"/>
      <c r="L724" s="11"/>
      <c r="M724" s="11"/>
      <c r="N724" s="11"/>
      <c r="O724" s="11"/>
    </row>
    <row r="725" spans="2:15" s="9" customFormat="1" x14ac:dyDescent="0.2">
      <c r="B725" s="10"/>
      <c r="C725" s="11"/>
      <c r="D725" s="63"/>
      <c r="E725" s="11"/>
      <c r="F725" s="65"/>
      <c r="G725" s="12"/>
      <c r="H725" s="41"/>
      <c r="I725" s="30"/>
      <c r="J725" s="30"/>
      <c r="K725" s="30"/>
      <c r="L725" s="11"/>
      <c r="M725" s="11"/>
      <c r="N725" s="11"/>
      <c r="O725" s="11"/>
    </row>
    <row r="726" spans="2:15" s="9" customFormat="1" x14ac:dyDescent="0.2">
      <c r="B726" s="10"/>
      <c r="C726" s="11"/>
      <c r="D726" s="63"/>
      <c r="E726" s="11"/>
      <c r="F726" s="65"/>
      <c r="G726" s="12"/>
      <c r="H726" s="41"/>
      <c r="I726" s="30"/>
      <c r="J726" s="30"/>
      <c r="K726" s="30"/>
      <c r="L726" s="11"/>
      <c r="M726" s="11"/>
      <c r="N726" s="11"/>
      <c r="O726" s="11"/>
    </row>
    <row r="727" spans="2:15" s="9" customFormat="1" x14ac:dyDescent="0.2">
      <c r="B727" s="10"/>
      <c r="C727" s="11"/>
      <c r="D727" s="63"/>
      <c r="E727" s="11"/>
      <c r="F727" s="65"/>
      <c r="G727" s="12"/>
      <c r="H727" s="41"/>
      <c r="I727" s="30"/>
      <c r="J727" s="30"/>
      <c r="K727" s="30"/>
      <c r="L727" s="11"/>
      <c r="M727" s="11"/>
      <c r="N727" s="11"/>
      <c r="O727" s="11"/>
    </row>
    <row r="728" spans="2:15" s="9" customFormat="1" x14ac:dyDescent="0.2">
      <c r="B728" s="10"/>
      <c r="C728" s="11"/>
      <c r="D728" s="63"/>
      <c r="E728" s="11"/>
      <c r="F728" s="65"/>
      <c r="G728" s="12"/>
      <c r="H728" s="41"/>
      <c r="I728" s="30"/>
      <c r="J728" s="30"/>
      <c r="K728" s="30"/>
      <c r="L728" s="11"/>
      <c r="M728" s="11"/>
      <c r="N728" s="11"/>
      <c r="O728" s="11"/>
    </row>
    <row r="729" spans="2:15" s="9" customFormat="1" x14ac:dyDescent="0.2">
      <c r="B729" s="10"/>
      <c r="C729" s="11"/>
      <c r="D729" s="63"/>
      <c r="E729" s="11"/>
      <c r="F729" s="65"/>
      <c r="G729" s="12"/>
      <c r="H729" s="41"/>
      <c r="I729" s="30"/>
      <c r="J729" s="30"/>
      <c r="K729" s="30"/>
      <c r="L729" s="11"/>
      <c r="M729" s="11"/>
      <c r="N729" s="11"/>
      <c r="O729" s="11"/>
    </row>
    <row r="730" spans="2:15" s="9" customFormat="1" x14ac:dyDescent="0.2">
      <c r="B730" s="10"/>
      <c r="C730" s="11"/>
      <c r="D730" s="63"/>
      <c r="E730" s="11"/>
      <c r="F730" s="65"/>
      <c r="G730" s="12"/>
      <c r="H730" s="41"/>
      <c r="I730" s="30"/>
      <c r="J730" s="30"/>
      <c r="K730" s="30"/>
      <c r="L730" s="11"/>
      <c r="M730" s="11"/>
      <c r="N730" s="11"/>
      <c r="O730" s="11"/>
    </row>
    <row r="731" spans="2:15" s="9" customFormat="1" x14ac:dyDescent="0.2">
      <c r="B731" s="10"/>
      <c r="C731" s="11"/>
      <c r="D731" s="63"/>
      <c r="E731" s="11"/>
      <c r="F731" s="65"/>
      <c r="G731" s="12"/>
      <c r="H731" s="41"/>
      <c r="I731" s="30"/>
      <c r="J731" s="30"/>
      <c r="K731" s="30"/>
      <c r="L731" s="11"/>
      <c r="M731" s="11"/>
      <c r="N731" s="11"/>
      <c r="O731" s="11"/>
    </row>
    <row r="732" spans="2:15" s="9" customFormat="1" x14ac:dyDescent="0.2">
      <c r="B732" s="10"/>
      <c r="C732" s="11"/>
      <c r="D732" s="63"/>
      <c r="E732" s="11"/>
      <c r="F732" s="65"/>
      <c r="G732" s="12"/>
      <c r="H732" s="41"/>
      <c r="I732" s="30"/>
      <c r="J732" s="30"/>
      <c r="K732" s="30"/>
      <c r="L732" s="11"/>
      <c r="M732" s="11"/>
      <c r="N732" s="11"/>
      <c r="O732" s="11"/>
    </row>
    <row r="733" spans="2:15" s="9" customFormat="1" x14ac:dyDescent="0.2">
      <c r="B733" s="10"/>
      <c r="C733" s="11"/>
      <c r="D733" s="63"/>
      <c r="E733" s="11"/>
      <c r="F733" s="65"/>
      <c r="G733" s="12"/>
      <c r="H733" s="41"/>
      <c r="I733" s="30"/>
      <c r="J733" s="30"/>
      <c r="K733" s="30"/>
      <c r="L733" s="11"/>
      <c r="M733" s="11"/>
      <c r="N733" s="11"/>
      <c r="O733" s="11"/>
    </row>
    <row r="734" spans="2:15" s="9" customFormat="1" x14ac:dyDescent="0.2">
      <c r="B734" s="10"/>
      <c r="C734" s="11"/>
      <c r="D734" s="63"/>
      <c r="E734" s="11"/>
      <c r="F734" s="65"/>
      <c r="G734" s="12"/>
      <c r="H734" s="41"/>
      <c r="I734" s="30"/>
      <c r="J734" s="30"/>
      <c r="K734" s="30"/>
      <c r="L734" s="11"/>
      <c r="M734" s="11"/>
      <c r="N734" s="11"/>
      <c r="O734" s="11"/>
    </row>
    <row r="735" spans="2:15" s="9" customFormat="1" x14ac:dyDescent="0.2">
      <c r="B735" s="10"/>
      <c r="C735" s="11"/>
      <c r="D735" s="63"/>
      <c r="E735" s="11"/>
      <c r="F735" s="65"/>
      <c r="G735" s="12"/>
      <c r="H735" s="41"/>
      <c r="I735" s="30"/>
      <c r="J735" s="30"/>
      <c r="K735" s="30"/>
      <c r="L735" s="11"/>
      <c r="M735" s="11"/>
      <c r="N735" s="11"/>
      <c r="O735" s="11"/>
    </row>
    <row r="736" spans="2:15" s="9" customFormat="1" x14ac:dyDescent="0.2">
      <c r="B736" s="10"/>
      <c r="C736" s="11"/>
      <c r="D736" s="63"/>
      <c r="E736" s="11"/>
      <c r="F736" s="65"/>
      <c r="G736" s="12"/>
      <c r="H736" s="41"/>
      <c r="I736" s="30"/>
      <c r="J736" s="30"/>
      <c r="K736" s="30"/>
      <c r="L736" s="11"/>
      <c r="M736" s="11"/>
      <c r="N736" s="11"/>
      <c r="O736" s="11"/>
    </row>
    <row r="737" spans="2:15" s="9" customFormat="1" x14ac:dyDescent="0.2">
      <c r="B737" s="10"/>
      <c r="C737" s="11"/>
      <c r="D737" s="63"/>
      <c r="E737" s="11"/>
      <c r="F737" s="65"/>
      <c r="G737" s="12"/>
      <c r="H737" s="41"/>
      <c r="I737" s="30"/>
      <c r="J737" s="30"/>
      <c r="K737" s="30"/>
      <c r="L737" s="11"/>
      <c r="M737" s="11"/>
      <c r="N737" s="11"/>
      <c r="O737" s="11"/>
    </row>
    <row r="738" spans="2:15" s="9" customFormat="1" x14ac:dyDescent="0.2">
      <c r="B738" s="10"/>
      <c r="C738" s="11"/>
      <c r="D738" s="63"/>
      <c r="E738" s="11"/>
      <c r="F738" s="65"/>
      <c r="G738" s="12"/>
      <c r="H738" s="41"/>
      <c r="I738" s="30"/>
      <c r="J738" s="30"/>
      <c r="K738" s="30"/>
      <c r="L738" s="11"/>
      <c r="M738" s="11"/>
      <c r="N738" s="11"/>
      <c r="O738" s="11"/>
    </row>
    <row r="739" spans="2:15" s="9" customFormat="1" x14ac:dyDescent="0.2">
      <c r="B739" s="10"/>
      <c r="C739" s="11"/>
      <c r="D739" s="63"/>
      <c r="E739" s="11"/>
      <c r="F739" s="65"/>
      <c r="G739" s="12"/>
      <c r="H739" s="41"/>
      <c r="I739" s="30"/>
      <c r="J739" s="30"/>
      <c r="K739" s="30"/>
      <c r="L739" s="11"/>
      <c r="M739" s="11"/>
      <c r="N739" s="11"/>
      <c r="O739" s="11"/>
    </row>
    <row r="740" spans="2:15" s="9" customFormat="1" x14ac:dyDescent="0.2">
      <c r="B740" s="10"/>
      <c r="C740" s="11"/>
      <c r="D740" s="63"/>
      <c r="E740" s="11"/>
      <c r="F740" s="65"/>
      <c r="G740" s="12"/>
      <c r="H740" s="41"/>
      <c r="I740" s="30"/>
      <c r="J740" s="30"/>
      <c r="K740" s="30"/>
      <c r="L740" s="11"/>
      <c r="M740" s="11"/>
      <c r="N740" s="11"/>
      <c r="O740" s="11"/>
    </row>
    <row r="741" spans="2:15" s="9" customFormat="1" x14ac:dyDescent="0.2">
      <c r="B741" s="10"/>
      <c r="C741" s="11"/>
      <c r="D741" s="63"/>
      <c r="E741" s="11"/>
      <c r="F741" s="65"/>
      <c r="G741" s="12"/>
      <c r="H741" s="41"/>
      <c r="I741" s="30"/>
      <c r="J741" s="30"/>
      <c r="K741" s="30"/>
      <c r="L741" s="11"/>
      <c r="M741" s="11"/>
      <c r="N741" s="11"/>
      <c r="O741" s="11"/>
    </row>
    <row r="742" spans="2:15" s="9" customFormat="1" x14ac:dyDescent="0.2">
      <c r="B742" s="10"/>
      <c r="C742" s="11"/>
      <c r="D742" s="63"/>
      <c r="E742" s="11"/>
      <c r="F742" s="65"/>
      <c r="G742" s="12"/>
      <c r="H742" s="41"/>
      <c r="I742" s="30"/>
      <c r="J742" s="30"/>
      <c r="K742" s="30"/>
      <c r="L742" s="11"/>
      <c r="M742" s="11"/>
      <c r="N742" s="11"/>
      <c r="O742" s="11"/>
    </row>
    <row r="743" spans="2:15" s="9" customFormat="1" x14ac:dyDescent="0.2">
      <c r="B743" s="10"/>
      <c r="C743" s="11"/>
      <c r="D743" s="63"/>
      <c r="E743" s="11"/>
      <c r="F743" s="65"/>
      <c r="G743" s="12"/>
      <c r="H743" s="41"/>
      <c r="I743" s="30"/>
      <c r="J743" s="30"/>
      <c r="K743" s="30"/>
      <c r="L743" s="11"/>
      <c r="M743" s="11"/>
      <c r="N743" s="11"/>
      <c r="O743" s="11"/>
    </row>
    <row r="744" spans="2:15" s="9" customFormat="1" x14ac:dyDescent="0.2">
      <c r="B744" s="10"/>
      <c r="C744" s="11"/>
      <c r="D744" s="63"/>
      <c r="E744" s="11"/>
      <c r="F744" s="65"/>
      <c r="G744" s="12"/>
      <c r="H744" s="41"/>
      <c r="I744" s="30"/>
      <c r="J744" s="30"/>
      <c r="K744" s="30"/>
      <c r="L744" s="11"/>
      <c r="M744" s="11"/>
      <c r="N744" s="11"/>
      <c r="O744" s="11"/>
    </row>
    <row r="745" spans="2:15" s="9" customFormat="1" x14ac:dyDescent="0.2">
      <c r="B745" s="10"/>
      <c r="C745" s="11"/>
      <c r="D745" s="63"/>
      <c r="E745" s="11"/>
      <c r="F745" s="65"/>
      <c r="G745" s="12"/>
      <c r="H745" s="41"/>
      <c r="I745" s="30"/>
      <c r="J745" s="30"/>
      <c r="K745" s="30"/>
      <c r="L745" s="11"/>
      <c r="M745" s="11"/>
      <c r="N745" s="11"/>
      <c r="O745" s="11"/>
    </row>
    <row r="746" spans="2:15" s="9" customFormat="1" x14ac:dyDescent="0.2">
      <c r="B746" s="10"/>
      <c r="C746" s="11"/>
      <c r="D746" s="63"/>
      <c r="E746" s="11"/>
      <c r="F746" s="65"/>
      <c r="G746" s="12"/>
      <c r="H746" s="41"/>
      <c r="I746" s="30"/>
      <c r="J746" s="30"/>
      <c r="K746" s="30"/>
      <c r="L746" s="11"/>
      <c r="M746" s="11"/>
      <c r="N746" s="11"/>
      <c r="O746" s="11"/>
    </row>
    <row r="747" spans="2:15" s="9" customFormat="1" x14ac:dyDescent="0.2">
      <c r="B747" s="10"/>
      <c r="C747" s="11"/>
      <c r="D747" s="63"/>
      <c r="E747" s="11"/>
      <c r="F747" s="65"/>
      <c r="G747" s="12"/>
      <c r="H747" s="41"/>
      <c r="I747" s="30"/>
      <c r="J747" s="30"/>
      <c r="K747" s="30"/>
      <c r="L747" s="11"/>
      <c r="M747" s="11"/>
      <c r="N747" s="11"/>
      <c r="O747" s="11"/>
    </row>
    <row r="748" spans="2:15" s="9" customFormat="1" x14ac:dyDescent="0.2">
      <c r="B748" s="10"/>
      <c r="C748" s="11"/>
      <c r="D748" s="63"/>
      <c r="E748" s="11"/>
      <c r="F748" s="65"/>
      <c r="G748" s="12"/>
      <c r="H748" s="41"/>
      <c r="I748" s="30"/>
      <c r="J748" s="30"/>
      <c r="K748" s="30"/>
      <c r="L748" s="11"/>
      <c r="M748" s="11"/>
      <c r="N748" s="11"/>
      <c r="O748" s="11"/>
    </row>
    <row r="749" spans="2:15" s="9" customFormat="1" x14ac:dyDescent="0.2">
      <c r="B749" s="10"/>
      <c r="C749" s="11"/>
      <c r="D749" s="63"/>
      <c r="E749" s="11"/>
      <c r="F749" s="65"/>
      <c r="G749" s="12"/>
      <c r="H749" s="41"/>
      <c r="I749" s="30"/>
      <c r="J749" s="30"/>
      <c r="K749" s="30"/>
      <c r="L749" s="11"/>
      <c r="M749" s="11"/>
      <c r="N749" s="11"/>
      <c r="O749" s="11"/>
    </row>
    <row r="750" spans="2:15" s="9" customFormat="1" x14ac:dyDescent="0.2">
      <c r="B750" s="10"/>
      <c r="C750" s="11"/>
      <c r="D750" s="63"/>
      <c r="E750" s="11"/>
      <c r="F750" s="65"/>
      <c r="G750" s="12"/>
      <c r="H750" s="41"/>
      <c r="I750" s="30"/>
      <c r="J750" s="30"/>
      <c r="K750" s="30"/>
      <c r="L750" s="11"/>
      <c r="M750" s="11"/>
      <c r="N750" s="11"/>
      <c r="O750" s="11"/>
    </row>
    <row r="751" spans="2:15" s="9" customFormat="1" x14ac:dyDescent="0.2">
      <c r="B751" s="10"/>
      <c r="C751" s="11"/>
      <c r="D751" s="63"/>
      <c r="E751" s="11"/>
      <c r="F751" s="65"/>
      <c r="G751" s="12"/>
      <c r="H751" s="41"/>
      <c r="I751" s="30"/>
      <c r="J751" s="30"/>
      <c r="K751" s="30"/>
      <c r="L751" s="11"/>
      <c r="M751" s="11"/>
      <c r="N751" s="11"/>
      <c r="O751" s="11"/>
    </row>
    <row r="752" spans="2:15" s="9" customFormat="1" x14ac:dyDescent="0.2">
      <c r="B752" s="10"/>
      <c r="C752" s="11"/>
      <c r="D752" s="63"/>
      <c r="E752" s="11"/>
      <c r="F752" s="65"/>
      <c r="G752" s="12"/>
      <c r="H752" s="41"/>
      <c r="I752" s="30"/>
      <c r="J752" s="30"/>
      <c r="K752" s="30"/>
      <c r="L752" s="11"/>
      <c r="M752" s="11"/>
      <c r="N752" s="11"/>
      <c r="O752" s="11"/>
    </row>
    <row r="753" spans="2:15" s="9" customFormat="1" x14ac:dyDescent="0.2">
      <c r="B753" s="10"/>
      <c r="C753" s="11"/>
      <c r="D753" s="63"/>
      <c r="E753" s="11"/>
      <c r="F753" s="65"/>
      <c r="G753" s="12"/>
      <c r="H753" s="41"/>
      <c r="I753" s="30"/>
      <c r="J753" s="30"/>
      <c r="K753" s="30"/>
      <c r="L753" s="11"/>
      <c r="M753" s="11"/>
      <c r="N753" s="11"/>
      <c r="O753" s="11"/>
    </row>
    <row r="754" spans="2:15" s="9" customFormat="1" x14ac:dyDescent="0.2">
      <c r="B754" s="10"/>
      <c r="C754" s="11"/>
      <c r="D754" s="63"/>
      <c r="E754" s="11"/>
      <c r="F754" s="65"/>
      <c r="G754" s="12"/>
      <c r="H754" s="41"/>
      <c r="I754" s="30"/>
      <c r="J754" s="30"/>
      <c r="K754" s="30"/>
      <c r="L754" s="11"/>
      <c r="M754" s="11"/>
      <c r="N754" s="11"/>
      <c r="O754" s="11"/>
    </row>
    <row r="755" spans="2:15" s="9" customFormat="1" x14ac:dyDescent="0.2">
      <c r="B755" s="10"/>
      <c r="C755" s="11"/>
      <c r="D755" s="63"/>
      <c r="E755" s="11"/>
      <c r="F755" s="65"/>
      <c r="G755" s="12"/>
      <c r="H755" s="41"/>
      <c r="I755" s="30"/>
      <c r="J755" s="30"/>
      <c r="K755" s="30"/>
      <c r="L755" s="11"/>
      <c r="M755" s="11"/>
      <c r="N755" s="11"/>
      <c r="O755" s="11"/>
    </row>
    <row r="756" spans="2:15" s="9" customFormat="1" x14ac:dyDescent="0.2">
      <c r="B756" s="10"/>
      <c r="C756" s="11"/>
      <c r="D756" s="63"/>
      <c r="E756" s="11"/>
      <c r="F756" s="65"/>
      <c r="G756" s="12"/>
      <c r="H756" s="41"/>
      <c r="I756" s="30"/>
      <c r="J756" s="30"/>
      <c r="K756" s="30"/>
      <c r="L756" s="11"/>
      <c r="M756" s="11"/>
      <c r="N756" s="11"/>
      <c r="O756" s="11"/>
    </row>
    <row r="757" spans="2:15" s="9" customFormat="1" x14ac:dyDescent="0.2">
      <c r="B757" s="10"/>
      <c r="C757" s="11"/>
      <c r="D757" s="63"/>
      <c r="E757" s="11"/>
      <c r="F757" s="65"/>
      <c r="G757" s="12"/>
      <c r="H757" s="41"/>
      <c r="I757" s="30"/>
      <c r="J757" s="30"/>
      <c r="K757" s="30"/>
      <c r="L757" s="11"/>
      <c r="M757" s="11"/>
      <c r="N757" s="11"/>
      <c r="O757" s="11"/>
    </row>
    <row r="758" spans="2:15" s="9" customFormat="1" x14ac:dyDescent="0.2">
      <c r="B758" s="10"/>
      <c r="C758" s="11"/>
      <c r="D758" s="63"/>
      <c r="E758" s="11"/>
      <c r="F758" s="65"/>
      <c r="G758" s="12"/>
      <c r="H758" s="41"/>
      <c r="I758" s="30"/>
      <c r="J758" s="30"/>
      <c r="K758" s="30"/>
      <c r="L758" s="11"/>
      <c r="M758" s="11"/>
      <c r="N758" s="11"/>
      <c r="O758" s="11"/>
    </row>
    <row r="759" spans="2:15" s="9" customFormat="1" x14ac:dyDescent="0.2">
      <c r="B759" s="10"/>
      <c r="C759" s="11"/>
      <c r="D759" s="63"/>
      <c r="E759" s="11"/>
      <c r="F759" s="65"/>
      <c r="G759" s="12"/>
      <c r="H759" s="41"/>
      <c r="I759" s="30"/>
      <c r="J759" s="30"/>
      <c r="K759" s="30"/>
      <c r="L759" s="11"/>
      <c r="M759" s="11"/>
      <c r="N759" s="11"/>
      <c r="O759" s="11"/>
    </row>
    <row r="760" spans="2:15" s="9" customFormat="1" x14ac:dyDescent="0.2">
      <c r="B760" s="10"/>
      <c r="C760" s="11"/>
      <c r="D760" s="63"/>
      <c r="E760" s="11"/>
      <c r="F760" s="65"/>
      <c r="G760" s="12"/>
      <c r="H760" s="41"/>
      <c r="I760" s="30"/>
      <c r="J760" s="30"/>
      <c r="K760" s="30"/>
      <c r="L760" s="11"/>
      <c r="M760" s="11"/>
      <c r="N760" s="11"/>
      <c r="O760" s="11"/>
    </row>
    <row r="761" spans="2:15" s="9" customFormat="1" x14ac:dyDescent="0.2">
      <c r="B761" s="10"/>
      <c r="C761" s="11"/>
      <c r="D761" s="63"/>
      <c r="E761" s="11"/>
      <c r="F761" s="65"/>
      <c r="G761" s="12"/>
      <c r="H761" s="41"/>
      <c r="I761" s="30"/>
      <c r="J761" s="30"/>
      <c r="K761" s="30"/>
      <c r="L761" s="11"/>
      <c r="M761" s="11"/>
      <c r="N761" s="11"/>
      <c r="O761" s="11"/>
    </row>
    <row r="762" spans="2:15" s="9" customFormat="1" x14ac:dyDescent="0.2">
      <c r="B762" s="10"/>
      <c r="C762" s="11"/>
      <c r="D762" s="63"/>
      <c r="E762" s="11"/>
      <c r="F762" s="65"/>
      <c r="G762" s="12"/>
      <c r="H762" s="41"/>
      <c r="I762" s="30"/>
      <c r="J762" s="30"/>
      <c r="K762" s="30"/>
      <c r="L762" s="11"/>
      <c r="M762" s="11"/>
      <c r="N762" s="11"/>
      <c r="O762" s="11"/>
    </row>
    <row r="763" spans="2:15" s="9" customFormat="1" x14ac:dyDescent="0.2">
      <c r="B763" s="10"/>
      <c r="C763" s="11"/>
      <c r="D763" s="63"/>
      <c r="E763" s="11"/>
      <c r="F763" s="65"/>
      <c r="G763" s="12"/>
      <c r="H763" s="41"/>
      <c r="I763" s="30"/>
      <c r="J763" s="30"/>
      <c r="K763" s="30"/>
      <c r="L763" s="11"/>
      <c r="M763" s="11"/>
      <c r="N763" s="11"/>
      <c r="O763" s="11"/>
    </row>
    <row r="764" spans="2:15" s="9" customFormat="1" x14ac:dyDescent="0.2">
      <c r="B764" s="10"/>
      <c r="C764" s="11"/>
      <c r="D764" s="63"/>
      <c r="E764" s="11"/>
      <c r="F764" s="65"/>
      <c r="G764" s="12"/>
      <c r="H764" s="41"/>
      <c r="I764" s="30"/>
      <c r="J764" s="30"/>
      <c r="K764" s="30"/>
      <c r="L764" s="11"/>
      <c r="M764" s="11"/>
      <c r="N764" s="11"/>
      <c r="O764" s="11"/>
    </row>
    <row r="765" spans="2:15" s="9" customFormat="1" x14ac:dyDescent="0.2">
      <c r="B765" s="10"/>
      <c r="C765" s="11"/>
      <c r="D765" s="63"/>
      <c r="E765" s="11"/>
      <c r="F765" s="65"/>
      <c r="G765" s="12"/>
      <c r="H765" s="41"/>
      <c r="I765" s="30"/>
      <c r="J765" s="30"/>
      <c r="K765" s="30"/>
      <c r="L765" s="11"/>
      <c r="M765" s="11"/>
      <c r="N765" s="11"/>
      <c r="O765" s="11"/>
    </row>
    <row r="766" spans="2:15" s="9" customFormat="1" x14ac:dyDescent="0.2">
      <c r="B766" s="10"/>
      <c r="C766" s="11"/>
      <c r="D766" s="63"/>
      <c r="E766" s="11"/>
      <c r="F766" s="65"/>
      <c r="G766" s="12"/>
      <c r="H766" s="41"/>
      <c r="I766" s="30"/>
      <c r="J766" s="30"/>
      <c r="K766" s="30"/>
      <c r="L766" s="11"/>
      <c r="M766" s="11"/>
      <c r="N766" s="11"/>
      <c r="O766" s="11"/>
    </row>
    <row r="767" spans="2:15" s="9" customFormat="1" x14ac:dyDescent="0.2">
      <c r="B767" s="10"/>
      <c r="C767" s="11"/>
      <c r="D767" s="63"/>
      <c r="E767" s="11"/>
      <c r="F767" s="65"/>
      <c r="G767" s="12"/>
      <c r="H767" s="41"/>
      <c r="I767" s="30"/>
      <c r="J767" s="30"/>
      <c r="K767" s="30"/>
      <c r="L767" s="11"/>
      <c r="M767" s="11"/>
      <c r="N767" s="11"/>
      <c r="O767" s="11"/>
    </row>
    <row r="768" spans="2:15" s="9" customFormat="1" x14ac:dyDescent="0.2">
      <c r="B768" s="10"/>
      <c r="C768" s="11"/>
      <c r="D768" s="63"/>
      <c r="E768" s="11"/>
      <c r="F768" s="65"/>
      <c r="G768" s="12"/>
      <c r="H768" s="41"/>
      <c r="I768" s="30"/>
      <c r="J768" s="30"/>
      <c r="K768" s="30"/>
      <c r="L768" s="11"/>
      <c r="M768" s="11"/>
      <c r="N768" s="11"/>
      <c r="O768" s="11"/>
    </row>
    <row r="769" spans="2:15" s="9" customFormat="1" x14ac:dyDescent="0.2">
      <c r="B769" s="10"/>
      <c r="C769" s="11"/>
      <c r="D769" s="63"/>
      <c r="E769" s="11"/>
      <c r="F769" s="65"/>
      <c r="G769" s="12"/>
      <c r="H769" s="41"/>
      <c r="I769" s="30"/>
      <c r="J769" s="30"/>
      <c r="K769" s="30"/>
      <c r="L769" s="11"/>
      <c r="M769" s="11"/>
      <c r="N769" s="11"/>
      <c r="O769" s="11"/>
    </row>
    <row r="770" spans="2:15" s="9" customFormat="1" x14ac:dyDescent="0.2">
      <c r="B770" s="10"/>
      <c r="C770" s="11"/>
      <c r="D770" s="63"/>
      <c r="E770" s="11"/>
      <c r="F770" s="65"/>
      <c r="G770" s="12"/>
      <c r="H770" s="41"/>
      <c r="I770" s="30"/>
      <c r="J770" s="30"/>
      <c r="K770" s="30"/>
      <c r="L770" s="11"/>
      <c r="M770" s="11"/>
      <c r="N770" s="11"/>
      <c r="O770" s="11"/>
    </row>
    <row r="771" spans="2:15" s="9" customFormat="1" x14ac:dyDescent="0.2">
      <c r="B771" s="10"/>
      <c r="C771" s="11"/>
      <c r="D771" s="63"/>
      <c r="E771" s="11"/>
      <c r="F771" s="65"/>
      <c r="G771" s="12"/>
      <c r="H771" s="41"/>
      <c r="I771" s="30"/>
      <c r="J771" s="30"/>
      <c r="K771" s="30"/>
      <c r="L771" s="11"/>
      <c r="M771" s="11"/>
      <c r="N771" s="11"/>
      <c r="O771" s="11"/>
    </row>
    <row r="772" spans="2:15" s="9" customFormat="1" x14ac:dyDescent="0.2">
      <c r="B772" s="10"/>
      <c r="C772" s="11"/>
      <c r="D772" s="63"/>
      <c r="E772" s="11"/>
      <c r="F772" s="65"/>
      <c r="G772" s="12"/>
      <c r="H772" s="41"/>
      <c r="I772" s="30"/>
      <c r="J772" s="30"/>
      <c r="K772" s="30"/>
      <c r="L772" s="11"/>
      <c r="M772" s="11"/>
      <c r="N772" s="11"/>
      <c r="O772" s="11"/>
    </row>
    <row r="773" spans="2:15" s="9" customFormat="1" x14ac:dyDescent="0.2">
      <c r="B773" s="10"/>
      <c r="C773" s="11"/>
      <c r="D773" s="63"/>
      <c r="E773" s="11"/>
      <c r="F773" s="65"/>
      <c r="G773" s="12"/>
      <c r="H773" s="41"/>
      <c r="I773" s="30"/>
      <c r="J773" s="30"/>
      <c r="K773" s="30"/>
      <c r="L773" s="11"/>
      <c r="M773" s="11"/>
      <c r="N773" s="11"/>
      <c r="O773" s="11"/>
    </row>
    <row r="774" spans="2:15" s="9" customFormat="1" x14ac:dyDescent="0.2">
      <c r="B774" s="10"/>
      <c r="C774" s="11"/>
      <c r="D774" s="63"/>
      <c r="E774" s="11"/>
      <c r="F774" s="65"/>
      <c r="G774" s="12"/>
      <c r="H774" s="41"/>
      <c r="I774" s="30"/>
      <c r="J774" s="30"/>
      <c r="K774" s="30"/>
      <c r="L774" s="11"/>
      <c r="M774" s="11"/>
      <c r="N774" s="11"/>
      <c r="O774" s="11"/>
    </row>
    <row r="775" spans="2:15" s="9" customFormat="1" x14ac:dyDescent="0.2">
      <c r="B775" s="10"/>
      <c r="C775" s="11"/>
      <c r="D775" s="63"/>
      <c r="E775" s="11"/>
      <c r="F775" s="65"/>
      <c r="G775" s="12"/>
      <c r="H775" s="41"/>
      <c r="I775" s="30"/>
      <c r="J775" s="30"/>
      <c r="K775" s="30"/>
      <c r="L775" s="11"/>
      <c r="M775" s="11"/>
      <c r="N775" s="11"/>
      <c r="O775" s="11"/>
    </row>
    <row r="776" spans="2:15" s="9" customFormat="1" x14ac:dyDescent="0.2">
      <c r="B776" s="10"/>
      <c r="C776" s="11"/>
      <c r="D776" s="63"/>
      <c r="E776" s="11"/>
      <c r="F776" s="65"/>
      <c r="G776" s="12"/>
      <c r="H776" s="41"/>
      <c r="I776" s="30"/>
      <c r="J776" s="30"/>
      <c r="K776" s="30"/>
      <c r="L776" s="11"/>
      <c r="M776" s="11"/>
      <c r="N776" s="11"/>
      <c r="O776" s="11"/>
    </row>
    <row r="777" spans="2:15" s="9" customFormat="1" x14ac:dyDescent="0.2">
      <c r="B777" s="10"/>
      <c r="C777" s="11"/>
      <c r="D777" s="63"/>
      <c r="E777" s="11"/>
      <c r="F777" s="65"/>
      <c r="G777" s="12"/>
      <c r="H777" s="41"/>
      <c r="I777" s="30"/>
      <c r="J777" s="30"/>
      <c r="K777" s="30"/>
      <c r="L777" s="11"/>
      <c r="M777" s="11"/>
      <c r="N777" s="11"/>
      <c r="O777" s="11"/>
    </row>
    <row r="778" spans="2:15" s="9" customFormat="1" x14ac:dyDescent="0.2">
      <c r="B778" s="10"/>
      <c r="C778" s="11"/>
      <c r="D778" s="63"/>
      <c r="E778" s="11"/>
      <c r="F778" s="65"/>
      <c r="G778" s="12"/>
      <c r="H778" s="41"/>
      <c r="I778" s="30"/>
      <c r="J778" s="30"/>
      <c r="K778" s="30"/>
      <c r="L778" s="11"/>
      <c r="M778" s="11"/>
      <c r="N778" s="11"/>
      <c r="O778" s="11"/>
    </row>
    <row r="779" spans="2:15" s="9" customFormat="1" x14ac:dyDescent="0.2">
      <c r="B779" s="10"/>
      <c r="C779" s="11"/>
      <c r="D779" s="63"/>
      <c r="E779" s="11"/>
      <c r="F779" s="65"/>
      <c r="G779" s="12"/>
      <c r="H779" s="41"/>
      <c r="I779" s="30"/>
      <c r="J779" s="30"/>
      <c r="K779" s="30"/>
      <c r="L779" s="11"/>
      <c r="M779" s="11"/>
      <c r="N779" s="11"/>
      <c r="O779" s="11"/>
    </row>
    <row r="780" spans="2:15" s="9" customFormat="1" x14ac:dyDescent="0.2">
      <c r="B780" s="10"/>
      <c r="C780" s="11"/>
      <c r="D780" s="63"/>
      <c r="E780" s="11"/>
      <c r="F780" s="65"/>
      <c r="G780" s="12"/>
      <c r="H780" s="41"/>
      <c r="I780" s="30"/>
      <c r="J780" s="30"/>
      <c r="K780" s="30"/>
      <c r="L780" s="11"/>
      <c r="M780" s="11"/>
      <c r="N780" s="11"/>
      <c r="O780" s="11"/>
    </row>
    <row r="781" spans="2:15" s="9" customFormat="1" x14ac:dyDescent="0.2">
      <c r="B781" s="10"/>
      <c r="C781" s="11"/>
      <c r="D781" s="63"/>
      <c r="E781" s="11"/>
      <c r="F781" s="65"/>
      <c r="G781" s="12"/>
      <c r="H781" s="41"/>
      <c r="I781" s="30"/>
      <c r="J781" s="30"/>
      <c r="K781" s="30"/>
      <c r="L781" s="11"/>
      <c r="M781" s="11"/>
      <c r="N781" s="11"/>
      <c r="O781" s="11"/>
    </row>
    <row r="782" spans="2:15" s="9" customFormat="1" x14ac:dyDescent="0.2">
      <c r="B782" s="10"/>
      <c r="C782" s="11"/>
      <c r="D782" s="63"/>
      <c r="E782" s="11"/>
      <c r="F782" s="65"/>
      <c r="G782" s="12"/>
      <c r="H782" s="41"/>
      <c r="I782" s="30"/>
      <c r="J782" s="30"/>
      <c r="K782" s="30"/>
      <c r="L782" s="11"/>
      <c r="M782" s="11"/>
      <c r="N782" s="11"/>
      <c r="O782" s="11"/>
    </row>
    <row r="783" spans="2:15" s="9" customFormat="1" x14ac:dyDescent="0.2">
      <c r="B783" s="10"/>
      <c r="C783" s="11"/>
      <c r="D783" s="63"/>
      <c r="E783" s="11"/>
      <c r="F783" s="65"/>
      <c r="G783" s="12"/>
      <c r="H783" s="41"/>
      <c r="I783" s="30"/>
      <c r="J783" s="30"/>
      <c r="K783" s="30"/>
      <c r="L783" s="11"/>
      <c r="M783" s="11"/>
      <c r="N783" s="11"/>
      <c r="O783" s="11"/>
    </row>
    <row r="784" spans="2:15" s="9" customFormat="1" x14ac:dyDescent="0.2">
      <c r="B784" s="10"/>
      <c r="C784" s="11"/>
      <c r="D784" s="63"/>
      <c r="E784" s="11"/>
      <c r="F784" s="65"/>
      <c r="G784" s="12"/>
      <c r="H784" s="41"/>
      <c r="I784" s="30"/>
      <c r="J784" s="30"/>
      <c r="K784" s="30"/>
      <c r="L784" s="11"/>
      <c r="M784" s="11"/>
      <c r="N784" s="11"/>
      <c r="O784" s="11"/>
    </row>
    <row r="785" spans="2:15" s="9" customFormat="1" x14ac:dyDescent="0.2">
      <c r="B785" s="10"/>
      <c r="C785" s="11"/>
      <c r="D785" s="63"/>
      <c r="E785" s="11"/>
      <c r="F785" s="65"/>
      <c r="G785" s="12"/>
      <c r="H785" s="41"/>
      <c r="I785" s="30"/>
      <c r="J785" s="30"/>
      <c r="K785" s="30"/>
      <c r="L785" s="11"/>
      <c r="M785" s="11"/>
      <c r="N785" s="11"/>
      <c r="O785" s="11"/>
    </row>
    <row r="786" spans="2:15" s="9" customFormat="1" x14ac:dyDescent="0.2">
      <c r="B786" s="10"/>
      <c r="C786" s="11"/>
      <c r="D786" s="63"/>
      <c r="E786" s="11"/>
      <c r="F786" s="65"/>
      <c r="G786" s="12"/>
      <c r="H786" s="41"/>
      <c r="I786" s="30"/>
      <c r="J786" s="30"/>
      <c r="K786" s="30"/>
      <c r="L786" s="11"/>
      <c r="M786" s="11"/>
      <c r="N786" s="11"/>
      <c r="O786" s="11"/>
    </row>
    <row r="787" spans="2:15" s="9" customFormat="1" x14ac:dyDescent="0.2">
      <c r="B787" s="10"/>
      <c r="C787" s="11"/>
      <c r="D787" s="63"/>
      <c r="E787" s="11"/>
      <c r="F787" s="65"/>
      <c r="G787" s="12"/>
      <c r="H787" s="41"/>
      <c r="I787" s="30"/>
      <c r="J787" s="30"/>
      <c r="K787" s="30"/>
      <c r="L787" s="11"/>
      <c r="M787" s="11"/>
      <c r="N787" s="11"/>
      <c r="O787" s="11"/>
    </row>
    <row r="788" spans="2:15" s="9" customFormat="1" x14ac:dyDescent="0.2">
      <c r="B788" s="10"/>
      <c r="C788" s="11"/>
      <c r="D788" s="63"/>
      <c r="E788" s="11"/>
      <c r="F788" s="65"/>
      <c r="G788" s="12"/>
      <c r="H788" s="41"/>
      <c r="I788" s="30"/>
      <c r="J788" s="30"/>
      <c r="K788" s="30"/>
      <c r="L788" s="11"/>
      <c r="M788" s="11"/>
      <c r="N788" s="11"/>
      <c r="O788" s="11"/>
    </row>
    <row r="789" spans="2:15" s="9" customFormat="1" x14ac:dyDescent="0.2">
      <c r="B789" s="10"/>
      <c r="C789" s="11"/>
      <c r="D789" s="63"/>
      <c r="E789" s="11"/>
      <c r="F789" s="65"/>
      <c r="G789" s="12"/>
      <c r="H789" s="41"/>
      <c r="I789" s="30"/>
      <c r="J789" s="30"/>
      <c r="K789" s="30"/>
      <c r="L789" s="11"/>
      <c r="M789" s="11"/>
      <c r="N789" s="11"/>
      <c r="O789" s="11"/>
    </row>
    <row r="790" spans="2:15" s="9" customFormat="1" x14ac:dyDescent="0.2">
      <c r="B790" s="10"/>
      <c r="C790" s="11"/>
      <c r="D790" s="63"/>
      <c r="E790" s="11"/>
      <c r="F790" s="65"/>
      <c r="G790" s="12"/>
      <c r="H790" s="41"/>
      <c r="I790" s="30"/>
      <c r="J790" s="30"/>
      <c r="K790" s="30"/>
      <c r="L790" s="11"/>
      <c r="M790" s="11"/>
      <c r="N790" s="11"/>
      <c r="O790" s="11"/>
    </row>
    <row r="791" spans="2:15" s="9" customFormat="1" x14ac:dyDescent="0.2">
      <c r="B791" s="10"/>
      <c r="C791" s="11"/>
      <c r="D791" s="63"/>
      <c r="E791" s="11"/>
      <c r="F791" s="65"/>
      <c r="G791" s="12"/>
      <c r="H791" s="41"/>
      <c r="I791" s="30"/>
      <c r="J791" s="30"/>
      <c r="K791" s="30"/>
      <c r="L791" s="11"/>
      <c r="M791" s="11"/>
      <c r="N791" s="11"/>
      <c r="O791" s="11"/>
    </row>
    <row r="792" spans="2:15" s="9" customFormat="1" x14ac:dyDescent="0.2">
      <c r="B792" s="10"/>
      <c r="C792" s="11"/>
      <c r="D792" s="63"/>
      <c r="E792" s="11"/>
      <c r="F792" s="65"/>
      <c r="G792" s="12"/>
      <c r="H792" s="41"/>
      <c r="I792" s="30"/>
      <c r="J792" s="30"/>
      <c r="K792" s="30"/>
      <c r="L792" s="11"/>
      <c r="M792" s="11"/>
      <c r="N792" s="11"/>
      <c r="O792" s="11"/>
    </row>
    <row r="793" spans="2:15" s="9" customFormat="1" x14ac:dyDescent="0.2">
      <c r="B793" s="10"/>
      <c r="C793" s="11"/>
      <c r="D793" s="63"/>
      <c r="E793" s="11"/>
      <c r="F793" s="65"/>
      <c r="G793" s="12"/>
      <c r="H793" s="41"/>
      <c r="I793" s="30"/>
      <c r="J793" s="30"/>
      <c r="K793" s="30"/>
      <c r="L793" s="11"/>
      <c r="M793" s="11"/>
      <c r="N793" s="11"/>
      <c r="O793" s="11"/>
    </row>
    <row r="794" spans="2:15" s="9" customFormat="1" x14ac:dyDescent="0.2">
      <c r="B794" s="10"/>
      <c r="C794" s="11"/>
      <c r="D794" s="63"/>
      <c r="E794" s="11"/>
      <c r="F794" s="65"/>
      <c r="G794" s="12"/>
      <c r="H794" s="41"/>
      <c r="I794" s="30"/>
      <c r="J794" s="30"/>
      <c r="K794" s="30"/>
      <c r="L794" s="11"/>
      <c r="M794" s="11"/>
      <c r="N794" s="11"/>
      <c r="O794" s="11"/>
    </row>
    <row r="795" spans="2:15" s="9" customFormat="1" x14ac:dyDescent="0.2">
      <c r="B795" s="10"/>
      <c r="C795" s="11"/>
      <c r="D795" s="63"/>
      <c r="E795" s="11"/>
      <c r="F795" s="65"/>
      <c r="G795" s="12"/>
      <c r="H795" s="41"/>
      <c r="I795" s="30"/>
      <c r="J795" s="30"/>
      <c r="K795" s="30"/>
      <c r="L795" s="11"/>
      <c r="M795" s="11"/>
      <c r="N795" s="11"/>
      <c r="O795" s="11"/>
    </row>
    <row r="796" spans="2:15" s="9" customFormat="1" x14ac:dyDescent="0.2">
      <c r="B796" s="10"/>
      <c r="C796" s="11"/>
      <c r="D796" s="63"/>
      <c r="E796" s="11"/>
      <c r="F796" s="65"/>
      <c r="G796" s="12"/>
      <c r="H796" s="41"/>
      <c r="I796" s="30"/>
      <c r="J796" s="30"/>
      <c r="K796" s="30"/>
      <c r="L796" s="11"/>
      <c r="M796" s="11"/>
      <c r="N796" s="11"/>
      <c r="O796" s="11"/>
    </row>
    <row r="797" spans="2:15" s="9" customFormat="1" x14ac:dyDescent="0.2">
      <c r="B797" s="10"/>
      <c r="C797" s="11"/>
      <c r="D797" s="63"/>
      <c r="E797" s="11"/>
      <c r="F797" s="65"/>
      <c r="G797" s="12"/>
      <c r="H797" s="41"/>
      <c r="I797" s="30"/>
      <c r="J797" s="30"/>
      <c r="K797" s="30"/>
      <c r="L797" s="11"/>
      <c r="M797" s="11"/>
      <c r="N797" s="11"/>
      <c r="O797" s="11"/>
    </row>
    <row r="798" spans="2:15" s="9" customFormat="1" x14ac:dyDescent="0.2">
      <c r="B798" s="10"/>
      <c r="C798" s="11"/>
      <c r="D798" s="63"/>
      <c r="E798" s="11"/>
      <c r="F798" s="65"/>
      <c r="G798" s="12"/>
      <c r="H798" s="41"/>
      <c r="I798" s="30"/>
      <c r="J798" s="30"/>
      <c r="K798" s="30"/>
      <c r="L798" s="11"/>
      <c r="M798" s="11"/>
      <c r="N798" s="11"/>
      <c r="O798" s="11"/>
    </row>
    <row r="799" spans="2:15" s="9" customFormat="1" x14ac:dyDescent="0.2">
      <c r="B799" s="10"/>
      <c r="C799" s="11"/>
      <c r="D799" s="63"/>
      <c r="E799" s="11"/>
      <c r="F799" s="65"/>
      <c r="G799" s="12"/>
      <c r="H799" s="41"/>
      <c r="I799" s="30"/>
      <c r="J799" s="30"/>
      <c r="K799" s="30"/>
      <c r="L799" s="11"/>
      <c r="M799" s="11"/>
      <c r="N799" s="11"/>
      <c r="O799" s="11"/>
    </row>
    <row r="800" spans="2:15" s="9" customFormat="1" x14ac:dyDescent="0.2">
      <c r="B800" s="10"/>
      <c r="C800" s="11"/>
      <c r="D800" s="63"/>
      <c r="E800" s="11"/>
      <c r="F800" s="65"/>
      <c r="G800" s="12"/>
      <c r="H800" s="41"/>
      <c r="I800" s="30"/>
      <c r="J800" s="30"/>
      <c r="K800" s="30"/>
      <c r="L800" s="11"/>
      <c r="M800" s="11"/>
      <c r="N800" s="11"/>
      <c r="O800" s="11"/>
    </row>
    <row r="801" spans="2:15" s="9" customFormat="1" x14ac:dyDescent="0.2">
      <c r="B801" s="10"/>
      <c r="C801" s="11"/>
      <c r="D801" s="63"/>
      <c r="E801" s="11"/>
      <c r="F801" s="65"/>
      <c r="G801" s="12"/>
      <c r="H801" s="41"/>
      <c r="I801" s="30"/>
      <c r="J801" s="30"/>
      <c r="K801" s="30"/>
      <c r="L801" s="11"/>
      <c r="M801" s="11"/>
      <c r="N801" s="11"/>
      <c r="O801" s="11"/>
    </row>
    <row r="802" spans="2:15" s="9" customFormat="1" x14ac:dyDescent="0.2">
      <c r="B802" s="10"/>
      <c r="C802" s="11"/>
      <c r="D802" s="63"/>
      <c r="E802" s="11"/>
      <c r="F802" s="65"/>
      <c r="G802" s="12"/>
      <c r="H802" s="41"/>
      <c r="I802" s="30"/>
      <c r="J802" s="30"/>
      <c r="K802" s="30"/>
      <c r="L802" s="11"/>
      <c r="M802" s="11"/>
      <c r="N802" s="11"/>
      <c r="O802" s="11"/>
    </row>
    <row r="803" spans="2:15" s="9" customFormat="1" x14ac:dyDescent="0.2">
      <c r="B803" s="10"/>
      <c r="C803" s="11"/>
      <c r="D803" s="63"/>
      <c r="E803" s="11"/>
      <c r="F803" s="65"/>
      <c r="G803" s="12"/>
      <c r="H803" s="41"/>
      <c r="I803" s="30"/>
      <c r="J803" s="30"/>
      <c r="K803" s="30"/>
      <c r="L803" s="11"/>
      <c r="M803" s="11"/>
      <c r="N803" s="11"/>
      <c r="O803" s="11"/>
    </row>
    <row r="804" spans="2:15" s="9" customFormat="1" x14ac:dyDescent="0.2">
      <c r="B804" s="10"/>
      <c r="C804" s="11"/>
      <c r="D804" s="63"/>
      <c r="E804" s="11"/>
      <c r="F804" s="65"/>
      <c r="G804" s="12"/>
      <c r="H804" s="41"/>
      <c r="I804" s="30"/>
      <c r="J804" s="30"/>
      <c r="K804" s="30"/>
      <c r="L804" s="11"/>
      <c r="M804" s="11"/>
      <c r="N804" s="11"/>
      <c r="O804" s="11"/>
    </row>
    <row r="805" spans="2:15" s="9" customFormat="1" x14ac:dyDescent="0.2">
      <c r="B805" s="10"/>
      <c r="C805" s="11"/>
      <c r="D805" s="63"/>
      <c r="E805" s="11"/>
      <c r="F805" s="65"/>
      <c r="G805" s="12"/>
      <c r="H805" s="41"/>
      <c r="I805" s="30"/>
      <c r="J805" s="30"/>
      <c r="K805" s="30"/>
      <c r="L805" s="11"/>
      <c r="M805" s="11"/>
      <c r="N805" s="11"/>
      <c r="O805" s="11"/>
    </row>
    <row r="806" spans="2:15" s="9" customFormat="1" x14ac:dyDescent="0.2">
      <c r="B806" s="10"/>
      <c r="C806" s="11"/>
      <c r="D806" s="63"/>
      <c r="E806" s="11"/>
      <c r="F806" s="65"/>
      <c r="G806" s="12"/>
      <c r="H806" s="41"/>
      <c r="I806" s="30"/>
      <c r="J806" s="30"/>
      <c r="K806" s="30"/>
      <c r="L806" s="11"/>
      <c r="M806" s="11"/>
      <c r="N806" s="11"/>
      <c r="O806" s="11"/>
    </row>
    <row r="807" spans="2:15" s="9" customFormat="1" x14ac:dyDescent="0.2">
      <c r="B807" s="10"/>
      <c r="C807" s="11"/>
      <c r="D807" s="63"/>
      <c r="E807" s="11"/>
      <c r="F807" s="65"/>
      <c r="G807" s="12"/>
      <c r="H807" s="41"/>
      <c r="I807" s="30"/>
      <c r="J807" s="30"/>
      <c r="K807" s="30"/>
      <c r="L807" s="11"/>
      <c r="M807" s="11"/>
      <c r="N807" s="11"/>
      <c r="O807" s="11"/>
    </row>
    <row r="808" spans="2:15" s="9" customFormat="1" x14ac:dyDescent="0.2">
      <c r="B808" s="10"/>
      <c r="C808" s="11"/>
      <c r="D808" s="63"/>
      <c r="E808" s="11"/>
      <c r="F808" s="65"/>
      <c r="G808" s="12"/>
      <c r="H808" s="41"/>
      <c r="I808" s="30"/>
      <c r="J808" s="30"/>
      <c r="K808" s="30"/>
      <c r="L808" s="11"/>
      <c r="M808" s="11"/>
      <c r="N808" s="11"/>
      <c r="O808" s="11"/>
    </row>
    <row r="809" spans="2:15" s="9" customFormat="1" x14ac:dyDescent="0.2">
      <c r="B809" s="10"/>
      <c r="C809" s="11"/>
      <c r="D809" s="63"/>
      <c r="E809" s="11"/>
      <c r="F809" s="65"/>
      <c r="G809" s="12"/>
      <c r="H809" s="41"/>
      <c r="I809" s="30"/>
      <c r="J809" s="30"/>
      <c r="K809" s="30"/>
      <c r="L809" s="11"/>
      <c r="M809" s="11"/>
      <c r="N809" s="11"/>
      <c r="O809" s="11"/>
    </row>
    <row r="810" spans="2:15" s="9" customFormat="1" x14ac:dyDescent="0.2">
      <c r="B810" s="10"/>
      <c r="C810" s="11"/>
      <c r="D810" s="63"/>
      <c r="E810" s="11"/>
      <c r="F810" s="65"/>
      <c r="G810" s="12"/>
      <c r="H810" s="41"/>
      <c r="I810" s="30"/>
      <c r="J810" s="30"/>
      <c r="K810" s="30"/>
      <c r="L810" s="11"/>
      <c r="M810" s="11"/>
      <c r="N810" s="11"/>
      <c r="O810" s="11"/>
    </row>
    <row r="811" spans="2:15" s="9" customFormat="1" x14ac:dyDescent="0.2">
      <c r="B811" s="10"/>
      <c r="C811" s="11"/>
      <c r="D811" s="63"/>
      <c r="E811" s="11"/>
      <c r="F811" s="65"/>
      <c r="G811" s="12"/>
      <c r="H811" s="41"/>
      <c r="I811" s="30"/>
      <c r="J811" s="30"/>
      <c r="K811" s="30"/>
      <c r="L811" s="11"/>
      <c r="M811" s="11"/>
      <c r="N811" s="11"/>
      <c r="O811" s="11"/>
    </row>
    <row r="812" spans="2:15" s="9" customFormat="1" x14ac:dyDescent="0.2">
      <c r="B812" s="10"/>
      <c r="C812" s="11"/>
      <c r="D812" s="63"/>
      <c r="E812" s="11"/>
      <c r="F812" s="65"/>
      <c r="G812" s="12"/>
      <c r="H812" s="41"/>
      <c r="I812" s="30"/>
      <c r="J812" s="30"/>
      <c r="K812" s="30"/>
      <c r="L812" s="11"/>
      <c r="M812" s="11"/>
      <c r="N812" s="11"/>
      <c r="O812" s="11"/>
    </row>
    <row r="813" spans="2:15" s="9" customFormat="1" x14ac:dyDescent="0.2">
      <c r="B813" s="10"/>
      <c r="C813" s="11"/>
      <c r="D813" s="63"/>
      <c r="E813" s="11"/>
      <c r="F813" s="65"/>
      <c r="G813" s="12"/>
      <c r="H813" s="41"/>
      <c r="I813" s="30"/>
      <c r="J813" s="30"/>
      <c r="K813" s="30"/>
      <c r="L813" s="11"/>
      <c r="M813" s="11"/>
      <c r="N813" s="11"/>
      <c r="O813" s="11"/>
    </row>
    <row r="814" spans="2:15" s="9" customFormat="1" x14ac:dyDescent="0.2">
      <c r="B814" s="10"/>
      <c r="C814" s="11"/>
      <c r="D814" s="63"/>
      <c r="E814" s="11"/>
      <c r="F814" s="65"/>
      <c r="G814" s="12"/>
      <c r="H814" s="41"/>
      <c r="I814" s="30"/>
      <c r="J814" s="30"/>
      <c r="K814" s="30"/>
      <c r="L814" s="11"/>
      <c r="M814" s="11"/>
      <c r="N814" s="11"/>
      <c r="O814" s="11"/>
    </row>
    <row r="815" spans="2:15" s="9" customFormat="1" x14ac:dyDescent="0.2">
      <c r="B815" s="10"/>
      <c r="C815" s="11"/>
      <c r="D815" s="63"/>
      <c r="E815" s="11"/>
      <c r="F815" s="65"/>
      <c r="G815" s="12"/>
      <c r="H815" s="41"/>
      <c r="I815" s="30"/>
      <c r="J815" s="30"/>
      <c r="K815" s="30"/>
      <c r="L815" s="11"/>
      <c r="M815" s="11"/>
      <c r="N815" s="11"/>
      <c r="O815" s="11"/>
    </row>
    <row r="816" spans="2:15" s="9" customFormat="1" x14ac:dyDescent="0.2">
      <c r="B816" s="10"/>
      <c r="C816" s="11"/>
      <c r="D816" s="63"/>
      <c r="E816" s="11"/>
      <c r="F816" s="65"/>
      <c r="G816" s="12"/>
      <c r="H816" s="41"/>
      <c r="I816" s="30"/>
      <c r="J816" s="30"/>
      <c r="K816" s="30"/>
      <c r="L816" s="11"/>
      <c r="M816" s="11"/>
      <c r="N816" s="11"/>
      <c r="O816" s="11"/>
    </row>
    <row r="817" spans="2:15" s="9" customFormat="1" x14ac:dyDescent="0.2">
      <c r="B817" s="10"/>
      <c r="C817" s="11"/>
      <c r="D817" s="63"/>
      <c r="E817" s="11"/>
      <c r="F817" s="65"/>
      <c r="G817" s="12"/>
      <c r="H817" s="41"/>
      <c r="I817" s="30"/>
      <c r="J817" s="30"/>
      <c r="K817" s="30"/>
      <c r="L817" s="11"/>
      <c r="M817" s="11"/>
      <c r="N817" s="11"/>
      <c r="O817" s="11"/>
    </row>
    <row r="818" spans="2:15" s="9" customFormat="1" x14ac:dyDescent="0.2">
      <c r="B818" s="10"/>
      <c r="C818" s="11"/>
      <c r="D818" s="63"/>
      <c r="E818" s="11"/>
      <c r="F818" s="65"/>
      <c r="G818" s="12"/>
      <c r="H818" s="41"/>
      <c r="I818" s="30"/>
      <c r="J818" s="30"/>
      <c r="K818" s="30"/>
      <c r="L818" s="11"/>
      <c r="M818" s="11"/>
      <c r="N818" s="11"/>
      <c r="O818" s="11"/>
    </row>
    <row r="819" spans="2:15" s="9" customFormat="1" x14ac:dyDescent="0.2">
      <c r="B819" s="10"/>
      <c r="C819" s="11"/>
      <c r="D819" s="63"/>
      <c r="E819" s="11"/>
      <c r="F819" s="65"/>
      <c r="G819" s="12"/>
      <c r="H819" s="41"/>
      <c r="I819" s="30"/>
      <c r="J819" s="30"/>
      <c r="K819" s="30"/>
      <c r="L819" s="11"/>
      <c r="M819" s="11"/>
      <c r="N819" s="11"/>
      <c r="O819" s="11"/>
    </row>
    <row r="820" spans="2:15" s="9" customFormat="1" x14ac:dyDescent="0.2">
      <c r="B820" s="10"/>
      <c r="C820" s="11"/>
      <c r="D820" s="63"/>
      <c r="E820" s="11"/>
      <c r="F820" s="65"/>
      <c r="G820" s="12"/>
      <c r="H820" s="41"/>
      <c r="I820" s="30"/>
      <c r="J820" s="30"/>
      <c r="K820" s="30"/>
      <c r="L820" s="11"/>
      <c r="M820" s="11"/>
      <c r="N820" s="11"/>
      <c r="O820" s="11"/>
    </row>
    <row r="821" spans="2:15" s="9" customFormat="1" x14ac:dyDescent="0.2">
      <c r="B821" s="10"/>
      <c r="C821" s="11"/>
      <c r="D821" s="63"/>
      <c r="E821" s="11"/>
      <c r="F821" s="65"/>
      <c r="G821" s="12"/>
      <c r="H821" s="41"/>
      <c r="I821" s="30"/>
      <c r="J821" s="30"/>
      <c r="K821" s="30"/>
      <c r="L821" s="11"/>
      <c r="M821" s="11"/>
      <c r="N821" s="11"/>
      <c r="O821" s="11"/>
    </row>
    <row r="822" spans="2:15" s="9" customFormat="1" x14ac:dyDescent="0.2">
      <c r="B822" s="10"/>
      <c r="C822" s="11"/>
      <c r="D822" s="63"/>
      <c r="E822" s="11"/>
      <c r="F822" s="65"/>
      <c r="G822" s="12"/>
      <c r="H822" s="41"/>
      <c r="I822" s="30"/>
      <c r="J822" s="30"/>
      <c r="K822" s="30"/>
      <c r="L822" s="11"/>
      <c r="M822" s="11"/>
      <c r="N822" s="11"/>
      <c r="O822" s="11"/>
    </row>
    <row r="823" spans="2:15" s="9" customFormat="1" x14ac:dyDescent="0.2">
      <c r="B823" s="10"/>
      <c r="C823" s="11"/>
      <c r="D823" s="63"/>
      <c r="E823" s="11"/>
      <c r="F823" s="65"/>
      <c r="G823" s="12"/>
      <c r="H823" s="41"/>
      <c r="I823" s="30"/>
      <c r="J823" s="30"/>
      <c r="K823" s="30"/>
      <c r="L823" s="11"/>
      <c r="M823" s="11"/>
      <c r="N823" s="11"/>
      <c r="O823" s="11"/>
    </row>
    <row r="824" spans="2:15" s="9" customFormat="1" x14ac:dyDescent="0.2">
      <c r="B824" s="10"/>
      <c r="C824" s="11"/>
      <c r="D824" s="63"/>
      <c r="E824" s="11"/>
      <c r="F824" s="65"/>
      <c r="G824" s="12"/>
      <c r="H824" s="41"/>
      <c r="I824" s="30"/>
      <c r="J824" s="30"/>
      <c r="K824" s="30"/>
      <c r="L824" s="11"/>
      <c r="M824" s="11"/>
      <c r="N824" s="11"/>
      <c r="O824" s="11"/>
    </row>
    <row r="825" spans="2:15" s="9" customFormat="1" x14ac:dyDescent="0.2">
      <c r="B825" s="10"/>
      <c r="C825" s="11"/>
      <c r="D825" s="63"/>
      <c r="E825" s="11"/>
      <c r="F825" s="65"/>
      <c r="G825" s="12"/>
      <c r="H825" s="41"/>
      <c r="I825" s="30"/>
      <c r="J825" s="30"/>
      <c r="K825" s="30"/>
      <c r="L825" s="11"/>
      <c r="M825" s="11"/>
      <c r="N825" s="11"/>
      <c r="O825" s="11"/>
    </row>
    <row r="826" spans="2:15" s="9" customFormat="1" x14ac:dyDescent="0.2">
      <c r="B826" s="10"/>
      <c r="C826" s="11"/>
      <c r="D826" s="63"/>
      <c r="E826" s="11"/>
      <c r="F826" s="65"/>
      <c r="G826" s="12"/>
      <c r="H826" s="41"/>
      <c r="I826" s="30"/>
      <c r="J826" s="30"/>
      <c r="K826" s="30"/>
      <c r="L826" s="11"/>
      <c r="M826" s="11"/>
      <c r="N826" s="11"/>
      <c r="O826" s="11"/>
    </row>
    <row r="827" spans="2:15" s="9" customFormat="1" x14ac:dyDescent="0.2">
      <c r="B827" s="10"/>
      <c r="C827" s="11"/>
      <c r="D827" s="63"/>
      <c r="E827" s="11"/>
      <c r="F827" s="65"/>
      <c r="G827" s="12"/>
      <c r="H827" s="41"/>
      <c r="I827" s="30"/>
      <c r="J827" s="30"/>
      <c r="K827" s="30"/>
      <c r="L827" s="11"/>
      <c r="M827" s="11"/>
      <c r="N827" s="11"/>
      <c r="O827" s="11"/>
    </row>
    <row r="828" spans="2:15" s="9" customFormat="1" x14ac:dyDescent="0.2">
      <c r="B828" s="10"/>
      <c r="C828" s="11"/>
      <c r="D828" s="63"/>
      <c r="E828" s="11"/>
      <c r="F828" s="65"/>
      <c r="G828" s="12"/>
      <c r="H828" s="41"/>
      <c r="I828" s="30"/>
      <c r="J828" s="30"/>
      <c r="K828" s="30"/>
      <c r="L828" s="11"/>
      <c r="M828" s="11"/>
      <c r="N828" s="11"/>
      <c r="O828" s="11"/>
    </row>
    <row r="829" spans="2:15" s="9" customFormat="1" x14ac:dyDescent="0.2">
      <c r="B829" s="10"/>
      <c r="C829" s="11"/>
      <c r="D829" s="63"/>
      <c r="E829" s="11"/>
      <c r="F829" s="65"/>
      <c r="G829" s="12"/>
      <c r="H829" s="41"/>
      <c r="I829" s="30"/>
      <c r="J829" s="30"/>
      <c r="K829" s="30"/>
      <c r="L829" s="11"/>
      <c r="M829" s="11"/>
      <c r="N829" s="11"/>
      <c r="O829" s="11"/>
    </row>
    <row r="830" spans="2:15" s="9" customFormat="1" x14ac:dyDescent="0.2">
      <c r="B830" s="10"/>
      <c r="C830" s="11"/>
      <c r="D830" s="63"/>
      <c r="E830" s="11"/>
      <c r="F830" s="65"/>
      <c r="G830" s="12"/>
      <c r="H830" s="41"/>
      <c r="I830" s="30"/>
      <c r="J830" s="30"/>
      <c r="K830" s="30"/>
      <c r="L830" s="11"/>
      <c r="M830" s="11"/>
      <c r="N830" s="11"/>
      <c r="O830" s="11"/>
    </row>
    <row r="831" spans="2:15" s="9" customFormat="1" x14ac:dyDescent="0.2">
      <c r="B831" s="10"/>
      <c r="C831" s="11"/>
      <c r="D831" s="63"/>
      <c r="E831" s="11"/>
      <c r="F831" s="65"/>
      <c r="G831" s="12"/>
      <c r="H831" s="41"/>
      <c r="I831" s="30"/>
      <c r="J831" s="30"/>
      <c r="K831" s="30"/>
      <c r="L831" s="11"/>
      <c r="M831" s="11"/>
      <c r="N831" s="11"/>
      <c r="O831" s="11"/>
    </row>
    <row r="832" spans="2:15" s="9" customFormat="1" x14ac:dyDescent="0.2">
      <c r="B832" s="10"/>
      <c r="C832" s="11"/>
      <c r="D832" s="63"/>
      <c r="E832" s="11"/>
      <c r="F832" s="65"/>
      <c r="G832" s="12"/>
      <c r="H832" s="41"/>
      <c r="I832" s="30"/>
      <c r="J832" s="30"/>
      <c r="K832" s="30"/>
      <c r="L832" s="11"/>
      <c r="M832" s="11"/>
      <c r="N832" s="11"/>
      <c r="O832" s="11"/>
    </row>
    <row r="833" spans="2:15" s="9" customFormat="1" x14ac:dyDescent="0.2">
      <c r="B833" s="10"/>
      <c r="C833" s="11"/>
      <c r="D833" s="63"/>
      <c r="E833" s="11"/>
      <c r="F833" s="65"/>
      <c r="G833" s="12"/>
      <c r="H833" s="41"/>
      <c r="I833" s="30"/>
      <c r="J833" s="30"/>
      <c r="K833" s="30"/>
      <c r="L833" s="11"/>
      <c r="M833" s="11"/>
      <c r="N833" s="11"/>
      <c r="O833" s="11"/>
    </row>
    <row r="834" spans="2:15" s="9" customFormat="1" x14ac:dyDescent="0.2">
      <c r="B834" s="10"/>
      <c r="C834" s="11"/>
      <c r="D834" s="63"/>
      <c r="E834" s="11"/>
      <c r="F834" s="65"/>
      <c r="G834" s="12"/>
      <c r="H834" s="41"/>
      <c r="I834" s="30"/>
      <c r="J834" s="30"/>
      <c r="K834" s="30"/>
      <c r="L834" s="11"/>
      <c r="M834" s="11"/>
      <c r="N834" s="11"/>
      <c r="O834" s="11"/>
    </row>
    <row r="835" spans="2:15" s="9" customFormat="1" x14ac:dyDescent="0.2">
      <c r="B835" s="10"/>
      <c r="C835" s="11"/>
      <c r="D835" s="63"/>
      <c r="E835" s="11"/>
      <c r="F835" s="65"/>
      <c r="G835" s="12"/>
      <c r="H835" s="41"/>
      <c r="I835" s="30"/>
      <c r="J835" s="30"/>
      <c r="K835" s="30"/>
      <c r="L835" s="11"/>
      <c r="M835" s="11"/>
      <c r="N835" s="11"/>
      <c r="O835" s="11"/>
    </row>
    <row r="836" spans="2:15" s="9" customFormat="1" x14ac:dyDescent="0.2">
      <c r="B836" s="10"/>
      <c r="C836" s="11"/>
      <c r="D836" s="63"/>
      <c r="E836" s="11"/>
      <c r="F836" s="65"/>
      <c r="G836" s="12"/>
      <c r="H836" s="41"/>
      <c r="I836" s="30"/>
      <c r="J836" s="30"/>
      <c r="K836" s="30"/>
      <c r="L836" s="11"/>
      <c r="M836" s="11"/>
      <c r="N836" s="11"/>
      <c r="O836" s="11"/>
    </row>
    <row r="837" spans="2:15" s="9" customFormat="1" x14ac:dyDescent="0.2">
      <c r="B837" s="10"/>
      <c r="C837" s="11"/>
      <c r="D837" s="63"/>
      <c r="E837" s="11"/>
      <c r="F837" s="65"/>
      <c r="G837" s="12"/>
      <c r="H837" s="41"/>
      <c r="I837" s="30"/>
      <c r="J837" s="30"/>
      <c r="K837" s="30"/>
      <c r="L837" s="11"/>
      <c r="M837" s="11"/>
      <c r="N837" s="11"/>
      <c r="O837" s="11"/>
    </row>
    <row r="838" spans="2:15" s="9" customFormat="1" x14ac:dyDescent="0.2">
      <c r="B838" s="10"/>
      <c r="C838" s="11"/>
      <c r="D838" s="63"/>
      <c r="E838" s="11"/>
      <c r="F838" s="65"/>
      <c r="G838" s="12"/>
      <c r="H838" s="41"/>
      <c r="I838" s="30"/>
      <c r="J838" s="30"/>
      <c r="K838" s="30"/>
      <c r="L838" s="11"/>
      <c r="M838" s="11"/>
      <c r="N838" s="11"/>
      <c r="O838" s="11"/>
    </row>
    <row r="839" spans="2:15" s="9" customFormat="1" x14ac:dyDescent="0.2">
      <c r="B839" s="10"/>
      <c r="C839" s="11"/>
      <c r="D839" s="63"/>
      <c r="E839" s="11"/>
      <c r="F839" s="65"/>
      <c r="G839" s="12"/>
      <c r="H839" s="41"/>
      <c r="I839" s="30"/>
      <c r="J839" s="30"/>
      <c r="K839" s="30"/>
      <c r="L839" s="11"/>
      <c r="M839" s="11"/>
      <c r="N839" s="11"/>
      <c r="O839" s="11"/>
    </row>
    <row r="840" spans="2:15" s="9" customFormat="1" x14ac:dyDescent="0.2">
      <c r="B840" s="10"/>
      <c r="C840" s="11"/>
      <c r="D840" s="63"/>
      <c r="E840" s="11"/>
      <c r="F840" s="65"/>
      <c r="G840" s="12"/>
      <c r="H840" s="41"/>
      <c r="I840" s="30"/>
      <c r="J840" s="30"/>
      <c r="K840" s="30"/>
      <c r="L840" s="11"/>
      <c r="M840" s="11"/>
      <c r="N840" s="11"/>
      <c r="O840" s="11"/>
    </row>
    <row r="841" spans="2:15" s="9" customFormat="1" x14ac:dyDescent="0.2">
      <c r="B841" s="10"/>
      <c r="C841" s="11"/>
      <c r="D841" s="63"/>
      <c r="E841" s="11"/>
      <c r="F841" s="65"/>
      <c r="G841" s="12"/>
      <c r="H841" s="41"/>
      <c r="I841" s="30"/>
      <c r="J841" s="30"/>
      <c r="K841" s="30"/>
      <c r="L841" s="11"/>
      <c r="M841" s="11"/>
      <c r="N841" s="11"/>
      <c r="O841" s="11"/>
    </row>
    <row r="842" spans="2:15" s="9" customFormat="1" x14ac:dyDescent="0.2">
      <c r="B842" s="10"/>
      <c r="C842" s="11"/>
      <c r="D842" s="63"/>
      <c r="E842" s="11"/>
      <c r="F842" s="65"/>
      <c r="G842" s="12"/>
      <c r="H842" s="41"/>
      <c r="I842" s="30"/>
      <c r="J842" s="30"/>
      <c r="K842" s="30"/>
      <c r="L842" s="11"/>
      <c r="M842" s="11"/>
      <c r="N842" s="11"/>
      <c r="O842" s="11"/>
    </row>
    <row r="843" spans="2:15" s="9" customFormat="1" x14ac:dyDescent="0.2">
      <c r="B843" s="10"/>
      <c r="C843" s="11"/>
      <c r="D843" s="63"/>
      <c r="E843" s="11"/>
      <c r="F843" s="65"/>
      <c r="G843" s="12"/>
      <c r="H843" s="41"/>
      <c r="I843" s="30"/>
      <c r="J843" s="30"/>
      <c r="K843" s="30"/>
      <c r="L843" s="11"/>
      <c r="M843" s="11"/>
      <c r="N843" s="11"/>
      <c r="O843" s="11"/>
    </row>
    <row r="844" spans="2:15" s="9" customFormat="1" x14ac:dyDescent="0.2">
      <c r="B844" s="10"/>
      <c r="C844" s="11"/>
      <c r="D844" s="63"/>
      <c r="E844" s="11"/>
      <c r="F844" s="65"/>
      <c r="G844" s="12"/>
      <c r="H844" s="41"/>
      <c r="I844" s="30"/>
      <c r="J844" s="30"/>
      <c r="K844" s="30"/>
      <c r="L844" s="11"/>
      <c r="M844" s="11"/>
      <c r="N844" s="11"/>
      <c r="O844" s="11"/>
    </row>
    <row r="845" spans="2:15" s="9" customFormat="1" x14ac:dyDescent="0.2">
      <c r="B845" s="10"/>
      <c r="C845" s="11"/>
      <c r="D845" s="63"/>
      <c r="E845" s="11"/>
      <c r="F845" s="65"/>
      <c r="G845" s="12"/>
      <c r="H845" s="41"/>
      <c r="I845" s="30"/>
      <c r="J845" s="30"/>
      <c r="K845" s="30"/>
      <c r="L845" s="11"/>
      <c r="M845" s="11"/>
      <c r="N845" s="11"/>
      <c r="O845" s="11"/>
    </row>
    <row r="846" spans="2:15" s="9" customFormat="1" x14ac:dyDescent="0.2">
      <c r="B846" s="10"/>
      <c r="C846" s="11"/>
      <c r="D846" s="63"/>
      <c r="E846" s="11"/>
      <c r="F846" s="65"/>
      <c r="G846" s="12"/>
      <c r="H846" s="41"/>
      <c r="I846" s="30"/>
      <c r="J846" s="30"/>
      <c r="K846" s="30"/>
      <c r="L846" s="11"/>
      <c r="M846" s="11"/>
      <c r="N846" s="11"/>
      <c r="O846" s="11"/>
    </row>
    <row r="847" spans="2:15" s="9" customFormat="1" x14ac:dyDescent="0.2">
      <c r="B847" s="10"/>
      <c r="C847" s="11"/>
      <c r="D847" s="63"/>
      <c r="E847" s="11"/>
      <c r="F847" s="65"/>
      <c r="G847" s="12"/>
      <c r="H847" s="41"/>
      <c r="I847" s="30"/>
      <c r="J847" s="30"/>
      <c r="K847" s="30"/>
      <c r="L847" s="11"/>
      <c r="M847" s="11"/>
      <c r="N847" s="11"/>
      <c r="O847" s="11"/>
    </row>
    <row r="848" spans="2:15" s="9" customFormat="1" x14ac:dyDescent="0.2">
      <c r="B848" s="10"/>
      <c r="C848" s="11"/>
      <c r="D848" s="63"/>
      <c r="E848" s="11"/>
      <c r="F848" s="65"/>
      <c r="G848" s="12"/>
      <c r="H848" s="41"/>
      <c r="I848" s="30"/>
      <c r="J848" s="30"/>
      <c r="K848" s="30"/>
      <c r="L848" s="11"/>
      <c r="M848" s="11"/>
      <c r="N848" s="11"/>
      <c r="O848" s="11"/>
    </row>
    <row r="849" spans="2:15" s="9" customFormat="1" x14ac:dyDescent="0.2">
      <c r="B849" s="10"/>
      <c r="C849" s="11"/>
      <c r="D849" s="63"/>
      <c r="E849" s="11"/>
      <c r="F849" s="65"/>
      <c r="G849" s="12"/>
      <c r="H849" s="41"/>
      <c r="I849" s="30"/>
      <c r="J849" s="30"/>
      <c r="K849" s="30"/>
      <c r="L849" s="11"/>
      <c r="M849" s="11"/>
      <c r="N849" s="11"/>
      <c r="O849" s="11"/>
    </row>
    <row r="850" spans="2:15" s="9" customFormat="1" x14ac:dyDescent="0.2">
      <c r="B850" s="10"/>
      <c r="C850" s="11"/>
      <c r="D850" s="63"/>
      <c r="E850" s="11"/>
      <c r="F850" s="65"/>
      <c r="G850" s="12"/>
      <c r="H850" s="41"/>
      <c r="I850" s="30"/>
      <c r="J850" s="30"/>
      <c r="K850" s="30"/>
      <c r="L850" s="11"/>
      <c r="M850" s="11"/>
      <c r="N850" s="11"/>
      <c r="O850" s="11"/>
    </row>
    <row r="851" spans="2:15" s="9" customFormat="1" x14ac:dyDescent="0.2">
      <c r="B851" s="10"/>
      <c r="C851" s="11"/>
      <c r="D851" s="63"/>
      <c r="E851" s="11"/>
      <c r="F851" s="65"/>
      <c r="G851" s="12"/>
      <c r="H851" s="41"/>
      <c r="I851" s="30"/>
      <c r="J851" s="30"/>
      <c r="K851" s="30"/>
      <c r="L851" s="11"/>
      <c r="M851" s="11"/>
      <c r="N851" s="11"/>
      <c r="O851" s="11"/>
    </row>
    <row r="852" spans="2:15" s="9" customFormat="1" x14ac:dyDescent="0.2">
      <c r="B852" s="10"/>
      <c r="C852" s="11"/>
      <c r="D852" s="63"/>
      <c r="E852" s="11"/>
      <c r="F852" s="65"/>
      <c r="G852" s="12"/>
      <c r="H852" s="41"/>
      <c r="I852" s="30"/>
      <c r="J852" s="30"/>
      <c r="K852" s="30"/>
      <c r="L852" s="11"/>
      <c r="M852" s="11"/>
      <c r="N852" s="11"/>
      <c r="O852" s="11"/>
    </row>
    <row r="853" spans="2:15" s="9" customFormat="1" x14ac:dyDescent="0.2">
      <c r="B853" s="10"/>
      <c r="C853" s="11"/>
      <c r="D853" s="63"/>
      <c r="E853" s="11"/>
      <c r="F853" s="65"/>
      <c r="G853" s="12"/>
      <c r="H853" s="41"/>
      <c r="I853" s="30"/>
      <c r="J853" s="30"/>
      <c r="K853" s="30"/>
      <c r="L853" s="11"/>
      <c r="M853" s="11"/>
      <c r="N853" s="11"/>
      <c r="O853" s="11"/>
    </row>
    <row r="854" spans="2:15" s="9" customFormat="1" x14ac:dyDescent="0.2">
      <c r="B854" s="10"/>
      <c r="C854" s="11"/>
      <c r="D854" s="63"/>
      <c r="E854" s="11"/>
      <c r="F854" s="65"/>
      <c r="G854" s="12"/>
      <c r="H854" s="41"/>
      <c r="I854" s="30"/>
      <c r="J854" s="30"/>
      <c r="K854" s="30"/>
      <c r="L854" s="11"/>
      <c r="M854" s="11"/>
      <c r="N854" s="11"/>
      <c r="O854" s="11"/>
    </row>
    <row r="855" spans="2:15" s="9" customFormat="1" x14ac:dyDescent="0.2">
      <c r="B855" s="10"/>
      <c r="C855" s="11"/>
      <c r="D855" s="63"/>
      <c r="E855" s="11"/>
      <c r="F855" s="65"/>
      <c r="G855" s="12"/>
      <c r="H855" s="41"/>
      <c r="I855" s="30"/>
      <c r="J855" s="30"/>
      <c r="K855" s="30"/>
      <c r="L855" s="11"/>
      <c r="M855" s="11"/>
      <c r="N855" s="11"/>
      <c r="O855" s="11"/>
    </row>
    <row r="856" spans="2:15" s="9" customFormat="1" x14ac:dyDescent="0.2">
      <c r="B856" s="10"/>
      <c r="C856" s="11"/>
      <c r="D856" s="63"/>
      <c r="E856" s="11"/>
      <c r="F856" s="65"/>
      <c r="G856" s="12"/>
      <c r="H856" s="41"/>
      <c r="I856" s="30"/>
      <c r="J856" s="30"/>
      <c r="K856" s="30"/>
      <c r="L856" s="11"/>
      <c r="M856" s="11"/>
      <c r="N856" s="11"/>
      <c r="O856" s="11"/>
    </row>
    <row r="857" spans="2:15" s="9" customFormat="1" x14ac:dyDescent="0.2">
      <c r="B857" s="10"/>
      <c r="C857" s="11"/>
      <c r="D857" s="63"/>
      <c r="E857" s="11"/>
      <c r="F857" s="65"/>
      <c r="G857" s="12"/>
      <c r="H857" s="41"/>
      <c r="I857" s="30"/>
      <c r="J857" s="30"/>
      <c r="K857" s="30"/>
      <c r="L857" s="11"/>
      <c r="M857" s="11"/>
      <c r="N857" s="11"/>
      <c r="O857" s="11"/>
    </row>
    <row r="858" spans="2:15" s="9" customFormat="1" x14ac:dyDescent="0.2">
      <c r="B858" s="10"/>
      <c r="C858" s="11"/>
      <c r="D858" s="63"/>
      <c r="E858" s="11"/>
      <c r="F858" s="65"/>
      <c r="G858" s="12"/>
      <c r="H858" s="41"/>
      <c r="I858" s="30"/>
      <c r="J858" s="30"/>
      <c r="K858" s="30"/>
      <c r="L858" s="11"/>
      <c r="M858" s="11"/>
      <c r="N858" s="11"/>
      <c r="O858" s="11"/>
    </row>
    <row r="859" spans="2:15" s="9" customFormat="1" x14ac:dyDescent="0.2">
      <c r="B859" s="10"/>
      <c r="C859" s="11"/>
      <c r="D859" s="63"/>
      <c r="E859" s="11"/>
      <c r="F859" s="65"/>
      <c r="G859" s="12"/>
      <c r="H859" s="41"/>
      <c r="I859" s="30"/>
      <c r="J859" s="30"/>
      <c r="K859" s="30"/>
      <c r="L859" s="11"/>
      <c r="M859" s="11"/>
      <c r="N859" s="11"/>
      <c r="O859" s="11"/>
    </row>
    <row r="860" spans="2:15" s="9" customFormat="1" x14ac:dyDescent="0.2">
      <c r="B860" s="10"/>
      <c r="C860" s="11"/>
      <c r="D860" s="63"/>
      <c r="E860" s="11"/>
      <c r="F860" s="65"/>
      <c r="G860" s="12"/>
      <c r="H860" s="41"/>
      <c r="I860" s="30"/>
      <c r="J860" s="30"/>
      <c r="K860" s="30"/>
      <c r="L860" s="11"/>
      <c r="M860" s="11"/>
      <c r="N860" s="11"/>
      <c r="O860" s="11"/>
    </row>
    <row r="861" spans="2:15" s="9" customFormat="1" x14ac:dyDescent="0.2">
      <c r="B861" s="10"/>
      <c r="C861" s="11"/>
      <c r="D861" s="63"/>
      <c r="E861" s="11"/>
      <c r="F861" s="65"/>
      <c r="G861" s="12"/>
      <c r="H861" s="41"/>
      <c r="I861" s="30"/>
      <c r="J861" s="30"/>
      <c r="K861" s="30"/>
      <c r="L861" s="11"/>
      <c r="M861" s="11"/>
      <c r="N861" s="11"/>
      <c r="O861" s="11"/>
    </row>
    <row r="862" spans="2:15" s="9" customFormat="1" x14ac:dyDescent="0.2">
      <c r="B862" s="10"/>
      <c r="C862" s="11"/>
      <c r="D862" s="63"/>
      <c r="E862" s="11"/>
      <c r="F862" s="65"/>
      <c r="G862" s="12"/>
      <c r="H862" s="41"/>
      <c r="I862" s="30"/>
      <c r="J862" s="30"/>
      <c r="K862" s="30"/>
      <c r="L862" s="11"/>
      <c r="M862" s="11"/>
      <c r="N862" s="11"/>
      <c r="O862" s="11"/>
    </row>
    <row r="863" spans="2:15" s="9" customFormat="1" x14ac:dyDescent="0.2">
      <c r="B863" s="10"/>
      <c r="C863" s="11"/>
      <c r="D863" s="63"/>
      <c r="E863" s="11"/>
      <c r="F863" s="65"/>
      <c r="G863" s="12"/>
      <c r="H863" s="41"/>
      <c r="I863" s="30"/>
      <c r="J863" s="30"/>
      <c r="K863" s="30"/>
      <c r="L863" s="11"/>
      <c r="M863" s="11"/>
      <c r="N863" s="11"/>
      <c r="O863" s="11"/>
    </row>
    <row r="864" spans="2:15" s="9" customFormat="1" x14ac:dyDescent="0.2">
      <c r="B864" s="10"/>
      <c r="C864" s="11"/>
      <c r="D864" s="63"/>
      <c r="E864" s="11"/>
      <c r="F864" s="65"/>
      <c r="G864" s="12"/>
      <c r="H864" s="41"/>
      <c r="I864" s="30"/>
      <c r="J864" s="30"/>
      <c r="K864" s="30"/>
      <c r="L864" s="11"/>
      <c r="M864" s="11"/>
      <c r="N864" s="11"/>
      <c r="O864" s="11"/>
    </row>
    <row r="865" spans="2:15" s="9" customFormat="1" x14ac:dyDescent="0.2">
      <c r="B865" s="10"/>
      <c r="C865" s="11"/>
      <c r="D865" s="63"/>
      <c r="E865" s="11"/>
      <c r="F865" s="65"/>
      <c r="G865" s="12"/>
      <c r="H865" s="41"/>
      <c r="I865" s="30"/>
      <c r="J865" s="30"/>
      <c r="K865" s="30"/>
      <c r="L865" s="11"/>
      <c r="M865" s="11"/>
      <c r="N865" s="11"/>
      <c r="O865" s="11"/>
    </row>
    <row r="866" spans="2:15" s="9" customFormat="1" x14ac:dyDescent="0.2">
      <c r="B866" s="10"/>
      <c r="C866" s="11"/>
      <c r="D866" s="63"/>
      <c r="E866" s="11"/>
      <c r="F866" s="65"/>
      <c r="G866" s="12"/>
      <c r="H866" s="41"/>
      <c r="I866" s="30"/>
      <c r="J866" s="30"/>
      <c r="K866" s="30"/>
      <c r="L866" s="11"/>
      <c r="M866" s="11"/>
      <c r="N866" s="11"/>
      <c r="O866" s="11"/>
    </row>
    <row r="867" spans="2:15" s="9" customFormat="1" x14ac:dyDescent="0.2">
      <c r="B867" s="10"/>
      <c r="C867" s="11"/>
      <c r="D867" s="63"/>
      <c r="E867" s="11"/>
      <c r="F867" s="65"/>
      <c r="G867" s="12"/>
      <c r="H867" s="41"/>
      <c r="I867" s="30"/>
      <c r="J867" s="30"/>
      <c r="K867" s="30"/>
      <c r="L867" s="11"/>
      <c r="M867" s="11"/>
      <c r="N867" s="11"/>
      <c r="O867" s="11"/>
    </row>
    <row r="868" spans="2:15" s="9" customFormat="1" x14ac:dyDescent="0.2">
      <c r="B868" s="10"/>
      <c r="C868" s="11"/>
      <c r="D868" s="63"/>
      <c r="E868" s="11"/>
      <c r="F868" s="65"/>
      <c r="G868" s="12"/>
      <c r="H868" s="41"/>
      <c r="I868" s="30"/>
      <c r="J868" s="30"/>
      <c r="K868" s="30"/>
      <c r="L868" s="11"/>
      <c r="M868" s="11"/>
      <c r="N868" s="11"/>
      <c r="O868" s="11"/>
    </row>
    <row r="869" spans="2:15" s="9" customFormat="1" x14ac:dyDescent="0.2">
      <c r="B869" s="10"/>
      <c r="C869" s="11"/>
      <c r="D869" s="63"/>
      <c r="E869" s="11"/>
      <c r="F869" s="65"/>
      <c r="G869" s="12"/>
      <c r="H869" s="41"/>
      <c r="I869" s="30"/>
      <c r="J869" s="30"/>
      <c r="K869" s="30"/>
      <c r="L869" s="11"/>
      <c r="M869" s="11"/>
      <c r="N869" s="11"/>
      <c r="O869" s="11"/>
    </row>
    <row r="870" spans="2:15" s="9" customFormat="1" x14ac:dyDescent="0.2">
      <c r="B870" s="10"/>
      <c r="C870" s="11"/>
      <c r="D870" s="63"/>
      <c r="E870" s="11"/>
      <c r="F870" s="65"/>
      <c r="G870" s="12"/>
      <c r="H870" s="41"/>
      <c r="I870" s="30"/>
      <c r="J870" s="30"/>
      <c r="K870" s="30"/>
      <c r="L870" s="11"/>
      <c r="M870" s="11"/>
      <c r="N870" s="11"/>
      <c r="O870" s="11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allgemein!$B$3:$B$11</xm:f>
          </x14:formula1>
          <xm:sqref>L3:L143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62"/>
  <sheetViews>
    <sheetView workbookViewId="0">
      <pane ySplit="2" topLeftCell="A51" activePane="bottomLeft" state="frozen"/>
      <selection pane="bottomLeft" activeCell="A61" sqref="A61:XFD61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62" customWidth="1"/>
    <col min="5" max="5" width="9.5703125" style="2" customWidth="1"/>
    <col min="6" max="6" width="12.7109375" style="66" customWidth="1"/>
    <col min="7" max="7" width="13.28515625" style="3" customWidth="1"/>
    <col min="8" max="8" width="13.28515625" style="42" customWidth="1"/>
    <col min="9" max="9" width="13.28515625" style="31" customWidth="1"/>
    <col min="10" max="10" width="10" style="31" bestFit="1" customWidth="1"/>
    <col min="11" max="11" width="10" style="31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1.85546875" style="84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67"/>
      <c r="E1" s="68"/>
      <c r="F1" s="69"/>
      <c r="G1" s="80"/>
      <c r="H1" s="29"/>
      <c r="I1" s="29"/>
      <c r="J1" s="29"/>
      <c r="K1" s="29"/>
      <c r="P1" s="82"/>
    </row>
    <row r="2" spans="2:20" ht="32.25" x14ac:dyDescent="0.2">
      <c r="B2" s="4" t="s">
        <v>0</v>
      </c>
      <c r="C2" s="4" t="s">
        <v>8</v>
      </c>
      <c r="D2" s="61" t="s">
        <v>718</v>
      </c>
      <c r="E2" s="8" t="s">
        <v>719</v>
      </c>
      <c r="F2" s="64" t="s">
        <v>684</v>
      </c>
      <c r="G2" s="5" t="s">
        <v>361</v>
      </c>
      <c r="H2" s="5" t="s">
        <v>362</v>
      </c>
      <c r="I2" s="5" t="s">
        <v>7</v>
      </c>
      <c r="J2" s="73" t="s">
        <v>6</v>
      </c>
      <c r="K2" s="73" t="s">
        <v>683</v>
      </c>
      <c r="L2" s="5" t="s">
        <v>5</v>
      </c>
      <c r="M2" s="5" t="s">
        <v>685</v>
      </c>
      <c r="N2" s="5" t="s">
        <v>686</v>
      </c>
      <c r="O2" s="5" t="s">
        <v>1</v>
      </c>
      <c r="P2" s="158" t="s">
        <v>2</v>
      </c>
      <c r="Q2" s="159"/>
      <c r="R2" s="4" t="s">
        <v>3</v>
      </c>
      <c r="S2" s="27" t="s">
        <v>360</v>
      </c>
      <c r="T2" s="27">
        <v>2017</v>
      </c>
    </row>
    <row r="3" spans="2:20" x14ac:dyDescent="0.2">
      <c r="B3" s="13" t="s">
        <v>781</v>
      </c>
      <c r="C3" s="13" t="s">
        <v>129</v>
      </c>
      <c r="D3" s="70">
        <v>28.3</v>
      </c>
      <c r="E3" s="70">
        <v>0.5</v>
      </c>
      <c r="F3" s="71"/>
      <c r="G3" s="15">
        <v>1.831</v>
      </c>
      <c r="H3" s="15">
        <v>3.677</v>
      </c>
      <c r="I3" s="15">
        <v>3.6549999999999998</v>
      </c>
      <c r="J3" s="74">
        <f t="shared" ref="J3:J53" si="0">H3-I3</f>
        <v>2.2000000000000242E-2</v>
      </c>
      <c r="K3" s="75">
        <f>(F3*(273.15+D3)/273.15)/(M3*N3)</f>
        <v>0</v>
      </c>
      <c r="L3" s="15" t="s">
        <v>323</v>
      </c>
      <c r="M3" s="72">
        <f>VLOOKUP(L3,allgemein!$B$3:$C$11,2,FALSE)</f>
        <v>2</v>
      </c>
      <c r="N3" s="14">
        <v>40</v>
      </c>
      <c r="O3" s="13" t="s">
        <v>786</v>
      </c>
      <c r="P3" s="83" t="s">
        <v>783</v>
      </c>
      <c r="Q3" s="44"/>
      <c r="R3" s="6"/>
    </row>
    <row r="4" spans="2:20" x14ac:dyDescent="0.2">
      <c r="B4" s="13"/>
      <c r="C4" s="13" t="s">
        <v>773</v>
      </c>
      <c r="D4" s="70"/>
      <c r="E4" s="70"/>
      <c r="F4" s="71"/>
      <c r="G4" s="15">
        <v>1.845</v>
      </c>
      <c r="H4" s="15"/>
      <c r="I4" s="15"/>
      <c r="J4" s="74"/>
      <c r="K4" s="75"/>
      <c r="L4" s="15"/>
      <c r="M4" s="72"/>
      <c r="N4" s="14"/>
      <c r="O4" s="13"/>
      <c r="P4" s="21"/>
      <c r="Q4" s="44"/>
      <c r="R4" s="6"/>
    </row>
    <row r="5" spans="2:20" x14ac:dyDescent="0.2">
      <c r="B5" s="13" t="s">
        <v>782</v>
      </c>
      <c r="C5" s="13" t="s">
        <v>41</v>
      </c>
      <c r="D5" s="70">
        <v>28.6</v>
      </c>
      <c r="E5" s="70">
        <v>0.5</v>
      </c>
      <c r="F5" s="71"/>
      <c r="G5" s="15"/>
      <c r="H5" s="15">
        <v>1.909</v>
      </c>
      <c r="I5" s="15">
        <v>1.8939999999999999</v>
      </c>
      <c r="J5" s="74">
        <f t="shared" si="0"/>
        <v>1.5000000000000124E-2</v>
      </c>
      <c r="K5" s="75">
        <f t="shared" ref="K5:K53" si="1">(F5*(273.15+D5)/273.15)/(M5*N5)</f>
        <v>0</v>
      </c>
      <c r="L5" s="15" t="s">
        <v>730</v>
      </c>
      <c r="M5" s="72">
        <f>VLOOKUP(L5,allgemein!$B$3:$C$11,2,FALSE)</f>
        <v>1</v>
      </c>
      <c r="N5" s="14">
        <v>40</v>
      </c>
      <c r="O5" s="13" t="s">
        <v>787</v>
      </c>
      <c r="P5" s="21" t="s">
        <v>784</v>
      </c>
      <c r="Q5" s="44"/>
      <c r="R5" s="6"/>
    </row>
    <row r="6" spans="2:20" x14ac:dyDescent="0.2">
      <c r="B6" s="13" t="s">
        <v>785</v>
      </c>
      <c r="C6" s="13" t="s">
        <v>41</v>
      </c>
      <c r="D6" s="70">
        <v>28.6</v>
      </c>
      <c r="E6" s="70">
        <v>0.7</v>
      </c>
      <c r="F6" s="71"/>
      <c r="G6" s="15">
        <v>1.843</v>
      </c>
      <c r="H6" s="15">
        <v>5.5250000000000004</v>
      </c>
      <c r="I6" s="15">
        <v>5.4820000000000002</v>
      </c>
      <c r="J6" s="74">
        <f t="shared" si="0"/>
        <v>4.3000000000000149E-2</v>
      </c>
      <c r="K6" s="75">
        <f t="shared" si="1"/>
        <v>0</v>
      </c>
      <c r="L6" s="15" t="s">
        <v>335</v>
      </c>
      <c r="M6" s="72">
        <f>VLOOKUP(L6,allgemein!$B$3:$C$11,2,FALSE)</f>
        <v>3</v>
      </c>
      <c r="N6" s="14">
        <v>40</v>
      </c>
      <c r="O6" s="13" t="s">
        <v>772</v>
      </c>
      <c r="P6" s="21"/>
      <c r="Q6" s="44"/>
      <c r="R6" s="6"/>
    </row>
    <row r="7" spans="2:20" x14ac:dyDescent="0.2">
      <c r="B7" s="13"/>
      <c r="C7" s="13" t="s">
        <v>41</v>
      </c>
      <c r="D7" s="70"/>
      <c r="E7" s="70"/>
      <c r="F7" s="71"/>
      <c r="G7" s="15">
        <v>1.8440000000000001</v>
      </c>
      <c r="H7" s="15"/>
      <c r="I7" s="15"/>
      <c r="J7" s="74"/>
      <c r="K7" s="75"/>
      <c r="L7" s="15"/>
      <c r="M7" s="72"/>
      <c r="N7" s="14"/>
      <c r="O7" s="13"/>
      <c r="P7" s="21"/>
      <c r="Q7" s="44"/>
      <c r="R7" s="6"/>
    </row>
    <row r="8" spans="2:20" x14ac:dyDescent="0.2">
      <c r="B8" s="13"/>
      <c r="C8" s="13" t="s">
        <v>41</v>
      </c>
      <c r="D8" s="70"/>
      <c r="E8" s="70"/>
      <c r="F8" s="71"/>
      <c r="G8" s="15">
        <v>1.837</v>
      </c>
      <c r="H8" s="15"/>
      <c r="I8" s="15"/>
      <c r="J8" s="74"/>
      <c r="K8" s="75"/>
      <c r="L8" s="15"/>
      <c r="M8" s="72"/>
      <c r="N8" s="14"/>
      <c r="O8" s="13"/>
      <c r="P8" s="21"/>
      <c r="Q8" s="44"/>
      <c r="R8" s="6"/>
    </row>
    <row r="9" spans="2:20" x14ac:dyDescent="0.2">
      <c r="B9" s="13" t="s">
        <v>788</v>
      </c>
      <c r="C9" s="13" t="s">
        <v>41</v>
      </c>
      <c r="D9" s="70">
        <v>28.7</v>
      </c>
      <c r="E9" s="70">
        <v>0.3</v>
      </c>
      <c r="F9" s="71"/>
      <c r="G9" s="15">
        <v>1.8620000000000001</v>
      </c>
      <c r="H9" s="15">
        <v>5.5839999999999996</v>
      </c>
      <c r="I9" s="15">
        <v>5.5439999999999996</v>
      </c>
      <c r="J9" s="74">
        <f t="shared" si="0"/>
        <v>4.0000000000000036E-2</v>
      </c>
      <c r="K9" s="75">
        <f t="shared" si="1"/>
        <v>0</v>
      </c>
      <c r="L9" s="15" t="s">
        <v>335</v>
      </c>
      <c r="M9" s="72">
        <f>VLOOKUP(L9,allgemein!$B$3:$C$11,2,FALSE)</f>
        <v>3</v>
      </c>
      <c r="N9" s="14">
        <v>40</v>
      </c>
      <c r="O9" s="13" t="s">
        <v>41</v>
      </c>
      <c r="P9" s="21"/>
      <c r="Q9" s="44"/>
      <c r="R9" s="6"/>
    </row>
    <row r="10" spans="2:20" x14ac:dyDescent="0.2">
      <c r="B10" s="13"/>
      <c r="C10" s="13" t="s">
        <v>41</v>
      </c>
      <c r="D10" s="70"/>
      <c r="E10" s="70"/>
      <c r="F10" s="71"/>
      <c r="G10" s="15">
        <v>1.859</v>
      </c>
      <c r="H10" s="15"/>
      <c r="I10" s="15"/>
      <c r="J10" s="74"/>
      <c r="K10" s="75"/>
      <c r="L10" s="15"/>
      <c r="M10" s="72"/>
      <c r="N10" s="14"/>
      <c r="O10" s="13"/>
      <c r="P10" s="23"/>
      <c r="Q10" s="44"/>
      <c r="R10" s="6"/>
    </row>
    <row r="11" spans="2:20" x14ac:dyDescent="0.2">
      <c r="B11" s="13"/>
      <c r="C11" s="13" t="s">
        <v>41</v>
      </c>
      <c r="D11" s="70"/>
      <c r="E11" s="70"/>
      <c r="F11" s="71"/>
      <c r="G11" s="15">
        <v>1.8620000000000001</v>
      </c>
      <c r="H11" s="15"/>
      <c r="I11" s="15"/>
      <c r="J11" s="74"/>
      <c r="K11" s="75"/>
      <c r="L11" s="15"/>
      <c r="M11" s="72"/>
      <c r="N11" s="14"/>
      <c r="O11" s="13"/>
      <c r="P11" s="23"/>
      <c r="Q11" s="44"/>
      <c r="R11" s="6"/>
    </row>
    <row r="12" spans="2:20" x14ac:dyDescent="0.2">
      <c r="B12" s="13" t="s">
        <v>789</v>
      </c>
      <c r="C12" s="13" t="s">
        <v>791</v>
      </c>
      <c r="D12" s="70">
        <v>28.6</v>
      </c>
      <c r="E12" s="70">
        <v>0.2</v>
      </c>
      <c r="F12" s="71"/>
      <c r="G12" s="15">
        <v>1.8680000000000001</v>
      </c>
      <c r="H12" s="15">
        <v>5.6130000000000004</v>
      </c>
      <c r="I12" s="15">
        <v>5.577</v>
      </c>
      <c r="J12" s="74">
        <f t="shared" si="0"/>
        <v>3.6000000000000476E-2</v>
      </c>
      <c r="K12" s="75">
        <f t="shared" si="1"/>
        <v>0</v>
      </c>
      <c r="L12" s="15" t="s">
        <v>335</v>
      </c>
      <c r="M12" s="72">
        <f>VLOOKUP(L12,allgemein!$B$3:$C$11,2,FALSE)</f>
        <v>3</v>
      </c>
      <c r="N12" s="14">
        <v>40</v>
      </c>
      <c r="O12" s="13" t="s">
        <v>41</v>
      </c>
      <c r="P12" s="23"/>
      <c r="Q12" s="13"/>
      <c r="R12" s="6"/>
    </row>
    <row r="13" spans="2:20" x14ac:dyDescent="0.2">
      <c r="B13" s="13"/>
      <c r="C13" s="13" t="s">
        <v>41</v>
      </c>
      <c r="D13" s="70"/>
      <c r="E13" s="70"/>
      <c r="F13" s="71"/>
      <c r="G13" s="15">
        <v>1.869</v>
      </c>
      <c r="H13" s="15"/>
      <c r="I13" s="15"/>
      <c r="J13" s="74"/>
      <c r="K13" s="75"/>
      <c r="L13" s="15"/>
      <c r="M13" s="72"/>
      <c r="N13" s="14"/>
      <c r="O13" s="13"/>
      <c r="P13" s="23"/>
      <c r="Q13" s="13"/>
      <c r="R13" s="6"/>
    </row>
    <row r="14" spans="2:20" x14ac:dyDescent="0.2">
      <c r="B14" s="55"/>
      <c r="C14" s="13" t="s">
        <v>41</v>
      </c>
      <c r="D14" s="70"/>
      <c r="E14" s="70"/>
      <c r="F14" s="71"/>
      <c r="G14" s="15">
        <v>1.8759999999999999</v>
      </c>
      <c r="H14" s="57"/>
      <c r="I14" s="57"/>
      <c r="J14" s="74"/>
      <c r="K14" s="75"/>
      <c r="L14" s="15"/>
      <c r="M14" s="72"/>
      <c r="N14" s="14"/>
      <c r="O14" s="13"/>
      <c r="P14" s="23"/>
      <c r="Q14" s="44"/>
      <c r="R14" s="6"/>
    </row>
    <row r="15" spans="2:20" x14ac:dyDescent="0.2">
      <c r="B15" s="13" t="s">
        <v>790</v>
      </c>
      <c r="C15" s="13" t="s">
        <v>41</v>
      </c>
      <c r="D15" s="70">
        <v>28</v>
      </c>
      <c r="E15" s="70">
        <v>0.1</v>
      </c>
      <c r="F15" s="71"/>
      <c r="G15" s="15">
        <v>1.875</v>
      </c>
      <c r="H15" s="15">
        <v>5.6239999999999997</v>
      </c>
      <c r="I15" s="15">
        <v>5.5830000000000002</v>
      </c>
      <c r="J15" s="74">
        <f t="shared" si="0"/>
        <v>4.0999999999999481E-2</v>
      </c>
      <c r="K15" s="75">
        <f t="shared" si="1"/>
        <v>0</v>
      </c>
      <c r="L15" s="15" t="s">
        <v>335</v>
      </c>
      <c r="M15" s="72">
        <f>VLOOKUP(L15,allgemein!$B$3:$C$11,2,FALSE)</f>
        <v>3</v>
      </c>
      <c r="N15" s="14">
        <v>40</v>
      </c>
      <c r="O15" s="13" t="s">
        <v>41</v>
      </c>
      <c r="P15" s="23"/>
      <c r="Q15" s="13"/>
      <c r="R15" s="6"/>
    </row>
    <row r="16" spans="2:20" x14ac:dyDescent="0.2">
      <c r="C16" s="13" t="s">
        <v>41</v>
      </c>
      <c r="D16" s="70"/>
      <c r="E16" s="70"/>
      <c r="F16" s="71"/>
      <c r="G16" s="15">
        <v>1.8720000000000001</v>
      </c>
      <c r="H16" s="15"/>
      <c r="I16" s="15"/>
      <c r="J16" s="74"/>
      <c r="K16" s="75"/>
      <c r="L16" s="15"/>
      <c r="M16" s="72"/>
      <c r="N16" s="14"/>
      <c r="O16" s="13"/>
      <c r="P16" s="23"/>
      <c r="Q16" s="13"/>
      <c r="R16" s="6"/>
    </row>
    <row r="17" spans="2:18" x14ac:dyDescent="0.2">
      <c r="B17" s="13"/>
      <c r="C17" s="13" t="s">
        <v>41</v>
      </c>
      <c r="D17" s="70"/>
      <c r="E17" s="70"/>
      <c r="F17" s="71"/>
      <c r="G17" s="15">
        <v>1.8759999999999999</v>
      </c>
      <c r="H17" s="15"/>
      <c r="I17" s="15"/>
      <c r="J17" s="74"/>
      <c r="K17" s="75"/>
      <c r="L17" s="15"/>
      <c r="M17" s="72"/>
      <c r="N17" s="14"/>
      <c r="O17" s="13"/>
      <c r="P17" s="23"/>
      <c r="Q17" s="44"/>
      <c r="R17" s="6"/>
    </row>
    <row r="18" spans="2:18" x14ac:dyDescent="0.2">
      <c r="B18" s="13" t="s">
        <v>792</v>
      </c>
      <c r="C18" s="13" t="s">
        <v>41</v>
      </c>
      <c r="D18" s="70">
        <v>29.2</v>
      </c>
      <c r="E18" s="70">
        <v>0.9</v>
      </c>
      <c r="F18" s="71"/>
      <c r="G18" s="15"/>
      <c r="H18" s="15">
        <v>1.87</v>
      </c>
      <c r="I18" s="15">
        <v>1.86</v>
      </c>
      <c r="J18" s="74">
        <f t="shared" si="0"/>
        <v>1.0000000000000009E-2</v>
      </c>
      <c r="K18" s="75">
        <f t="shared" si="1"/>
        <v>0</v>
      </c>
      <c r="L18" s="15" t="s">
        <v>328</v>
      </c>
      <c r="M18" s="72">
        <f>VLOOKUP(L18,allgemein!$B$3:$C$11,2,FALSE)</f>
        <v>1</v>
      </c>
      <c r="N18" s="14">
        <v>40</v>
      </c>
      <c r="O18" s="13" t="s">
        <v>801</v>
      </c>
      <c r="P18" s="23"/>
      <c r="Q18" s="13"/>
      <c r="R18" s="6"/>
    </row>
    <row r="19" spans="2:18" x14ac:dyDescent="0.2">
      <c r="B19" s="13" t="s">
        <v>793</v>
      </c>
      <c r="C19" s="13" t="s">
        <v>41</v>
      </c>
      <c r="D19" s="70">
        <v>28.9</v>
      </c>
      <c r="E19" s="70">
        <v>0.5</v>
      </c>
      <c r="F19" s="71"/>
      <c r="G19" s="15"/>
      <c r="H19" s="15">
        <v>1.883</v>
      </c>
      <c r="I19" s="15">
        <v>1.869</v>
      </c>
      <c r="J19" s="74">
        <f t="shared" si="0"/>
        <v>1.4000000000000012E-2</v>
      </c>
      <c r="K19" s="75">
        <f t="shared" si="1"/>
        <v>0</v>
      </c>
      <c r="L19" s="15" t="s">
        <v>328</v>
      </c>
      <c r="M19" s="72">
        <f>VLOOKUP(L19,allgemein!$B$3:$C$11,2,FALSE)</f>
        <v>1</v>
      </c>
      <c r="N19" s="14">
        <v>40</v>
      </c>
      <c r="O19" s="13" t="s">
        <v>41</v>
      </c>
      <c r="P19" s="23"/>
      <c r="Q19" s="13"/>
      <c r="R19" s="6"/>
    </row>
    <row r="20" spans="2:18" x14ac:dyDescent="0.2">
      <c r="B20" s="13" t="s">
        <v>794</v>
      </c>
      <c r="C20" s="13" t="s">
        <v>41</v>
      </c>
      <c r="D20" s="70">
        <v>28.9</v>
      </c>
      <c r="E20" s="70">
        <v>0.4</v>
      </c>
      <c r="F20" s="71"/>
      <c r="G20" s="15"/>
      <c r="H20" s="15">
        <v>1.8879999999999999</v>
      </c>
      <c r="I20" s="15">
        <v>1.8759999999999999</v>
      </c>
      <c r="J20" s="74">
        <f t="shared" si="0"/>
        <v>1.2000000000000011E-2</v>
      </c>
      <c r="K20" s="75">
        <f t="shared" si="1"/>
        <v>0</v>
      </c>
      <c r="L20" s="15" t="s">
        <v>328</v>
      </c>
      <c r="M20" s="72">
        <f>VLOOKUP(L20,allgemein!$B$3:$C$11,2,FALSE)</f>
        <v>1</v>
      </c>
      <c r="N20" s="14">
        <v>40</v>
      </c>
      <c r="O20" s="13" t="s">
        <v>41</v>
      </c>
      <c r="P20" s="23"/>
      <c r="Q20" s="44"/>
      <c r="R20" s="6"/>
    </row>
    <row r="21" spans="2:18" x14ac:dyDescent="0.2">
      <c r="B21" s="13" t="s">
        <v>795</v>
      </c>
      <c r="C21" s="13" t="s">
        <v>41</v>
      </c>
      <c r="D21" s="70">
        <v>28.9</v>
      </c>
      <c r="E21" s="70">
        <v>0.7</v>
      </c>
      <c r="F21" s="71"/>
      <c r="G21" s="15"/>
      <c r="H21" s="15">
        <v>1.887</v>
      </c>
      <c r="I21" s="15">
        <v>1.873</v>
      </c>
      <c r="J21" s="74">
        <f t="shared" si="0"/>
        <v>1.4000000000000012E-2</v>
      </c>
      <c r="K21" s="75">
        <f t="shared" si="1"/>
        <v>0</v>
      </c>
      <c r="L21" s="15" t="s">
        <v>328</v>
      </c>
      <c r="M21" s="72">
        <f>VLOOKUP(L21,allgemein!$B$3:$C$11,2,FALSE)</f>
        <v>1</v>
      </c>
      <c r="N21" s="14">
        <v>40</v>
      </c>
      <c r="O21" s="13" t="s">
        <v>41</v>
      </c>
      <c r="P21" s="23"/>
      <c r="Q21" s="13"/>
      <c r="R21" s="6"/>
    </row>
    <row r="22" spans="2:18" x14ac:dyDescent="0.2">
      <c r="B22" s="13" t="s">
        <v>796</v>
      </c>
      <c r="C22" s="13" t="s">
        <v>41</v>
      </c>
      <c r="D22" s="70">
        <v>28.8</v>
      </c>
      <c r="E22" s="70">
        <v>0.7</v>
      </c>
      <c r="F22" s="71"/>
      <c r="G22" s="15"/>
      <c r="H22" s="15">
        <v>1.883</v>
      </c>
      <c r="I22" s="15">
        <v>1.8680000000000001</v>
      </c>
      <c r="J22" s="74">
        <f t="shared" si="0"/>
        <v>1.4999999999999902E-2</v>
      </c>
      <c r="K22" s="75">
        <f t="shared" si="1"/>
        <v>0</v>
      </c>
      <c r="L22" s="15" t="s">
        <v>328</v>
      </c>
      <c r="M22" s="72">
        <f>VLOOKUP(L22,allgemein!$B$3:$C$11,2,FALSE)</f>
        <v>1</v>
      </c>
      <c r="N22" s="14">
        <v>40</v>
      </c>
      <c r="O22" s="13" t="s">
        <v>41</v>
      </c>
      <c r="P22" s="23"/>
      <c r="Q22" s="13"/>
      <c r="R22" s="6"/>
    </row>
    <row r="23" spans="2:18" x14ac:dyDescent="0.2">
      <c r="B23" s="13" t="s">
        <v>797</v>
      </c>
      <c r="C23" s="13" t="s">
        <v>41</v>
      </c>
      <c r="D23" s="70">
        <v>28.8</v>
      </c>
      <c r="E23" s="70">
        <v>0.5</v>
      </c>
      <c r="F23" s="70"/>
      <c r="G23" s="70"/>
      <c r="H23" s="87">
        <v>1.8779999999999999</v>
      </c>
      <c r="I23" s="15">
        <v>1.8660000000000001</v>
      </c>
      <c r="J23" s="74">
        <f t="shared" si="0"/>
        <v>1.1999999999999789E-2</v>
      </c>
      <c r="K23" s="75">
        <f t="shared" si="1"/>
        <v>0</v>
      </c>
      <c r="L23" s="15" t="s">
        <v>328</v>
      </c>
      <c r="M23" s="72">
        <f>VLOOKUP(L23,allgemein!$B$3:$C$11,2,FALSE)</f>
        <v>1</v>
      </c>
      <c r="N23" s="14">
        <v>40</v>
      </c>
      <c r="O23" s="13" t="s">
        <v>41</v>
      </c>
      <c r="P23" s="23"/>
      <c r="Q23" s="44"/>
      <c r="R23" s="6"/>
    </row>
    <row r="24" spans="2:18" x14ac:dyDescent="0.2">
      <c r="B24" s="13" t="s">
        <v>799</v>
      </c>
      <c r="C24" s="13" t="s">
        <v>41</v>
      </c>
      <c r="D24" s="70">
        <v>29</v>
      </c>
      <c r="E24" s="70">
        <v>0.5</v>
      </c>
      <c r="F24" s="71"/>
      <c r="G24" s="15"/>
      <c r="H24" s="15">
        <v>1.875</v>
      </c>
      <c r="I24" s="15">
        <v>1.863</v>
      </c>
      <c r="J24" s="74">
        <f t="shared" si="0"/>
        <v>1.2000000000000011E-2</v>
      </c>
      <c r="K24" s="75">
        <f t="shared" si="1"/>
        <v>0</v>
      </c>
      <c r="L24" s="15" t="s">
        <v>328</v>
      </c>
      <c r="M24" s="72">
        <f>VLOOKUP(L24,allgemein!$B$3:$C$11,2,FALSE)</f>
        <v>1</v>
      </c>
      <c r="N24" s="14">
        <v>40</v>
      </c>
      <c r="O24" s="13" t="s">
        <v>41</v>
      </c>
      <c r="Q24" s="13"/>
      <c r="R24" s="6"/>
    </row>
    <row r="25" spans="2:18" x14ac:dyDescent="0.2">
      <c r="B25" s="13" t="s">
        <v>798</v>
      </c>
      <c r="C25" s="13" t="s">
        <v>41</v>
      </c>
      <c r="D25" s="70">
        <v>29</v>
      </c>
      <c r="E25" s="70">
        <v>0.8</v>
      </c>
      <c r="F25" s="71"/>
      <c r="G25" s="15"/>
      <c r="H25" s="15">
        <v>1.863</v>
      </c>
      <c r="I25" s="15">
        <v>1.85</v>
      </c>
      <c r="J25" s="74">
        <f t="shared" si="0"/>
        <v>1.2999999999999901E-2</v>
      </c>
      <c r="K25" s="75">
        <f t="shared" si="1"/>
        <v>0</v>
      </c>
      <c r="L25" s="15" t="s">
        <v>328</v>
      </c>
      <c r="M25" s="72">
        <f>VLOOKUP(L25,allgemein!$B$3:$C$11,2,FALSE)</f>
        <v>1</v>
      </c>
      <c r="N25" s="14">
        <v>40</v>
      </c>
      <c r="O25" s="13" t="s">
        <v>41</v>
      </c>
      <c r="P25" s="23" t="s">
        <v>802</v>
      </c>
      <c r="Q25" s="13"/>
      <c r="R25" s="6"/>
    </row>
    <row r="26" spans="2:18" x14ac:dyDescent="0.2">
      <c r="B26" s="13" t="s">
        <v>800</v>
      </c>
      <c r="C26" s="13" t="s">
        <v>41</v>
      </c>
      <c r="D26" s="70">
        <v>29.1</v>
      </c>
      <c r="E26" s="70">
        <v>0.8</v>
      </c>
      <c r="F26" s="71"/>
      <c r="G26" s="15"/>
      <c r="H26" s="15">
        <v>1.8540000000000001</v>
      </c>
      <c r="I26" s="15">
        <v>1.843</v>
      </c>
      <c r="J26" s="74">
        <f t="shared" si="0"/>
        <v>1.1000000000000121E-2</v>
      </c>
      <c r="K26" s="75">
        <f t="shared" si="1"/>
        <v>0</v>
      </c>
      <c r="L26" s="15" t="s">
        <v>328</v>
      </c>
      <c r="M26" s="72">
        <f>VLOOKUP(L26,allgemein!$B$3:$C$11,2,FALSE)</f>
        <v>1</v>
      </c>
      <c r="N26" s="14">
        <v>40</v>
      </c>
      <c r="O26" s="13" t="s">
        <v>41</v>
      </c>
      <c r="P26" s="86" t="s">
        <v>41</v>
      </c>
      <c r="Q26" s="13"/>
      <c r="R26" s="6"/>
    </row>
    <row r="27" spans="2:18" x14ac:dyDescent="0.2">
      <c r="B27" s="13" t="s">
        <v>803</v>
      </c>
      <c r="C27" s="13" t="s">
        <v>41</v>
      </c>
      <c r="D27" s="70">
        <v>27.8</v>
      </c>
      <c r="E27" s="70">
        <v>0.8</v>
      </c>
      <c r="F27" s="71"/>
      <c r="G27" s="15"/>
      <c r="H27" s="15">
        <v>1.885</v>
      </c>
      <c r="I27" s="15">
        <v>1.8720000000000001</v>
      </c>
      <c r="J27" s="74">
        <f t="shared" si="0"/>
        <v>1.2999999999999901E-2</v>
      </c>
      <c r="K27" s="75">
        <f>(F27*(273.15+D27)/273.15)/(M27*N27)</f>
        <v>0</v>
      </c>
      <c r="L27" s="15" t="s">
        <v>328</v>
      </c>
      <c r="M27" s="72">
        <f>VLOOKUP(L27,allgemein!$B$3:$C$11,2,FALSE)</f>
        <v>1</v>
      </c>
      <c r="N27" s="14">
        <v>40</v>
      </c>
      <c r="O27" s="13" t="s">
        <v>41</v>
      </c>
      <c r="P27" s="23" t="s">
        <v>815</v>
      </c>
      <c r="Q27" s="13"/>
      <c r="R27" s="6"/>
    </row>
    <row r="28" spans="2:18" x14ac:dyDescent="0.2">
      <c r="B28" s="13" t="s">
        <v>804</v>
      </c>
      <c r="C28" s="13" t="s">
        <v>41</v>
      </c>
      <c r="D28" s="70">
        <v>27.8</v>
      </c>
      <c r="E28" s="70">
        <v>0.7</v>
      </c>
      <c r="F28" s="71"/>
      <c r="G28" s="15"/>
      <c r="H28" s="15">
        <v>1.8859999999999999</v>
      </c>
      <c r="I28" s="15">
        <v>1.871</v>
      </c>
      <c r="J28" s="74">
        <f t="shared" si="0"/>
        <v>1.4999999999999902E-2</v>
      </c>
      <c r="K28" s="75">
        <f t="shared" ref="K28" si="2">(F28*(273.15+D28)/273.15)/(M28*N28)</f>
        <v>0</v>
      </c>
      <c r="L28" s="15" t="s">
        <v>328</v>
      </c>
      <c r="M28" s="72">
        <f>VLOOKUP(L28,allgemein!$B$3:$C$11,2,FALSE)</f>
        <v>1</v>
      </c>
      <c r="N28" s="14">
        <v>40</v>
      </c>
      <c r="O28" s="13" t="s">
        <v>41</v>
      </c>
      <c r="P28" s="23"/>
      <c r="Q28" s="13"/>
      <c r="R28" s="6"/>
    </row>
    <row r="29" spans="2:18" x14ac:dyDescent="0.2">
      <c r="B29" s="13" t="s">
        <v>805</v>
      </c>
      <c r="C29" s="13" t="s">
        <v>41</v>
      </c>
      <c r="D29" s="70">
        <v>27.8</v>
      </c>
      <c r="E29" s="70">
        <v>0.6</v>
      </c>
      <c r="F29" s="71"/>
      <c r="G29" s="15"/>
      <c r="H29" s="15">
        <v>1.883</v>
      </c>
      <c r="I29" s="15">
        <v>1.869</v>
      </c>
      <c r="J29" s="74">
        <f t="shared" si="0"/>
        <v>1.4000000000000012E-2</v>
      </c>
      <c r="K29" s="75">
        <f t="shared" si="1"/>
        <v>0</v>
      </c>
      <c r="L29" s="15" t="s">
        <v>328</v>
      </c>
      <c r="M29" s="72">
        <f>VLOOKUP(L29,allgemein!$B$3:$C$11,2,FALSE)</f>
        <v>1</v>
      </c>
      <c r="N29" s="14">
        <v>40</v>
      </c>
      <c r="O29" s="13" t="s">
        <v>41</v>
      </c>
      <c r="P29" s="23"/>
      <c r="Q29" s="13"/>
      <c r="R29" s="6"/>
    </row>
    <row r="30" spans="2:18" x14ac:dyDescent="0.2">
      <c r="B30" s="13" t="s">
        <v>811</v>
      </c>
      <c r="C30" s="13" t="s">
        <v>41</v>
      </c>
      <c r="D30" s="70">
        <v>27.8</v>
      </c>
      <c r="E30" s="70">
        <v>0.8</v>
      </c>
      <c r="F30" s="71"/>
      <c r="G30" s="15"/>
      <c r="H30" s="15">
        <v>1.897</v>
      </c>
      <c r="I30" s="15">
        <v>1.8859999999999999</v>
      </c>
      <c r="J30" s="74">
        <f t="shared" si="0"/>
        <v>1.1000000000000121E-2</v>
      </c>
      <c r="K30" s="75">
        <f t="shared" si="1"/>
        <v>0</v>
      </c>
      <c r="L30" s="15" t="s">
        <v>328</v>
      </c>
      <c r="M30" s="72">
        <f>VLOOKUP(L30,allgemein!$B$3:$C$11,2,FALSE)</f>
        <v>1</v>
      </c>
      <c r="N30" s="14">
        <v>40</v>
      </c>
      <c r="O30" s="13" t="s">
        <v>41</v>
      </c>
      <c r="P30" s="21"/>
      <c r="Q30" s="13"/>
      <c r="R30" s="6"/>
    </row>
    <row r="31" spans="2:18" x14ac:dyDescent="0.2">
      <c r="B31" s="13" t="s">
        <v>806</v>
      </c>
      <c r="C31" s="13" t="s">
        <v>41</v>
      </c>
      <c r="D31" s="70">
        <v>27.7</v>
      </c>
      <c r="E31" s="70">
        <v>0.7</v>
      </c>
      <c r="F31" s="71"/>
      <c r="G31" s="15"/>
      <c r="H31" s="15">
        <v>1.8859999999999999</v>
      </c>
      <c r="I31" s="15">
        <v>1.8740000000000001</v>
      </c>
      <c r="J31" s="74">
        <f t="shared" si="0"/>
        <v>1.1999999999999789E-2</v>
      </c>
      <c r="K31" s="75">
        <f t="shared" si="1"/>
        <v>0</v>
      </c>
      <c r="L31" s="15" t="s">
        <v>328</v>
      </c>
      <c r="M31" s="72">
        <f>VLOOKUP(L31,allgemein!$B$3:$C$11,2,FALSE)</f>
        <v>1</v>
      </c>
      <c r="N31" s="14">
        <v>40</v>
      </c>
      <c r="O31" s="13" t="s">
        <v>41</v>
      </c>
      <c r="P31" s="21"/>
      <c r="Q31" s="13"/>
      <c r="R31" s="6"/>
    </row>
    <row r="32" spans="2:18" x14ac:dyDescent="0.2">
      <c r="B32" s="13" t="s">
        <v>807</v>
      </c>
      <c r="C32" s="13" t="s">
        <v>812</v>
      </c>
      <c r="D32" s="70">
        <v>27.3</v>
      </c>
      <c r="E32" s="70">
        <v>0.3</v>
      </c>
      <c r="F32" s="71"/>
      <c r="G32" s="15"/>
      <c r="H32" s="15">
        <v>1.891</v>
      </c>
      <c r="I32" s="15">
        <v>1.8779999999999999</v>
      </c>
      <c r="J32" s="74">
        <f t="shared" si="0"/>
        <v>1.3000000000000123E-2</v>
      </c>
      <c r="K32" s="75">
        <f t="shared" si="1"/>
        <v>0</v>
      </c>
      <c r="L32" s="15" t="s">
        <v>328</v>
      </c>
      <c r="M32" s="72">
        <f>VLOOKUP(L32,allgemein!$B$3:$C$11,2,FALSE)</f>
        <v>1</v>
      </c>
      <c r="N32" s="14">
        <v>40</v>
      </c>
      <c r="O32" s="13" t="s">
        <v>41</v>
      </c>
      <c r="P32" s="21" t="s">
        <v>813</v>
      </c>
      <c r="Q32" s="13"/>
      <c r="R32" s="6"/>
    </row>
    <row r="33" spans="2:18" x14ac:dyDescent="0.2">
      <c r="B33" s="13" t="s">
        <v>808</v>
      </c>
      <c r="C33" s="13" t="s">
        <v>41</v>
      </c>
      <c r="D33" s="70">
        <v>27.9</v>
      </c>
      <c r="E33" s="70">
        <v>1</v>
      </c>
      <c r="F33" s="71"/>
      <c r="G33" s="15"/>
      <c r="H33" s="15">
        <v>1.867</v>
      </c>
      <c r="I33" s="15">
        <v>1.857</v>
      </c>
      <c r="J33" s="74">
        <f t="shared" si="0"/>
        <v>1.0000000000000009E-2</v>
      </c>
      <c r="K33" s="75">
        <f t="shared" si="1"/>
        <v>0</v>
      </c>
      <c r="L33" s="15" t="s">
        <v>328</v>
      </c>
      <c r="M33" s="72">
        <f>VLOOKUP(L33,allgemein!$B$3:$C$11,2,FALSE)</f>
        <v>1</v>
      </c>
      <c r="N33" s="14">
        <v>40</v>
      </c>
      <c r="O33" s="13" t="s">
        <v>41</v>
      </c>
      <c r="P33" s="13" t="s">
        <v>41</v>
      </c>
      <c r="Q33" s="13"/>
      <c r="R33" s="6"/>
    </row>
    <row r="34" spans="2:18" x14ac:dyDescent="0.2">
      <c r="B34" s="13" t="s">
        <v>810</v>
      </c>
      <c r="C34" s="13" t="s">
        <v>41</v>
      </c>
      <c r="D34" s="70">
        <v>27.1</v>
      </c>
      <c r="E34" s="70">
        <v>0.3</v>
      </c>
      <c r="F34" s="71"/>
      <c r="G34" s="15"/>
      <c r="H34" s="15">
        <v>1.8720000000000001</v>
      </c>
      <c r="I34" s="15">
        <v>1.86</v>
      </c>
      <c r="J34" s="74">
        <f t="shared" si="0"/>
        <v>1.2000000000000011E-2</v>
      </c>
      <c r="K34" s="75">
        <f t="shared" si="1"/>
        <v>0</v>
      </c>
      <c r="L34" s="15" t="s">
        <v>328</v>
      </c>
      <c r="M34" s="72">
        <f>VLOOKUP(L34,allgemein!$B$3:$C$11,2,FALSE)</f>
        <v>1</v>
      </c>
      <c r="N34" s="14">
        <v>40</v>
      </c>
      <c r="O34" s="13" t="s">
        <v>41</v>
      </c>
      <c r="P34" s="13" t="s">
        <v>41</v>
      </c>
      <c r="Q34" s="13"/>
      <c r="R34" s="6"/>
    </row>
    <row r="35" spans="2:18" x14ac:dyDescent="0.2">
      <c r="B35" s="13" t="s">
        <v>809</v>
      </c>
      <c r="C35" s="13" t="s">
        <v>41</v>
      </c>
      <c r="D35" s="70">
        <v>26.9</v>
      </c>
      <c r="E35" s="70">
        <v>0.4</v>
      </c>
      <c r="F35" s="71"/>
      <c r="H35" s="15">
        <v>1.88</v>
      </c>
      <c r="I35" s="15">
        <v>1.869</v>
      </c>
      <c r="J35" s="74">
        <f t="shared" si="0"/>
        <v>1.0999999999999899E-2</v>
      </c>
      <c r="K35" s="75">
        <f t="shared" si="1"/>
        <v>0</v>
      </c>
      <c r="L35" s="15" t="s">
        <v>328</v>
      </c>
      <c r="M35" s="72">
        <f>VLOOKUP(L35,allgemein!$B$3:$C$11,2,FALSE)</f>
        <v>1</v>
      </c>
      <c r="N35" s="14">
        <v>40</v>
      </c>
      <c r="O35" s="13" t="s">
        <v>41</v>
      </c>
      <c r="P35" s="13" t="s">
        <v>41</v>
      </c>
      <c r="Q35" s="79"/>
      <c r="R35" s="6"/>
    </row>
    <row r="36" spans="2:18" x14ac:dyDescent="0.2">
      <c r="B36" s="13" t="s">
        <v>389</v>
      </c>
      <c r="C36" s="13" t="s">
        <v>381</v>
      </c>
      <c r="D36" s="70">
        <v>28.6</v>
      </c>
      <c r="E36" s="70">
        <v>0</v>
      </c>
      <c r="F36" s="71"/>
      <c r="G36" s="15">
        <v>1.7410000000000001</v>
      </c>
      <c r="H36" s="15">
        <v>5.2370000000000001</v>
      </c>
      <c r="I36" s="15">
        <v>5.2119999999999997</v>
      </c>
      <c r="J36" s="74">
        <f t="shared" si="0"/>
        <v>2.5000000000000355E-2</v>
      </c>
      <c r="K36" s="75">
        <f t="shared" si="1"/>
        <v>0</v>
      </c>
      <c r="L36" s="15" t="s">
        <v>335</v>
      </c>
      <c r="M36" s="72">
        <f>VLOOKUP(L36,allgemein!$B$3:$C$11,2,FALSE)</f>
        <v>3</v>
      </c>
      <c r="N36" s="14">
        <v>40</v>
      </c>
      <c r="O36" s="13" t="s">
        <v>624</v>
      </c>
      <c r="P36" s="21" t="s">
        <v>814</v>
      </c>
      <c r="Q36" s="13"/>
      <c r="R36" s="6"/>
    </row>
    <row r="37" spans="2:18" x14ac:dyDescent="0.2">
      <c r="B37" s="13"/>
      <c r="C37" s="13" t="s">
        <v>41</v>
      </c>
      <c r="D37" s="70"/>
      <c r="E37" s="70"/>
      <c r="F37" s="71"/>
      <c r="G37" s="15">
        <v>1.748</v>
      </c>
      <c r="H37" s="15"/>
      <c r="I37" s="15"/>
      <c r="J37" s="74"/>
      <c r="K37" s="75"/>
      <c r="L37" s="15"/>
      <c r="M37" s="72"/>
      <c r="N37" s="14"/>
      <c r="O37" s="13"/>
      <c r="P37" s="21"/>
      <c r="Q37" s="13"/>
      <c r="R37" s="6"/>
    </row>
    <row r="38" spans="2:18" x14ac:dyDescent="0.2">
      <c r="B38" s="13"/>
      <c r="C38" s="13" t="s">
        <v>41</v>
      </c>
      <c r="D38" s="70"/>
      <c r="E38" s="70"/>
      <c r="F38" s="71"/>
      <c r="G38" s="15">
        <v>1.748</v>
      </c>
      <c r="H38" s="15"/>
      <c r="I38" s="15"/>
      <c r="J38" s="74"/>
      <c r="K38" s="75"/>
      <c r="L38" s="15"/>
      <c r="M38" s="72"/>
      <c r="N38" s="14"/>
      <c r="O38" s="13"/>
      <c r="P38" s="21"/>
      <c r="Q38" s="13"/>
      <c r="R38" s="6"/>
    </row>
    <row r="39" spans="2:18" x14ac:dyDescent="0.2">
      <c r="B39" s="13" t="s">
        <v>817</v>
      </c>
      <c r="C39" s="13" t="s">
        <v>707</v>
      </c>
      <c r="D39" s="70">
        <v>28.7</v>
      </c>
      <c r="E39" s="70">
        <v>0.7</v>
      </c>
      <c r="F39" s="71"/>
      <c r="G39" s="15"/>
      <c r="H39" s="15">
        <v>1.855</v>
      </c>
      <c r="I39" s="15">
        <v>1.8380000000000001</v>
      </c>
      <c r="J39" s="74">
        <f t="shared" si="0"/>
        <v>1.6999999999999904E-2</v>
      </c>
      <c r="K39" s="75">
        <f t="shared" si="1"/>
        <v>0</v>
      </c>
      <c r="L39" s="15" t="s">
        <v>728</v>
      </c>
      <c r="M39" s="72">
        <f>VLOOKUP(L39,allgemein!$B$3:$C$11,2,FALSE)</f>
        <v>1</v>
      </c>
      <c r="N39" s="14">
        <v>25</v>
      </c>
      <c r="O39" s="13" t="s">
        <v>828</v>
      </c>
      <c r="P39" s="23"/>
      <c r="Q39" s="13"/>
      <c r="R39" s="6"/>
    </row>
    <row r="40" spans="2:18" x14ac:dyDescent="0.2">
      <c r="B40" s="13" t="s">
        <v>818</v>
      </c>
      <c r="C40" s="13" t="s">
        <v>41</v>
      </c>
      <c r="D40" s="70">
        <v>28.6</v>
      </c>
      <c r="E40" s="70">
        <v>0.6</v>
      </c>
      <c r="F40" s="71"/>
      <c r="G40" s="15"/>
      <c r="H40" s="15">
        <v>1.87</v>
      </c>
      <c r="I40" s="15">
        <v>1.8520000000000001</v>
      </c>
      <c r="J40" s="74">
        <f t="shared" si="0"/>
        <v>1.8000000000000016E-2</v>
      </c>
      <c r="K40" s="75">
        <f t="shared" si="1"/>
        <v>0</v>
      </c>
      <c r="L40" s="15" t="s">
        <v>728</v>
      </c>
      <c r="M40" s="72">
        <f>VLOOKUP(L40,allgemein!$B$3:$C$11,2,FALSE)</f>
        <v>1</v>
      </c>
      <c r="N40" s="14">
        <v>25</v>
      </c>
      <c r="O40" s="13" t="s">
        <v>41</v>
      </c>
      <c r="P40" s="21"/>
      <c r="Q40" s="13"/>
      <c r="R40" s="6"/>
    </row>
    <row r="41" spans="2:18" x14ac:dyDescent="0.2">
      <c r="B41" s="13" t="s">
        <v>819</v>
      </c>
      <c r="C41" s="13" t="s">
        <v>41</v>
      </c>
      <c r="D41" s="70">
        <v>28.8</v>
      </c>
      <c r="E41" s="70">
        <v>0.8</v>
      </c>
      <c r="F41" s="71"/>
      <c r="G41" s="15"/>
      <c r="H41" s="15">
        <v>1.8819999999999999</v>
      </c>
      <c r="I41" s="15">
        <v>1.87</v>
      </c>
      <c r="J41" s="74">
        <f t="shared" si="0"/>
        <v>1.1999999999999789E-2</v>
      </c>
      <c r="K41" s="75">
        <f t="shared" si="1"/>
        <v>0</v>
      </c>
      <c r="L41" s="15" t="s">
        <v>728</v>
      </c>
      <c r="M41" s="72">
        <f>VLOOKUP(L41,allgemein!$B$3:$C$11,2,FALSE)</f>
        <v>1</v>
      </c>
      <c r="N41" s="14">
        <v>25</v>
      </c>
      <c r="O41" s="13" t="s">
        <v>41</v>
      </c>
      <c r="P41" s="23"/>
      <c r="Q41" s="13"/>
      <c r="R41" s="6"/>
    </row>
    <row r="42" spans="2:18" x14ac:dyDescent="0.2">
      <c r="B42" s="13" t="s">
        <v>820</v>
      </c>
      <c r="C42" s="13" t="s">
        <v>827</v>
      </c>
      <c r="D42" s="70">
        <v>28.5</v>
      </c>
      <c r="E42" s="70">
        <v>0.5</v>
      </c>
      <c r="F42" s="71"/>
      <c r="G42" s="15"/>
      <c r="H42" s="15">
        <v>1.8919999999999999</v>
      </c>
      <c r="I42" s="15">
        <v>1.8740000000000001</v>
      </c>
      <c r="J42" s="74">
        <f t="shared" si="0"/>
        <v>1.7999999999999794E-2</v>
      </c>
      <c r="K42" s="75">
        <f t="shared" si="1"/>
        <v>0</v>
      </c>
      <c r="L42" s="17" t="s">
        <v>728</v>
      </c>
      <c r="M42" s="90">
        <f>VLOOKUP(L42,allgemein!$B$3:$C$11,2,FALSE)</f>
        <v>1</v>
      </c>
      <c r="N42" s="16">
        <v>25</v>
      </c>
      <c r="O42" s="22" t="s">
        <v>41</v>
      </c>
      <c r="P42" s="91"/>
      <c r="Q42" s="13"/>
      <c r="R42" s="6"/>
    </row>
    <row r="43" spans="2:18" x14ac:dyDescent="0.2">
      <c r="B43" s="22" t="s">
        <v>821</v>
      </c>
      <c r="C43" s="22" t="s">
        <v>41</v>
      </c>
      <c r="D43" s="88">
        <v>28.3</v>
      </c>
      <c r="E43" s="88">
        <v>0.3</v>
      </c>
      <c r="F43" s="89"/>
      <c r="G43" s="17"/>
      <c r="H43" s="17">
        <v>1.897</v>
      </c>
      <c r="I43" s="17">
        <v>1.8759999999999999</v>
      </c>
      <c r="J43" s="74">
        <f t="shared" si="0"/>
        <v>2.100000000000013E-2</v>
      </c>
      <c r="K43" s="75">
        <f t="shared" si="1"/>
        <v>0</v>
      </c>
      <c r="L43" s="17" t="s">
        <v>728</v>
      </c>
      <c r="M43" s="90">
        <f>VLOOKUP(L43,allgemein!$B$3:$C$11,2,FALSE)</f>
        <v>1</v>
      </c>
      <c r="N43" s="16">
        <v>25</v>
      </c>
      <c r="O43" s="22" t="s">
        <v>41</v>
      </c>
      <c r="P43" s="91"/>
      <c r="Q43" s="13"/>
      <c r="R43" s="6"/>
    </row>
    <row r="44" spans="2:18" x14ac:dyDescent="0.2">
      <c r="B44" s="22" t="s">
        <v>41</v>
      </c>
      <c r="C44" s="22" t="s">
        <v>41</v>
      </c>
      <c r="D44" s="88">
        <v>28.5</v>
      </c>
      <c r="E44" s="88">
        <v>0.1</v>
      </c>
      <c r="F44" s="89"/>
      <c r="G44" s="17"/>
      <c r="H44" s="17">
        <v>1.8979999999999999</v>
      </c>
      <c r="I44" s="17">
        <v>1.881</v>
      </c>
      <c r="J44" s="74">
        <f t="shared" si="0"/>
        <v>1.6999999999999904E-2</v>
      </c>
      <c r="K44" s="75">
        <f t="shared" si="1"/>
        <v>0</v>
      </c>
      <c r="L44" s="17" t="s">
        <v>728</v>
      </c>
      <c r="M44" s="90">
        <f>VLOOKUP(L44,allgemein!$B$3:$C$11,2,FALSE)</f>
        <v>1</v>
      </c>
      <c r="N44" s="16">
        <v>25</v>
      </c>
      <c r="O44" s="22"/>
      <c r="P44" s="91"/>
      <c r="Q44" s="13"/>
      <c r="R44" s="6"/>
    </row>
    <row r="45" spans="2:18" x14ac:dyDescent="0.2">
      <c r="B45" s="22" t="s">
        <v>41</v>
      </c>
      <c r="C45" s="22" t="s">
        <v>839</v>
      </c>
      <c r="D45" s="88">
        <v>34.5</v>
      </c>
      <c r="E45" s="88">
        <v>6.3</v>
      </c>
      <c r="F45" s="89"/>
      <c r="G45" s="17"/>
      <c r="H45" s="17">
        <v>1.954</v>
      </c>
      <c r="I45" s="17">
        <v>1.9450000000000001</v>
      </c>
      <c r="J45" s="74">
        <f t="shared" ref="J45" si="3">H45-I45</f>
        <v>8.999999999999897E-3</v>
      </c>
      <c r="K45" s="75">
        <f t="shared" ref="K45" si="4">(F45*(273.15+D45)/273.15)/(M45*N45)</f>
        <v>0</v>
      </c>
      <c r="L45" s="17" t="s">
        <v>728</v>
      </c>
      <c r="M45" s="90">
        <f>VLOOKUP(L45,allgemein!$B$3:$C$11,2,FALSE)</f>
        <v>1</v>
      </c>
      <c r="N45" s="16">
        <v>25</v>
      </c>
      <c r="O45" s="22"/>
      <c r="P45" s="91" t="s">
        <v>858</v>
      </c>
      <c r="Q45" s="13"/>
      <c r="R45" s="6"/>
    </row>
    <row r="46" spans="2:18" x14ac:dyDescent="0.2">
      <c r="B46" s="22" t="s">
        <v>41</v>
      </c>
      <c r="C46" s="22" t="s">
        <v>41</v>
      </c>
      <c r="D46" s="88">
        <v>36.299999999999997</v>
      </c>
      <c r="E46" s="88">
        <v>8.1</v>
      </c>
      <c r="F46" s="89"/>
      <c r="G46" s="17"/>
      <c r="H46" s="17">
        <v>1.94</v>
      </c>
      <c r="I46" s="17">
        <v>1.931</v>
      </c>
      <c r="J46" s="74">
        <f t="shared" ref="J46" si="5">H46-I46</f>
        <v>8.999999999999897E-3</v>
      </c>
      <c r="K46" s="75">
        <f t="shared" ref="K46" si="6">(F46*(273.15+D46)/273.15)/(M46*N46)</f>
        <v>0</v>
      </c>
      <c r="L46" s="17" t="s">
        <v>728</v>
      </c>
      <c r="M46" s="90">
        <f>VLOOKUP(L46,allgemein!$B$3:$C$11,2,FALSE)</f>
        <v>1</v>
      </c>
      <c r="N46" s="16">
        <v>25</v>
      </c>
      <c r="O46" s="22"/>
      <c r="P46" s="17" t="s">
        <v>41</v>
      </c>
      <c r="Q46" s="13"/>
      <c r="R46" s="6"/>
    </row>
    <row r="47" spans="2:18" x14ac:dyDescent="0.2">
      <c r="B47" s="22" t="s">
        <v>41</v>
      </c>
      <c r="C47" s="22" t="s">
        <v>41</v>
      </c>
      <c r="D47" s="88">
        <v>26.9</v>
      </c>
      <c r="E47" s="88">
        <v>0.5</v>
      </c>
      <c r="F47" s="89"/>
      <c r="G47" s="17"/>
      <c r="H47" s="17">
        <v>1.9159999999999999</v>
      </c>
      <c r="I47" s="17">
        <v>1.911</v>
      </c>
      <c r="J47" s="74">
        <f t="shared" ref="J47" si="7">H47-I47</f>
        <v>4.9999999999998934E-3</v>
      </c>
      <c r="K47" s="75">
        <f t="shared" ref="K47" si="8">(F47*(273.15+D47)/273.15)/(M47*N47)</f>
        <v>0</v>
      </c>
      <c r="L47" s="17" t="s">
        <v>728</v>
      </c>
      <c r="M47" s="90">
        <f>VLOOKUP(L47,allgemein!$B$3:$C$11,2,FALSE)</f>
        <v>1</v>
      </c>
      <c r="N47" s="16">
        <v>25</v>
      </c>
      <c r="O47" s="22"/>
      <c r="P47" s="91" t="s">
        <v>859</v>
      </c>
      <c r="Q47" s="13"/>
      <c r="R47" s="6"/>
    </row>
    <row r="48" spans="2:18" x14ac:dyDescent="0.2">
      <c r="B48" s="22" t="s">
        <v>41</v>
      </c>
      <c r="C48" s="22" t="s">
        <v>827</v>
      </c>
      <c r="D48" s="88">
        <v>25.5</v>
      </c>
      <c r="E48" s="88">
        <v>0.3</v>
      </c>
      <c r="F48" s="89"/>
      <c r="G48" s="17"/>
      <c r="H48" s="17">
        <v>1.901</v>
      </c>
      <c r="I48" s="17">
        <v>1.889</v>
      </c>
      <c r="J48" s="74">
        <f t="shared" ref="J48" si="9">H48-I48</f>
        <v>1.2000000000000011E-2</v>
      </c>
      <c r="K48" s="75">
        <f t="shared" ref="K48" si="10">(F48*(273.15+D48)/273.15)/(M48*N48)</f>
        <v>0</v>
      </c>
      <c r="L48" s="17" t="s">
        <v>728</v>
      </c>
      <c r="M48" s="90">
        <f>VLOOKUP(L48,allgemein!$B$3:$C$11,2,FALSE)</f>
        <v>1</v>
      </c>
      <c r="N48" s="16">
        <v>25</v>
      </c>
      <c r="O48" s="22"/>
      <c r="P48" s="17" t="s">
        <v>881</v>
      </c>
      <c r="Q48" s="13"/>
      <c r="R48" s="6"/>
    </row>
    <row r="49" spans="1:50" x14ac:dyDescent="0.2">
      <c r="B49" s="13" t="s">
        <v>822</v>
      </c>
      <c r="C49" s="13" t="s">
        <v>41</v>
      </c>
      <c r="D49" s="70">
        <v>28.3</v>
      </c>
      <c r="E49" s="70">
        <v>0.3</v>
      </c>
      <c r="F49" s="71"/>
      <c r="G49" s="15"/>
      <c r="H49" s="15">
        <v>1.877</v>
      </c>
      <c r="I49" s="15">
        <v>1.8580000000000001</v>
      </c>
      <c r="J49" s="74">
        <f t="shared" si="0"/>
        <v>1.8999999999999906E-2</v>
      </c>
      <c r="K49" s="75">
        <f t="shared" si="1"/>
        <v>0</v>
      </c>
      <c r="L49" s="17" t="s">
        <v>728</v>
      </c>
      <c r="M49" s="90">
        <f>VLOOKUP(L49,allgemein!$B$3:$C$11,2,FALSE)</f>
        <v>1</v>
      </c>
      <c r="N49" s="16">
        <v>25</v>
      </c>
      <c r="O49" s="22" t="s">
        <v>41</v>
      </c>
      <c r="P49" s="91"/>
      <c r="Q49" s="13"/>
      <c r="R49" s="6"/>
    </row>
    <row r="50" spans="1:50" x14ac:dyDescent="0.2">
      <c r="B50" s="13" t="s">
        <v>823</v>
      </c>
      <c r="C50" s="13" t="s">
        <v>41</v>
      </c>
      <c r="D50" s="70">
        <v>28.3</v>
      </c>
      <c r="E50" s="70">
        <v>0.2</v>
      </c>
      <c r="F50" s="71"/>
      <c r="G50" s="15"/>
      <c r="H50" s="15">
        <v>1.8939999999999999</v>
      </c>
      <c r="I50" s="15">
        <v>1.8759999999999999</v>
      </c>
      <c r="J50" s="74">
        <f t="shared" si="0"/>
        <v>1.8000000000000016E-2</v>
      </c>
      <c r="K50" s="75">
        <f t="shared" si="1"/>
        <v>0</v>
      </c>
      <c r="L50" s="15" t="s">
        <v>728</v>
      </c>
      <c r="M50" s="72">
        <f>VLOOKUP(L50,allgemein!$B$3:$C$11,2,FALSE)</f>
        <v>1</v>
      </c>
      <c r="N50" s="14">
        <v>25</v>
      </c>
      <c r="O50" s="13" t="s">
        <v>41</v>
      </c>
      <c r="P50" s="21" t="s">
        <v>816</v>
      </c>
      <c r="Q50" s="13"/>
      <c r="R50" s="6"/>
    </row>
    <row r="51" spans="1:50" x14ac:dyDescent="0.2">
      <c r="B51" s="13" t="s">
        <v>824</v>
      </c>
      <c r="C51" s="13" t="s">
        <v>41</v>
      </c>
      <c r="D51" s="70">
        <v>28.4</v>
      </c>
      <c r="E51" s="70">
        <v>0.2</v>
      </c>
      <c r="F51" s="71"/>
      <c r="G51" s="15"/>
      <c r="H51" s="15">
        <v>1.889</v>
      </c>
      <c r="I51" s="15">
        <v>1.869</v>
      </c>
      <c r="J51" s="74">
        <f t="shared" si="0"/>
        <v>2.0000000000000018E-2</v>
      </c>
      <c r="K51" s="75">
        <f t="shared" si="1"/>
        <v>0</v>
      </c>
      <c r="L51" s="15" t="s">
        <v>728</v>
      </c>
      <c r="M51" s="72">
        <f>VLOOKUP(L51,allgemein!$B$3:$C$11,2,FALSE)</f>
        <v>1</v>
      </c>
      <c r="N51" s="14">
        <v>25</v>
      </c>
      <c r="O51" s="13" t="s">
        <v>41</v>
      </c>
      <c r="P51" s="21"/>
      <c r="Q51" s="13"/>
      <c r="R51" s="6"/>
    </row>
    <row r="52" spans="1:50" x14ac:dyDescent="0.2">
      <c r="B52" s="13" t="s">
        <v>825</v>
      </c>
      <c r="C52" s="13" t="s">
        <v>41</v>
      </c>
      <c r="D52" s="70">
        <v>28.4</v>
      </c>
      <c r="E52" s="70">
        <v>0.2</v>
      </c>
      <c r="F52" s="71"/>
      <c r="G52" s="15"/>
      <c r="H52" s="15">
        <v>1.879</v>
      </c>
      <c r="I52" s="15">
        <v>1.8620000000000001</v>
      </c>
      <c r="J52" s="74">
        <f t="shared" si="0"/>
        <v>1.6999999999999904E-2</v>
      </c>
      <c r="K52" s="75">
        <f t="shared" si="1"/>
        <v>0</v>
      </c>
      <c r="L52" s="15" t="s">
        <v>728</v>
      </c>
      <c r="M52" s="72">
        <f>VLOOKUP(L52,allgemein!$B$3:$C$11,2,FALSE)</f>
        <v>1</v>
      </c>
      <c r="N52" s="14">
        <v>25</v>
      </c>
      <c r="O52" s="13" t="s">
        <v>41</v>
      </c>
      <c r="P52" s="21"/>
      <c r="Q52" s="13"/>
      <c r="R52" s="6"/>
    </row>
    <row r="53" spans="1:50" x14ac:dyDescent="0.2">
      <c r="B53" s="13" t="s">
        <v>826</v>
      </c>
      <c r="C53" s="13" t="s">
        <v>41</v>
      </c>
      <c r="D53" s="70">
        <v>28.4</v>
      </c>
      <c r="E53" s="70">
        <v>0.4</v>
      </c>
      <c r="F53" s="71"/>
      <c r="G53" s="15"/>
      <c r="H53" s="15">
        <v>1.907</v>
      </c>
      <c r="I53" s="15">
        <v>1.889</v>
      </c>
      <c r="J53" s="74">
        <f t="shared" si="0"/>
        <v>1.8000000000000016E-2</v>
      </c>
      <c r="K53" s="75">
        <f t="shared" si="1"/>
        <v>0</v>
      </c>
      <c r="L53" s="15" t="s">
        <v>728</v>
      </c>
      <c r="M53" s="72">
        <f>VLOOKUP(L53,allgemein!$B$3:$C$11,2,FALSE)</f>
        <v>1</v>
      </c>
      <c r="N53" s="14">
        <v>25</v>
      </c>
      <c r="O53" s="13" t="s">
        <v>41</v>
      </c>
      <c r="P53" s="21"/>
      <c r="Q53" s="13"/>
      <c r="R53" s="6"/>
    </row>
    <row r="54" spans="1:50" x14ac:dyDescent="0.2">
      <c r="B54" s="13" t="s">
        <v>829</v>
      </c>
      <c r="C54" s="13" t="s">
        <v>41</v>
      </c>
      <c r="D54" s="70">
        <v>26.5</v>
      </c>
      <c r="E54" s="70">
        <v>0.2</v>
      </c>
      <c r="F54" s="71"/>
      <c r="G54" s="15"/>
      <c r="H54" s="15">
        <v>1.8879999999999999</v>
      </c>
      <c r="I54" s="15">
        <v>1.871</v>
      </c>
      <c r="J54" s="74">
        <f t="shared" ref="J54:J63" si="11">H54-I54</f>
        <v>1.6999999999999904E-2</v>
      </c>
      <c r="K54" s="75">
        <f t="shared" ref="K54:K63" si="12">(F54*(273.15+D54)/273.15)/(M54*N54)</f>
        <v>0</v>
      </c>
      <c r="L54" s="15" t="s">
        <v>728</v>
      </c>
      <c r="M54" s="72">
        <f>VLOOKUP(L54,allgemein!$B$3:$C$11,2,FALSE)</f>
        <v>1</v>
      </c>
      <c r="N54" s="14">
        <v>25</v>
      </c>
      <c r="O54" s="13" t="s">
        <v>41</v>
      </c>
      <c r="P54" s="21"/>
      <c r="Q54" s="23"/>
      <c r="R54" s="6"/>
    </row>
    <row r="55" spans="1:50" x14ac:dyDescent="0.2">
      <c r="B55" s="13" t="s">
        <v>830</v>
      </c>
      <c r="C55" s="13" t="s">
        <v>41</v>
      </c>
      <c r="D55" s="70">
        <v>26.6</v>
      </c>
      <c r="E55" s="70">
        <v>0.1</v>
      </c>
      <c r="F55" s="71"/>
      <c r="G55" s="15"/>
      <c r="H55" s="15">
        <v>1.895</v>
      </c>
      <c r="I55" s="15">
        <v>1.88</v>
      </c>
      <c r="J55" s="74">
        <f t="shared" si="11"/>
        <v>1.5000000000000124E-2</v>
      </c>
      <c r="K55" s="75">
        <f t="shared" si="12"/>
        <v>0</v>
      </c>
      <c r="L55" s="15" t="s">
        <v>728</v>
      </c>
      <c r="M55" s="72">
        <f>VLOOKUP(L55,allgemein!$B$3:$C$11,2,FALSE)</f>
        <v>1</v>
      </c>
      <c r="N55" s="14">
        <v>25</v>
      </c>
      <c r="O55" s="13" t="s">
        <v>41</v>
      </c>
      <c r="P55" s="21"/>
      <c r="Q55" s="13"/>
      <c r="R55" s="6"/>
    </row>
    <row r="56" spans="1:50" x14ac:dyDescent="0.2">
      <c r="B56" s="13" t="s">
        <v>831</v>
      </c>
      <c r="C56" s="13" t="s">
        <v>41</v>
      </c>
      <c r="D56" s="70">
        <v>26.8</v>
      </c>
      <c r="E56" s="70">
        <v>0.2</v>
      </c>
      <c r="F56" s="71"/>
      <c r="G56" s="15"/>
      <c r="H56" s="15">
        <v>1.893</v>
      </c>
      <c r="I56" s="15">
        <v>1.8759999999999999</v>
      </c>
      <c r="J56" s="74">
        <f t="shared" si="11"/>
        <v>1.7000000000000126E-2</v>
      </c>
      <c r="K56" s="75">
        <f t="shared" si="12"/>
        <v>0</v>
      </c>
      <c r="L56" s="15" t="s">
        <v>728</v>
      </c>
      <c r="M56" s="72">
        <f>VLOOKUP(L56,allgemein!$B$3:$C$11,2,FALSE)</f>
        <v>1</v>
      </c>
      <c r="N56" s="14">
        <v>25</v>
      </c>
      <c r="O56" s="13" t="s">
        <v>41</v>
      </c>
      <c r="P56" s="21"/>
      <c r="Q56" s="13"/>
      <c r="R56" s="6"/>
    </row>
    <row r="57" spans="1:50" x14ac:dyDescent="0.2">
      <c r="B57" s="13" t="s">
        <v>832</v>
      </c>
      <c r="C57" s="13" t="s">
        <v>41</v>
      </c>
      <c r="D57" s="70">
        <v>26.9</v>
      </c>
      <c r="E57" s="70">
        <v>0.3</v>
      </c>
      <c r="F57" s="71"/>
      <c r="G57" s="15"/>
      <c r="H57" s="15">
        <v>1.8879999999999999</v>
      </c>
      <c r="I57" s="15">
        <v>1.87</v>
      </c>
      <c r="J57" s="74">
        <f t="shared" si="11"/>
        <v>1.7999999999999794E-2</v>
      </c>
      <c r="K57" s="75">
        <f t="shared" si="12"/>
        <v>0</v>
      </c>
      <c r="L57" s="15" t="s">
        <v>728</v>
      </c>
      <c r="M57" s="72">
        <f>VLOOKUP(L57,allgemein!$B$3:$C$11,2,FALSE)</f>
        <v>1</v>
      </c>
      <c r="N57" s="14">
        <v>25</v>
      </c>
      <c r="O57" s="13" t="s">
        <v>41</v>
      </c>
      <c r="P57" s="21"/>
      <c r="Q57" s="13"/>
      <c r="R57" s="6"/>
    </row>
    <row r="58" spans="1:50" x14ac:dyDescent="0.2">
      <c r="B58" s="13" t="s">
        <v>833</v>
      </c>
      <c r="C58" s="13" t="s">
        <v>41</v>
      </c>
      <c r="D58" s="70">
        <v>27</v>
      </c>
      <c r="E58" s="70">
        <v>0.2</v>
      </c>
      <c r="F58" s="71"/>
      <c r="G58" s="15"/>
      <c r="H58" s="15">
        <v>1.9019999999999999</v>
      </c>
      <c r="I58" s="15">
        <v>1.8859999999999999</v>
      </c>
      <c r="J58" s="74">
        <f t="shared" si="11"/>
        <v>1.6000000000000014E-2</v>
      </c>
      <c r="K58" s="75">
        <f t="shared" si="12"/>
        <v>0</v>
      </c>
      <c r="L58" s="15" t="s">
        <v>728</v>
      </c>
      <c r="M58" s="72">
        <f>VLOOKUP(L58,allgemein!$B$3:$C$11,2,FALSE)</f>
        <v>1</v>
      </c>
      <c r="N58" s="14">
        <v>25</v>
      </c>
      <c r="O58" s="13" t="s">
        <v>41</v>
      </c>
      <c r="P58" s="21"/>
      <c r="Q58" s="13"/>
      <c r="R58" s="6"/>
    </row>
    <row r="59" spans="1:50" x14ac:dyDescent="0.2">
      <c r="B59" s="13" t="s">
        <v>834</v>
      </c>
      <c r="C59" s="13" t="s">
        <v>41</v>
      </c>
      <c r="D59" s="70">
        <v>27</v>
      </c>
      <c r="E59" s="70">
        <v>0.1</v>
      </c>
      <c r="F59" s="71"/>
      <c r="G59" s="15"/>
      <c r="H59" s="15">
        <v>1.883</v>
      </c>
      <c r="I59" s="15">
        <v>1.869</v>
      </c>
      <c r="J59" s="74">
        <f t="shared" si="11"/>
        <v>1.4000000000000012E-2</v>
      </c>
      <c r="K59" s="75">
        <f t="shared" si="12"/>
        <v>0</v>
      </c>
      <c r="L59" s="15" t="s">
        <v>728</v>
      </c>
      <c r="M59" s="72">
        <f>VLOOKUP(L59,allgemein!$B$3:$C$11,2,FALSE)</f>
        <v>1</v>
      </c>
      <c r="N59" s="14">
        <v>25</v>
      </c>
      <c r="O59" s="13" t="s">
        <v>41</v>
      </c>
      <c r="P59" s="23"/>
      <c r="Q59" s="13"/>
      <c r="R59" s="6"/>
    </row>
    <row r="60" spans="1:50" x14ac:dyDescent="0.2">
      <c r="B60" s="13" t="s">
        <v>835</v>
      </c>
      <c r="C60" s="13" t="s">
        <v>41</v>
      </c>
      <c r="D60" s="70">
        <v>27.7</v>
      </c>
      <c r="E60" s="70">
        <v>0.6</v>
      </c>
      <c r="F60" s="71"/>
      <c r="G60" s="15"/>
      <c r="H60" s="15">
        <v>1.889</v>
      </c>
      <c r="I60" s="15">
        <v>1.88</v>
      </c>
      <c r="J60" s="74">
        <f t="shared" si="11"/>
        <v>9.000000000000119E-3</v>
      </c>
      <c r="K60" s="75">
        <f t="shared" si="12"/>
        <v>0</v>
      </c>
      <c r="L60" s="15" t="s">
        <v>728</v>
      </c>
      <c r="M60" s="72">
        <f>VLOOKUP(L60,allgemein!$B$3:$C$11,2,FALSE)</f>
        <v>1</v>
      </c>
      <c r="N60" s="14">
        <v>25</v>
      </c>
      <c r="O60" s="13" t="s">
        <v>41</v>
      </c>
      <c r="P60" s="21"/>
      <c r="Q60" s="13"/>
      <c r="R60" s="6"/>
    </row>
    <row r="61" spans="1:50" s="76" customFormat="1" x14ac:dyDescent="0.2">
      <c r="A61" s="80"/>
      <c r="B61" s="13" t="s">
        <v>836</v>
      </c>
      <c r="C61" s="13" t="s">
        <v>41</v>
      </c>
      <c r="D61" s="70">
        <v>27.6</v>
      </c>
      <c r="E61" s="70">
        <v>0.2</v>
      </c>
      <c r="F61" s="71"/>
      <c r="G61" s="15"/>
      <c r="H61" s="15">
        <v>1.883</v>
      </c>
      <c r="I61" s="15">
        <v>1.867</v>
      </c>
      <c r="J61" s="92">
        <f t="shared" si="11"/>
        <v>1.6000000000000014E-2</v>
      </c>
      <c r="K61" s="152">
        <f t="shared" si="12"/>
        <v>0</v>
      </c>
      <c r="L61" s="15" t="s">
        <v>728</v>
      </c>
      <c r="M61" s="72">
        <f>VLOOKUP(L61,allgemein!$B$3:$C$11,2,FALSE)</f>
        <v>1</v>
      </c>
      <c r="N61" s="14">
        <v>25</v>
      </c>
      <c r="O61" s="13" t="s">
        <v>41</v>
      </c>
      <c r="P61" s="23"/>
      <c r="Q61" s="13"/>
      <c r="R61" s="6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</row>
    <row r="62" spans="1:50" x14ac:dyDescent="0.2">
      <c r="B62" s="13" t="s">
        <v>837</v>
      </c>
      <c r="C62" s="13" t="s">
        <v>41</v>
      </c>
      <c r="D62" s="70">
        <v>27.6</v>
      </c>
      <c r="E62" s="70">
        <v>0.3</v>
      </c>
      <c r="F62" s="71"/>
      <c r="G62" s="15"/>
      <c r="H62" s="15">
        <v>1.909</v>
      </c>
      <c r="I62" s="15">
        <v>1.893</v>
      </c>
      <c r="J62" s="74">
        <f t="shared" si="11"/>
        <v>1.6000000000000014E-2</v>
      </c>
      <c r="K62" s="75">
        <f t="shared" si="12"/>
        <v>0</v>
      </c>
      <c r="L62" s="15" t="s">
        <v>728</v>
      </c>
      <c r="M62" s="72">
        <f>VLOOKUP(L62,allgemein!$B$3:$C$11,2,FALSE)</f>
        <v>1</v>
      </c>
      <c r="N62" s="14">
        <v>25</v>
      </c>
      <c r="O62" s="13" t="s">
        <v>41</v>
      </c>
      <c r="P62" s="21"/>
      <c r="Q62" s="13"/>
      <c r="R62" s="6"/>
    </row>
    <row r="63" spans="1:50" x14ac:dyDescent="0.2">
      <c r="B63" s="13" t="s">
        <v>838</v>
      </c>
      <c r="C63" s="13" t="s">
        <v>41</v>
      </c>
      <c r="D63" s="70">
        <v>27.7</v>
      </c>
      <c r="E63" s="70">
        <v>0.4</v>
      </c>
      <c r="F63" s="71"/>
      <c r="G63" s="15"/>
      <c r="H63" s="15">
        <v>1.901</v>
      </c>
      <c r="I63" s="15">
        <v>1.8859999999999999</v>
      </c>
      <c r="J63" s="74">
        <f t="shared" si="11"/>
        <v>1.5000000000000124E-2</v>
      </c>
      <c r="K63" s="75">
        <f t="shared" si="12"/>
        <v>0</v>
      </c>
      <c r="L63" s="15" t="s">
        <v>728</v>
      </c>
      <c r="M63" s="72">
        <f>VLOOKUP(L63,allgemein!$B$3:$C$11,2,FALSE)</f>
        <v>1</v>
      </c>
      <c r="N63" s="14">
        <v>25</v>
      </c>
      <c r="O63" s="13" t="s">
        <v>41</v>
      </c>
      <c r="P63" s="21"/>
      <c r="Q63" s="13"/>
      <c r="R63" s="6"/>
    </row>
    <row r="64" spans="1:50" x14ac:dyDescent="0.2">
      <c r="B64" s="13" t="s">
        <v>840</v>
      </c>
      <c r="C64" s="13" t="s">
        <v>41</v>
      </c>
      <c r="D64" s="70">
        <v>27.8</v>
      </c>
      <c r="E64" s="70">
        <v>0.3</v>
      </c>
      <c r="F64" s="71"/>
      <c r="G64" s="15"/>
      <c r="H64" s="15">
        <v>1.91</v>
      </c>
      <c r="I64" s="15">
        <v>1.893</v>
      </c>
      <c r="J64" s="74">
        <f t="shared" ref="J64:J66" si="13">H64-I64</f>
        <v>1.6999999999999904E-2</v>
      </c>
      <c r="K64" s="75">
        <f t="shared" ref="K64:K66" si="14">(F64*(273.15+D64)/273.15)/(M64*N64)</f>
        <v>0</v>
      </c>
      <c r="L64" s="15" t="s">
        <v>728</v>
      </c>
      <c r="M64" s="72">
        <f>VLOOKUP(L64,allgemein!$B$3:$C$11,2,FALSE)</f>
        <v>1</v>
      </c>
      <c r="N64" s="14">
        <v>25</v>
      </c>
      <c r="O64" s="13" t="s">
        <v>41</v>
      </c>
      <c r="Q64" s="13"/>
      <c r="R64" s="6"/>
    </row>
    <row r="65" spans="2:18" x14ac:dyDescent="0.2">
      <c r="B65" s="13" t="s">
        <v>841</v>
      </c>
      <c r="C65" s="13" t="s">
        <v>41</v>
      </c>
      <c r="D65" s="70">
        <v>27.7</v>
      </c>
      <c r="E65" s="70">
        <v>0.2</v>
      </c>
      <c r="F65" s="71"/>
      <c r="G65" s="15"/>
      <c r="H65" s="15">
        <v>1.907</v>
      </c>
      <c r="I65" s="15">
        <v>1.889</v>
      </c>
      <c r="J65" s="74">
        <f t="shared" si="13"/>
        <v>1.8000000000000016E-2</v>
      </c>
      <c r="K65" s="75">
        <f t="shared" si="14"/>
        <v>0</v>
      </c>
      <c r="L65" s="15" t="s">
        <v>728</v>
      </c>
      <c r="M65" s="72">
        <f>VLOOKUP(L65,allgemein!$B$3:$C$11,2,FALSE)</f>
        <v>1</v>
      </c>
      <c r="N65" s="14">
        <v>25</v>
      </c>
      <c r="O65" s="13" t="s">
        <v>41</v>
      </c>
      <c r="P65" s="21"/>
      <c r="Q65" s="13"/>
      <c r="R65" s="6"/>
    </row>
    <row r="66" spans="2:18" x14ac:dyDescent="0.2">
      <c r="B66" s="13" t="s">
        <v>842</v>
      </c>
      <c r="C66" s="13" t="s">
        <v>843</v>
      </c>
      <c r="D66" s="70">
        <v>27.9</v>
      </c>
      <c r="E66" s="70">
        <v>0.3</v>
      </c>
      <c r="F66" s="71"/>
      <c r="G66" s="15"/>
      <c r="H66" s="15">
        <v>1.897</v>
      </c>
      <c r="I66" s="15">
        <v>1.8859999999999999</v>
      </c>
      <c r="J66" s="74">
        <f t="shared" si="13"/>
        <v>1.1000000000000121E-2</v>
      </c>
      <c r="K66" s="75">
        <f t="shared" si="14"/>
        <v>0</v>
      </c>
      <c r="L66" s="15" t="s">
        <v>728</v>
      </c>
      <c r="M66" s="72">
        <f>VLOOKUP(L66,allgemein!$B$3:$C$11,2,FALSE)</f>
        <v>1</v>
      </c>
      <c r="N66" s="14">
        <v>25</v>
      </c>
      <c r="O66" s="13" t="s">
        <v>41</v>
      </c>
      <c r="P66" s="23"/>
      <c r="Q66" s="13"/>
      <c r="R66" s="6"/>
    </row>
    <row r="67" spans="2:18" x14ac:dyDescent="0.2">
      <c r="B67" s="13" t="s">
        <v>844</v>
      </c>
      <c r="C67" s="13" t="s">
        <v>41</v>
      </c>
      <c r="D67" s="70">
        <v>29.5</v>
      </c>
      <c r="E67" s="70">
        <v>0.9</v>
      </c>
      <c r="F67" s="71"/>
      <c r="G67" s="81"/>
      <c r="H67" s="15">
        <v>1.8580000000000001</v>
      </c>
      <c r="I67" s="15">
        <v>1.8460000000000001</v>
      </c>
      <c r="J67" s="74">
        <f t="shared" ref="J67:J79" si="15">H67-I67</f>
        <v>1.2000000000000011E-2</v>
      </c>
      <c r="K67" s="75">
        <f t="shared" ref="K67:K79" si="16">(F67*(273.15+D67)/273.15)/(M67*N67)</f>
        <v>0</v>
      </c>
      <c r="L67" s="15" t="s">
        <v>728</v>
      </c>
      <c r="M67" s="72">
        <f>VLOOKUP(L67,allgemein!$B$3:$C$11,2,FALSE)</f>
        <v>1</v>
      </c>
      <c r="N67" s="14">
        <v>25</v>
      </c>
      <c r="O67" s="13" t="s">
        <v>41</v>
      </c>
      <c r="P67" s="21"/>
      <c r="Q67" s="13"/>
      <c r="R67" s="6"/>
    </row>
    <row r="68" spans="2:18" x14ac:dyDescent="0.2">
      <c r="B68" s="13" t="s">
        <v>845</v>
      </c>
      <c r="C68" s="13" t="s">
        <v>41</v>
      </c>
      <c r="D68" s="70">
        <v>29.1</v>
      </c>
      <c r="E68" s="70">
        <v>0.8</v>
      </c>
      <c r="F68" s="71"/>
      <c r="G68" s="81"/>
      <c r="H68" s="15">
        <v>1.855</v>
      </c>
      <c r="I68" s="15">
        <v>1.8440000000000001</v>
      </c>
      <c r="J68" s="74">
        <f t="shared" si="15"/>
        <v>1.0999999999999899E-2</v>
      </c>
      <c r="K68" s="75">
        <f t="shared" si="16"/>
        <v>0</v>
      </c>
      <c r="L68" s="15" t="s">
        <v>728</v>
      </c>
      <c r="M68" s="72">
        <f>VLOOKUP(L68,allgemein!$B$3:$C$11,2,FALSE)</f>
        <v>1</v>
      </c>
      <c r="N68" s="14">
        <v>25</v>
      </c>
      <c r="O68" s="13" t="s">
        <v>41</v>
      </c>
      <c r="P68" s="23"/>
      <c r="Q68" s="13"/>
      <c r="R68" s="6"/>
    </row>
    <row r="69" spans="2:18" x14ac:dyDescent="0.2">
      <c r="B69" s="13" t="s">
        <v>846</v>
      </c>
      <c r="C69" s="13" t="s">
        <v>41</v>
      </c>
      <c r="D69" s="70">
        <v>29.1</v>
      </c>
      <c r="E69" s="70">
        <v>0.7</v>
      </c>
      <c r="F69" s="71"/>
      <c r="G69" s="81"/>
      <c r="H69" s="15">
        <v>1.871</v>
      </c>
      <c r="I69" s="15">
        <v>1.8580000000000001</v>
      </c>
      <c r="J69" s="74">
        <f t="shared" si="15"/>
        <v>1.2999999999999901E-2</v>
      </c>
      <c r="K69" s="75">
        <f t="shared" si="16"/>
        <v>0</v>
      </c>
      <c r="L69" s="15" t="s">
        <v>728</v>
      </c>
      <c r="M69" s="72">
        <f>VLOOKUP(L69,allgemein!$B$3:$C$11,2,FALSE)</f>
        <v>1</v>
      </c>
      <c r="N69" s="14">
        <v>25</v>
      </c>
      <c r="O69" s="13" t="s">
        <v>41</v>
      </c>
      <c r="P69" s="23"/>
      <c r="Q69" s="13"/>
      <c r="R69" s="6"/>
    </row>
    <row r="70" spans="2:18" x14ac:dyDescent="0.2">
      <c r="B70" s="13" t="s">
        <v>847</v>
      </c>
      <c r="C70" s="13" t="s">
        <v>41</v>
      </c>
      <c r="D70" s="70">
        <v>28.9</v>
      </c>
      <c r="E70" s="70">
        <v>0.5</v>
      </c>
      <c r="F70" s="71"/>
      <c r="G70" s="81"/>
      <c r="H70" s="15">
        <v>1.8879999999999999</v>
      </c>
      <c r="I70" s="15">
        <v>1.8740000000000001</v>
      </c>
      <c r="J70" s="74">
        <f t="shared" si="15"/>
        <v>1.399999999999979E-2</v>
      </c>
      <c r="K70" s="75">
        <f t="shared" si="16"/>
        <v>0</v>
      </c>
      <c r="L70" s="15" t="s">
        <v>728</v>
      </c>
      <c r="M70" s="72">
        <f>VLOOKUP(L70,allgemein!$B$3:$C$11,2,FALSE)</f>
        <v>1</v>
      </c>
      <c r="N70" s="14">
        <v>25</v>
      </c>
      <c r="O70" s="13" t="s">
        <v>41</v>
      </c>
      <c r="P70" s="23" t="s">
        <v>857</v>
      </c>
      <c r="Q70" s="13"/>
      <c r="R70" s="6"/>
    </row>
    <row r="71" spans="2:18" x14ac:dyDescent="0.2">
      <c r="B71" s="13" t="s">
        <v>848</v>
      </c>
      <c r="C71" s="13" t="s">
        <v>41</v>
      </c>
      <c r="D71" s="70">
        <v>28.9</v>
      </c>
      <c r="E71" s="70">
        <v>0.6</v>
      </c>
      <c r="F71" s="71"/>
      <c r="G71" s="81"/>
      <c r="H71" s="15">
        <v>1.893</v>
      </c>
      <c r="I71" s="15">
        <v>1.88</v>
      </c>
      <c r="J71" s="74">
        <f t="shared" si="15"/>
        <v>1.3000000000000123E-2</v>
      </c>
      <c r="K71" s="75">
        <f t="shared" si="16"/>
        <v>0</v>
      </c>
      <c r="L71" s="15" t="s">
        <v>728</v>
      </c>
      <c r="M71" s="72">
        <f>VLOOKUP(L71,allgemein!$B$3:$C$11,2,FALSE)</f>
        <v>1</v>
      </c>
      <c r="N71" s="14">
        <v>25</v>
      </c>
      <c r="O71" s="13" t="s">
        <v>41</v>
      </c>
      <c r="P71" s="85"/>
      <c r="Q71" s="6"/>
      <c r="R71" s="6"/>
    </row>
    <row r="72" spans="2:18" x14ac:dyDescent="0.2">
      <c r="B72" s="13" t="s">
        <v>849</v>
      </c>
      <c r="C72" s="13" t="s">
        <v>41</v>
      </c>
      <c r="D72" s="70">
        <v>28.8</v>
      </c>
      <c r="E72" s="70">
        <v>0.4</v>
      </c>
      <c r="F72" s="71"/>
      <c r="G72" s="81"/>
      <c r="H72" s="15">
        <v>1.885</v>
      </c>
      <c r="I72" s="15">
        <v>1.8720000000000001</v>
      </c>
      <c r="J72" s="74">
        <f t="shared" si="15"/>
        <v>1.2999999999999901E-2</v>
      </c>
      <c r="K72" s="75">
        <f t="shared" si="16"/>
        <v>0</v>
      </c>
      <c r="L72" s="15" t="s">
        <v>728</v>
      </c>
      <c r="M72" s="72">
        <f>VLOOKUP(L72,allgemein!$B$3:$C$11,2,FALSE)</f>
        <v>1</v>
      </c>
      <c r="N72" s="14">
        <v>25</v>
      </c>
      <c r="O72" s="13" t="s">
        <v>41</v>
      </c>
      <c r="P72" s="85"/>
      <c r="Q72" s="6"/>
      <c r="R72" s="6"/>
    </row>
    <row r="73" spans="2:18" x14ac:dyDescent="0.2">
      <c r="B73" s="13" t="s">
        <v>850</v>
      </c>
      <c r="C73" s="13" t="s">
        <v>41</v>
      </c>
      <c r="D73" s="70">
        <v>28.8</v>
      </c>
      <c r="E73" s="70">
        <v>0.3</v>
      </c>
      <c r="F73" s="71"/>
      <c r="G73" s="81"/>
      <c r="H73" s="15">
        <v>1.8839999999999999</v>
      </c>
      <c r="I73" s="15">
        <v>1.8720000000000001</v>
      </c>
      <c r="J73" s="74">
        <f t="shared" si="15"/>
        <v>1.1999999999999789E-2</v>
      </c>
      <c r="K73" s="75">
        <f t="shared" si="16"/>
        <v>0</v>
      </c>
      <c r="L73" s="15" t="s">
        <v>728</v>
      </c>
      <c r="M73" s="72">
        <f>VLOOKUP(L73,allgemein!$B$3:$C$11,2,FALSE)</f>
        <v>1</v>
      </c>
      <c r="N73" s="14">
        <v>25</v>
      </c>
      <c r="O73" s="13" t="s">
        <v>41</v>
      </c>
      <c r="P73" s="85"/>
      <c r="Q73" s="6"/>
      <c r="R73" s="6"/>
    </row>
    <row r="74" spans="2:18" x14ac:dyDescent="0.2">
      <c r="B74" s="13" t="s">
        <v>851</v>
      </c>
      <c r="C74" s="13" t="s">
        <v>41</v>
      </c>
      <c r="D74" s="70">
        <v>28.9</v>
      </c>
      <c r="E74" s="70">
        <v>0.4</v>
      </c>
      <c r="F74" s="71"/>
      <c r="G74" s="81"/>
      <c r="H74" s="15">
        <v>1.883</v>
      </c>
      <c r="I74" s="15">
        <v>1.875</v>
      </c>
      <c r="J74" s="74">
        <f t="shared" si="15"/>
        <v>8.0000000000000071E-3</v>
      </c>
      <c r="K74" s="75">
        <f t="shared" si="16"/>
        <v>0</v>
      </c>
      <c r="L74" s="15" t="s">
        <v>728</v>
      </c>
      <c r="M74" s="72">
        <f>VLOOKUP(L74,allgemein!$B$3:$C$11,2,FALSE)</f>
        <v>1</v>
      </c>
      <c r="N74" s="14">
        <v>25</v>
      </c>
      <c r="O74" s="13" t="s">
        <v>862</v>
      </c>
      <c r="P74" s="85"/>
      <c r="Q74" s="6"/>
      <c r="R74" s="6"/>
    </row>
    <row r="75" spans="2:18" x14ac:dyDescent="0.2">
      <c r="B75" s="13" t="s">
        <v>852</v>
      </c>
      <c r="C75" s="13" t="s">
        <v>41</v>
      </c>
      <c r="D75" s="70">
        <v>25.6</v>
      </c>
      <c r="E75" s="70">
        <v>0.3</v>
      </c>
      <c r="F75" s="71"/>
      <c r="G75" s="81"/>
      <c r="H75" s="15">
        <v>1.8939999999999999</v>
      </c>
      <c r="I75" s="15">
        <v>1.8859999999999999</v>
      </c>
      <c r="J75" s="74">
        <f t="shared" si="15"/>
        <v>8.0000000000000071E-3</v>
      </c>
      <c r="K75" s="75">
        <f t="shared" si="16"/>
        <v>0</v>
      </c>
      <c r="L75" s="15" t="s">
        <v>728</v>
      </c>
      <c r="M75" s="72">
        <f>VLOOKUP(L75,allgemein!$B$3:$C$11,2,FALSE)</f>
        <v>1</v>
      </c>
      <c r="N75" s="14">
        <v>25</v>
      </c>
      <c r="O75" s="13" t="s">
        <v>41</v>
      </c>
      <c r="P75" s="85"/>
      <c r="Q75" s="6"/>
      <c r="R75" s="6"/>
    </row>
    <row r="76" spans="2:18" x14ac:dyDescent="0.2">
      <c r="B76" s="13" t="s">
        <v>853</v>
      </c>
      <c r="C76" s="13" t="s">
        <v>41</v>
      </c>
      <c r="D76" s="70">
        <v>25.5</v>
      </c>
      <c r="E76" s="70">
        <v>0.2</v>
      </c>
      <c r="F76" s="71"/>
      <c r="G76" s="81"/>
      <c r="H76" s="15">
        <v>1.899</v>
      </c>
      <c r="I76" s="15">
        <v>1.8879999999999999</v>
      </c>
      <c r="J76" s="74">
        <f t="shared" si="15"/>
        <v>1.1000000000000121E-2</v>
      </c>
      <c r="K76" s="75">
        <f t="shared" si="16"/>
        <v>0</v>
      </c>
      <c r="L76" s="15" t="s">
        <v>728</v>
      </c>
      <c r="M76" s="72">
        <f>VLOOKUP(L76,allgemein!$B$3:$C$11,2,FALSE)</f>
        <v>1</v>
      </c>
      <c r="N76" s="14">
        <v>25</v>
      </c>
      <c r="O76" s="13" t="s">
        <v>41</v>
      </c>
      <c r="P76" s="85"/>
      <c r="Q76" s="6"/>
      <c r="R76" s="6"/>
    </row>
    <row r="77" spans="2:18" x14ac:dyDescent="0.2">
      <c r="B77" s="13" t="s">
        <v>854</v>
      </c>
      <c r="C77" s="13" t="s">
        <v>41</v>
      </c>
      <c r="D77" s="70">
        <v>25.6</v>
      </c>
      <c r="E77" s="70">
        <v>0.3</v>
      </c>
      <c r="F77" s="71"/>
      <c r="G77" s="81"/>
      <c r="H77" s="15">
        <v>1.9019999999999999</v>
      </c>
      <c r="I77" s="15">
        <v>1.893</v>
      </c>
      <c r="J77" s="74">
        <f t="shared" si="15"/>
        <v>8.999999999999897E-3</v>
      </c>
      <c r="K77" s="75">
        <f t="shared" si="16"/>
        <v>0</v>
      </c>
      <c r="L77" s="15" t="s">
        <v>728</v>
      </c>
      <c r="M77" s="72">
        <f>VLOOKUP(L77,allgemein!$B$3:$C$11,2,FALSE)</f>
        <v>1</v>
      </c>
      <c r="N77" s="14">
        <v>25</v>
      </c>
      <c r="O77" s="13" t="s">
        <v>41</v>
      </c>
      <c r="P77" s="85"/>
      <c r="Q77" s="6"/>
      <c r="R77" s="6"/>
    </row>
    <row r="78" spans="2:18" x14ac:dyDescent="0.2">
      <c r="B78" s="13" t="s">
        <v>855</v>
      </c>
      <c r="C78" s="13" t="s">
        <v>41</v>
      </c>
      <c r="D78" s="70">
        <v>25.5</v>
      </c>
      <c r="E78" s="70">
        <v>0.3</v>
      </c>
      <c r="F78" s="71"/>
      <c r="G78" s="81"/>
      <c r="H78" s="15">
        <v>1.893</v>
      </c>
      <c r="I78" s="15">
        <v>1.883</v>
      </c>
      <c r="J78" s="74">
        <f t="shared" si="15"/>
        <v>1.0000000000000009E-2</v>
      </c>
      <c r="K78" s="75">
        <f t="shared" si="16"/>
        <v>0</v>
      </c>
      <c r="L78" s="15" t="s">
        <v>728</v>
      </c>
      <c r="M78" s="72">
        <f>VLOOKUP(L78,allgemein!$B$3:$C$11,2,FALSE)</f>
        <v>1</v>
      </c>
      <c r="N78" s="14">
        <v>25</v>
      </c>
      <c r="O78" s="13" t="s">
        <v>41</v>
      </c>
      <c r="P78" s="85"/>
      <c r="Q78" s="6"/>
      <c r="R78" s="6"/>
    </row>
    <row r="79" spans="2:18" x14ac:dyDescent="0.2">
      <c r="B79" s="13" t="s">
        <v>856</v>
      </c>
      <c r="C79" s="13" t="s">
        <v>41</v>
      </c>
      <c r="D79" s="70">
        <v>25.6</v>
      </c>
      <c r="E79" s="70">
        <v>0.6</v>
      </c>
      <c r="F79" s="71"/>
      <c r="G79" s="81"/>
      <c r="H79" s="15">
        <v>1.9059999999999999</v>
      </c>
      <c r="I79" s="15">
        <v>1.897</v>
      </c>
      <c r="J79" s="74">
        <f t="shared" si="15"/>
        <v>8.999999999999897E-3</v>
      </c>
      <c r="K79" s="75">
        <f t="shared" si="16"/>
        <v>0</v>
      </c>
      <c r="L79" s="15" t="s">
        <v>728</v>
      </c>
      <c r="M79" s="72">
        <f>VLOOKUP(L79,allgemein!$B$3:$C$11,2,FALSE)</f>
        <v>1</v>
      </c>
      <c r="N79" s="14">
        <v>25</v>
      </c>
      <c r="O79" s="13" t="s">
        <v>41</v>
      </c>
      <c r="P79" s="85"/>
      <c r="Q79" s="6"/>
      <c r="R79" s="6"/>
    </row>
    <row r="80" spans="2:18" x14ac:dyDescent="0.2">
      <c r="B80" s="13" t="s">
        <v>860</v>
      </c>
      <c r="C80" s="13" t="s">
        <v>41</v>
      </c>
      <c r="D80" s="70">
        <v>25.5</v>
      </c>
      <c r="E80" s="70">
        <v>0.5</v>
      </c>
      <c r="F80" s="71"/>
      <c r="G80" s="81"/>
      <c r="H80" s="15">
        <v>1.919</v>
      </c>
      <c r="I80" s="15">
        <v>1.9079999999999999</v>
      </c>
      <c r="J80" s="74">
        <f t="shared" ref="J80:J91" si="17">H80-I80</f>
        <v>1.1000000000000121E-2</v>
      </c>
      <c r="K80" s="75">
        <f t="shared" ref="K80:K91" si="18">(F80*(273.15+D80)/273.15)/(M80*N80)</f>
        <v>0</v>
      </c>
      <c r="L80" s="15" t="s">
        <v>728</v>
      </c>
      <c r="M80" s="72">
        <f>VLOOKUP(L80,allgemein!$B$3:$C$11,2,FALSE)</f>
        <v>1</v>
      </c>
      <c r="N80" s="14">
        <v>25</v>
      </c>
      <c r="O80" s="13" t="s">
        <v>41</v>
      </c>
      <c r="P80" s="23" t="s">
        <v>815</v>
      </c>
      <c r="Q80" s="6"/>
      <c r="R80" s="6"/>
    </row>
    <row r="81" spans="2:18" x14ac:dyDescent="0.2">
      <c r="B81" s="13" t="s">
        <v>861</v>
      </c>
      <c r="C81" s="13" t="s">
        <v>41</v>
      </c>
      <c r="D81" s="70">
        <v>25.6</v>
      </c>
      <c r="E81" s="70">
        <v>0.3</v>
      </c>
      <c r="F81" s="70"/>
      <c r="G81" s="70"/>
      <c r="H81" s="15">
        <v>1.905</v>
      </c>
      <c r="I81" s="15">
        <v>1.895</v>
      </c>
      <c r="J81" s="74">
        <f t="shared" si="17"/>
        <v>1.0000000000000009E-2</v>
      </c>
      <c r="K81" s="75">
        <f t="shared" si="18"/>
        <v>0</v>
      </c>
      <c r="L81" s="15" t="s">
        <v>728</v>
      </c>
      <c r="M81" s="72">
        <f>VLOOKUP(L81,allgemein!$B$3:$C$11,2,FALSE)</f>
        <v>1</v>
      </c>
      <c r="N81" s="14">
        <v>25</v>
      </c>
      <c r="O81" s="13" t="s">
        <v>41</v>
      </c>
      <c r="P81" s="85"/>
      <c r="Q81" s="6"/>
      <c r="R81" s="6"/>
    </row>
    <row r="82" spans="2:18" x14ac:dyDescent="0.2">
      <c r="B82" s="13" t="s">
        <v>863</v>
      </c>
      <c r="C82" s="13" t="s">
        <v>41</v>
      </c>
      <c r="D82" s="70">
        <v>26.2</v>
      </c>
      <c r="E82" s="70">
        <v>0.2</v>
      </c>
      <c r="F82" s="71"/>
      <c r="G82" s="81"/>
      <c r="H82" s="15">
        <v>1.881</v>
      </c>
      <c r="I82" s="15">
        <v>1.869</v>
      </c>
      <c r="J82" s="74">
        <f t="shared" si="17"/>
        <v>1.2000000000000011E-2</v>
      </c>
      <c r="K82" s="75">
        <f t="shared" si="18"/>
        <v>0</v>
      </c>
      <c r="L82" s="15" t="s">
        <v>728</v>
      </c>
      <c r="M82" s="72">
        <f>VLOOKUP(L82,allgemein!$B$3:$C$11,2,FALSE)</f>
        <v>1</v>
      </c>
      <c r="N82" s="14">
        <v>25</v>
      </c>
      <c r="O82" s="13" t="s">
        <v>41</v>
      </c>
      <c r="P82" s="85"/>
      <c r="Q82" s="6"/>
      <c r="R82" s="6"/>
    </row>
    <row r="83" spans="2:18" x14ac:dyDescent="0.2">
      <c r="B83" s="13" t="s">
        <v>864</v>
      </c>
      <c r="C83" s="13" t="s">
        <v>41</v>
      </c>
      <c r="D83" s="70">
        <v>26.1</v>
      </c>
      <c r="E83" s="70">
        <v>0.2</v>
      </c>
      <c r="F83" s="71"/>
      <c r="G83" s="81"/>
      <c r="H83" s="15">
        <v>1.891</v>
      </c>
      <c r="I83" s="15">
        <v>1.879</v>
      </c>
      <c r="J83" s="74">
        <f t="shared" si="17"/>
        <v>1.2000000000000011E-2</v>
      </c>
      <c r="K83" s="75">
        <f t="shared" si="18"/>
        <v>0</v>
      </c>
      <c r="L83" s="15" t="s">
        <v>728</v>
      </c>
      <c r="M83" s="72">
        <f>VLOOKUP(L83,allgemein!$B$3:$C$11,2,FALSE)</f>
        <v>1</v>
      </c>
      <c r="N83" s="14">
        <v>25</v>
      </c>
      <c r="O83" s="13" t="s">
        <v>41</v>
      </c>
      <c r="P83" s="85"/>
      <c r="Q83" s="6"/>
      <c r="R83" s="6"/>
    </row>
    <row r="84" spans="2:18" x14ac:dyDescent="0.2">
      <c r="B84" s="13" t="s">
        <v>865</v>
      </c>
      <c r="C84" s="13" t="s">
        <v>41</v>
      </c>
      <c r="D84" s="70">
        <v>26.2</v>
      </c>
      <c r="E84" s="70">
        <v>0.3</v>
      </c>
      <c r="F84" s="71"/>
      <c r="G84" s="81"/>
      <c r="H84" s="15">
        <v>1.8879999999999999</v>
      </c>
      <c r="I84" s="15">
        <v>1.88</v>
      </c>
      <c r="J84" s="74">
        <f t="shared" si="17"/>
        <v>8.0000000000000071E-3</v>
      </c>
      <c r="K84" s="75">
        <f t="shared" si="18"/>
        <v>0</v>
      </c>
      <c r="L84" s="15" t="s">
        <v>728</v>
      </c>
      <c r="M84" s="72">
        <f>VLOOKUP(L84,allgemein!$B$3:$C$11,2,FALSE)</f>
        <v>1</v>
      </c>
      <c r="N84" s="14">
        <v>25</v>
      </c>
      <c r="O84" s="13" t="s">
        <v>41</v>
      </c>
      <c r="P84" s="85"/>
      <c r="Q84" s="6"/>
      <c r="R84" s="6"/>
    </row>
    <row r="85" spans="2:18" x14ac:dyDescent="0.2">
      <c r="B85" s="13" t="s">
        <v>866</v>
      </c>
      <c r="C85" s="13" t="s">
        <v>879</v>
      </c>
      <c r="D85" s="70">
        <v>26.3</v>
      </c>
      <c r="E85" s="70">
        <v>0.3</v>
      </c>
      <c r="F85" s="71"/>
      <c r="G85" s="81"/>
      <c r="H85" s="15">
        <v>1.895</v>
      </c>
      <c r="I85" s="15">
        <v>1.883</v>
      </c>
      <c r="J85" s="74">
        <f t="shared" si="17"/>
        <v>1.2000000000000011E-2</v>
      </c>
      <c r="K85" s="75">
        <f t="shared" si="18"/>
        <v>0</v>
      </c>
      <c r="L85" s="15" t="s">
        <v>728</v>
      </c>
      <c r="M85" s="72">
        <f>VLOOKUP(L85,allgemein!$B$3:$C$11,2,FALSE)</f>
        <v>1</v>
      </c>
      <c r="N85" s="14">
        <v>25</v>
      </c>
      <c r="O85" s="13" t="s">
        <v>41</v>
      </c>
      <c r="P85" s="85"/>
      <c r="Q85" s="6"/>
      <c r="R85" s="6"/>
    </row>
    <row r="86" spans="2:18" x14ac:dyDescent="0.2">
      <c r="B86" s="13" t="s">
        <v>867</v>
      </c>
      <c r="C86" s="13" t="s">
        <v>41</v>
      </c>
      <c r="D86" s="70">
        <v>26.5</v>
      </c>
      <c r="E86" s="70">
        <v>0.3</v>
      </c>
      <c r="F86" s="71"/>
      <c r="G86" s="81"/>
      <c r="H86" s="15">
        <v>1.8919999999999999</v>
      </c>
      <c r="I86" s="15">
        <v>1.871</v>
      </c>
      <c r="J86" s="74">
        <f t="shared" si="17"/>
        <v>2.0999999999999908E-2</v>
      </c>
      <c r="K86" s="75">
        <f t="shared" si="18"/>
        <v>0</v>
      </c>
      <c r="L86" s="15" t="s">
        <v>728</v>
      </c>
      <c r="M86" s="72">
        <f>VLOOKUP(L86,allgemein!$B$3:$C$11,2,FALSE)</f>
        <v>1</v>
      </c>
      <c r="N86" s="14">
        <v>25</v>
      </c>
      <c r="O86" s="13" t="s">
        <v>41</v>
      </c>
      <c r="P86" s="85"/>
      <c r="Q86" s="6"/>
      <c r="R86" s="6"/>
    </row>
    <row r="87" spans="2:18" x14ac:dyDescent="0.2">
      <c r="B87" s="13"/>
      <c r="C87" s="13" t="s">
        <v>41</v>
      </c>
      <c r="D87" s="70">
        <v>26.8</v>
      </c>
      <c r="E87" s="70">
        <v>0.2</v>
      </c>
      <c r="F87" s="71"/>
      <c r="G87" s="81"/>
      <c r="H87" s="15">
        <v>1.9119999999999999</v>
      </c>
      <c r="I87" s="15">
        <v>1.897</v>
      </c>
      <c r="J87" s="74">
        <f t="shared" ref="J87:J88" si="19">H87-I87</f>
        <v>1.4999999999999902E-2</v>
      </c>
      <c r="K87" s="75">
        <f t="shared" si="18"/>
        <v>0</v>
      </c>
      <c r="L87" s="15" t="s">
        <v>728</v>
      </c>
      <c r="M87" s="72">
        <f>VLOOKUP(L87,allgemein!$B$3:$C$11,2,FALSE)</f>
        <v>1</v>
      </c>
      <c r="N87" s="14">
        <v>25</v>
      </c>
      <c r="O87" s="13"/>
      <c r="P87" s="85" t="s">
        <v>901</v>
      </c>
      <c r="Q87" s="6"/>
      <c r="R87" s="6"/>
    </row>
    <row r="88" spans="2:18" x14ac:dyDescent="0.2">
      <c r="B88" s="13"/>
      <c r="C88" s="13" t="s">
        <v>41</v>
      </c>
      <c r="D88" s="70">
        <v>27</v>
      </c>
      <c r="E88" s="70">
        <v>0.4</v>
      </c>
      <c r="F88" s="71"/>
      <c r="G88" s="81"/>
      <c r="H88" s="15">
        <v>1.8620000000000001</v>
      </c>
      <c r="I88" s="15">
        <v>1.849</v>
      </c>
      <c r="J88" s="74">
        <f t="shared" si="19"/>
        <v>1.3000000000000123E-2</v>
      </c>
      <c r="K88" s="75">
        <f t="shared" si="18"/>
        <v>0</v>
      </c>
      <c r="L88" s="15" t="s">
        <v>728</v>
      </c>
      <c r="M88" s="72">
        <f>VLOOKUP(L88,allgemein!$B$3:$C$11,2,FALSE)</f>
        <v>1</v>
      </c>
      <c r="N88" s="14">
        <v>25</v>
      </c>
      <c r="O88" s="13"/>
      <c r="P88" s="85" t="s">
        <v>906</v>
      </c>
      <c r="Q88" s="6"/>
      <c r="R88" s="6"/>
    </row>
    <row r="89" spans="2:18" x14ac:dyDescent="0.2">
      <c r="B89" s="13" t="s">
        <v>868</v>
      </c>
      <c r="C89" s="13" t="s">
        <v>41</v>
      </c>
      <c r="D89" s="70">
        <v>26.4</v>
      </c>
      <c r="E89" s="70">
        <v>0.3</v>
      </c>
      <c r="F89" s="71"/>
      <c r="G89" s="81"/>
      <c r="H89" s="15">
        <v>1.901</v>
      </c>
      <c r="I89" s="15">
        <v>1.8879999999999999</v>
      </c>
      <c r="J89" s="74">
        <f t="shared" si="17"/>
        <v>1.3000000000000123E-2</v>
      </c>
      <c r="K89" s="75">
        <f t="shared" si="18"/>
        <v>0</v>
      </c>
      <c r="L89" s="15" t="s">
        <v>728</v>
      </c>
      <c r="M89" s="72">
        <f>VLOOKUP(L89,allgemein!$B$3:$C$11,2,FALSE)</f>
        <v>1</v>
      </c>
      <c r="N89" s="14">
        <v>25</v>
      </c>
      <c r="O89" s="13" t="s">
        <v>41</v>
      </c>
      <c r="P89" s="85"/>
      <c r="Q89" s="6"/>
      <c r="R89" s="6"/>
    </row>
    <row r="90" spans="2:18" x14ac:dyDescent="0.2">
      <c r="B90" s="13" t="s">
        <v>869</v>
      </c>
      <c r="C90" s="13" t="s">
        <v>41</v>
      </c>
      <c r="D90" s="70">
        <v>26.5</v>
      </c>
      <c r="E90" s="70">
        <v>0.2</v>
      </c>
      <c r="F90" s="71"/>
      <c r="G90" s="81"/>
      <c r="H90" s="15">
        <v>1.9079999999999999</v>
      </c>
      <c r="I90" s="15">
        <v>1.89</v>
      </c>
      <c r="J90" s="74">
        <f t="shared" si="17"/>
        <v>1.8000000000000016E-2</v>
      </c>
      <c r="K90" s="75">
        <f t="shared" si="18"/>
        <v>0</v>
      </c>
      <c r="L90" s="15" t="s">
        <v>728</v>
      </c>
      <c r="M90" s="72">
        <f>VLOOKUP(L90,allgemein!$B$3:$C$11,2,FALSE)</f>
        <v>1</v>
      </c>
      <c r="N90" s="14">
        <v>25</v>
      </c>
      <c r="O90" s="13" t="s">
        <v>41</v>
      </c>
      <c r="P90" s="85"/>
      <c r="Q90" s="6"/>
      <c r="R90" s="6"/>
    </row>
    <row r="91" spans="2:18" x14ac:dyDescent="0.2">
      <c r="B91" s="13" t="s">
        <v>870</v>
      </c>
      <c r="C91" s="13" t="s">
        <v>41</v>
      </c>
      <c r="D91" s="70">
        <v>26.4</v>
      </c>
      <c r="E91" s="70">
        <v>0.3</v>
      </c>
      <c r="F91" s="71"/>
      <c r="G91" s="81"/>
      <c r="H91" s="15">
        <v>1.891</v>
      </c>
      <c r="I91" s="15">
        <v>1.8819999999999999</v>
      </c>
      <c r="J91" s="74">
        <f t="shared" si="17"/>
        <v>9.000000000000119E-3</v>
      </c>
      <c r="K91" s="75">
        <f t="shared" si="18"/>
        <v>0</v>
      </c>
      <c r="L91" s="15" t="s">
        <v>728</v>
      </c>
      <c r="M91" s="72">
        <f>VLOOKUP(L91,allgemein!$B$3:$C$11,2,FALSE)</f>
        <v>1</v>
      </c>
      <c r="N91" s="14">
        <v>25</v>
      </c>
      <c r="O91" s="13" t="s">
        <v>41</v>
      </c>
      <c r="P91" s="85"/>
      <c r="Q91" s="6"/>
      <c r="R91" s="6"/>
    </row>
    <row r="92" spans="2:18" x14ac:dyDescent="0.2">
      <c r="B92" s="13" t="s">
        <v>871</v>
      </c>
      <c r="C92" s="13" t="s">
        <v>41</v>
      </c>
      <c r="D92" s="70">
        <v>26.7</v>
      </c>
      <c r="E92" s="70">
        <v>0.4</v>
      </c>
      <c r="F92" s="71"/>
      <c r="G92" s="81"/>
      <c r="H92" s="15">
        <v>1.917</v>
      </c>
      <c r="I92" s="15">
        <v>1.9</v>
      </c>
      <c r="J92" s="74">
        <f t="shared" ref="J92" si="20">H92-I92</f>
        <v>1.7000000000000126E-2</v>
      </c>
      <c r="K92" s="75">
        <f t="shared" ref="K92" si="21">(F92*(273.15+D92)/273.15)/(M92*N92)</f>
        <v>0</v>
      </c>
      <c r="L92" s="15" t="s">
        <v>728</v>
      </c>
      <c r="M92" s="72">
        <f>VLOOKUP(L92,allgemein!$B$3:$C$11,2,FALSE)</f>
        <v>1</v>
      </c>
      <c r="N92" s="14">
        <v>25</v>
      </c>
      <c r="O92" s="13" t="s">
        <v>41</v>
      </c>
      <c r="P92" s="85"/>
      <c r="Q92" s="6"/>
      <c r="R92" s="6"/>
    </row>
    <row r="93" spans="2:18" x14ac:dyDescent="0.2">
      <c r="B93" s="13" t="s">
        <v>872</v>
      </c>
      <c r="C93" s="13" t="s">
        <v>41</v>
      </c>
      <c r="D93" s="70">
        <v>26.7</v>
      </c>
      <c r="E93" s="70">
        <v>0.3</v>
      </c>
      <c r="F93" s="71"/>
      <c r="G93" s="81"/>
      <c r="H93" s="15">
        <v>1.91</v>
      </c>
      <c r="I93" s="15">
        <v>1.9</v>
      </c>
      <c r="J93" s="74">
        <f t="shared" ref="J93:J99" si="22">H93-I93</f>
        <v>1.0000000000000009E-2</v>
      </c>
      <c r="K93" s="75">
        <f t="shared" ref="K93:K99" si="23">(F93*(273.15+D93)/273.15)/(M93*N93)</f>
        <v>0</v>
      </c>
      <c r="L93" s="15" t="s">
        <v>728</v>
      </c>
      <c r="M93" s="72">
        <f>VLOOKUP(L93,allgemein!$B$3:$C$11,2,FALSE)</f>
        <v>1</v>
      </c>
      <c r="N93" s="14">
        <v>25</v>
      </c>
      <c r="O93" s="13" t="s">
        <v>41</v>
      </c>
      <c r="P93" s="85"/>
      <c r="Q93" s="6"/>
      <c r="R93" s="6"/>
    </row>
    <row r="94" spans="2:18" x14ac:dyDescent="0.2">
      <c r="B94" s="13" t="s">
        <v>873</v>
      </c>
      <c r="C94" s="13" t="s">
        <v>41</v>
      </c>
      <c r="D94" s="70">
        <v>26.5</v>
      </c>
      <c r="E94" s="70">
        <v>0.2</v>
      </c>
      <c r="F94" s="71"/>
      <c r="G94" s="81"/>
      <c r="H94" s="15">
        <v>1.9039999999999999</v>
      </c>
      <c r="I94" s="15">
        <v>1.8919999999999999</v>
      </c>
      <c r="J94" s="74">
        <f t="shared" si="22"/>
        <v>1.2000000000000011E-2</v>
      </c>
      <c r="K94" s="75">
        <f t="shared" si="23"/>
        <v>0</v>
      </c>
      <c r="L94" s="15" t="s">
        <v>728</v>
      </c>
      <c r="M94" s="72">
        <f>VLOOKUP(L94,allgemein!$B$3:$C$11,2,FALSE)</f>
        <v>1</v>
      </c>
      <c r="N94" s="14">
        <v>25</v>
      </c>
      <c r="O94" s="13" t="s">
        <v>41</v>
      </c>
      <c r="P94" s="85"/>
      <c r="Q94" s="6"/>
      <c r="R94" s="6"/>
    </row>
    <row r="95" spans="2:18" x14ac:dyDescent="0.2">
      <c r="B95" s="13" t="s">
        <v>874</v>
      </c>
      <c r="C95" s="13" t="s">
        <v>41</v>
      </c>
      <c r="D95" s="70">
        <v>26.4</v>
      </c>
      <c r="E95" s="70">
        <v>0.2</v>
      </c>
      <c r="F95" s="71"/>
      <c r="G95" s="81"/>
      <c r="H95" s="15">
        <v>1.9139999999999999</v>
      </c>
      <c r="I95" s="15">
        <v>1.901</v>
      </c>
      <c r="J95" s="74">
        <f t="shared" si="22"/>
        <v>1.2999999999999901E-2</v>
      </c>
      <c r="K95" s="75">
        <f t="shared" si="23"/>
        <v>0</v>
      </c>
      <c r="L95" s="15" t="s">
        <v>728</v>
      </c>
      <c r="M95" s="72">
        <f>VLOOKUP(L95,allgemein!$B$3:$C$11,2,FALSE)</f>
        <v>1</v>
      </c>
      <c r="N95" s="14">
        <v>25</v>
      </c>
      <c r="O95" s="13" t="s">
        <v>41</v>
      </c>
      <c r="P95" s="85"/>
      <c r="Q95" s="6"/>
      <c r="R95" s="6"/>
    </row>
    <row r="96" spans="2:18" x14ac:dyDescent="0.2">
      <c r="B96" s="13" t="s">
        <v>875</v>
      </c>
      <c r="C96" s="13" t="s">
        <v>41</v>
      </c>
      <c r="D96" s="70">
        <v>26.2</v>
      </c>
      <c r="E96" s="70">
        <v>0.2</v>
      </c>
      <c r="F96" s="71"/>
      <c r="G96" s="81"/>
      <c r="H96" s="15">
        <v>1.9039999999999999</v>
      </c>
      <c r="I96" s="15">
        <v>1.893</v>
      </c>
      <c r="J96" s="74">
        <f t="shared" si="22"/>
        <v>1.0999999999999899E-2</v>
      </c>
      <c r="K96" s="75">
        <f t="shared" si="23"/>
        <v>0</v>
      </c>
      <c r="L96" s="15" t="s">
        <v>728</v>
      </c>
      <c r="M96" s="72">
        <f>VLOOKUP(L96,allgemein!$B$3:$C$11,2,FALSE)</f>
        <v>1</v>
      </c>
      <c r="N96" s="14">
        <v>25</v>
      </c>
      <c r="O96" s="13" t="s">
        <v>41</v>
      </c>
      <c r="P96" s="85"/>
      <c r="Q96" s="6"/>
      <c r="R96" s="6"/>
    </row>
    <row r="97" spans="2:18" x14ac:dyDescent="0.2">
      <c r="B97" s="13" t="s">
        <v>876</v>
      </c>
      <c r="C97" s="13" t="s">
        <v>41</v>
      </c>
      <c r="D97" s="70">
        <v>26</v>
      </c>
      <c r="E97" s="70">
        <v>0.1</v>
      </c>
      <c r="F97" s="71"/>
      <c r="G97" s="81"/>
      <c r="H97" s="15">
        <v>1.905</v>
      </c>
      <c r="I97" s="15">
        <v>1.8919999999999999</v>
      </c>
      <c r="J97" s="74">
        <f t="shared" si="22"/>
        <v>1.3000000000000123E-2</v>
      </c>
      <c r="K97" s="75">
        <f t="shared" si="23"/>
        <v>0</v>
      </c>
      <c r="L97" s="15" t="s">
        <v>728</v>
      </c>
      <c r="M97" s="72">
        <f>VLOOKUP(L97,allgemein!$B$3:$C$11,2,FALSE)</f>
        <v>1</v>
      </c>
      <c r="N97" s="14">
        <v>25</v>
      </c>
      <c r="O97" s="13" t="s">
        <v>41</v>
      </c>
      <c r="P97" s="85" t="s">
        <v>880</v>
      </c>
      <c r="Q97" s="6"/>
      <c r="R97" s="6"/>
    </row>
    <row r="98" spans="2:18" x14ac:dyDescent="0.2">
      <c r="B98" s="13" t="s">
        <v>877</v>
      </c>
      <c r="C98" s="13" t="s">
        <v>41</v>
      </c>
      <c r="D98" s="70">
        <v>25.8</v>
      </c>
      <c r="E98" s="70">
        <v>0.2</v>
      </c>
      <c r="F98" s="71"/>
      <c r="G98" s="81"/>
      <c r="H98" s="15">
        <v>1.8959999999999999</v>
      </c>
      <c r="I98" s="15">
        <v>1.885</v>
      </c>
      <c r="J98" s="74">
        <f t="shared" si="22"/>
        <v>1.0999999999999899E-2</v>
      </c>
      <c r="K98" s="75">
        <f t="shared" si="23"/>
        <v>0</v>
      </c>
      <c r="L98" s="15" t="s">
        <v>728</v>
      </c>
      <c r="M98" s="72">
        <f>VLOOKUP(L98,allgemein!$B$3:$C$11,2,FALSE)</f>
        <v>1</v>
      </c>
      <c r="N98" s="14">
        <v>25</v>
      </c>
      <c r="O98" s="13" t="s">
        <v>41</v>
      </c>
      <c r="P98" s="85"/>
      <c r="Q98" s="6"/>
      <c r="R98" s="6"/>
    </row>
    <row r="99" spans="2:18" x14ac:dyDescent="0.2">
      <c r="B99" s="13" t="s">
        <v>878</v>
      </c>
      <c r="C99" s="13" t="s">
        <v>41</v>
      </c>
      <c r="D99" s="70">
        <v>25.4</v>
      </c>
      <c r="E99" s="70">
        <v>0.7</v>
      </c>
      <c r="F99" s="71"/>
      <c r="G99" s="81"/>
      <c r="H99" s="15">
        <v>1.9139999999999999</v>
      </c>
      <c r="I99" s="15">
        <v>1.9019999999999999</v>
      </c>
      <c r="J99" s="74">
        <f t="shared" si="22"/>
        <v>1.2000000000000011E-2</v>
      </c>
      <c r="K99" s="75">
        <f t="shared" si="23"/>
        <v>0</v>
      </c>
      <c r="L99" s="15" t="s">
        <v>728</v>
      </c>
      <c r="M99" s="72">
        <f>VLOOKUP(L99,allgemein!$B$3:$C$11,2,FALSE)</f>
        <v>1</v>
      </c>
      <c r="N99" s="14">
        <v>25</v>
      </c>
      <c r="O99" s="13" t="s">
        <v>41</v>
      </c>
      <c r="P99" s="85"/>
      <c r="Q99" s="6"/>
      <c r="R99" s="6"/>
    </row>
    <row r="100" spans="2:18" x14ac:dyDescent="0.2">
      <c r="B100" s="13" t="s">
        <v>882</v>
      </c>
      <c r="C100" s="13" t="s">
        <v>41</v>
      </c>
      <c r="D100" s="70">
        <v>27.2</v>
      </c>
      <c r="E100" s="70">
        <v>0.6</v>
      </c>
      <c r="F100" s="71"/>
      <c r="G100" s="81"/>
      <c r="H100" s="15">
        <v>1.907</v>
      </c>
      <c r="I100" s="15">
        <v>1.895</v>
      </c>
      <c r="J100" s="74">
        <f t="shared" ref="J100:J105" si="24">H100-I100</f>
        <v>1.2000000000000011E-2</v>
      </c>
      <c r="K100" s="75">
        <f t="shared" ref="K100:K105" si="25">(F100*(273.15+D100)/273.15)/(M100*N100)</f>
        <v>0</v>
      </c>
      <c r="L100" s="15" t="s">
        <v>728</v>
      </c>
      <c r="M100" s="72">
        <f>VLOOKUP(L100,allgemein!$B$3:$C$11,2,FALSE)</f>
        <v>1</v>
      </c>
      <c r="N100" s="14">
        <v>25</v>
      </c>
      <c r="O100" s="13" t="s">
        <v>41</v>
      </c>
      <c r="P100" s="85"/>
      <c r="Q100" s="6"/>
      <c r="R100" s="6"/>
    </row>
    <row r="101" spans="2:18" x14ac:dyDescent="0.2">
      <c r="B101" s="13" t="s">
        <v>883</v>
      </c>
      <c r="C101" s="13" t="s">
        <v>41</v>
      </c>
      <c r="D101" s="70">
        <v>27.5</v>
      </c>
      <c r="E101" s="70">
        <v>0.8</v>
      </c>
      <c r="F101" s="71"/>
      <c r="G101" s="81"/>
      <c r="H101" s="15">
        <v>1.907</v>
      </c>
      <c r="I101" s="15">
        <v>1.9</v>
      </c>
      <c r="J101" s="74">
        <f t="shared" si="24"/>
        <v>7.0000000000001172E-3</v>
      </c>
      <c r="K101" s="75">
        <f t="shared" si="25"/>
        <v>0</v>
      </c>
      <c r="L101" s="15" t="s">
        <v>728</v>
      </c>
      <c r="M101" s="72">
        <f>VLOOKUP(L101,allgemein!$B$3:$C$11,2,FALSE)</f>
        <v>1</v>
      </c>
      <c r="N101" s="14">
        <v>25</v>
      </c>
      <c r="O101" s="13" t="s">
        <v>41</v>
      </c>
      <c r="P101" s="85"/>
      <c r="Q101" s="6"/>
      <c r="R101" s="6"/>
    </row>
    <row r="102" spans="2:18" x14ac:dyDescent="0.2">
      <c r="B102" s="13" t="s">
        <v>884</v>
      </c>
      <c r="C102" s="13" t="s">
        <v>41</v>
      </c>
      <c r="D102" s="70">
        <v>27.3</v>
      </c>
      <c r="E102" s="70">
        <v>0.6</v>
      </c>
      <c r="F102" s="71"/>
      <c r="G102" s="81"/>
      <c r="H102" s="15">
        <v>1.8959999999999999</v>
      </c>
      <c r="I102" s="15">
        <v>1.8859999999999999</v>
      </c>
      <c r="J102" s="74">
        <f t="shared" si="24"/>
        <v>1.0000000000000009E-2</v>
      </c>
      <c r="K102" s="75">
        <f t="shared" si="25"/>
        <v>0</v>
      </c>
      <c r="L102" s="15" t="s">
        <v>728</v>
      </c>
      <c r="M102" s="72">
        <f>VLOOKUP(L102,allgemein!$B$3:$C$11,2,FALSE)</f>
        <v>1</v>
      </c>
      <c r="N102" s="14">
        <v>25</v>
      </c>
      <c r="O102" s="13" t="s">
        <v>41</v>
      </c>
      <c r="P102" s="85"/>
      <c r="Q102" s="6"/>
      <c r="R102" s="6"/>
    </row>
    <row r="103" spans="2:18" x14ac:dyDescent="0.2">
      <c r="B103" s="13" t="s">
        <v>885</v>
      </c>
      <c r="C103" s="13" t="s">
        <v>41</v>
      </c>
      <c r="D103" s="70">
        <v>27.2</v>
      </c>
      <c r="E103" s="70">
        <v>0.5</v>
      </c>
      <c r="F103" s="71"/>
      <c r="G103" s="81"/>
      <c r="H103" s="15">
        <v>1.9039999999999999</v>
      </c>
      <c r="I103" s="15">
        <v>1.891</v>
      </c>
      <c r="J103" s="74">
        <f t="shared" si="24"/>
        <v>1.2999999999999901E-2</v>
      </c>
      <c r="K103" s="75">
        <f t="shared" si="25"/>
        <v>0</v>
      </c>
      <c r="L103" s="15" t="s">
        <v>728</v>
      </c>
      <c r="M103" s="72">
        <f>VLOOKUP(L103,allgemein!$B$3:$C$11,2,FALSE)</f>
        <v>1</v>
      </c>
      <c r="N103" s="14">
        <v>25</v>
      </c>
      <c r="O103" s="13" t="s">
        <v>41</v>
      </c>
      <c r="P103" s="85"/>
      <c r="Q103" s="6"/>
      <c r="R103" s="6"/>
    </row>
    <row r="104" spans="2:18" x14ac:dyDescent="0.2">
      <c r="B104" s="13" t="s">
        <v>886</v>
      </c>
      <c r="C104" s="13" t="s">
        <v>41</v>
      </c>
      <c r="D104" s="70">
        <v>27.2</v>
      </c>
      <c r="E104" s="70">
        <v>0.5</v>
      </c>
      <c r="F104" s="71"/>
      <c r="G104" s="81"/>
      <c r="H104" s="15">
        <v>1.9079999999999999</v>
      </c>
      <c r="I104" s="15">
        <v>1.8959999999999999</v>
      </c>
      <c r="J104" s="74">
        <f t="shared" si="24"/>
        <v>1.2000000000000011E-2</v>
      </c>
      <c r="K104" s="75">
        <f t="shared" si="25"/>
        <v>0</v>
      </c>
      <c r="L104" s="15" t="s">
        <v>728</v>
      </c>
      <c r="M104" s="72">
        <f>VLOOKUP(L104,allgemein!$B$3:$C$11,2,FALSE)</f>
        <v>1</v>
      </c>
      <c r="N104" s="14">
        <v>25</v>
      </c>
      <c r="O104" s="13" t="s">
        <v>41</v>
      </c>
      <c r="P104" s="85"/>
      <c r="Q104" s="6"/>
      <c r="R104" s="6"/>
    </row>
    <row r="105" spans="2:18" x14ac:dyDescent="0.2">
      <c r="B105" s="13" t="s">
        <v>887</v>
      </c>
      <c r="C105" s="13" t="s">
        <v>41</v>
      </c>
      <c r="D105" s="70">
        <v>27.3</v>
      </c>
      <c r="E105" s="70">
        <v>0.5</v>
      </c>
      <c r="F105" s="71"/>
      <c r="G105" s="81"/>
      <c r="H105" s="15">
        <v>1.8939999999999999</v>
      </c>
      <c r="I105" s="15">
        <v>1.883</v>
      </c>
      <c r="J105" s="74">
        <f t="shared" si="24"/>
        <v>1.0999999999999899E-2</v>
      </c>
      <c r="K105" s="75">
        <f t="shared" si="25"/>
        <v>0</v>
      </c>
      <c r="L105" s="15" t="s">
        <v>728</v>
      </c>
      <c r="M105" s="72">
        <f>VLOOKUP(L105,allgemein!$B$3:$C$11,2,FALSE)</f>
        <v>1</v>
      </c>
      <c r="N105" s="14">
        <v>25</v>
      </c>
      <c r="O105" s="13" t="s">
        <v>41</v>
      </c>
      <c r="P105" s="85"/>
      <c r="Q105" s="6"/>
      <c r="R105" s="6"/>
    </row>
    <row r="106" spans="2:18" x14ac:dyDescent="0.2">
      <c r="B106" s="13" t="s">
        <v>898</v>
      </c>
      <c r="C106" s="13" t="s">
        <v>812</v>
      </c>
      <c r="D106" s="70">
        <v>26.5</v>
      </c>
      <c r="E106" s="70">
        <v>0.2</v>
      </c>
      <c r="F106" s="71"/>
      <c r="G106" s="81"/>
      <c r="H106" s="15">
        <v>1.859</v>
      </c>
      <c r="I106" s="15">
        <v>1.8460000000000001</v>
      </c>
      <c r="J106" s="74">
        <f t="shared" ref="J106:J132" si="26">H106-I106</f>
        <v>1.2999999999999901E-2</v>
      </c>
      <c r="K106" s="75">
        <f t="shared" ref="K106:K132" si="27">(F106*(273.15+D106)/273.15)/(M106*N106)</f>
        <v>0</v>
      </c>
      <c r="L106" s="15" t="s">
        <v>328</v>
      </c>
      <c r="M106" s="72">
        <f>VLOOKUP(L106,allgemein!$B$3:$C$11,2,FALSE)</f>
        <v>1</v>
      </c>
      <c r="N106" s="14">
        <v>40</v>
      </c>
      <c r="O106" s="13" t="s">
        <v>888</v>
      </c>
      <c r="P106" s="85" t="s">
        <v>896</v>
      </c>
      <c r="Q106" s="6" t="s">
        <v>900</v>
      </c>
      <c r="R106" s="6"/>
    </row>
    <row r="107" spans="2:18" x14ac:dyDescent="0.2">
      <c r="B107" s="13" t="s">
        <v>897</v>
      </c>
      <c r="C107" s="13" t="s">
        <v>893</v>
      </c>
      <c r="D107" s="70">
        <v>26.7</v>
      </c>
      <c r="E107" s="70">
        <v>0.1</v>
      </c>
      <c r="F107" s="71"/>
      <c r="G107" s="81">
        <v>1.8480000000000001</v>
      </c>
      <c r="H107" s="15">
        <v>5.5650000000000004</v>
      </c>
      <c r="I107" s="15">
        <v>5.5369999999999999</v>
      </c>
      <c r="J107" s="74">
        <f t="shared" si="26"/>
        <v>2.8000000000000469E-2</v>
      </c>
      <c r="K107" s="75">
        <f t="shared" si="27"/>
        <v>0</v>
      </c>
      <c r="L107" s="15" t="s">
        <v>335</v>
      </c>
      <c r="M107" s="72">
        <f>VLOOKUP(L107,allgemein!$B$3:$C$11,2,FALSE)</f>
        <v>3</v>
      </c>
      <c r="N107" s="14">
        <v>40</v>
      </c>
      <c r="O107" s="13" t="s">
        <v>889</v>
      </c>
      <c r="P107" s="85" t="s">
        <v>899</v>
      </c>
      <c r="Q107" s="6"/>
      <c r="R107" s="6"/>
    </row>
    <row r="108" spans="2:18" x14ac:dyDescent="0.2">
      <c r="B108" s="13"/>
      <c r="C108" s="13" t="s">
        <v>894</v>
      </c>
      <c r="D108" s="70"/>
      <c r="E108" s="70"/>
      <c r="F108" s="71"/>
      <c r="G108" s="81">
        <v>1.855</v>
      </c>
      <c r="H108" s="15"/>
      <c r="I108" s="15"/>
      <c r="J108" s="74"/>
      <c r="K108" s="75"/>
      <c r="L108" s="15"/>
      <c r="M108" s="72"/>
      <c r="N108" s="14"/>
      <c r="O108" s="13"/>
      <c r="P108" s="85"/>
      <c r="Q108" s="6"/>
      <c r="R108" s="6"/>
    </row>
    <row r="109" spans="2:18" x14ac:dyDescent="0.2">
      <c r="B109" s="13"/>
      <c r="C109" s="13" t="s">
        <v>895</v>
      </c>
      <c r="D109" s="70"/>
      <c r="E109" s="70"/>
      <c r="F109" s="71"/>
      <c r="G109" s="81">
        <v>1.8620000000000001</v>
      </c>
      <c r="H109" s="15"/>
      <c r="I109" s="15"/>
      <c r="J109" s="74"/>
      <c r="K109" s="75"/>
      <c r="L109" s="15"/>
      <c r="M109" s="72"/>
      <c r="N109" s="14"/>
      <c r="O109" s="13"/>
      <c r="P109" s="85"/>
      <c r="Q109" s="6"/>
      <c r="R109" s="6"/>
    </row>
    <row r="110" spans="2:18" x14ac:dyDescent="0.2">
      <c r="B110" s="13"/>
      <c r="C110" s="13"/>
      <c r="D110" s="70"/>
      <c r="E110" s="70"/>
      <c r="F110" s="71"/>
      <c r="G110" s="81"/>
      <c r="H110" s="15"/>
      <c r="I110" s="15"/>
      <c r="J110" s="74">
        <f t="shared" ref="J110:J116" si="28">H110-I110</f>
        <v>0</v>
      </c>
      <c r="K110" s="75" t="e">
        <f t="shared" ref="K110:K116" si="29">(F110*(273.15+D110)/273.15)/(M110*N110)</f>
        <v>#N/A</v>
      </c>
      <c r="L110" s="15"/>
      <c r="M110" s="72" t="e">
        <f>VLOOKUP(L110,allgemein!$B$3:$C$11,2,FALSE)</f>
        <v>#N/A</v>
      </c>
      <c r="N110" s="14"/>
      <c r="O110" s="13"/>
      <c r="P110" s="85"/>
      <c r="Q110" s="6"/>
      <c r="R110" s="6"/>
    </row>
    <row r="111" spans="2:18" x14ac:dyDescent="0.2">
      <c r="B111" s="13"/>
      <c r="C111" s="13"/>
      <c r="D111" s="70"/>
      <c r="E111" s="70"/>
      <c r="F111" s="71"/>
      <c r="G111" s="81"/>
      <c r="H111" s="15"/>
      <c r="I111" s="15"/>
      <c r="J111" s="74">
        <f t="shared" si="28"/>
        <v>0</v>
      </c>
      <c r="K111" s="75" t="e">
        <f t="shared" si="29"/>
        <v>#N/A</v>
      </c>
      <c r="L111" s="15"/>
      <c r="M111" s="72" t="e">
        <f>VLOOKUP(L111,allgemein!$B$3:$C$11,2,FALSE)</f>
        <v>#N/A</v>
      </c>
      <c r="N111" s="14"/>
      <c r="O111" s="13"/>
      <c r="P111" s="85"/>
      <c r="Q111" s="6"/>
      <c r="R111" s="6"/>
    </row>
    <row r="112" spans="2:18" x14ac:dyDescent="0.2">
      <c r="B112" s="13"/>
      <c r="C112" s="13"/>
      <c r="D112" s="70"/>
      <c r="E112" s="70"/>
      <c r="F112" s="71"/>
      <c r="G112" s="81"/>
      <c r="H112" s="15"/>
      <c r="I112" s="15"/>
      <c r="J112" s="74">
        <f t="shared" si="28"/>
        <v>0</v>
      </c>
      <c r="K112" s="75" t="e">
        <f t="shared" si="29"/>
        <v>#N/A</v>
      </c>
      <c r="L112" s="15"/>
      <c r="M112" s="72" t="e">
        <f>VLOOKUP(L112,allgemein!$B$3:$C$11,2,FALSE)</f>
        <v>#N/A</v>
      </c>
      <c r="N112" s="14"/>
      <c r="O112" s="13"/>
      <c r="P112" s="85"/>
      <c r="Q112" s="6"/>
      <c r="R112" s="6"/>
    </row>
    <row r="113" spans="2:18" x14ac:dyDescent="0.2">
      <c r="B113" s="13"/>
      <c r="C113" s="13"/>
      <c r="D113" s="70"/>
      <c r="E113" s="70"/>
      <c r="F113" s="71"/>
      <c r="G113" s="81"/>
      <c r="H113" s="15"/>
      <c r="I113" s="15"/>
      <c r="J113" s="74">
        <f t="shared" si="28"/>
        <v>0</v>
      </c>
      <c r="K113" s="75" t="e">
        <f t="shared" si="29"/>
        <v>#N/A</v>
      </c>
      <c r="L113" s="15"/>
      <c r="M113" s="72" t="e">
        <f>VLOOKUP(L113,allgemein!$B$3:$C$11,2,FALSE)</f>
        <v>#N/A</v>
      </c>
      <c r="N113" s="14"/>
      <c r="O113" s="13"/>
      <c r="P113" s="85"/>
      <c r="Q113" s="6"/>
      <c r="R113" s="6"/>
    </row>
    <row r="114" spans="2:18" x14ac:dyDescent="0.2">
      <c r="B114" s="13"/>
      <c r="C114" s="13"/>
      <c r="D114" s="70"/>
      <c r="E114" s="70"/>
      <c r="F114" s="71"/>
      <c r="G114" s="81"/>
      <c r="H114" s="15"/>
      <c r="I114" s="15"/>
      <c r="J114" s="74">
        <f t="shared" si="28"/>
        <v>0</v>
      </c>
      <c r="K114" s="75" t="e">
        <f t="shared" si="29"/>
        <v>#N/A</v>
      </c>
      <c r="L114" s="15"/>
      <c r="M114" s="72" t="e">
        <f>VLOOKUP(L114,allgemein!$B$3:$C$11,2,FALSE)</f>
        <v>#N/A</v>
      </c>
      <c r="N114" s="14"/>
      <c r="O114" s="13"/>
      <c r="P114" s="85"/>
      <c r="Q114" s="6"/>
      <c r="R114" s="6"/>
    </row>
    <row r="115" spans="2:18" x14ac:dyDescent="0.2">
      <c r="B115" s="6"/>
      <c r="C115" s="6"/>
      <c r="D115" s="70"/>
      <c r="E115" s="70"/>
      <c r="F115" s="71"/>
      <c r="G115" s="81"/>
      <c r="H115" s="15"/>
      <c r="I115" s="15"/>
      <c r="J115" s="74">
        <f t="shared" si="28"/>
        <v>0</v>
      </c>
      <c r="K115" s="75" t="e">
        <f t="shared" si="29"/>
        <v>#N/A</v>
      </c>
      <c r="L115" s="15"/>
      <c r="M115" s="72" t="e">
        <f>VLOOKUP(L115,allgemein!$B$3:$C$11,2,FALSE)</f>
        <v>#N/A</v>
      </c>
      <c r="N115" s="14"/>
      <c r="O115" s="13"/>
      <c r="P115" s="85"/>
      <c r="Q115" s="6"/>
      <c r="R115" s="6"/>
    </row>
    <row r="116" spans="2:18" x14ac:dyDescent="0.2">
      <c r="B116" s="6"/>
      <c r="C116" s="6"/>
      <c r="D116" s="70"/>
      <c r="E116" s="70"/>
      <c r="F116" s="71"/>
      <c r="G116" s="81"/>
      <c r="H116" s="15"/>
      <c r="I116" s="15"/>
      <c r="J116" s="74">
        <f t="shared" si="28"/>
        <v>0</v>
      </c>
      <c r="K116" s="75" t="e">
        <f t="shared" si="29"/>
        <v>#N/A</v>
      </c>
      <c r="L116" s="15"/>
      <c r="M116" s="72" t="e">
        <f>VLOOKUP(L116,allgemein!$B$3:$C$11,2,FALSE)</f>
        <v>#N/A</v>
      </c>
      <c r="N116" s="14"/>
      <c r="O116" s="13"/>
      <c r="P116" s="85"/>
      <c r="Q116" s="6"/>
      <c r="R116" s="6"/>
    </row>
    <row r="117" spans="2:18" x14ac:dyDescent="0.2">
      <c r="B117" s="6"/>
      <c r="C117" s="6"/>
      <c r="D117" s="70"/>
      <c r="E117" s="70"/>
      <c r="F117" s="71"/>
      <c r="G117" s="81"/>
      <c r="H117" s="15"/>
      <c r="I117" s="15"/>
      <c r="J117" s="74">
        <f t="shared" si="26"/>
        <v>0</v>
      </c>
      <c r="K117" s="75" t="e">
        <f t="shared" si="27"/>
        <v>#N/A</v>
      </c>
      <c r="L117" s="15"/>
      <c r="M117" s="72" t="e">
        <f>VLOOKUP(L117,allgemein!$B$3:$C$11,2,FALSE)</f>
        <v>#N/A</v>
      </c>
      <c r="N117" s="14"/>
      <c r="O117" s="13"/>
      <c r="P117" s="85"/>
      <c r="Q117" s="6"/>
      <c r="R117" s="6"/>
    </row>
    <row r="118" spans="2:18" x14ac:dyDescent="0.2">
      <c r="B118" s="6"/>
      <c r="C118" s="6"/>
      <c r="D118" s="70"/>
      <c r="E118" s="70"/>
      <c r="F118" s="71"/>
      <c r="G118" s="81"/>
      <c r="H118" s="15"/>
      <c r="I118" s="15"/>
      <c r="J118" s="74">
        <f t="shared" si="26"/>
        <v>0</v>
      </c>
      <c r="K118" s="75" t="e">
        <f t="shared" si="27"/>
        <v>#N/A</v>
      </c>
      <c r="L118" s="15"/>
      <c r="M118" s="72" t="e">
        <f>VLOOKUP(L118,allgemein!$B$3:$C$11,2,FALSE)</f>
        <v>#N/A</v>
      </c>
      <c r="N118" s="14"/>
      <c r="O118" s="13"/>
      <c r="P118" s="85"/>
      <c r="Q118" s="6"/>
      <c r="R118" s="6"/>
    </row>
    <row r="119" spans="2:18" x14ac:dyDescent="0.2">
      <c r="B119" s="6"/>
      <c r="C119" s="6"/>
      <c r="D119" s="70"/>
      <c r="E119" s="70"/>
      <c r="F119" s="71"/>
      <c r="G119" s="81"/>
      <c r="H119" s="15"/>
      <c r="I119" s="15"/>
      <c r="J119" s="74">
        <f t="shared" si="26"/>
        <v>0</v>
      </c>
      <c r="K119" s="75" t="e">
        <f t="shared" si="27"/>
        <v>#N/A</v>
      </c>
      <c r="L119" s="15"/>
      <c r="M119" s="72" t="e">
        <f>VLOOKUP(L119,allgemein!$B$3:$C$11,2,FALSE)</f>
        <v>#N/A</v>
      </c>
      <c r="N119" s="14"/>
      <c r="O119" s="13"/>
      <c r="P119" s="85"/>
      <c r="Q119" s="6"/>
      <c r="R119" s="6"/>
    </row>
    <row r="120" spans="2:18" x14ac:dyDescent="0.2">
      <c r="B120" s="6"/>
      <c r="C120" s="6"/>
      <c r="D120" s="70"/>
      <c r="E120" s="70"/>
      <c r="F120" s="71"/>
      <c r="G120" s="81"/>
      <c r="H120" s="15"/>
      <c r="I120" s="15"/>
      <c r="J120" s="74">
        <f t="shared" si="26"/>
        <v>0</v>
      </c>
      <c r="K120" s="75" t="e">
        <f t="shared" si="27"/>
        <v>#N/A</v>
      </c>
      <c r="L120" s="15"/>
      <c r="M120" s="72" t="e">
        <f>VLOOKUP(L120,allgemein!$B$3:$C$11,2,FALSE)</f>
        <v>#N/A</v>
      </c>
      <c r="N120" s="14"/>
      <c r="O120" s="13"/>
      <c r="P120" s="85"/>
      <c r="Q120" s="6"/>
      <c r="R120" s="6"/>
    </row>
    <row r="121" spans="2:18" x14ac:dyDescent="0.2">
      <c r="B121" s="6"/>
      <c r="C121" s="6"/>
      <c r="D121" s="70"/>
      <c r="E121" s="70"/>
      <c r="F121" s="71"/>
      <c r="G121" s="81"/>
      <c r="H121" s="15"/>
      <c r="I121" s="15"/>
      <c r="J121" s="74">
        <f t="shared" si="26"/>
        <v>0</v>
      </c>
      <c r="K121" s="75" t="e">
        <f t="shared" si="27"/>
        <v>#N/A</v>
      </c>
      <c r="L121" s="15"/>
      <c r="M121" s="72" t="e">
        <f>VLOOKUP(L121,allgemein!$B$3:$C$11,2,FALSE)</f>
        <v>#N/A</v>
      </c>
      <c r="N121" s="14"/>
      <c r="O121" s="13"/>
      <c r="P121" s="85"/>
      <c r="Q121" s="6"/>
      <c r="R121" s="6"/>
    </row>
    <row r="122" spans="2:18" x14ac:dyDescent="0.2">
      <c r="B122" s="6"/>
      <c r="C122" s="6"/>
      <c r="D122" s="70"/>
      <c r="E122" s="70"/>
      <c r="F122" s="71"/>
      <c r="G122" s="81"/>
      <c r="H122" s="7"/>
      <c r="I122" s="7"/>
      <c r="J122" s="74">
        <f t="shared" si="26"/>
        <v>0</v>
      </c>
      <c r="K122" s="75" t="e">
        <f t="shared" si="27"/>
        <v>#N/A</v>
      </c>
      <c r="L122" s="15"/>
      <c r="M122" s="72" t="e">
        <f>VLOOKUP(L122,allgemein!$B$3:$C$11,2,FALSE)</f>
        <v>#N/A</v>
      </c>
      <c r="N122" s="14"/>
      <c r="O122" s="13"/>
      <c r="P122" s="85"/>
      <c r="Q122" s="6"/>
      <c r="R122" s="6"/>
    </row>
    <row r="123" spans="2:18" x14ac:dyDescent="0.2">
      <c r="B123" s="6"/>
      <c r="C123" s="6"/>
      <c r="D123" s="70"/>
      <c r="E123" s="70"/>
      <c r="F123" s="71"/>
      <c r="G123" s="81"/>
      <c r="H123" s="7"/>
      <c r="I123" s="7"/>
      <c r="J123" s="74">
        <f t="shared" si="26"/>
        <v>0</v>
      </c>
      <c r="K123" s="75" t="e">
        <f t="shared" si="27"/>
        <v>#N/A</v>
      </c>
      <c r="L123" s="15"/>
      <c r="M123" s="72" t="e">
        <f>VLOOKUP(L123,allgemein!$B$3:$C$11,2,FALSE)</f>
        <v>#N/A</v>
      </c>
      <c r="N123" s="14"/>
      <c r="O123" s="13"/>
      <c r="P123" s="85"/>
      <c r="Q123" s="6"/>
      <c r="R123" s="6"/>
    </row>
    <row r="124" spans="2:18" x14ac:dyDescent="0.2">
      <c r="B124" s="6"/>
      <c r="C124" s="6"/>
      <c r="D124" s="70"/>
      <c r="E124" s="70"/>
      <c r="F124" s="71"/>
      <c r="G124" s="81"/>
      <c r="H124" s="7"/>
      <c r="I124" s="7"/>
      <c r="J124" s="74">
        <f t="shared" si="26"/>
        <v>0</v>
      </c>
      <c r="K124" s="75" t="e">
        <f t="shared" si="27"/>
        <v>#N/A</v>
      </c>
      <c r="L124" s="15"/>
      <c r="M124" s="72" t="e">
        <f>VLOOKUP(L124,allgemein!$B$3:$C$11,2,FALSE)</f>
        <v>#N/A</v>
      </c>
      <c r="N124" s="14"/>
      <c r="O124" s="5"/>
      <c r="P124" s="85"/>
      <c r="Q124" s="6"/>
      <c r="R124" s="6"/>
    </row>
    <row r="125" spans="2:18" x14ac:dyDescent="0.2">
      <c r="B125" s="6"/>
      <c r="C125" s="6"/>
      <c r="D125" s="70"/>
      <c r="E125" s="70"/>
      <c r="F125" s="71"/>
      <c r="G125" s="81"/>
      <c r="H125" s="7"/>
      <c r="I125" s="7"/>
      <c r="J125" s="74">
        <f t="shared" si="26"/>
        <v>0</v>
      </c>
      <c r="K125" s="75" t="e">
        <f t="shared" si="27"/>
        <v>#N/A</v>
      </c>
      <c r="L125" s="15"/>
      <c r="M125" s="72" t="e">
        <f>VLOOKUP(L125,allgemein!$B$3:$C$11,2,FALSE)</f>
        <v>#N/A</v>
      </c>
      <c r="N125" s="14"/>
      <c r="O125" s="5"/>
      <c r="P125" s="85"/>
      <c r="Q125" s="6"/>
      <c r="R125" s="6"/>
    </row>
    <row r="126" spans="2:18" x14ac:dyDescent="0.2">
      <c r="B126" s="6"/>
      <c r="C126" s="6"/>
      <c r="D126" s="70"/>
      <c r="E126" s="70"/>
      <c r="F126" s="71"/>
      <c r="G126" s="81"/>
      <c r="H126" s="7"/>
      <c r="I126" s="7"/>
      <c r="J126" s="74">
        <f t="shared" si="26"/>
        <v>0</v>
      </c>
      <c r="K126" s="75" t="e">
        <f t="shared" si="27"/>
        <v>#N/A</v>
      </c>
      <c r="L126" s="15"/>
      <c r="M126" s="72" t="e">
        <f>VLOOKUP(L126,allgemein!$B$3:$C$11,2,FALSE)</f>
        <v>#N/A</v>
      </c>
      <c r="N126" s="14"/>
      <c r="O126" s="5"/>
      <c r="P126" s="85"/>
      <c r="Q126" s="6"/>
      <c r="R126" s="6"/>
    </row>
    <row r="127" spans="2:18" x14ac:dyDescent="0.2">
      <c r="B127" s="6"/>
      <c r="C127" s="6"/>
      <c r="D127" s="70"/>
      <c r="E127" s="70"/>
      <c r="F127" s="71"/>
      <c r="G127" s="81"/>
      <c r="H127" s="7"/>
      <c r="I127" s="7"/>
      <c r="J127" s="74">
        <f t="shared" si="26"/>
        <v>0</v>
      </c>
      <c r="K127" s="75" t="e">
        <f t="shared" si="27"/>
        <v>#N/A</v>
      </c>
      <c r="L127" s="15"/>
      <c r="M127" s="72" t="e">
        <f>VLOOKUP(L127,allgemein!$B$3:$C$11,2,FALSE)</f>
        <v>#N/A</v>
      </c>
      <c r="N127" s="14"/>
      <c r="O127" s="5"/>
      <c r="P127" s="85"/>
      <c r="Q127" s="6"/>
      <c r="R127" s="6"/>
    </row>
    <row r="128" spans="2:18" x14ac:dyDescent="0.2">
      <c r="B128" s="6"/>
      <c r="C128" s="6"/>
      <c r="D128" s="70"/>
      <c r="E128" s="70"/>
      <c r="F128" s="71"/>
      <c r="G128" s="81"/>
      <c r="H128" s="7"/>
      <c r="I128" s="7"/>
      <c r="J128" s="74">
        <f t="shared" si="26"/>
        <v>0</v>
      </c>
      <c r="K128" s="75" t="e">
        <f t="shared" si="27"/>
        <v>#N/A</v>
      </c>
      <c r="L128" s="15"/>
      <c r="M128" s="72" t="e">
        <f>VLOOKUP(L128,allgemein!$B$3:$C$11,2,FALSE)</f>
        <v>#N/A</v>
      </c>
      <c r="N128" s="14"/>
      <c r="O128" s="5"/>
      <c r="P128" s="85"/>
      <c r="Q128" s="6"/>
      <c r="R128" s="6"/>
    </row>
    <row r="129" spans="2:18" x14ac:dyDescent="0.2">
      <c r="B129" s="6"/>
      <c r="C129" s="6"/>
      <c r="D129" s="70"/>
      <c r="E129" s="70"/>
      <c r="F129" s="71"/>
      <c r="G129" s="81"/>
      <c r="H129" s="7"/>
      <c r="I129" s="7"/>
      <c r="J129" s="74">
        <f t="shared" si="26"/>
        <v>0</v>
      </c>
      <c r="K129" s="75" t="e">
        <f t="shared" si="27"/>
        <v>#N/A</v>
      </c>
      <c r="L129" s="15"/>
      <c r="M129" s="72" t="e">
        <f>VLOOKUP(L129,allgemein!$B$3:$C$11,2,FALSE)</f>
        <v>#N/A</v>
      </c>
      <c r="N129" s="14"/>
      <c r="O129" s="5"/>
      <c r="P129" s="85"/>
      <c r="Q129" s="6"/>
      <c r="R129" s="6"/>
    </row>
    <row r="130" spans="2:18" x14ac:dyDescent="0.2">
      <c r="B130" s="6"/>
      <c r="C130" s="6"/>
      <c r="D130" s="70"/>
      <c r="E130" s="70"/>
      <c r="F130" s="71"/>
      <c r="G130" s="81"/>
      <c r="H130" s="7"/>
      <c r="I130" s="7"/>
      <c r="J130" s="74">
        <f t="shared" si="26"/>
        <v>0</v>
      </c>
      <c r="K130" s="75" t="e">
        <f t="shared" si="27"/>
        <v>#N/A</v>
      </c>
      <c r="L130" s="15"/>
      <c r="M130" s="72" t="e">
        <f>VLOOKUP(L130,allgemein!$B$3:$C$11,2,FALSE)</f>
        <v>#N/A</v>
      </c>
      <c r="N130" s="14"/>
      <c r="O130" s="5"/>
      <c r="P130" s="85"/>
      <c r="Q130" s="6"/>
      <c r="R130" s="6"/>
    </row>
    <row r="131" spans="2:18" x14ac:dyDescent="0.2">
      <c r="B131" s="6"/>
      <c r="C131" s="6"/>
      <c r="D131" s="70"/>
      <c r="E131" s="70"/>
      <c r="F131" s="71"/>
      <c r="G131" s="81"/>
      <c r="H131" s="7"/>
      <c r="I131" s="7"/>
      <c r="J131" s="74">
        <f t="shared" si="26"/>
        <v>0</v>
      </c>
      <c r="K131" s="75" t="e">
        <f t="shared" si="27"/>
        <v>#N/A</v>
      </c>
      <c r="L131" s="15"/>
      <c r="M131" s="72" t="e">
        <f>VLOOKUP(L131,allgemein!$B$3:$C$11,2,FALSE)</f>
        <v>#N/A</v>
      </c>
      <c r="N131" s="14"/>
      <c r="O131" s="5"/>
      <c r="P131" s="85"/>
      <c r="Q131" s="6"/>
      <c r="R131" s="6"/>
    </row>
    <row r="132" spans="2:18" x14ac:dyDescent="0.2">
      <c r="B132" s="6"/>
      <c r="C132" s="6"/>
      <c r="D132" s="70"/>
      <c r="E132" s="70"/>
      <c r="F132" s="71"/>
      <c r="G132" s="81"/>
      <c r="H132" s="7"/>
      <c r="I132" s="7"/>
      <c r="J132" s="74">
        <f t="shared" si="26"/>
        <v>0</v>
      </c>
      <c r="K132" s="75" t="e">
        <f t="shared" si="27"/>
        <v>#N/A</v>
      </c>
      <c r="L132" s="15"/>
      <c r="M132" s="72" t="e">
        <f>VLOOKUP(L132,allgemein!$B$3:$C$11,2,FALSE)</f>
        <v>#N/A</v>
      </c>
      <c r="N132" s="14"/>
      <c r="O132" s="5"/>
      <c r="P132" s="85"/>
      <c r="Q132" s="6"/>
      <c r="R132" s="6"/>
    </row>
    <row r="133" spans="2:18" x14ac:dyDescent="0.2">
      <c r="B133" s="6"/>
      <c r="C133" s="6"/>
      <c r="D133" s="70"/>
      <c r="E133" s="70"/>
      <c r="F133" s="71"/>
      <c r="G133" s="81"/>
      <c r="H133" s="7"/>
      <c r="I133" s="7"/>
      <c r="J133" s="74">
        <f t="shared" ref="J133:J135" si="30">H133-I133</f>
        <v>0</v>
      </c>
      <c r="K133" s="75" t="e">
        <f t="shared" ref="K133:K135" si="31">(F133*(273.15+D133)/273.15)/(M133*N133)</f>
        <v>#N/A</v>
      </c>
      <c r="L133" s="15"/>
      <c r="M133" s="72" t="e">
        <f>VLOOKUP(L133,allgemein!$B$3:$C$11,2,FALSE)</f>
        <v>#N/A</v>
      </c>
      <c r="N133" s="14"/>
      <c r="O133" s="5"/>
      <c r="P133" s="85"/>
      <c r="Q133" s="6"/>
      <c r="R133" s="6"/>
    </row>
    <row r="134" spans="2:18" x14ac:dyDescent="0.2">
      <c r="B134" s="6"/>
      <c r="C134" s="6"/>
      <c r="D134" s="70"/>
      <c r="E134" s="70"/>
      <c r="F134" s="71"/>
      <c r="G134" s="81"/>
      <c r="H134" s="7"/>
      <c r="I134" s="7"/>
      <c r="J134" s="74">
        <f t="shared" si="30"/>
        <v>0</v>
      </c>
      <c r="K134" s="75" t="e">
        <f t="shared" si="31"/>
        <v>#N/A</v>
      </c>
      <c r="L134" s="15"/>
      <c r="M134" s="72" t="e">
        <f>VLOOKUP(L134,allgemein!$B$3:$C$11,2,FALSE)</f>
        <v>#N/A</v>
      </c>
      <c r="N134" s="14"/>
      <c r="O134" s="5"/>
      <c r="P134" s="85"/>
      <c r="Q134" s="6"/>
      <c r="R134" s="6"/>
    </row>
    <row r="135" spans="2:18" x14ac:dyDescent="0.2">
      <c r="B135" s="6"/>
      <c r="C135" s="6"/>
      <c r="D135" s="70"/>
      <c r="E135" s="70"/>
      <c r="F135" s="71"/>
      <c r="G135" s="81"/>
      <c r="H135" s="7"/>
      <c r="I135" s="7"/>
      <c r="J135" s="74">
        <f t="shared" si="30"/>
        <v>0</v>
      </c>
      <c r="K135" s="75" t="e">
        <f t="shared" si="31"/>
        <v>#N/A</v>
      </c>
      <c r="L135" s="15"/>
      <c r="M135" s="72" t="e">
        <f>VLOOKUP(L135,allgemein!$B$3:$C$11,2,FALSE)</f>
        <v>#N/A</v>
      </c>
      <c r="N135" s="14"/>
      <c r="O135" s="5"/>
      <c r="P135" s="85"/>
      <c r="Q135" s="6"/>
      <c r="R135" s="6"/>
    </row>
    <row r="136" spans="2:18" s="9" customFormat="1" x14ac:dyDescent="0.2">
      <c r="B136" s="10"/>
      <c r="C136" s="11"/>
      <c r="D136" s="63"/>
      <c r="E136" s="11"/>
      <c r="F136" s="65"/>
      <c r="G136" s="12"/>
      <c r="H136" s="41"/>
      <c r="I136" s="30"/>
      <c r="J136" s="30"/>
      <c r="K136" s="30"/>
      <c r="L136" s="11"/>
      <c r="M136" s="11"/>
      <c r="N136" s="11"/>
      <c r="O136" s="11"/>
      <c r="P136" s="82"/>
    </row>
    <row r="137" spans="2:18" s="9" customFormat="1" x14ac:dyDescent="0.2">
      <c r="B137" s="10"/>
      <c r="C137" s="11"/>
      <c r="D137" s="63"/>
      <c r="E137" s="11"/>
      <c r="F137" s="65"/>
      <c r="G137" s="12"/>
      <c r="H137" s="41"/>
      <c r="I137" s="30"/>
      <c r="J137" s="30"/>
      <c r="K137" s="30"/>
      <c r="L137" s="11"/>
      <c r="M137" s="11"/>
      <c r="N137" s="11"/>
      <c r="O137" s="11"/>
      <c r="P137" s="82"/>
    </row>
    <row r="138" spans="2:18" s="9" customFormat="1" x14ac:dyDescent="0.2">
      <c r="B138" s="10"/>
      <c r="C138" s="11"/>
      <c r="D138" s="63"/>
      <c r="E138" s="11"/>
      <c r="F138" s="65"/>
      <c r="G138" s="12"/>
      <c r="H138" s="41"/>
      <c r="I138" s="30"/>
      <c r="J138" s="30"/>
      <c r="K138" s="30"/>
      <c r="L138" s="11"/>
      <c r="M138" s="11"/>
      <c r="N138" s="11"/>
      <c r="O138" s="11"/>
      <c r="P138" s="82"/>
    </row>
    <row r="139" spans="2:18" s="9" customFormat="1" x14ac:dyDescent="0.2">
      <c r="B139" s="10"/>
      <c r="C139" s="11"/>
      <c r="D139" s="63"/>
      <c r="E139" s="11"/>
      <c r="F139" s="65"/>
      <c r="G139" s="12"/>
      <c r="H139" s="41"/>
      <c r="I139" s="30"/>
      <c r="J139" s="30"/>
      <c r="K139" s="30"/>
      <c r="L139" s="11"/>
      <c r="M139" s="11"/>
      <c r="N139" s="11"/>
      <c r="O139" s="11"/>
      <c r="P139" s="82"/>
    </row>
    <row r="140" spans="2:18" s="9" customFormat="1" x14ac:dyDescent="0.2">
      <c r="B140" s="10"/>
      <c r="C140" s="11"/>
      <c r="D140" s="63"/>
      <c r="E140" s="11"/>
      <c r="F140" s="65"/>
      <c r="G140" s="12"/>
      <c r="H140" s="41"/>
      <c r="I140" s="30"/>
      <c r="J140" s="30"/>
      <c r="K140" s="30"/>
      <c r="L140" s="11"/>
      <c r="M140" s="11"/>
      <c r="N140" s="11"/>
      <c r="O140" s="11"/>
      <c r="P140" s="82"/>
    </row>
    <row r="141" spans="2:18" s="9" customFormat="1" x14ac:dyDescent="0.2">
      <c r="B141" s="10"/>
      <c r="C141" s="11"/>
      <c r="D141" s="63"/>
      <c r="E141" s="11"/>
      <c r="F141" s="65"/>
      <c r="G141" s="12"/>
      <c r="H141" s="41"/>
      <c r="I141" s="30"/>
      <c r="J141" s="30"/>
      <c r="K141" s="30"/>
      <c r="L141" s="11"/>
      <c r="M141" s="11"/>
      <c r="N141" s="11"/>
      <c r="O141" s="11"/>
      <c r="P141" s="82"/>
    </row>
    <row r="142" spans="2:18" s="9" customFormat="1" x14ac:dyDescent="0.2">
      <c r="B142" s="10"/>
      <c r="C142" s="11"/>
      <c r="D142" s="63"/>
      <c r="E142" s="11"/>
      <c r="F142" s="65"/>
      <c r="G142" s="12"/>
      <c r="H142" s="41"/>
      <c r="I142" s="30"/>
      <c r="J142" s="30"/>
      <c r="K142" s="30"/>
      <c r="L142" s="11"/>
      <c r="M142" s="11"/>
      <c r="N142" s="11"/>
      <c r="O142" s="11"/>
      <c r="P142" s="82"/>
    </row>
    <row r="143" spans="2:18" s="9" customFormat="1" x14ac:dyDescent="0.2">
      <c r="B143" s="10"/>
      <c r="C143" s="11"/>
      <c r="D143" s="63"/>
      <c r="E143" s="11"/>
      <c r="F143" s="65"/>
      <c r="G143" s="12"/>
      <c r="H143" s="41"/>
      <c r="I143" s="30"/>
      <c r="J143" s="30"/>
      <c r="K143" s="30"/>
      <c r="L143" s="11"/>
      <c r="M143" s="11"/>
      <c r="N143" s="11"/>
      <c r="O143" s="11"/>
      <c r="P143" s="82"/>
    </row>
    <row r="144" spans="2:18" s="9" customFormat="1" x14ac:dyDescent="0.2">
      <c r="B144" s="10"/>
      <c r="C144" s="11"/>
      <c r="D144" s="63"/>
      <c r="E144" s="11"/>
      <c r="F144" s="65"/>
      <c r="G144" s="12"/>
      <c r="H144" s="41"/>
      <c r="I144" s="30"/>
      <c r="J144" s="30"/>
      <c r="K144" s="30"/>
      <c r="L144" s="11"/>
      <c r="M144" s="11"/>
      <c r="N144" s="11"/>
      <c r="O144" s="11"/>
      <c r="P144" s="82"/>
    </row>
    <row r="145" spans="2:16" s="9" customFormat="1" x14ac:dyDescent="0.2">
      <c r="B145" s="10"/>
      <c r="C145" s="11"/>
      <c r="D145" s="63"/>
      <c r="E145" s="11"/>
      <c r="F145" s="65"/>
      <c r="G145" s="12"/>
      <c r="H145" s="41"/>
      <c r="I145" s="30"/>
      <c r="J145" s="30"/>
      <c r="K145" s="30"/>
      <c r="L145" s="11"/>
      <c r="M145" s="11"/>
      <c r="N145" s="11"/>
      <c r="O145" s="11"/>
      <c r="P145" s="82"/>
    </row>
    <row r="146" spans="2:16" s="9" customFormat="1" x14ac:dyDescent="0.2">
      <c r="B146" s="10"/>
      <c r="C146" s="11"/>
      <c r="D146" s="63"/>
      <c r="E146" s="11"/>
      <c r="F146" s="65"/>
      <c r="G146" s="12"/>
      <c r="H146" s="41"/>
      <c r="I146" s="30"/>
      <c r="J146" s="30"/>
      <c r="K146" s="30"/>
      <c r="L146" s="11"/>
      <c r="M146" s="11"/>
      <c r="N146" s="11"/>
      <c r="O146" s="11"/>
      <c r="P146" s="82"/>
    </row>
    <row r="147" spans="2:16" s="9" customFormat="1" x14ac:dyDescent="0.2">
      <c r="B147" s="10"/>
      <c r="C147" s="11"/>
      <c r="D147" s="63"/>
      <c r="E147" s="11"/>
      <c r="F147" s="65"/>
      <c r="G147" s="12"/>
      <c r="H147" s="41"/>
      <c r="I147" s="30"/>
      <c r="J147" s="30"/>
      <c r="K147" s="30"/>
      <c r="L147" s="11"/>
      <c r="M147" s="11"/>
      <c r="N147" s="11"/>
      <c r="O147" s="11"/>
      <c r="P147" s="82"/>
    </row>
    <row r="148" spans="2:16" s="9" customFormat="1" x14ac:dyDescent="0.2">
      <c r="B148" s="10"/>
      <c r="C148" s="11"/>
      <c r="D148" s="63"/>
      <c r="E148" s="11"/>
      <c r="F148" s="65"/>
      <c r="G148" s="12"/>
      <c r="H148" s="41"/>
      <c r="I148" s="30"/>
      <c r="J148" s="30"/>
      <c r="K148" s="30"/>
      <c r="L148" s="11"/>
      <c r="M148" s="11"/>
      <c r="N148" s="11"/>
      <c r="O148" s="11"/>
      <c r="P148" s="82"/>
    </row>
    <row r="149" spans="2:16" s="9" customFormat="1" x14ac:dyDescent="0.2">
      <c r="B149" s="10"/>
      <c r="C149" s="11"/>
      <c r="D149" s="63"/>
      <c r="E149" s="11"/>
      <c r="F149" s="65"/>
      <c r="G149" s="12"/>
      <c r="H149" s="41"/>
      <c r="I149" s="30"/>
      <c r="J149" s="30"/>
      <c r="K149" s="30"/>
      <c r="L149" s="11"/>
      <c r="M149" s="11"/>
      <c r="N149" s="11"/>
      <c r="O149" s="11"/>
      <c r="P149" s="82"/>
    </row>
    <row r="150" spans="2:16" s="9" customFormat="1" x14ac:dyDescent="0.2">
      <c r="B150" s="10"/>
      <c r="C150" s="11"/>
      <c r="D150" s="63"/>
      <c r="E150" s="11"/>
      <c r="F150" s="65"/>
      <c r="G150" s="12"/>
      <c r="H150" s="41"/>
      <c r="I150" s="30"/>
      <c r="J150" s="30"/>
      <c r="K150" s="30"/>
      <c r="L150" s="11"/>
      <c r="M150" s="11"/>
      <c r="N150" s="11"/>
      <c r="O150" s="11"/>
      <c r="P150" s="82"/>
    </row>
    <row r="151" spans="2:16" s="9" customFormat="1" x14ac:dyDescent="0.2">
      <c r="B151" s="10"/>
      <c r="C151" s="11"/>
      <c r="D151" s="63"/>
      <c r="E151" s="11"/>
      <c r="F151" s="65"/>
      <c r="G151" s="12"/>
      <c r="H151" s="41"/>
      <c r="I151" s="30"/>
      <c r="J151" s="30"/>
      <c r="K151" s="30"/>
      <c r="L151" s="11"/>
      <c r="M151" s="11"/>
      <c r="N151" s="11"/>
      <c r="O151" s="11"/>
      <c r="P151" s="82"/>
    </row>
    <row r="152" spans="2:16" s="9" customFormat="1" x14ac:dyDescent="0.2">
      <c r="B152" s="10"/>
      <c r="C152" s="11"/>
      <c r="D152" s="63"/>
      <c r="E152" s="11"/>
      <c r="F152" s="65"/>
      <c r="G152" s="12"/>
      <c r="H152" s="41"/>
      <c r="I152" s="30"/>
      <c r="J152" s="30"/>
      <c r="K152" s="30"/>
      <c r="L152" s="11"/>
      <c r="M152" s="11"/>
      <c r="N152" s="11"/>
      <c r="O152" s="11"/>
      <c r="P152" s="82"/>
    </row>
    <row r="153" spans="2:16" s="9" customFormat="1" x14ac:dyDescent="0.2">
      <c r="B153" s="10"/>
      <c r="C153" s="11"/>
      <c r="D153" s="63"/>
      <c r="E153" s="11"/>
      <c r="F153" s="65"/>
      <c r="G153" s="12"/>
      <c r="H153" s="41"/>
      <c r="I153" s="30"/>
      <c r="J153" s="30"/>
      <c r="K153" s="30"/>
      <c r="L153" s="11"/>
      <c r="M153" s="11"/>
      <c r="N153" s="11"/>
      <c r="O153" s="11"/>
      <c r="P153" s="82"/>
    </row>
    <row r="154" spans="2:16" s="9" customFormat="1" x14ac:dyDescent="0.2">
      <c r="B154" s="10"/>
      <c r="C154" s="11"/>
      <c r="D154" s="63"/>
      <c r="E154" s="11"/>
      <c r="F154" s="65"/>
      <c r="G154" s="12"/>
      <c r="H154" s="41"/>
      <c r="I154" s="30"/>
      <c r="J154" s="30"/>
      <c r="K154" s="30"/>
      <c r="L154" s="11"/>
      <c r="M154" s="11"/>
      <c r="N154" s="11"/>
      <c r="O154" s="11"/>
      <c r="P154" s="82"/>
    </row>
    <row r="155" spans="2:16" s="9" customFormat="1" x14ac:dyDescent="0.2">
      <c r="B155" s="10"/>
      <c r="C155" s="11"/>
      <c r="D155" s="63"/>
      <c r="E155" s="11"/>
      <c r="F155" s="65"/>
      <c r="G155" s="12"/>
      <c r="H155" s="41"/>
      <c r="I155" s="30"/>
      <c r="J155" s="30"/>
      <c r="K155" s="30"/>
      <c r="L155" s="11"/>
      <c r="M155" s="11"/>
      <c r="N155" s="11"/>
      <c r="O155" s="11"/>
      <c r="P155" s="82"/>
    </row>
    <row r="156" spans="2:16" s="9" customFormat="1" x14ac:dyDescent="0.2">
      <c r="B156" s="10"/>
      <c r="C156" s="11"/>
      <c r="D156" s="63"/>
      <c r="E156" s="11"/>
      <c r="F156" s="65"/>
      <c r="G156" s="12"/>
      <c r="H156" s="41"/>
      <c r="I156" s="30"/>
      <c r="J156" s="30"/>
      <c r="K156" s="30"/>
      <c r="L156" s="11"/>
      <c r="M156" s="11"/>
      <c r="N156" s="11"/>
      <c r="O156" s="11"/>
      <c r="P156" s="82"/>
    </row>
    <row r="157" spans="2:16" s="9" customFormat="1" x14ac:dyDescent="0.2">
      <c r="B157" s="10"/>
      <c r="C157" s="11"/>
      <c r="D157" s="63"/>
      <c r="E157" s="11"/>
      <c r="F157" s="65"/>
      <c r="G157" s="12"/>
      <c r="H157" s="41"/>
      <c r="I157" s="30"/>
      <c r="J157" s="30"/>
      <c r="K157" s="30"/>
      <c r="L157" s="11"/>
      <c r="M157" s="11"/>
      <c r="N157" s="11"/>
      <c r="O157" s="11"/>
      <c r="P157" s="82"/>
    </row>
    <row r="158" spans="2:16" s="9" customFormat="1" x14ac:dyDescent="0.2">
      <c r="B158" s="10"/>
      <c r="C158" s="11"/>
      <c r="D158" s="63"/>
      <c r="E158" s="11"/>
      <c r="F158" s="65"/>
      <c r="G158" s="12"/>
      <c r="H158" s="41"/>
      <c r="I158" s="30"/>
      <c r="J158" s="30"/>
      <c r="K158" s="30"/>
      <c r="L158" s="11"/>
      <c r="M158" s="11"/>
      <c r="N158" s="11"/>
      <c r="O158" s="11"/>
      <c r="P158" s="82"/>
    </row>
    <row r="159" spans="2:16" s="9" customFormat="1" x14ac:dyDescent="0.2">
      <c r="B159" s="10"/>
      <c r="C159" s="11"/>
      <c r="D159" s="63"/>
      <c r="E159" s="11"/>
      <c r="F159" s="65"/>
      <c r="G159" s="12"/>
      <c r="H159" s="41"/>
      <c r="I159" s="30"/>
      <c r="J159" s="30"/>
      <c r="K159" s="30"/>
      <c r="L159" s="11"/>
      <c r="M159" s="11"/>
      <c r="N159" s="11"/>
      <c r="O159" s="11"/>
      <c r="P159" s="82"/>
    </row>
    <row r="160" spans="2:16" s="9" customFormat="1" x14ac:dyDescent="0.2">
      <c r="B160" s="10"/>
      <c r="C160" s="11"/>
      <c r="D160" s="63"/>
      <c r="E160" s="11"/>
      <c r="F160" s="65"/>
      <c r="G160" s="12"/>
      <c r="H160" s="41"/>
      <c r="I160" s="30"/>
      <c r="J160" s="30"/>
      <c r="K160" s="30"/>
      <c r="L160" s="11"/>
      <c r="M160" s="11"/>
      <c r="N160" s="11"/>
      <c r="O160" s="11"/>
      <c r="P160" s="82"/>
    </row>
    <row r="161" spans="2:16" s="9" customFormat="1" x14ac:dyDescent="0.2">
      <c r="B161" s="10"/>
      <c r="C161" s="11"/>
      <c r="D161" s="63"/>
      <c r="E161" s="11"/>
      <c r="F161" s="65"/>
      <c r="G161" s="12"/>
      <c r="H161" s="41"/>
      <c r="I161" s="30"/>
      <c r="J161" s="30"/>
      <c r="K161" s="30"/>
      <c r="L161" s="11"/>
      <c r="M161" s="11"/>
      <c r="N161" s="11"/>
      <c r="O161" s="11"/>
      <c r="P161" s="82"/>
    </row>
    <row r="162" spans="2:16" s="9" customFormat="1" x14ac:dyDescent="0.2">
      <c r="B162" s="10"/>
      <c r="C162" s="11"/>
      <c r="D162" s="63"/>
      <c r="E162" s="11"/>
      <c r="F162" s="65"/>
      <c r="G162" s="12"/>
      <c r="H162" s="41"/>
      <c r="I162" s="30"/>
      <c r="J162" s="30"/>
      <c r="K162" s="30"/>
      <c r="L162" s="11"/>
      <c r="M162" s="11"/>
      <c r="N162" s="11"/>
      <c r="O162" s="11"/>
      <c r="P162" s="82"/>
    </row>
    <row r="163" spans="2:16" s="9" customFormat="1" x14ac:dyDescent="0.2">
      <c r="B163" s="10"/>
      <c r="C163" s="11"/>
      <c r="D163" s="63"/>
      <c r="E163" s="11"/>
      <c r="F163" s="65"/>
      <c r="G163" s="12"/>
      <c r="H163" s="41"/>
      <c r="I163" s="30"/>
      <c r="J163" s="30"/>
      <c r="K163" s="30"/>
      <c r="L163" s="11"/>
      <c r="M163" s="11"/>
      <c r="N163" s="11"/>
      <c r="O163" s="11"/>
      <c r="P163" s="82"/>
    </row>
    <row r="164" spans="2:16" s="9" customFormat="1" x14ac:dyDescent="0.2">
      <c r="B164" s="10"/>
      <c r="C164" s="11"/>
      <c r="D164" s="63"/>
      <c r="E164" s="11"/>
      <c r="F164" s="65"/>
      <c r="G164" s="12"/>
      <c r="H164" s="41"/>
      <c r="I164" s="30"/>
      <c r="J164" s="30"/>
      <c r="K164" s="30"/>
      <c r="L164" s="11"/>
      <c r="M164" s="11"/>
      <c r="N164" s="11"/>
      <c r="O164" s="11"/>
      <c r="P164" s="82"/>
    </row>
    <row r="165" spans="2:16" s="9" customFormat="1" x14ac:dyDescent="0.2">
      <c r="B165" s="10"/>
      <c r="C165" s="11"/>
      <c r="D165" s="63"/>
      <c r="E165" s="11"/>
      <c r="F165" s="65"/>
      <c r="G165" s="12"/>
      <c r="H165" s="41"/>
      <c r="I165" s="30"/>
      <c r="J165" s="30"/>
      <c r="K165" s="30"/>
      <c r="L165" s="11"/>
      <c r="M165" s="11"/>
      <c r="N165" s="11"/>
      <c r="O165" s="11"/>
      <c r="P165" s="82"/>
    </row>
    <row r="166" spans="2:16" s="9" customFormat="1" x14ac:dyDescent="0.2">
      <c r="B166" s="10"/>
      <c r="C166" s="11"/>
      <c r="D166" s="63"/>
      <c r="E166" s="11"/>
      <c r="F166" s="65"/>
      <c r="G166" s="12"/>
      <c r="H166" s="41"/>
      <c r="I166" s="30"/>
      <c r="J166" s="30"/>
      <c r="K166" s="30"/>
      <c r="L166" s="11"/>
      <c r="M166" s="11"/>
      <c r="N166" s="11"/>
      <c r="O166" s="11"/>
      <c r="P166" s="82"/>
    </row>
    <row r="167" spans="2:16" s="9" customFormat="1" x14ac:dyDescent="0.2">
      <c r="B167" s="10"/>
      <c r="C167" s="11"/>
      <c r="D167" s="63"/>
      <c r="E167" s="11"/>
      <c r="F167" s="65"/>
      <c r="G167" s="12"/>
      <c r="H167" s="41"/>
      <c r="I167" s="30"/>
      <c r="J167" s="30"/>
      <c r="K167" s="30"/>
      <c r="L167" s="11"/>
      <c r="M167" s="11"/>
      <c r="N167" s="11"/>
      <c r="O167" s="11"/>
      <c r="P167" s="82"/>
    </row>
    <row r="168" spans="2:16" s="9" customFormat="1" x14ac:dyDescent="0.2">
      <c r="B168" s="10"/>
      <c r="C168" s="11"/>
      <c r="D168" s="63"/>
      <c r="E168" s="11"/>
      <c r="F168" s="65"/>
      <c r="G168" s="12"/>
      <c r="H168" s="41"/>
      <c r="I168" s="30"/>
      <c r="J168" s="30"/>
      <c r="K168" s="30"/>
      <c r="L168" s="11"/>
      <c r="M168" s="11"/>
      <c r="N168" s="11"/>
      <c r="O168" s="11"/>
      <c r="P168" s="82"/>
    </row>
    <row r="169" spans="2:16" s="9" customFormat="1" x14ac:dyDescent="0.2">
      <c r="B169" s="10"/>
      <c r="C169" s="11"/>
      <c r="D169" s="63"/>
      <c r="E169" s="11"/>
      <c r="F169" s="65"/>
      <c r="G169" s="12"/>
      <c r="H169" s="41"/>
      <c r="I169" s="30"/>
      <c r="J169" s="30"/>
      <c r="K169" s="30"/>
      <c r="L169" s="11"/>
      <c r="M169" s="11"/>
      <c r="N169" s="11"/>
      <c r="O169" s="11"/>
      <c r="P169" s="82"/>
    </row>
    <row r="170" spans="2:16" s="9" customFormat="1" x14ac:dyDescent="0.2">
      <c r="B170" s="10"/>
      <c r="C170" s="11"/>
      <c r="D170" s="63"/>
      <c r="E170" s="11"/>
      <c r="F170" s="65"/>
      <c r="G170" s="12"/>
      <c r="H170" s="41"/>
      <c r="I170" s="30"/>
      <c r="J170" s="30"/>
      <c r="K170" s="30"/>
      <c r="L170" s="11"/>
      <c r="M170" s="11"/>
      <c r="N170" s="11"/>
      <c r="O170" s="11"/>
      <c r="P170" s="82"/>
    </row>
    <row r="171" spans="2:16" s="9" customFormat="1" x14ac:dyDescent="0.2">
      <c r="B171" s="10"/>
      <c r="C171" s="11"/>
      <c r="D171" s="63"/>
      <c r="E171" s="11"/>
      <c r="F171" s="65"/>
      <c r="G171" s="12"/>
      <c r="H171" s="41"/>
      <c r="I171" s="30"/>
      <c r="J171" s="30"/>
      <c r="K171" s="30"/>
      <c r="L171" s="11"/>
      <c r="M171" s="11"/>
      <c r="N171" s="11"/>
      <c r="O171" s="11"/>
      <c r="P171" s="82"/>
    </row>
    <row r="172" spans="2:16" s="9" customFormat="1" x14ac:dyDescent="0.2">
      <c r="B172" s="10"/>
      <c r="C172" s="11"/>
      <c r="D172" s="63"/>
      <c r="E172" s="11"/>
      <c r="F172" s="65"/>
      <c r="G172" s="12"/>
      <c r="H172" s="41"/>
      <c r="I172" s="30"/>
      <c r="J172" s="30"/>
      <c r="K172" s="30"/>
      <c r="L172" s="11"/>
      <c r="M172" s="11"/>
      <c r="N172" s="11"/>
      <c r="O172" s="11"/>
      <c r="P172" s="82"/>
    </row>
    <row r="173" spans="2:16" s="9" customFormat="1" x14ac:dyDescent="0.2">
      <c r="B173" s="10"/>
      <c r="C173" s="11"/>
      <c r="D173" s="63"/>
      <c r="E173" s="11"/>
      <c r="F173" s="65"/>
      <c r="G173" s="12"/>
      <c r="H173" s="41"/>
      <c r="I173" s="30"/>
      <c r="J173" s="30"/>
      <c r="K173" s="30"/>
      <c r="L173" s="11"/>
      <c r="M173" s="11"/>
      <c r="N173" s="11"/>
      <c r="O173" s="11"/>
      <c r="P173" s="82"/>
    </row>
    <row r="174" spans="2:16" s="9" customFormat="1" x14ac:dyDescent="0.2">
      <c r="B174" s="10"/>
      <c r="C174" s="11"/>
      <c r="D174" s="63"/>
      <c r="E174" s="11"/>
      <c r="F174" s="65"/>
      <c r="G174" s="12"/>
      <c r="H174" s="41"/>
      <c r="I174" s="30"/>
      <c r="J174" s="30"/>
      <c r="K174" s="30"/>
      <c r="L174" s="11"/>
      <c r="M174" s="11"/>
      <c r="N174" s="11"/>
      <c r="O174" s="11"/>
      <c r="P174" s="82"/>
    </row>
    <row r="175" spans="2:16" s="9" customFormat="1" x14ac:dyDescent="0.2">
      <c r="B175" s="10"/>
      <c r="C175" s="11"/>
      <c r="D175" s="63"/>
      <c r="E175" s="11"/>
      <c r="F175" s="65"/>
      <c r="G175" s="12"/>
      <c r="H175" s="41"/>
      <c r="I175" s="30"/>
      <c r="J175" s="30"/>
      <c r="K175" s="30"/>
      <c r="L175" s="11"/>
      <c r="M175" s="11"/>
      <c r="N175" s="11"/>
      <c r="O175" s="11"/>
      <c r="P175" s="82"/>
    </row>
    <row r="176" spans="2:16" s="9" customFormat="1" x14ac:dyDescent="0.2">
      <c r="B176" s="10"/>
      <c r="C176" s="11"/>
      <c r="D176" s="63"/>
      <c r="E176" s="11"/>
      <c r="F176" s="65"/>
      <c r="G176" s="12"/>
      <c r="H176" s="41"/>
      <c r="I176" s="30"/>
      <c r="J176" s="30"/>
      <c r="K176" s="30"/>
      <c r="L176" s="11"/>
      <c r="M176" s="11"/>
      <c r="N176" s="11"/>
      <c r="O176" s="11"/>
      <c r="P176" s="82"/>
    </row>
    <row r="177" spans="2:16" s="9" customFormat="1" x14ac:dyDescent="0.2">
      <c r="B177" s="10"/>
      <c r="C177" s="11"/>
      <c r="D177" s="63"/>
      <c r="E177" s="11"/>
      <c r="F177" s="65"/>
      <c r="G177" s="12"/>
      <c r="H177" s="41"/>
      <c r="I177" s="30"/>
      <c r="J177" s="30"/>
      <c r="K177" s="30"/>
      <c r="L177" s="11"/>
      <c r="M177" s="11"/>
      <c r="N177" s="11"/>
      <c r="O177" s="11"/>
      <c r="P177" s="82"/>
    </row>
    <row r="178" spans="2:16" s="9" customFormat="1" x14ac:dyDescent="0.2">
      <c r="B178" s="10"/>
      <c r="C178" s="11"/>
      <c r="D178" s="63"/>
      <c r="E178" s="11"/>
      <c r="F178" s="65"/>
      <c r="G178" s="12"/>
      <c r="H178" s="41"/>
      <c r="I178" s="30"/>
      <c r="J178" s="30"/>
      <c r="K178" s="30"/>
      <c r="L178" s="11"/>
      <c r="M178" s="11"/>
      <c r="N178" s="11"/>
      <c r="O178" s="11"/>
      <c r="P178" s="82"/>
    </row>
    <row r="179" spans="2:16" s="9" customFormat="1" x14ac:dyDescent="0.2">
      <c r="B179" s="10"/>
      <c r="C179" s="11"/>
      <c r="D179" s="63"/>
      <c r="E179" s="11"/>
      <c r="F179" s="65"/>
      <c r="G179" s="12"/>
      <c r="H179" s="41"/>
      <c r="I179" s="30"/>
      <c r="J179" s="30"/>
      <c r="K179" s="30"/>
      <c r="L179" s="11"/>
      <c r="M179" s="11"/>
      <c r="N179" s="11"/>
      <c r="O179" s="11"/>
      <c r="P179" s="82"/>
    </row>
    <row r="180" spans="2:16" s="9" customFormat="1" x14ac:dyDescent="0.2">
      <c r="B180" s="10"/>
      <c r="C180" s="11"/>
      <c r="D180" s="63"/>
      <c r="E180" s="11"/>
      <c r="F180" s="65"/>
      <c r="G180" s="12"/>
      <c r="H180" s="41"/>
      <c r="I180" s="30"/>
      <c r="J180" s="30"/>
      <c r="K180" s="30"/>
      <c r="L180" s="11"/>
      <c r="M180" s="11"/>
      <c r="N180" s="11"/>
      <c r="O180" s="11"/>
      <c r="P180" s="82"/>
    </row>
    <row r="181" spans="2:16" s="9" customFormat="1" x14ac:dyDescent="0.2">
      <c r="B181" s="10"/>
      <c r="C181" s="11"/>
      <c r="D181" s="63"/>
      <c r="E181" s="11"/>
      <c r="F181" s="65"/>
      <c r="G181" s="12"/>
      <c r="H181" s="41"/>
      <c r="I181" s="30"/>
      <c r="J181" s="30"/>
      <c r="K181" s="30"/>
      <c r="L181" s="11"/>
      <c r="M181" s="11"/>
      <c r="N181" s="11"/>
      <c r="O181" s="11"/>
      <c r="P181" s="82"/>
    </row>
    <row r="182" spans="2:16" s="9" customFormat="1" x14ac:dyDescent="0.2">
      <c r="B182" s="10"/>
      <c r="C182" s="11"/>
      <c r="D182" s="63"/>
      <c r="E182" s="11"/>
      <c r="F182" s="65"/>
      <c r="G182" s="12"/>
      <c r="H182" s="41"/>
      <c r="I182" s="30"/>
      <c r="J182" s="30"/>
      <c r="K182" s="30"/>
      <c r="L182" s="11"/>
      <c r="M182" s="11"/>
      <c r="N182" s="11"/>
      <c r="O182" s="11"/>
      <c r="P182" s="82"/>
    </row>
    <row r="183" spans="2:16" s="9" customFormat="1" x14ac:dyDescent="0.2">
      <c r="B183" s="10"/>
      <c r="C183" s="11"/>
      <c r="D183" s="63"/>
      <c r="E183" s="11"/>
      <c r="F183" s="65"/>
      <c r="G183" s="12"/>
      <c r="H183" s="41"/>
      <c r="I183" s="30"/>
      <c r="J183" s="30"/>
      <c r="K183" s="30"/>
      <c r="L183" s="11"/>
      <c r="M183" s="11"/>
      <c r="N183" s="11"/>
      <c r="O183" s="11"/>
      <c r="P183" s="82"/>
    </row>
    <row r="184" spans="2:16" s="9" customFormat="1" x14ac:dyDescent="0.2">
      <c r="B184" s="10"/>
      <c r="C184" s="11"/>
      <c r="D184" s="63"/>
      <c r="E184" s="11"/>
      <c r="F184" s="65"/>
      <c r="G184" s="12"/>
      <c r="H184" s="41"/>
      <c r="I184" s="30"/>
      <c r="J184" s="30"/>
      <c r="K184" s="30"/>
      <c r="L184" s="11"/>
      <c r="M184" s="11"/>
      <c r="N184" s="11"/>
      <c r="O184" s="11"/>
      <c r="P184" s="82"/>
    </row>
    <row r="185" spans="2:16" s="9" customFormat="1" x14ac:dyDescent="0.2">
      <c r="B185" s="10"/>
      <c r="C185" s="11"/>
      <c r="D185" s="63"/>
      <c r="E185" s="11"/>
      <c r="F185" s="65"/>
      <c r="G185" s="12"/>
      <c r="H185" s="41"/>
      <c r="I185" s="30"/>
      <c r="J185" s="30"/>
      <c r="K185" s="30"/>
      <c r="L185" s="11"/>
      <c r="M185" s="11"/>
      <c r="N185" s="11"/>
      <c r="O185" s="11"/>
      <c r="P185" s="82"/>
    </row>
    <row r="186" spans="2:16" s="9" customFormat="1" x14ac:dyDescent="0.2">
      <c r="B186" s="10"/>
      <c r="C186" s="11"/>
      <c r="D186" s="63"/>
      <c r="E186" s="11"/>
      <c r="F186" s="65"/>
      <c r="G186" s="12"/>
      <c r="H186" s="41"/>
      <c r="I186" s="30"/>
      <c r="J186" s="30"/>
      <c r="K186" s="30"/>
      <c r="L186" s="11"/>
      <c r="M186" s="11"/>
      <c r="N186" s="11"/>
      <c r="O186" s="11"/>
      <c r="P186" s="82"/>
    </row>
    <row r="187" spans="2:16" s="9" customFormat="1" x14ac:dyDescent="0.2">
      <c r="B187" s="10"/>
      <c r="C187" s="11"/>
      <c r="D187" s="63"/>
      <c r="E187" s="11"/>
      <c r="F187" s="65"/>
      <c r="G187" s="12"/>
      <c r="H187" s="41"/>
      <c r="I187" s="30"/>
      <c r="J187" s="30"/>
      <c r="K187" s="30"/>
      <c r="L187" s="11"/>
      <c r="M187" s="11"/>
      <c r="N187" s="11"/>
      <c r="O187" s="11"/>
      <c r="P187" s="82"/>
    </row>
    <row r="188" spans="2:16" s="9" customFormat="1" x14ac:dyDescent="0.2">
      <c r="B188" s="10"/>
      <c r="C188" s="11"/>
      <c r="D188" s="63"/>
      <c r="E188" s="11"/>
      <c r="F188" s="65"/>
      <c r="G188" s="12"/>
      <c r="H188" s="41"/>
      <c r="I188" s="30"/>
      <c r="J188" s="30"/>
      <c r="K188" s="30"/>
      <c r="L188" s="11"/>
      <c r="M188" s="11"/>
      <c r="N188" s="11"/>
      <c r="O188" s="11"/>
      <c r="P188" s="82"/>
    </row>
    <row r="189" spans="2:16" s="9" customFormat="1" x14ac:dyDescent="0.2">
      <c r="B189" s="10"/>
      <c r="C189" s="11"/>
      <c r="D189" s="63"/>
      <c r="E189" s="11"/>
      <c r="F189" s="65"/>
      <c r="G189" s="12"/>
      <c r="H189" s="41"/>
      <c r="I189" s="30"/>
      <c r="J189" s="30"/>
      <c r="K189" s="30"/>
      <c r="L189" s="11"/>
      <c r="M189" s="11"/>
      <c r="N189" s="11"/>
      <c r="O189" s="11"/>
      <c r="P189" s="82"/>
    </row>
    <row r="190" spans="2:16" s="9" customFormat="1" x14ac:dyDescent="0.2">
      <c r="B190" s="10"/>
      <c r="C190" s="11"/>
      <c r="D190" s="63"/>
      <c r="E190" s="11"/>
      <c r="F190" s="65"/>
      <c r="G190" s="12"/>
      <c r="H190" s="41"/>
      <c r="I190" s="30"/>
      <c r="J190" s="30"/>
      <c r="K190" s="30"/>
      <c r="L190" s="11"/>
      <c r="M190" s="11"/>
      <c r="N190" s="11"/>
      <c r="O190" s="11"/>
      <c r="P190" s="82"/>
    </row>
    <row r="191" spans="2:16" s="9" customFormat="1" x14ac:dyDescent="0.2">
      <c r="B191" s="10"/>
      <c r="C191" s="11"/>
      <c r="D191" s="63"/>
      <c r="E191" s="11"/>
      <c r="F191" s="65"/>
      <c r="G191" s="12"/>
      <c r="H191" s="41"/>
      <c r="I191" s="30"/>
      <c r="J191" s="30"/>
      <c r="K191" s="30"/>
      <c r="L191" s="11"/>
      <c r="M191" s="11"/>
      <c r="N191" s="11"/>
      <c r="O191" s="11"/>
      <c r="P191" s="82"/>
    </row>
    <row r="192" spans="2:16" s="9" customFormat="1" x14ac:dyDescent="0.2">
      <c r="B192" s="10"/>
      <c r="C192" s="11"/>
      <c r="D192" s="63"/>
      <c r="E192" s="11"/>
      <c r="F192" s="65"/>
      <c r="G192" s="12"/>
      <c r="H192" s="41"/>
      <c r="I192" s="30"/>
      <c r="J192" s="30"/>
      <c r="K192" s="30"/>
      <c r="L192" s="11"/>
      <c r="M192" s="11"/>
      <c r="N192" s="11"/>
      <c r="O192" s="11"/>
      <c r="P192" s="82"/>
    </row>
    <row r="193" spans="2:16" s="9" customFormat="1" x14ac:dyDescent="0.2">
      <c r="B193" s="10"/>
      <c r="C193" s="11"/>
      <c r="D193" s="63"/>
      <c r="E193" s="11"/>
      <c r="F193" s="65"/>
      <c r="G193" s="12"/>
      <c r="H193" s="41"/>
      <c r="I193" s="30"/>
      <c r="J193" s="30"/>
      <c r="K193" s="30"/>
      <c r="L193" s="11"/>
      <c r="M193" s="11"/>
      <c r="N193" s="11"/>
      <c r="O193" s="11"/>
      <c r="P193" s="82"/>
    </row>
    <row r="194" spans="2:16" s="9" customFormat="1" x14ac:dyDescent="0.2">
      <c r="B194" s="10"/>
      <c r="C194" s="11"/>
      <c r="D194" s="63"/>
      <c r="E194" s="11"/>
      <c r="F194" s="65"/>
      <c r="G194" s="12"/>
      <c r="H194" s="41"/>
      <c r="I194" s="30"/>
      <c r="J194" s="30"/>
      <c r="K194" s="30"/>
      <c r="L194" s="11"/>
      <c r="M194" s="11"/>
      <c r="N194" s="11"/>
      <c r="O194" s="11"/>
      <c r="P194" s="82"/>
    </row>
    <row r="195" spans="2:16" s="9" customFormat="1" x14ac:dyDescent="0.2">
      <c r="B195" s="10"/>
      <c r="C195" s="11"/>
      <c r="D195" s="63"/>
      <c r="E195" s="11"/>
      <c r="F195" s="65"/>
      <c r="G195" s="12"/>
      <c r="H195" s="41"/>
      <c r="I195" s="30"/>
      <c r="J195" s="30"/>
      <c r="K195" s="30"/>
      <c r="L195" s="11"/>
      <c r="M195" s="11"/>
      <c r="N195" s="11"/>
      <c r="O195" s="11"/>
      <c r="P195" s="82"/>
    </row>
    <row r="196" spans="2:16" s="9" customFormat="1" x14ac:dyDescent="0.2">
      <c r="B196" s="10"/>
      <c r="C196" s="11"/>
      <c r="D196" s="63"/>
      <c r="E196" s="11"/>
      <c r="F196" s="65"/>
      <c r="G196" s="12"/>
      <c r="H196" s="41"/>
      <c r="I196" s="30"/>
      <c r="J196" s="30"/>
      <c r="K196" s="30"/>
      <c r="L196" s="11"/>
      <c r="M196" s="11"/>
      <c r="N196" s="11"/>
      <c r="O196" s="11"/>
      <c r="P196" s="82"/>
    </row>
    <row r="197" spans="2:16" s="9" customFormat="1" x14ac:dyDescent="0.2">
      <c r="B197" s="10"/>
      <c r="C197" s="11"/>
      <c r="D197" s="63"/>
      <c r="E197" s="11"/>
      <c r="F197" s="65"/>
      <c r="G197" s="12"/>
      <c r="H197" s="41"/>
      <c r="I197" s="30"/>
      <c r="J197" s="30"/>
      <c r="K197" s="30"/>
      <c r="L197" s="11"/>
      <c r="M197" s="11"/>
      <c r="N197" s="11"/>
      <c r="O197" s="11"/>
      <c r="P197" s="82"/>
    </row>
    <row r="198" spans="2:16" s="9" customFormat="1" x14ac:dyDescent="0.2">
      <c r="B198" s="10"/>
      <c r="C198" s="11"/>
      <c r="D198" s="63"/>
      <c r="E198" s="11"/>
      <c r="F198" s="65"/>
      <c r="G198" s="12"/>
      <c r="H198" s="41"/>
      <c r="I198" s="30"/>
      <c r="J198" s="30"/>
      <c r="K198" s="30"/>
      <c r="L198" s="11"/>
      <c r="M198" s="11"/>
      <c r="N198" s="11"/>
      <c r="O198" s="11"/>
      <c r="P198" s="82"/>
    </row>
    <row r="199" spans="2:16" s="9" customFormat="1" x14ac:dyDescent="0.2">
      <c r="B199" s="10"/>
      <c r="C199" s="11"/>
      <c r="D199" s="63"/>
      <c r="E199" s="11"/>
      <c r="F199" s="65"/>
      <c r="G199" s="12"/>
      <c r="H199" s="41"/>
      <c r="I199" s="30"/>
      <c r="J199" s="30"/>
      <c r="K199" s="30"/>
      <c r="L199" s="11"/>
      <c r="M199" s="11"/>
      <c r="N199" s="11"/>
      <c r="O199" s="11"/>
      <c r="P199" s="82"/>
    </row>
    <row r="200" spans="2:16" s="9" customFormat="1" x14ac:dyDescent="0.2">
      <c r="B200" s="10"/>
      <c r="C200" s="11"/>
      <c r="D200" s="63"/>
      <c r="E200" s="11"/>
      <c r="F200" s="65"/>
      <c r="G200" s="12"/>
      <c r="H200" s="41"/>
      <c r="I200" s="30"/>
      <c r="J200" s="30"/>
      <c r="K200" s="30"/>
      <c r="L200" s="11"/>
      <c r="M200" s="11"/>
      <c r="N200" s="11"/>
      <c r="O200" s="11"/>
      <c r="P200" s="82"/>
    </row>
    <row r="201" spans="2:16" s="9" customFormat="1" x14ac:dyDescent="0.2">
      <c r="B201" s="10"/>
      <c r="C201" s="11"/>
      <c r="D201" s="63"/>
      <c r="E201" s="11"/>
      <c r="F201" s="65"/>
      <c r="G201" s="12"/>
      <c r="H201" s="41"/>
      <c r="I201" s="30"/>
      <c r="J201" s="30"/>
      <c r="K201" s="30"/>
      <c r="L201" s="11"/>
      <c r="M201" s="11"/>
      <c r="N201" s="11"/>
      <c r="O201" s="11"/>
      <c r="P201" s="82"/>
    </row>
    <row r="202" spans="2:16" s="9" customFormat="1" x14ac:dyDescent="0.2">
      <c r="B202" s="10"/>
      <c r="C202" s="11"/>
      <c r="D202" s="63"/>
      <c r="E202" s="11"/>
      <c r="F202" s="65"/>
      <c r="G202" s="12"/>
      <c r="H202" s="41"/>
      <c r="I202" s="30"/>
      <c r="J202" s="30"/>
      <c r="K202" s="30"/>
      <c r="L202" s="11"/>
      <c r="M202" s="11"/>
      <c r="N202" s="11"/>
      <c r="O202" s="11"/>
      <c r="P202" s="82"/>
    </row>
    <row r="203" spans="2:16" s="9" customFormat="1" x14ac:dyDescent="0.2">
      <c r="B203" s="10"/>
      <c r="C203" s="11"/>
      <c r="D203" s="63"/>
      <c r="E203" s="11"/>
      <c r="F203" s="65"/>
      <c r="G203" s="12"/>
      <c r="H203" s="41"/>
      <c r="I203" s="30"/>
      <c r="J203" s="30"/>
      <c r="K203" s="30"/>
      <c r="L203" s="11"/>
      <c r="M203" s="11"/>
      <c r="N203" s="11"/>
      <c r="O203" s="11"/>
      <c r="P203" s="82"/>
    </row>
    <row r="204" spans="2:16" s="9" customFormat="1" x14ac:dyDescent="0.2">
      <c r="B204" s="10"/>
      <c r="C204" s="11"/>
      <c r="D204" s="63"/>
      <c r="E204" s="11"/>
      <c r="F204" s="65"/>
      <c r="G204" s="12"/>
      <c r="H204" s="41"/>
      <c r="I204" s="30"/>
      <c r="J204" s="30"/>
      <c r="K204" s="30"/>
      <c r="L204" s="11"/>
      <c r="M204" s="11"/>
      <c r="N204" s="11"/>
      <c r="O204" s="11"/>
      <c r="P204" s="82"/>
    </row>
    <row r="205" spans="2:16" s="9" customFormat="1" x14ac:dyDescent="0.2">
      <c r="B205" s="10"/>
      <c r="C205" s="11"/>
      <c r="D205" s="63"/>
      <c r="E205" s="11"/>
      <c r="F205" s="65"/>
      <c r="G205" s="12"/>
      <c r="H205" s="41"/>
      <c r="I205" s="30"/>
      <c r="J205" s="30"/>
      <c r="K205" s="30"/>
      <c r="L205" s="11"/>
      <c r="M205" s="11"/>
      <c r="N205" s="11"/>
      <c r="O205" s="11"/>
      <c r="P205" s="82"/>
    </row>
    <row r="206" spans="2:16" s="9" customFormat="1" x14ac:dyDescent="0.2">
      <c r="B206" s="10"/>
      <c r="C206" s="11"/>
      <c r="D206" s="63"/>
      <c r="E206" s="11"/>
      <c r="F206" s="65"/>
      <c r="G206" s="12"/>
      <c r="H206" s="41"/>
      <c r="I206" s="30"/>
      <c r="J206" s="30"/>
      <c r="K206" s="30"/>
      <c r="L206" s="11"/>
      <c r="M206" s="11"/>
      <c r="N206" s="11"/>
      <c r="O206" s="11"/>
      <c r="P206" s="82"/>
    </row>
    <row r="207" spans="2:16" s="9" customFormat="1" x14ac:dyDescent="0.2">
      <c r="B207" s="10"/>
      <c r="C207" s="11"/>
      <c r="D207" s="63"/>
      <c r="E207" s="11"/>
      <c r="F207" s="65"/>
      <c r="G207" s="12"/>
      <c r="H207" s="41"/>
      <c r="I207" s="30"/>
      <c r="J207" s="30"/>
      <c r="K207" s="30"/>
      <c r="L207" s="11"/>
      <c r="M207" s="11"/>
      <c r="N207" s="11"/>
      <c r="O207" s="11"/>
      <c r="P207" s="82"/>
    </row>
    <row r="208" spans="2:16" s="9" customFormat="1" x14ac:dyDescent="0.2">
      <c r="B208" s="10"/>
      <c r="C208" s="11"/>
      <c r="D208" s="63"/>
      <c r="E208" s="11"/>
      <c r="F208" s="65"/>
      <c r="G208" s="12"/>
      <c r="H208" s="41"/>
      <c r="I208" s="30"/>
      <c r="J208" s="30"/>
      <c r="K208" s="30"/>
      <c r="L208" s="11"/>
      <c r="M208" s="11"/>
      <c r="N208" s="11"/>
      <c r="O208" s="11"/>
      <c r="P208" s="82"/>
    </row>
    <row r="209" spans="2:16" s="9" customFormat="1" x14ac:dyDescent="0.2">
      <c r="B209" s="10"/>
      <c r="C209" s="11"/>
      <c r="D209" s="63"/>
      <c r="E209" s="11"/>
      <c r="F209" s="65"/>
      <c r="G209" s="12"/>
      <c r="H209" s="41"/>
      <c r="I209" s="30"/>
      <c r="J209" s="30"/>
      <c r="K209" s="30"/>
      <c r="L209" s="11"/>
      <c r="M209" s="11"/>
      <c r="N209" s="11"/>
      <c r="O209" s="11"/>
      <c r="P209" s="82"/>
    </row>
    <row r="210" spans="2:16" s="9" customFormat="1" x14ac:dyDescent="0.2">
      <c r="B210" s="10"/>
      <c r="C210" s="11"/>
      <c r="D210" s="63"/>
      <c r="E210" s="11"/>
      <c r="F210" s="65"/>
      <c r="G210" s="12"/>
      <c r="H210" s="41"/>
      <c r="I210" s="30"/>
      <c r="J210" s="30"/>
      <c r="K210" s="30"/>
      <c r="L210" s="11"/>
      <c r="M210" s="11"/>
      <c r="N210" s="11"/>
      <c r="O210" s="11"/>
      <c r="P210" s="82"/>
    </row>
    <row r="211" spans="2:16" s="9" customFormat="1" x14ac:dyDescent="0.2">
      <c r="B211" s="10"/>
      <c r="C211" s="11"/>
      <c r="D211" s="63"/>
      <c r="E211" s="11"/>
      <c r="F211" s="65"/>
      <c r="G211" s="12"/>
      <c r="H211" s="41"/>
      <c r="I211" s="30"/>
      <c r="J211" s="30"/>
      <c r="K211" s="30"/>
      <c r="L211" s="11"/>
      <c r="M211" s="11"/>
      <c r="N211" s="11"/>
      <c r="O211" s="11"/>
      <c r="P211" s="82"/>
    </row>
    <row r="212" spans="2:16" s="9" customFormat="1" x14ac:dyDescent="0.2">
      <c r="B212" s="10"/>
      <c r="C212" s="11"/>
      <c r="D212" s="63"/>
      <c r="E212" s="11"/>
      <c r="F212" s="65"/>
      <c r="G212" s="12"/>
      <c r="H212" s="41"/>
      <c r="I212" s="30"/>
      <c r="J212" s="30"/>
      <c r="K212" s="30"/>
      <c r="L212" s="11"/>
      <c r="M212" s="11"/>
      <c r="N212" s="11"/>
      <c r="O212" s="11"/>
      <c r="P212" s="82"/>
    </row>
    <row r="213" spans="2:16" s="9" customFormat="1" x14ac:dyDescent="0.2">
      <c r="B213" s="10"/>
      <c r="C213" s="11"/>
      <c r="D213" s="63"/>
      <c r="E213" s="11"/>
      <c r="F213" s="65"/>
      <c r="G213" s="12"/>
      <c r="H213" s="41"/>
      <c r="I213" s="30"/>
      <c r="J213" s="30"/>
      <c r="K213" s="30"/>
      <c r="L213" s="11"/>
      <c r="M213" s="11"/>
      <c r="N213" s="11"/>
      <c r="O213" s="11"/>
      <c r="P213" s="82"/>
    </row>
    <row r="214" spans="2:16" s="9" customFormat="1" x14ac:dyDescent="0.2">
      <c r="B214" s="10"/>
      <c r="C214" s="11"/>
      <c r="D214" s="63"/>
      <c r="E214" s="11"/>
      <c r="F214" s="65"/>
      <c r="G214" s="12"/>
      <c r="H214" s="41"/>
      <c r="I214" s="30"/>
      <c r="J214" s="30"/>
      <c r="K214" s="30"/>
      <c r="L214" s="11"/>
      <c r="M214" s="11"/>
      <c r="N214" s="11"/>
      <c r="O214" s="11"/>
      <c r="P214" s="82"/>
    </row>
    <row r="215" spans="2:16" s="9" customFormat="1" x14ac:dyDescent="0.2">
      <c r="B215" s="10"/>
      <c r="C215" s="11"/>
      <c r="D215" s="63"/>
      <c r="E215" s="11"/>
      <c r="F215" s="65"/>
      <c r="G215" s="12"/>
      <c r="H215" s="41"/>
      <c r="I215" s="30"/>
      <c r="J215" s="30"/>
      <c r="K215" s="30"/>
      <c r="L215" s="11"/>
      <c r="M215" s="11"/>
      <c r="N215" s="11"/>
      <c r="O215" s="11"/>
      <c r="P215" s="82"/>
    </row>
    <row r="216" spans="2:16" s="9" customFormat="1" x14ac:dyDescent="0.2">
      <c r="B216" s="10"/>
      <c r="C216" s="11"/>
      <c r="D216" s="63"/>
      <c r="E216" s="11"/>
      <c r="F216" s="65"/>
      <c r="G216" s="12"/>
      <c r="H216" s="41"/>
      <c r="I216" s="30"/>
      <c r="J216" s="30"/>
      <c r="K216" s="30"/>
      <c r="L216" s="11"/>
      <c r="M216" s="11"/>
      <c r="N216" s="11"/>
      <c r="O216" s="11"/>
      <c r="P216" s="82"/>
    </row>
    <row r="217" spans="2:16" s="9" customFormat="1" x14ac:dyDescent="0.2">
      <c r="B217" s="10"/>
      <c r="C217" s="11"/>
      <c r="D217" s="63"/>
      <c r="E217" s="11"/>
      <c r="F217" s="65"/>
      <c r="G217" s="12"/>
      <c r="H217" s="41"/>
      <c r="I217" s="30"/>
      <c r="J217" s="30"/>
      <c r="K217" s="30"/>
      <c r="L217" s="11"/>
      <c r="M217" s="11"/>
      <c r="N217" s="11"/>
      <c r="O217" s="11"/>
      <c r="P217" s="82"/>
    </row>
    <row r="218" spans="2:16" s="9" customFormat="1" x14ac:dyDescent="0.2">
      <c r="B218" s="10"/>
      <c r="C218" s="11"/>
      <c r="D218" s="63"/>
      <c r="E218" s="11"/>
      <c r="F218" s="65"/>
      <c r="G218" s="12"/>
      <c r="H218" s="41"/>
      <c r="I218" s="30"/>
      <c r="J218" s="30"/>
      <c r="K218" s="30"/>
      <c r="L218" s="11"/>
      <c r="M218" s="11"/>
      <c r="N218" s="11"/>
      <c r="O218" s="11"/>
      <c r="P218" s="82"/>
    </row>
    <row r="219" spans="2:16" s="9" customFormat="1" x14ac:dyDescent="0.2">
      <c r="B219" s="10"/>
      <c r="C219" s="11"/>
      <c r="D219" s="63"/>
      <c r="E219" s="11"/>
      <c r="F219" s="65"/>
      <c r="G219" s="12"/>
      <c r="H219" s="41"/>
      <c r="I219" s="30"/>
      <c r="J219" s="30"/>
      <c r="K219" s="30"/>
      <c r="L219" s="11"/>
      <c r="M219" s="11"/>
      <c r="N219" s="11"/>
      <c r="O219" s="11"/>
      <c r="P219" s="82"/>
    </row>
    <row r="220" spans="2:16" s="9" customFormat="1" x14ac:dyDescent="0.2">
      <c r="B220" s="10"/>
      <c r="C220" s="11"/>
      <c r="D220" s="63"/>
      <c r="E220" s="11"/>
      <c r="F220" s="65"/>
      <c r="G220" s="12"/>
      <c r="H220" s="41"/>
      <c r="I220" s="30"/>
      <c r="J220" s="30"/>
      <c r="K220" s="30"/>
      <c r="L220" s="11"/>
      <c r="M220" s="11"/>
      <c r="N220" s="11"/>
      <c r="O220" s="11"/>
      <c r="P220" s="82"/>
    </row>
    <row r="221" spans="2:16" s="9" customFormat="1" x14ac:dyDescent="0.2">
      <c r="B221" s="10"/>
      <c r="C221" s="11"/>
      <c r="D221" s="63"/>
      <c r="E221" s="11"/>
      <c r="F221" s="65"/>
      <c r="G221" s="12"/>
      <c r="H221" s="41"/>
      <c r="I221" s="30"/>
      <c r="J221" s="30"/>
      <c r="K221" s="30"/>
      <c r="L221" s="11"/>
      <c r="M221" s="11"/>
      <c r="N221" s="11"/>
      <c r="O221" s="11"/>
      <c r="P221" s="82"/>
    </row>
    <row r="222" spans="2:16" s="9" customFormat="1" x14ac:dyDescent="0.2">
      <c r="B222" s="10"/>
      <c r="C222" s="11"/>
      <c r="D222" s="63"/>
      <c r="E222" s="11"/>
      <c r="F222" s="65"/>
      <c r="G222" s="12"/>
      <c r="H222" s="41"/>
      <c r="I222" s="30"/>
      <c r="J222" s="30"/>
      <c r="K222" s="30"/>
      <c r="L222" s="11"/>
      <c r="M222" s="11"/>
      <c r="N222" s="11"/>
      <c r="O222" s="11"/>
      <c r="P222" s="82"/>
    </row>
    <row r="223" spans="2:16" s="9" customFormat="1" x14ac:dyDescent="0.2">
      <c r="B223" s="10"/>
      <c r="C223" s="11"/>
      <c r="D223" s="63"/>
      <c r="E223" s="11"/>
      <c r="F223" s="65"/>
      <c r="G223" s="12"/>
      <c r="H223" s="41"/>
      <c r="I223" s="30"/>
      <c r="J223" s="30"/>
      <c r="K223" s="30"/>
      <c r="L223" s="11"/>
      <c r="M223" s="11"/>
      <c r="N223" s="11"/>
      <c r="O223" s="11"/>
      <c r="P223" s="82"/>
    </row>
    <row r="224" spans="2:16" s="9" customFormat="1" x14ac:dyDescent="0.2">
      <c r="B224" s="10"/>
      <c r="C224" s="11"/>
      <c r="D224" s="63"/>
      <c r="E224" s="11"/>
      <c r="F224" s="65"/>
      <c r="G224" s="12"/>
      <c r="H224" s="41"/>
      <c r="I224" s="30"/>
      <c r="J224" s="30"/>
      <c r="K224" s="30"/>
      <c r="L224" s="11"/>
      <c r="M224" s="11"/>
      <c r="N224" s="11"/>
      <c r="O224" s="11"/>
      <c r="P224" s="82"/>
    </row>
    <row r="225" spans="2:16" s="9" customFormat="1" x14ac:dyDescent="0.2">
      <c r="B225" s="10"/>
      <c r="C225" s="11"/>
      <c r="D225" s="63"/>
      <c r="E225" s="11"/>
      <c r="F225" s="65"/>
      <c r="G225" s="12"/>
      <c r="H225" s="41"/>
      <c r="I225" s="30"/>
      <c r="J225" s="30"/>
      <c r="K225" s="30"/>
      <c r="L225" s="11"/>
      <c r="M225" s="11"/>
      <c r="N225" s="11"/>
      <c r="O225" s="11"/>
      <c r="P225" s="82"/>
    </row>
    <row r="226" spans="2:16" s="9" customFormat="1" x14ac:dyDescent="0.2">
      <c r="B226" s="10"/>
      <c r="C226" s="11"/>
      <c r="D226" s="63"/>
      <c r="E226" s="11"/>
      <c r="F226" s="65"/>
      <c r="G226" s="12"/>
      <c r="H226" s="41"/>
      <c r="I226" s="30"/>
      <c r="J226" s="30"/>
      <c r="K226" s="30"/>
      <c r="L226" s="11"/>
      <c r="M226" s="11"/>
      <c r="N226" s="11"/>
      <c r="O226" s="11"/>
      <c r="P226" s="82"/>
    </row>
    <row r="227" spans="2:16" s="9" customFormat="1" x14ac:dyDescent="0.2">
      <c r="B227" s="10"/>
      <c r="C227" s="11"/>
      <c r="D227" s="63"/>
      <c r="E227" s="11"/>
      <c r="F227" s="65"/>
      <c r="G227" s="12"/>
      <c r="H227" s="41"/>
      <c r="I227" s="30"/>
      <c r="J227" s="30"/>
      <c r="K227" s="30"/>
      <c r="L227" s="11"/>
      <c r="M227" s="11"/>
      <c r="N227" s="11"/>
      <c r="O227" s="11"/>
      <c r="P227" s="82"/>
    </row>
    <row r="228" spans="2:16" s="9" customFormat="1" x14ac:dyDescent="0.2">
      <c r="B228" s="10"/>
      <c r="C228" s="11"/>
      <c r="D228" s="63"/>
      <c r="E228" s="11"/>
      <c r="F228" s="65"/>
      <c r="G228" s="12"/>
      <c r="H228" s="41"/>
      <c r="I228" s="30"/>
      <c r="J228" s="30"/>
      <c r="K228" s="30"/>
      <c r="L228" s="11"/>
      <c r="M228" s="11"/>
      <c r="N228" s="11"/>
      <c r="O228" s="11"/>
      <c r="P228" s="82"/>
    </row>
    <row r="229" spans="2:16" s="9" customFormat="1" x14ac:dyDescent="0.2">
      <c r="B229" s="10"/>
      <c r="C229" s="11"/>
      <c r="D229" s="63"/>
      <c r="E229" s="11"/>
      <c r="F229" s="65"/>
      <c r="G229" s="12"/>
      <c r="H229" s="41"/>
      <c r="I229" s="30"/>
      <c r="J229" s="30"/>
      <c r="K229" s="30"/>
      <c r="L229" s="11"/>
      <c r="M229" s="11"/>
      <c r="N229" s="11"/>
      <c r="O229" s="11"/>
      <c r="P229" s="82"/>
    </row>
    <row r="230" spans="2:16" s="9" customFormat="1" x14ac:dyDescent="0.2">
      <c r="B230" s="10"/>
      <c r="C230" s="11"/>
      <c r="D230" s="63"/>
      <c r="E230" s="11"/>
      <c r="F230" s="65"/>
      <c r="G230" s="12"/>
      <c r="H230" s="41"/>
      <c r="I230" s="30"/>
      <c r="J230" s="30"/>
      <c r="K230" s="30"/>
      <c r="L230" s="11"/>
      <c r="M230" s="11"/>
      <c r="N230" s="11"/>
      <c r="O230" s="11"/>
      <c r="P230" s="82"/>
    </row>
    <row r="231" spans="2:16" s="9" customFormat="1" x14ac:dyDescent="0.2">
      <c r="B231" s="10"/>
      <c r="C231" s="11"/>
      <c r="D231" s="63"/>
      <c r="E231" s="11"/>
      <c r="F231" s="65"/>
      <c r="G231" s="12"/>
      <c r="H231" s="41"/>
      <c r="I231" s="30"/>
      <c r="J231" s="30"/>
      <c r="K231" s="30"/>
      <c r="L231" s="11"/>
      <c r="M231" s="11"/>
      <c r="N231" s="11"/>
      <c r="O231" s="11"/>
      <c r="P231" s="82"/>
    </row>
    <row r="232" spans="2:16" s="9" customFormat="1" x14ac:dyDescent="0.2">
      <c r="B232" s="10"/>
      <c r="C232" s="11"/>
      <c r="D232" s="63"/>
      <c r="E232" s="11"/>
      <c r="F232" s="65"/>
      <c r="G232" s="12"/>
      <c r="H232" s="41"/>
      <c r="I232" s="30"/>
      <c r="J232" s="30"/>
      <c r="K232" s="30"/>
      <c r="L232" s="11"/>
      <c r="M232" s="11"/>
      <c r="N232" s="11"/>
      <c r="O232" s="11"/>
      <c r="P232" s="82"/>
    </row>
    <row r="233" spans="2:16" s="9" customFormat="1" x14ac:dyDescent="0.2">
      <c r="B233" s="10"/>
      <c r="C233" s="11"/>
      <c r="D233" s="63"/>
      <c r="E233" s="11"/>
      <c r="F233" s="65"/>
      <c r="G233" s="12"/>
      <c r="H233" s="41"/>
      <c r="I233" s="30"/>
      <c r="J233" s="30"/>
      <c r="K233" s="30"/>
      <c r="L233" s="11"/>
      <c r="M233" s="11"/>
      <c r="N233" s="11"/>
      <c r="O233" s="11"/>
      <c r="P233" s="82"/>
    </row>
    <row r="234" spans="2:16" s="9" customFormat="1" x14ac:dyDescent="0.2">
      <c r="B234" s="10"/>
      <c r="C234" s="11"/>
      <c r="D234" s="63"/>
      <c r="E234" s="11"/>
      <c r="F234" s="65"/>
      <c r="G234" s="12"/>
      <c r="H234" s="41"/>
      <c r="I234" s="30"/>
      <c r="J234" s="30"/>
      <c r="K234" s="30"/>
      <c r="L234" s="11"/>
      <c r="M234" s="11"/>
      <c r="N234" s="11"/>
      <c r="O234" s="11"/>
      <c r="P234" s="82"/>
    </row>
    <row r="235" spans="2:16" s="9" customFormat="1" x14ac:dyDescent="0.2">
      <c r="B235" s="10"/>
      <c r="C235" s="11"/>
      <c r="D235" s="63"/>
      <c r="E235" s="11"/>
      <c r="F235" s="65"/>
      <c r="G235" s="12"/>
      <c r="H235" s="41"/>
      <c r="I235" s="30"/>
      <c r="J235" s="30"/>
      <c r="K235" s="30"/>
      <c r="L235" s="11"/>
      <c r="M235" s="11"/>
      <c r="N235" s="11"/>
      <c r="O235" s="11"/>
      <c r="P235" s="82"/>
    </row>
    <row r="236" spans="2:16" s="9" customFormat="1" x14ac:dyDescent="0.2">
      <c r="B236" s="10"/>
      <c r="C236" s="11"/>
      <c r="D236" s="63"/>
      <c r="E236" s="11"/>
      <c r="F236" s="65"/>
      <c r="G236" s="12"/>
      <c r="H236" s="41"/>
      <c r="I236" s="30"/>
      <c r="J236" s="30"/>
      <c r="K236" s="30"/>
      <c r="L236" s="11"/>
      <c r="M236" s="11"/>
      <c r="N236" s="11"/>
      <c r="O236" s="11"/>
      <c r="P236" s="82"/>
    </row>
    <row r="237" spans="2:16" s="9" customFormat="1" x14ac:dyDescent="0.2">
      <c r="B237" s="10"/>
      <c r="C237" s="11"/>
      <c r="D237" s="63"/>
      <c r="E237" s="11"/>
      <c r="F237" s="65"/>
      <c r="G237" s="12"/>
      <c r="H237" s="41"/>
      <c r="I237" s="30"/>
      <c r="J237" s="30"/>
      <c r="K237" s="30"/>
      <c r="L237" s="11"/>
      <c r="M237" s="11"/>
      <c r="N237" s="11"/>
      <c r="O237" s="11"/>
      <c r="P237" s="82"/>
    </row>
    <row r="238" spans="2:16" s="9" customFormat="1" x14ac:dyDescent="0.2">
      <c r="B238" s="10"/>
      <c r="C238" s="11"/>
      <c r="D238" s="63"/>
      <c r="E238" s="11"/>
      <c r="F238" s="65"/>
      <c r="G238" s="12"/>
      <c r="H238" s="41"/>
      <c r="I238" s="30"/>
      <c r="J238" s="30"/>
      <c r="K238" s="30"/>
      <c r="L238" s="11"/>
      <c r="M238" s="11"/>
      <c r="N238" s="11"/>
      <c r="O238" s="11"/>
      <c r="P238" s="82"/>
    </row>
    <row r="239" spans="2:16" s="9" customFormat="1" x14ac:dyDescent="0.2">
      <c r="B239" s="10"/>
      <c r="C239" s="11"/>
      <c r="D239" s="63"/>
      <c r="E239" s="11"/>
      <c r="F239" s="65"/>
      <c r="G239" s="12"/>
      <c r="H239" s="41"/>
      <c r="I239" s="30"/>
      <c r="J239" s="30"/>
      <c r="K239" s="30"/>
      <c r="L239" s="11"/>
      <c r="M239" s="11"/>
      <c r="N239" s="11"/>
      <c r="O239" s="11"/>
      <c r="P239" s="82"/>
    </row>
    <row r="240" spans="2:16" s="9" customFormat="1" x14ac:dyDescent="0.2">
      <c r="B240" s="10"/>
      <c r="C240" s="11"/>
      <c r="D240" s="63"/>
      <c r="E240" s="11"/>
      <c r="F240" s="65"/>
      <c r="G240" s="12"/>
      <c r="H240" s="41"/>
      <c r="I240" s="30"/>
      <c r="J240" s="30"/>
      <c r="K240" s="30"/>
      <c r="L240" s="11"/>
      <c r="M240" s="11"/>
      <c r="N240" s="11"/>
      <c r="O240" s="11"/>
      <c r="P240" s="82"/>
    </row>
    <row r="241" spans="2:16" s="9" customFormat="1" x14ac:dyDescent="0.2">
      <c r="B241" s="10"/>
      <c r="C241" s="11"/>
      <c r="D241" s="63"/>
      <c r="E241" s="11"/>
      <c r="F241" s="65"/>
      <c r="G241" s="12"/>
      <c r="H241" s="41"/>
      <c r="I241" s="30"/>
      <c r="J241" s="30"/>
      <c r="K241" s="30"/>
      <c r="L241" s="11"/>
      <c r="M241" s="11"/>
      <c r="N241" s="11"/>
      <c r="O241" s="11"/>
      <c r="P241" s="82"/>
    </row>
    <row r="242" spans="2:16" s="9" customFormat="1" x14ac:dyDescent="0.2">
      <c r="B242" s="10"/>
      <c r="C242" s="11"/>
      <c r="D242" s="63"/>
      <c r="E242" s="11"/>
      <c r="F242" s="65"/>
      <c r="G242" s="12"/>
      <c r="H242" s="41"/>
      <c r="I242" s="30"/>
      <c r="J242" s="30"/>
      <c r="K242" s="30"/>
      <c r="L242" s="11"/>
      <c r="M242" s="11"/>
      <c r="N242" s="11"/>
      <c r="O242" s="11"/>
      <c r="P242" s="82"/>
    </row>
    <row r="243" spans="2:16" s="9" customFormat="1" x14ac:dyDescent="0.2">
      <c r="B243" s="10"/>
      <c r="C243" s="11"/>
      <c r="D243" s="63"/>
      <c r="E243" s="11"/>
      <c r="F243" s="65"/>
      <c r="G243" s="12"/>
      <c r="H243" s="41"/>
      <c r="I243" s="30"/>
      <c r="J243" s="30"/>
      <c r="K243" s="30"/>
      <c r="L243" s="11"/>
      <c r="M243" s="11"/>
      <c r="N243" s="11"/>
      <c r="O243" s="11"/>
      <c r="P243" s="82"/>
    </row>
    <row r="244" spans="2:16" s="9" customFormat="1" x14ac:dyDescent="0.2">
      <c r="B244" s="10"/>
      <c r="C244" s="11"/>
      <c r="D244" s="63"/>
      <c r="E244" s="11"/>
      <c r="F244" s="65"/>
      <c r="G244" s="12"/>
      <c r="H244" s="41"/>
      <c r="I244" s="30"/>
      <c r="J244" s="30"/>
      <c r="K244" s="30"/>
      <c r="L244" s="11"/>
      <c r="M244" s="11"/>
      <c r="N244" s="11"/>
      <c r="O244" s="11"/>
      <c r="P244" s="82"/>
    </row>
    <row r="245" spans="2:16" s="9" customFormat="1" x14ac:dyDescent="0.2">
      <c r="B245" s="10"/>
      <c r="C245" s="11"/>
      <c r="D245" s="63"/>
      <c r="E245" s="11"/>
      <c r="F245" s="65"/>
      <c r="G245" s="12"/>
      <c r="H245" s="41"/>
      <c r="I245" s="30"/>
      <c r="J245" s="30"/>
      <c r="K245" s="30"/>
      <c r="L245" s="11"/>
      <c r="M245" s="11"/>
      <c r="N245" s="11"/>
      <c r="O245" s="11"/>
      <c r="P245" s="82"/>
    </row>
    <row r="246" spans="2:16" s="9" customFormat="1" x14ac:dyDescent="0.2">
      <c r="B246" s="10"/>
      <c r="C246" s="11"/>
      <c r="D246" s="63"/>
      <c r="E246" s="11"/>
      <c r="F246" s="65"/>
      <c r="G246" s="12"/>
      <c r="H246" s="41"/>
      <c r="I246" s="30"/>
      <c r="J246" s="30"/>
      <c r="K246" s="30"/>
      <c r="L246" s="11"/>
      <c r="M246" s="11"/>
      <c r="N246" s="11"/>
      <c r="O246" s="11"/>
      <c r="P246" s="82"/>
    </row>
    <row r="247" spans="2:16" s="9" customFormat="1" x14ac:dyDescent="0.2">
      <c r="B247" s="10"/>
      <c r="C247" s="11"/>
      <c r="D247" s="63"/>
      <c r="E247" s="11"/>
      <c r="F247" s="65"/>
      <c r="G247" s="12"/>
      <c r="H247" s="41"/>
      <c r="I247" s="30"/>
      <c r="J247" s="30"/>
      <c r="K247" s="30"/>
      <c r="L247" s="11"/>
      <c r="M247" s="11"/>
      <c r="N247" s="11"/>
      <c r="O247" s="11"/>
      <c r="P247" s="82"/>
    </row>
    <row r="248" spans="2:16" s="9" customFormat="1" x14ac:dyDescent="0.2">
      <c r="B248" s="10"/>
      <c r="C248" s="11"/>
      <c r="D248" s="63"/>
      <c r="E248" s="11"/>
      <c r="F248" s="65"/>
      <c r="G248" s="12"/>
      <c r="H248" s="41"/>
      <c r="I248" s="30"/>
      <c r="J248" s="30"/>
      <c r="K248" s="30"/>
      <c r="L248" s="11"/>
      <c r="M248" s="11"/>
      <c r="N248" s="11"/>
      <c r="O248" s="11"/>
      <c r="P248" s="82"/>
    </row>
    <row r="249" spans="2:16" s="9" customFormat="1" x14ac:dyDescent="0.2">
      <c r="B249" s="10"/>
      <c r="C249" s="11"/>
      <c r="D249" s="63"/>
      <c r="E249" s="11"/>
      <c r="F249" s="65"/>
      <c r="G249" s="12"/>
      <c r="H249" s="41"/>
      <c r="I249" s="30"/>
      <c r="J249" s="30"/>
      <c r="K249" s="30"/>
      <c r="L249" s="11"/>
      <c r="M249" s="11"/>
      <c r="N249" s="11"/>
      <c r="O249" s="11"/>
      <c r="P249" s="82"/>
    </row>
    <row r="250" spans="2:16" s="9" customFormat="1" x14ac:dyDescent="0.2">
      <c r="B250" s="10"/>
      <c r="C250" s="11"/>
      <c r="D250" s="63"/>
      <c r="E250" s="11"/>
      <c r="F250" s="65"/>
      <c r="G250" s="12"/>
      <c r="H250" s="41"/>
      <c r="I250" s="30"/>
      <c r="J250" s="30"/>
      <c r="K250" s="30"/>
      <c r="L250" s="11"/>
      <c r="M250" s="11"/>
      <c r="N250" s="11"/>
      <c r="O250" s="11"/>
      <c r="P250" s="82"/>
    </row>
    <row r="251" spans="2:16" s="9" customFormat="1" x14ac:dyDescent="0.2">
      <c r="B251" s="10"/>
      <c r="C251" s="11"/>
      <c r="D251" s="63"/>
      <c r="E251" s="11"/>
      <c r="F251" s="65"/>
      <c r="G251" s="12"/>
      <c r="H251" s="41"/>
      <c r="I251" s="30"/>
      <c r="J251" s="30"/>
      <c r="K251" s="30"/>
      <c r="L251" s="11"/>
      <c r="M251" s="11"/>
      <c r="N251" s="11"/>
      <c r="O251" s="11"/>
      <c r="P251" s="82"/>
    </row>
    <row r="252" spans="2:16" s="9" customFormat="1" x14ac:dyDescent="0.2">
      <c r="B252" s="10"/>
      <c r="C252" s="11"/>
      <c r="D252" s="63"/>
      <c r="E252" s="11"/>
      <c r="F252" s="65"/>
      <c r="G252" s="12"/>
      <c r="H252" s="41"/>
      <c r="I252" s="30"/>
      <c r="J252" s="30"/>
      <c r="K252" s="30"/>
      <c r="L252" s="11"/>
      <c r="M252" s="11"/>
      <c r="N252" s="11"/>
      <c r="O252" s="11"/>
      <c r="P252" s="82"/>
    </row>
    <row r="253" spans="2:16" s="9" customFormat="1" x14ac:dyDescent="0.2">
      <c r="B253" s="10"/>
      <c r="C253" s="11"/>
      <c r="D253" s="63"/>
      <c r="E253" s="11"/>
      <c r="F253" s="65"/>
      <c r="G253" s="12"/>
      <c r="H253" s="41"/>
      <c r="I253" s="30"/>
      <c r="J253" s="30"/>
      <c r="K253" s="30"/>
      <c r="L253" s="11"/>
      <c r="M253" s="11"/>
      <c r="N253" s="11"/>
      <c r="O253" s="11"/>
      <c r="P253" s="82"/>
    </row>
    <row r="254" spans="2:16" s="9" customFormat="1" x14ac:dyDescent="0.2">
      <c r="B254" s="10"/>
      <c r="C254" s="11"/>
      <c r="D254" s="63"/>
      <c r="E254" s="11"/>
      <c r="F254" s="65"/>
      <c r="G254" s="12"/>
      <c r="H254" s="41"/>
      <c r="I254" s="30"/>
      <c r="J254" s="30"/>
      <c r="K254" s="30"/>
      <c r="L254" s="11"/>
      <c r="M254" s="11"/>
      <c r="N254" s="11"/>
      <c r="O254" s="11"/>
      <c r="P254" s="82"/>
    </row>
    <row r="255" spans="2:16" s="9" customFormat="1" x14ac:dyDescent="0.2">
      <c r="B255" s="10"/>
      <c r="C255" s="11"/>
      <c r="D255" s="63"/>
      <c r="E255" s="11"/>
      <c r="F255" s="65"/>
      <c r="G255" s="12"/>
      <c r="H255" s="41"/>
      <c r="I255" s="30"/>
      <c r="J255" s="30"/>
      <c r="K255" s="30"/>
      <c r="L255" s="11"/>
      <c r="M255" s="11"/>
      <c r="N255" s="11"/>
      <c r="O255" s="11"/>
      <c r="P255" s="82"/>
    </row>
    <row r="256" spans="2:16" s="9" customFormat="1" x14ac:dyDescent="0.2">
      <c r="B256" s="10"/>
      <c r="C256" s="11"/>
      <c r="D256" s="63"/>
      <c r="E256" s="11"/>
      <c r="F256" s="65"/>
      <c r="G256" s="12"/>
      <c r="H256" s="41"/>
      <c r="I256" s="30"/>
      <c r="J256" s="30"/>
      <c r="K256" s="30"/>
      <c r="L256" s="11"/>
      <c r="M256" s="11"/>
      <c r="N256" s="11"/>
      <c r="O256" s="11"/>
      <c r="P256" s="82"/>
    </row>
    <row r="257" spans="2:16" s="9" customFormat="1" x14ac:dyDescent="0.2">
      <c r="B257" s="10"/>
      <c r="C257" s="11"/>
      <c r="D257" s="63"/>
      <c r="E257" s="11"/>
      <c r="F257" s="65"/>
      <c r="G257" s="12"/>
      <c r="H257" s="41"/>
      <c r="I257" s="30"/>
      <c r="J257" s="30"/>
      <c r="K257" s="30"/>
      <c r="L257" s="11"/>
      <c r="M257" s="11"/>
      <c r="N257" s="11"/>
      <c r="O257" s="11"/>
      <c r="P257" s="82"/>
    </row>
    <row r="258" spans="2:16" s="9" customFormat="1" x14ac:dyDescent="0.2">
      <c r="B258" s="10"/>
      <c r="C258" s="11"/>
      <c r="D258" s="63"/>
      <c r="E258" s="11"/>
      <c r="F258" s="65"/>
      <c r="G258" s="12"/>
      <c r="H258" s="41"/>
      <c r="I258" s="30"/>
      <c r="J258" s="30"/>
      <c r="K258" s="30"/>
      <c r="L258" s="11"/>
      <c r="M258" s="11"/>
      <c r="N258" s="11"/>
      <c r="O258" s="11"/>
      <c r="P258" s="82"/>
    </row>
    <row r="259" spans="2:16" s="9" customFormat="1" x14ac:dyDescent="0.2">
      <c r="B259" s="10"/>
      <c r="C259" s="11"/>
      <c r="D259" s="63"/>
      <c r="E259" s="11"/>
      <c r="F259" s="65"/>
      <c r="G259" s="12"/>
      <c r="H259" s="41"/>
      <c r="I259" s="30"/>
      <c r="J259" s="30"/>
      <c r="K259" s="30"/>
      <c r="L259" s="11"/>
      <c r="M259" s="11"/>
      <c r="N259" s="11"/>
      <c r="O259" s="11"/>
      <c r="P259" s="82"/>
    </row>
    <row r="260" spans="2:16" s="9" customFormat="1" x14ac:dyDescent="0.2">
      <c r="B260" s="10"/>
      <c r="C260" s="11"/>
      <c r="D260" s="63"/>
      <c r="E260" s="11"/>
      <c r="F260" s="65"/>
      <c r="G260" s="12"/>
      <c r="H260" s="41"/>
      <c r="I260" s="30"/>
      <c r="J260" s="30"/>
      <c r="K260" s="30"/>
      <c r="L260" s="11"/>
      <c r="M260" s="11"/>
      <c r="N260" s="11"/>
      <c r="O260" s="11"/>
      <c r="P260" s="82"/>
    </row>
    <row r="261" spans="2:16" s="9" customFormat="1" x14ac:dyDescent="0.2">
      <c r="B261" s="10"/>
      <c r="C261" s="11"/>
      <c r="D261" s="63"/>
      <c r="E261" s="11"/>
      <c r="F261" s="65"/>
      <c r="G261" s="12"/>
      <c r="H261" s="41"/>
      <c r="I261" s="30"/>
      <c r="J261" s="30"/>
      <c r="K261" s="30"/>
      <c r="L261" s="11"/>
      <c r="M261" s="11"/>
      <c r="N261" s="11"/>
      <c r="O261" s="11"/>
      <c r="P261" s="82"/>
    </row>
    <row r="262" spans="2:16" s="9" customFormat="1" x14ac:dyDescent="0.2">
      <c r="B262" s="10"/>
      <c r="C262" s="11"/>
      <c r="D262" s="63"/>
      <c r="E262" s="11"/>
      <c r="F262" s="65"/>
      <c r="G262" s="12"/>
      <c r="H262" s="41"/>
      <c r="I262" s="30"/>
      <c r="J262" s="30"/>
      <c r="K262" s="30"/>
      <c r="L262" s="11"/>
      <c r="M262" s="11"/>
      <c r="N262" s="11"/>
      <c r="O262" s="11"/>
      <c r="P262" s="82"/>
    </row>
    <row r="263" spans="2:16" s="9" customFormat="1" x14ac:dyDescent="0.2">
      <c r="B263" s="10"/>
      <c r="C263" s="11"/>
      <c r="D263" s="63"/>
      <c r="E263" s="11"/>
      <c r="F263" s="65"/>
      <c r="G263" s="12"/>
      <c r="H263" s="41"/>
      <c r="I263" s="30"/>
      <c r="J263" s="30"/>
      <c r="K263" s="30"/>
      <c r="L263" s="11"/>
      <c r="M263" s="11"/>
      <c r="N263" s="11"/>
      <c r="O263" s="11"/>
      <c r="P263" s="82"/>
    </row>
    <row r="264" spans="2:16" s="9" customFormat="1" x14ac:dyDescent="0.2">
      <c r="B264" s="10"/>
      <c r="C264" s="11"/>
      <c r="D264" s="63"/>
      <c r="E264" s="11"/>
      <c r="F264" s="65"/>
      <c r="G264" s="12"/>
      <c r="H264" s="41"/>
      <c r="I264" s="30"/>
      <c r="J264" s="30"/>
      <c r="K264" s="30"/>
      <c r="L264" s="11"/>
      <c r="M264" s="11"/>
      <c r="N264" s="11"/>
      <c r="O264" s="11"/>
      <c r="P264" s="82"/>
    </row>
    <row r="265" spans="2:16" s="9" customFormat="1" x14ac:dyDescent="0.2">
      <c r="B265" s="10"/>
      <c r="C265" s="11"/>
      <c r="D265" s="63"/>
      <c r="E265" s="11"/>
      <c r="F265" s="65"/>
      <c r="G265" s="12"/>
      <c r="H265" s="41"/>
      <c r="I265" s="30"/>
      <c r="J265" s="30"/>
      <c r="K265" s="30"/>
      <c r="L265" s="11"/>
      <c r="M265" s="11"/>
      <c r="N265" s="11"/>
      <c r="O265" s="11"/>
      <c r="P265" s="82"/>
    </row>
    <row r="266" spans="2:16" s="9" customFormat="1" x14ac:dyDescent="0.2">
      <c r="B266" s="10"/>
      <c r="C266" s="11"/>
      <c r="D266" s="63"/>
      <c r="E266" s="11"/>
      <c r="F266" s="65"/>
      <c r="G266" s="12"/>
      <c r="H266" s="41"/>
      <c r="I266" s="30"/>
      <c r="J266" s="30"/>
      <c r="K266" s="30"/>
      <c r="L266" s="11"/>
      <c r="M266" s="11"/>
      <c r="N266" s="11"/>
      <c r="O266" s="11"/>
      <c r="P266" s="82"/>
    </row>
    <row r="267" spans="2:16" s="9" customFormat="1" x14ac:dyDescent="0.2">
      <c r="B267" s="10"/>
      <c r="C267" s="11"/>
      <c r="D267" s="63"/>
      <c r="E267" s="11"/>
      <c r="F267" s="65"/>
      <c r="G267" s="12"/>
      <c r="H267" s="41"/>
      <c r="I267" s="30"/>
      <c r="J267" s="30"/>
      <c r="K267" s="30"/>
      <c r="L267" s="11"/>
      <c r="M267" s="11"/>
      <c r="N267" s="11"/>
      <c r="O267" s="11"/>
      <c r="P267" s="82"/>
    </row>
    <row r="268" spans="2:16" s="9" customFormat="1" x14ac:dyDescent="0.2">
      <c r="B268" s="10"/>
      <c r="C268" s="11"/>
      <c r="D268" s="63"/>
      <c r="E268" s="11"/>
      <c r="F268" s="65"/>
      <c r="G268" s="12"/>
      <c r="H268" s="41"/>
      <c r="I268" s="30"/>
      <c r="J268" s="30"/>
      <c r="K268" s="30"/>
      <c r="L268" s="11"/>
      <c r="M268" s="11"/>
      <c r="N268" s="11"/>
      <c r="O268" s="11"/>
      <c r="P268" s="82"/>
    </row>
    <row r="269" spans="2:16" s="9" customFormat="1" x14ac:dyDescent="0.2">
      <c r="B269" s="10"/>
      <c r="C269" s="11"/>
      <c r="D269" s="63"/>
      <c r="E269" s="11"/>
      <c r="F269" s="65"/>
      <c r="G269" s="12"/>
      <c r="H269" s="41"/>
      <c r="I269" s="30"/>
      <c r="J269" s="30"/>
      <c r="K269" s="30"/>
      <c r="L269" s="11"/>
      <c r="M269" s="11"/>
      <c r="N269" s="11"/>
      <c r="O269" s="11"/>
      <c r="P269" s="82"/>
    </row>
    <row r="270" spans="2:16" s="9" customFormat="1" x14ac:dyDescent="0.2">
      <c r="B270" s="10"/>
      <c r="C270" s="11"/>
      <c r="D270" s="63"/>
      <c r="E270" s="11"/>
      <c r="F270" s="65"/>
      <c r="G270" s="12"/>
      <c r="H270" s="41"/>
      <c r="I270" s="30"/>
      <c r="J270" s="30"/>
      <c r="K270" s="30"/>
      <c r="L270" s="11"/>
      <c r="M270" s="11"/>
      <c r="N270" s="11"/>
      <c r="O270" s="11"/>
      <c r="P270" s="82"/>
    </row>
    <row r="271" spans="2:16" s="9" customFormat="1" x14ac:dyDescent="0.2">
      <c r="B271" s="10"/>
      <c r="C271" s="11"/>
      <c r="D271" s="63"/>
      <c r="E271" s="11"/>
      <c r="F271" s="65"/>
      <c r="G271" s="12"/>
      <c r="H271" s="41"/>
      <c r="I271" s="30"/>
      <c r="J271" s="30"/>
      <c r="K271" s="30"/>
      <c r="L271" s="11"/>
      <c r="M271" s="11"/>
      <c r="N271" s="11"/>
      <c r="O271" s="11"/>
      <c r="P271" s="82"/>
    </row>
    <row r="272" spans="2:16" s="9" customFormat="1" x14ac:dyDescent="0.2">
      <c r="B272" s="10"/>
      <c r="C272" s="11"/>
      <c r="D272" s="63"/>
      <c r="E272" s="11"/>
      <c r="F272" s="65"/>
      <c r="G272" s="12"/>
      <c r="H272" s="41"/>
      <c r="I272" s="30"/>
      <c r="J272" s="30"/>
      <c r="K272" s="30"/>
      <c r="L272" s="11"/>
      <c r="M272" s="11"/>
      <c r="N272" s="11"/>
      <c r="O272" s="11"/>
      <c r="P272" s="82"/>
    </row>
    <row r="273" spans="2:16" s="9" customFormat="1" x14ac:dyDescent="0.2">
      <c r="B273" s="10"/>
      <c r="C273" s="11"/>
      <c r="D273" s="63"/>
      <c r="E273" s="11"/>
      <c r="F273" s="65"/>
      <c r="G273" s="12"/>
      <c r="H273" s="41"/>
      <c r="I273" s="30"/>
      <c r="J273" s="30"/>
      <c r="K273" s="30"/>
      <c r="L273" s="11"/>
      <c r="M273" s="11"/>
      <c r="N273" s="11"/>
      <c r="O273" s="11"/>
      <c r="P273" s="82"/>
    </row>
    <row r="274" spans="2:16" s="9" customFormat="1" x14ac:dyDescent="0.2">
      <c r="B274" s="10"/>
      <c r="C274" s="11"/>
      <c r="D274" s="63"/>
      <c r="E274" s="11"/>
      <c r="F274" s="65"/>
      <c r="G274" s="12"/>
      <c r="H274" s="41"/>
      <c r="I274" s="30"/>
      <c r="J274" s="30"/>
      <c r="K274" s="30"/>
      <c r="L274" s="11"/>
      <c r="M274" s="11"/>
      <c r="N274" s="11"/>
      <c r="O274" s="11"/>
      <c r="P274" s="82"/>
    </row>
    <row r="275" spans="2:16" s="9" customFormat="1" x14ac:dyDescent="0.2">
      <c r="B275" s="10"/>
      <c r="C275" s="11"/>
      <c r="D275" s="63"/>
      <c r="E275" s="11"/>
      <c r="F275" s="65"/>
      <c r="G275" s="12"/>
      <c r="H275" s="41"/>
      <c r="I275" s="30"/>
      <c r="J275" s="30"/>
      <c r="K275" s="30"/>
      <c r="L275" s="11"/>
      <c r="M275" s="11"/>
      <c r="N275" s="11"/>
      <c r="O275" s="11"/>
      <c r="P275" s="82"/>
    </row>
    <row r="276" spans="2:16" s="9" customFormat="1" x14ac:dyDescent="0.2">
      <c r="B276" s="10"/>
      <c r="C276" s="11"/>
      <c r="D276" s="63"/>
      <c r="E276" s="11"/>
      <c r="F276" s="65"/>
      <c r="G276" s="12"/>
      <c r="H276" s="41"/>
      <c r="I276" s="30"/>
      <c r="J276" s="30"/>
      <c r="K276" s="30"/>
      <c r="L276" s="11"/>
      <c r="M276" s="11"/>
      <c r="N276" s="11"/>
      <c r="O276" s="11"/>
      <c r="P276" s="82"/>
    </row>
    <row r="277" spans="2:16" s="9" customFormat="1" x14ac:dyDescent="0.2">
      <c r="B277" s="10"/>
      <c r="C277" s="11"/>
      <c r="D277" s="63"/>
      <c r="E277" s="11"/>
      <c r="F277" s="65"/>
      <c r="G277" s="12"/>
      <c r="H277" s="41"/>
      <c r="I277" s="30"/>
      <c r="J277" s="30"/>
      <c r="K277" s="30"/>
      <c r="L277" s="11"/>
      <c r="M277" s="11"/>
      <c r="N277" s="11"/>
      <c r="O277" s="11"/>
      <c r="P277" s="82"/>
    </row>
    <row r="278" spans="2:16" s="9" customFormat="1" x14ac:dyDescent="0.2">
      <c r="B278" s="10"/>
      <c r="C278" s="11"/>
      <c r="D278" s="63"/>
      <c r="E278" s="11"/>
      <c r="F278" s="65"/>
      <c r="G278" s="12"/>
      <c r="H278" s="41"/>
      <c r="I278" s="30"/>
      <c r="J278" s="30"/>
      <c r="K278" s="30"/>
      <c r="L278" s="11"/>
      <c r="M278" s="11"/>
      <c r="N278" s="11"/>
      <c r="O278" s="11"/>
      <c r="P278" s="82"/>
    </row>
    <row r="279" spans="2:16" s="9" customFormat="1" x14ac:dyDescent="0.2">
      <c r="B279" s="10"/>
      <c r="C279" s="11"/>
      <c r="D279" s="63"/>
      <c r="E279" s="11"/>
      <c r="F279" s="65"/>
      <c r="G279" s="12"/>
      <c r="H279" s="41"/>
      <c r="I279" s="30"/>
      <c r="J279" s="30"/>
      <c r="K279" s="30"/>
      <c r="L279" s="11"/>
      <c r="M279" s="11"/>
      <c r="N279" s="11"/>
      <c r="O279" s="11"/>
      <c r="P279" s="82"/>
    </row>
    <row r="280" spans="2:16" s="9" customFormat="1" x14ac:dyDescent="0.2">
      <c r="B280" s="10"/>
      <c r="C280" s="11"/>
      <c r="D280" s="63"/>
      <c r="E280" s="11"/>
      <c r="F280" s="65"/>
      <c r="G280" s="12"/>
      <c r="H280" s="41"/>
      <c r="I280" s="30"/>
      <c r="J280" s="30"/>
      <c r="K280" s="30"/>
      <c r="L280" s="11"/>
      <c r="M280" s="11"/>
      <c r="N280" s="11"/>
      <c r="O280" s="11"/>
      <c r="P280" s="82"/>
    </row>
    <row r="281" spans="2:16" s="9" customFormat="1" x14ac:dyDescent="0.2">
      <c r="B281" s="10"/>
      <c r="C281" s="11"/>
      <c r="D281" s="63"/>
      <c r="E281" s="11"/>
      <c r="F281" s="65"/>
      <c r="G281" s="12"/>
      <c r="H281" s="41"/>
      <c r="I281" s="30"/>
      <c r="J281" s="30"/>
      <c r="K281" s="30"/>
      <c r="L281" s="11"/>
      <c r="M281" s="11"/>
      <c r="N281" s="11"/>
      <c r="O281" s="11"/>
      <c r="P281" s="82"/>
    </row>
    <row r="282" spans="2:16" s="9" customFormat="1" x14ac:dyDescent="0.2">
      <c r="B282" s="10"/>
      <c r="C282" s="11"/>
      <c r="D282" s="63"/>
      <c r="E282" s="11"/>
      <c r="F282" s="65"/>
      <c r="G282" s="12"/>
      <c r="H282" s="41"/>
      <c r="I282" s="30"/>
      <c r="J282" s="30"/>
      <c r="K282" s="30"/>
      <c r="L282" s="11"/>
      <c r="M282" s="11"/>
      <c r="N282" s="11"/>
      <c r="O282" s="11"/>
      <c r="P282" s="82"/>
    </row>
    <row r="283" spans="2:16" s="9" customFormat="1" x14ac:dyDescent="0.2">
      <c r="B283" s="10"/>
      <c r="C283" s="11"/>
      <c r="D283" s="63"/>
      <c r="E283" s="11"/>
      <c r="F283" s="65"/>
      <c r="G283" s="12"/>
      <c r="H283" s="41"/>
      <c r="I283" s="30"/>
      <c r="J283" s="30"/>
      <c r="K283" s="30"/>
      <c r="L283" s="11"/>
      <c r="M283" s="11"/>
      <c r="N283" s="11"/>
      <c r="O283" s="11"/>
      <c r="P283" s="82"/>
    </row>
    <row r="284" spans="2:16" s="9" customFormat="1" x14ac:dyDescent="0.2">
      <c r="B284" s="10"/>
      <c r="C284" s="11"/>
      <c r="D284" s="63"/>
      <c r="E284" s="11"/>
      <c r="F284" s="65"/>
      <c r="G284" s="12"/>
      <c r="H284" s="41"/>
      <c r="I284" s="30"/>
      <c r="J284" s="30"/>
      <c r="K284" s="30"/>
      <c r="L284" s="11"/>
      <c r="M284" s="11"/>
      <c r="N284" s="11"/>
      <c r="O284" s="11"/>
      <c r="P284" s="82"/>
    </row>
    <row r="285" spans="2:16" s="9" customFormat="1" x14ac:dyDescent="0.2">
      <c r="B285" s="10"/>
      <c r="C285" s="11"/>
      <c r="D285" s="63"/>
      <c r="E285" s="11"/>
      <c r="F285" s="65"/>
      <c r="G285" s="12"/>
      <c r="H285" s="41"/>
      <c r="I285" s="30"/>
      <c r="J285" s="30"/>
      <c r="K285" s="30"/>
      <c r="L285" s="11"/>
      <c r="M285" s="11"/>
      <c r="N285" s="11"/>
      <c r="O285" s="11"/>
      <c r="P285" s="82"/>
    </row>
    <row r="286" spans="2:16" s="9" customFormat="1" x14ac:dyDescent="0.2">
      <c r="B286" s="10"/>
      <c r="C286" s="11"/>
      <c r="D286" s="63"/>
      <c r="E286" s="11"/>
      <c r="F286" s="65"/>
      <c r="G286" s="12"/>
      <c r="H286" s="41"/>
      <c r="I286" s="30"/>
      <c r="J286" s="30"/>
      <c r="K286" s="30"/>
      <c r="L286" s="11"/>
      <c r="M286" s="11"/>
      <c r="N286" s="11"/>
      <c r="O286" s="11"/>
      <c r="P286" s="82"/>
    </row>
    <row r="287" spans="2:16" s="9" customFormat="1" x14ac:dyDescent="0.2">
      <c r="B287" s="10"/>
      <c r="C287" s="11"/>
      <c r="D287" s="63"/>
      <c r="E287" s="11"/>
      <c r="F287" s="65"/>
      <c r="G287" s="12"/>
      <c r="H287" s="41"/>
      <c r="I287" s="30"/>
      <c r="J287" s="30"/>
      <c r="K287" s="30"/>
      <c r="L287" s="11"/>
      <c r="M287" s="11"/>
      <c r="N287" s="11"/>
      <c r="O287" s="11"/>
      <c r="P287" s="82"/>
    </row>
    <row r="288" spans="2:16" s="9" customFormat="1" x14ac:dyDescent="0.2">
      <c r="B288" s="10"/>
      <c r="C288" s="11"/>
      <c r="D288" s="63"/>
      <c r="E288" s="11"/>
      <c r="F288" s="65"/>
      <c r="G288" s="12"/>
      <c r="H288" s="41"/>
      <c r="I288" s="30"/>
      <c r="J288" s="30"/>
      <c r="K288" s="30"/>
      <c r="L288" s="11"/>
      <c r="M288" s="11"/>
      <c r="N288" s="11"/>
      <c r="O288" s="11"/>
      <c r="P288" s="82"/>
    </row>
    <row r="289" spans="2:16" s="9" customFormat="1" x14ac:dyDescent="0.2">
      <c r="B289" s="10"/>
      <c r="C289" s="11"/>
      <c r="D289" s="63"/>
      <c r="E289" s="11"/>
      <c r="F289" s="65"/>
      <c r="G289" s="12"/>
      <c r="H289" s="41"/>
      <c r="I289" s="30"/>
      <c r="J289" s="30"/>
      <c r="K289" s="30"/>
      <c r="L289" s="11"/>
      <c r="M289" s="11"/>
      <c r="N289" s="11"/>
      <c r="O289" s="11"/>
      <c r="P289" s="82"/>
    </row>
    <row r="290" spans="2:16" s="9" customFormat="1" x14ac:dyDescent="0.2">
      <c r="B290" s="10"/>
      <c r="C290" s="11"/>
      <c r="D290" s="63"/>
      <c r="E290" s="11"/>
      <c r="F290" s="65"/>
      <c r="G290" s="12"/>
      <c r="H290" s="41"/>
      <c r="I290" s="30"/>
      <c r="J290" s="30"/>
      <c r="K290" s="30"/>
      <c r="L290" s="11"/>
      <c r="M290" s="11"/>
      <c r="N290" s="11"/>
      <c r="O290" s="11"/>
      <c r="P290" s="82"/>
    </row>
    <row r="291" spans="2:16" s="9" customFormat="1" x14ac:dyDescent="0.2">
      <c r="B291" s="10"/>
      <c r="C291" s="11"/>
      <c r="D291" s="63"/>
      <c r="E291" s="11"/>
      <c r="F291" s="65"/>
      <c r="G291" s="12"/>
      <c r="H291" s="41"/>
      <c r="I291" s="30"/>
      <c r="J291" s="30"/>
      <c r="K291" s="30"/>
      <c r="L291" s="11"/>
      <c r="M291" s="11"/>
      <c r="N291" s="11"/>
      <c r="O291" s="11"/>
      <c r="P291" s="82"/>
    </row>
    <row r="292" spans="2:16" s="9" customFormat="1" x14ac:dyDescent="0.2">
      <c r="B292" s="10"/>
      <c r="C292" s="11"/>
      <c r="D292" s="63"/>
      <c r="E292" s="11"/>
      <c r="F292" s="65"/>
      <c r="G292" s="12"/>
      <c r="H292" s="41"/>
      <c r="I292" s="30"/>
      <c r="J292" s="30"/>
      <c r="K292" s="30"/>
      <c r="L292" s="11"/>
      <c r="M292" s="11"/>
      <c r="N292" s="11"/>
      <c r="O292" s="11"/>
      <c r="P292" s="82"/>
    </row>
    <row r="293" spans="2:16" s="9" customFormat="1" x14ac:dyDescent="0.2">
      <c r="B293" s="10"/>
      <c r="C293" s="11"/>
      <c r="D293" s="63"/>
      <c r="E293" s="11"/>
      <c r="F293" s="65"/>
      <c r="G293" s="12"/>
      <c r="H293" s="41"/>
      <c r="I293" s="30"/>
      <c r="J293" s="30"/>
      <c r="K293" s="30"/>
      <c r="L293" s="11"/>
      <c r="M293" s="11"/>
      <c r="N293" s="11"/>
      <c r="O293" s="11"/>
      <c r="P293" s="82"/>
    </row>
    <row r="294" spans="2:16" s="9" customFormat="1" x14ac:dyDescent="0.2">
      <c r="B294" s="10"/>
      <c r="C294" s="11"/>
      <c r="D294" s="63"/>
      <c r="E294" s="11"/>
      <c r="F294" s="65"/>
      <c r="G294" s="12"/>
      <c r="H294" s="41"/>
      <c r="I294" s="30"/>
      <c r="J294" s="30"/>
      <c r="K294" s="30"/>
      <c r="L294" s="11"/>
      <c r="M294" s="11"/>
      <c r="N294" s="11"/>
      <c r="O294" s="11"/>
      <c r="P294" s="82"/>
    </row>
    <row r="295" spans="2:16" s="9" customFormat="1" x14ac:dyDescent="0.2">
      <c r="B295" s="10"/>
      <c r="C295" s="11"/>
      <c r="D295" s="63"/>
      <c r="E295" s="11"/>
      <c r="F295" s="65"/>
      <c r="G295" s="12"/>
      <c r="H295" s="41"/>
      <c r="I295" s="30"/>
      <c r="J295" s="30"/>
      <c r="K295" s="30"/>
      <c r="L295" s="11"/>
      <c r="M295" s="11"/>
      <c r="N295" s="11"/>
      <c r="O295" s="11"/>
      <c r="P295" s="82"/>
    </row>
    <row r="296" spans="2:16" s="9" customFormat="1" x14ac:dyDescent="0.2">
      <c r="B296" s="10"/>
      <c r="C296" s="11"/>
      <c r="D296" s="63"/>
      <c r="E296" s="11"/>
      <c r="F296" s="65"/>
      <c r="G296" s="12"/>
      <c r="H296" s="41"/>
      <c r="I296" s="30"/>
      <c r="J296" s="30"/>
      <c r="K296" s="30"/>
      <c r="L296" s="11"/>
      <c r="M296" s="11"/>
      <c r="N296" s="11"/>
      <c r="O296" s="11"/>
      <c r="P296" s="82"/>
    </row>
    <row r="297" spans="2:16" s="9" customFormat="1" x14ac:dyDescent="0.2">
      <c r="B297" s="10"/>
      <c r="C297" s="11"/>
      <c r="D297" s="63"/>
      <c r="E297" s="11"/>
      <c r="F297" s="65"/>
      <c r="G297" s="12"/>
      <c r="H297" s="41"/>
      <c r="I297" s="30"/>
      <c r="J297" s="30"/>
      <c r="K297" s="30"/>
      <c r="L297" s="11"/>
      <c r="M297" s="11"/>
      <c r="N297" s="11"/>
      <c r="O297" s="11"/>
      <c r="P297" s="82"/>
    </row>
    <row r="298" spans="2:16" s="9" customFormat="1" x14ac:dyDescent="0.2">
      <c r="B298" s="10"/>
      <c r="C298" s="11"/>
      <c r="D298" s="63"/>
      <c r="E298" s="11"/>
      <c r="F298" s="65"/>
      <c r="G298" s="12"/>
      <c r="H298" s="41"/>
      <c r="I298" s="30"/>
      <c r="J298" s="30"/>
      <c r="K298" s="30"/>
      <c r="L298" s="11"/>
      <c r="M298" s="11"/>
      <c r="N298" s="11"/>
      <c r="O298" s="11"/>
      <c r="P298" s="82"/>
    </row>
    <row r="299" spans="2:16" s="9" customFormat="1" x14ac:dyDescent="0.2">
      <c r="B299" s="10"/>
      <c r="C299" s="11"/>
      <c r="D299" s="63"/>
      <c r="E299" s="11"/>
      <c r="F299" s="65"/>
      <c r="G299" s="12"/>
      <c r="H299" s="41"/>
      <c r="I299" s="30"/>
      <c r="J299" s="30"/>
      <c r="K299" s="30"/>
      <c r="L299" s="11"/>
      <c r="M299" s="11"/>
      <c r="N299" s="11"/>
      <c r="O299" s="11"/>
      <c r="P299" s="82"/>
    </row>
    <row r="300" spans="2:16" s="9" customFormat="1" x14ac:dyDescent="0.2">
      <c r="B300" s="10"/>
      <c r="C300" s="11"/>
      <c r="D300" s="63"/>
      <c r="E300" s="11"/>
      <c r="F300" s="65"/>
      <c r="G300" s="12"/>
      <c r="H300" s="41"/>
      <c r="I300" s="30"/>
      <c r="J300" s="30"/>
      <c r="K300" s="30"/>
      <c r="L300" s="11"/>
      <c r="M300" s="11"/>
      <c r="N300" s="11"/>
      <c r="O300" s="11"/>
      <c r="P300" s="82"/>
    </row>
    <row r="301" spans="2:16" s="9" customFormat="1" x14ac:dyDescent="0.2">
      <c r="B301" s="10"/>
      <c r="C301" s="11"/>
      <c r="D301" s="63"/>
      <c r="E301" s="11"/>
      <c r="F301" s="65"/>
      <c r="G301" s="12"/>
      <c r="H301" s="41"/>
      <c r="I301" s="30"/>
      <c r="J301" s="30"/>
      <c r="K301" s="30"/>
      <c r="L301" s="11"/>
      <c r="M301" s="11"/>
      <c r="N301" s="11"/>
      <c r="O301" s="11"/>
      <c r="P301" s="82"/>
    </row>
    <row r="302" spans="2:16" s="9" customFormat="1" x14ac:dyDescent="0.2">
      <c r="B302" s="10"/>
      <c r="C302" s="11"/>
      <c r="D302" s="63"/>
      <c r="E302" s="11"/>
      <c r="F302" s="65"/>
      <c r="G302" s="12"/>
      <c r="H302" s="41"/>
      <c r="I302" s="30"/>
      <c r="J302" s="30"/>
      <c r="K302" s="30"/>
      <c r="L302" s="11"/>
      <c r="M302" s="11"/>
      <c r="N302" s="11"/>
      <c r="O302" s="11"/>
      <c r="P302" s="82"/>
    </row>
    <row r="303" spans="2:16" s="9" customFormat="1" x14ac:dyDescent="0.2">
      <c r="B303" s="10"/>
      <c r="C303" s="11"/>
      <c r="D303" s="63"/>
      <c r="E303" s="11"/>
      <c r="F303" s="65"/>
      <c r="G303" s="12"/>
      <c r="H303" s="41"/>
      <c r="I303" s="30"/>
      <c r="J303" s="30"/>
      <c r="K303" s="30"/>
      <c r="L303" s="11"/>
      <c r="M303" s="11"/>
      <c r="N303" s="11"/>
      <c r="O303" s="11"/>
      <c r="P303" s="82"/>
    </row>
    <row r="304" spans="2:16" s="9" customFormat="1" x14ac:dyDescent="0.2">
      <c r="B304" s="10"/>
      <c r="C304" s="11"/>
      <c r="D304" s="63"/>
      <c r="E304" s="11"/>
      <c r="F304" s="65"/>
      <c r="G304" s="12"/>
      <c r="H304" s="41"/>
      <c r="I304" s="30"/>
      <c r="J304" s="30"/>
      <c r="K304" s="30"/>
      <c r="L304" s="11"/>
      <c r="M304" s="11"/>
      <c r="N304" s="11"/>
      <c r="O304" s="11"/>
      <c r="P304" s="82"/>
    </row>
    <row r="305" spans="2:16" s="9" customFormat="1" x14ac:dyDescent="0.2">
      <c r="B305" s="10"/>
      <c r="C305" s="11"/>
      <c r="D305" s="63"/>
      <c r="E305" s="11"/>
      <c r="F305" s="65"/>
      <c r="G305" s="12"/>
      <c r="H305" s="41"/>
      <c r="I305" s="30"/>
      <c r="J305" s="30"/>
      <c r="K305" s="30"/>
      <c r="L305" s="11"/>
      <c r="M305" s="11"/>
      <c r="N305" s="11"/>
      <c r="O305" s="11"/>
      <c r="P305" s="82"/>
    </row>
    <row r="306" spans="2:16" s="9" customFormat="1" x14ac:dyDescent="0.2">
      <c r="B306" s="10"/>
      <c r="C306" s="11"/>
      <c r="D306" s="63"/>
      <c r="E306" s="11"/>
      <c r="F306" s="65"/>
      <c r="G306" s="12"/>
      <c r="H306" s="41"/>
      <c r="I306" s="30"/>
      <c r="J306" s="30"/>
      <c r="K306" s="30"/>
      <c r="L306" s="11"/>
      <c r="M306" s="11"/>
      <c r="N306" s="11"/>
      <c r="O306" s="11"/>
      <c r="P306" s="82"/>
    </row>
    <row r="307" spans="2:16" s="9" customFormat="1" x14ac:dyDescent="0.2">
      <c r="B307" s="10"/>
      <c r="C307" s="11"/>
      <c r="D307" s="63"/>
      <c r="E307" s="11"/>
      <c r="F307" s="65"/>
      <c r="G307" s="12"/>
      <c r="H307" s="41"/>
      <c r="I307" s="30"/>
      <c r="J307" s="30"/>
      <c r="K307" s="30"/>
      <c r="L307" s="11"/>
      <c r="M307" s="11"/>
      <c r="N307" s="11"/>
      <c r="O307" s="11"/>
      <c r="P307" s="82"/>
    </row>
    <row r="308" spans="2:16" s="9" customFormat="1" x14ac:dyDescent="0.2">
      <c r="B308" s="10"/>
      <c r="C308" s="11"/>
      <c r="D308" s="63"/>
      <c r="E308" s="11"/>
      <c r="F308" s="65"/>
      <c r="G308" s="12"/>
      <c r="H308" s="41"/>
      <c r="I308" s="30"/>
      <c r="J308" s="30"/>
      <c r="K308" s="30"/>
      <c r="L308" s="11"/>
      <c r="M308" s="11"/>
      <c r="N308" s="11"/>
      <c r="O308" s="11"/>
      <c r="P308" s="82"/>
    </row>
    <row r="309" spans="2:16" s="9" customFormat="1" x14ac:dyDescent="0.2">
      <c r="B309" s="10"/>
      <c r="C309" s="11"/>
      <c r="D309" s="63"/>
      <c r="E309" s="11"/>
      <c r="F309" s="65"/>
      <c r="G309" s="12"/>
      <c r="H309" s="41"/>
      <c r="I309" s="30"/>
      <c r="J309" s="30"/>
      <c r="K309" s="30"/>
      <c r="L309" s="11"/>
      <c r="M309" s="11"/>
      <c r="N309" s="11"/>
      <c r="O309" s="11"/>
      <c r="P309" s="82"/>
    </row>
    <row r="310" spans="2:16" s="9" customFormat="1" x14ac:dyDescent="0.2">
      <c r="B310" s="10"/>
      <c r="C310" s="11"/>
      <c r="D310" s="63"/>
      <c r="E310" s="11"/>
      <c r="F310" s="65"/>
      <c r="G310" s="12"/>
      <c r="H310" s="41"/>
      <c r="I310" s="30"/>
      <c r="J310" s="30"/>
      <c r="K310" s="30"/>
      <c r="L310" s="11"/>
      <c r="M310" s="11"/>
      <c r="N310" s="11"/>
      <c r="O310" s="11"/>
      <c r="P310" s="82"/>
    </row>
    <row r="311" spans="2:16" s="9" customFormat="1" x14ac:dyDescent="0.2">
      <c r="B311" s="10"/>
      <c r="C311" s="11"/>
      <c r="D311" s="63"/>
      <c r="E311" s="11"/>
      <c r="F311" s="65"/>
      <c r="G311" s="12"/>
      <c r="H311" s="41"/>
      <c r="I311" s="30"/>
      <c r="J311" s="30"/>
      <c r="K311" s="30"/>
      <c r="L311" s="11"/>
      <c r="M311" s="11"/>
      <c r="N311" s="11"/>
      <c r="O311" s="11"/>
      <c r="P311" s="82"/>
    </row>
    <row r="312" spans="2:16" s="9" customFormat="1" x14ac:dyDescent="0.2">
      <c r="B312" s="10"/>
      <c r="C312" s="11"/>
      <c r="D312" s="63"/>
      <c r="E312" s="11"/>
      <c r="F312" s="65"/>
      <c r="G312" s="12"/>
      <c r="H312" s="41"/>
      <c r="I312" s="30"/>
      <c r="J312" s="30"/>
      <c r="K312" s="30"/>
      <c r="L312" s="11"/>
      <c r="M312" s="11"/>
      <c r="N312" s="11"/>
      <c r="O312" s="11"/>
      <c r="P312" s="82"/>
    </row>
    <row r="313" spans="2:16" s="9" customFormat="1" x14ac:dyDescent="0.2">
      <c r="B313" s="10"/>
      <c r="C313" s="11"/>
      <c r="D313" s="63"/>
      <c r="E313" s="11"/>
      <c r="F313" s="65"/>
      <c r="G313" s="12"/>
      <c r="H313" s="41"/>
      <c r="I313" s="30"/>
      <c r="J313" s="30"/>
      <c r="K313" s="30"/>
      <c r="L313" s="11"/>
      <c r="M313" s="11"/>
      <c r="N313" s="11"/>
      <c r="O313" s="11"/>
      <c r="P313" s="82"/>
    </row>
    <row r="314" spans="2:16" s="9" customFormat="1" x14ac:dyDescent="0.2">
      <c r="B314" s="10"/>
      <c r="C314" s="11"/>
      <c r="D314" s="63"/>
      <c r="E314" s="11"/>
      <c r="F314" s="65"/>
      <c r="G314" s="12"/>
      <c r="H314" s="41"/>
      <c r="I314" s="30"/>
      <c r="J314" s="30"/>
      <c r="K314" s="30"/>
      <c r="L314" s="11"/>
      <c r="M314" s="11"/>
      <c r="N314" s="11"/>
      <c r="O314" s="11"/>
      <c r="P314" s="82"/>
    </row>
    <row r="315" spans="2:16" s="9" customFormat="1" x14ac:dyDescent="0.2">
      <c r="B315" s="10"/>
      <c r="C315" s="11"/>
      <c r="D315" s="63"/>
      <c r="E315" s="11"/>
      <c r="F315" s="65"/>
      <c r="G315" s="12"/>
      <c r="H315" s="41"/>
      <c r="I315" s="30"/>
      <c r="J315" s="30"/>
      <c r="K315" s="30"/>
      <c r="L315" s="11"/>
      <c r="M315" s="11"/>
      <c r="N315" s="11"/>
      <c r="O315" s="11"/>
      <c r="P315" s="82"/>
    </row>
    <row r="316" spans="2:16" s="9" customFormat="1" x14ac:dyDescent="0.2">
      <c r="B316" s="10"/>
      <c r="C316" s="11"/>
      <c r="D316" s="63"/>
      <c r="E316" s="11"/>
      <c r="F316" s="65"/>
      <c r="G316" s="12"/>
      <c r="H316" s="41"/>
      <c r="I316" s="30"/>
      <c r="J316" s="30"/>
      <c r="K316" s="30"/>
      <c r="L316" s="11"/>
      <c r="M316" s="11"/>
      <c r="N316" s="11"/>
      <c r="O316" s="11"/>
      <c r="P316" s="82"/>
    </row>
    <row r="317" spans="2:16" s="9" customFormat="1" x14ac:dyDescent="0.2">
      <c r="B317" s="10"/>
      <c r="C317" s="11"/>
      <c r="D317" s="63"/>
      <c r="E317" s="11"/>
      <c r="F317" s="65"/>
      <c r="G317" s="12"/>
      <c r="H317" s="41"/>
      <c r="I317" s="30"/>
      <c r="J317" s="30"/>
      <c r="K317" s="30"/>
      <c r="L317" s="11"/>
      <c r="M317" s="11"/>
      <c r="N317" s="11"/>
      <c r="O317" s="11"/>
      <c r="P317" s="82"/>
    </row>
    <row r="318" spans="2:16" s="9" customFormat="1" x14ac:dyDescent="0.2">
      <c r="B318" s="10"/>
      <c r="C318" s="11"/>
      <c r="D318" s="63"/>
      <c r="E318" s="11"/>
      <c r="F318" s="65"/>
      <c r="G318" s="12"/>
      <c r="H318" s="41"/>
      <c r="I318" s="30"/>
      <c r="J318" s="30"/>
      <c r="K318" s="30"/>
      <c r="L318" s="11"/>
      <c r="M318" s="11"/>
      <c r="N318" s="11"/>
      <c r="O318" s="11"/>
      <c r="P318" s="82"/>
    </row>
    <row r="319" spans="2:16" s="9" customFormat="1" x14ac:dyDescent="0.2">
      <c r="B319" s="10"/>
      <c r="C319" s="11"/>
      <c r="D319" s="63"/>
      <c r="E319" s="11"/>
      <c r="F319" s="65"/>
      <c r="G319" s="12"/>
      <c r="H319" s="41"/>
      <c r="I319" s="30"/>
      <c r="J319" s="30"/>
      <c r="K319" s="30"/>
      <c r="L319" s="11"/>
      <c r="M319" s="11"/>
      <c r="N319" s="11"/>
      <c r="O319" s="11"/>
      <c r="P319" s="82"/>
    </row>
    <row r="320" spans="2:16" s="9" customFormat="1" x14ac:dyDescent="0.2">
      <c r="B320" s="10"/>
      <c r="C320" s="11"/>
      <c r="D320" s="63"/>
      <c r="E320" s="11"/>
      <c r="F320" s="65"/>
      <c r="G320" s="12"/>
      <c r="H320" s="41"/>
      <c r="I320" s="30"/>
      <c r="J320" s="30"/>
      <c r="K320" s="30"/>
      <c r="L320" s="11"/>
      <c r="M320" s="11"/>
      <c r="N320" s="11"/>
      <c r="O320" s="11"/>
      <c r="P320" s="82"/>
    </row>
    <row r="321" spans="2:16" s="9" customFormat="1" x14ac:dyDescent="0.2">
      <c r="B321" s="10"/>
      <c r="C321" s="11"/>
      <c r="D321" s="63"/>
      <c r="E321" s="11"/>
      <c r="F321" s="65"/>
      <c r="G321" s="12"/>
      <c r="H321" s="41"/>
      <c r="I321" s="30"/>
      <c r="J321" s="30"/>
      <c r="K321" s="30"/>
      <c r="L321" s="11"/>
      <c r="M321" s="11"/>
      <c r="N321" s="11"/>
      <c r="O321" s="11"/>
      <c r="P321" s="82"/>
    </row>
    <row r="322" spans="2:16" s="9" customFormat="1" x14ac:dyDescent="0.2">
      <c r="B322" s="10"/>
      <c r="C322" s="11"/>
      <c r="D322" s="63"/>
      <c r="E322" s="11"/>
      <c r="F322" s="65"/>
      <c r="G322" s="12"/>
      <c r="H322" s="41"/>
      <c r="I322" s="30"/>
      <c r="J322" s="30"/>
      <c r="K322" s="30"/>
      <c r="L322" s="11"/>
      <c r="M322" s="11"/>
      <c r="N322" s="11"/>
      <c r="O322" s="11"/>
      <c r="P322" s="82"/>
    </row>
    <row r="323" spans="2:16" s="9" customFormat="1" x14ac:dyDescent="0.2">
      <c r="B323" s="10"/>
      <c r="C323" s="11"/>
      <c r="D323" s="63"/>
      <c r="E323" s="11"/>
      <c r="F323" s="65"/>
      <c r="G323" s="12"/>
      <c r="H323" s="41"/>
      <c r="I323" s="30"/>
      <c r="J323" s="30"/>
      <c r="K323" s="30"/>
      <c r="L323" s="11"/>
      <c r="M323" s="11"/>
      <c r="N323" s="11"/>
      <c r="O323" s="11"/>
      <c r="P323" s="82"/>
    </row>
    <row r="324" spans="2:16" s="9" customFormat="1" x14ac:dyDescent="0.2">
      <c r="B324" s="10"/>
      <c r="C324" s="11"/>
      <c r="D324" s="63"/>
      <c r="E324" s="11"/>
      <c r="F324" s="65"/>
      <c r="G324" s="12"/>
      <c r="H324" s="41"/>
      <c r="I324" s="30"/>
      <c r="J324" s="30"/>
      <c r="K324" s="30"/>
      <c r="L324" s="11"/>
      <c r="M324" s="11"/>
      <c r="N324" s="11"/>
      <c r="O324" s="11"/>
      <c r="P324" s="82"/>
    </row>
    <row r="325" spans="2:16" s="9" customFormat="1" x14ac:dyDescent="0.2">
      <c r="B325" s="10"/>
      <c r="C325" s="11"/>
      <c r="D325" s="63"/>
      <c r="E325" s="11"/>
      <c r="F325" s="65"/>
      <c r="G325" s="12"/>
      <c r="H325" s="41"/>
      <c r="I325" s="30"/>
      <c r="J325" s="30"/>
      <c r="K325" s="30"/>
      <c r="L325" s="11"/>
      <c r="M325" s="11"/>
      <c r="N325" s="11"/>
      <c r="O325" s="11"/>
      <c r="P325" s="82"/>
    </row>
    <row r="326" spans="2:16" s="9" customFormat="1" x14ac:dyDescent="0.2">
      <c r="B326" s="10"/>
      <c r="C326" s="11"/>
      <c r="D326" s="63"/>
      <c r="E326" s="11"/>
      <c r="F326" s="65"/>
      <c r="G326" s="12"/>
      <c r="H326" s="41"/>
      <c r="I326" s="30"/>
      <c r="J326" s="30"/>
      <c r="K326" s="30"/>
      <c r="L326" s="11"/>
      <c r="M326" s="11"/>
      <c r="N326" s="11"/>
      <c r="O326" s="11"/>
      <c r="P326" s="82"/>
    </row>
    <row r="327" spans="2:16" s="9" customFormat="1" x14ac:dyDescent="0.2">
      <c r="B327" s="10"/>
      <c r="C327" s="11"/>
      <c r="D327" s="63"/>
      <c r="E327" s="11"/>
      <c r="F327" s="65"/>
      <c r="G327" s="12"/>
      <c r="H327" s="41"/>
      <c r="I327" s="30"/>
      <c r="J327" s="30"/>
      <c r="K327" s="30"/>
      <c r="L327" s="11"/>
      <c r="M327" s="11"/>
      <c r="N327" s="11"/>
      <c r="O327" s="11"/>
      <c r="P327" s="82"/>
    </row>
    <row r="328" spans="2:16" s="9" customFormat="1" x14ac:dyDescent="0.2">
      <c r="B328" s="10"/>
      <c r="C328" s="11"/>
      <c r="D328" s="63"/>
      <c r="E328" s="11"/>
      <c r="F328" s="65"/>
      <c r="G328" s="12"/>
      <c r="H328" s="41"/>
      <c r="I328" s="30"/>
      <c r="J328" s="30"/>
      <c r="K328" s="30"/>
      <c r="L328" s="11"/>
      <c r="M328" s="11"/>
      <c r="N328" s="11"/>
      <c r="O328" s="11"/>
      <c r="P328" s="82"/>
    </row>
    <row r="329" spans="2:16" s="9" customFormat="1" x14ac:dyDescent="0.2">
      <c r="B329" s="10"/>
      <c r="C329" s="11"/>
      <c r="D329" s="63"/>
      <c r="E329" s="11"/>
      <c r="F329" s="65"/>
      <c r="G329" s="12"/>
      <c r="H329" s="41"/>
      <c r="I329" s="30"/>
      <c r="J329" s="30"/>
      <c r="K329" s="30"/>
      <c r="L329" s="11"/>
      <c r="M329" s="11"/>
      <c r="N329" s="11"/>
      <c r="O329" s="11"/>
      <c r="P329" s="82"/>
    </row>
    <row r="330" spans="2:16" s="9" customFormat="1" x14ac:dyDescent="0.2">
      <c r="B330" s="10"/>
      <c r="C330" s="11"/>
      <c r="D330" s="63"/>
      <c r="E330" s="11"/>
      <c r="F330" s="65"/>
      <c r="G330" s="12"/>
      <c r="H330" s="41"/>
      <c r="I330" s="30"/>
      <c r="J330" s="30"/>
      <c r="K330" s="30"/>
      <c r="L330" s="11"/>
      <c r="M330" s="11"/>
      <c r="N330" s="11"/>
      <c r="O330" s="11"/>
      <c r="P330" s="82"/>
    </row>
    <row r="331" spans="2:16" s="9" customFormat="1" x14ac:dyDescent="0.2">
      <c r="B331" s="10"/>
      <c r="C331" s="11"/>
      <c r="D331" s="63"/>
      <c r="E331" s="11"/>
      <c r="F331" s="65"/>
      <c r="G331" s="12"/>
      <c r="H331" s="41"/>
      <c r="I331" s="30"/>
      <c r="J331" s="30"/>
      <c r="K331" s="30"/>
      <c r="L331" s="11"/>
      <c r="M331" s="11"/>
      <c r="N331" s="11"/>
      <c r="O331" s="11"/>
      <c r="P331" s="82"/>
    </row>
    <row r="332" spans="2:16" s="9" customFormat="1" x14ac:dyDescent="0.2">
      <c r="B332" s="10"/>
      <c r="C332" s="11"/>
      <c r="D332" s="63"/>
      <c r="E332" s="11"/>
      <c r="F332" s="65"/>
      <c r="G332" s="12"/>
      <c r="H332" s="41"/>
      <c r="I332" s="30"/>
      <c r="J332" s="30"/>
      <c r="K332" s="30"/>
      <c r="L332" s="11"/>
      <c r="M332" s="11"/>
      <c r="N332" s="11"/>
      <c r="O332" s="11"/>
      <c r="P332" s="82"/>
    </row>
    <row r="333" spans="2:16" s="9" customFormat="1" x14ac:dyDescent="0.2">
      <c r="B333" s="10"/>
      <c r="C333" s="11"/>
      <c r="D333" s="63"/>
      <c r="E333" s="11"/>
      <c r="F333" s="65"/>
      <c r="G333" s="12"/>
      <c r="H333" s="41"/>
      <c r="I333" s="30"/>
      <c r="J333" s="30"/>
      <c r="K333" s="30"/>
      <c r="L333" s="11"/>
      <c r="M333" s="11"/>
      <c r="N333" s="11"/>
      <c r="O333" s="11"/>
      <c r="P333" s="82"/>
    </row>
    <row r="334" spans="2:16" s="9" customFormat="1" x14ac:dyDescent="0.2">
      <c r="B334" s="10"/>
      <c r="C334" s="11"/>
      <c r="D334" s="63"/>
      <c r="E334" s="11"/>
      <c r="F334" s="65"/>
      <c r="G334" s="12"/>
      <c r="H334" s="41"/>
      <c r="I334" s="30"/>
      <c r="J334" s="30"/>
      <c r="K334" s="30"/>
      <c r="L334" s="11"/>
      <c r="M334" s="11"/>
      <c r="N334" s="11"/>
      <c r="O334" s="11"/>
      <c r="P334" s="82"/>
    </row>
    <row r="335" spans="2:16" s="9" customFormat="1" x14ac:dyDescent="0.2">
      <c r="B335" s="10"/>
      <c r="C335" s="11"/>
      <c r="D335" s="63"/>
      <c r="E335" s="11"/>
      <c r="F335" s="65"/>
      <c r="G335" s="12"/>
      <c r="H335" s="41"/>
      <c r="I335" s="30"/>
      <c r="J335" s="30"/>
      <c r="K335" s="30"/>
      <c r="L335" s="11"/>
      <c r="M335" s="11"/>
      <c r="N335" s="11"/>
      <c r="O335" s="11"/>
      <c r="P335" s="82"/>
    </row>
    <row r="336" spans="2:16" s="9" customFormat="1" x14ac:dyDescent="0.2">
      <c r="B336" s="10"/>
      <c r="C336" s="11"/>
      <c r="D336" s="63"/>
      <c r="E336" s="11"/>
      <c r="F336" s="65"/>
      <c r="G336" s="12"/>
      <c r="H336" s="41"/>
      <c r="I336" s="30"/>
      <c r="J336" s="30"/>
      <c r="K336" s="30"/>
      <c r="L336" s="11"/>
      <c r="M336" s="11"/>
      <c r="N336" s="11"/>
      <c r="O336" s="11"/>
      <c r="P336" s="82"/>
    </row>
    <row r="337" spans="2:16" s="9" customFormat="1" x14ac:dyDescent="0.2">
      <c r="B337" s="10"/>
      <c r="C337" s="11"/>
      <c r="D337" s="63"/>
      <c r="E337" s="11"/>
      <c r="F337" s="65"/>
      <c r="G337" s="12"/>
      <c r="H337" s="41"/>
      <c r="I337" s="30"/>
      <c r="J337" s="30"/>
      <c r="K337" s="30"/>
      <c r="L337" s="11"/>
      <c r="M337" s="11"/>
      <c r="N337" s="11"/>
      <c r="O337" s="11"/>
      <c r="P337" s="82"/>
    </row>
    <row r="338" spans="2:16" s="9" customFormat="1" x14ac:dyDescent="0.2">
      <c r="B338" s="10"/>
      <c r="C338" s="11"/>
      <c r="D338" s="63"/>
      <c r="E338" s="11"/>
      <c r="F338" s="65"/>
      <c r="G338" s="12"/>
      <c r="H338" s="41"/>
      <c r="I338" s="30"/>
      <c r="J338" s="30"/>
      <c r="K338" s="30"/>
      <c r="L338" s="11"/>
      <c r="M338" s="11"/>
      <c r="N338" s="11"/>
      <c r="O338" s="11"/>
      <c r="P338" s="82"/>
    </row>
    <row r="339" spans="2:16" s="9" customFormat="1" x14ac:dyDescent="0.2">
      <c r="B339" s="10"/>
      <c r="C339" s="11"/>
      <c r="D339" s="63"/>
      <c r="E339" s="11"/>
      <c r="F339" s="65"/>
      <c r="G339" s="12"/>
      <c r="H339" s="41"/>
      <c r="I339" s="30"/>
      <c r="J339" s="30"/>
      <c r="K339" s="30"/>
      <c r="L339" s="11"/>
      <c r="M339" s="11"/>
      <c r="N339" s="11"/>
      <c r="O339" s="11"/>
      <c r="P339" s="82"/>
    </row>
    <row r="340" spans="2:16" s="9" customFormat="1" x14ac:dyDescent="0.2">
      <c r="B340" s="10"/>
      <c r="C340" s="11"/>
      <c r="D340" s="63"/>
      <c r="E340" s="11"/>
      <c r="F340" s="65"/>
      <c r="G340" s="12"/>
      <c r="H340" s="41"/>
      <c r="I340" s="30"/>
      <c r="J340" s="30"/>
      <c r="K340" s="30"/>
      <c r="L340" s="11"/>
      <c r="M340" s="11"/>
      <c r="N340" s="11"/>
      <c r="O340" s="11"/>
      <c r="P340" s="82"/>
    </row>
    <row r="341" spans="2:16" s="9" customFormat="1" x14ac:dyDescent="0.2">
      <c r="B341" s="10"/>
      <c r="C341" s="11"/>
      <c r="D341" s="63"/>
      <c r="E341" s="11"/>
      <c r="F341" s="65"/>
      <c r="G341" s="12"/>
      <c r="H341" s="41"/>
      <c r="I341" s="30"/>
      <c r="J341" s="30"/>
      <c r="K341" s="30"/>
      <c r="L341" s="11"/>
      <c r="M341" s="11"/>
      <c r="N341" s="11"/>
      <c r="O341" s="11"/>
      <c r="P341" s="82"/>
    </row>
    <row r="342" spans="2:16" s="9" customFormat="1" x14ac:dyDescent="0.2">
      <c r="B342" s="10"/>
      <c r="C342" s="11"/>
      <c r="D342" s="63"/>
      <c r="E342" s="11"/>
      <c r="F342" s="65"/>
      <c r="G342" s="12"/>
      <c r="H342" s="41"/>
      <c r="I342" s="30"/>
      <c r="J342" s="30"/>
      <c r="K342" s="30"/>
      <c r="L342" s="11"/>
      <c r="M342" s="11"/>
      <c r="N342" s="11"/>
      <c r="O342" s="11"/>
      <c r="P342" s="82"/>
    </row>
    <row r="343" spans="2:16" s="9" customFormat="1" x14ac:dyDescent="0.2">
      <c r="B343" s="10"/>
      <c r="C343" s="11"/>
      <c r="D343" s="63"/>
      <c r="E343" s="11"/>
      <c r="F343" s="65"/>
      <c r="G343" s="12"/>
      <c r="H343" s="41"/>
      <c r="I343" s="30"/>
      <c r="J343" s="30"/>
      <c r="K343" s="30"/>
      <c r="L343" s="11"/>
      <c r="M343" s="11"/>
      <c r="N343" s="11"/>
      <c r="O343" s="11"/>
      <c r="P343" s="82"/>
    </row>
    <row r="344" spans="2:16" s="9" customFormat="1" x14ac:dyDescent="0.2">
      <c r="B344" s="10"/>
      <c r="C344" s="11"/>
      <c r="D344" s="63"/>
      <c r="E344" s="11"/>
      <c r="F344" s="65"/>
      <c r="G344" s="12"/>
      <c r="H344" s="41"/>
      <c r="I344" s="30"/>
      <c r="J344" s="30"/>
      <c r="K344" s="30"/>
      <c r="L344" s="11"/>
      <c r="M344" s="11"/>
      <c r="N344" s="11"/>
      <c r="O344" s="11"/>
      <c r="P344" s="82"/>
    </row>
    <row r="345" spans="2:16" s="9" customFormat="1" x14ac:dyDescent="0.2">
      <c r="B345" s="10"/>
      <c r="C345" s="11"/>
      <c r="D345" s="63"/>
      <c r="E345" s="11"/>
      <c r="F345" s="65"/>
      <c r="G345" s="12"/>
      <c r="H345" s="41"/>
      <c r="I345" s="30"/>
      <c r="J345" s="30"/>
      <c r="K345" s="30"/>
      <c r="L345" s="11"/>
      <c r="M345" s="11"/>
      <c r="N345" s="11"/>
      <c r="O345" s="11"/>
      <c r="P345" s="82"/>
    </row>
    <row r="346" spans="2:16" s="9" customFormat="1" x14ac:dyDescent="0.2">
      <c r="B346" s="10"/>
      <c r="C346" s="11"/>
      <c r="D346" s="63"/>
      <c r="E346" s="11"/>
      <c r="F346" s="65"/>
      <c r="G346" s="12"/>
      <c r="H346" s="41"/>
      <c r="I346" s="30"/>
      <c r="J346" s="30"/>
      <c r="K346" s="30"/>
      <c r="L346" s="11"/>
      <c r="M346" s="11"/>
      <c r="N346" s="11"/>
      <c r="O346" s="11"/>
      <c r="P346" s="82"/>
    </row>
    <row r="347" spans="2:16" s="9" customFormat="1" x14ac:dyDescent="0.2">
      <c r="B347" s="10"/>
      <c r="C347" s="11"/>
      <c r="D347" s="63"/>
      <c r="E347" s="11"/>
      <c r="F347" s="65"/>
      <c r="G347" s="12"/>
      <c r="H347" s="41"/>
      <c r="I347" s="30"/>
      <c r="J347" s="30"/>
      <c r="K347" s="30"/>
      <c r="L347" s="11"/>
      <c r="M347" s="11"/>
      <c r="N347" s="11"/>
      <c r="O347" s="11"/>
      <c r="P347" s="82"/>
    </row>
    <row r="348" spans="2:16" s="9" customFormat="1" x14ac:dyDescent="0.2">
      <c r="B348" s="10"/>
      <c r="C348" s="11"/>
      <c r="D348" s="63"/>
      <c r="E348" s="11"/>
      <c r="F348" s="65"/>
      <c r="G348" s="12"/>
      <c r="H348" s="41"/>
      <c r="I348" s="30"/>
      <c r="J348" s="30"/>
      <c r="K348" s="30"/>
      <c r="L348" s="11"/>
      <c r="M348" s="11"/>
      <c r="N348" s="11"/>
      <c r="O348" s="11"/>
      <c r="P348" s="82"/>
    </row>
    <row r="349" spans="2:16" s="9" customFormat="1" x14ac:dyDescent="0.2">
      <c r="B349" s="10"/>
      <c r="C349" s="11"/>
      <c r="D349" s="63"/>
      <c r="E349" s="11"/>
      <c r="F349" s="65"/>
      <c r="G349" s="12"/>
      <c r="H349" s="41"/>
      <c r="I349" s="30"/>
      <c r="J349" s="30"/>
      <c r="K349" s="30"/>
      <c r="L349" s="11"/>
      <c r="M349" s="11"/>
      <c r="N349" s="11"/>
      <c r="O349" s="11"/>
      <c r="P349" s="82"/>
    </row>
    <row r="350" spans="2:16" s="9" customFormat="1" x14ac:dyDescent="0.2">
      <c r="B350" s="10"/>
      <c r="C350" s="11"/>
      <c r="D350" s="63"/>
      <c r="E350" s="11"/>
      <c r="F350" s="65"/>
      <c r="G350" s="12"/>
      <c r="H350" s="41"/>
      <c r="I350" s="30"/>
      <c r="J350" s="30"/>
      <c r="K350" s="30"/>
      <c r="L350" s="11"/>
      <c r="M350" s="11"/>
      <c r="N350" s="11"/>
      <c r="O350" s="11"/>
      <c r="P350" s="82"/>
    </row>
    <row r="351" spans="2:16" s="9" customFormat="1" x14ac:dyDescent="0.2">
      <c r="B351" s="10"/>
      <c r="C351" s="11"/>
      <c r="D351" s="63"/>
      <c r="E351" s="11"/>
      <c r="F351" s="65"/>
      <c r="G351" s="12"/>
      <c r="H351" s="41"/>
      <c r="I351" s="30"/>
      <c r="J351" s="30"/>
      <c r="K351" s="30"/>
      <c r="L351" s="11"/>
      <c r="M351" s="11"/>
      <c r="N351" s="11"/>
      <c r="O351" s="11"/>
      <c r="P351" s="82"/>
    </row>
    <row r="352" spans="2:16" s="9" customFormat="1" x14ac:dyDescent="0.2">
      <c r="B352" s="10"/>
      <c r="C352" s="11"/>
      <c r="D352" s="63"/>
      <c r="E352" s="11"/>
      <c r="F352" s="65"/>
      <c r="G352" s="12"/>
      <c r="H352" s="41"/>
      <c r="I352" s="30"/>
      <c r="J352" s="30"/>
      <c r="K352" s="30"/>
      <c r="L352" s="11"/>
      <c r="M352" s="11"/>
      <c r="N352" s="11"/>
      <c r="O352" s="11"/>
      <c r="P352" s="82"/>
    </row>
    <row r="353" spans="2:16" s="9" customFormat="1" x14ac:dyDescent="0.2">
      <c r="B353" s="10"/>
      <c r="C353" s="11"/>
      <c r="D353" s="63"/>
      <c r="E353" s="11"/>
      <c r="F353" s="65"/>
      <c r="G353" s="12"/>
      <c r="H353" s="41"/>
      <c r="I353" s="30"/>
      <c r="J353" s="30"/>
      <c r="K353" s="30"/>
      <c r="L353" s="11"/>
      <c r="M353" s="11"/>
      <c r="N353" s="11"/>
      <c r="O353" s="11"/>
      <c r="P353" s="82"/>
    </row>
    <row r="354" spans="2:16" s="9" customFormat="1" x14ac:dyDescent="0.2">
      <c r="B354" s="10"/>
      <c r="C354" s="11"/>
      <c r="D354" s="63"/>
      <c r="E354" s="11"/>
      <c r="F354" s="65"/>
      <c r="G354" s="12"/>
      <c r="H354" s="41"/>
      <c r="I354" s="30"/>
      <c r="J354" s="30"/>
      <c r="K354" s="30"/>
      <c r="L354" s="11"/>
      <c r="M354" s="11"/>
      <c r="N354" s="11"/>
      <c r="O354" s="11"/>
      <c r="P354" s="82"/>
    </row>
    <row r="355" spans="2:16" s="9" customFormat="1" x14ac:dyDescent="0.2">
      <c r="B355" s="10"/>
      <c r="C355" s="11"/>
      <c r="D355" s="63"/>
      <c r="E355" s="11"/>
      <c r="F355" s="65"/>
      <c r="G355" s="12"/>
      <c r="H355" s="41"/>
      <c r="I355" s="30"/>
      <c r="J355" s="30"/>
      <c r="K355" s="30"/>
      <c r="L355" s="11"/>
      <c r="M355" s="11"/>
      <c r="N355" s="11"/>
      <c r="O355" s="11"/>
      <c r="P355" s="82"/>
    </row>
    <row r="356" spans="2:16" s="9" customFormat="1" x14ac:dyDescent="0.2">
      <c r="B356" s="10"/>
      <c r="C356" s="11"/>
      <c r="D356" s="63"/>
      <c r="E356" s="11"/>
      <c r="F356" s="65"/>
      <c r="G356" s="12"/>
      <c r="H356" s="41"/>
      <c r="I356" s="30"/>
      <c r="J356" s="30"/>
      <c r="K356" s="30"/>
      <c r="L356" s="11"/>
      <c r="M356" s="11"/>
      <c r="N356" s="11"/>
      <c r="O356" s="11"/>
      <c r="P356" s="82"/>
    </row>
    <row r="357" spans="2:16" s="9" customFormat="1" x14ac:dyDescent="0.2">
      <c r="B357" s="10"/>
      <c r="C357" s="11"/>
      <c r="D357" s="63"/>
      <c r="E357" s="11"/>
      <c r="F357" s="65"/>
      <c r="G357" s="12"/>
      <c r="H357" s="41"/>
      <c r="I357" s="30"/>
      <c r="J357" s="30"/>
      <c r="K357" s="30"/>
      <c r="L357" s="11"/>
      <c r="M357" s="11"/>
      <c r="N357" s="11"/>
      <c r="O357" s="11"/>
      <c r="P357" s="82"/>
    </row>
    <row r="358" spans="2:16" s="9" customFormat="1" x14ac:dyDescent="0.2">
      <c r="B358" s="10"/>
      <c r="C358" s="11"/>
      <c r="D358" s="63"/>
      <c r="E358" s="11"/>
      <c r="F358" s="65"/>
      <c r="G358" s="12"/>
      <c r="H358" s="41"/>
      <c r="I358" s="30"/>
      <c r="J358" s="30"/>
      <c r="K358" s="30"/>
      <c r="L358" s="11"/>
      <c r="M358" s="11"/>
      <c r="N358" s="11"/>
      <c r="O358" s="11"/>
      <c r="P358" s="82"/>
    </row>
    <row r="359" spans="2:16" s="9" customFormat="1" x14ac:dyDescent="0.2">
      <c r="B359" s="10"/>
      <c r="C359" s="11"/>
      <c r="D359" s="63"/>
      <c r="E359" s="11"/>
      <c r="F359" s="65"/>
      <c r="G359" s="12"/>
      <c r="H359" s="41"/>
      <c r="I359" s="30"/>
      <c r="J359" s="30"/>
      <c r="K359" s="30"/>
      <c r="L359" s="11"/>
      <c r="M359" s="11"/>
      <c r="N359" s="11"/>
      <c r="O359" s="11"/>
      <c r="P359" s="82"/>
    </row>
    <row r="360" spans="2:16" s="9" customFormat="1" x14ac:dyDescent="0.2">
      <c r="B360" s="10"/>
      <c r="C360" s="11"/>
      <c r="D360" s="63"/>
      <c r="E360" s="11"/>
      <c r="F360" s="65"/>
      <c r="G360" s="12"/>
      <c r="H360" s="41"/>
      <c r="I360" s="30"/>
      <c r="J360" s="30"/>
      <c r="K360" s="30"/>
      <c r="L360" s="11"/>
      <c r="M360" s="11"/>
      <c r="N360" s="11"/>
      <c r="O360" s="11"/>
      <c r="P360" s="82"/>
    </row>
    <row r="361" spans="2:16" s="9" customFormat="1" x14ac:dyDescent="0.2">
      <c r="B361" s="10"/>
      <c r="C361" s="11"/>
      <c r="D361" s="63"/>
      <c r="E361" s="11"/>
      <c r="F361" s="65"/>
      <c r="G361" s="12"/>
      <c r="H361" s="41"/>
      <c r="I361" s="30"/>
      <c r="J361" s="30"/>
      <c r="K361" s="30"/>
      <c r="L361" s="11"/>
      <c r="M361" s="11"/>
      <c r="N361" s="11"/>
      <c r="O361" s="11"/>
      <c r="P361" s="82"/>
    </row>
    <row r="362" spans="2:16" s="9" customFormat="1" x14ac:dyDescent="0.2">
      <c r="B362" s="10"/>
      <c r="C362" s="11"/>
      <c r="D362" s="63"/>
      <c r="E362" s="11"/>
      <c r="F362" s="65"/>
      <c r="G362" s="12"/>
      <c r="H362" s="41"/>
      <c r="I362" s="30"/>
      <c r="J362" s="30"/>
      <c r="K362" s="30"/>
      <c r="L362" s="11"/>
      <c r="M362" s="11"/>
      <c r="N362" s="11"/>
      <c r="O362" s="11"/>
      <c r="P362" s="82"/>
    </row>
    <row r="363" spans="2:16" s="9" customFormat="1" x14ac:dyDescent="0.2">
      <c r="B363" s="10"/>
      <c r="C363" s="11"/>
      <c r="D363" s="63"/>
      <c r="E363" s="11"/>
      <c r="F363" s="65"/>
      <c r="G363" s="12"/>
      <c r="H363" s="41"/>
      <c r="I363" s="30"/>
      <c r="J363" s="30"/>
      <c r="K363" s="30"/>
      <c r="L363" s="11"/>
      <c r="M363" s="11"/>
      <c r="N363" s="11"/>
      <c r="O363" s="11"/>
      <c r="P363" s="82"/>
    </row>
    <row r="364" spans="2:16" s="9" customFormat="1" x14ac:dyDescent="0.2">
      <c r="B364" s="10"/>
      <c r="C364" s="11"/>
      <c r="D364" s="63"/>
      <c r="E364" s="11"/>
      <c r="F364" s="65"/>
      <c r="G364" s="12"/>
      <c r="H364" s="41"/>
      <c r="I364" s="30"/>
      <c r="J364" s="30"/>
      <c r="K364" s="30"/>
      <c r="L364" s="11"/>
      <c r="M364" s="11"/>
      <c r="N364" s="11"/>
      <c r="O364" s="11"/>
      <c r="P364" s="82"/>
    </row>
    <row r="365" spans="2:16" s="9" customFormat="1" x14ac:dyDescent="0.2">
      <c r="B365" s="10"/>
      <c r="C365" s="11"/>
      <c r="D365" s="63"/>
      <c r="E365" s="11"/>
      <c r="F365" s="65"/>
      <c r="G365" s="12"/>
      <c r="H365" s="41"/>
      <c r="I365" s="30"/>
      <c r="J365" s="30"/>
      <c r="K365" s="30"/>
      <c r="L365" s="11"/>
      <c r="M365" s="11"/>
      <c r="N365" s="11"/>
      <c r="O365" s="11"/>
      <c r="P365" s="82"/>
    </row>
    <row r="366" spans="2:16" s="9" customFormat="1" x14ac:dyDescent="0.2">
      <c r="B366" s="10"/>
      <c r="C366" s="11"/>
      <c r="D366" s="63"/>
      <c r="E366" s="11"/>
      <c r="F366" s="65"/>
      <c r="G366" s="12"/>
      <c r="H366" s="41"/>
      <c r="I366" s="30"/>
      <c r="J366" s="30"/>
      <c r="K366" s="30"/>
      <c r="L366" s="11"/>
      <c r="M366" s="11"/>
      <c r="N366" s="11"/>
      <c r="O366" s="11"/>
      <c r="P366" s="82"/>
    </row>
    <row r="367" spans="2:16" s="9" customFormat="1" x14ac:dyDescent="0.2">
      <c r="B367" s="10"/>
      <c r="C367" s="11"/>
      <c r="D367" s="63"/>
      <c r="E367" s="11"/>
      <c r="F367" s="65"/>
      <c r="G367" s="12"/>
      <c r="H367" s="41"/>
      <c r="I367" s="30"/>
      <c r="J367" s="30"/>
      <c r="K367" s="30"/>
      <c r="L367" s="11"/>
      <c r="M367" s="11"/>
      <c r="N367" s="11"/>
      <c r="O367" s="11"/>
      <c r="P367" s="82"/>
    </row>
    <row r="368" spans="2:16" s="9" customFormat="1" x14ac:dyDescent="0.2">
      <c r="B368" s="10"/>
      <c r="C368" s="11"/>
      <c r="D368" s="63"/>
      <c r="E368" s="11"/>
      <c r="F368" s="65"/>
      <c r="G368" s="12"/>
      <c r="H368" s="41"/>
      <c r="I368" s="30"/>
      <c r="J368" s="30"/>
      <c r="K368" s="30"/>
      <c r="L368" s="11"/>
      <c r="M368" s="11"/>
      <c r="N368" s="11"/>
      <c r="O368" s="11"/>
      <c r="P368" s="82"/>
    </row>
    <row r="369" spans="2:16" s="9" customFormat="1" x14ac:dyDescent="0.2">
      <c r="B369" s="10"/>
      <c r="C369" s="11"/>
      <c r="D369" s="63"/>
      <c r="E369" s="11"/>
      <c r="F369" s="65"/>
      <c r="G369" s="12"/>
      <c r="H369" s="41"/>
      <c r="I369" s="30"/>
      <c r="J369" s="30"/>
      <c r="K369" s="30"/>
      <c r="L369" s="11"/>
      <c r="M369" s="11"/>
      <c r="N369" s="11"/>
      <c r="O369" s="11"/>
      <c r="P369" s="82"/>
    </row>
    <row r="370" spans="2:16" s="9" customFormat="1" x14ac:dyDescent="0.2">
      <c r="B370" s="10"/>
      <c r="C370" s="11"/>
      <c r="D370" s="63"/>
      <c r="E370" s="11"/>
      <c r="F370" s="65"/>
      <c r="G370" s="12"/>
      <c r="H370" s="41"/>
      <c r="I370" s="30"/>
      <c r="J370" s="30"/>
      <c r="K370" s="30"/>
      <c r="L370" s="11"/>
      <c r="M370" s="11"/>
      <c r="N370" s="11"/>
      <c r="O370" s="11"/>
      <c r="P370" s="82"/>
    </row>
    <row r="371" spans="2:16" s="9" customFormat="1" x14ac:dyDescent="0.2">
      <c r="B371" s="10"/>
      <c r="C371" s="11"/>
      <c r="D371" s="63"/>
      <c r="E371" s="11"/>
      <c r="F371" s="65"/>
      <c r="G371" s="12"/>
      <c r="H371" s="41"/>
      <c r="I371" s="30"/>
      <c r="J371" s="30"/>
      <c r="K371" s="30"/>
      <c r="L371" s="11"/>
      <c r="M371" s="11"/>
      <c r="N371" s="11"/>
      <c r="O371" s="11"/>
      <c r="P371" s="82"/>
    </row>
    <row r="372" spans="2:16" s="9" customFormat="1" x14ac:dyDescent="0.2">
      <c r="B372" s="10"/>
      <c r="C372" s="11"/>
      <c r="D372" s="63"/>
      <c r="E372" s="11"/>
      <c r="F372" s="65"/>
      <c r="G372" s="12"/>
      <c r="H372" s="41"/>
      <c r="I372" s="30"/>
      <c r="J372" s="30"/>
      <c r="K372" s="30"/>
      <c r="L372" s="11"/>
      <c r="M372" s="11"/>
      <c r="N372" s="11"/>
      <c r="O372" s="11"/>
      <c r="P372" s="82"/>
    </row>
    <row r="373" spans="2:16" s="9" customFormat="1" x14ac:dyDescent="0.2">
      <c r="B373" s="10"/>
      <c r="C373" s="11"/>
      <c r="D373" s="63"/>
      <c r="E373" s="11"/>
      <c r="F373" s="65"/>
      <c r="G373" s="12"/>
      <c r="H373" s="41"/>
      <c r="I373" s="30"/>
      <c r="J373" s="30"/>
      <c r="K373" s="30"/>
      <c r="L373" s="11"/>
      <c r="M373" s="11"/>
      <c r="N373" s="11"/>
      <c r="O373" s="11"/>
      <c r="P373" s="82"/>
    </row>
    <row r="374" spans="2:16" s="9" customFormat="1" x14ac:dyDescent="0.2">
      <c r="B374" s="10"/>
      <c r="C374" s="11"/>
      <c r="D374" s="63"/>
      <c r="E374" s="11"/>
      <c r="F374" s="65"/>
      <c r="G374" s="12"/>
      <c r="H374" s="41"/>
      <c r="I374" s="30"/>
      <c r="J374" s="30"/>
      <c r="K374" s="30"/>
      <c r="L374" s="11"/>
      <c r="M374" s="11"/>
      <c r="N374" s="11"/>
      <c r="O374" s="11"/>
      <c r="P374" s="82"/>
    </row>
    <row r="375" spans="2:16" s="9" customFormat="1" x14ac:dyDescent="0.2">
      <c r="B375" s="10"/>
      <c r="C375" s="11"/>
      <c r="D375" s="63"/>
      <c r="E375" s="11"/>
      <c r="F375" s="65"/>
      <c r="G375" s="12"/>
      <c r="H375" s="41"/>
      <c r="I375" s="30"/>
      <c r="J375" s="30"/>
      <c r="K375" s="30"/>
      <c r="L375" s="11"/>
      <c r="M375" s="11"/>
      <c r="N375" s="11"/>
      <c r="O375" s="11"/>
      <c r="P375" s="82"/>
    </row>
    <row r="376" spans="2:16" s="9" customFormat="1" x14ac:dyDescent="0.2">
      <c r="B376" s="10"/>
      <c r="C376" s="11"/>
      <c r="D376" s="63"/>
      <c r="E376" s="11"/>
      <c r="F376" s="65"/>
      <c r="G376" s="12"/>
      <c r="H376" s="41"/>
      <c r="I376" s="30"/>
      <c r="J376" s="30"/>
      <c r="K376" s="30"/>
      <c r="L376" s="11"/>
      <c r="M376" s="11"/>
      <c r="N376" s="11"/>
      <c r="O376" s="11"/>
      <c r="P376" s="82"/>
    </row>
    <row r="377" spans="2:16" s="9" customFormat="1" x14ac:dyDescent="0.2">
      <c r="B377" s="10"/>
      <c r="C377" s="11"/>
      <c r="D377" s="63"/>
      <c r="E377" s="11"/>
      <c r="F377" s="65"/>
      <c r="G377" s="12"/>
      <c r="H377" s="41"/>
      <c r="I377" s="30"/>
      <c r="J377" s="30"/>
      <c r="K377" s="30"/>
      <c r="L377" s="11"/>
      <c r="M377" s="11"/>
      <c r="N377" s="11"/>
      <c r="O377" s="11"/>
      <c r="P377" s="82"/>
    </row>
    <row r="378" spans="2:16" s="9" customFormat="1" x14ac:dyDescent="0.2">
      <c r="B378" s="10"/>
      <c r="C378" s="11"/>
      <c r="D378" s="63"/>
      <c r="E378" s="11"/>
      <c r="F378" s="65"/>
      <c r="G378" s="12"/>
      <c r="H378" s="41"/>
      <c r="I378" s="30"/>
      <c r="J378" s="30"/>
      <c r="K378" s="30"/>
      <c r="L378" s="11"/>
      <c r="M378" s="11"/>
      <c r="N378" s="11"/>
      <c r="O378" s="11"/>
      <c r="P378" s="82"/>
    </row>
    <row r="379" spans="2:16" s="9" customFormat="1" x14ac:dyDescent="0.2">
      <c r="B379" s="10"/>
      <c r="C379" s="11"/>
      <c r="D379" s="63"/>
      <c r="E379" s="11"/>
      <c r="F379" s="65"/>
      <c r="G379" s="12"/>
      <c r="H379" s="41"/>
      <c r="I379" s="30"/>
      <c r="J379" s="30"/>
      <c r="K379" s="30"/>
      <c r="L379" s="11"/>
      <c r="M379" s="11"/>
      <c r="N379" s="11"/>
      <c r="O379" s="11"/>
      <c r="P379" s="82"/>
    </row>
    <row r="380" spans="2:16" s="9" customFormat="1" x14ac:dyDescent="0.2">
      <c r="B380" s="10"/>
      <c r="C380" s="11"/>
      <c r="D380" s="63"/>
      <c r="E380" s="11"/>
      <c r="F380" s="65"/>
      <c r="G380" s="12"/>
      <c r="H380" s="41"/>
      <c r="I380" s="30"/>
      <c r="J380" s="30"/>
      <c r="K380" s="30"/>
      <c r="L380" s="11"/>
      <c r="M380" s="11"/>
      <c r="N380" s="11"/>
      <c r="O380" s="11"/>
      <c r="P380" s="82"/>
    </row>
    <row r="381" spans="2:16" s="9" customFormat="1" x14ac:dyDescent="0.2">
      <c r="B381" s="10"/>
      <c r="C381" s="11"/>
      <c r="D381" s="63"/>
      <c r="E381" s="11"/>
      <c r="F381" s="65"/>
      <c r="G381" s="12"/>
      <c r="H381" s="41"/>
      <c r="I381" s="30"/>
      <c r="J381" s="30"/>
      <c r="K381" s="30"/>
      <c r="L381" s="11"/>
      <c r="M381" s="11"/>
      <c r="N381" s="11"/>
      <c r="O381" s="11"/>
      <c r="P381" s="82"/>
    </row>
    <row r="382" spans="2:16" s="9" customFormat="1" x14ac:dyDescent="0.2">
      <c r="B382" s="10"/>
      <c r="C382" s="11"/>
      <c r="D382" s="63"/>
      <c r="E382" s="11"/>
      <c r="F382" s="65"/>
      <c r="G382" s="12"/>
      <c r="H382" s="41"/>
      <c r="I382" s="30"/>
      <c r="J382" s="30"/>
      <c r="K382" s="30"/>
      <c r="L382" s="11"/>
      <c r="M382" s="11"/>
      <c r="N382" s="11"/>
      <c r="O382" s="11"/>
      <c r="P382" s="82"/>
    </row>
    <row r="383" spans="2:16" s="9" customFormat="1" x14ac:dyDescent="0.2">
      <c r="B383" s="10"/>
      <c r="C383" s="11"/>
      <c r="D383" s="63"/>
      <c r="E383" s="11"/>
      <c r="F383" s="65"/>
      <c r="G383" s="12"/>
      <c r="H383" s="41"/>
      <c r="I383" s="30"/>
      <c r="J383" s="30"/>
      <c r="K383" s="30"/>
      <c r="L383" s="11"/>
      <c r="M383" s="11"/>
      <c r="N383" s="11"/>
      <c r="O383" s="11"/>
      <c r="P383" s="82"/>
    </row>
    <row r="384" spans="2:16" s="9" customFormat="1" x14ac:dyDescent="0.2">
      <c r="B384" s="10"/>
      <c r="C384" s="11"/>
      <c r="D384" s="63"/>
      <c r="E384" s="11"/>
      <c r="F384" s="65"/>
      <c r="G384" s="12"/>
      <c r="H384" s="41"/>
      <c r="I384" s="30"/>
      <c r="J384" s="30"/>
      <c r="K384" s="30"/>
      <c r="L384" s="11"/>
      <c r="M384" s="11"/>
      <c r="N384" s="11"/>
      <c r="O384" s="11"/>
      <c r="P384" s="82"/>
    </row>
    <row r="385" spans="2:16" s="9" customFormat="1" x14ac:dyDescent="0.2">
      <c r="B385" s="10"/>
      <c r="C385" s="11"/>
      <c r="D385" s="63"/>
      <c r="E385" s="11"/>
      <c r="F385" s="65"/>
      <c r="G385" s="12"/>
      <c r="H385" s="41"/>
      <c r="I385" s="30"/>
      <c r="J385" s="30"/>
      <c r="K385" s="30"/>
      <c r="L385" s="11"/>
      <c r="M385" s="11"/>
      <c r="N385" s="11"/>
      <c r="O385" s="11"/>
      <c r="P385" s="82"/>
    </row>
    <row r="386" spans="2:16" s="9" customFormat="1" x14ac:dyDescent="0.2">
      <c r="B386" s="10"/>
      <c r="C386" s="11"/>
      <c r="D386" s="63"/>
      <c r="E386" s="11"/>
      <c r="F386" s="65"/>
      <c r="G386" s="12"/>
      <c r="H386" s="41"/>
      <c r="I386" s="30"/>
      <c r="J386" s="30"/>
      <c r="K386" s="30"/>
      <c r="L386" s="11"/>
      <c r="M386" s="11"/>
      <c r="N386" s="11"/>
      <c r="O386" s="11"/>
      <c r="P386" s="82"/>
    </row>
    <row r="387" spans="2:16" s="9" customFormat="1" x14ac:dyDescent="0.2">
      <c r="B387" s="10"/>
      <c r="C387" s="11"/>
      <c r="D387" s="63"/>
      <c r="E387" s="11"/>
      <c r="F387" s="65"/>
      <c r="G387" s="12"/>
      <c r="H387" s="41"/>
      <c r="I387" s="30"/>
      <c r="J387" s="30"/>
      <c r="K387" s="30"/>
      <c r="L387" s="11"/>
      <c r="M387" s="11"/>
      <c r="N387" s="11"/>
      <c r="O387" s="11"/>
      <c r="P387" s="82"/>
    </row>
    <row r="388" spans="2:16" s="9" customFormat="1" x14ac:dyDescent="0.2">
      <c r="B388" s="10"/>
      <c r="C388" s="11"/>
      <c r="D388" s="63"/>
      <c r="E388" s="11"/>
      <c r="F388" s="65"/>
      <c r="G388" s="12"/>
      <c r="H388" s="41"/>
      <c r="I388" s="30"/>
      <c r="J388" s="30"/>
      <c r="K388" s="30"/>
      <c r="L388" s="11"/>
      <c r="M388" s="11"/>
      <c r="N388" s="11"/>
      <c r="O388" s="11"/>
      <c r="P388" s="82"/>
    </row>
    <row r="389" spans="2:16" s="9" customFormat="1" x14ac:dyDescent="0.2">
      <c r="B389" s="10"/>
      <c r="C389" s="11"/>
      <c r="D389" s="63"/>
      <c r="E389" s="11"/>
      <c r="F389" s="65"/>
      <c r="G389" s="12"/>
      <c r="H389" s="41"/>
      <c r="I389" s="30"/>
      <c r="J389" s="30"/>
      <c r="K389" s="30"/>
      <c r="L389" s="11"/>
      <c r="M389" s="11"/>
      <c r="N389" s="11"/>
      <c r="O389" s="11"/>
      <c r="P389" s="82"/>
    </row>
    <row r="390" spans="2:16" s="9" customFormat="1" x14ac:dyDescent="0.2">
      <c r="B390" s="10"/>
      <c r="C390" s="11"/>
      <c r="D390" s="63"/>
      <c r="E390" s="11"/>
      <c r="F390" s="65"/>
      <c r="G390" s="12"/>
      <c r="H390" s="41"/>
      <c r="I390" s="30"/>
      <c r="J390" s="30"/>
      <c r="K390" s="30"/>
      <c r="L390" s="11"/>
      <c r="M390" s="11"/>
      <c r="N390" s="11"/>
      <c r="O390" s="11"/>
      <c r="P390" s="82"/>
    </row>
    <row r="391" spans="2:16" s="9" customFormat="1" x14ac:dyDescent="0.2">
      <c r="B391" s="10"/>
      <c r="C391" s="11"/>
      <c r="D391" s="63"/>
      <c r="E391" s="11"/>
      <c r="F391" s="65"/>
      <c r="G391" s="12"/>
      <c r="H391" s="41"/>
      <c r="I391" s="30"/>
      <c r="J391" s="30"/>
      <c r="K391" s="30"/>
      <c r="L391" s="11"/>
      <c r="M391" s="11"/>
      <c r="N391" s="11"/>
      <c r="O391" s="11"/>
      <c r="P391" s="82"/>
    </row>
    <row r="392" spans="2:16" s="9" customFormat="1" x14ac:dyDescent="0.2">
      <c r="B392" s="10"/>
      <c r="C392" s="11"/>
      <c r="D392" s="63"/>
      <c r="E392" s="11"/>
      <c r="F392" s="65"/>
      <c r="G392" s="12"/>
      <c r="H392" s="41"/>
      <c r="I392" s="30"/>
      <c r="J392" s="30"/>
      <c r="K392" s="30"/>
      <c r="L392" s="11"/>
      <c r="M392" s="11"/>
      <c r="N392" s="11"/>
      <c r="O392" s="11"/>
      <c r="P392" s="82"/>
    </row>
    <row r="393" spans="2:16" s="9" customFormat="1" x14ac:dyDescent="0.2">
      <c r="B393" s="10"/>
      <c r="C393" s="11"/>
      <c r="D393" s="63"/>
      <c r="E393" s="11"/>
      <c r="F393" s="65"/>
      <c r="G393" s="12"/>
      <c r="H393" s="41"/>
      <c r="I393" s="30"/>
      <c r="J393" s="30"/>
      <c r="K393" s="30"/>
      <c r="L393" s="11"/>
      <c r="M393" s="11"/>
      <c r="N393" s="11"/>
      <c r="O393" s="11"/>
      <c r="P393" s="82"/>
    </row>
    <row r="394" spans="2:16" s="9" customFormat="1" x14ac:dyDescent="0.2">
      <c r="B394" s="10"/>
      <c r="C394" s="11"/>
      <c r="D394" s="63"/>
      <c r="E394" s="11"/>
      <c r="F394" s="65"/>
      <c r="G394" s="12"/>
      <c r="H394" s="41"/>
      <c r="I394" s="30"/>
      <c r="J394" s="30"/>
      <c r="K394" s="30"/>
      <c r="L394" s="11"/>
      <c r="M394" s="11"/>
      <c r="N394" s="11"/>
      <c r="O394" s="11"/>
      <c r="P394" s="82"/>
    </row>
    <row r="395" spans="2:16" s="9" customFormat="1" x14ac:dyDescent="0.2">
      <c r="B395" s="10"/>
      <c r="C395" s="11"/>
      <c r="D395" s="63"/>
      <c r="E395" s="11"/>
      <c r="F395" s="65"/>
      <c r="G395" s="12"/>
      <c r="H395" s="41"/>
      <c r="I395" s="30"/>
      <c r="J395" s="30"/>
      <c r="K395" s="30"/>
      <c r="L395" s="11"/>
      <c r="M395" s="11"/>
      <c r="N395" s="11"/>
      <c r="O395" s="11"/>
      <c r="P395" s="82"/>
    </row>
    <row r="396" spans="2:16" s="9" customFormat="1" x14ac:dyDescent="0.2">
      <c r="B396" s="10"/>
      <c r="C396" s="11"/>
      <c r="D396" s="63"/>
      <c r="E396" s="11"/>
      <c r="F396" s="65"/>
      <c r="G396" s="12"/>
      <c r="H396" s="41"/>
      <c r="I396" s="30"/>
      <c r="J396" s="30"/>
      <c r="K396" s="30"/>
      <c r="L396" s="11"/>
      <c r="M396" s="11"/>
      <c r="N396" s="11"/>
      <c r="O396" s="11"/>
      <c r="P396" s="82"/>
    </row>
    <row r="397" spans="2:16" s="9" customFormat="1" x14ac:dyDescent="0.2">
      <c r="B397" s="10"/>
      <c r="C397" s="11"/>
      <c r="D397" s="63"/>
      <c r="E397" s="11"/>
      <c r="F397" s="65"/>
      <c r="G397" s="12"/>
      <c r="H397" s="41"/>
      <c r="I397" s="30"/>
      <c r="J397" s="30"/>
      <c r="K397" s="30"/>
      <c r="L397" s="11"/>
      <c r="M397" s="11"/>
      <c r="N397" s="11"/>
      <c r="O397" s="11"/>
      <c r="P397" s="82"/>
    </row>
    <row r="398" spans="2:16" s="9" customFormat="1" x14ac:dyDescent="0.2">
      <c r="B398" s="10"/>
      <c r="C398" s="11"/>
      <c r="D398" s="63"/>
      <c r="E398" s="11"/>
      <c r="F398" s="65"/>
      <c r="G398" s="12"/>
      <c r="H398" s="41"/>
      <c r="I398" s="30"/>
      <c r="J398" s="30"/>
      <c r="K398" s="30"/>
      <c r="L398" s="11"/>
      <c r="M398" s="11"/>
      <c r="N398" s="11"/>
      <c r="O398" s="11"/>
      <c r="P398" s="82"/>
    </row>
    <row r="399" spans="2:16" s="9" customFormat="1" x14ac:dyDescent="0.2">
      <c r="B399" s="10"/>
      <c r="C399" s="11"/>
      <c r="D399" s="63"/>
      <c r="E399" s="11"/>
      <c r="F399" s="65"/>
      <c r="G399" s="12"/>
      <c r="H399" s="41"/>
      <c r="I399" s="30"/>
      <c r="J399" s="30"/>
      <c r="K399" s="30"/>
      <c r="L399" s="11"/>
      <c r="M399" s="11"/>
      <c r="N399" s="11"/>
      <c r="O399" s="11"/>
      <c r="P399" s="82"/>
    </row>
    <row r="400" spans="2:16" s="9" customFormat="1" x14ac:dyDescent="0.2">
      <c r="B400" s="10"/>
      <c r="C400" s="11"/>
      <c r="D400" s="63"/>
      <c r="E400" s="11"/>
      <c r="F400" s="65"/>
      <c r="G400" s="12"/>
      <c r="H400" s="41"/>
      <c r="I400" s="30"/>
      <c r="J400" s="30"/>
      <c r="K400" s="30"/>
      <c r="L400" s="11"/>
      <c r="M400" s="11"/>
      <c r="N400" s="11"/>
      <c r="O400" s="11"/>
      <c r="P400" s="82"/>
    </row>
    <row r="401" spans="2:16" s="9" customFormat="1" x14ac:dyDescent="0.2">
      <c r="B401" s="10"/>
      <c r="C401" s="11"/>
      <c r="D401" s="63"/>
      <c r="E401" s="11"/>
      <c r="F401" s="65"/>
      <c r="G401" s="12"/>
      <c r="H401" s="41"/>
      <c r="I401" s="30"/>
      <c r="J401" s="30"/>
      <c r="K401" s="30"/>
      <c r="L401" s="11"/>
      <c r="M401" s="11"/>
      <c r="N401" s="11"/>
      <c r="O401" s="11"/>
      <c r="P401" s="82"/>
    </row>
    <row r="402" spans="2:16" s="9" customFormat="1" x14ac:dyDescent="0.2">
      <c r="B402" s="10"/>
      <c r="C402" s="11"/>
      <c r="D402" s="63"/>
      <c r="E402" s="11"/>
      <c r="F402" s="65"/>
      <c r="G402" s="12"/>
      <c r="H402" s="41"/>
      <c r="I402" s="30"/>
      <c r="J402" s="30"/>
      <c r="K402" s="30"/>
      <c r="L402" s="11"/>
      <c r="M402" s="11"/>
      <c r="N402" s="11"/>
      <c r="O402" s="11"/>
      <c r="P402" s="82"/>
    </row>
    <row r="403" spans="2:16" s="9" customFormat="1" x14ac:dyDescent="0.2">
      <c r="B403" s="10"/>
      <c r="C403" s="11"/>
      <c r="D403" s="63"/>
      <c r="E403" s="11"/>
      <c r="F403" s="65"/>
      <c r="G403" s="12"/>
      <c r="H403" s="41"/>
      <c r="I403" s="30"/>
      <c r="J403" s="30"/>
      <c r="K403" s="30"/>
      <c r="L403" s="11"/>
      <c r="M403" s="11"/>
      <c r="N403" s="11"/>
      <c r="O403" s="11"/>
      <c r="P403" s="82"/>
    </row>
    <row r="404" spans="2:16" s="9" customFormat="1" x14ac:dyDescent="0.2">
      <c r="B404" s="10"/>
      <c r="C404" s="11"/>
      <c r="D404" s="63"/>
      <c r="E404" s="11"/>
      <c r="F404" s="65"/>
      <c r="G404" s="12"/>
      <c r="H404" s="41"/>
      <c r="I404" s="30"/>
      <c r="J404" s="30"/>
      <c r="K404" s="30"/>
      <c r="L404" s="11"/>
      <c r="M404" s="11"/>
      <c r="N404" s="11"/>
      <c r="O404" s="11"/>
      <c r="P404" s="82"/>
    </row>
    <row r="405" spans="2:16" s="9" customFormat="1" x14ac:dyDescent="0.2">
      <c r="B405" s="10"/>
      <c r="C405" s="11"/>
      <c r="D405" s="63"/>
      <c r="E405" s="11"/>
      <c r="F405" s="65"/>
      <c r="G405" s="12"/>
      <c r="H405" s="41"/>
      <c r="I405" s="30"/>
      <c r="J405" s="30"/>
      <c r="K405" s="30"/>
      <c r="L405" s="11"/>
      <c r="M405" s="11"/>
      <c r="N405" s="11"/>
      <c r="O405" s="11"/>
      <c r="P405" s="82"/>
    </row>
    <row r="406" spans="2:16" s="9" customFormat="1" x14ac:dyDescent="0.2">
      <c r="B406" s="10"/>
      <c r="C406" s="11"/>
      <c r="D406" s="63"/>
      <c r="E406" s="11"/>
      <c r="F406" s="65"/>
      <c r="G406" s="12"/>
      <c r="H406" s="41"/>
      <c r="I406" s="30"/>
      <c r="J406" s="30"/>
      <c r="K406" s="30"/>
      <c r="L406" s="11"/>
      <c r="M406" s="11"/>
      <c r="N406" s="11"/>
      <c r="O406" s="11"/>
      <c r="P406" s="82"/>
    </row>
    <row r="407" spans="2:16" s="9" customFormat="1" x14ac:dyDescent="0.2">
      <c r="B407" s="10"/>
      <c r="C407" s="11"/>
      <c r="D407" s="63"/>
      <c r="E407" s="11"/>
      <c r="F407" s="65"/>
      <c r="G407" s="12"/>
      <c r="H407" s="41"/>
      <c r="I407" s="30"/>
      <c r="J407" s="30"/>
      <c r="K407" s="30"/>
      <c r="L407" s="11"/>
      <c r="M407" s="11"/>
      <c r="N407" s="11"/>
      <c r="O407" s="11"/>
      <c r="P407" s="82"/>
    </row>
    <row r="408" spans="2:16" s="9" customFormat="1" x14ac:dyDescent="0.2">
      <c r="B408" s="10"/>
      <c r="C408" s="11"/>
      <c r="D408" s="63"/>
      <c r="E408" s="11"/>
      <c r="F408" s="65"/>
      <c r="G408" s="12"/>
      <c r="H408" s="41"/>
      <c r="I408" s="30"/>
      <c r="J408" s="30"/>
      <c r="K408" s="30"/>
      <c r="L408" s="11"/>
      <c r="M408" s="11"/>
      <c r="N408" s="11"/>
      <c r="O408" s="11"/>
      <c r="P408" s="82"/>
    </row>
    <row r="409" spans="2:16" s="9" customFormat="1" x14ac:dyDescent="0.2">
      <c r="B409" s="10"/>
      <c r="C409" s="11"/>
      <c r="D409" s="63"/>
      <c r="E409" s="11"/>
      <c r="F409" s="65"/>
      <c r="G409" s="12"/>
      <c r="H409" s="41"/>
      <c r="I409" s="30"/>
      <c r="J409" s="30"/>
      <c r="K409" s="30"/>
      <c r="L409" s="11"/>
      <c r="M409" s="11"/>
      <c r="N409" s="11"/>
      <c r="O409" s="11"/>
      <c r="P409" s="82"/>
    </row>
    <row r="410" spans="2:16" s="9" customFormat="1" x14ac:dyDescent="0.2">
      <c r="B410" s="10"/>
      <c r="C410" s="11"/>
      <c r="D410" s="63"/>
      <c r="E410" s="11"/>
      <c r="F410" s="65"/>
      <c r="G410" s="12"/>
      <c r="H410" s="41"/>
      <c r="I410" s="30"/>
      <c r="J410" s="30"/>
      <c r="K410" s="30"/>
      <c r="L410" s="11"/>
      <c r="M410" s="11"/>
      <c r="N410" s="11"/>
      <c r="O410" s="11"/>
      <c r="P410" s="82"/>
    </row>
    <row r="411" spans="2:16" s="9" customFormat="1" x14ac:dyDescent="0.2">
      <c r="B411" s="10"/>
      <c r="C411" s="11"/>
      <c r="D411" s="63"/>
      <c r="E411" s="11"/>
      <c r="F411" s="65"/>
      <c r="G411" s="12"/>
      <c r="H411" s="41"/>
      <c r="I411" s="30"/>
      <c r="J411" s="30"/>
      <c r="K411" s="30"/>
      <c r="L411" s="11"/>
      <c r="M411" s="11"/>
      <c r="N411" s="11"/>
      <c r="O411" s="11"/>
      <c r="P411" s="82"/>
    </row>
    <row r="412" spans="2:16" s="9" customFormat="1" x14ac:dyDescent="0.2">
      <c r="B412" s="10"/>
      <c r="C412" s="11"/>
      <c r="D412" s="63"/>
      <c r="E412" s="11"/>
      <c r="F412" s="65"/>
      <c r="G412" s="12"/>
      <c r="H412" s="41"/>
      <c r="I412" s="30"/>
      <c r="J412" s="30"/>
      <c r="K412" s="30"/>
      <c r="L412" s="11"/>
      <c r="M412" s="11"/>
      <c r="N412" s="11"/>
      <c r="O412" s="11"/>
      <c r="P412" s="82"/>
    </row>
    <row r="413" spans="2:16" s="9" customFormat="1" x14ac:dyDescent="0.2">
      <c r="B413" s="10"/>
      <c r="C413" s="11"/>
      <c r="D413" s="63"/>
      <c r="E413" s="11"/>
      <c r="F413" s="65"/>
      <c r="G413" s="12"/>
      <c r="H413" s="41"/>
      <c r="I413" s="30"/>
      <c r="J413" s="30"/>
      <c r="K413" s="30"/>
      <c r="L413" s="11"/>
      <c r="M413" s="11"/>
      <c r="N413" s="11"/>
      <c r="O413" s="11"/>
      <c r="P413" s="82"/>
    </row>
    <row r="414" spans="2:16" s="9" customFormat="1" x14ac:dyDescent="0.2">
      <c r="B414" s="10"/>
      <c r="C414" s="11"/>
      <c r="D414" s="63"/>
      <c r="E414" s="11"/>
      <c r="F414" s="65"/>
      <c r="G414" s="12"/>
      <c r="H414" s="41"/>
      <c r="I414" s="30"/>
      <c r="J414" s="30"/>
      <c r="K414" s="30"/>
      <c r="L414" s="11"/>
      <c r="M414" s="11"/>
      <c r="N414" s="11"/>
      <c r="O414" s="11"/>
      <c r="P414" s="82"/>
    </row>
    <row r="415" spans="2:16" s="9" customFormat="1" x14ac:dyDescent="0.2">
      <c r="B415" s="10"/>
      <c r="C415" s="11"/>
      <c r="D415" s="63"/>
      <c r="E415" s="11"/>
      <c r="F415" s="65"/>
      <c r="G415" s="12"/>
      <c r="H415" s="41"/>
      <c r="I415" s="30"/>
      <c r="J415" s="30"/>
      <c r="K415" s="30"/>
      <c r="L415" s="11"/>
      <c r="M415" s="11"/>
      <c r="N415" s="11"/>
      <c r="O415" s="11"/>
      <c r="P415" s="82"/>
    </row>
    <row r="416" spans="2:16" s="9" customFormat="1" x14ac:dyDescent="0.2">
      <c r="B416" s="10"/>
      <c r="C416" s="11"/>
      <c r="D416" s="63"/>
      <c r="E416" s="11"/>
      <c r="F416" s="65"/>
      <c r="G416" s="12"/>
      <c r="H416" s="41"/>
      <c r="I416" s="30"/>
      <c r="J416" s="30"/>
      <c r="K416" s="30"/>
      <c r="L416" s="11"/>
      <c r="M416" s="11"/>
      <c r="N416" s="11"/>
      <c r="O416" s="11"/>
      <c r="P416" s="82"/>
    </row>
    <row r="417" spans="2:16" s="9" customFormat="1" x14ac:dyDescent="0.2">
      <c r="B417" s="10"/>
      <c r="C417" s="11"/>
      <c r="D417" s="63"/>
      <c r="E417" s="11"/>
      <c r="F417" s="65"/>
      <c r="G417" s="12"/>
      <c r="H417" s="41"/>
      <c r="I417" s="30"/>
      <c r="J417" s="30"/>
      <c r="K417" s="30"/>
      <c r="L417" s="11"/>
      <c r="M417" s="11"/>
      <c r="N417" s="11"/>
      <c r="O417" s="11"/>
      <c r="P417" s="82"/>
    </row>
    <row r="418" spans="2:16" s="9" customFormat="1" x14ac:dyDescent="0.2">
      <c r="B418" s="10"/>
      <c r="C418" s="11"/>
      <c r="D418" s="63"/>
      <c r="E418" s="11"/>
      <c r="F418" s="65"/>
      <c r="G418" s="12"/>
      <c r="H418" s="41"/>
      <c r="I418" s="30"/>
      <c r="J418" s="30"/>
      <c r="K418" s="30"/>
      <c r="L418" s="11"/>
      <c r="M418" s="11"/>
      <c r="N418" s="11"/>
      <c r="O418" s="11"/>
      <c r="P418" s="82"/>
    </row>
    <row r="419" spans="2:16" s="9" customFormat="1" x14ac:dyDescent="0.2">
      <c r="B419" s="10"/>
      <c r="C419" s="11"/>
      <c r="D419" s="63"/>
      <c r="E419" s="11"/>
      <c r="F419" s="65"/>
      <c r="G419" s="12"/>
      <c r="H419" s="41"/>
      <c r="I419" s="30"/>
      <c r="J419" s="30"/>
      <c r="K419" s="30"/>
      <c r="L419" s="11"/>
      <c r="M419" s="11"/>
      <c r="N419" s="11"/>
      <c r="O419" s="11"/>
      <c r="P419" s="82"/>
    </row>
    <row r="420" spans="2:16" s="9" customFormat="1" x14ac:dyDescent="0.2">
      <c r="B420" s="10"/>
      <c r="C420" s="11"/>
      <c r="D420" s="63"/>
      <c r="E420" s="11"/>
      <c r="F420" s="65"/>
      <c r="G420" s="12"/>
      <c r="H420" s="41"/>
      <c r="I420" s="30"/>
      <c r="J420" s="30"/>
      <c r="K420" s="30"/>
      <c r="L420" s="11"/>
      <c r="M420" s="11"/>
      <c r="N420" s="11"/>
      <c r="O420" s="11"/>
      <c r="P420" s="82"/>
    </row>
    <row r="421" spans="2:16" s="9" customFormat="1" x14ac:dyDescent="0.2">
      <c r="B421" s="10"/>
      <c r="C421" s="11"/>
      <c r="D421" s="63"/>
      <c r="E421" s="11"/>
      <c r="F421" s="65"/>
      <c r="G421" s="12"/>
      <c r="H421" s="41"/>
      <c r="I421" s="30"/>
      <c r="J421" s="30"/>
      <c r="K421" s="30"/>
      <c r="L421" s="11"/>
      <c r="M421" s="11"/>
      <c r="N421" s="11"/>
      <c r="O421" s="11"/>
      <c r="P421" s="82"/>
    </row>
    <row r="422" spans="2:16" s="9" customFormat="1" x14ac:dyDescent="0.2">
      <c r="B422" s="10"/>
      <c r="C422" s="11"/>
      <c r="D422" s="63"/>
      <c r="E422" s="11"/>
      <c r="F422" s="65"/>
      <c r="G422" s="12"/>
      <c r="H422" s="41"/>
      <c r="I422" s="30"/>
      <c r="J422" s="30"/>
      <c r="K422" s="30"/>
      <c r="L422" s="11"/>
      <c r="M422" s="11"/>
      <c r="N422" s="11"/>
      <c r="O422" s="11"/>
      <c r="P422" s="82"/>
    </row>
    <row r="423" spans="2:16" s="9" customFormat="1" x14ac:dyDescent="0.2">
      <c r="B423" s="10"/>
      <c r="C423" s="11"/>
      <c r="D423" s="63"/>
      <c r="E423" s="11"/>
      <c r="F423" s="65"/>
      <c r="G423" s="12"/>
      <c r="H423" s="41"/>
      <c r="I423" s="30"/>
      <c r="J423" s="30"/>
      <c r="K423" s="30"/>
      <c r="L423" s="11"/>
      <c r="M423" s="11"/>
      <c r="N423" s="11"/>
      <c r="O423" s="11"/>
      <c r="P423" s="82"/>
    </row>
    <row r="424" spans="2:16" s="9" customFormat="1" x14ac:dyDescent="0.2">
      <c r="B424" s="10"/>
      <c r="C424" s="11"/>
      <c r="D424" s="63"/>
      <c r="E424" s="11"/>
      <c r="F424" s="65"/>
      <c r="G424" s="12"/>
      <c r="H424" s="41"/>
      <c r="I424" s="30"/>
      <c r="J424" s="30"/>
      <c r="K424" s="30"/>
      <c r="L424" s="11"/>
      <c r="M424" s="11"/>
      <c r="N424" s="11"/>
      <c r="O424" s="11"/>
      <c r="P424" s="82"/>
    </row>
    <row r="425" spans="2:16" s="9" customFormat="1" x14ac:dyDescent="0.2">
      <c r="B425" s="10"/>
      <c r="C425" s="11"/>
      <c r="D425" s="63"/>
      <c r="E425" s="11"/>
      <c r="F425" s="65"/>
      <c r="G425" s="12"/>
      <c r="H425" s="41"/>
      <c r="I425" s="30"/>
      <c r="J425" s="30"/>
      <c r="K425" s="30"/>
      <c r="L425" s="11"/>
      <c r="M425" s="11"/>
      <c r="N425" s="11"/>
      <c r="O425" s="11"/>
      <c r="P425" s="82"/>
    </row>
    <row r="426" spans="2:16" s="9" customFormat="1" x14ac:dyDescent="0.2">
      <c r="B426" s="10"/>
      <c r="C426" s="11"/>
      <c r="D426" s="63"/>
      <c r="E426" s="11"/>
      <c r="F426" s="65"/>
      <c r="G426" s="12"/>
      <c r="H426" s="41"/>
      <c r="I426" s="30"/>
      <c r="J426" s="30"/>
      <c r="K426" s="30"/>
      <c r="L426" s="11"/>
      <c r="M426" s="11"/>
      <c r="N426" s="11"/>
      <c r="O426" s="11"/>
      <c r="P426" s="82"/>
    </row>
    <row r="427" spans="2:16" s="9" customFormat="1" x14ac:dyDescent="0.2">
      <c r="B427" s="10"/>
      <c r="C427" s="11"/>
      <c r="D427" s="63"/>
      <c r="E427" s="11"/>
      <c r="F427" s="65"/>
      <c r="G427" s="12"/>
      <c r="H427" s="41"/>
      <c r="I427" s="30"/>
      <c r="J427" s="30"/>
      <c r="K427" s="30"/>
      <c r="L427" s="11"/>
      <c r="M427" s="11"/>
      <c r="N427" s="11"/>
      <c r="O427" s="11"/>
      <c r="P427" s="82"/>
    </row>
    <row r="428" spans="2:16" s="9" customFormat="1" x14ac:dyDescent="0.2">
      <c r="B428" s="10"/>
      <c r="C428" s="11"/>
      <c r="D428" s="63"/>
      <c r="E428" s="11"/>
      <c r="F428" s="65"/>
      <c r="G428" s="12"/>
      <c r="H428" s="41"/>
      <c r="I428" s="30"/>
      <c r="J428" s="30"/>
      <c r="K428" s="30"/>
      <c r="L428" s="11"/>
      <c r="M428" s="11"/>
      <c r="N428" s="11"/>
      <c r="O428" s="11"/>
      <c r="P428" s="82"/>
    </row>
    <row r="429" spans="2:16" s="9" customFormat="1" x14ac:dyDescent="0.2">
      <c r="B429" s="10"/>
      <c r="C429" s="11"/>
      <c r="D429" s="63"/>
      <c r="E429" s="11"/>
      <c r="F429" s="65"/>
      <c r="G429" s="12"/>
      <c r="H429" s="41"/>
      <c r="I429" s="30"/>
      <c r="J429" s="30"/>
      <c r="K429" s="30"/>
      <c r="L429" s="11"/>
      <c r="M429" s="11"/>
      <c r="N429" s="11"/>
      <c r="O429" s="11"/>
      <c r="P429" s="82"/>
    </row>
    <row r="430" spans="2:16" s="9" customFormat="1" x14ac:dyDescent="0.2">
      <c r="B430" s="10"/>
      <c r="C430" s="11"/>
      <c r="D430" s="63"/>
      <c r="E430" s="11"/>
      <c r="F430" s="65"/>
      <c r="G430" s="12"/>
      <c r="H430" s="41"/>
      <c r="I430" s="30"/>
      <c r="J430" s="30"/>
      <c r="K430" s="30"/>
      <c r="L430" s="11"/>
      <c r="M430" s="11"/>
      <c r="N430" s="11"/>
      <c r="O430" s="11"/>
      <c r="P430" s="82"/>
    </row>
    <row r="431" spans="2:16" s="9" customFormat="1" x14ac:dyDescent="0.2">
      <c r="B431" s="10"/>
      <c r="C431" s="11"/>
      <c r="D431" s="63"/>
      <c r="E431" s="11"/>
      <c r="F431" s="65"/>
      <c r="G431" s="12"/>
      <c r="H431" s="41"/>
      <c r="I431" s="30"/>
      <c r="J431" s="30"/>
      <c r="K431" s="30"/>
      <c r="L431" s="11"/>
      <c r="M431" s="11"/>
      <c r="N431" s="11"/>
      <c r="O431" s="11"/>
      <c r="P431" s="82"/>
    </row>
    <row r="432" spans="2:16" s="9" customFormat="1" x14ac:dyDescent="0.2">
      <c r="B432" s="10"/>
      <c r="C432" s="11"/>
      <c r="D432" s="63"/>
      <c r="E432" s="11"/>
      <c r="F432" s="65"/>
      <c r="G432" s="12"/>
      <c r="H432" s="41"/>
      <c r="I432" s="30"/>
      <c r="J432" s="30"/>
      <c r="K432" s="30"/>
      <c r="L432" s="11"/>
      <c r="M432" s="11"/>
      <c r="N432" s="11"/>
      <c r="O432" s="11"/>
      <c r="P432" s="82"/>
    </row>
    <row r="433" spans="2:16" s="9" customFormat="1" x14ac:dyDescent="0.2">
      <c r="B433" s="10"/>
      <c r="C433" s="11"/>
      <c r="D433" s="63"/>
      <c r="E433" s="11"/>
      <c r="F433" s="65"/>
      <c r="G433" s="12"/>
      <c r="H433" s="41"/>
      <c r="I433" s="30"/>
      <c r="J433" s="30"/>
      <c r="K433" s="30"/>
      <c r="L433" s="11"/>
      <c r="M433" s="11"/>
      <c r="N433" s="11"/>
      <c r="O433" s="11"/>
      <c r="P433" s="82"/>
    </row>
    <row r="434" spans="2:16" s="9" customFormat="1" x14ac:dyDescent="0.2">
      <c r="B434" s="10"/>
      <c r="C434" s="11"/>
      <c r="D434" s="63"/>
      <c r="E434" s="11"/>
      <c r="F434" s="65"/>
      <c r="G434" s="12"/>
      <c r="H434" s="41"/>
      <c r="I434" s="30"/>
      <c r="J434" s="30"/>
      <c r="K434" s="30"/>
      <c r="L434" s="11"/>
      <c r="M434" s="11"/>
      <c r="N434" s="11"/>
      <c r="O434" s="11"/>
      <c r="P434" s="82"/>
    </row>
    <row r="435" spans="2:16" s="9" customFormat="1" x14ac:dyDescent="0.2">
      <c r="B435" s="10"/>
      <c r="C435" s="11"/>
      <c r="D435" s="63"/>
      <c r="E435" s="11"/>
      <c r="F435" s="65"/>
      <c r="G435" s="12"/>
      <c r="H435" s="41"/>
      <c r="I435" s="30"/>
      <c r="J435" s="30"/>
      <c r="K435" s="30"/>
      <c r="L435" s="11"/>
      <c r="M435" s="11"/>
      <c r="N435" s="11"/>
      <c r="O435" s="11"/>
      <c r="P435" s="82"/>
    </row>
    <row r="436" spans="2:16" s="9" customFormat="1" x14ac:dyDescent="0.2">
      <c r="B436" s="10"/>
      <c r="C436" s="11"/>
      <c r="D436" s="63"/>
      <c r="E436" s="11"/>
      <c r="F436" s="65"/>
      <c r="G436" s="12"/>
      <c r="H436" s="41"/>
      <c r="I436" s="30"/>
      <c r="J436" s="30"/>
      <c r="K436" s="30"/>
      <c r="L436" s="11"/>
      <c r="M436" s="11"/>
      <c r="N436" s="11"/>
      <c r="O436" s="11"/>
      <c r="P436" s="82"/>
    </row>
    <row r="437" spans="2:16" s="9" customFormat="1" x14ac:dyDescent="0.2">
      <c r="B437" s="10"/>
      <c r="C437" s="11"/>
      <c r="D437" s="63"/>
      <c r="E437" s="11"/>
      <c r="F437" s="65"/>
      <c r="G437" s="12"/>
      <c r="H437" s="41"/>
      <c r="I437" s="30"/>
      <c r="J437" s="30"/>
      <c r="K437" s="30"/>
      <c r="L437" s="11"/>
      <c r="M437" s="11"/>
      <c r="N437" s="11"/>
      <c r="O437" s="11"/>
      <c r="P437" s="82"/>
    </row>
    <row r="438" spans="2:16" s="9" customFormat="1" x14ac:dyDescent="0.2">
      <c r="B438" s="10"/>
      <c r="C438" s="11"/>
      <c r="D438" s="63"/>
      <c r="E438" s="11"/>
      <c r="F438" s="65"/>
      <c r="G438" s="12"/>
      <c r="H438" s="41"/>
      <c r="I438" s="30"/>
      <c r="J438" s="30"/>
      <c r="K438" s="30"/>
      <c r="L438" s="11"/>
      <c r="M438" s="11"/>
      <c r="N438" s="11"/>
      <c r="O438" s="11"/>
      <c r="P438" s="82"/>
    </row>
    <row r="439" spans="2:16" s="9" customFormat="1" x14ac:dyDescent="0.2">
      <c r="B439" s="10"/>
      <c r="C439" s="11"/>
      <c r="D439" s="63"/>
      <c r="E439" s="11"/>
      <c r="F439" s="65"/>
      <c r="G439" s="12"/>
      <c r="H439" s="41"/>
      <c r="I439" s="30"/>
      <c r="J439" s="30"/>
      <c r="K439" s="30"/>
      <c r="L439" s="11"/>
      <c r="M439" s="11"/>
      <c r="N439" s="11"/>
      <c r="O439" s="11"/>
      <c r="P439" s="82"/>
    </row>
    <row r="440" spans="2:16" s="9" customFormat="1" x14ac:dyDescent="0.2">
      <c r="B440" s="10"/>
      <c r="C440" s="11"/>
      <c r="D440" s="63"/>
      <c r="E440" s="11"/>
      <c r="F440" s="65"/>
      <c r="G440" s="12"/>
      <c r="H440" s="41"/>
      <c r="I440" s="30"/>
      <c r="J440" s="30"/>
      <c r="K440" s="30"/>
      <c r="L440" s="11"/>
      <c r="M440" s="11"/>
      <c r="N440" s="11"/>
      <c r="O440" s="11"/>
      <c r="P440" s="82"/>
    </row>
    <row r="441" spans="2:16" s="9" customFormat="1" x14ac:dyDescent="0.2">
      <c r="B441" s="10"/>
      <c r="C441" s="11"/>
      <c r="D441" s="63"/>
      <c r="E441" s="11"/>
      <c r="F441" s="65"/>
      <c r="G441" s="12"/>
      <c r="H441" s="41"/>
      <c r="I441" s="30"/>
      <c r="J441" s="30"/>
      <c r="K441" s="30"/>
      <c r="L441" s="11"/>
      <c r="M441" s="11"/>
      <c r="N441" s="11"/>
      <c r="O441" s="11"/>
      <c r="P441" s="82"/>
    </row>
    <row r="442" spans="2:16" s="9" customFormat="1" x14ac:dyDescent="0.2">
      <c r="B442" s="10"/>
      <c r="C442" s="11"/>
      <c r="D442" s="63"/>
      <c r="E442" s="11"/>
      <c r="F442" s="65"/>
      <c r="G442" s="12"/>
      <c r="H442" s="41"/>
      <c r="I442" s="30"/>
      <c r="J442" s="30"/>
      <c r="K442" s="30"/>
      <c r="L442" s="11"/>
      <c r="M442" s="11"/>
      <c r="N442" s="11"/>
      <c r="O442" s="11"/>
      <c r="P442" s="82"/>
    </row>
    <row r="443" spans="2:16" s="9" customFormat="1" x14ac:dyDescent="0.2">
      <c r="B443" s="10"/>
      <c r="C443" s="11"/>
      <c r="D443" s="63"/>
      <c r="E443" s="11"/>
      <c r="F443" s="65"/>
      <c r="G443" s="12"/>
      <c r="H443" s="41"/>
      <c r="I443" s="30"/>
      <c r="J443" s="30"/>
      <c r="K443" s="30"/>
      <c r="L443" s="11"/>
      <c r="M443" s="11"/>
      <c r="N443" s="11"/>
      <c r="O443" s="11"/>
      <c r="P443" s="82"/>
    </row>
    <row r="444" spans="2:16" s="9" customFormat="1" x14ac:dyDescent="0.2">
      <c r="B444" s="10"/>
      <c r="C444" s="11"/>
      <c r="D444" s="63"/>
      <c r="E444" s="11"/>
      <c r="F444" s="65"/>
      <c r="G444" s="12"/>
      <c r="H444" s="41"/>
      <c r="I444" s="30"/>
      <c r="J444" s="30"/>
      <c r="K444" s="30"/>
      <c r="L444" s="11"/>
      <c r="M444" s="11"/>
      <c r="N444" s="11"/>
      <c r="O444" s="11"/>
      <c r="P444" s="82"/>
    </row>
    <row r="445" spans="2:16" s="9" customFormat="1" x14ac:dyDescent="0.2">
      <c r="B445" s="10"/>
      <c r="C445" s="11"/>
      <c r="D445" s="63"/>
      <c r="E445" s="11"/>
      <c r="F445" s="65"/>
      <c r="G445" s="12"/>
      <c r="H445" s="41"/>
      <c r="I445" s="30"/>
      <c r="J445" s="30"/>
      <c r="K445" s="30"/>
      <c r="L445" s="11"/>
      <c r="M445" s="11"/>
      <c r="N445" s="11"/>
      <c r="O445" s="11"/>
      <c r="P445" s="82"/>
    </row>
    <row r="446" spans="2:16" s="9" customFormat="1" x14ac:dyDescent="0.2">
      <c r="B446" s="10"/>
      <c r="C446" s="11"/>
      <c r="D446" s="63"/>
      <c r="E446" s="11"/>
      <c r="F446" s="65"/>
      <c r="G446" s="12"/>
      <c r="H446" s="41"/>
      <c r="I446" s="30"/>
      <c r="J446" s="30"/>
      <c r="K446" s="30"/>
      <c r="L446" s="11"/>
      <c r="M446" s="11"/>
      <c r="N446" s="11"/>
      <c r="O446" s="11"/>
      <c r="P446" s="82"/>
    </row>
    <row r="447" spans="2:16" s="9" customFormat="1" x14ac:dyDescent="0.2">
      <c r="B447" s="10"/>
      <c r="C447" s="11"/>
      <c r="D447" s="63"/>
      <c r="E447" s="11"/>
      <c r="F447" s="65"/>
      <c r="G447" s="12"/>
      <c r="H447" s="41"/>
      <c r="I447" s="30"/>
      <c r="J447" s="30"/>
      <c r="K447" s="30"/>
      <c r="L447" s="11"/>
      <c r="M447" s="11"/>
      <c r="N447" s="11"/>
      <c r="O447" s="11"/>
      <c r="P447" s="82"/>
    </row>
    <row r="448" spans="2:16" s="9" customFormat="1" x14ac:dyDescent="0.2">
      <c r="B448" s="10"/>
      <c r="C448" s="11"/>
      <c r="D448" s="63"/>
      <c r="E448" s="11"/>
      <c r="F448" s="65"/>
      <c r="G448" s="12"/>
      <c r="H448" s="41"/>
      <c r="I448" s="30"/>
      <c r="J448" s="30"/>
      <c r="K448" s="30"/>
      <c r="L448" s="11"/>
      <c r="M448" s="11"/>
      <c r="N448" s="11"/>
      <c r="O448" s="11"/>
      <c r="P448" s="82"/>
    </row>
    <row r="449" spans="2:16" s="9" customFormat="1" x14ac:dyDescent="0.2">
      <c r="B449" s="10"/>
      <c r="C449" s="11"/>
      <c r="D449" s="63"/>
      <c r="E449" s="11"/>
      <c r="F449" s="65"/>
      <c r="G449" s="12"/>
      <c r="H449" s="41"/>
      <c r="I449" s="30"/>
      <c r="J449" s="30"/>
      <c r="K449" s="30"/>
      <c r="L449" s="11"/>
      <c r="M449" s="11"/>
      <c r="N449" s="11"/>
      <c r="O449" s="11"/>
      <c r="P449" s="82"/>
    </row>
    <row r="450" spans="2:16" s="9" customFormat="1" x14ac:dyDescent="0.2">
      <c r="B450" s="10"/>
      <c r="C450" s="11"/>
      <c r="D450" s="63"/>
      <c r="E450" s="11"/>
      <c r="F450" s="65"/>
      <c r="G450" s="12"/>
      <c r="H450" s="41"/>
      <c r="I450" s="30"/>
      <c r="J450" s="30"/>
      <c r="K450" s="30"/>
      <c r="L450" s="11"/>
      <c r="M450" s="11"/>
      <c r="N450" s="11"/>
      <c r="O450" s="11"/>
      <c r="P450" s="82"/>
    </row>
    <row r="451" spans="2:16" s="9" customFormat="1" x14ac:dyDescent="0.2">
      <c r="B451" s="10"/>
      <c r="C451" s="11"/>
      <c r="D451" s="63"/>
      <c r="E451" s="11"/>
      <c r="F451" s="65"/>
      <c r="G451" s="12"/>
      <c r="H451" s="41"/>
      <c r="I451" s="30"/>
      <c r="J451" s="30"/>
      <c r="K451" s="30"/>
      <c r="L451" s="11"/>
      <c r="M451" s="11"/>
      <c r="N451" s="11"/>
      <c r="O451" s="11"/>
      <c r="P451" s="82"/>
    </row>
    <row r="452" spans="2:16" s="9" customFormat="1" x14ac:dyDescent="0.2">
      <c r="B452" s="10"/>
      <c r="C452" s="11"/>
      <c r="D452" s="63"/>
      <c r="E452" s="11"/>
      <c r="F452" s="65"/>
      <c r="G452" s="12"/>
      <c r="H452" s="41"/>
      <c r="I452" s="30"/>
      <c r="J452" s="30"/>
      <c r="K452" s="30"/>
      <c r="L452" s="11"/>
      <c r="M452" s="11"/>
      <c r="N452" s="11"/>
      <c r="O452" s="11"/>
      <c r="P452" s="82"/>
    </row>
    <row r="453" spans="2:16" s="9" customFormat="1" x14ac:dyDescent="0.2">
      <c r="B453" s="10"/>
      <c r="C453" s="11"/>
      <c r="D453" s="63"/>
      <c r="E453" s="11"/>
      <c r="F453" s="65"/>
      <c r="G453" s="12"/>
      <c r="H453" s="41"/>
      <c r="I453" s="30"/>
      <c r="J453" s="30"/>
      <c r="K453" s="30"/>
      <c r="L453" s="11"/>
      <c r="M453" s="11"/>
      <c r="N453" s="11"/>
      <c r="O453" s="11"/>
      <c r="P453" s="82"/>
    </row>
    <row r="454" spans="2:16" s="9" customFormat="1" x14ac:dyDescent="0.2">
      <c r="B454" s="10"/>
      <c r="C454" s="11"/>
      <c r="D454" s="63"/>
      <c r="E454" s="11"/>
      <c r="F454" s="65"/>
      <c r="G454" s="12"/>
      <c r="H454" s="41"/>
      <c r="I454" s="30"/>
      <c r="J454" s="30"/>
      <c r="K454" s="30"/>
      <c r="L454" s="11"/>
      <c r="M454" s="11"/>
      <c r="N454" s="11"/>
      <c r="O454" s="11"/>
      <c r="P454" s="82"/>
    </row>
    <row r="455" spans="2:16" s="9" customFormat="1" x14ac:dyDescent="0.2">
      <c r="B455" s="10"/>
      <c r="C455" s="11"/>
      <c r="D455" s="63"/>
      <c r="E455" s="11"/>
      <c r="F455" s="65"/>
      <c r="G455" s="12"/>
      <c r="H455" s="41"/>
      <c r="I455" s="30"/>
      <c r="J455" s="30"/>
      <c r="K455" s="30"/>
      <c r="L455" s="11"/>
      <c r="M455" s="11"/>
      <c r="N455" s="11"/>
      <c r="O455" s="11"/>
      <c r="P455" s="82"/>
    </row>
    <row r="456" spans="2:16" s="9" customFormat="1" x14ac:dyDescent="0.2">
      <c r="B456" s="10"/>
      <c r="C456" s="11"/>
      <c r="D456" s="63"/>
      <c r="E456" s="11"/>
      <c r="F456" s="65"/>
      <c r="G456" s="12"/>
      <c r="H456" s="41"/>
      <c r="I456" s="30"/>
      <c r="J456" s="30"/>
      <c r="K456" s="30"/>
      <c r="L456" s="11"/>
      <c r="M456" s="11"/>
      <c r="N456" s="11"/>
      <c r="O456" s="11"/>
      <c r="P456" s="82"/>
    </row>
    <row r="457" spans="2:16" s="9" customFormat="1" x14ac:dyDescent="0.2">
      <c r="B457" s="10"/>
      <c r="C457" s="11"/>
      <c r="D457" s="63"/>
      <c r="E457" s="11"/>
      <c r="F457" s="65"/>
      <c r="G457" s="12"/>
      <c r="H457" s="41"/>
      <c r="I457" s="30"/>
      <c r="J457" s="30"/>
      <c r="K457" s="30"/>
      <c r="L457" s="11"/>
      <c r="M457" s="11"/>
      <c r="N457" s="11"/>
      <c r="O457" s="11"/>
      <c r="P457" s="82"/>
    </row>
    <row r="458" spans="2:16" s="9" customFormat="1" x14ac:dyDescent="0.2">
      <c r="B458" s="10"/>
      <c r="C458" s="11"/>
      <c r="D458" s="63"/>
      <c r="E458" s="11"/>
      <c r="F458" s="65"/>
      <c r="G458" s="12"/>
      <c r="H458" s="41"/>
      <c r="I458" s="30"/>
      <c r="J458" s="30"/>
      <c r="K458" s="30"/>
      <c r="L458" s="11"/>
      <c r="M458" s="11"/>
      <c r="N458" s="11"/>
      <c r="O458" s="11"/>
      <c r="P458" s="82"/>
    </row>
    <row r="459" spans="2:16" s="9" customFormat="1" x14ac:dyDescent="0.2">
      <c r="B459" s="10"/>
      <c r="C459" s="11"/>
      <c r="D459" s="63"/>
      <c r="E459" s="11"/>
      <c r="F459" s="65"/>
      <c r="G459" s="12"/>
      <c r="H459" s="41"/>
      <c r="I459" s="30"/>
      <c r="J459" s="30"/>
      <c r="K459" s="30"/>
      <c r="L459" s="11"/>
      <c r="M459" s="11"/>
      <c r="N459" s="11"/>
      <c r="O459" s="11"/>
      <c r="P459" s="82"/>
    </row>
    <row r="460" spans="2:16" s="9" customFormat="1" x14ac:dyDescent="0.2">
      <c r="B460" s="10"/>
      <c r="C460" s="11"/>
      <c r="D460" s="63"/>
      <c r="E460" s="11"/>
      <c r="F460" s="65"/>
      <c r="G460" s="12"/>
      <c r="H460" s="41"/>
      <c r="I460" s="30"/>
      <c r="J460" s="30"/>
      <c r="K460" s="30"/>
      <c r="L460" s="11"/>
      <c r="M460" s="11"/>
      <c r="N460" s="11"/>
      <c r="O460" s="11"/>
      <c r="P460" s="82"/>
    </row>
    <row r="461" spans="2:16" s="9" customFormat="1" x14ac:dyDescent="0.2">
      <c r="B461" s="10"/>
      <c r="C461" s="11"/>
      <c r="D461" s="63"/>
      <c r="E461" s="11"/>
      <c r="F461" s="65"/>
      <c r="G461" s="12"/>
      <c r="H461" s="41"/>
      <c r="I461" s="30"/>
      <c r="J461" s="30"/>
      <c r="K461" s="30"/>
      <c r="L461" s="11"/>
      <c r="M461" s="11"/>
      <c r="N461" s="11"/>
      <c r="O461" s="11"/>
      <c r="P461" s="82"/>
    </row>
    <row r="462" spans="2:16" s="9" customFormat="1" x14ac:dyDescent="0.2">
      <c r="B462" s="10"/>
      <c r="C462" s="11"/>
      <c r="D462" s="63"/>
      <c r="E462" s="11"/>
      <c r="F462" s="65"/>
      <c r="G462" s="12"/>
      <c r="H462" s="41"/>
      <c r="I462" s="30"/>
      <c r="J462" s="30"/>
      <c r="K462" s="30"/>
      <c r="L462" s="11"/>
      <c r="M462" s="11"/>
      <c r="N462" s="11"/>
      <c r="O462" s="11"/>
      <c r="P462" s="82"/>
    </row>
    <row r="463" spans="2:16" s="9" customFormat="1" x14ac:dyDescent="0.2">
      <c r="B463" s="10"/>
      <c r="C463" s="11"/>
      <c r="D463" s="63"/>
      <c r="E463" s="11"/>
      <c r="F463" s="65"/>
      <c r="G463" s="12"/>
      <c r="H463" s="41"/>
      <c r="I463" s="30"/>
      <c r="J463" s="30"/>
      <c r="K463" s="30"/>
      <c r="L463" s="11"/>
      <c r="M463" s="11"/>
      <c r="N463" s="11"/>
      <c r="O463" s="11"/>
      <c r="P463" s="82"/>
    </row>
    <row r="464" spans="2:16" s="9" customFormat="1" x14ac:dyDescent="0.2">
      <c r="B464" s="10"/>
      <c r="C464" s="11"/>
      <c r="D464" s="63"/>
      <c r="E464" s="11"/>
      <c r="F464" s="65"/>
      <c r="G464" s="12"/>
      <c r="H464" s="41"/>
      <c r="I464" s="30"/>
      <c r="J464" s="30"/>
      <c r="K464" s="30"/>
      <c r="L464" s="11"/>
      <c r="M464" s="11"/>
      <c r="N464" s="11"/>
      <c r="O464" s="11"/>
      <c r="P464" s="82"/>
    </row>
    <row r="465" spans="2:16" s="9" customFormat="1" x14ac:dyDescent="0.2">
      <c r="B465" s="10"/>
      <c r="C465" s="11"/>
      <c r="D465" s="63"/>
      <c r="E465" s="11"/>
      <c r="F465" s="65"/>
      <c r="G465" s="12"/>
      <c r="H465" s="41"/>
      <c r="I465" s="30"/>
      <c r="J465" s="30"/>
      <c r="K465" s="30"/>
      <c r="L465" s="11"/>
      <c r="M465" s="11"/>
      <c r="N465" s="11"/>
      <c r="O465" s="11"/>
      <c r="P465" s="82"/>
    </row>
    <row r="466" spans="2:16" s="9" customFormat="1" x14ac:dyDescent="0.2">
      <c r="B466" s="10"/>
      <c r="C466" s="11"/>
      <c r="D466" s="63"/>
      <c r="E466" s="11"/>
      <c r="F466" s="65"/>
      <c r="G466" s="12"/>
      <c r="H466" s="41"/>
      <c r="I466" s="30"/>
      <c r="J466" s="30"/>
      <c r="K466" s="30"/>
      <c r="L466" s="11"/>
      <c r="M466" s="11"/>
      <c r="N466" s="11"/>
      <c r="O466" s="11"/>
      <c r="P466" s="82"/>
    </row>
    <row r="467" spans="2:16" s="9" customFormat="1" x14ac:dyDescent="0.2">
      <c r="B467" s="10"/>
      <c r="C467" s="11"/>
      <c r="D467" s="63"/>
      <c r="E467" s="11"/>
      <c r="F467" s="65"/>
      <c r="G467" s="12"/>
      <c r="H467" s="41"/>
      <c r="I467" s="30"/>
      <c r="J467" s="30"/>
      <c r="K467" s="30"/>
      <c r="L467" s="11"/>
      <c r="M467" s="11"/>
      <c r="N467" s="11"/>
      <c r="O467" s="11"/>
      <c r="P467" s="82"/>
    </row>
    <row r="468" spans="2:16" s="9" customFormat="1" x14ac:dyDescent="0.2">
      <c r="B468" s="10"/>
      <c r="C468" s="11"/>
      <c r="D468" s="63"/>
      <c r="E468" s="11"/>
      <c r="F468" s="65"/>
      <c r="G468" s="12"/>
      <c r="H468" s="41"/>
      <c r="I468" s="30"/>
      <c r="J468" s="30"/>
      <c r="K468" s="30"/>
      <c r="L468" s="11"/>
      <c r="M468" s="11"/>
      <c r="N468" s="11"/>
      <c r="O468" s="11"/>
      <c r="P468" s="82"/>
    </row>
    <row r="469" spans="2:16" s="9" customFormat="1" x14ac:dyDescent="0.2">
      <c r="B469" s="10"/>
      <c r="C469" s="11"/>
      <c r="D469" s="63"/>
      <c r="E469" s="11"/>
      <c r="F469" s="65"/>
      <c r="G469" s="12"/>
      <c r="H469" s="41"/>
      <c r="I469" s="30"/>
      <c r="J469" s="30"/>
      <c r="K469" s="30"/>
      <c r="L469" s="11"/>
      <c r="M469" s="11"/>
      <c r="N469" s="11"/>
      <c r="O469" s="11"/>
      <c r="P469" s="82"/>
    </row>
    <row r="470" spans="2:16" s="9" customFormat="1" x14ac:dyDescent="0.2">
      <c r="B470" s="10"/>
      <c r="C470" s="11"/>
      <c r="D470" s="63"/>
      <c r="E470" s="11"/>
      <c r="F470" s="65"/>
      <c r="G470" s="12"/>
      <c r="H470" s="41"/>
      <c r="I470" s="30"/>
      <c r="J470" s="30"/>
      <c r="K470" s="30"/>
      <c r="L470" s="11"/>
      <c r="M470" s="11"/>
      <c r="N470" s="11"/>
      <c r="O470" s="11"/>
      <c r="P470" s="82"/>
    </row>
    <row r="471" spans="2:16" s="9" customFormat="1" x14ac:dyDescent="0.2">
      <c r="B471" s="10"/>
      <c r="C471" s="11"/>
      <c r="D471" s="63"/>
      <c r="E471" s="11"/>
      <c r="F471" s="65"/>
      <c r="G471" s="12"/>
      <c r="H471" s="41"/>
      <c r="I471" s="30"/>
      <c r="J471" s="30"/>
      <c r="K471" s="30"/>
      <c r="L471" s="11"/>
      <c r="M471" s="11"/>
      <c r="N471" s="11"/>
      <c r="O471" s="11"/>
      <c r="P471" s="82"/>
    </row>
    <row r="472" spans="2:16" s="9" customFormat="1" x14ac:dyDescent="0.2">
      <c r="B472" s="10"/>
      <c r="C472" s="11"/>
      <c r="D472" s="63"/>
      <c r="E472" s="11"/>
      <c r="F472" s="65"/>
      <c r="G472" s="12"/>
      <c r="H472" s="41"/>
      <c r="I472" s="30"/>
      <c r="J472" s="30"/>
      <c r="K472" s="30"/>
      <c r="L472" s="11"/>
      <c r="M472" s="11"/>
      <c r="N472" s="11"/>
      <c r="O472" s="11"/>
      <c r="P472" s="82"/>
    </row>
    <row r="473" spans="2:16" s="9" customFormat="1" x14ac:dyDescent="0.2">
      <c r="B473" s="10"/>
      <c r="C473" s="11"/>
      <c r="D473" s="63"/>
      <c r="E473" s="11"/>
      <c r="F473" s="65"/>
      <c r="G473" s="12"/>
      <c r="H473" s="41"/>
      <c r="I473" s="30"/>
      <c r="J473" s="30"/>
      <c r="K473" s="30"/>
      <c r="L473" s="11"/>
      <c r="M473" s="11"/>
      <c r="N473" s="11"/>
      <c r="O473" s="11"/>
      <c r="P473" s="82"/>
    </row>
    <row r="474" spans="2:16" s="9" customFormat="1" x14ac:dyDescent="0.2">
      <c r="B474" s="10"/>
      <c r="C474" s="11"/>
      <c r="D474" s="63"/>
      <c r="E474" s="11"/>
      <c r="F474" s="65"/>
      <c r="G474" s="12"/>
      <c r="H474" s="41"/>
      <c r="I474" s="30"/>
      <c r="J474" s="30"/>
      <c r="K474" s="30"/>
      <c r="L474" s="11"/>
      <c r="M474" s="11"/>
      <c r="N474" s="11"/>
      <c r="O474" s="11"/>
      <c r="P474" s="82"/>
    </row>
    <row r="475" spans="2:16" s="9" customFormat="1" x14ac:dyDescent="0.2">
      <c r="B475" s="10"/>
      <c r="C475" s="11"/>
      <c r="D475" s="63"/>
      <c r="E475" s="11"/>
      <c r="F475" s="65"/>
      <c r="G475" s="12"/>
      <c r="H475" s="41"/>
      <c r="I475" s="30"/>
      <c r="J475" s="30"/>
      <c r="K475" s="30"/>
      <c r="L475" s="11"/>
      <c r="M475" s="11"/>
      <c r="N475" s="11"/>
      <c r="O475" s="11"/>
      <c r="P475" s="82"/>
    </row>
    <row r="476" spans="2:16" s="9" customFormat="1" x14ac:dyDescent="0.2">
      <c r="B476" s="10"/>
      <c r="C476" s="11"/>
      <c r="D476" s="63"/>
      <c r="E476" s="11"/>
      <c r="F476" s="65"/>
      <c r="G476" s="12"/>
      <c r="H476" s="41"/>
      <c r="I476" s="30"/>
      <c r="J476" s="30"/>
      <c r="K476" s="30"/>
      <c r="L476" s="11"/>
      <c r="M476" s="11"/>
      <c r="N476" s="11"/>
      <c r="O476" s="11"/>
      <c r="P476" s="82"/>
    </row>
    <row r="477" spans="2:16" s="9" customFormat="1" x14ac:dyDescent="0.2">
      <c r="B477" s="10"/>
      <c r="C477" s="11"/>
      <c r="D477" s="63"/>
      <c r="E477" s="11"/>
      <c r="F477" s="65"/>
      <c r="G477" s="12"/>
      <c r="H477" s="41"/>
      <c r="I477" s="30"/>
      <c r="J477" s="30"/>
      <c r="K477" s="30"/>
      <c r="L477" s="11"/>
      <c r="M477" s="11"/>
      <c r="N477" s="11"/>
      <c r="O477" s="11"/>
      <c r="P477" s="82"/>
    </row>
    <row r="478" spans="2:16" s="9" customFormat="1" x14ac:dyDescent="0.2">
      <c r="B478" s="10"/>
      <c r="C478" s="11"/>
      <c r="D478" s="63"/>
      <c r="E478" s="11"/>
      <c r="F478" s="65"/>
      <c r="G478" s="12"/>
      <c r="H478" s="41"/>
      <c r="I478" s="30"/>
      <c r="J478" s="30"/>
      <c r="K478" s="30"/>
      <c r="L478" s="11"/>
      <c r="M478" s="11"/>
      <c r="N478" s="11"/>
      <c r="O478" s="11"/>
      <c r="P478" s="82"/>
    </row>
    <row r="479" spans="2:16" s="9" customFormat="1" x14ac:dyDescent="0.2">
      <c r="B479" s="10"/>
      <c r="C479" s="11"/>
      <c r="D479" s="63"/>
      <c r="E479" s="11"/>
      <c r="F479" s="65"/>
      <c r="G479" s="12"/>
      <c r="H479" s="41"/>
      <c r="I479" s="30"/>
      <c r="J479" s="30"/>
      <c r="K479" s="30"/>
      <c r="L479" s="11"/>
      <c r="M479" s="11"/>
      <c r="N479" s="11"/>
      <c r="O479" s="11"/>
      <c r="P479" s="82"/>
    </row>
    <row r="480" spans="2:16" s="9" customFormat="1" x14ac:dyDescent="0.2">
      <c r="B480" s="10"/>
      <c r="C480" s="11"/>
      <c r="D480" s="63"/>
      <c r="E480" s="11"/>
      <c r="F480" s="65"/>
      <c r="G480" s="12"/>
      <c r="H480" s="41"/>
      <c r="I480" s="30"/>
      <c r="J480" s="30"/>
      <c r="K480" s="30"/>
      <c r="L480" s="11"/>
      <c r="M480" s="11"/>
      <c r="N480" s="11"/>
      <c r="O480" s="11"/>
      <c r="P480" s="82"/>
    </row>
    <row r="481" spans="2:16" s="9" customFormat="1" x14ac:dyDescent="0.2">
      <c r="B481" s="10"/>
      <c r="C481" s="11"/>
      <c r="D481" s="63"/>
      <c r="E481" s="11"/>
      <c r="F481" s="65"/>
      <c r="G481" s="12"/>
      <c r="H481" s="41"/>
      <c r="I481" s="30"/>
      <c r="J481" s="30"/>
      <c r="K481" s="30"/>
      <c r="L481" s="11"/>
      <c r="M481" s="11"/>
      <c r="N481" s="11"/>
      <c r="O481" s="11"/>
      <c r="P481" s="82"/>
    </row>
    <row r="482" spans="2:16" s="9" customFormat="1" x14ac:dyDescent="0.2">
      <c r="B482" s="10"/>
      <c r="C482" s="11"/>
      <c r="D482" s="63"/>
      <c r="E482" s="11"/>
      <c r="F482" s="65"/>
      <c r="G482" s="12"/>
      <c r="H482" s="41"/>
      <c r="I482" s="30"/>
      <c r="J482" s="30"/>
      <c r="K482" s="30"/>
      <c r="L482" s="11"/>
      <c r="M482" s="11"/>
      <c r="N482" s="11"/>
      <c r="O482" s="11"/>
      <c r="P482" s="82"/>
    </row>
    <row r="483" spans="2:16" s="9" customFormat="1" x14ac:dyDescent="0.2">
      <c r="B483" s="10"/>
      <c r="C483" s="11"/>
      <c r="D483" s="63"/>
      <c r="E483" s="11"/>
      <c r="F483" s="65"/>
      <c r="G483" s="12"/>
      <c r="H483" s="41"/>
      <c r="I483" s="30"/>
      <c r="J483" s="30"/>
      <c r="K483" s="30"/>
      <c r="L483" s="11"/>
      <c r="M483" s="11"/>
      <c r="N483" s="11"/>
      <c r="O483" s="11"/>
      <c r="P483" s="82"/>
    </row>
    <row r="484" spans="2:16" s="9" customFormat="1" x14ac:dyDescent="0.2">
      <c r="B484" s="10"/>
      <c r="C484" s="11"/>
      <c r="D484" s="63"/>
      <c r="E484" s="11"/>
      <c r="F484" s="65"/>
      <c r="G484" s="12"/>
      <c r="H484" s="41"/>
      <c r="I484" s="30"/>
      <c r="J484" s="30"/>
      <c r="K484" s="30"/>
      <c r="L484" s="11"/>
      <c r="M484" s="11"/>
      <c r="N484" s="11"/>
      <c r="O484" s="11"/>
      <c r="P484" s="82"/>
    </row>
    <row r="485" spans="2:16" s="9" customFormat="1" x14ac:dyDescent="0.2">
      <c r="B485" s="10"/>
      <c r="C485" s="11"/>
      <c r="D485" s="63"/>
      <c r="E485" s="11"/>
      <c r="F485" s="65"/>
      <c r="G485" s="12"/>
      <c r="H485" s="41"/>
      <c r="I485" s="30"/>
      <c r="J485" s="30"/>
      <c r="K485" s="30"/>
      <c r="L485" s="11"/>
      <c r="M485" s="11"/>
      <c r="N485" s="11"/>
      <c r="O485" s="11"/>
      <c r="P485" s="82"/>
    </row>
    <row r="486" spans="2:16" s="9" customFormat="1" x14ac:dyDescent="0.2">
      <c r="B486" s="10"/>
      <c r="C486" s="11"/>
      <c r="D486" s="63"/>
      <c r="E486" s="11"/>
      <c r="F486" s="65"/>
      <c r="G486" s="12"/>
      <c r="H486" s="41"/>
      <c r="I486" s="30"/>
      <c r="J486" s="30"/>
      <c r="K486" s="30"/>
      <c r="L486" s="11"/>
      <c r="M486" s="11"/>
      <c r="N486" s="11"/>
      <c r="O486" s="11"/>
      <c r="P486" s="82"/>
    </row>
    <row r="487" spans="2:16" s="9" customFormat="1" x14ac:dyDescent="0.2">
      <c r="B487" s="10"/>
      <c r="C487" s="11"/>
      <c r="D487" s="63"/>
      <c r="E487" s="11"/>
      <c r="F487" s="65"/>
      <c r="G487" s="12"/>
      <c r="H487" s="41"/>
      <c r="I487" s="30"/>
      <c r="J487" s="30"/>
      <c r="K487" s="30"/>
      <c r="L487" s="11"/>
      <c r="M487" s="11"/>
      <c r="N487" s="11"/>
      <c r="O487" s="11"/>
      <c r="P487" s="82"/>
    </row>
    <row r="488" spans="2:16" s="9" customFormat="1" x14ac:dyDescent="0.2">
      <c r="B488" s="10"/>
      <c r="C488" s="11"/>
      <c r="D488" s="63"/>
      <c r="E488" s="11"/>
      <c r="F488" s="65"/>
      <c r="G488" s="12"/>
      <c r="H488" s="41"/>
      <c r="I488" s="30"/>
      <c r="J488" s="30"/>
      <c r="K488" s="30"/>
      <c r="L488" s="11"/>
      <c r="M488" s="11"/>
      <c r="N488" s="11"/>
      <c r="O488" s="11"/>
      <c r="P488" s="82"/>
    </row>
    <row r="489" spans="2:16" s="9" customFormat="1" x14ac:dyDescent="0.2">
      <c r="B489" s="10"/>
      <c r="C489" s="11"/>
      <c r="D489" s="63"/>
      <c r="E489" s="11"/>
      <c r="F489" s="65"/>
      <c r="G489" s="12"/>
      <c r="H489" s="41"/>
      <c r="I489" s="30"/>
      <c r="J489" s="30"/>
      <c r="K489" s="30"/>
      <c r="L489" s="11"/>
      <c r="M489" s="11"/>
      <c r="N489" s="11"/>
      <c r="O489" s="11"/>
      <c r="P489" s="82"/>
    </row>
    <row r="490" spans="2:16" s="9" customFormat="1" x14ac:dyDescent="0.2">
      <c r="B490" s="10"/>
      <c r="C490" s="11"/>
      <c r="D490" s="63"/>
      <c r="E490" s="11"/>
      <c r="F490" s="65"/>
      <c r="G490" s="12"/>
      <c r="H490" s="41"/>
      <c r="I490" s="30"/>
      <c r="J490" s="30"/>
      <c r="K490" s="30"/>
      <c r="L490" s="11"/>
      <c r="M490" s="11"/>
      <c r="N490" s="11"/>
      <c r="O490" s="11"/>
      <c r="P490" s="82"/>
    </row>
    <row r="491" spans="2:16" s="9" customFormat="1" x14ac:dyDescent="0.2">
      <c r="B491" s="10"/>
      <c r="C491" s="11"/>
      <c r="D491" s="63"/>
      <c r="E491" s="11"/>
      <c r="F491" s="65"/>
      <c r="G491" s="12"/>
      <c r="H491" s="41"/>
      <c r="I491" s="30"/>
      <c r="J491" s="30"/>
      <c r="K491" s="30"/>
      <c r="L491" s="11"/>
      <c r="M491" s="11"/>
      <c r="N491" s="11"/>
      <c r="O491" s="11"/>
      <c r="P491" s="82"/>
    </row>
    <row r="492" spans="2:16" s="9" customFormat="1" x14ac:dyDescent="0.2">
      <c r="B492" s="10"/>
      <c r="C492" s="11"/>
      <c r="D492" s="63"/>
      <c r="E492" s="11"/>
      <c r="F492" s="65"/>
      <c r="G492" s="12"/>
      <c r="H492" s="41"/>
      <c r="I492" s="30"/>
      <c r="J492" s="30"/>
      <c r="K492" s="30"/>
      <c r="L492" s="11"/>
      <c r="M492" s="11"/>
      <c r="N492" s="11"/>
      <c r="O492" s="11"/>
      <c r="P492" s="82"/>
    </row>
    <row r="493" spans="2:16" s="9" customFormat="1" x14ac:dyDescent="0.2">
      <c r="B493" s="10"/>
      <c r="C493" s="11"/>
      <c r="D493" s="63"/>
      <c r="E493" s="11"/>
      <c r="F493" s="65"/>
      <c r="G493" s="12"/>
      <c r="H493" s="41"/>
      <c r="I493" s="30"/>
      <c r="J493" s="30"/>
      <c r="K493" s="30"/>
      <c r="L493" s="11"/>
      <c r="M493" s="11"/>
      <c r="N493" s="11"/>
      <c r="O493" s="11"/>
      <c r="P493" s="82"/>
    </row>
    <row r="494" spans="2:16" s="9" customFormat="1" x14ac:dyDescent="0.2">
      <c r="B494" s="10"/>
      <c r="C494" s="11"/>
      <c r="D494" s="63"/>
      <c r="E494" s="11"/>
      <c r="F494" s="65"/>
      <c r="G494" s="12"/>
      <c r="H494" s="41"/>
      <c r="I494" s="30"/>
      <c r="J494" s="30"/>
      <c r="K494" s="30"/>
      <c r="L494" s="11"/>
      <c r="M494" s="11"/>
      <c r="N494" s="11"/>
      <c r="O494" s="11"/>
      <c r="P494" s="82"/>
    </row>
    <row r="495" spans="2:16" s="9" customFormat="1" x14ac:dyDescent="0.2">
      <c r="B495" s="10"/>
      <c r="C495" s="11"/>
      <c r="D495" s="63"/>
      <c r="E495" s="11"/>
      <c r="F495" s="65"/>
      <c r="G495" s="12"/>
      <c r="H495" s="41"/>
      <c r="I495" s="30"/>
      <c r="J495" s="30"/>
      <c r="K495" s="30"/>
      <c r="L495" s="11"/>
      <c r="M495" s="11"/>
      <c r="N495" s="11"/>
      <c r="O495" s="11"/>
      <c r="P495" s="82"/>
    </row>
    <row r="496" spans="2:16" s="9" customFormat="1" x14ac:dyDescent="0.2">
      <c r="B496" s="10"/>
      <c r="C496" s="11"/>
      <c r="D496" s="63"/>
      <c r="E496" s="11"/>
      <c r="F496" s="65"/>
      <c r="G496" s="12"/>
      <c r="H496" s="41"/>
      <c r="I496" s="30"/>
      <c r="J496" s="30"/>
      <c r="K496" s="30"/>
      <c r="L496" s="11"/>
      <c r="M496" s="11"/>
      <c r="N496" s="11"/>
      <c r="O496" s="11"/>
      <c r="P496" s="82"/>
    </row>
    <row r="497" spans="2:16" s="9" customFormat="1" x14ac:dyDescent="0.2">
      <c r="B497" s="10"/>
      <c r="C497" s="11"/>
      <c r="D497" s="63"/>
      <c r="E497" s="11"/>
      <c r="F497" s="65"/>
      <c r="G497" s="12"/>
      <c r="H497" s="41"/>
      <c r="I497" s="30"/>
      <c r="J497" s="30"/>
      <c r="K497" s="30"/>
      <c r="L497" s="11"/>
      <c r="M497" s="11"/>
      <c r="N497" s="11"/>
      <c r="O497" s="11"/>
      <c r="P497" s="82"/>
    </row>
    <row r="498" spans="2:16" s="9" customFormat="1" x14ac:dyDescent="0.2">
      <c r="B498" s="10"/>
      <c r="C498" s="11"/>
      <c r="D498" s="63"/>
      <c r="E498" s="11"/>
      <c r="F498" s="65"/>
      <c r="G498" s="12"/>
      <c r="H498" s="41"/>
      <c r="I498" s="30"/>
      <c r="J498" s="30"/>
      <c r="K498" s="30"/>
      <c r="L498" s="11"/>
      <c r="M498" s="11"/>
      <c r="N498" s="11"/>
      <c r="O498" s="11"/>
      <c r="P498" s="82"/>
    </row>
    <row r="499" spans="2:16" s="9" customFormat="1" x14ac:dyDescent="0.2">
      <c r="B499" s="10"/>
      <c r="C499" s="11"/>
      <c r="D499" s="63"/>
      <c r="E499" s="11"/>
      <c r="F499" s="65"/>
      <c r="G499" s="12"/>
      <c r="H499" s="41"/>
      <c r="I499" s="30"/>
      <c r="J499" s="30"/>
      <c r="K499" s="30"/>
      <c r="L499" s="11"/>
      <c r="M499" s="11"/>
      <c r="N499" s="11"/>
      <c r="O499" s="11"/>
      <c r="P499" s="82"/>
    </row>
    <row r="500" spans="2:16" s="9" customFormat="1" x14ac:dyDescent="0.2">
      <c r="B500" s="10"/>
      <c r="C500" s="11"/>
      <c r="D500" s="63"/>
      <c r="E500" s="11"/>
      <c r="F500" s="65"/>
      <c r="G500" s="12"/>
      <c r="H500" s="41"/>
      <c r="I500" s="30"/>
      <c r="J500" s="30"/>
      <c r="K500" s="30"/>
      <c r="L500" s="11"/>
      <c r="M500" s="11"/>
      <c r="N500" s="11"/>
      <c r="O500" s="11"/>
      <c r="P500" s="82"/>
    </row>
    <row r="501" spans="2:16" s="9" customFormat="1" x14ac:dyDescent="0.2">
      <c r="B501" s="10"/>
      <c r="C501" s="11"/>
      <c r="D501" s="63"/>
      <c r="E501" s="11"/>
      <c r="F501" s="65"/>
      <c r="G501" s="12"/>
      <c r="H501" s="41"/>
      <c r="I501" s="30"/>
      <c r="J501" s="30"/>
      <c r="K501" s="30"/>
      <c r="L501" s="11"/>
      <c r="M501" s="11"/>
      <c r="N501" s="11"/>
      <c r="O501" s="11"/>
      <c r="P501" s="82"/>
    </row>
    <row r="502" spans="2:16" s="9" customFormat="1" x14ac:dyDescent="0.2">
      <c r="B502" s="10"/>
      <c r="C502" s="11"/>
      <c r="D502" s="63"/>
      <c r="E502" s="11"/>
      <c r="F502" s="65"/>
      <c r="G502" s="12"/>
      <c r="H502" s="41"/>
      <c r="I502" s="30"/>
      <c r="J502" s="30"/>
      <c r="K502" s="30"/>
      <c r="L502" s="11"/>
      <c r="M502" s="11"/>
      <c r="N502" s="11"/>
      <c r="O502" s="11"/>
      <c r="P502" s="82"/>
    </row>
    <row r="503" spans="2:16" s="9" customFormat="1" x14ac:dyDescent="0.2">
      <c r="B503" s="10"/>
      <c r="C503" s="11"/>
      <c r="D503" s="63"/>
      <c r="E503" s="11"/>
      <c r="F503" s="65"/>
      <c r="G503" s="12"/>
      <c r="H503" s="41"/>
      <c r="I503" s="30"/>
      <c r="J503" s="30"/>
      <c r="K503" s="30"/>
      <c r="L503" s="11"/>
      <c r="M503" s="11"/>
      <c r="N503" s="11"/>
      <c r="O503" s="11"/>
      <c r="P503" s="82"/>
    </row>
    <row r="504" spans="2:16" s="9" customFormat="1" x14ac:dyDescent="0.2">
      <c r="B504" s="10"/>
      <c r="C504" s="11"/>
      <c r="D504" s="63"/>
      <c r="E504" s="11"/>
      <c r="F504" s="65"/>
      <c r="G504" s="12"/>
      <c r="H504" s="41"/>
      <c r="I504" s="30"/>
      <c r="J504" s="30"/>
      <c r="K504" s="30"/>
      <c r="L504" s="11"/>
      <c r="M504" s="11"/>
      <c r="N504" s="11"/>
      <c r="O504" s="11"/>
      <c r="P504" s="82"/>
    </row>
    <row r="505" spans="2:16" s="9" customFormat="1" x14ac:dyDescent="0.2">
      <c r="B505" s="10"/>
      <c r="C505" s="11"/>
      <c r="D505" s="63"/>
      <c r="E505" s="11"/>
      <c r="F505" s="65"/>
      <c r="G505" s="12"/>
      <c r="H505" s="41"/>
      <c r="I505" s="30"/>
      <c r="J505" s="30"/>
      <c r="K505" s="30"/>
      <c r="L505" s="11"/>
      <c r="M505" s="11"/>
      <c r="N505" s="11"/>
      <c r="O505" s="11"/>
      <c r="P505" s="82"/>
    </row>
    <row r="506" spans="2:16" s="9" customFormat="1" x14ac:dyDescent="0.2">
      <c r="B506" s="10"/>
      <c r="C506" s="11"/>
      <c r="D506" s="63"/>
      <c r="E506" s="11"/>
      <c r="F506" s="65"/>
      <c r="G506" s="12"/>
      <c r="H506" s="41"/>
      <c r="I506" s="30"/>
      <c r="J506" s="30"/>
      <c r="K506" s="30"/>
      <c r="L506" s="11"/>
      <c r="M506" s="11"/>
      <c r="N506" s="11"/>
      <c r="O506" s="11"/>
      <c r="P506" s="82"/>
    </row>
    <row r="507" spans="2:16" s="9" customFormat="1" x14ac:dyDescent="0.2">
      <c r="B507" s="10"/>
      <c r="C507" s="11"/>
      <c r="D507" s="63"/>
      <c r="E507" s="11"/>
      <c r="F507" s="65"/>
      <c r="G507" s="12"/>
      <c r="H507" s="41"/>
      <c r="I507" s="30"/>
      <c r="J507" s="30"/>
      <c r="K507" s="30"/>
      <c r="L507" s="11"/>
      <c r="M507" s="11"/>
      <c r="N507" s="11"/>
      <c r="O507" s="11"/>
      <c r="P507" s="82"/>
    </row>
    <row r="508" spans="2:16" s="9" customFormat="1" x14ac:dyDescent="0.2">
      <c r="B508" s="10"/>
      <c r="C508" s="11"/>
      <c r="D508" s="63"/>
      <c r="E508" s="11"/>
      <c r="F508" s="65"/>
      <c r="G508" s="12"/>
      <c r="H508" s="41"/>
      <c r="I508" s="30"/>
      <c r="J508" s="30"/>
      <c r="K508" s="30"/>
      <c r="L508" s="11"/>
      <c r="M508" s="11"/>
      <c r="N508" s="11"/>
      <c r="O508" s="11"/>
      <c r="P508" s="82"/>
    </row>
    <row r="509" spans="2:16" s="9" customFormat="1" x14ac:dyDescent="0.2">
      <c r="B509" s="10"/>
      <c r="C509" s="11"/>
      <c r="D509" s="63"/>
      <c r="E509" s="11"/>
      <c r="F509" s="65"/>
      <c r="G509" s="12"/>
      <c r="H509" s="41"/>
      <c r="I509" s="30"/>
      <c r="J509" s="30"/>
      <c r="K509" s="30"/>
      <c r="L509" s="11"/>
      <c r="M509" s="11"/>
      <c r="N509" s="11"/>
      <c r="O509" s="11"/>
      <c r="P509" s="82"/>
    </row>
    <row r="510" spans="2:16" s="9" customFormat="1" x14ac:dyDescent="0.2">
      <c r="B510" s="10"/>
      <c r="C510" s="11"/>
      <c r="D510" s="63"/>
      <c r="E510" s="11"/>
      <c r="F510" s="65"/>
      <c r="G510" s="12"/>
      <c r="H510" s="41"/>
      <c r="I510" s="30"/>
      <c r="J510" s="30"/>
      <c r="K510" s="30"/>
      <c r="L510" s="11"/>
      <c r="M510" s="11"/>
      <c r="N510" s="11"/>
      <c r="O510" s="11"/>
      <c r="P510" s="82"/>
    </row>
    <row r="511" spans="2:16" s="9" customFormat="1" x14ac:dyDescent="0.2">
      <c r="B511" s="10"/>
      <c r="C511" s="11"/>
      <c r="D511" s="63"/>
      <c r="E511" s="11"/>
      <c r="F511" s="65"/>
      <c r="G511" s="12"/>
      <c r="H511" s="41"/>
      <c r="I511" s="30"/>
      <c r="J511" s="30"/>
      <c r="K511" s="30"/>
      <c r="L511" s="11"/>
      <c r="M511" s="11"/>
      <c r="N511" s="11"/>
      <c r="O511" s="11"/>
      <c r="P511" s="82"/>
    </row>
    <row r="512" spans="2:16" s="9" customFormat="1" x14ac:dyDescent="0.2">
      <c r="B512" s="10"/>
      <c r="C512" s="11"/>
      <c r="D512" s="63"/>
      <c r="E512" s="11"/>
      <c r="F512" s="65"/>
      <c r="G512" s="12"/>
      <c r="H512" s="41"/>
      <c r="I512" s="30"/>
      <c r="J512" s="30"/>
      <c r="K512" s="30"/>
      <c r="L512" s="11"/>
      <c r="M512" s="11"/>
      <c r="N512" s="11"/>
      <c r="O512" s="11"/>
      <c r="P512" s="82"/>
    </row>
    <row r="513" spans="2:16" s="9" customFormat="1" x14ac:dyDescent="0.2">
      <c r="B513" s="10"/>
      <c r="C513" s="11"/>
      <c r="D513" s="63"/>
      <c r="E513" s="11"/>
      <c r="F513" s="65"/>
      <c r="G513" s="12"/>
      <c r="H513" s="41"/>
      <c r="I513" s="30"/>
      <c r="J513" s="30"/>
      <c r="K513" s="30"/>
      <c r="L513" s="11"/>
      <c r="M513" s="11"/>
      <c r="N513" s="11"/>
      <c r="O513" s="11"/>
      <c r="P513" s="82"/>
    </row>
    <row r="514" spans="2:16" s="9" customFormat="1" x14ac:dyDescent="0.2">
      <c r="B514" s="10"/>
      <c r="C514" s="11"/>
      <c r="D514" s="63"/>
      <c r="E514" s="11"/>
      <c r="F514" s="65"/>
      <c r="G514" s="12"/>
      <c r="H514" s="41"/>
      <c r="I514" s="30"/>
      <c r="J514" s="30"/>
      <c r="K514" s="30"/>
      <c r="L514" s="11"/>
      <c r="M514" s="11"/>
      <c r="N514" s="11"/>
      <c r="O514" s="11"/>
      <c r="P514" s="82"/>
    </row>
    <row r="515" spans="2:16" s="9" customFormat="1" x14ac:dyDescent="0.2">
      <c r="B515" s="10"/>
      <c r="C515" s="11"/>
      <c r="D515" s="63"/>
      <c r="E515" s="11"/>
      <c r="F515" s="65"/>
      <c r="G515" s="12"/>
      <c r="H515" s="41"/>
      <c r="I515" s="30"/>
      <c r="J515" s="30"/>
      <c r="K515" s="30"/>
      <c r="L515" s="11"/>
      <c r="M515" s="11"/>
      <c r="N515" s="11"/>
      <c r="O515" s="11"/>
      <c r="P515" s="82"/>
    </row>
    <row r="516" spans="2:16" s="9" customFormat="1" x14ac:dyDescent="0.2">
      <c r="B516" s="10"/>
      <c r="C516" s="11"/>
      <c r="D516" s="63"/>
      <c r="E516" s="11"/>
      <c r="F516" s="65"/>
      <c r="G516" s="12"/>
      <c r="H516" s="41"/>
      <c r="I516" s="30"/>
      <c r="J516" s="30"/>
      <c r="K516" s="30"/>
      <c r="L516" s="11"/>
      <c r="M516" s="11"/>
      <c r="N516" s="11"/>
      <c r="O516" s="11"/>
      <c r="P516" s="82"/>
    </row>
    <row r="517" spans="2:16" s="9" customFormat="1" x14ac:dyDescent="0.2">
      <c r="B517" s="10"/>
      <c r="C517" s="11"/>
      <c r="D517" s="63"/>
      <c r="E517" s="11"/>
      <c r="F517" s="65"/>
      <c r="G517" s="12"/>
      <c r="H517" s="41"/>
      <c r="I517" s="30"/>
      <c r="J517" s="30"/>
      <c r="K517" s="30"/>
      <c r="L517" s="11"/>
      <c r="M517" s="11"/>
      <c r="N517" s="11"/>
      <c r="O517" s="11"/>
      <c r="P517" s="82"/>
    </row>
    <row r="518" spans="2:16" s="9" customFormat="1" x14ac:dyDescent="0.2">
      <c r="B518" s="10"/>
      <c r="C518" s="11"/>
      <c r="D518" s="63"/>
      <c r="E518" s="11"/>
      <c r="F518" s="65"/>
      <c r="G518" s="12"/>
      <c r="H518" s="41"/>
      <c r="I518" s="30"/>
      <c r="J518" s="30"/>
      <c r="K518" s="30"/>
      <c r="L518" s="11"/>
      <c r="M518" s="11"/>
      <c r="N518" s="11"/>
      <c r="O518" s="11"/>
      <c r="P518" s="82"/>
    </row>
    <row r="519" spans="2:16" s="9" customFormat="1" x14ac:dyDescent="0.2">
      <c r="B519" s="10"/>
      <c r="C519" s="11"/>
      <c r="D519" s="63"/>
      <c r="E519" s="11"/>
      <c r="F519" s="65"/>
      <c r="G519" s="12"/>
      <c r="H519" s="41"/>
      <c r="I519" s="30"/>
      <c r="J519" s="30"/>
      <c r="K519" s="30"/>
      <c r="L519" s="11"/>
      <c r="M519" s="11"/>
      <c r="N519" s="11"/>
      <c r="O519" s="11"/>
      <c r="P519" s="82"/>
    </row>
    <row r="520" spans="2:16" s="9" customFormat="1" x14ac:dyDescent="0.2">
      <c r="B520" s="10"/>
      <c r="C520" s="11"/>
      <c r="D520" s="63"/>
      <c r="E520" s="11"/>
      <c r="F520" s="65"/>
      <c r="G520" s="12"/>
      <c r="H520" s="41"/>
      <c r="I520" s="30"/>
      <c r="J520" s="30"/>
      <c r="K520" s="30"/>
      <c r="L520" s="11"/>
      <c r="M520" s="11"/>
      <c r="N520" s="11"/>
      <c r="O520" s="11"/>
      <c r="P520" s="82"/>
    </row>
    <row r="521" spans="2:16" s="9" customFormat="1" x14ac:dyDescent="0.2">
      <c r="B521" s="10"/>
      <c r="C521" s="11"/>
      <c r="D521" s="63"/>
      <c r="E521" s="11"/>
      <c r="F521" s="65"/>
      <c r="G521" s="12"/>
      <c r="H521" s="41"/>
      <c r="I521" s="30"/>
      <c r="J521" s="30"/>
      <c r="K521" s="30"/>
      <c r="L521" s="11"/>
      <c r="M521" s="11"/>
      <c r="N521" s="11"/>
      <c r="O521" s="11"/>
      <c r="P521" s="82"/>
    </row>
    <row r="522" spans="2:16" s="9" customFormat="1" x14ac:dyDescent="0.2">
      <c r="B522" s="10"/>
      <c r="C522" s="11"/>
      <c r="D522" s="63"/>
      <c r="E522" s="11"/>
      <c r="F522" s="65"/>
      <c r="G522" s="12"/>
      <c r="H522" s="41"/>
      <c r="I522" s="30"/>
      <c r="J522" s="30"/>
      <c r="K522" s="30"/>
      <c r="L522" s="11"/>
      <c r="M522" s="11"/>
      <c r="N522" s="11"/>
      <c r="O522" s="11"/>
      <c r="P522" s="82"/>
    </row>
    <row r="523" spans="2:16" s="9" customFormat="1" x14ac:dyDescent="0.2">
      <c r="B523" s="10"/>
      <c r="C523" s="11"/>
      <c r="D523" s="63"/>
      <c r="E523" s="11"/>
      <c r="F523" s="65"/>
      <c r="G523" s="12"/>
      <c r="H523" s="41"/>
      <c r="I523" s="30"/>
      <c r="J523" s="30"/>
      <c r="K523" s="30"/>
      <c r="L523" s="11"/>
      <c r="M523" s="11"/>
      <c r="N523" s="11"/>
      <c r="O523" s="11"/>
      <c r="P523" s="82"/>
    </row>
    <row r="524" spans="2:16" s="9" customFormat="1" x14ac:dyDescent="0.2">
      <c r="B524" s="10"/>
      <c r="C524" s="11"/>
      <c r="D524" s="63"/>
      <c r="E524" s="11"/>
      <c r="F524" s="65"/>
      <c r="G524" s="12"/>
      <c r="H524" s="41"/>
      <c r="I524" s="30"/>
      <c r="J524" s="30"/>
      <c r="K524" s="30"/>
      <c r="L524" s="11"/>
      <c r="M524" s="11"/>
      <c r="N524" s="11"/>
      <c r="O524" s="11"/>
      <c r="P524" s="82"/>
    </row>
    <row r="525" spans="2:16" s="9" customFormat="1" x14ac:dyDescent="0.2">
      <c r="B525" s="10"/>
      <c r="C525" s="11"/>
      <c r="D525" s="63"/>
      <c r="E525" s="11"/>
      <c r="F525" s="65"/>
      <c r="G525" s="12"/>
      <c r="H525" s="41"/>
      <c r="I525" s="30"/>
      <c r="J525" s="30"/>
      <c r="K525" s="30"/>
      <c r="L525" s="11"/>
      <c r="M525" s="11"/>
      <c r="N525" s="11"/>
      <c r="O525" s="11"/>
      <c r="P525" s="82"/>
    </row>
    <row r="526" spans="2:16" s="9" customFormat="1" x14ac:dyDescent="0.2">
      <c r="B526" s="10"/>
      <c r="C526" s="11"/>
      <c r="D526" s="63"/>
      <c r="E526" s="11"/>
      <c r="F526" s="65"/>
      <c r="G526" s="12"/>
      <c r="H526" s="41"/>
      <c r="I526" s="30"/>
      <c r="J526" s="30"/>
      <c r="K526" s="30"/>
      <c r="L526" s="11"/>
      <c r="M526" s="11"/>
      <c r="N526" s="11"/>
      <c r="O526" s="11"/>
      <c r="P526" s="82"/>
    </row>
    <row r="527" spans="2:16" s="9" customFormat="1" x14ac:dyDescent="0.2">
      <c r="B527" s="10"/>
      <c r="C527" s="11"/>
      <c r="D527" s="63"/>
      <c r="E527" s="11"/>
      <c r="F527" s="65"/>
      <c r="G527" s="12"/>
      <c r="H527" s="41"/>
      <c r="I527" s="30"/>
      <c r="J527" s="30"/>
      <c r="K527" s="30"/>
      <c r="L527" s="11"/>
      <c r="M527" s="11"/>
      <c r="N527" s="11"/>
      <c r="O527" s="11"/>
      <c r="P527" s="82"/>
    </row>
    <row r="528" spans="2:16" s="9" customFormat="1" x14ac:dyDescent="0.2">
      <c r="B528" s="10"/>
      <c r="C528" s="11"/>
      <c r="D528" s="63"/>
      <c r="E528" s="11"/>
      <c r="F528" s="65"/>
      <c r="G528" s="12"/>
      <c r="H528" s="41"/>
      <c r="I528" s="30"/>
      <c r="J528" s="30"/>
      <c r="K528" s="30"/>
      <c r="L528" s="11"/>
      <c r="M528" s="11"/>
      <c r="N528" s="11"/>
      <c r="O528" s="11"/>
      <c r="P528" s="82"/>
    </row>
    <row r="529" spans="2:16" s="9" customFormat="1" x14ac:dyDescent="0.2">
      <c r="B529" s="10"/>
      <c r="C529" s="11"/>
      <c r="D529" s="63"/>
      <c r="E529" s="11"/>
      <c r="F529" s="65"/>
      <c r="G529" s="12"/>
      <c r="H529" s="41"/>
      <c r="I529" s="30"/>
      <c r="J529" s="30"/>
      <c r="K529" s="30"/>
      <c r="L529" s="11"/>
      <c r="M529" s="11"/>
      <c r="N529" s="11"/>
      <c r="O529" s="11"/>
      <c r="P529" s="82"/>
    </row>
    <row r="530" spans="2:16" s="9" customFormat="1" x14ac:dyDescent="0.2">
      <c r="B530" s="10"/>
      <c r="C530" s="11"/>
      <c r="D530" s="63"/>
      <c r="E530" s="11"/>
      <c r="F530" s="65"/>
      <c r="G530" s="12"/>
      <c r="H530" s="41"/>
      <c r="I530" s="30"/>
      <c r="J530" s="30"/>
      <c r="K530" s="30"/>
      <c r="L530" s="11"/>
      <c r="M530" s="11"/>
      <c r="N530" s="11"/>
      <c r="O530" s="11"/>
      <c r="P530" s="82"/>
    </row>
    <row r="531" spans="2:16" s="9" customFormat="1" x14ac:dyDescent="0.2">
      <c r="B531" s="10"/>
      <c r="C531" s="11"/>
      <c r="D531" s="63"/>
      <c r="E531" s="11"/>
      <c r="F531" s="65"/>
      <c r="G531" s="12"/>
      <c r="H531" s="41"/>
      <c r="I531" s="30"/>
      <c r="J531" s="30"/>
      <c r="K531" s="30"/>
      <c r="L531" s="11"/>
      <c r="M531" s="11"/>
      <c r="N531" s="11"/>
      <c r="O531" s="11"/>
      <c r="P531" s="82"/>
    </row>
    <row r="532" spans="2:16" s="9" customFormat="1" x14ac:dyDescent="0.2">
      <c r="B532" s="10"/>
      <c r="C532" s="11"/>
      <c r="D532" s="63"/>
      <c r="E532" s="11"/>
      <c r="F532" s="65"/>
      <c r="G532" s="12"/>
      <c r="H532" s="41"/>
      <c r="I532" s="30"/>
      <c r="J532" s="30"/>
      <c r="K532" s="30"/>
      <c r="L532" s="11"/>
      <c r="M532" s="11"/>
      <c r="N532" s="11"/>
      <c r="O532" s="11"/>
      <c r="P532" s="82"/>
    </row>
    <row r="533" spans="2:16" s="9" customFormat="1" x14ac:dyDescent="0.2">
      <c r="B533" s="10"/>
      <c r="C533" s="11"/>
      <c r="D533" s="63"/>
      <c r="E533" s="11"/>
      <c r="F533" s="65"/>
      <c r="G533" s="12"/>
      <c r="H533" s="41"/>
      <c r="I533" s="30"/>
      <c r="J533" s="30"/>
      <c r="K533" s="30"/>
      <c r="L533" s="11"/>
      <c r="M533" s="11"/>
      <c r="N533" s="11"/>
      <c r="O533" s="11"/>
      <c r="P533" s="82"/>
    </row>
    <row r="534" spans="2:16" s="9" customFormat="1" x14ac:dyDescent="0.2">
      <c r="B534" s="10"/>
      <c r="C534" s="11"/>
      <c r="D534" s="63"/>
      <c r="E534" s="11"/>
      <c r="F534" s="65"/>
      <c r="G534" s="12"/>
      <c r="H534" s="41"/>
      <c r="I534" s="30"/>
      <c r="J534" s="30"/>
      <c r="K534" s="30"/>
      <c r="L534" s="11"/>
      <c r="M534" s="11"/>
      <c r="N534" s="11"/>
      <c r="O534" s="11"/>
      <c r="P534" s="82"/>
    </row>
    <row r="535" spans="2:16" s="9" customFormat="1" x14ac:dyDescent="0.2">
      <c r="B535" s="10"/>
      <c r="C535" s="11"/>
      <c r="D535" s="63"/>
      <c r="E535" s="11"/>
      <c r="F535" s="65"/>
      <c r="G535" s="12"/>
      <c r="H535" s="41"/>
      <c r="I535" s="30"/>
      <c r="J535" s="30"/>
      <c r="K535" s="30"/>
      <c r="L535" s="11"/>
      <c r="M535" s="11"/>
      <c r="N535" s="11"/>
      <c r="O535" s="11"/>
      <c r="P535" s="82"/>
    </row>
    <row r="536" spans="2:16" s="9" customFormat="1" x14ac:dyDescent="0.2">
      <c r="B536" s="10"/>
      <c r="C536" s="11"/>
      <c r="D536" s="63"/>
      <c r="E536" s="11"/>
      <c r="F536" s="65"/>
      <c r="G536" s="12"/>
      <c r="H536" s="41"/>
      <c r="I536" s="30"/>
      <c r="J536" s="30"/>
      <c r="K536" s="30"/>
      <c r="L536" s="11"/>
      <c r="M536" s="11"/>
      <c r="N536" s="11"/>
      <c r="O536" s="11"/>
      <c r="P536" s="82"/>
    </row>
    <row r="537" spans="2:16" s="9" customFormat="1" x14ac:dyDescent="0.2">
      <c r="B537" s="10"/>
      <c r="C537" s="11"/>
      <c r="D537" s="63"/>
      <c r="E537" s="11"/>
      <c r="F537" s="65"/>
      <c r="G537" s="12"/>
      <c r="H537" s="41"/>
      <c r="I537" s="30"/>
      <c r="J537" s="30"/>
      <c r="K537" s="30"/>
      <c r="L537" s="11"/>
      <c r="M537" s="11"/>
      <c r="N537" s="11"/>
      <c r="O537" s="11"/>
      <c r="P537" s="82"/>
    </row>
    <row r="538" spans="2:16" s="9" customFormat="1" x14ac:dyDescent="0.2">
      <c r="B538" s="10"/>
      <c r="C538" s="11"/>
      <c r="D538" s="63"/>
      <c r="E538" s="11"/>
      <c r="F538" s="65"/>
      <c r="G538" s="12"/>
      <c r="H538" s="41"/>
      <c r="I538" s="30"/>
      <c r="J538" s="30"/>
      <c r="K538" s="30"/>
      <c r="L538" s="11"/>
      <c r="M538" s="11"/>
      <c r="N538" s="11"/>
      <c r="O538" s="11"/>
      <c r="P538" s="82"/>
    </row>
    <row r="539" spans="2:16" s="9" customFormat="1" x14ac:dyDescent="0.2">
      <c r="B539" s="10"/>
      <c r="C539" s="11"/>
      <c r="D539" s="63"/>
      <c r="E539" s="11"/>
      <c r="F539" s="65"/>
      <c r="G539" s="12"/>
      <c r="H539" s="41"/>
      <c r="I539" s="30"/>
      <c r="J539" s="30"/>
      <c r="K539" s="30"/>
      <c r="L539" s="11"/>
      <c r="M539" s="11"/>
      <c r="N539" s="11"/>
      <c r="O539" s="11"/>
      <c r="P539" s="82"/>
    </row>
    <row r="540" spans="2:16" s="9" customFormat="1" x14ac:dyDescent="0.2">
      <c r="B540" s="10"/>
      <c r="C540" s="11"/>
      <c r="D540" s="63"/>
      <c r="E540" s="11"/>
      <c r="F540" s="65"/>
      <c r="G540" s="12"/>
      <c r="H540" s="41"/>
      <c r="I540" s="30"/>
      <c r="J540" s="30"/>
      <c r="K540" s="30"/>
      <c r="L540" s="11"/>
      <c r="M540" s="11"/>
      <c r="N540" s="11"/>
      <c r="O540" s="11"/>
      <c r="P540" s="82"/>
    </row>
    <row r="541" spans="2:16" s="9" customFormat="1" x14ac:dyDescent="0.2">
      <c r="B541" s="10"/>
      <c r="C541" s="11"/>
      <c r="D541" s="63"/>
      <c r="E541" s="11"/>
      <c r="F541" s="65"/>
      <c r="G541" s="12"/>
      <c r="H541" s="41"/>
      <c r="I541" s="30"/>
      <c r="J541" s="30"/>
      <c r="K541" s="30"/>
      <c r="L541" s="11"/>
      <c r="M541" s="11"/>
      <c r="N541" s="11"/>
      <c r="O541" s="11"/>
      <c r="P541" s="82"/>
    </row>
    <row r="542" spans="2:16" s="9" customFormat="1" x14ac:dyDescent="0.2">
      <c r="B542" s="10"/>
      <c r="C542" s="11"/>
      <c r="D542" s="63"/>
      <c r="E542" s="11"/>
      <c r="F542" s="65"/>
      <c r="G542" s="12"/>
      <c r="H542" s="41"/>
      <c r="I542" s="30"/>
      <c r="J542" s="30"/>
      <c r="K542" s="30"/>
      <c r="L542" s="11"/>
      <c r="M542" s="11"/>
      <c r="N542" s="11"/>
      <c r="O542" s="11"/>
      <c r="P542" s="82"/>
    </row>
    <row r="543" spans="2:16" s="9" customFormat="1" x14ac:dyDescent="0.2">
      <c r="B543" s="10"/>
      <c r="C543" s="11"/>
      <c r="D543" s="63"/>
      <c r="E543" s="11"/>
      <c r="F543" s="65"/>
      <c r="G543" s="12"/>
      <c r="H543" s="41"/>
      <c r="I543" s="30"/>
      <c r="J543" s="30"/>
      <c r="K543" s="30"/>
      <c r="L543" s="11"/>
      <c r="M543" s="11"/>
      <c r="N543" s="11"/>
      <c r="O543" s="11"/>
      <c r="P543" s="82"/>
    </row>
    <row r="544" spans="2:16" s="9" customFormat="1" x14ac:dyDescent="0.2">
      <c r="B544" s="10"/>
      <c r="C544" s="11"/>
      <c r="D544" s="63"/>
      <c r="E544" s="11"/>
      <c r="F544" s="65"/>
      <c r="G544" s="12"/>
      <c r="H544" s="41"/>
      <c r="I544" s="30"/>
      <c r="J544" s="30"/>
      <c r="K544" s="30"/>
      <c r="L544" s="11"/>
      <c r="M544" s="11"/>
      <c r="N544" s="11"/>
      <c r="O544" s="11"/>
      <c r="P544" s="82"/>
    </row>
    <row r="545" spans="2:16" s="9" customFormat="1" x14ac:dyDescent="0.2">
      <c r="B545" s="10"/>
      <c r="C545" s="11"/>
      <c r="D545" s="63"/>
      <c r="E545" s="11"/>
      <c r="F545" s="65"/>
      <c r="G545" s="12"/>
      <c r="H545" s="41"/>
      <c r="I545" s="30"/>
      <c r="J545" s="30"/>
      <c r="K545" s="30"/>
      <c r="L545" s="11"/>
      <c r="M545" s="11"/>
      <c r="N545" s="11"/>
      <c r="O545" s="11"/>
      <c r="P545" s="82"/>
    </row>
    <row r="546" spans="2:16" s="9" customFormat="1" x14ac:dyDescent="0.2">
      <c r="B546" s="10"/>
      <c r="C546" s="11"/>
      <c r="D546" s="63"/>
      <c r="E546" s="11"/>
      <c r="F546" s="65"/>
      <c r="G546" s="12"/>
      <c r="H546" s="41"/>
      <c r="I546" s="30"/>
      <c r="J546" s="30"/>
      <c r="K546" s="30"/>
      <c r="L546" s="11"/>
      <c r="M546" s="11"/>
      <c r="N546" s="11"/>
      <c r="O546" s="11"/>
      <c r="P546" s="82"/>
    </row>
    <row r="547" spans="2:16" s="9" customFormat="1" x14ac:dyDescent="0.2">
      <c r="B547" s="10"/>
      <c r="C547" s="11"/>
      <c r="D547" s="63"/>
      <c r="E547" s="11"/>
      <c r="F547" s="65"/>
      <c r="G547" s="12"/>
      <c r="H547" s="41"/>
      <c r="I547" s="30"/>
      <c r="J547" s="30"/>
      <c r="K547" s="30"/>
      <c r="L547" s="11"/>
      <c r="M547" s="11"/>
      <c r="N547" s="11"/>
      <c r="O547" s="11"/>
      <c r="P547" s="82"/>
    </row>
    <row r="548" spans="2:16" s="9" customFormat="1" x14ac:dyDescent="0.2">
      <c r="B548" s="10"/>
      <c r="C548" s="11"/>
      <c r="D548" s="63"/>
      <c r="E548" s="11"/>
      <c r="F548" s="65"/>
      <c r="G548" s="12"/>
      <c r="H548" s="41"/>
      <c r="I548" s="30"/>
      <c r="J548" s="30"/>
      <c r="K548" s="30"/>
      <c r="L548" s="11"/>
      <c r="M548" s="11"/>
      <c r="N548" s="11"/>
      <c r="O548" s="11"/>
      <c r="P548" s="82"/>
    </row>
    <row r="549" spans="2:16" s="9" customFormat="1" x14ac:dyDescent="0.2">
      <c r="B549" s="10"/>
      <c r="C549" s="11"/>
      <c r="D549" s="63"/>
      <c r="E549" s="11"/>
      <c r="F549" s="65"/>
      <c r="G549" s="12"/>
      <c r="H549" s="41"/>
      <c r="I549" s="30"/>
      <c r="J549" s="30"/>
      <c r="K549" s="30"/>
      <c r="L549" s="11"/>
      <c r="M549" s="11"/>
      <c r="N549" s="11"/>
      <c r="O549" s="11"/>
      <c r="P549" s="82"/>
    </row>
    <row r="550" spans="2:16" s="9" customFormat="1" x14ac:dyDescent="0.2">
      <c r="B550" s="10"/>
      <c r="C550" s="11"/>
      <c r="D550" s="63"/>
      <c r="E550" s="11"/>
      <c r="F550" s="65"/>
      <c r="G550" s="12"/>
      <c r="H550" s="41"/>
      <c r="I550" s="30"/>
      <c r="J550" s="30"/>
      <c r="K550" s="30"/>
      <c r="L550" s="11"/>
      <c r="M550" s="11"/>
      <c r="N550" s="11"/>
      <c r="O550" s="11"/>
      <c r="P550" s="82"/>
    </row>
    <row r="551" spans="2:16" s="9" customFormat="1" x14ac:dyDescent="0.2">
      <c r="B551" s="10"/>
      <c r="C551" s="11"/>
      <c r="D551" s="63"/>
      <c r="E551" s="11"/>
      <c r="F551" s="65"/>
      <c r="G551" s="12"/>
      <c r="H551" s="41"/>
      <c r="I551" s="30"/>
      <c r="J551" s="30"/>
      <c r="K551" s="30"/>
      <c r="L551" s="11"/>
      <c r="M551" s="11"/>
      <c r="N551" s="11"/>
      <c r="O551" s="11"/>
      <c r="P551" s="82"/>
    </row>
    <row r="552" spans="2:16" s="9" customFormat="1" x14ac:dyDescent="0.2">
      <c r="B552" s="10"/>
      <c r="C552" s="11"/>
      <c r="D552" s="63"/>
      <c r="E552" s="11"/>
      <c r="F552" s="65"/>
      <c r="G552" s="12"/>
      <c r="H552" s="41"/>
      <c r="I552" s="30"/>
      <c r="J552" s="30"/>
      <c r="K552" s="30"/>
      <c r="L552" s="11"/>
      <c r="M552" s="11"/>
      <c r="N552" s="11"/>
      <c r="O552" s="11"/>
      <c r="P552" s="82"/>
    </row>
    <row r="553" spans="2:16" s="9" customFormat="1" x14ac:dyDescent="0.2">
      <c r="B553" s="10"/>
      <c r="C553" s="11"/>
      <c r="D553" s="63"/>
      <c r="E553" s="11"/>
      <c r="F553" s="65"/>
      <c r="G553" s="12"/>
      <c r="H553" s="41"/>
      <c r="I553" s="30"/>
      <c r="J553" s="30"/>
      <c r="K553" s="30"/>
      <c r="L553" s="11"/>
      <c r="M553" s="11"/>
      <c r="N553" s="11"/>
      <c r="O553" s="11"/>
      <c r="P553" s="82"/>
    </row>
    <row r="554" spans="2:16" s="9" customFormat="1" x14ac:dyDescent="0.2">
      <c r="B554" s="10"/>
      <c r="C554" s="11"/>
      <c r="D554" s="63"/>
      <c r="E554" s="11"/>
      <c r="F554" s="65"/>
      <c r="G554" s="12"/>
      <c r="H554" s="41"/>
      <c r="I554" s="30"/>
      <c r="J554" s="30"/>
      <c r="K554" s="30"/>
      <c r="L554" s="11"/>
      <c r="M554" s="11"/>
      <c r="N554" s="11"/>
      <c r="O554" s="11"/>
      <c r="P554" s="82"/>
    </row>
    <row r="555" spans="2:16" s="9" customFormat="1" x14ac:dyDescent="0.2">
      <c r="B555" s="10"/>
      <c r="C555" s="11"/>
      <c r="D555" s="63"/>
      <c r="E555" s="11"/>
      <c r="F555" s="65"/>
      <c r="G555" s="12"/>
      <c r="H555" s="41"/>
      <c r="I555" s="30"/>
      <c r="J555" s="30"/>
      <c r="K555" s="30"/>
      <c r="L555" s="11"/>
      <c r="M555" s="11"/>
      <c r="N555" s="11"/>
      <c r="O555" s="11"/>
      <c r="P555" s="82"/>
    </row>
    <row r="556" spans="2:16" s="9" customFormat="1" x14ac:dyDescent="0.2">
      <c r="B556" s="10"/>
      <c r="C556" s="11"/>
      <c r="D556" s="63"/>
      <c r="E556" s="11"/>
      <c r="F556" s="65"/>
      <c r="G556" s="12"/>
      <c r="H556" s="41"/>
      <c r="I556" s="30"/>
      <c r="J556" s="30"/>
      <c r="K556" s="30"/>
      <c r="L556" s="11"/>
      <c r="M556" s="11"/>
      <c r="N556" s="11"/>
      <c r="O556" s="11"/>
      <c r="P556" s="82"/>
    </row>
    <row r="557" spans="2:16" s="9" customFormat="1" x14ac:dyDescent="0.2">
      <c r="B557" s="10"/>
      <c r="C557" s="11"/>
      <c r="D557" s="63"/>
      <c r="E557" s="11"/>
      <c r="F557" s="65"/>
      <c r="G557" s="12"/>
      <c r="H557" s="41"/>
      <c r="I557" s="30"/>
      <c r="J557" s="30"/>
      <c r="K557" s="30"/>
      <c r="L557" s="11"/>
      <c r="M557" s="11"/>
      <c r="N557" s="11"/>
      <c r="O557" s="11"/>
      <c r="P557" s="82"/>
    </row>
    <row r="558" spans="2:16" s="9" customFormat="1" x14ac:dyDescent="0.2">
      <c r="B558" s="10"/>
      <c r="C558" s="11"/>
      <c r="D558" s="63"/>
      <c r="E558" s="11"/>
      <c r="F558" s="65"/>
      <c r="G558" s="12"/>
      <c r="H558" s="41"/>
      <c r="I558" s="30"/>
      <c r="J558" s="30"/>
      <c r="K558" s="30"/>
      <c r="L558" s="11"/>
      <c r="M558" s="11"/>
      <c r="N558" s="11"/>
      <c r="O558" s="11"/>
      <c r="P558" s="82"/>
    </row>
    <row r="559" spans="2:16" s="9" customFormat="1" x14ac:dyDescent="0.2">
      <c r="B559" s="10"/>
      <c r="C559" s="11"/>
      <c r="D559" s="63"/>
      <c r="E559" s="11"/>
      <c r="F559" s="65"/>
      <c r="G559" s="12"/>
      <c r="H559" s="41"/>
      <c r="I559" s="30"/>
      <c r="J559" s="30"/>
      <c r="K559" s="30"/>
      <c r="L559" s="11"/>
      <c r="M559" s="11"/>
      <c r="N559" s="11"/>
      <c r="O559" s="11"/>
      <c r="P559" s="82"/>
    </row>
    <row r="560" spans="2:16" s="9" customFormat="1" x14ac:dyDescent="0.2">
      <c r="B560" s="10"/>
      <c r="C560" s="11"/>
      <c r="D560" s="63"/>
      <c r="E560" s="11"/>
      <c r="F560" s="65"/>
      <c r="G560" s="12"/>
      <c r="H560" s="41"/>
      <c r="I560" s="30"/>
      <c r="J560" s="30"/>
      <c r="K560" s="30"/>
      <c r="L560" s="11"/>
      <c r="M560" s="11"/>
      <c r="N560" s="11"/>
      <c r="O560" s="11"/>
      <c r="P560" s="82"/>
    </row>
    <row r="561" spans="2:16" s="9" customFormat="1" x14ac:dyDescent="0.2">
      <c r="B561" s="10"/>
      <c r="C561" s="11"/>
      <c r="D561" s="63"/>
      <c r="E561" s="11"/>
      <c r="F561" s="65"/>
      <c r="G561" s="12"/>
      <c r="H561" s="41"/>
      <c r="I561" s="30"/>
      <c r="J561" s="30"/>
      <c r="K561" s="30"/>
      <c r="L561" s="11"/>
      <c r="M561" s="11"/>
      <c r="N561" s="11"/>
      <c r="O561" s="11"/>
      <c r="P561" s="82"/>
    </row>
    <row r="562" spans="2:16" s="9" customFormat="1" x14ac:dyDescent="0.2">
      <c r="B562" s="10"/>
      <c r="C562" s="11"/>
      <c r="D562" s="63"/>
      <c r="E562" s="11"/>
      <c r="F562" s="65"/>
      <c r="G562" s="12"/>
      <c r="H562" s="41"/>
      <c r="I562" s="30"/>
      <c r="J562" s="30"/>
      <c r="K562" s="30"/>
      <c r="L562" s="11"/>
      <c r="M562" s="11"/>
      <c r="N562" s="11"/>
      <c r="O562" s="11"/>
      <c r="P562" s="82"/>
    </row>
    <row r="563" spans="2:16" s="9" customFormat="1" x14ac:dyDescent="0.2">
      <c r="B563" s="10"/>
      <c r="C563" s="11"/>
      <c r="D563" s="63"/>
      <c r="E563" s="11"/>
      <c r="F563" s="65"/>
      <c r="G563" s="12"/>
      <c r="H563" s="41"/>
      <c r="I563" s="30"/>
      <c r="J563" s="30"/>
      <c r="K563" s="30"/>
      <c r="L563" s="11"/>
      <c r="M563" s="11"/>
      <c r="N563" s="11"/>
      <c r="O563" s="11"/>
      <c r="P563" s="82"/>
    </row>
    <row r="564" spans="2:16" s="9" customFormat="1" x14ac:dyDescent="0.2">
      <c r="B564" s="10"/>
      <c r="C564" s="11"/>
      <c r="D564" s="63"/>
      <c r="E564" s="11"/>
      <c r="F564" s="65"/>
      <c r="G564" s="12"/>
      <c r="H564" s="41"/>
      <c r="I564" s="30"/>
      <c r="J564" s="30"/>
      <c r="K564" s="30"/>
      <c r="L564" s="11"/>
      <c r="M564" s="11"/>
      <c r="N564" s="11"/>
      <c r="O564" s="11"/>
      <c r="P564" s="82"/>
    </row>
    <row r="565" spans="2:16" s="9" customFormat="1" x14ac:dyDescent="0.2">
      <c r="B565" s="10"/>
      <c r="C565" s="11"/>
      <c r="D565" s="63"/>
      <c r="E565" s="11"/>
      <c r="F565" s="65"/>
      <c r="G565" s="12"/>
      <c r="H565" s="41"/>
      <c r="I565" s="30"/>
      <c r="J565" s="30"/>
      <c r="K565" s="30"/>
      <c r="L565" s="11"/>
      <c r="M565" s="11"/>
      <c r="N565" s="11"/>
      <c r="O565" s="11"/>
      <c r="P565" s="82"/>
    </row>
    <row r="566" spans="2:16" s="9" customFormat="1" x14ac:dyDescent="0.2">
      <c r="B566" s="10"/>
      <c r="C566" s="11"/>
      <c r="D566" s="63"/>
      <c r="E566" s="11"/>
      <c r="F566" s="65"/>
      <c r="G566" s="12"/>
      <c r="H566" s="41"/>
      <c r="I566" s="30"/>
      <c r="J566" s="30"/>
      <c r="K566" s="30"/>
      <c r="L566" s="11"/>
      <c r="M566" s="11"/>
      <c r="N566" s="11"/>
      <c r="O566" s="11"/>
      <c r="P566" s="82"/>
    </row>
    <row r="567" spans="2:16" s="9" customFormat="1" x14ac:dyDescent="0.2">
      <c r="B567" s="10"/>
      <c r="C567" s="11"/>
      <c r="D567" s="63"/>
      <c r="E567" s="11"/>
      <c r="F567" s="65"/>
      <c r="G567" s="12"/>
      <c r="H567" s="41"/>
      <c r="I567" s="30"/>
      <c r="J567" s="30"/>
      <c r="K567" s="30"/>
      <c r="L567" s="11"/>
      <c r="M567" s="11"/>
      <c r="N567" s="11"/>
      <c r="O567" s="11"/>
      <c r="P567" s="82"/>
    </row>
    <row r="568" spans="2:16" s="9" customFormat="1" x14ac:dyDescent="0.2">
      <c r="B568" s="10"/>
      <c r="C568" s="11"/>
      <c r="D568" s="63"/>
      <c r="E568" s="11"/>
      <c r="F568" s="65"/>
      <c r="G568" s="12"/>
      <c r="H568" s="41"/>
      <c r="I568" s="30"/>
      <c r="J568" s="30"/>
      <c r="K568" s="30"/>
      <c r="L568" s="11"/>
      <c r="M568" s="11"/>
      <c r="N568" s="11"/>
      <c r="O568" s="11"/>
      <c r="P568" s="82"/>
    </row>
    <row r="569" spans="2:16" s="9" customFormat="1" x14ac:dyDescent="0.2">
      <c r="B569" s="10"/>
      <c r="C569" s="11"/>
      <c r="D569" s="63"/>
      <c r="E569" s="11"/>
      <c r="F569" s="65"/>
      <c r="G569" s="12"/>
      <c r="H569" s="41"/>
      <c r="I569" s="30"/>
      <c r="J569" s="30"/>
      <c r="K569" s="30"/>
      <c r="L569" s="11"/>
      <c r="M569" s="11"/>
      <c r="N569" s="11"/>
      <c r="O569" s="11"/>
      <c r="P569" s="82"/>
    </row>
    <row r="570" spans="2:16" s="9" customFormat="1" x14ac:dyDescent="0.2">
      <c r="B570" s="10"/>
      <c r="C570" s="11"/>
      <c r="D570" s="63"/>
      <c r="E570" s="11"/>
      <c r="F570" s="65"/>
      <c r="G570" s="12"/>
      <c r="H570" s="41"/>
      <c r="I570" s="30"/>
      <c r="J570" s="30"/>
      <c r="K570" s="30"/>
      <c r="L570" s="11"/>
      <c r="M570" s="11"/>
      <c r="N570" s="11"/>
      <c r="O570" s="11"/>
      <c r="P570" s="82"/>
    </row>
    <row r="571" spans="2:16" s="9" customFormat="1" x14ac:dyDescent="0.2">
      <c r="B571" s="10"/>
      <c r="C571" s="11"/>
      <c r="D571" s="63"/>
      <c r="E571" s="11"/>
      <c r="F571" s="65"/>
      <c r="G571" s="12"/>
      <c r="H571" s="41"/>
      <c r="I571" s="30"/>
      <c r="J571" s="30"/>
      <c r="K571" s="30"/>
      <c r="L571" s="11"/>
      <c r="M571" s="11"/>
      <c r="N571" s="11"/>
      <c r="O571" s="11"/>
      <c r="P571" s="82"/>
    </row>
    <row r="572" spans="2:16" s="9" customFormat="1" x14ac:dyDescent="0.2">
      <c r="B572" s="10"/>
      <c r="C572" s="11"/>
      <c r="D572" s="63"/>
      <c r="E572" s="11"/>
      <c r="F572" s="65"/>
      <c r="G572" s="12"/>
      <c r="H572" s="41"/>
      <c r="I572" s="30"/>
      <c r="J572" s="30"/>
      <c r="K572" s="30"/>
      <c r="L572" s="11"/>
      <c r="M572" s="11"/>
      <c r="N572" s="11"/>
      <c r="O572" s="11"/>
      <c r="P572" s="82"/>
    </row>
    <row r="573" spans="2:16" s="9" customFormat="1" x14ac:dyDescent="0.2">
      <c r="B573" s="10"/>
      <c r="C573" s="11"/>
      <c r="D573" s="63"/>
      <c r="E573" s="11"/>
      <c r="F573" s="65"/>
      <c r="G573" s="12"/>
      <c r="H573" s="41"/>
      <c r="I573" s="30"/>
      <c r="J573" s="30"/>
      <c r="K573" s="30"/>
      <c r="L573" s="11"/>
      <c r="M573" s="11"/>
      <c r="N573" s="11"/>
      <c r="O573" s="11"/>
      <c r="P573" s="82"/>
    </row>
    <row r="574" spans="2:16" s="9" customFormat="1" x14ac:dyDescent="0.2">
      <c r="B574" s="10"/>
      <c r="C574" s="11"/>
      <c r="D574" s="63"/>
      <c r="E574" s="11"/>
      <c r="F574" s="65"/>
      <c r="G574" s="12"/>
      <c r="H574" s="41"/>
      <c r="I574" s="30"/>
      <c r="J574" s="30"/>
      <c r="K574" s="30"/>
      <c r="L574" s="11"/>
      <c r="M574" s="11"/>
      <c r="N574" s="11"/>
      <c r="O574" s="11"/>
      <c r="P574" s="82"/>
    </row>
    <row r="575" spans="2:16" s="9" customFormat="1" x14ac:dyDescent="0.2">
      <c r="B575" s="10"/>
      <c r="C575" s="11"/>
      <c r="D575" s="63"/>
      <c r="E575" s="11"/>
      <c r="F575" s="65"/>
      <c r="G575" s="12"/>
      <c r="H575" s="41"/>
      <c r="I575" s="30"/>
      <c r="J575" s="30"/>
      <c r="K575" s="30"/>
      <c r="L575" s="11"/>
      <c r="M575" s="11"/>
      <c r="N575" s="11"/>
      <c r="O575" s="11"/>
      <c r="P575" s="82"/>
    </row>
    <row r="576" spans="2:16" s="9" customFormat="1" x14ac:dyDescent="0.2">
      <c r="B576" s="10"/>
      <c r="C576" s="11"/>
      <c r="D576" s="63"/>
      <c r="E576" s="11"/>
      <c r="F576" s="65"/>
      <c r="G576" s="12"/>
      <c r="H576" s="41"/>
      <c r="I576" s="30"/>
      <c r="J576" s="30"/>
      <c r="K576" s="30"/>
      <c r="L576" s="11"/>
      <c r="M576" s="11"/>
      <c r="N576" s="11"/>
      <c r="O576" s="11"/>
      <c r="P576" s="82"/>
    </row>
    <row r="577" spans="2:16" s="9" customFormat="1" x14ac:dyDescent="0.2">
      <c r="B577" s="10"/>
      <c r="C577" s="11"/>
      <c r="D577" s="63"/>
      <c r="E577" s="11"/>
      <c r="F577" s="65"/>
      <c r="G577" s="12"/>
      <c r="H577" s="41"/>
      <c r="I577" s="30"/>
      <c r="J577" s="30"/>
      <c r="K577" s="30"/>
      <c r="L577" s="11"/>
      <c r="M577" s="11"/>
      <c r="N577" s="11"/>
      <c r="O577" s="11"/>
      <c r="P577" s="82"/>
    </row>
    <row r="578" spans="2:16" s="9" customFormat="1" x14ac:dyDescent="0.2">
      <c r="B578" s="10"/>
      <c r="C578" s="11"/>
      <c r="D578" s="63"/>
      <c r="E578" s="11"/>
      <c r="F578" s="65"/>
      <c r="G578" s="12"/>
      <c r="H578" s="41"/>
      <c r="I578" s="30"/>
      <c r="J578" s="30"/>
      <c r="K578" s="30"/>
      <c r="L578" s="11"/>
      <c r="M578" s="11"/>
      <c r="N578" s="11"/>
      <c r="O578" s="11"/>
      <c r="P578" s="82"/>
    </row>
    <row r="579" spans="2:16" s="9" customFormat="1" x14ac:dyDescent="0.2">
      <c r="B579" s="10"/>
      <c r="C579" s="11"/>
      <c r="D579" s="63"/>
      <c r="E579" s="11"/>
      <c r="F579" s="65"/>
      <c r="G579" s="12"/>
      <c r="H579" s="41"/>
      <c r="I579" s="30"/>
      <c r="J579" s="30"/>
      <c r="K579" s="30"/>
      <c r="L579" s="11"/>
      <c r="M579" s="11"/>
      <c r="N579" s="11"/>
      <c r="O579" s="11"/>
      <c r="P579" s="82"/>
    </row>
    <row r="580" spans="2:16" s="9" customFormat="1" x14ac:dyDescent="0.2">
      <c r="B580" s="10"/>
      <c r="C580" s="11"/>
      <c r="D580" s="63"/>
      <c r="E580" s="11"/>
      <c r="F580" s="65"/>
      <c r="G580" s="12"/>
      <c r="H580" s="41"/>
      <c r="I580" s="30"/>
      <c r="J580" s="30"/>
      <c r="K580" s="30"/>
      <c r="L580" s="11"/>
      <c r="M580" s="11"/>
      <c r="N580" s="11"/>
      <c r="O580" s="11"/>
      <c r="P580" s="82"/>
    </row>
    <row r="581" spans="2:16" s="9" customFormat="1" x14ac:dyDescent="0.2">
      <c r="B581" s="10"/>
      <c r="C581" s="11"/>
      <c r="D581" s="63"/>
      <c r="E581" s="11"/>
      <c r="F581" s="65"/>
      <c r="G581" s="12"/>
      <c r="H581" s="41"/>
      <c r="I581" s="30"/>
      <c r="J581" s="30"/>
      <c r="K581" s="30"/>
      <c r="L581" s="11"/>
      <c r="M581" s="11"/>
      <c r="N581" s="11"/>
      <c r="O581" s="11"/>
      <c r="P581" s="82"/>
    </row>
    <row r="582" spans="2:16" s="9" customFormat="1" x14ac:dyDescent="0.2">
      <c r="B582" s="10"/>
      <c r="C582" s="11"/>
      <c r="D582" s="63"/>
      <c r="E582" s="11"/>
      <c r="F582" s="65"/>
      <c r="G582" s="12"/>
      <c r="H582" s="41"/>
      <c r="I582" s="30"/>
      <c r="J582" s="30"/>
      <c r="K582" s="30"/>
      <c r="L582" s="11"/>
      <c r="M582" s="11"/>
      <c r="N582" s="11"/>
      <c r="O582" s="11"/>
      <c r="P582" s="82"/>
    </row>
    <row r="583" spans="2:16" s="9" customFormat="1" x14ac:dyDescent="0.2">
      <c r="B583" s="10"/>
      <c r="C583" s="11"/>
      <c r="D583" s="63"/>
      <c r="E583" s="11"/>
      <c r="F583" s="65"/>
      <c r="G583" s="12"/>
      <c r="H583" s="41"/>
      <c r="I583" s="30"/>
      <c r="J583" s="30"/>
      <c r="K583" s="30"/>
      <c r="L583" s="11"/>
      <c r="M583" s="11"/>
      <c r="N583" s="11"/>
      <c r="O583" s="11"/>
      <c r="P583" s="82"/>
    </row>
    <row r="584" spans="2:16" s="9" customFormat="1" x14ac:dyDescent="0.2">
      <c r="B584" s="10"/>
      <c r="C584" s="11"/>
      <c r="D584" s="63"/>
      <c r="E584" s="11"/>
      <c r="F584" s="65"/>
      <c r="G584" s="12"/>
      <c r="H584" s="41"/>
      <c r="I584" s="30"/>
      <c r="J584" s="30"/>
      <c r="K584" s="30"/>
      <c r="L584" s="11"/>
      <c r="M584" s="11"/>
      <c r="N584" s="11"/>
      <c r="O584" s="11"/>
      <c r="P584" s="82"/>
    </row>
    <row r="585" spans="2:16" s="9" customFormat="1" x14ac:dyDescent="0.2">
      <c r="B585" s="10"/>
      <c r="C585" s="11"/>
      <c r="D585" s="63"/>
      <c r="E585" s="11"/>
      <c r="F585" s="65"/>
      <c r="G585" s="12"/>
      <c r="H585" s="41"/>
      <c r="I585" s="30"/>
      <c r="J585" s="30"/>
      <c r="K585" s="30"/>
      <c r="L585" s="11"/>
      <c r="M585" s="11"/>
      <c r="N585" s="11"/>
      <c r="O585" s="11"/>
      <c r="P585" s="82"/>
    </row>
    <row r="586" spans="2:16" s="9" customFormat="1" x14ac:dyDescent="0.2">
      <c r="B586" s="10"/>
      <c r="C586" s="11"/>
      <c r="D586" s="63"/>
      <c r="E586" s="11"/>
      <c r="F586" s="65"/>
      <c r="G586" s="12"/>
      <c r="H586" s="41"/>
      <c r="I586" s="30"/>
      <c r="J586" s="30"/>
      <c r="K586" s="30"/>
      <c r="L586" s="11"/>
      <c r="M586" s="11"/>
      <c r="N586" s="11"/>
      <c r="O586" s="11"/>
      <c r="P586" s="82"/>
    </row>
    <row r="587" spans="2:16" s="9" customFormat="1" x14ac:dyDescent="0.2">
      <c r="B587" s="10"/>
      <c r="C587" s="11"/>
      <c r="D587" s="63"/>
      <c r="E587" s="11"/>
      <c r="F587" s="65"/>
      <c r="G587" s="12"/>
      <c r="H587" s="41"/>
      <c r="I587" s="30"/>
      <c r="J587" s="30"/>
      <c r="K587" s="30"/>
      <c r="L587" s="11"/>
      <c r="M587" s="11"/>
      <c r="N587" s="11"/>
      <c r="O587" s="11"/>
      <c r="P587" s="82"/>
    </row>
    <row r="588" spans="2:16" s="9" customFormat="1" x14ac:dyDescent="0.2">
      <c r="B588" s="10"/>
      <c r="C588" s="11"/>
      <c r="D588" s="63"/>
      <c r="E588" s="11"/>
      <c r="F588" s="65"/>
      <c r="G588" s="12"/>
      <c r="H588" s="41"/>
      <c r="I588" s="30"/>
      <c r="J588" s="30"/>
      <c r="K588" s="30"/>
      <c r="L588" s="11"/>
      <c r="M588" s="11"/>
      <c r="N588" s="11"/>
      <c r="O588" s="11"/>
      <c r="P588" s="82"/>
    </row>
    <row r="589" spans="2:16" s="9" customFormat="1" x14ac:dyDescent="0.2">
      <c r="B589" s="10"/>
      <c r="C589" s="11"/>
      <c r="D589" s="63"/>
      <c r="E589" s="11"/>
      <c r="F589" s="65"/>
      <c r="G589" s="12"/>
      <c r="H589" s="41"/>
      <c r="I589" s="30"/>
      <c r="J589" s="30"/>
      <c r="K589" s="30"/>
      <c r="L589" s="11"/>
      <c r="M589" s="11"/>
      <c r="N589" s="11"/>
      <c r="O589" s="11"/>
      <c r="P589" s="82"/>
    </row>
    <row r="590" spans="2:16" s="9" customFormat="1" x14ac:dyDescent="0.2">
      <c r="B590" s="10"/>
      <c r="C590" s="11"/>
      <c r="D590" s="63"/>
      <c r="E590" s="11"/>
      <c r="F590" s="65"/>
      <c r="G590" s="12"/>
      <c r="H590" s="41"/>
      <c r="I590" s="30"/>
      <c r="J590" s="30"/>
      <c r="K590" s="30"/>
      <c r="L590" s="11"/>
      <c r="M590" s="11"/>
      <c r="N590" s="11"/>
      <c r="O590" s="11"/>
      <c r="P590" s="82"/>
    </row>
    <row r="591" spans="2:16" s="9" customFormat="1" x14ac:dyDescent="0.2">
      <c r="B591" s="10"/>
      <c r="C591" s="11"/>
      <c r="D591" s="63"/>
      <c r="E591" s="11"/>
      <c r="F591" s="65"/>
      <c r="G591" s="12"/>
      <c r="H591" s="41"/>
      <c r="I591" s="30"/>
      <c r="J591" s="30"/>
      <c r="K591" s="30"/>
      <c r="L591" s="11"/>
      <c r="M591" s="11"/>
      <c r="N591" s="11"/>
      <c r="O591" s="11"/>
      <c r="P591" s="82"/>
    </row>
    <row r="592" spans="2:16" s="9" customFormat="1" x14ac:dyDescent="0.2">
      <c r="B592" s="10"/>
      <c r="C592" s="11"/>
      <c r="D592" s="63"/>
      <c r="E592" s="11"/>
      <c r="F592" s="65"/>
      <c r="G592" s="12"/>
      <c r="H592" s="41"/>
      <c r="I592" s="30"/>
      <c r="J592" s="30"/>
      <c r="K592" s="30"/>
      <c r="L592" s="11"/>
      <c r="M592" s="11"/>
      <c r="N592" s="11"/>
      <c r="O592" s="11"/>
      <c r="P592" s="82"/>
    </row>
    <row r="593" spans="2:16" s="9" customFormat="1" x14ac:dyDescent="0.2">
      <c r="B593" s="10"/>
      <c r="C593" s="11"/>
      <c r="D593" s="63"/>
      <c r="E593" s="11"/>
      <c r="F593" s="65"/>
      <c r="G593" s="12"/>
      <c r="H593" s="41"/>
      <c r="I593" s="30"/>
      <c r="J593" s="30"/>
      <c r="K593" s="30"/>
      <c r="L593" s="11"/>
      <c r="M593" s="11"/>
      <c r="N593" s="11"/>
      <c r="O593" s="11"/>
      <c r="P593" s="82"/>
    </row>
    <row r="594" spans="2:16" s="9" customFormat="1" x14ac:dyDescent="0.2">
      <c r="B594" s="10"/>
      <c r="C594" s="11"/>
      <c r="D594" s="63"/>
      <c r="E594" s="11"/>
      <c r="F594" s="65"/>
      <c r="G594" s="12"/>
      <c r="H594" s="41"/>
      <c r="I594" s="30"/>
      <c r="J594" s="30"/>
      <c r="K594" s="30"/>
      <c r="L594" s="11"/>
      <c r="M594" s="11"/>
      <c r="N594" s="11"/>
      <c r="O594" s="11"/>
      <c r="P594" s="82"/>
    </row>
    <row r="595" spans="2:16" s="9" customFormat="1" x14ac:dyDescent="0.2">
      <c r="B595" s="10"/>
      <c r="C595" s="11"/>
      <c r="D595" s="63"/>
      <c r="E595" s="11"/>
      <c r="F595" s="65"/>
      <c r="G595" s="12"/>
      <c r="H595" s="41"/>
      <c r="I595" s="30"/>
      <c r="J595" s="30"/>
      <c r="K595" s="30"/>
      <c r="L595" s="11"/>
      <c r="M595" s="11"/>
      <c r="N595" s="11"/>
      <c r="O595" s="11"/>
      <c r="P595" s="82"/>
    </row>
    <row r="596" spans="2:16" s="9" customFormat="1" x14ac:dyDescent="0.2">
      <c r="B596" s="10"/>
      <c r="C596" s="11"/>
      <c r="D596" s="63"/>
      <c r="E596" s="11"/>
      <c r="F596" s="65"/>
      <c r="G596" s="12"/>
      <c r="H596" s="41"/>
      <c r="I596" s="30"/>
      <c r="J596" s="30"/>
      <c r="K596" s="30"/>
      <c r="L596" s="11"/>
      <c r="M596" s="11"/>
      <c r="N596" s="11"/>
      <c r="O596" s="11"/>
      <c r="P596" s="82"/>
    </row>
    <row r="597" spans="2:16" s="9" customFormat="1" x14ac:dyDescent="0.2">
      <c r="B597" s="10"/>
      <c r="C597" s="11"/>
      <c r="D597" s="63"/>
      <c r="E597" s="11"/>
      <c r="F597" s="65"/>
      <c r="G597" s="12"/>
      <c r="H597" s="41"/>
      <c r="I597" s="30"/>
      <c r="J597" s="30"/>
      <c r="K597" s="30"/>
      <c r="L597" s="11"/>
      <c r="M597" s="11"/>
      <c r="N597" s="11"/>
      <c r="O597" s="11"/>
      <c r="P597" s="82"/>
    </row>
    <row r="598" spans="2:16" s="9" customFormat="1" x14ac:dyDescent="0.2">
      <c r="B598" s="10"/>
      <c r="C598" s="11"/>
      <c r="D598" s="63"/>
      <c r="E598" s="11"/>
      <c r="F598" s="65"/>
      <c r="G598" s="12"/>
      <c r="H598" s="41"/>
      <c r="I598" s="30"/>
      <c r="J598" s="30"/>
      <c r="K598" s="30"/>
      <c r="L598" s="11"/>
      <c r="M598" s="11"/>
      <c r="N598" s="11"/>
      <c r="O598" s="11"/>
      <c r="P598" s="82"/>
    </row>
    <row r="599" spans="2:16" s="9" customFormat="1" x14ac:dyDescent="0.2">
      <c r="B599" s="10"/>
      <c r="C599" s="11"/>
      <c r="D599" s="63"/>
      <c r="E599" s="11"/>
      <c r="F599" s="65"/>
      <c r="G599" s="12"/>
      <c r="H599" s="41"/>
      <c r="I599" s="30"/>
      <c r="J599" s="30"/>
      <c r="K599" s="30"/>
      <c r="L599" s="11"/>
      <c r="M599" s="11"/>
      <c r="N599" s="11"/>
      <c r="O599" s="11"/>
      <c r="P599" s="82"/>
    </row>
    <row r="600" spans="2:16" s="9" customFormat="1" x14ac:dyDescent="0.2">
      <c r="B600" s="10"/>
      <c r="C600" s="11"/>
      <c r="D600" s="63"/>
      <c r="E600" s="11"/>
      <c r="F600" s="65"/>
      <c r="G600" s="12"/>
      <c r="H600" s="41"/>
      <c r="I600" s="30"/>
      <c r="J600" s="30"/>
      <c r="K600" s="30"/>
      <c r="L600" s="11"/>
      <c r="M600" s="11"/>
      <c r="N600" s="11"/>
      <c r="O600" s="11"/>
      <c r="P600" s="82"/>
    </row>
    <row r="601" spans="2:16" s="9" customFormat="1" x14ac:dyDescent="0.2">
      <c r="B601" s="10"/>
      <c r="C601" s="11"/>
      <c r="D601" s="63"/>
      <c r="E601" s="11"/>
      <c r="F601" s="65"/>
      <c r="G601" s="12"/>
      <c r="H601" s="41"/>
      <c r="I601" s="30"/>
      <c r="J601" s="30"/>
      <c r="K601" s="30"/>
      <c r="L601" s="11"/>
      <c r="M601" s="11"/>
      <c r="N601" s="11"/>
      <c r="O601" s="11"/>
      <c r="P601" s="82"/>
    </row>
    <row r="602" spans="2:16" s="9" customFormat="1" x14ac:dyDescent="0.2">
      <c r="B602" s="10"/>
      <c r="C602" s="11"/>
      <c r="D602" s="63"/>
      <c r="E602" s="11"/>
      <c r="F602" s="65"/>
      <c r="G602" s="12"/>
      <c r="H602" s="41"/>
      <c r="I602" s="30"/>
      <c r="J602" s="30"/>
      <c r="K602" s="30"/>
      <c r="L602" s="11"/>
      <c r="M602" s="11"/>
      <c r="N602" s="11"/>
      <c r="O602" s="11"/>
      <c r="P602" s="82"/>
    </row>
    <row r="603" spans="2:16" s="9" customFormat="1" x14ac:dyDescent="0.2">
      <c r="B603" s="10"/>
      <c r="C603" s="11"/>
      <c r="D603" s="63"/>
      <c r="E603" s="11"/>
      <c r="F603" s="65"/>
      <c r="G603" s="12"/>
      <c r="H603" s="41"/>
      <c r="I603" s="30"/>
      <c r="J603" s="30"/>
      <c r="K603" s="30"/>
      <c r="L603" s="11"/>
      <c r="M603" s="11"/>
      <c r="N603" s="11"/>
      <c r="O603" s="11"/>
      <c r="P603" s="82"/>
    </row>
    <row r="604" spans="2:16" s="9" customFormat="1" x14ac:dyDescent="0.2">
      <c r="B604" s="10"/>
      <c r="C604" s="11"/>
      <c r="D604" s="63"/>
      <c r="E604" s="11"/>
      <c r="F604" s="65"/>
      <c r="G604" s="12"/>
      <c r="H604" s="41"/>
      <c r="I604" s="30"/>
      <c r="J604" s="30"/>
      <c r="K604" s="30"/>
      <c r="L604" s="11"/>
      <c r="M604" s="11"/>
      <c r="N604" s="11"/>
      <c r="O604" s="11"/>
      <c r="P604" s="82"/>
    </row>
    <row r="605" spans="2:16" s="9" customFormat="1" x14ac:dyDescent="0.2">
      <c r="B605" s="10"/>
      <c r="C605" s="11"/>
      <c r="D605" s="63"/>
      <c r="E605" s="11"/>
      <c r="F605" s="65"/>
      <c r="G605" s="12"/>
      <c r="H605" s="41"/>
      <c r="I605" s="30"/>
      <c r="J605" s="30"/>
      <c r="K605" s="30"/>
      <c r="L605" s="11"/>
      <c r="M605" s="11"/>
      <c r="N605" s="11"/>
      <c r="O605" s="11"/>
      <c r="P605" s="82"/>
    </row>
    <row r="606" spans="2:16" s="9" customFormat="1" x14ac:dyDescent="0.2">
      <c r="B606" s="10"/>
      <c r="C606" s="11"/>
      <c r="D606" s="63"/>
      <c r="E606" s="11"/>
      <c r="F606" s="65"/>
      <c r="G606" s="12"/>
      <c r="H606" s="41"/>
      <c r="I606" s="30"/>
      <c r="J606" s="30"/>
      <c r="K606" s="30"/>
      <c r="L606" s="11"/>
      <c r="M606" s="11"/>
      <c r="N606" s="11"/>
      <c r="O606" s="11"/>
      <c r="P606" s="82"/>
    </row>
    <row r="607" spans="2:16" s="9" customFormat="1" x14ac:dyDescent="0.2">
      <c r="B607" s="10"/>
      <c r="C607" s="11"/>
      <c r="D607" s="63"/>
      <c r="E607" s="11"/>
      <c r="F607" s="65"/>
      <c r="G607" s="12"/>
      <c r="H607" s="41"/>
      <c r="I607" s="30"/>
      <c r="J607" s="30"/>
      <c r="K607" s="30"/>
      <c r="L607" s="11"/>
      <c r="M607" s="11"/>
      <c r="N607" s="11"/>
      <c r="O607" s="11"/>
      <c r="P607" s="82"/>
    </row>
    <row r="608" spans="2:16" s="9" customFormat="1" x14ac:dyDescent="0.2">
      <c r="B608" s="10"/>
      <c r="C608" s="11"/>
      <c r="D608" s="63"/>
      <c r="E608" s="11"/>
      <c r="F608" s="65"/>
      <c r="G608" s="12"/>
      <c r="H608" s="41"/>
      <c r="I608" s="30"/>
      <c r="J608" s="30"/>
      <c r="K608" s="30"/>
      <c r="L608" s="11"/>
      <c r="M608" s="11"/>
      <c r="N608" s="11"/>
      <c r="O608" s="11"/>
      <c r="P608" s="82"/>
    </row>
    <row r="609" spans="2:16" s="9" customFormat="1" x14ac:dyDescent="0.2">
      <c r="B609" s="10"/>
      <c r="C609" s="11"/>
      <c r="D609" s="63"/>
      <c r="E609" s="11"/>
      <c r="F609" s="65"/>
      <c r="G609" s="12"/>
      <c r="H609" s="41"/>
      <c r="I609" s="30"/>
      <c r="J609" s="30"/>
      <c r="K609" s="30"/>
      <c r="L609" s="11"/>
      <c r="M609" s="11"/>
      <c r="N609" s="11"/>
      <c r="O609" s="11"/>
      <c r="P609" s="82"/>
    </row>
    <row r="610" spans="2:16" s="9" customFormat="1" x14ac:dyDescent="0.2">
      <c r="B610" s="10"/>
      <c r="C610" s="11"/>
      <c r="D610" s="63"/>
      <c r="E610" s="11"/>
      <c r="F610" s="65"/>
      <c r="G610" s="12"/>
      <c r="H610" s="41"/>
      <c r="I610" s="30"/>
      <c r="J610" s="30"/>
      <c r="K610" s="30"/>
      <c r="L610" s="11"/>
      <c r="M610" s="11"/>
      <c r="N610" s="11"/>
      <c r="O610" s="11"/>
      <c r="P610" s="82"/>
    </row>
    <row r="611" spans="2:16" s="9" customFormat="1" x14ac:dyDescent="0.2">
      <c r="B611" s="10"/>
      <c r="C611" s="11"/>
      <c r="D611" s="63"/>
      <c r="E611" s="11"/>
      <c r="F611" s="65"/>
      <c r="G611" s="12"/>
      <c r="H611" s="41"/>
      <c r="I611" s="30"/>
      <c r="J611" s="30"/>
      <c r="K611" s="30"/>
      <c r="L611" s="11"/>
      <c r="M611" s="11"/>
      <c r="N611" s="11"/>
      <c r="O611" s="11"/>
      <c r="P611" s="82"/>
    </row>
    <row r="612" spans="2:16" s="9" customFormat="1" x14ac:dyDescent="0.2">
      <c r="B612" s="10"/>
      <c r="C612" s="11"/>
      <c r="D612" s="63"/>
      <c r="E612" s="11"/>
      <c r="F612" s="65"/>
      <c r="G612" s="12"/>
      <c r="H612" s="41"/>
      <c r="I612" s="30"/>
      <c r="J612" s="30"/>
      <c r="K612" s="30"/>
      <c r="L612" s="11"/>
      <c r="M612" s="11"/>
      <c r="N612" s="11"/>
      <c r="O612" s="11"/>
      <c r="P612" s="82"/>
    </row>
    <row r="613" spans="2:16" s="9" customFormat="1" x14ac:dyDescent="0.2">
      <c r="B613" s="10"/>
      <c r="C613" s="11"/>
      <c r="D613" s="63"/>
      <c r="E613" s="11"/>
      <c r="F613" s="65"/>
      <c r="G613" s="12"/>
      <c r="H613" s="41"/>
      <c r="I613" s="30"/>
      <c r="J613" s="30"/>
      <c r="K613" s="30"/>
      <c r="L613" s="11"/>
      <c r="M613" s="11"/>
      <c r="N613" s="11"/>
      <c r="O613" s="11"/>
      <c r="P613" s="82"/>
    </row>
    <row r="614" spans="2:16" s="9" customFormat="1" x14ac:dyDescent="0.2">
      <c r="B614" s="10"/>
      <c r="C614" s="11"/>
      <c r="D614" s="63"/>
      <c r="E614" s="11"/>
      <c r="F614" s="65"/>
      <c r="G614" s="12"/>
      <c r="H614" s="41"/>
      <c r="I614" s="30"/>
      <c r="J614" s="30"/>
      <c r="K614" s="30"/>
      <c r="L614" s="11"/>
      <c r="M614" s="11"/>
      <c r="N614" s="11"/>
      <c r="O614" s="11"/>
      <c r="P614" s="82"/>
    </row>
    <row r="615" spans="2:16" s="9" customFormat="1" x14ac:dyDescent="0.2">
      <c r="B615" s="10"/>
      <c r="C615" s="11"/>
      <c r="D615" s="63"/>
      <c r="E615" s="11"/>
      <c r="F615" s="65"/>
      <c r="G615" s="12"/>
      <c r="H615" s="41"/>
      <c r="I615" s="30"/>
      <c r="J615" s="30"/>
      <c r="K615" s="30"/>
      <c r="L615" s="11"/>
      <c r="M615" s="11"/>
      <c r="N615" s="11"/>
      <c r="O615" s="11"/>
      <c r="P615" s="82"/>
    </row>
    <row r="616" spans="2:16" s="9" customFormat="1" x14ac:dyDescent="0.2">
      <c r="B616" s="10"/>
      <c r="C616" s="11"/>
      <c r="D616" s="63"/>
      <c r="E616" s="11"/>
      <c r="F616" s="65"/>
      <c r="G616" s="12"/>
      <c r="H616" s="41"/>
      <c r="I616" s="30"/>
      <c r="J616" s="30"/>
      <c r="K616" s="30"/>
      <c r="L616" s="11"/>
      <c r="M616" s="11"/>
      <c r="N616" s="11"/>
      <c r="O616" s="11"/>
      <c r="P616" s="82"/>
    </row>
    <row r="617" spans="2:16" s="9" customFormat="1" x14ac:dyDescent="0.2">
      <c r="B617" s="10"/>
      <c r="C617" s="11"/>
      <c r="D617" s="63"/>
      <c r="E617" s="11"/>
      <c r="F617" s="65"/>
      <c r="G617" s="12"/>
      <c r="H617" s="41"/>
      <c r="I617" s="30"/>
      <c r="J617" s="30"/>
      <c r="K617" s="30"/>
      <c r="L617" s="11"/>
      <c r="M617" s="11"/>
      <c r="N617" s="11"/>
      <c r="O617" s="11"/>
      <c r="P617" s="82"/>
    </row>
    <row r="618" spans="2:16" s="9" customFormat="1" x14ac:dyDescent="0.2">
      <c r="B618" s="10"/>
      <c r="C618" s="11"/>
      <c r="D618" s="63"/>
      <c r="E618" s="11"/>
      <c r="F618" s="65"/>
      <c r="G618" s="12"/>
      <c r="H618" s="41"/>
      <c r="I618" s="30"/>
      <c r="J618" s="30"/>
      <c r="K618" s="30"/>
      <c r="L618" s="11"/>
      <c r="M618" s="11"/>
      <c r="N618" s="11"/>
      <c r="O618" s="11"/>
      <c r="P618" s="82"/>
    </row>
    <row r="619" spans="2:16" s="9" customFormat="1" x14ac:dyDescent="0.2">
      <c r="B619" s="10"/>
      <c r="C619" s="11"/>
      <c r="D619" s="63"/>
      <c r="E619" s="11"/>
      <c r="F619" s="65"/>
      <c r="G619" s="12"/>
      <c r="H619" s="41"/>
      <c r="I619" s="30"/>
      <c r="J619" s="30"/>
      <c r="K619" s="30"/>
      <c r="L619" s="11"/>
      <c r="M619" s="11"/>
      <c r="N619" s="11"/>
      <c r="O619" s="11"/>
      <c r="P619" s="82"/>
    </row>
    <row r="620" spans="2:16" s="9" customFormat="1" x14ac:dyDescent="0.2">
      <c r="B620" s="10"/>
      <c r="C620" s="11"/>
      <c r="D620" s="63"/>
      <c r="E620" s="11"/>
      <c r="F620" s="65"/>
      <c r="G620" s="12"/>
      <c r="H620" s="41"/>
      <c r="I620" s="30"/>
      <c r="J620" s="30"/>
      <c r="K620" s="30"/>
      <c r="L620" s="11"/>
      <c r="M620" s="11"/>
      <c r="N620" s="11"/>
      <c r="O620" s="11"/>
      <c r="P620" s="82"/>
    </row>
    <row r="621" spans="2:16" s="9" customFormat="1" x14ac:dyDescent="0.2">
      <c r="B621" s="10"/>
      <c r="C621" s="11"/>
      <c r="D621" s="63"/>
      <c r="E621" s="11"/>
      <c r="F621" s="65"/>
      <c r="G621" s="12"/>
      <c r="H621" s="41"/>
      <c r="I621" s="30"/>
      <c r="J621" s="30"/>
      <c r="K621" s="30"/>
      <c r="L621" s="11"/>
      <c r="M621" s="11"/>
      <c r="N621" s="11"/>
      <c r="O621" s="11"/>
      <c r="P621" s="82"/>
    </row>
    <row r="622" spans="2:16" s="9" customFormat="1" x14ac:dyDescent="0.2">
      <c r="B622" s="10"/>
      <c r="C622" s="11"/>
      <c r="D622" s="63"/>
      <c r="E622" s="11"/>
      <c r="F622" s="65"/>
      <c r="G622" s="12"/>
      <c r="H622" s="41"/>
      <c r="I622" s="30"/>
      <c r="J622" s="30"/>
      <c r="K622" s="30"/>
      <c r="L622" s="11"/>
      <c r="M622" s="11"/>
      <c r="N622" s="11"/>
      <c r="O622" s="11"/>
      <c r="P622" s="82"/>
    </row>
    <row r="623" spans="2:16" s="9" customFormat="1" x14ac:dyDescent="0.2">
      <c r="B623" s="10"/>
      <c r="C623" s="11"/>
      <c r="D623" s="63"/>
      <c r="E623" s="11"/>
      <c r="F623" s="65"/>
      <c r="G623" s="12"/>
      <c r="H623" s="41"/>
      <c r="I623" s="30"/>
      <c r="J623" s="30"/>
      <c r="K623" s="30"/>
      <c r="L623" s="11"/>
      <c r="M623" s="11"/>
      <c r="N623" s="11"/>
      <c r="O623" s="11"/>
      <c r="P623" s="82"/>
    </row>
    <row r="624" spans="2:16" s="9" customFormat="1" x14ac:dyDescent="0.2">
      <c r="B624" s="10"/>
      <c r="C624" s="11"/>
      <c r="D624" s="63"/>
      <c r="E624" s="11"/>
      <c r="F624" s="65"/>
      <c r="G624" s="12"/>
      <c r="H624" s="41"/>
      <c r="I624" s="30"/>
      <c r="J624" s="30"/>
      <c r="K624" s="30"/>
      <c r="L624" s="11"/>
      <c r="M624" s="11"/>
      <c r="N624" s="11"/>
      <c r="O624" s="11"/>
      <c r="P624" s="82"/>
    </row>
    <row r="625" spans="2:16" s="9" customFormat="1" x14ac:dyDescent="0.2">
      <c r="B625" s="10"/>
      <c r="C625" s="11"/>
      <c r="D625" s="63"/>
      <c r="E625" s="11"/>
      <c r="F625" s="65"/>
      <c r="G625" s="12"/>
      <c r="H625" s="41"/>
      <c r="I625" s="30"/>
      <c r="J625" s="30"/>
      <c r="K625" s="30"/>
      <c r="L625" s="11"/>
      <c r="M625" s="11"/>
      <c r="N625" s="11"/>
      <c r="O625" s="11"/>
      <c r="P625" s="82"/>
    </row>
    <row r="626" spans="2:16" s="9" customFormat="1" x14ac:dyDescent="0.2">
      <c r="B626" s="10"/>
      <c r="C626" s="11"/>
      <c r="D626" s="63"/>
      <c r="E626" s="11"/>
      <c r="F626" s="65"/>
      <c r="G626" s="12"/>
      <c r="H626" s="41"/>
      <c r="I626" s="30"/>
      <c r="J626" s="30"/>
      <c r="K626" s="30"/>
      <c r="L626" s="11"/>
      <c r="M626" s="11"/>
      <c r="N626" s="11"/>
      <c r="O626" s="11"/>
      <c r="P626" s="82"/>
    </row>
    <row r="627" spans="2:16" s="9" customFormat="1" x14ac:dyDescent="0.2">
      <c r="B627" s="10"/>
      <c r="C627" s="11"/>
      <c r="D627" s="63"/>
      <c r="E627" s="11"/>
      <c r="F627" s="65"/>
      <c r="G627" s="12"/>
      <c r="H627" s="41"/>
      <c r="I627" s="30"/>
      <c r="J627" s="30"/>
      <c r="K627" s="30"/>
      <c r="L627" s="11"/>
      <c r="M627" s="11"/>
      <c r="N627" s="11"/>
      <c r="O627" s="11"/>
      <c r="P627" s="82"/>
    </row>
    <row r="628" spans="2:16" s="9" customFormat="1" x14ac:dyDescent="0.2">
      <c r="B628" s="10"/>
      <c r="C628" s="11"/>
      <c r="D628" s="63"/>
      <c r="E628" s="11"/>
      <c r="F628" s="65"/>
      <c r="G628" s="12"/>
      <c r="H628" s="41"/>
      <c r="I628" s="30"/>
      <c r="J628" s="30"/>
      <c r="K628" s="30"/>
      <c r="L628" s="11"/>
      <c r="M628" s="11"/>
      <c r="N628" s="11"/>
      <c r="O628" s="11"/>
      <c r="P628" s="82"/>
    </row>
    <row r="629" spans="2:16" s="9" customFormat="1" x14ac:dyDescent="0.2">
      <c r="B629" s="10"/>
      <c r="C629" s="11"/>
      <c r="D629" s="63"/>
      <c r="E629" s="11"/>
      <c r="F629" s="65"/>
      <c r="G629" s="12"/>
      <c r="H629" s="41"/>
      <c r="I629" s="30"/>
      <c r="J629" s="30"/>
      <c r="K629" s="30"/>
      <c r="L629" s="11"/>
      <c r="M629" s="11"/>
      <c r="N629" s="11"/>
      <c r="O629" s="11"/>
      <c r="P629" s="82"/>
    </row>
    <row r="630" spans="2:16" s="9" customFormat="1" x14ac:dyDescent="0.2">
      <c r="B630" s="10"/>
      <c r="C630" s="11"/>
      <c r="D630" s="63"/>
      <c r="E630" s="11"/>
      <c r="F630" s="65"/>
      <c r="G630" s="12"/>
      <c r="H630" s="41"/>
      <c r="I630" s="30"/>
      <c r="J630" s="30"/>
      <c r="K630" s="30"/>
      <c r="L630" s="11"/>
      <c r="M630" s="11"/>
      <c r="N630" s="11"/>
      <c r="O630" s="11"/>
      <c r="P630" s="82"/>
    </row>
    <row r="631" spans="2:16" s="9" customFormat="1" x14ac:dyDescent="0.2">
      <c r="B631" s="10"/>
      <c r="C631" s="11"/>
      <c r="D631" s="63"/>
      <c r="E631" s="11"/>
      <c r="F631" s="65"/>
      <c r="G631" s="12"/>
      <c r="H631" s="41"/>
      <c r="I631" s="30"/>
      <c r="J631" s="30"/>
      <c r="K631" s="30"/>
      <c r="L631" s="11"/>
      <c r="M631" s="11"/>
      <c r="N631" s="11"/>
      <c r="O631" s="11"/>
      <c r="P631" s="82"/>
    </row>
    <row r="632" spans="2:16" s="9" customFormat="1" x14ac:dyDescent="0.2">
      <c r="B632" s="10"/>
      <c r="C632" s="11"/>
      <c r="D632" s="63"/>
      <c r="E632" s="11"/>
      <c r="F632" s="65"/>
      <c r="G632" s="12"/>
      <c r="H632" s="41"/>
      <c r="I632" s="30"/>
      <c r="J632" s="30"/>
      <c r="K632" s="30"/>
      <c r="L632" s="11"/>
      <c r="M632" s="11"/>
      <c r="N632" s="11"/>
      <c r="O632" s="11"/>
      <c r="P632" s="82"/>
    </row>
    <row r="633" spans="2:16" s="9" customFormat="1" x14ac:dyDescent="0.2">
      <c r="B633" s="10"/>
      <c r="C633" s="11"/>
      <c r="D633" s="63"/>
      <c r="E633" s="11"/>
      <c r="F633" s="65"/>
      <c r="G633" s="12"/>
      <c r="H633" s="41"/>
      <c r="I633" s="30"/>
      <c r="J633" s="30"/>
      <c r="K633" s="30"/>
      <c r="L633" s="11"/>
      <c r="M633" s="11"/>
      <c r="N633" s="11"/>
      <c r="O633" s="11"/>
      <c r="P633" s="82"/>
    </row>
    <row r="634" spans="2:16" s="9" customFormat="1" x14ac:dyDescent="0.2">
      <c r="B634" s="10"/>
      <c r="C634" s="11"/>
      <c r="D634" s="63"/>
      <c r="E634" s="11"/>
      <c r="F634" s="65"/>
      <c r="G634" s="12"/>
      <c r="H634" s="41"/>
      <c r="I634" s="30"/>
      <c r="J634" s="30"/>
      <c r="K634" s="30"/>
      <c r="L634" s="11"/>
      <c r="M634" s="11"/>
      <c r="N634" s="11"/>
      <c r="O634" s="11"/>
      <c r="P634" s="82"/>
    </row>
    <row r="635" spans="2:16" s="9" customFormat="1" x14ac:dyDescent="0.2">
      <c r="B635" s="10"/>
      <c r="C635" s="11"/>
      <c r="D635" s="63"/>
      <c r="E635" s="11"/>
      <c r="F635" s="65"/>
      <c r="G635" s="12"/>
      <c r="H635" s="41"/>
      <c r="I635" s="30"/>
      <c r="J635" s="30"/>
      <c r="K635" s="30"/>
      <c r="L635" s="11"/>
      <c r="M635" s="11"/>
      <c r="N635" s="11"/>
      <c r="O635" s="11"/>
      <c r="P635" s="82"/>
    </row>
    <row r="636" spans="2:16" s="9" customFormat="1" x14ac:dyDescent="0.2">
      <c r="B636" s="10"/>
      <c r="C636" s="11"/>
      <c r="D636" s="63"/>
      <c r="E636" s="11"/>
      <c r="F636" s="65"/>
      <c r="G636" s="12"/>
      <c r="H636" s="41"/>
      <c r="I636" s="30"/>
      <c r="J636" s="30"/>
      <c r="K636" s="30"/>
      <c r="L636" s="11"/>
      <c r="M636" s="11"/>
      <c r="N636" s="11"/>
      <c r="O636" s="11"/>
      <c r="P636" s="82"/>
    </row>
    <row r="637" spans="2:16" s="9" customFormat="1" x14ac:dyDescent="0.2">
      <c r="B637" s="10"/>
      <c r="C637" s="11"/>
      <c r="D637" s="63"/>
      <c r="E637" s="11"/>
      <c r="F637" s="65"/>
      <c r="G637" s="12"/>
      <c r="H637" s="41"/>
      <c r="I637" s="30"/>
      <c r="J637" s="30"/>
      <c r="K637" s="30"/>
      <c r="L637" s="11"/>
      <c r="M637" s="11"/>
      <c r="N637" s="11"/>
      <c r="O637" s="11"/>
      <c r="P637" s="82"/>
    </row>
    <row r="638" spans="2:16" s="9" customFormat="1" x14ac:dyDescent="0.2">
      <c r="B638" s="10"/>
      <c r="C638" s="11"/>
      <c r="D638" s="63"/>
      <c r="E638" s="11"/>
      <c r="F638" s="65"/>
      <c r="G638" s="12"/>
      <c r="H638" s="41"/>
      <c r="I638" s="30"/>
      <c r="J638" s="30"/>
      <c r="K638" s="30"/>
      <c r="L638" s="11"/>
      <c r="M638" s="11"/>
      <c r="N638" s="11"/>
      <c r="O638" s="11"/>
      <c r="P638" s="82"/>
    </row>
    <row r="639" spans="2:16" s="9" customFormat="1" x14ac:dyDescent="0.2">
      <c r="B639" s="10"/>
      <c r="C639" s="11"/>
      <c r="D639" s="63"/>
      <c r="E639" s="11"/>
      <c r="F639" s="65"/>
      <c r="G639" s="12"/>
      <c r="H639" s="41"/>
      <c r="I639" s="30"/>
      <c r="J639" s="30"/>
      <c r="K639" s="30"/>
      <c r="L639" s="11"/>
      <c r="M639" s="11"/>
      <c r="N639" s="11"/>
      <c r="O639" s="11"/>
      <c r="P639" s="82"/>
    </row>
    <row r="640" spans="2:16" s="9" customFormat="1" x14ac:dyDescent="0.2">
      <c r="B640" s="10"/>
      <c r="C640" s="11"/>
      <c r="D640" s="63"/>
      <c r="E640" s="11"/>
      <c r="F640" s="65"/>
      <c r="G640" s="12"/>
      <c r="H640" s="41"/>
      <c r="I640" s="30"/>
      <c r="J640" s="30"/>
      <c r="K640" s="30"/>
      <c r="L640" s="11"/>
      <c r="M640" s="11"/>
      <c r="N640" s="11"/>
      <c r="O640" s="11"/>
      <c r="P640" s="82"/>
    </row>
    <row r="641" spans="2:16" s="9" customFormat="1" x14ac:dyDescent="0.2">
      <c r="B641" s="10"/>
      <c r="C641" s="11"/>
      <c r="D641" s="63"/>
      <c r="E641" s="11"/>
      <c r="F641" s="65"/>
      <c r="G641" s="12"/>
      <c r="H641" s="41"/>
      <c r="I641" s="30"/>
      <c r="J641" s="30"/>
      <c r="K641" s="30"/>
      <c r="L641" s="11"/>
      <c r="M641" s="11"/>
      <c r="N641" s="11"/>
      <c r="O641" s="11"/>
      <c r="P641" s="82"/>
    </row>
    <row r="642" spans="2:16" s="9" customFormat="1" x14ac:dyDescent="0.2">
      <c r="B642" s="10"/>
      <c r="C642" s="11"/>
      <c r="D642" s="63"/>
      <c r="E642" s="11"/>
      <c r="F642" s="65"/>
      <c r="G642" s="12"/>
      <c r="H642" s="41"/>
      <c r="I642" s="30"/>
      <c r="J642" s="30"/>
      <c r="K642" s="30"/>
      <c r="L642" s="11"/>
      <c r="M642" s="11"/>
      <c r="N642" s="11"/>
      <c r="O642" s="11"/>
      <c r="P642" s="82"/>
    </row>
    <row r="643" spans="2:16" s="9" customFormat="1" x14ac:dyDescent="0.2">
      <c r="B643" s="10"/>
      <c r="C643" s="11"/>
      <c r="D643" s="63"/>
      <c r="E643" s="11"/>
      <c r="F643" s="65"/>
      <c r="G643" s="12"/>
      <c r="H643" s="41"/>
      <c r="I643" s="30"/>
      <c r="J643" s="30"/>
      <c r="K643" s="30"/>
      <c r="L643" s="11"/>
      <c r="M643" s="11"/>
      <c r="N643" s="11"/>
      <c r="O643" s="11"/>
      <c r="P643" s="82"/>
    </row>
    <row r="644" spans="2:16" s="9" customFormat="1" x14ac:dyDescent="0.2">
      <c r="B644" s="10"/>
      <c r="C644" s="11"/>
      <c r="D644" s="63"/>
      <c r="E644" s="11"/>
      <c r="F644" s="65"/>
      <c r="G644" s="12"/>
      <c r="H644" s="41"/>
      <c r="I644" s="30"/>
      <c r="J644" s="30"/>
      <c r="K644" s="30"/>
      <c r="L644" s="11"/>
      <c r="M644" s="11"/>
      <c r="N644" s="11"/>
      <c r="O644" s="11"/>
      <c r="P644" s="82"/>
    </row>
    <row r="645" spans="2:16" s="9" customFormat="1" x14ac:dyDescent="0.2">
      <c r="B645" s="10"/>
      <c r="C645" s="11"/>
      <c r="D645" s="63"/>
      <c r="E645" s="11"/>
      <c r="F645" s="65"/>
      <c r="G645" s="12"/>
      <c r="H645" s="41"/>
      <c r="I645" s="30"/>
      <c r="J645" s="30"/>
      <c r="K645" s="30"/>
      <c r="L645" s="11"/>
      <c r="M645" s="11"/>
      <c r="N645" s="11"/>
      <c r="O645" s="11"/>
      <c r="P645" s="82"/>
    </row>
    <row r="646" spans="2:16" s="9" customFormat="1" x14ac:dyDescent="0.2">
      <c r="B646" s="10"/>
      <c r="C646" s="11"/>
      <c r="D646" s="63"/>
      <c r="E646" s="11"/>
      <c r="F646" s="65"/>
      <c r="G646" s="12"/>
      <c r="H646" s="41"/>
      <c r="I646" s="30"/>
      <c r="J646" s="30"/>
      <c r="K646" s="30"/>
      <c r="L646" s="11"/>
      <c r="M646" s="11"/>
      <c r="N646" s="11"/>
      <c r="O646" s="11"/>
      <c r="P646" s="82"/>
    </row>
    <row r="647" spans="2:16" s="9" customFormat="1" x14ac:dyDescent="0.2">
      <c r="B647" s="10"/>
      <c r="C647" s="11"/>
      <c r="D647" s="63"/>
      <c r="E647" s="11"/>
      <c r="F647" s="65"/>
      <c r="G647" s="12"/>
      <c r="H647" s="41"/>
      <c r="I647" s="30"/>
      <c r="J647" s="30"/>
      <c r="K647" s="30"/>
      <c r="L647" s="11"/>
      <c r="M647" s="11"/>
      <c r="N647" s="11"/>
      <c r="O647" s="11"/>
      <c r="P647" s="82"/>
    </row>
    <row r="648" spans="2:16" s="9" customFormat="1" x14ac:dyDescent="0.2">
      <c r="B648" s="10"/>
      <c r="C648" s="11"/>
      <c r="D648" s="63"/>
      <c r="E648" s="11"/>
      <c r="F648" s="65"/>
      <c r="G648" s="12"/>
      <c r="H648" s="41"/>
      <c r="I648" s="30"/>
      <c r="J648" s="30"/>
      <c r="K648" s="30"/>
      <c r="L648" s="11"/>
      <c r="M648" s="11"/>
      <c r="N648" s="11"/>
      <c r="O648" s="11"/>
      <c r="P648" s="82"/>
    </row>
    <row r="649" spans="2:16" s="9" customFormat="1" x14ac:dyDescent="0.2">
      <c r="B649" s="10"/>
      <c r="C649" s="11"/>
      <c r="D649" s="63"/>
      <c r="E649" s="11"/>
      <c r="F649" s="65"/>
      <c r="G649" s="12"/>
      <c r="H649" s="41"/>
      <c r="I649" s="30"/>
      <c r="J649" s="30"/>
      <c r="K649" s="30"/>
      <c r="L649" s="11"/>
      <c r="M649" s="11"/>
      <c r="N649" s="11"/>
      <c r="O649" s="11"/>
      <c r="P649" s="82"/>
    </row>
    <row r="650" spans="2:16" s="9" customFormat="1" x14ac:dyDescent="0.2">
      <c r="B650" s="10"/>
      <c r="C650" s="11"/>
      <c r="D650" s="63"/>
      <c r="E650" s="11"/>
      <c r="F650" s="65"/>
      <c r="G650" s="12"/>
      <c r="H650" s="41"/>
      <c r="I650" s="30"/>
      <c r="J650" s="30"/>
      <c r="K650" s="30"/>
      <c r="L650" s="11"/>
      <c r="M650" s="11"/>
      <c r="N650" s="11"/>
      <c r="O650" s="11"/>
      <c r="P650" s="82"/>
    </row>
    <row r="651" spans="2:16" s="9" customFormat="1" x14ac:dyDescent="0.2">
      <c r="B651" s="10"/>
      <c r="C651" s="11"/>
      <c r="D651" s="63"/>
      <c r="E651" s="11"/>
      <c r="F651" s="65"/>
      <c r="G651" s="12"/>
      <c r="H651" s="41"/>
      <c r="I651" s="30"/>
      <c r="J651" s="30"/>
      <c r="K651" s="30"/>
      <c r="L651" s="11"/>
      <c r="M651" s="11"/>
      <c r="N651" s="11"/>
      <c r="O651" s="11"/>
      <c r="P651" s="82"/>
    </row>
    <row r="652" spans="2:16" s="9" customFormat="1" x14ac:dyDescent="0.2">
      <c r="B652" s="10"/>
      <c r="C652" s="11"/>
      <c r="D652" s="63"/>
      <c r="E652" s="11"/>
      <c r="F652" s="65"/>
      <c r="G652" s="12"/>
      <c r="H652" s="41"/>
      <c r="I652" s="30"/>
      <c r="J652" s="30"/>
      <c r="K652" s="30"/>
      <c r="L652" s="11"/>
      <c r="M652" s="11"/>
      <c r="N652" s="11"/>
      <c r="O652" s="11"/>
      <c r="P652" s="82"/>
    </row>
    <row r="653" spans="2:16" s="9" customFormat="1" x14ac:dyDescent="0.2">
      <c r="B653" s="10"/>
      <c r="C653" s="11"/>
      <c r="D653" s="63"/>
      <c r="E653" s="11"/>
      <c r="F653" s="65"/>
      <c r="G653" s="12"/>
      <c r="H653" s="41"/>
      <c r="I653" s="30"/>
      <c r="J653" s="30"/>
      <c r="K653" s="30"/>
      <c r="L653" s="11"/>
      <c r="M653" s="11"/>
      <c r="N653" s="11"/>
      <c r="O653" s="11"/>
      <c r="P653" s="82"/>
    </row>
    <row r="654" spans="2:16" s="9" customFormat="1" x14ac:dyDescent="0.2">
      <c r="B654" s="10"/>
      <c r="C654" s="11"/>
      <c r="D654" s="63"/>
      <c r="E654" s="11"/>
      <c r="F654" s="65"/>
      <c r="G654" s="12"/>
      <c r="H654" s="41"/>
      <c r="I654" s="30"/>
      <c r="J654" s="30"/>
      <c r="K654" s="30"/>
      <c r="L654" s="11"/>
      <c r="M654" s="11"/>
      <c r="N654" s="11"/>
      <c r="O654" s="11"/>
      <c r="P654" s="82"/>
    </row>
    <row r="655" spans="2:16" s="9" customFormat="1" x14ac:dyDescent="0.2">
      <c r="B655" s="10"/>
      <c r="C655" s="11"/>
      <c r="D655" s="63"/>
      <c r="E655" s="11"/>
      <c r="F655" s="65"/>
      <c r="G655" s="12"/>
      <c r="H655" s="41"/>
      <c r="I655" s="30"/>
      <c r="J655" s="30"/>
      <c r="K655" s="30"/>
      <c r="L655" s="11"/>
      <c r="M655" s="11"/>
      <c r="N655" s="11"/>
      <c r="O655" s="11"/>
      <c r="P655" s="82"/>
    </row>
    <row r="656" spans="2:16" s="9" customFormat="1" x14ac:dyDescent="0.2">
      <c r="B656" s="10"/>
      <c r="C656" s="11"/>
      <c r="D656" s="63"/>
      <c r="E656" s="11"/>
      <c r="F656" s="65"/>
      <c r="G656" s="12"/>
      <c r="H656" s="41"/>
      <c r="I656" s="30"/>
      <c r="J656" s="30"/>
      <c r="K656" s="30"/>
      <c r="L656" s="11"/>
      <c r="M656" s="11"/>
      <c r="N656" s="11"/>
      <c r="O656" s="11"/>
      <c r="P656" s="82"/>
    </row>
    <row r="657" spans="2:16" s="9" customFormat="1" x14ac:dyDescent="0.2">
      <c r="B657" s="10"/>
      <c r="C657" s="11"/>
      <c r="D657" s="63"/>
      <c r="E657" s="11"/>
      <c r="F657" s="65"/>
      <c r="G657" s="12"/>
      <c r="H657" s="41"/>
      <c r="I657" s="30"/>
      <c r="J657" s="30"/>
      <c r="K657" s="30"/>
      <c r="L657" s="11"/>
      <c r="M657" s="11"/>
      <c r="N657" s="11"/>
      <c r="O657" s="11"/>
      <c r="P657" s="82"/>
    </row>
    <row r="658" spans="2:16" s="9" customFormat="1" x14ac:dyDescent="0.2">
      <c r="B658" s="10"/>
      <c r="C658" s="11"/>
      <c r="D658" s="63"/>
      <c r="E658" s="11"/>
      <c r="F658" s="65"/>
      <c r="G658" s="12"/>
      <c r="H658" s="41"/>
      <c r="I658" s="30"/>
      <c r="J658" s="30"/>
      <c r="K658" s="30"/>
      <c r="L658" s="11"/>
      <c r="M658" s="11"/>
      <c r="N658" s="11"/>
      <c r="O658" s="11"/>
      <c r="P658" s="82"/>
    </row>
    <row r="659" spans="2:16" s="9" customFormat="1" x14ac:dyDescent="0.2">
      <c r="B659" s="10"/>
      <c r="C659" s="11"/>
      <c r="D659" s="63"/>
      <c r="E659" s="11"/>
      <c r="F659" s="65"/>
      <c r="G659" s="12"/>
      <c r="H659" s="41"/>
      <c r="I659" s="30"/>
      <c r="J659" s="30"/>
      <c r="K659" s="30"/>
      <c r="L659" s="11"/>
      <c r="M659" s="11"/>
      <c r="N659" s="11"/>
      <c r="O659" s="11"/>
      <c r="P659" s="82"/>
    </row>
    <row r="660" spans="2:16" s="9" customFormat="1" x14ac:dyDescent="0.2">
      <c r="B660" s="10"/>
      <c r="C660" s="11"/>
      <c r="D660" s="63"/>
      <c r="E660" s="11"/>
      <c r="F660" s="65"/>
      <c r="G660" s="12"/>
      <c r="H660" s="41"/>
      <c r="I660" s="30"/>
      <c r="J660" s="30"/>
      <c r="K660" s="30"/>
      <c r="L660" s="11"/>
      <c r="M660" s="11"/>
      <c r="N660" s="11"/>
      <c r="O660" s="11"/>
      <c r="P660" s="82"/>
    </row>
    <row r="661" spans="2:16" s="9" customFormat="1" x14ac:dyDescent="0.2">
      <c r="B661" s="10"/>
      <c r="C661" s="11"/>
      <c r="D661" s="63"/>
      <c r="E661" s="11"/>
      <c r="F661" s="65"/>
      <c r="G661" s="12"/>
      <c r="H661" s="41"/>
      <c r="I661" s="30"/>
      <c r="J661" s="30"/>
      <c r="K661" s="30"/>
      <c r="L661" s="11"/>
      <c r="M661" s="11"/>
      <c r="N661" s="11"/>
      <c r="O661" s="11"/>
      <c r="P661" s="82"/>
    </row>
    <row r="662" spans="2:16" s="9" customFormat="1" x14ac:dyDescent="0.2">
      <c r="B662" s="10"/>
      <c r="C662" s="11"/>
      <c r="D662" s="63"/>
      <c r="E662" s="11"/>
      <c r="F662" s="65"/>
      <c r="G662" s="12"/>
      <c r="H662" s="41"/>
      <c r="I662" s="30"/>
      <c r="J662" s="30"/>
      <c r="K662" s="30"/>
      <c r="L662" s="11"/>
      <c r="M662" s="11"/>
      <c r="N662" s="11"/>
      <c r="O662" s="11"/>
      <c r="P662" s="82"/>
    </row>
    <row r="663" spans="2:16" s="9" customFormat="1" x14ac:dyDescent="0.2">
      <c r="B663" s="10"/>
      <c r="C663" s="11"/>
      <c r="D663" s="63"/>
      <c r="E663" s="11"/>
      <c r="F663" s="65"/>
      <c r="G663" s="12"/>
      <c r="H663" s="41"/>
      <c r="I663" s="30"/>
      <c r="J663" s="30"/>
      <c r="K663" s="30"/>
      <c r="L663" s="11"/>
      <c r="M663" s="11"/>
      <c r="N663" s="11"/>
      <c r="O663" s="11"/>
      <c r="P663" s="82"/>
    </row>
    <row r="664" spans="2:16" s="9" customFormat="1" x14ac:dyDescent="0.2">
      <c r="B664" s="10"/>
      <c r="C664" s="11"/>
      <c r="D664" s="63"/>
      <c r="E664" s="11"/>
      <c r="F664" s="65"/>
      <c r="G664" s="12"/>
      <c r="H664" s="41"/>
      <c r="I664" s="30"/>
      <c r="J664" s="30"/>
      <c r="K664" s="30"/>
      <c r="L664" s="11"/>
      <c r="M664" s="11"/>
      <c r="N664" s="11"/>
      <c r="O664" s="11"/>
      <c r="P664" s="82"/>
    </row>
    <row r="665" spans="2:16" s="9" customFormat="1" x14ac:dyDescent="0.2">
      <c r="B665" s="10"/>
      <c r="C665" s="11"/>
      <c r="D665" s="63"/>
      <c r="E665" s="11"/>
      <c r="F665" s="65"/>
      <c r="G665" s="12"/>
      <c r="H665" s="41"/>
      <c r="I665" s="30"/>
      <c r="J665" s="30"/>
      <c r="K665" s="30"/>
      <c r="L665" s="11"/>
      <c r="M665" s="11"/>
      <c r="N665" s="11"/>
      <c r="O665" s="11"/>
      <c r="P665" s="82"/>
    </row>
    <row r="666" spans="2:16" s="9" customFormat="1" x14ac:dyDescent="0.2">
      <c r="B666" s="10"/>
      <c r="C666" s="11"/>
      <c r="D666" s="63"/>
      <c r="E666" s="11"/>
      <c r="F666" s="65"/>
      <c r="G666" s="12"/>
      <c r="H666" s="41"/>
      <c r="I666" s="30"/>
      <c r="J666" s="30"/>
      <c r="K666" s="30"/>
      <c r="L666" s="11"/>
      <c r="M666" s="11"/>
      <c r="N666" s="11"/>
      <c r="O666" s="11"/>
      <c r="P666" s="82"/>
    </row>
    <row r="667" spans="2:16" s="9" customFormat="1" x14ac:dyDescent="0.2">
      <c r="B667" s="10"/>
      <c r="C667" s="11"/>
      <c r="D667" s="63"/>
      <c r="E667" s="11"/>
      <c r="F667" s="65"/>
      <c r="G667" s="12"/>
      <c r="H667" s="41"/>
      <c r="I667" s="30"/>
      <c r="J667" s="30"/>
      <c r="K667" s="30"/>
      <c r="L667" s="11"/>
      <c r="M667" s="11"/>
      <c r="N667" s="11"/>
      <c r="O667" s="11"/>
      <c r="P667" s="82"/>
    </row>
    <row r="668" spans="2:16" s="9" customFormat="1" x14ac:dyDescent="0.2">
      <c r="B668" s="10"/>
      <c r="C668" s="11"/>
      <c r="D668" s="63"/>
      <c r="E668" s="11"/>
      <c r="F668" s="65"/>
      <c r="G668" s="12"/>
      <c r="H668" s="41"/>
      <c r="I668" s="30"/>
      <c r="J668" s="30"/>
      <c r="K668" s="30"/>
      <c r="L668" s="11"/>
      <c r="M668" s="11"/>
      <c r="N668" s="11"/>
      <c r="O668" s="11"/>
      <c r="P668" s="82"/>
    </row>
    <row r="669" spans="2:16" s="9" customFormat="1" x14ac:dyDescent="0.2">
      <c r="B669" s="10"/>
      <c r="C669" s="11"/>
      <c r="D669" s="63"/>
      <c r="E669" s="11"/>
      <c r="F669" s="65"/>
      <c r="G669" s="12"/>
      <c r="H669" s="41"/>
      <c r="I669" s="30"/>
      <c r="J669" s="30"/>
      <c r="K669" s="30"/>
      <c r="L669" s="11"/>
      <c r="M669" s="11"/>
      <c r="N669" s="11"/>
      <c r="O669" s="11"/>
      <c r="P669" s="82"/>
    </row>
    <row r="670" spans="2:16" s="9" customFormat="1" x14ac:dyDescent="0.2">
      <c r="B670" s="10"/>
      <c r="C670" s="11"/>
      <c r="D670" s="63"/>
      <c r="E670" s="11"/>
      <c r="F670" s="65"/>
      <c r="G670" s="12"/>
      <c r="H670" s="41"/>
      <c r="I670" s="30"/>
      <c r="J670" s="30"/>
      <c r="K670" s="30"/>
      <c r="L670" s="11"/>
      <c r="M670" s="11"/>
      <c r="N670" s="11"/>
      <c r="O670" s="11"/>
      <c r="P670" s="82"/>
    </row>
    <row r="671" spans="2:16" s="9" customFormat="1" x14ac:dyDescent="0.2">
      <c r="B671" s="10"/>
      <c r="C671" s="11"/>
      <c r="D671" s="63"/>
      <c r="E671" s="11"/>
      <c r="F671" s="65"/>
      <c r="G671" s="12"/>
      <c r="H671" s="41"/>
      <c r="I671" s="30"/>
      <c r="J671" s="30"/>
      <c r="K671" s="30"/>
      <c r="L671" s="11"/>
      <c r="M671" s="11"/>
      <c r="N671" s="11"/>
      <c r="O671" s="11"/>
      <c r="P671" s="82"/>
    </row>
    <row r="672" spans="2:16" s="9" customFormat="1" x14ac:dyDescent="0.2">
      <c r="B672" s="10"/>
      <c r="C672" s="11"/>
      <c r="D672" s="63"/>
      <c r="E672" s="11"/>
      <c r="F672" s="65"/>
      <c r="G672" s="12"/>
      <c r="H672" s="41"/>
      <c r="I672" s="30"/>
      <c r="J672" s="30"/>
      <c r="K672" s="30"/>
      <c r="L672" s="11"/>
      <c r="M672" s="11"/>
      <c r="N672" s="11"/>
      <c r="O672" s="11"/>
      <c r="P672" s="82"/>
    </row>
    <row r="673" spans="2:16" s="9" customFormat="1" x14ac:dyDescent="0.2">
      <c r="B673" s="10"/>
      <c r="C673" s="11"/>
      <c r="D673" s="63"/>
      <c r="E673" s="11"/>
      <c r="F673" s="65"/>
      <c r="G673" s="12"/>
      <c r="H673" s="41"/>
      <c r="I673" s="30"/>
      <c r="J673" s="30"/>
      <c r="K673" s="30"/>
      <c r="L673" s="11"/>
      <c r="M673" s="11"/>
      <c r="N673" s="11"/>
      <c r="O673" s="11"/>
      <c r="P673" s="82"/>
    </row>
    <row r="674" spans="2:16" s="9" customFormat="1" x14ac:dyDescent="0.2">
      <c r="B674" s="10"/>
      <c r="C674" s="11"/>
      <c r="D674" s="63"/>
      <c r="E674" s="11"/>
      <c r="F674" s="65"/>
      <c r="G674" s="12"/>
      <c r="H674" s="41"/>
      <c r="I674" s="30"/>
      <c r="J674" s="30"/>
      <c r="K674" s="30"/>
      <c r="L674" s="11"/>
      <c r="M674" s="11"/>
      <c r="N674" s="11"/>
      <c r="O674" s="11"/>
      <c r="P674" s="82"/>
    </row>
    <row r="675" spans="2:16" s="9" customFormat="1" x14ac:dyDescent="0.2">
      <c r="B675" s="10"/>
      <c r="C675" s="11"/>
      <c r="D675" s="63"/>
      <c r="E675" s="11"/>
      <c r="F675" s="65"/>
      <c r="G675" s="12"/>
      <c r="H675" s="41"/>
      <c r="I675" s="30"/>
      <c r="J675" s="30"/>
      <c r="K675" s="30"/>
      <c r="L675" s="11"/>
      <c r="M675" s="11"/>
      <c r="N675" s="11"/>
      <c r="O675" s="11"/>
      <c r="P675" s="82"/>
    </row>
    <row r="676" spans="2:16" s="9" customFormat="1" x14ac:dyDescent="0.2">
      <c r="B676" s="10"/>
      <c r="C676" s="11"/>
      <c r="D676" s="63"/>
      <c r="E676" s="11"/>
      <c r="F676" s="65"/>
      <c r="G676" s="12"/>
      <c r="H676" s="41"/>
      <c r="I676" s="30"/>
      <c r="J676" s="30"/>
      <c r="K676" s="30"/>
      <c r="L676" s="11"/>
      <c r="M676" s="11"/>
      <c r="N676" s="11"/>
      <c r="O676" s="11"/>
      <c r="P676" s="82"/>
    </row>
    <row r="677" spans="2:16" s="9" customFormat="1" x14ac:dyDescent="0.2">
      <c r="B677" s="10"/>
      <c r="C677" s="11"/>
      <c r="D677" s="63"/>
      <c r="E677" s="11"/>
      <c r="F677" s="65"/>
      <c r="G677" s="12"/>
      <c r="H677" s="41"/>
      <c r="I677" s="30"/>
      <c r="J677" s="30"/>
      <c r="K677" s="30"/>
      <c r="L677" s="11"/>
      <c r="M677" s="11"/>
      <c r="N677" s="11"/>
      <c r="O677" s="11"/>
      <c r="P677" s="82"/>
    </row>
    <row r="678" spans="2:16" s="9" customFormat="1" x14ac:dyDescent="0.2">
      <c r="B678" s="10"/>
      <c r="C678" s="11"/>
      <c r="D678" s="63"/>
      <c r="E678" s="11"/>
      <c r="F678" s="65"/>
      <c r="G678" s="12"/>
      <c r="H678" s="41"/>
      <c r="I678" s="30"/>
      <c r="J678" s="30"/>
      <c r="K678" s="30"/>
      <c r="L678" s="11"/>
      <c r="M678" s="11"/>
      <c r="N678" s="11"/>
      <c r="O678" s="11"/>
      <c r="P678" s="82"/>
    </row>
    <row r="679" spans="2:16" s="9" customFormat="1" x14ac:dyDescent="0.2">
      <c r="B679" s="10"/>
      <c r="C679" s="11"/>
      <c r="D679" s="63"/>
      <c r="E679" s="11"/>
      <c r="F679" s="65"/>
      <c r="G679" s="12"/>
      <c r="H679" s="41"/>
      <c r="I679" s="30"/>
      <c r="J679" s="30"/>
      <c r="K679" s="30"/>
      <c r="L679" s="11"/>
      <c r="M679" s="11"/>
      <c r="N679" s="11"/>
      <c r="O679" s="11"/>
      <c r="P679" s="82"/>
    </row>
    <row r="680" spans="2:16" s="9" customFormat="1" x14ac:dyDescent="0.2">
      <c r="B680" s="10"/>
      <c r="C680" s="11"/>
      <c r="D680" s="63"/>
      <c r="E680" s="11"/>
      <c r="F680" s="65"/>
      <c r="G680" s="12"/>
      <c r="H680" s="41"/>
      <c r="I680" s="30"/>
      <c r="J680" s="30"/>
      <c r="K680" s="30"/>
      <c r="L680" s="11"/>
      <c r="M680" s="11"/>
      <c r="N680" s="11"/>
      <c r="O680" s="11"/>
      <c r="P680" s="82"/>
    </row>
    <row r="681" spans="2:16" s="9" customFormat="1" x14ac:dyDescent="0.2">
      <c r="B681" s="10"/>
      <c r="C681" s="11"/>
      <c r="D681" s="63"/>
      <c r="E681" s="11"/>
      <c r="F681" s="65"/>
      <c r="G681" s="12"/>
      <c r="H681" s="41"/>
      <c r="I681" s="30"/>
      <c r="J681" s="30"/>
      <c r="K681" s="30"/>
      <c r="L681" s="11"/>
      <c r="M681" s="11"/>
      <c r="N681" s="11"/>
      <c r="O681" s="11"/>
      <c r="P681" s="82"/>
    </row>
    <row r="682" spans="2:16" s="9" customFormat="1" x14ac:dyDescent="0.2">
      <c r="B682" s="10"/>
      <c r="C682" s="11"/>
      <c r="D682" s="63"/>
      <c r="E682" s="11"/>
      <c r="F682" s="65"/>
      <c r="G682" s="12"/>
      <c r="H682" s="41"/>
      <c r="I682" s="30"/>
      <c r="J682" s="30"/>
      <c r="K682" s="30"/>
      <c r="L682" s="11"/>
      <c r="M682" s="11"/>
      <c r="N682" s="11"/>
      <c r="O682" s="11"/>
      <c r="P682" s="82"/>
    </row>
    <row r="683" spans="2:16" s="9" customFormat="1" x14ac:dyDescent="0.2">
      <c r="B683" s="10"/>
      <c r="C683" s="11"/>
      <c r="D683" s="63"/>
      <c r="E683" s="11"/>
      <c r="F683" s="65"/>
      <c r="G683" s="12"/>
      <c r="H683" s="41"/>
      <c r="I683" s="30"/>
      <c r="J683" s="30"/>
      <c r="K683" s="30"/>
      <c r="L683" s="11"/>
      <c r="M683" s="11"/>
      <c r="N683" s="11"/>
      <c r="O683" s="11"/>
      <c r="P683" s="82"/>
    </row>
    <row r="684" spans="2:16" s="9" customFormat="1" x14ac:dyDescent="0.2">
      <c r="B684" s="10"/>
      <c r="C684" s="11"/>
      <c r="D684" s="63"/>
      <c r="E684" s="11"/>
      <c r="F684" s="65"/>
      <c r="G684" s="12"/>
      <c r="H684" s="41"/>
      <c r="I684" s="30"/>
      <c r="J684" s="30"/>
      <c r="K684" s="30"/>
      <c r="L684" s="11"/>
      <c r="M684" s="11"/>
      <c r="N684" s="11"/>
      <c r="O684" s="11"/>
      <c r="P684" s="82"/>
    </row>
    <row r="685" spans="2:16" s="9" customFormat="1" x14ac:dyDescent="0.2">
      <c r="B685" s="10"/>
      <c r="C685" s="11"/>
      <c r="D685" s="63"/>
      <c r="E685" s="11"/>
      <c r="F685" s="65"/>
      <c r="G685" s="12"/>
      <c r="H685" s="41"/>
      <c r="I685" s="30"/>
      <c r="J685" s="30"/>
      <c r="K685" s="30"/>
      <c r="L685" s="11"/>
      <c r="M685" s="11"/>
      <c r="N685" s="11"/>
      <c r="O685" s="11"/>
      <c r="P685" s="82"/>
    </row>
    <row r="686" spans="2:16" s="9" customFormat="1" x14ac:dyDescent="0.2">
      <c r="B686" s="10"/>
      <c r="C686" s="11"/>
      <c r="D686" s="63"/>
      <c r="E686" s="11"/>
      <c r="F686" s="65"/>
      <c r="G686" s="12"/>
      <c r="H686" s="41"/>
      <c r="I686" s="30"/>
      <c r="J686" s="30"/>
      <c r="K686" s="30"/>
      <c r="L686" s="11"/>
      <c r="M686" s="11"/>
      <c r="N686" s="11"/>
      <c r="O686" s="11"/>
      <c r="P686" s="82"/>
    </row>
    <row r="687" spans="2:16" s="9" customFormat="1" x14ac:dyDescent="0.2">
      <c r="B687" s="10"/>
      <c r="C687" s="11"/>
      <c r="D687" s="63"/>
      <c r="E687" s="11"/>
      <c r="F687" s="65"/>
      <c r="G687" s="12"/>
      <c r="H687" s="41"/>
      <c r="I687" s="30"/>
      <c r="J687" s="30"/>
      <c r="K687" s="30"/>
      <c r="L687" s="11"/>
      <c r="M687" s="11"/>
      <c r="N687" s="11"/>
      <c r="O687" s="11"/>
      <c r="P687" s="82"/>
    </row>
    <row r="688" spans="2:16" s="9" customFormat="1" x14ac:dyDescent="0.2">
      <c r="B688" s="10"/>
      <c r="C688" s="11"/>
      <c r="D688" s="63"/>
      <c r="E688" s="11"/>
      <c r="F688" s="65"/>
      <c r="G688" s="12"/>
      <c r="H688" s="41"/>
      <c r="I688" s="30"/>
      <c r="J688" s="30"/>
      <c r="K688" s="30"/>
      <c r="L688" s="11"/>
      <c r="M688" s="11"/>
      <c r="N688" s="11"/>
      <c r="O688" s="11"/>
      <c r="P688" s="82"/>
    </row>
    <row r="689" spans="2:16" s="9" customFormat="1" x14ac:dyDescent="0.2">
      <c r="B689" s="10"/>
      <c r="C689" s="11"/>
      <c r="D689" s="63"/>
      <c r="E689" s="11"/>
      <c r="F689" s="65"/>
      <c r="G689" s="12"/>
      <c r="H689" s="41"/>
      <c r="I689" s="30"/>
      <c r="J689" s="30"/>
      <c r="K689" s="30"/>
      <c r="L689" s="11"/>
      <c r="M689" s="11"/>
      <c r="N689" s="11"/>
      <c r="O689" s="11"/>
      <c r="P689" s="82"/>
    </row>
    <row r="690" spans="2:16" s="9" customFormat="1" x14ac:dyDescent="0.2">
      <c r="B690" s="10"/>
      <c r="C690" s="11"/>
      <c r="D690" s="63"/>
      <c r="E690" s="11"/>
      <c r="F690" s="65"/>
      <c r="G690" s="12"/>
      <c r="H690" s="41"/>
      <c r="I690" s="30"/>
      <c r="J690" s="30"/>
      <c r="K690" s="30"/>
      <c r="L690" s="11"/>
      <c r="M690" s="11"/>
      <c r="N690" s="11"/>
      <c r="O690" s="11"/>
      <c r="P690" s="82"/>
    </row>
    <row r="691" spans="2:16" s="9" customFormat="1" x14ac:dyDescent="0.2">
      <c r="B691" s="10"/>
      <c r="C691" s="11"/>
      <c r="D691" s="63"/>
      <c r="E691" s="11"/>
      <c r="F691" s="65"/>
      <c r="G691" s="12"/>
      <c r="H691" s="41"/>
      <c r="I691" s="30"/>
      <c r="J691" s="30"/>
      <c r="K691" s="30"/>
      <c r="L691" s="11"/>
      <c r="M691" s="11"/>
      <c r="N691" s="11"/>
      <c r="O691" s="11"/>
      <c r="P691" s="82"/>
    </row>
    <row r="692" spans="2:16" s="9" customFormat="1" x14ac:dyDescent="0.2">
      <c r="B692" s="10"/>
      <c r="C692" s="11"/>
      <c r="D692" s="63"/>
      <c r="E692" s="11"/>
      <c r="F692" s="65"/>
      <c r="G692" s="12"/>
      <c r="H692" s="41"/>
      <c r="I692" s="30"/>
      <c r="J692" s="30"/>
      <c r="K692" s="30"/>
      <c r="L692" s="11"/>
      <c r="M692" s="11"/>
      <c r="N692" s="11"/>
      <c r="O692" s="11"/>
      <c r="P692" s="82"/>
    </row>
    <row r="693" spans="2:16" s="9" customFormat="1" x14ac:dyDescent="0.2">
      <c r="B693" s="10"/>
      <c r="C693" s="11"/>
      <c r="D693" s="63"/>
      <c r="E693" s="11"/>
      <c r="F693" s="65"/>
      <c r="G693" s="12"/>
      <c r="H693" s="41"/>
      <c r="I693" s="30"/>
      <c r="J693" s="30"/>
      <c r="K693" s="30"/>
      <c r="L693" s="11"/>
      <c r="M693" s="11"/>
      <c r="N693" s="11"/>
      <c r="O693" s="11"/>
      <c r="P693" s="82"/>
    </row>
    <row r="694" spans="2:16" s="9" customFormat="1" x14ac:dyDescent="0.2">
      <c r="B694" s="10"/>
      <c r="C694" s="11"/>
      <c r="D694" s="63"/>
      <c r="E694" s="11"/>
      <c r="F694" s="65"/>
      <c r="G694" s="12"/>
      <c r="H694" s="41"/>
      <c r="I694" s="30"/>
      <c r="J694" s="30"/>
      <c r="K694" s="30"/>
      <c r="L694" s="11"/>
      <c r="M694" s="11"/>
      <c r="N694" s="11"/>
      <c r="O694" s="11"/>
      <c r="P694" s="82"/>
    </row>
    <row r="695" spans="2:16" s="9" customFormat="1" x14ac:dyDescent="0.2">
      <c r="B695" s="10"/>
      <c r="C695" s="11"/>
      <c r="D695" s="63"/>
      <c r="E695" s="11"/>
      <c r="F695" s="65"/>
      <c r="G695" s="12"/>
      <c r="H695" s="41"/>
      <c r="I695" s="30"/>
      <c r="J695" s="30"/>
      <c r="K695" s="30"/>
      <c r="L695" s="11"/>
      <c r="M695" s="11"/>
      <c r="N695" s="11"/>
      <c r="O695" s="11"/>
      <c r="P695" s="82"/>
    </row>
    <row r="696" spans="2:16" s="9" customFormat="1" x14ac:dyDescent="0.2">
      <c r="B696" s="10"/>
      <c r="C696" s="11"/>
      <c r="D696" s="63"/>
      <c r="E696" s="11"/>
      <c r="F696" s="65"/>
      <c r="G696" s="12"/>
      <c r="H696" s="41"/>
      <c r="I696" s="30"/>
      <c r="J696" s="30"/>
      <c r="K696" s="30"/>
      <c r="L696" s="11"/>
      <c r="M696" s="11"/>
      <c r="N696" s="11"/>
      <c r="O696" s="11"/>
      <c r="P696" s="82"/>
    </row>
    <row r="697" spans="2:16" s="9" customFormat="1" x14ac:dyDescent="0.2">
      <c r="B697" s="10"/>
      <c r="C697" s="11"/>
      <c r="D697" s="63"/>
      <c r="E697" s="11"/>
      <c r="F697" s="65"/>
      <c r="G697" s="12"/>
      <c r="H697" s="41"/>
      <c r="I697" s="30"/>
      <c r="J697" s="30"/>
      <c r="K697" s="30"/>
      <c r="L697" s="11"/>
      <c r="M697" s="11"/>
      <c r="N697" s="11"/>
      <c r="O697" s="11"/>
      <c r="P697" s="82"/>
    </row>
    <row r="698" spans="2:16" s="9" customFormat="1" x14ac:dyDescent="0.2">
      <c r="B698" s="10"/>
      <c r="C698" s="11"/>
      <c r="D698" s="63"/>
      <c r="E698" s="11"/>
      <c r="F698" s="65"/>
      <c r="G698" s="12"/>
      <c r="H698" s="41"/>
      <c r="I698" s="30"/>
      <c r="J698" s="30"/>
      <c r="K698" s="30"/>
      <c r="L698" s="11"/>
      <c r="M698" s="11"/>
      <c r="N698" s="11"/>
      <c r="O698" s="11"/>
      <c r="P698" s="82"/>
    </row>
    <row r="699" spans="2:16" s="9" customFormat="1" x14ac:dyDescent="0.2">
      <c r="B699" s="10"/>
      <c r="C699" s="11"/>
      <c r="D699" s="63"/>
      <c r="E699" s="11"/>
      <c r="F699" s="65"/>
      <c r="G699" s="12"/>
      <c r="H699" s="41"/>
      <c r="I699" s="30"/>
      <c r="J699" s="30"/>
      <c r="K699" s="30"/>
      <c r="L699" s="11"/>
      <c r="M699" s="11"/>
      <c r="N699" s="11"/>
      <c r="O699" s="11"/>
      <c r="P699" s="82"/>
    </row>
    <row r="700" spans="2:16" s="9" customFormat="1" x14ac:dyDescent="0.2">
      <c r="B700" s="10"/>
      <c r="C700" s="11"/>
      <c r="D700" s="63"/>
      <c r="E700" s="11"/>
      <c r="F700" s="65"/>
      <c r="G700" s="12"/>
      <c r="H700" s="41"/>
      <c r="I700" s="30"/>
      <c r="J700" s="30"/>
      <c r="K700" s="30"/>
      <c r="L700" s="11"/>
      <c r="M700" s="11"/>
      <c r="N700" s="11"/>
      <c r="O700" s="11"/>
      <c r="P700" s="82"/>
    </row>
    <row r="701" spans="2:16" s="9" customFormat="1" x14ac:dyDescent="0.2">
      <c r="B701" s="10"/>
      <c r="C701" s="11"/>
      <c r="D701" s="63"/>
      <c r="E701" s="11"/>
      <c r="F701" s="65"/>
      <c r="G701" s="12"/>
      <c r="H701" s="41"/>
      <c r="I701" s="30"/>
      <c r="J701" s="30"/>
      <c r="K701" s="30"/>
      <c r="L701" s="11"/>
      <c r="M701" s="11"/>
      <c r="N701" s="11"/>
      <c r="O701" s="11"/>
      <c r="P701" s="82"/>
    </row>
    <row r="702" spans="2:16" s="9" customFormat="1" x14ac:dyDescent="0.2">
      <c r="B702" s="10"/>
      <c r="C702" s="11"/>
      <c r="D702" s="63"/>
      <c r="E702" s="11"/>
      <c r="F702" s="65"/>
      <c r="G702" s="12"/>
      <c r="H702" s="41"/>
      <c r="I702" s="30"/>
      <c r="J702" s="30"/>
      <c r="K702" s="30"/>
      <c r="L702" s="11"/>
      <c r="M702" s="11"/>
      <c r="N702" s="11"/>
      <c r="O702" s="11"/>
      <c r="P702" s="82"/>
    </row>
    <row r="703" spans="2:16" s="9" customFormat="1" x14ac:dyDescent="0.2">
      <c r="B703" s="10"/>
      <c r="C703" s="11"/>
      <c r="D703" s="63"/>
      <c r="E703" s="11"/>
      <c r="F703" s="65"/>
      <c r="G703" s="12"/>
      <c r="H703" s="41"/>
      <c r="I703" s="30"/>
      <c r="J703" s="30"/>
      <c r="K703" s="30"/>
      <c r="L703" s="11"/>
      <c r="M703" s="11"/>
      <c r="N703" s="11"/>
      <c r="O703" s="11"/>
      <c r="P703" s="82"/>
    </row>
    <row r="704" spans="2:16" s="9" customFormat="1" x14ac:dyDescent="0.2">
      <c r="B704" s="10"/>
      <c r="C704" s="11"/>
      <c r="D704" s="63"/>
      <c r="E704" s="11"/>
      <c r="F704" s="65"/>
      <c r="G704" s="12"/>
      <c r="H704" s="41"/>
      <c r="I704" s="30"/>
      <c r="J704" s="30"/>
      <c r="K704" s="30"/>
      <c r="L704" s="11"/>
      <c r="M704" s="11"/>
      <c r="N704" s="11"/>
      <c r="O704" s="11"/>
      <c r="P704" s="82"/>
    </row>
    <row r="705" spans="2:16" s="9" customFormat="1" x14ac:dyDescent="0.2">
      <c r="B705" s="10"/>
      <c r="C705" s="11"/>
      <c r="D705" s="63"/>
      <c r="E705" s="11"/>
      <c r="F705" s="65"/>
      <c r="G705" s="12"/>
      <c r="H705" s="41"/>
      <c r="I705" s="30"/>
      <c r="J705" s="30"/>
      <c r="K705" s="30"/>
      <c r="L705" s="11"/>
      <c r="M705" s="11"/>
      <c r="N705" s="11"/>
      <c r="O705" s="11"/>
      <c r="P705" s="82"/>
    </row>
    <row r="706" spans="2:16" s="9" customFormat="1" x14ac:dyDescent="0.2">
      <c r="B706" s="10"/>
      <c r="C706" s="11"/>
      <c r="D706" s="63"/>
      <c r="E706" s="11"/>
      <c r="F706" s="65"/>
      <c r="G706" s="12"/>
      <c r="H706" s="41"/>
      <c r="I706" s="30"/>
      <c r="J706" s="30"/>
      <c r="K706" s="30"/>
      <c r="L706" s="11"/>
      <c r="M706" s="11"/>
      <c r="N706" s="11"/>
      <c r="O706" s="11"/>
      <c r="P706" s="82"/>
    </row>
    <row r="707" spans="2:16" s="9" customFormat="1" x14ac:dyDescent="0.2">
      <c r="B707" s="10"/>
      <c r="C707" s="11"/>
      <c r="D707" s="63"/>
      <c r="E707" s="11"/>
      <c r="F707" s="65"/>
      <c r="G707" s="12"/>
      <c r="H707" s="41"/>
      <c r="I707" s="30"/>
      <c r="J707" s="30"/>
      <c r="K707" s="30"/>
      <c r="L707" s="11"/>
      <c r="M707" s="11"/>
      <c r="N707" s="11"/>
      <c r="O707" s="11"/>
      <c r="P707" s="82"/>
    </row>
    <row r="708" spans="2:16" s="9" customFormat="1" x14ac:dyDescent="0.2">
      <c r="B708" s="10"/>
      <c r="C708" s="11"/>
      <c r="D708" s="63"/>
      <c r="E708" s="11"/>
      <c r="F708" s="65"/>
      <c r="G708" s="12"/>
      <c r="H708" s="41"/>
      <c r="I708" s="30"/>
      <c r="J708" s="30"/>
      <c r="K708" s="30"/>
      <c r="L708" s="11"/>
      <c r="M708" s="11"/>
      <c r="N708" s="11"/>
      <c r="O708" s="11"/>
      <c r="P708" s="82"/>
    </row>
    <row r="709" spans="2:16" s="9" customFormat="1" x14ac:dyDescent="0.2">
      <c r="B709" s="10"/>
      <c r="C709" s="11"/>
      <c r="D709" s="63"/>
      <c r="E709" s="11"/>
      <c r="F709" s="65"/>
      <c r="G709" s="12"/>
      <c r="H709" s="41"/>
      <c r="I709" s="30"/>
      <c r="J709" s="30"/>
      <c r="K709" s="30"/>
      <c r="L709" s="11"/>
      <c r="M709" s="11"/>
      <c r="N709" s="11"/>
      <c r="O709" s="11"/>
      <c r="P709" s="82"/>
    </row>
    <row r="710" spans="2:16" s="9" customFormat="1" x14ac:dyDescent="0.2">
      <c r="B710" s="10"/>
      <c r="C710" s="11"/>
      <c r="D710" s="63"/>
      <c r="E710" s="11"/>
      <c r="F710" s="65"/>
      <c r="G710" s="12"/>
      <c r="H710" s="41"/>
      <c r="I710" s="30"/>
      <c r="J710" s="30"/>
      <c r="K710" s="30"/>
      <c r="L710" s="11"/>
      <c r="M710" s="11"/>
      <c r="N710" s="11"/>
      <c r="O710" s="11"/>
      <c r="P710" s="82"/>
    </row>
    <row r="711" spans="2:16" s="9" customFormat="1" x14ac:dyDescent="0.2">
      <c r="B711" s="10"/>
      <c r="C711" s="11"/>
      <c r="D711" s="63"/>
      <c r="E711" s="11"/>
      <c r="F711" s="65"/>
      <c r="G711" s="12"/>
      <c r="H711" s="41"/>
      <c r="I711" s="30"/>
      <c r="J711" s="30"/>
      <c r="K711" s="30"/>
      <c r="L711" s="11"/>
      <c r="M711" s="11"/>
      <c r="N711" s="11"/>
      <c r="O711" s="11"/>
      <c r="P711" s="82"/>
    </row>
    <row r="712" spans="2:16" s="9" customFormat="1" x14ac:dyDescent="0.2">
      <c r="B712" s="10"/>
      <c r="C712" s="11"/>
      <c r="D712" s="63"/>
      <c r="E712" s="11"/>
      <c r="F712" s="65"/>
      <c r="G712" s="12"/>
      <c r="H712" s="41"/>
      <c r="I712" s="30"/>
      <c r="J712" s="30"/>
      <c r="K712" s="30"/>
      <c r="L712" s="11"/>
      <c r="M712" s="11"/>
      <c r="N712" s="11"/>
      <c r="O712" s="11"/>
      <c r="P712" s="82"/>
    </row>
    <row r="713" spans="2:16" s="9" customFormat="1" x14ac:dyDescent="0.2">
      <c r="B713" s="10"/>
      <c r="C713" s="11"/>
      <c r="D713" s="63"/>
      <c r="E713" s="11"/>
      <c r="F713" s="65"/>
      <c r="G713" s="12"/>
      <c r="H713" s="41"/>
      <c r="I713" s="30"/>
      <c r="J713" s="30"/>
      <c r="K713" s="30"/>
      <c r="L713" s="11"/>
      <c r="M713" s="11"/>
      <c r="N713" s="11"/>
      <c r="O713" s="11"/>
      <c r="P713" s="82"/>
    </row>
    <row r="714" spans="2:16" s="9" customFormat="1" x14ac:dyDescent="0.2">
      <c r="B714" s="10"/>
      <c r="C714" s="11"/>
      <c r="D714" s="63"/>
      <c r="E714" s="11"/>
      <c r="F714" s="65"/>
      <c r="G714" s="12"/>
      <c r="H714" s="41"/>
      <c r="I714" s="30"/>
      <c r="J714" s="30"/>
      <c r="K714" s="30"/>
      <c r="L714" s="11"/>
      <c r="M714" s="11"/>
      <c r="N714" s="11"/>
      <c r="O714" s="11"/>
      <c r="P714" s="82"/>
    </row>
    <row r="715" spans="2:16" s="9" customFormat="1" x14ac:dyDescent="0.2">
      <c r="B715" s="10"/>
      <c r="C715" s="11"/>
      <c r="D715" s="63"/>
      <c r="E715" s="11"/>
      <c r="F715" s="65"/>
      <c r="G715" s="12"/>
      <c r="H715" s="41"/>
      <c r="I715" s="30"/>
      <c r="J715" s="30"/>
      <c r="K715" s="30"/>
      <c r="L715" s="11"/>
      <c r="M715" s="11"/>
      <c r="N715" s="11"/>
      <c r="O715" s="11"/>
      <c r="P715" s="82"/>
    </row>
    <row r="716" spans="2:16" s="9" customFormat="1" x14ac:dyDescent="0.2">
      <c r="B716" s="10"/>
      <c r="C716" s="11"/>
      <c r="D716" s="63"/>
      <c r="E716" s="11"/>
      <c r="F716" s="65"/>
      <c r="G716" s="12"/>
      <c r="H716" s="41"/>
      <c r="I716" s="30"/>
      <c r="J716" s="30"/>
      <c r="K716" s="30"/>
      <c r="L716" s="11"/>
      <c r="M716" s="11"/>
      <c r="N716" s="11"/>
      <c r="O716" s="11"/>
      <c r="P716" s="82"/>
    </row>
    <row r="717" spans="2:16" s="9" customFormat="1" x14ac:dyDescent="0.2">
      <c r="B717" s="10"/>
      <c r="C717" s="11"/>
      <c r="D717" s="63"/>
      <c r="E717" s="11"/>
      <c r="F717" s="65"/>
      <c r="G717" s="12"/>
      <c r="H717" s="41"/>
      <c r="I717" s="30"/>
      <c r="J717" s="30"/>
      <c r="K717" s="30"/>
      <c r="L717" s="11"/>
      <c r="M717" s="11"/>
      <c r="N717" s="11"/>
      <c r="O717" s="11"/>
      <c r="P717" s="82"/>
    </row>
    <row r="718" spans="2:16" s="9" customFormat="1" x14ac:dyDescent="0.2">
      <c r="B718" s="10"/>
      <c r="C718" s="11"/>
      <c r="D718" s="63"/>
      <c r="E718" s="11"/>
      <c r="F718" s="65"/>
      <c r="G718" s="12"/>
      <c r="H718" s="41"/>
      <c r="I718" s="30"/>
      <c r="J718" s="30"/>
      <c r="K718" s="30"/>
      <c r="L718" s="11"/>
      <c r="M718" s="11"/>
      <c r="N718" s="11"/>
      <c r="O718" s="11"/>
      <c r="P718" s="82"/>
    </row>
    <row r="719" spans="2:16" s="9" customFormat="1" x14ac:dyDescent="0.2">
      <c r="B719" s="10"/>
      <c r="C719" s="11"/>
      <c r="D719" s="63"/>
      <c r="E719" s="11"/>
      <c r="F719" s="65"/>
      <c r="G719" s="12"/>
      <c r="H719" s="41"/>
      <c r="I719" s="30"/>
      <c r="J719" s="30"/>
      <c r="K719" s="30"/>
      <c r="L719" s="11"/>
      <c r="M719" s="11"/>
      <c r="N719" s="11"/>
      <c r="O719" s="11"/>
      <c r="P719" s="82"/>
    </row>
    <row r="720" spans="2:16" s="9" customFormat="1" x14ac:dyDescent="0.2">
      <c r="B720" s="10"/>
      <c r="C720" s="11"/>
      <c r="D720" s="63"/>
      <c r="E720" s="11"/>
      <c r="F720" s="65"/>
      <c r="G720" s="12"/>
      <c r="H720" s="41"/>
      <c r="I720" s="30"/>
      <c r="J720" s="30"/>
      <c r="K720" s="30"/>
      <c r="L720" s="11"/>
      <c r="M720" s="11"/>
      <c r="N720" s="11"/>
      <c r="O720" s="11"/>
      <c r="P720" s="82"/>
    </row>
    <row r="721" spans="2:16" s="9" customFormat="1" x14ac:dyDescent="0.2">
      <c r="B721" s="10"/>
      <c r="C721" s="11"/>
      <c r="D721" s="63"/>
      <c r="E721" s="11"/>
      <c r="F721" s="65"/>
      <c r="G721" s="12"/>
      <c r="H721" s="41"/>
      <c r="I721" s="30"/>
      <c r="J721" s="30"/>
      <c r="K721" s="30"/>
      <c r="L721" s="11"/>
      <c r="M721" s="11"/>
      <c r="N721" s="11"/>
      <c r="O721" s="11"/>
      <c r="P721" s="82"/>
    </row>
    <row r="722" spans="2:16" s="9" customFormat="1" x14ac:dyDescent="0.2">
      <c r="B722" s="10"/>
      <c r="C722" s="11"/>
      <c r="D722" s="63"/>
      <c r="E722" s="11"/>
      <c r="F722" s="65"/>
      <c r="G722" s="12"/>
      <c r="H722" s="41"/>
      <c r="I722" s="30"/>
      <c r="J722" s="30"/>
      <c r="K722" s="30"/>
      <c r="L722" s="11"/>
      <c r="M722" s="11"/>
      <c r="N722" s="11"/>
      <c r="O722" s="11"/>
      <c r="P722" s="82"/>
    </row>
    <row r="723" spans="2:16" s="9" customFormat="1" x14ac:dyDescent="0.2">
      <c r="B723" s="10"/>
      <c r="C723" s="11"/>
      <c r="D723" s="63"/>
      <c r="E723" s="11"/>
      <c r="F723" s="65"/>
      <c r="G723" s="12"/>
      <c r="H723" s="41"/>
      <c r="I723" s="30"/>
      <c r="J723" s="30"/>
      <c r="K723" s="30"/>
      <c r="L723" s="11"/>
      <c r="M723" s="11"/>
      <c r="N723" s="11"/>
      <c r="O723" s="11"/>
      <c r="P723" s="82"/>
    </row>
    <row r="724" spans="2:16" s="9" customFormat="1" x14ac:dyDescent="0.2">
      <c r="B724" s="10"/>
      <c r="C724" s="11"/>
      <c r="D724" s="63"/>
      <c r="E724" s="11"/>
      <c r="F724" s="65"/>
      <c r="G724" s="12"/>
      <c r="H724" s="41"/>
      <c r="I724" s="30"/>
      <c r="J724" s="30"/>
      <c r="K724" s="30"/>
      <c r="L724" s="11"/>
      <c r="M724" s="11"/>
      <c r="N724" s="11"/>
      <c r="O724" s="11"/>
      <c r="P724" s="82"/>
    </row>
    <row r="725" spans="2:16" s="9" customFormat="1" x14ac:dyDescent="0.2">
      <c r="B725" s="10"/>
      <c r="C725" s="11"/>
      <c r="D725" s="63"/>
      <c r="E725" s="11"/>
      <c r="F725" s="65"/>
      <c r="G725" s="12"/>
      <c r="H725" s="41"/>
      <c r="I725" s="30"/>
      <c r="J725" s="30"/>
      <c r="K725" s="30"/>
      <c r="L725" s="11"/>
      <c r="M725" s="11"/>
      <c r="N725" s="11"/>
      <c r="O725" s="11"/>
      <c r="P725" s="82"/>
    </row>
    <row r="726" spans="2:16" s="9" customFormat="1" x14ac:dyDescent="0.2">
      <c r="B726" s="10"/>
      <c r="C726" s="11"/>
      <c r="D726" s="63"/>
      <c r="E726" s="11"/>
      <c r="F726" s="65"/>
      <c r="G726" s="12"/>
      <c r="H726" s="41"/>
      <c r="I726" s="30"/>
      <c r="J726" s="30"/>
      <c r="K726" s="30"/>
      <c r="L726" s="11"/>
      <c r="M726" s="11"/>
      <c r="N726" s="11"/>
      <c r="O726" s="11"/>
      <c r="P726" s="82"/>
    </row>
    <row r="727" spans="2:16" s="9" customFormat="1" x14ac:dyDescent="0.2">
      <c r="B727" s="10"/>
      <c r="C727" s="11"/>
      <c r="D727" s="63"/>
      <c r="E727" s="11"/>
      <c r="F727" s="65"/>
      <c r="G727" s="12"/>
      <c r="H727" s="41"/>
      <c r="I727" s="30"/>
      <c r="J727" s="30"/>
      <c r="K727" s="30"/>
      <c r="L727" s="11"/>
      <c r="M727" s="11"/>
      <c r="N727" s="11"/>
      <c r="O727" s="11"/>
      <c r="P727" s="82"/>
    </row>
    <row r="728" spans="2:16" s="9" customFormat="1" x14ac:dyDescent="0.2">
      <c r="B728" s="10"/>
      <c r="C728" s="11"/>
      <c r="D728" s="63"/>
      <c r="E728" s="11"/>
      <c r="F728" s="65"/>
      <c r="G728" s="12"/>
      <c r="H728" s="41"/>
      <c r="I728" s="30"/>
      <c r="J728" s="30"/>
      <c r="K728" s="30"/>
      <c r="L728" s="11"/>
      <c r="M728" s="11"/>
      <c r="N728" s="11"/>
      <c r="O728" s="11"/>
      <c r="P728" s="82"/>
    </row>
    <row r="729" spans="2:16" s="9" customFormat="1" x14ac:dyDescent="0.2">
      <c r="B729" s="10"/>
      <c r="C729" s="11"/>
      <c r="D729" s="63"/>
      <c r="E729" s="11"/>
      <c r="F729" s="65"/>
      <c r="G729" s="12"/>
      <c r="H729" s="41"/>
      <c r="I729" s="30"/>
      <c r="J729" s="30"/>
      <c r="K729" s="30"/>
      <c r="L729" s="11"/>
      <c r="M729" s="11"/>
      <c r="N729" s="11"/>
      <c r="O729" s="11"/>
      <c r="P729" s="82"/>
    </row>
    <row r="730" spans="2:16" s="9" customFormat="1" x14ac:dyDescent="0.2">
      <c r="B730" s="10"/>
      <c r="C730" s="11"/>
      <c r="D730" s="63"/>
      <c r="E730" s="11"/>
      <c r="F730" s="65"/>
      <c r="G730" s="12"/>
      <c r="H730" s="41"/>
      <c r="I730" s="30"/>
      <c r="J730" s="30"/>
      <c r="K730" s="30"/>
      <c r="L730" s="11"/>
      <c r="M730" s="11"/>
      <c r="N730" s="11"/>
      <c r="O730" s="11"/>
      <c r="P730" s="82"/>
    </row>
    <row r="731" spans="2:16" s="9" customFormat="1" x14ac:dyDescent="0.2">
      <c r="B731" s="10"/>
      <c r="C731" s="11"/>
      <c r="D731" s="63"/>
      <c r="E731" s="11"/>
      <c r="F731" s="65"/>
      <c r="G731" s="12"/>
      <c r="H731" s="41"/>
      <c r="I731" s="30"/>
      <c r="J731" s="30"/>
      <c r="K731" s="30"/>
      <c r="L731" s="11"/>
      <c r="M731" s="11"/>
      <c r="N731" s="11"/>
      <c r="O731" s="11"/>
      <c r="P731" s="82"/>
    </row>
    <row r="732" spans="2:16" s="9" customFormat="1" x14ac:dyDescent="0.2">
      <c r="B732" s="10"/>
      <c r="C732" s="11"/>
      <c r="D732" s="63"/>
      <c r="E732" s="11"/>
      <c r="F732" s="65"/>
      <c r="G732" s="12"/>
      <c r="H732" s="41"/>
      <c r="I732" s="30"/>
      <c r="J732" s="30"/>
      <c r="K732" s="30"/>
      <c r="L732" s="11"/>
      <c r="M732" s="11"/>
      <c r="N732" s="11"/>
      <c r="O732" s="11"/>
      <c r="P732" s="82"/>
    </row>
    <row r="733" spans="2:16" s="9" customFormat="1" x14ac:dyDescent="0.2">
      <c r="B733" s="10"/>
      <c r="C733" s="11"/>
      <c r="D733" s="63"/>
      <c r="E733" s="11"/>
      <c r="F733" s="65"/>
      <c r="G733" s="12"/>
      <c r="H733" s="41"/>
      <c r="I733" s="30"/>
      <c r="J733" s="30"/>
      <c r="K733" s="30"/>
      <c r="L733" s="11"/>
      <c r="M733" s="11"/>
      <c r="N733" s="11"/>
      <c r="O733" s="11"/>
      <c r="P733" s="82"/>
    </row>
    <row r="734" spans="2:16" s="9" customFormat="1" x14ac:dyDescent="0.2">
      <c r="B734" s="10"/>
      <c r="C734" s="11"/>
      <c r="D734" s="63"/>
      <c r="E734" s="11"/>
      <c r="F734" s="65"/>
      <c r="G734" s="12"/>
      <c r="H734" s="41"/>
      <c r="I734" s="30"/>
      <c r="J734" s="30"/>
      <c r="K734" s="30"/>
      <c r="L734" s="11"/>
      <c r="M734" s="11"/>
      <c r="N734" s="11"/>
      <c r="O734" s="11"/>
      <c r="P734" s="82"/>
    </row>
    <row r="735" spans="2:16" s="9" customFormat="1" x14ac:dyDescent="0.2">
      <c r="B735" s="10"/>
      <c r="C735" s="11"/>
      <c r="D735" s="63"/>
      <c r="E735" s="11"/>
      <c r="F735" s="65"/>
      <c r="G735" s="12"/>
      <c r="H735" s="41"/>
      <c r="I735" s="30"/>
      <c r="J735" s="30"/>
      <c r="K735" s="30"/>
      <c r="L735" s="11"/>
      <c r="M735" s="11"/>
      <c r="N735" s="11"/>
      <c r="O735" s="11"/>
      <c r="P735" s="82"/>
    </row>
    <row r="736" spans="2:16" s="9" customFormat="1" x14ac:dyDescent="0.2">
      <c r="B736" s="10"/>
      <c r="C736" s="11"/>
      <c r="D736" s="63"/>
      <c r="E736" s="11"/>
      <c r="F736" s="65"/>
      <c r="G736" s="12"/>
      <c r="H736" s="41"/>
      <c r="I736" s="30"/>
      <c r="J736" s="30"/>
      <c r="K736" s="30"/>
      <c r="L736" s="11"/>
      <c r="M736" s="11"/>
      <c r="N736" s="11"/>
      <c r="O736" s="11"/>
      <c r="P736" s="82"/>
    </row>
    <row r="737" spans="2:16" s="9" customFormat="1" x14ac:dyDescent="0.2">
      <c r="B737" s="10"/>
      <c r="C737" s="11"/>
      <c r="D737" s="63"/>
      <c r="E737" s="11"/>
      <c r="F737" s="65"/>
      <c r="G737" s="12"/>
      <c r="H737" s="41"/>
      <c r="I737" s="30"/>
      <c r="J737" s="30"/>
      <c r="K737" s="30"/>
      <c r="L737" s="11"/>
      <c r="M737" s="11"/>
      <c r="N737" s="11"/>
      <c r="O737" s="11"/>
      <c r="P737" s="82"/>
    </row>
    <row r="738" spans="2:16" s="9" customFormat="1" x14ac:dyDescent="0.2">
      <c r="B738" s="10"/>
      <c r="C738" s="11"/>
      <c r="D738" s="63"/>
      <c r="E738" s="11"/>
      <c r="F738" s="65"/>
      <c r="G738" s="12"/>
      <c r="H738" s="41"/>
      <c r="I738" s="30"/>
      <c r="J738" s="30"/>
      <c r="K738" s="30"/>
      <c r="L738" s="11"/>
      <c r="M738" s="11"/>
      <c r="N738" s="11"/>
      <c r="O738" s="11"/>
      <c r="P738" s="82"/>
    </row>
    <row r="739" spans="2:16" s="9" customFormat="1" x14ac:dyDescent="0.2">
      <c r="B739" s="10"/>
      <c r="C739" s="11"/>
      <c r="D739" s="63"/>
      <c r="E739" s="11"/>
      <c r="F739" s="65"/>
      <c r="G739" s="12"/>
      <c r="H739" s="41"/>
      <c r="I739" s="30"/>
      <c r="J739" s="30"/>
      <c r="K739" s="30"/>
      <c r="L739" s="11"/>
      <c r="M739" s="11"/>
      <c r="N739" s="11"/>
      <c r="O739" s="11"/>
      <c r="P739" s="82"/>
    </row>
    <row r="740" spans="2:16" s="9" customFormat="1" x14ac:dyDescent="0.2">
      <c r="B740" s="10"/>
      <c r="C740" s="11"/>
      <c r="D740" s="63"/>
      <c r="E740" s="11"/>
      <c r="F740" s="65"/>
      <c r="G740" s="12"/>
      <c r="H740" s="41"/>
      <c r="I740" s="30"/>
      <c r="J740" s="30"/>
      <c r="K740" s="30"/>
      <c r="L740" s="11"/>
      <c r="M740" s="11"/>
      <c r="N740" s="11"/>
      <c r="O740" s="11"/>
      <c r="P740" s="82"/>
    </row>
    <row r="741" spans="2:16" s="9" customFormat="1" x14ac:dyDescent="0.2">
      <c r="B741" s="10"/>
      <c r="C741" s="11"/>
      <c r="D741" s="63"/>
      <c r="E741" s="11"/>
      <c r="F741" s="65"/>
      <c r="G741" s="12"/>
      <c r="H741" s="41"/>
      <c r="I741" s="30"/>
      <c r="J741" s="30"/>
      <c r="K741" s="30"/>
      <c r="L741" s="11"/>
      <c r="M741" s="11"/>
      <c r="N741" s="11"/>
      <c r="O741" s="11"/>
      <c r="P741" s="82"/>
    </row>
    <row r="742" spans="2:16" s="9" customFormat="1" x14ac:dyDescent="0.2">
      <c r="B742" s="10"/>
      <c r="C742" s="11"/>
      <c r="D742" s="63"/>
      <c r="E742" s="11"/>
      <c r="F742" s="65"/>
      <c r="G742" s="12"/>
      <c r="H742" s="41"/>
      <c r="I742" s="30"/>
      <c r="J742" s="30"/>
      <c r="K742" s="30"/>
      <c r="L742" s="11"/>
      <c r="M742" s="11"/>
      <c r="N742" s="11"/>
      <c r="O742" s="11"/>
      <c r="P742" s="82"/>
    </row>
    <row r="743" spans="2:16" s="9" customFormat="1" x14ac:dyDescent="0.2">
      <c r="B743" s="10"/>
      <c r="C743" s="11"/>
      <c r="D743" s="63"/>
      <c r="E743" s="11"/>
      <c r="F743" s="65"/>
      <c r="G743" s="12"/>
      <c r="H743" s="41"/>
      <c r="I743" s="30"/>
      <c r="J743" s="30"/>
      <c r="K743" s="30"/>
      <c r="L743" s="11"/>
      <c r="M743" s="11"/>
      <c r="N743" s="11"/>
      <c r="O743" s="11"/>
      <c r="P743" s="82"/>
    </row>
    <row r="744" spans="2:16" s="9" customFormat="1" x14ac:dyDescent="0.2">
      <c r="B744" s="10"/>
      <c r="C744" s="11"/>
      <c r="D744" s="63"/>
      <c r="E744" s="11"/>
      <c r="F744" s="65"/>
      <c r="G744" s="12"/>
      <c r="H744" s="41"/>
      <c r="I744" s="30"/>
      <c r="J744" s="30"/>
      <c r="K744" s="30"/>
      <c r="L744" s="11"/>
      <c r="M744" s="11"/>
      <c r="N744" s="11"/>
      <c r="O744" s="11"/>
      <c r="P744" s="82"/>
    </row>
    <row r="745" spans="2:16" s="9" customFormat="1" x14ac:dyDescent="0.2">
      <c r="B745" s="10"/>
      <c r="C745" s="11"/>
      <c r="D745" s="63"/>
      <c r="E745" s="11"/>
      <c r="F745" s="65"/>
      <c r="G745" s="12"/>
      <c r="H745" s="41"/>
      <c r="I745" s="30"/>
      <c r="J745" s="30"/>
      <c r="K745" s="30"/>
      <c r="L745" s="11"/>
      <c r="M745" s="11"/>
      <c r="N745" s="11"/>
      <c r="O745" s="11"/>
      <c r="P745" s="82"/>
    </row>
    <row r="746" spans="2:16" s="9" customFormat="1" x14ac:dyDescent="0.2">
      <c r="B746" s="10"/>
      <c r="C746" s="11"/>
      <c r="D746" s="63"/>
      <c r="E746" s="11"/>
      <c r="F746" s="65"/>
      <c r="G746" s="12"/>
      <c r="H746" s="41"/>
      <c r="I746" s="30"/>
      <c r="J746" s="30"/>
      <c r="K746" s="30"/>
      <c r="L746" s="11"/>
      <c r="M746" s="11"/>
      <c r="N746" s="11"/>
      <c r="O746" s="11"/>
      <c r="P746" s="82"/>
    </row>
    <row r="747" spans="2:16" s="9" customFormat="1" x14ac:dyDescent="0.2">
      <c r="B747" s="10"/>
      <c r="C747" s="11"/>
      <c r="D747" s="63"/>
      <c r="E747" s="11"/>
      <c r="F747" s="65"/>
      <c r="G747" s="12"/>
      <c r="H747" s="41"/>
      <c r="I747" s="30"/>
      <c r="J747" s="30"/>
      <c r="K747" s="30"/>
      <c r="L747" s="11"/>
      <c r="M747" s="11"/>
      <c r="N747" s="11"/>
      <c r="O747" s="11"/>
      <c r="P747" s="82"/>
    </row>
    <row r="748" spans="2:16" s="9" customFormat="1" x14ac:dyDescent="0.2">
      <c r="B748" s="10"/>
      <c r="C748" s="11"/>
      <c r="D748" s="63"/>
      <c r="E748" s="11"/>
      <c r="F748" s="65"/>
      <c r="G748" s="12"/>
      <c r="H748" s="41"/>
      <c r="I748" s="30"/>
      <c r="J748" s="30"/>
      <c r="K748" s="30"/>
      <c r="L748" s="11"/>
      <c r="M748" s="11"/>
      <c r="N748" s="11"/>
      <c r="O748" s="11"/>
      <c r="P748" s="82"/>
    </row>
    <row r="749" spans="2:16" s="9" customFormat="1" x14ac:dyDescent="0.2">
      <c r="B749" s="10"/>
      <c r="C749" s="11"/>
      <c r="D749" s="63"/>
      <c r="E749" s="11"/>
      <c r="F749" s="65"/>
      <c r="G749" s="12"/>
      <c r="H749" s="41"/>
      <c r="I749" s="30"/>
      <c r="J749" s="30"/>
      <c r="K749" s="30"/>
      <c r="L749" s="11"/>
      <c r="M749" s="11"/>
      <c r="N749" s="11"/>
      <c r="O749" s="11"/>
      <c r="P749" s="82"/>
    </row>
    <row r="750" spans="2:16" s="9" customFormat="1" x14ac:dyDescent="0.2">
      <c r="B750" s="10"/>
      <c r="C750" s="11"/>
      <c r="D750" s="63"/>
      <c r="E750" s="11"/>
      <c r="F750" s="65"/>
      <c r="G750" s="12"/>
      <c r="H750" s="41"/>
      <c r="I750" s="30"/>
      <c r="J750" s="30"/>
      <c r="K750" s="30"/>
      <c r="L750" s="11"/>
      <c r="M750" s="11"/>
      <c r="N750" s="11"/>
      <c r="O750" s="11"/>
      <c r="P750" s="82"/>
    </row>
    <row r="751" spans="2:16" s="9" customFormat="1" x14ac:dyDescent="0.2">
      <c r="B751" s="10"/>
      <c r="C751" s="11"/>
      <c r="D751" s="63"/>
      <c r="E751" s="11"/>
      <c r="F751" s="65"/>
      <c r="G751" s="12"/>
      <c r="H751" s="41"/>
      <c r="I751" s="30"/>
      <c r="J751" s="30"/>
      <c r="K751" s="30"/>
      <c r="L751" s="11"/>
      <c r="M751" s="11"/>
      <c r="N751" s="11"/>
      <c r="O751" s="11"/>
      <c r="P751" s="82"/>
    </row>
    <row r="752" spans="2:16" s="9" customFormat="1" x14ac:dyDescent="0.2">
      <c r="B752" s="10"/>
      <c r="C752" s="11"/>
      <c r="D752" s="63"/>
      <c r="E752" s="11"/>
      <c r="F752" s="65"/>
      <c r="G752" s="12"/>
      <c r="H752" s="41"/>
      <c r="I752" s="30"/>
      <c r="J752" s="30"/>
      <c r="K752" s="30"/>
      <c r="L752" s="11"/>
      <c r="M752" s="11"/>
      <c r="N752" s="11"/>
      <c r="O752" s="11"/>
      <c r="P752" s="82"/>
    </row>
    <row r="753" spans="2:16" s="9" customFormat="1" x14ac:dyDescent="0.2">
      <c r="B753" s="10"/>
      <c r="C753" s="11"/>
      <c r="D753" s="63"/>
      <c r="E753" s="11"/>
      <c r="F753" s="65"/>
      <c r="G753" s="12"/>
      <c r="H753" s="41"/>
      <c r="I753" s="30"/>
      <c r="J753" s="30"/>
      <c r="K753" s="30"/>
      <c r="L753" s="11"/>
      <c r="M753" s="11"/>
      <c r="N753" s="11"/>
      <c r="O753" s="11"/>
      <c r="P753" s="82"/>
    </row>
    <row r="754" spans="2:16" s="9" customFormat="1" x14ac:dyDescent="0.2">
      <c r="B754" s="10"/>
      <c r="C754" s="11"/>
      <c r="D754" s="63"/>
      <c r="E754" s="11"/>
      <c r="F754" s="65"/>
      <c r="G754" s="12"/>
      <c r="H754" s="41"/>
      <c r="I754" s="30"/>
      <c r="J754" s="30"/>
      <c r="K754" s="30"/>
      <c r="L754" s="11"/>
      <c r="M754" s="11"/>
      <c r="N754" s="11"/>
      <c r="O754" s="11"/>
      <c r="P754" s="82"/>
    </row>
    <row r="755" spans="2:16" s="9" customFormat="1" x14ac:dyDescent="0.2">
      <c r="B755" s="10"/>
      <c r="C755" s="11"/>
      <c r="D755" s="63"/>
      <c r="E755" s="11"/>
      <c r="F755" s="65"/>
      <c r="G755" s="12"/>
      <c r="H755" s="41"/>
      <c r="I755" s="30"/>
      <c r="J755" s="30"/>
      <c r="K755" s="30"/>
      <c r="L755" s="11"/>
      <c r="M755" s="11"/>
      <c r="N755" s="11"/>
      <c r="O755" s="11"/>
      <c r="P755" s="82"/>
    </row>
    <row r="756" spans="2:16" s="9" customFormat="1" x14ac:dyDescent="0.2">
      <c r="B756" s="10"/>
      <c r="C756" s="11"/>
      <c r="D756" s="63"/>
      <c r="E756" s="11"/>
      <c r="F756" s="65"/>
      <c r="G756" s="12"/>
      <c r="H756" s="41"/>
      <c r="I756" s="30"/>
      <c r="J756" s="30"/>
      <c r="K756" s="30"/>
      <c r="L756" s="11"/>
      <c r="M756" s="11"/>
      <c r="N756" s="11"/>
      <c r="O756" s="11"/>
      <c r="P756" s="82"/>
    </row>
    <row r="757" spans="2:16" s="9" customFormat="1" x14ac:dyDescent="0.2">
      <c r="B757" s="10"/>
      <c r="C757" s="11"/>
      <c r="D757" s="63"/>
      <c r="E757" s="11"/>
      <c r="F757" s="65"/>
      <c r="G757" s="12"/>
      <c r="H757" s="41"/>
      <c r="I757" s="30"/>
      <c r="J757" s="30"/>
      <c r="K757" s="30"/>
      <c r="L757" s="11"/>
      <c r="M757" s="11"/>
      <c r="N757" s="11"/>
      <c r="O757" s="11"/>
      <c r="P757" s="82"/>
    </row>
    <row r="758" spans="2:16" s="9" customFormat="1" x14ac:dyDescent="0.2">
      <c r="B758" s="10"/>
      <c r="C758" s="11"/>
      <c r="D758" s="63"/>
      <c r="E758" s="11"/>
      <c r="F758" s="65"/>
      <c r="G758" s="12"/>
      <c r="H758" s="41"/>
      <c r="I758" s="30"/>
      <c r="J758" s="30"/>
      <c r="K758" s="30"/>
      <c r="L758" s="11"/>
      <c r="M758" s="11"/>
      <c r="N758" s="11"/>
      <c r="O758" s="11"/>
      <c r="P758" s="82"/>
    </row>
    <row r="759" spans="2:16" s="9" customFormat="1" x14ac:dyDescent="0.2">
      <c r="B759" s="10"/>
      <c r="C759" s="11"/>
      <c r="D759" s="63"/>
      <c r="E759" s="11"/>
      <c r="F759" s="65"/>
      <c r="G759" s="12"/>
      <c r="H759" s="41"/>
      <c r="I759" s="30"/>
      <c r="J759" s="30"/>
      <c r="K759" s="30"/>
      <c r="L759" s="11"/>
      <c r="M759" s="11"/>
      <c r="N759" s="11"/>
      <c r="O759" s="11"/>
      <c r="P759" s="82"/>
    </row>
    <row r="760" spans="2:16" s="9" customFormat="1" x14ac:dyDescent="0.2">
      <c r="B760" s="10"/>
      <c r="C760" s="11"/>
      <c r="D760" s="63"/>
      <c r="E760" s="11"/>
      <c r="F760" s="65"/>
      <c r="G760" s="12"/>
      <c r="H760" s="41"/>
      <c r="I760" s="30"/>
      <c r="J760" s="30"/>
      <c r="K760" s="30"/>
      <c r="L760" s="11"/>
      <c r="M760" s="11"/>
      <c r="N760" s="11"/>
      <c r="O760" s="11"/>
      <c r="P760" s="82"/>
    </row>
    <row r="761" spans="2:16" s="9" customFormat="1" x14ac:dyDescent="0.2">
      <c r="B761" s="10"/>
      <c r="C761" s="11"/>
      <c r="D761" s="63"/>
      <c r="E761" s="11"/>
      <c r="F761" s="65"/>
      <c r="G761" s="12"/>
      <c r="H761" s="41"/>
      <c r="I761" s="30"/>
      <c r="J761" s="30"/>
      <c r="K761" s="30"/>
      <c r="L761" s="11"/>
      <c r="M761" s="11"/>
      <c r="N761" s="11"/>
      <c r="O761" s="11"/>
      <c r="P761" s="82"/>
    </row>
    <row r="762" spans="2:16" s="9" customFormat="1" x14ac:dyDescent="0.2">
      <c r="B762" s="10"/>
      <c r="C762" s="11"/>
      <c r="D762" s="63"/>
      <c r="E762" s="11"/>
      <c r="F762" s="65"/>
      <c r="G762" s="12"/>
      <c r="H762" s="41"/>
      <c r="I762" s="30"/>
      <c r="J762" s="30"/>
      <c r="K762" s="30"/>
      <c r="L762" s="11"/>
      <c r="M762" s="11"/>
      <c r="N762" s="11"/>
      <c r="O762" s="11"/>
      <c r="P762" s="82"/>
    </row>
    <row r="763" spans="2:16" s="9" customFormat="1" x14ac:dyDescent="0.2">
      <c r="B763" s="10"/>
      <c r="C763" s="11"/>
      <c r="D763" s="63"/>
      <c r="E763" s="11"/>
      <c r="F763" s="65"/>
      <c r="G763" s="12"/>
      <c r="H763" s="41"/>
      <c r="I763" s="30"/>
      <c r="J763" s="30"/>
      <c r="K763" s="30"/>
      <c r="L763" s="11"/>
      <c r="M763" s="11"/>
      <c r="N763" s="11"/>
      <c r="O763" s="11"/>
      <c r="P763" s="82"/>
    </row>
    <row r="764" spans="2:16" s="9" customFormat="1" x14ac:dyDescent="0.2">
      <c r="B764" s="10"/>
      <c r="C764" s="11"/>
      <c r="D764" s="63"/>
      <c r="E764" s="11"/>
      <c r="F764" s="65"/>
      <c r="G764" s="12"/>
      <c r="H764" s="41"/>
      <c r="I764" s="30"/>
      <c r="J764" s="30"/>
      <c r="K764" s="30"/>
      <c r="L764" s="11"/>
      <c r="M764" s="11"/>
      <c r="N764" s="11"/>
      <c r="O764" s="11"/>
      <c r="P764" s="82"/>
    </row>
    <row r="765" spans="2:16" s="9" customFormat="1" x14ac:dyDescent="0.2">
      <c r="B765" s="10"/>
      <c r="C765" s="11"/>
      <c r="D765" s="63"/>
      <c r="E765" s="11"/>
      <c r="F765" s="65"/>
      <c r="G765" s="12"/>
      <c r="H765" s="41"/>
      <c r="I765" s="30"/>
      <c r="J765" s="30"/>
      <c r="K765" s="30"/>
      <c r="L765" s="11"/>
      <c r="M765" s="11"/>
      <c r="N765" s="11"/>
      <c r="O765" s="11"/>
      <c r="P765" s="82"/>
    </row>
    <row r="766" spans="2:16" s="9" customFormat="1" x14ac:dyDescent="0.2">
      <c r="B766" s="10"/>
      <c r="C766" s="11"/>
      <c r="D766" s="63"/>
      <c r="E766" s="11"/>
      <c r="F766" s="65"/>
      <c r="G766" s="12"/>
      <c r="H766" s="41"/>
      <c r="I766" s="30"/>
      <c r="J766" s="30"/>
      <c r="K766" s="30"/>
      <c r="L766" s="11"/>
      <c r="M766" s="11"/>
      <c r="N766" s="11"/>
      <c r="O766" s="11"/>
      <c r="P766" s="82"/>
    </row>
    <row r="767" spans="2:16" s="9" customFormat="1" x14ac:dyDescent="0.2">
      <c r="B767" s="10"/>
      <c r="C767" s="11"/>
      <c r="D767" s="63"/>
      <c r="E767" s="11"/>
      <c r="F767" s="65"/>
      <c r="G767" s="12"/>
      <c r="H767" s="41"/>
      <c r="I767" s="30"/>
      <c r="J767" s="30"/>
      <c r="K767" s="30"/>
      <c r="L767" s="11"/>
      <c r="M767" s="11"/>
      <c r="N767" s="11"/>
      <c r="O767" s="11"/>
      <c r="P767" s="82"/>
    </row>
    <row r="768" spans="2:16" s="9" customFormat="1" x14ac:dyDescent="0.2">
      <c r="B768" s="10"/>
      <c r="C768" s="11"/>
      <c r="D768" s="63"/>
      <c r="E768" s="11"/>
      <c r="F768" s="65"/>
      <c r="G768" s="12"/>
      <c r="H768" s="41"/>
      <c r="I768" s="30"/>
      <c r="J768" s="30"/>
      <c r="K768" s="30"/>
      <c r="L768" s="11"/>
      <c r="M768" s="11"/>
      <c r="N768" s="11"/>
      <c r="O768" s="11"/>
      <c r="P768" s="82"/>
    </row>
    <row r="769" spans="2:16" s="9" customFormat="1" x14ac:dyDescent="0.2">
      <c r="B769" s="10"/>
      <c r="C769" s="11"/>
      <c r="D769" s="63"/>
      <c r="E769" s="11"/>
      <c r="F769" s="65"/>
      <c r="G769" s="12"/>
      <c r="H769" s="41"/>
      <c r="I769" s="30"/>
      <c r="J769" s="30"/>
      <c r="K769" s="30"/>
      <c r="L769" s="11"/>
      <c r="M769" s="11"/>
      <c r="N769" s="11"/>
      <c r="O769" s="11"/>
      <c r="P769" s="82"/>
    </row>
    <row r="770" spans="2:16" s="9" customFormat="1" x14ac:dyDescent="0.2">
      <c r="B770" s="10"/>
      <c r="C770" s="11"/>
      <c r="D770" s="63"/>
      <c r="E770" s="11"/>
      <c r="F770" s="65"/>
      <c r="G770" s="12"/>
      <c r="H770" s="41"/>
      <c r="I770" s="30"/>
      <c r="J770" s="30"/>
      <c r="K770" s="30"/>
      <c r="L770" s="11"/>
      <c r="M770" s="11"/>
      <c r="N770" s="11"/>
      <c r="O770" s="11"/>
      <c r="P770" s="82"/>
    </row>
    <row r="771" spans="2:16" s="9" customFormat="1" x14ac:dyDescent="0.2">
      <c r="B771" s="10"/>
      <c r="C771" s="11"/>
      <c r="D771" s="63"/>
      <c r="E771" s="11"/>
      <c r="F771" s="65"/>
      <c r="G771" s="12"/>
      <c r="H771" s="41"/>
      <c r="I771" s="30"/>
      <c r="J771" s="30"/>
      <c r="K771" s="30"/>
      <c r="L771" s="11"/>
      <c r="M771" s="11"/>
      <c r="N771" s="11"/>
      <c r="O771" s="11"/>
      <c r="P771" s="82"/>
    </row>
    <row r="772" spans="2:16" s="9" customFormat="1" x14ac:dyDescent="0.2">
      <c r="B772" s="10"/>
      <c r="C772" s="11"/>
      <c r="D772" s="63"/>
      <c r="E772" s="11"/>
      <c r="F772" s="65"/>
      <c r="G772" s="12"/>
      <c r="H772" s="41"/>
      <c r="I772" s="30"/>
      <c r="J772" s="30"/>
      <c r="K772" s="30"/>
      <c r="L772" s="11"/>
      <c r="M772" s="11"/>
      <c r="N772" s="11"/>
      <c r="O772" s="11"/>
      <c r="P772" s="82"/>
    </row>
    <row r="773" spans="2:16" s="9" customFormat="1" x14ac:dyDescent="0.2">
      <c r="B773" s="10"/>
      <c r="C773" s="11"/>
      <c r="D773" s="63"/>
      <c r="E773" s="11"/>
      <c r="F773" s="65"/>
      <c r="G773" s="12"/>
      <c r="H773" s="41"/>
      <c r="I773" s="30"/>
      <c r="J773" s="30"/>
      <c r="K773" s="30"/>
      <c r="L773" s="11"/>
      <c r="M773" s="11"/>
      <c r="N773" s="11"/>
      <c r="O773" s="11"/>
      <c r="P773" s="82"/>
    </row>
    <row r="774" spans="2:16" s="9" customFormat="1" x14ac:dyDescent="0.2">
      <c r="B774" s="10"/>
      <c r="C774" s="11"/>
      <c r="D774" s="63"/>
      <c r="E774" s="11"/>
      <c r="F774" s="65"/>
      <c r="G774" s="12"/>
      <c r="H774" s="41"/>
      <c r="I774" s="30"/>
      <c r="J774" s="30"/>
      <c r="K774" s="30"/>
      <c r="L774" s="11"/>
      <c r="M774" s="11"/>
      <c r="N774" s="11"/>
      <c r="O774" s="11"/>
      <c r="P774" s="82"/>
    </row>
    <row r="775" spans="2:16" s="9" customFormat="1" x14ac:dyDescent="0.2">
      <c r="B775" s="10"/>
      <c r="C775" s="11"/>
      <c r="D775" s="63"/>
      <c r="E775" s="11"/>
      <c r="F775" s="65"/>
      <c r="G775" s="12"/>
      <c r="H775" s="41"/>
      <c r="I775" s="30"/>
      <c r="J775" s="30"/>
      <c r="K775" s="30"/>
      <c r="L775" s="11"/>
      <c r="M775" s="11"/>
      <c r="N775" s="11"/>
      <c r="O775" s="11"/>
      <c r="P775" s="82"/>
    </row>
    <row r="776" spans="2:16" s="9" customFormat="1" x14ac:dyDescent="0.2">
      <c r="B776" s="10"/>
      <c r="C776" s="11"/>
      <c r="D776" s="63"/>
      <c r="E776" s="11"/>
      <c r="F776" s="65"/>
      <c r="G776" s="12"/>
      <c r="H776" s="41"/>
      <c r="I776" s="30"/>
      <c r="J776" s="30"/>
      <c r="K776" s="30"/>
      <c r="L776" s="11"/>
      <c r="M776" s="11"/>
      <c r="N776" s="11"/>
      <c r="O776" s="11"/>
      <c r="P776" s="82"/>
    </row>
    <row r="777" spans="2:16" s="9" customFormat="1" x14ac:dyDescent="0.2">
      <c r="B777" s="10"/>
      <c r="C777" s="11"/>
      <c r="D777" s="63"/>
      <c r="E777" s="11"/>
      <c r="F777" s="65"/>
      <c r="G777" s="12"/>
      <c r="H777" s="41"/>
      <c r="I777" s="30"/>
      <c r="J777" s="30"/>
      <c r="K777" s="30"/>
      <c r="L777" s="11"/>
      <c r="M777" s="11"/>
      <c r="N777" s="11"/>
      <c r="O777" s="11"/>
      <c r="P777" s="82"/>
    </row>
    <row r="778" spans="2:16" s="9" customFormat="1" x14ac:dyDescent="0.2">
      <c r="B778" s="10"/>
      <c r="C778" s="11"/>
      <c r="D778" s="63"/>
      <c r="E778" s="11"/>
      <c r="F778" s="65"/>
      <c r="G778" s="12"/>
      <c r="H778" s="41"/>
      <c r="I778" s="30"/>
      <c r="J778" s="30"/>
      <c r="K778" s="30"/>
      <c r="L778" s="11"/>
      <c r="M778" s="11"/>
      <c r="N778" s="11"/>
      <c r="O778" s="11"/>
      <c r="P778" s="82"/>
    </row>
    <row r="779" spans="2:16" s="9" customFormat="1" x14ac:dyDescent="0.2">
      <c r="B779" s="10"/>
      <c r="C779" s="11"/>
      <c r="D779" s="63"/>
      <c r="E779" s="11"/>
      <c r="F779" s="65"/>
      <c r="G779" s="12"/>
      <c r="H779" s="41"/>
      <c r="I779" s="30"/>
      <c r="J779" s="30"/>
      <c r="K779" s="30"/>
      <c r="L779" s="11"/>
      <c r="M779" s="11"/>
      <c r="N779" s="11"/>
      <c r="O779" s="11"/>
      <c r="P779" s="82"/>
    </row>
    <row r="780" spans="2:16" s="9" customFormat="1" x14ac:dyDescent="0.2">
      <c r="B780" s="10"/>
      <c r="C780" s="11"/>
      <c r="D780" s="63"/>
      <c r="E780" s="11"/>
      <c r="F780" s="65"/>
      <c r="G780" s="12"/>
      <c r="H780" s="41"/>
      <c r="I780" s="30"/>
      <c r="J780" s="30"/>
      <c r="K780" s="30"/>
      <c r="L780" s="11"/>
      <c r="M780" s="11"/>
      <c r="N780" s="11"/>
      <c r="O780" s="11"/>
      <c r="P780" s="82"/>
    </row>
    <row r="781" spans="2:16" s="9" customFormat="1" x14ac:dyDescent="0.2">
      <c r="B781" s="10"/>
      <c r="C781" s="11"/>
      <c r="D781" s="63"/>
      <c r="E781" s="11"/>
      <c r="F781" s="65"/>
      <c r="G781" s="12"/>
      <c r="H781" s="41"/>
      <c r="I781" s="30"/>
      <c r="J781" s="30"/>
      <c r="K781" s="30"/>
      <c r="L781" s="11"/>
      <c r="M781" s="11"/>
      <c r="N781" s="11"/>
      <c r="O781" s="11"/>
      <c r="P781" s="82"/>
    </row>
    <row r="782" spans="2:16" s="9" customFormat="1" x14ac:dyDescent="0.2">
      <c r="B782" s="10"/>
      <c r="C782" s="11"/>
      <c r="D782" s="63"/>
      <c r="E782" s="11"/>
      <c r="F782" s="65"/>
      <c r="G782" s="12"/>
      <c r="H782" s="41"/>
      <c r="I782" s="30"/>
      <c r="J782" s="30"/>
      <c r="K782" s="30"/>
      <c r="L782" s="11"/>
      <c r="M782" s="11"/>
      <c r="N782" s="11"/>
      <c r="O782" s="11"/>
      <c r="P782" s="82"/>
    </row>
    <row r="783" spans="2:16" s="9" customFormat="1" x14ac:dyDescent="0.2">
      <c r="B783" s="10"/>
      <c r="C783" s="11"/>
      <c r="D783" s="63"/>
      <c r="E783" s="11"/>
      <c r="F783" s="65"/>
      <c r="G783" s="12"/>
      <c r="H783" s="41"/>
      <c r="I783" s="30"/>
      <c r="J783" s="30"/>
      <c r="K783" s="30"/>
      <c r="L783" s="11"/>
      <c r="M783" s="11"/>
      <c r="N783" s="11"/>
      <c r="O783" s="11"/>
      <c r="P783" s="82"/>
    </row>
    <row r="784" spans="2:16" s="9" customFormat="1" x14ac:dyDescent="0.2">
      <c r="B784" s="10"/>
      <c r="C784" s="11"/>
      <c r="D784" s="63"/>
      <c r="E784" s="11"/>
      <c r="F784" s="65"/>
      <c r="G784" s="12"/>
      <c r="H784" s="41"/>
      <c r="I784" s="30"/>
      <c r="J784" s="30"/>
      <c r="K784" s="30"/>
      <c r="L784" s="11"/>
      <c r="M784" s="11"/>
      <c r="N784" s="11"/>
      <c r="O784" s="11"/>
      <c r="P784" s="82"/>
    </row>
    <row r="785" spans="2:16" s="9" customFormat="1" x14ac:dyDescent="0.2">
      <c r="B785" s="10"/>
      <c r="C785" s="11"/>
      <c r="D785" s="63"/>
      <c r="E785" s="11"/>
      <c r="F785" s="65"/>
      <c r="G785" s="12"/>
      <c r="H785" s="41"/>
      <c r="I785" s="30"/>
      <c r="J785" s="30"/>
      <c r="K785" s="30"/>
      <c r="L785" s="11"/>
      <c r="M785" s="11"/>
      <c r="N785" s="11"/>
      <c r="O785" s="11"/>
      <c r="P785" s="82"/>
    </row>
    <row r="786" spans="2:16" s="9" customFormat="1" x14ac:dyDescent="0.2">
      <c r="B786" s="10"/>
      <c r="C786" s="11"/>
      <c r="D786" s="63"/>
      <c r="E786" s="11"/>
      <c r="F786" s="65"/>
      <c r="G786" s="12"/>
      <c r="H786" s="41"/>
      <c r="I786" s="30"/>
      <c r="J786" s="30"/>
      <c r="K786" s="30"/>
      <c r="L786" s="11"/>
      <c r="M786" s="11"/>
      <c r="N786" s="11"/>
      <c r="O786" s="11"/>
      <c r="P786" s="82"/>
    </row>
    <row r="787" spans="2:16" s="9" customFormat="1" x14ac:dyDescent="0.2">
      <c r="B787" s="10"/>
      <c r="C787" s="11"/>
      <c r="D787" s="63"/>
      <c r="E787" s="11"/>
      <c r="F787" s="65"/>
      <c r="G787" s="12"/>
      <c r="H787" s="41"/>
      <c r="I787" s="30"/>
      <c r="J787" s="30"/>
      <c r="K787" s="30"/>
      <c r="L787" s="11"/>
      <c r="M787" s="11"/>
      <c r="N787" s="11"/>
      <c r="O787" s="11"/>
      <c r="P787" s="82"/>
    </row>
    <row r="788" spans="2:16" s="9" customFormat="1" x14ac:dyDescent="0.2">
      <c r="B788" s="10"/>
      <c r="C788" s="11"/>
      <c r="D788" s="63"/>
      <c r="E788" s="11"/>
      <c r="F788" s="65"/>
      <c r="G788" s="12"/>
      <c r="H788" s="41"/>
      <c r="I788" s="30"/>
      <c r="J788" s="30"/>
      <c r="K788" s="30"/>
      <c r="L788" s="11"/>
      <c r="M788" s="11"/>
      <c r="N788" s="11"/>
      <c r="O788" s="11"/>
      <c r="P788" s="82"/>
    </row>
    <row r="789" spans="2:16" s="9" customFormat="1" x14ac:dyDescent="0.2">
      <c r="B789" s="10"/>
      <c r="C789" s="11"/>
      <c r="D789" s="63"/>
      <c r="E789" s="11"/>
      <c r="F789" s="65"/>
      <c r="G789" s="12"/>
      <c r="H789" s="41"/>
      <c r="I789" s="30"/>
      <c r="J789" s="30"/>
      <c r="K789" s="30"/>
      <c r="L789" s="11"/>
      <c r="M789" s="11"/>
      <c r="N789" s="11"/>
      <c r="O789" s="11"/>
      <c r="P789" s="82"/>
    </row>
    <row r="790" spans="2:16" s="9" customFormat="1" x14ac:dyDescent="0.2">
      <c r="B790" s="10"/>
      <c r="C790" s="11"/>
      <c r="D790" s="63"/>
      <c r="E790" s="11"/>
      <c r="F790" s="65"/>
      <c r="G790" s="12"/>
      <c r="H790" s="41"/>
      <c r="I790" s="30"/>
      <c r="J790" s="30"/>
      <c r="K790" s="30"/>
      <c r="L790" s="11"/>
      <c r="M790" s="11"/>
      <c r="N790" s="11"/>
      <c r="O790" s="11"/>
      <c r="P790" s="82"/>
    </row>
    <row r="791" spans="2:16" s="9" customFormat="1" x14ac:dyDescent="0.2">
      <c r="B791" s="10"/>
      <c r="C791" s="11"/>
      <c r="D791" s="63"/>
      <c r="E791" s="11"/>
      <c r="F791" s="65"/>
      <c r="G791" s="12"/>
      <c r="H791" s="41"/>
      <c r="I791" s="30"/>
      <c r="J791" s="30"/>
      <c r="K791" s="30"/>
      <c r="L791" s="11"/>
      <c r="M791" s="11"/>
      <c r="N791" s="11"/>
      <c r="O791" s="11"/>
      <c r="P791" s="82"/>
    </row>
    <row r="792" spans="2:16" s="9" customFormat="1" x14ac:dyDescent="0.2">
      <c r="B792" s="10"/>
      <c r="C792" s="11"/>
      <c r="D792" s="63"/>
      <c r="E792" s="11"/>
      <c r="F792" s="65"/>
      <c r="G792" s="12"/>
      <c r="H792" s="41"/>
      <c r="I792" s="30"/>
      <c r="J792" s="30"/>
      <c r="K792" s="30"/>
      <c r="L792" s="11"/>
      <c r="M792" s="11"/>
      <c r="N792" s="11"/>
      <c r="O792" s="11"/>
      <c r="P792" s="82"/>
    </row>
    <row r="793" spans="2:16" s="9" customFormat="1" x14ac:dyDescent="0.2">
      <c r="B793" s="10"/>
      <c r="C793" s="11"/>
      <c r="D793" s="63"/>
      <c r="E793" s="11"/>
      <c r="F793" s="65"/>
      <c r="G793" s="12"/>
      <c r="H793" s="41"/>
      <c r="I793" s="30"/>
      <c r="J793" s="30"/>
      <c r="K793" s="30"/>
      <c r="L793" s="11"/>
      <c r="M793" s="11"/>
      <c r="N793" s="11"/>
      <c r="O793" s="11"/>
      <c r="P793" s="82"/>
    </row>
    <row r="794" spans="2:16" s="9" customFormat="1" x14ac:dyDescent="0.2">
      <c r="B794" s="10"/>
      <c r="C794" s="11"/>
      <c r="D794" s="63"/>
      <c r="E794" s="11"/>
      <c r="F794" s="65"/>
      <c r="G794" s="12"/>
      <c r="H794" s="41"/>
      <c r="I794" s="30"/>
      <c r="J794" s="30"/>
      <c r="K794" s="30"/>
      <c r="L794" s="11"/>
      <c r="M794" s="11"/>
      <c r="N794" s="11"/>
      <c r="O794" s="11"/>
      <c r="P794" s="82"/>
    </row>
    <row r="795" spans="2:16" s="9" customFormat="1" x14ac:dyDescent="0.2">
      <c r="B795" s="10"/>
      <c r="C795" s="11"/>
      <c r="D795" s="63"/>
      <c r="E795" s="11"/>
      <c r="F795" s="65"/>
      <c r="G795" s="12"/>
      <c r="H795" s="41"/>
      <c r="I795" s="30"/>
      <c r="J795" s="30"/>
      <c r="K795" s="30"/>
      <c r="L795" s="11"/>
      <c r="M795" s="11"/>
      <c r="N795" s="11"/>
      <c r="O795" s="11"/>
      <c r="P795" s="82"/>
    </row>
    <row r="796" spans="2:16" s="9" customFormat="1" x14ac:dyDescent="0.2">
      <c r="B796" s="10"/>
      <c r="C796" s="11"/>
      <c r="D796" s="63"/>
      <c r="E796" s="11"/>
      <c r="F796" s="65"/>
      <c r="G796" s="12"/>
      <c r="H796" s="41"/>
      <c r="I796" s="30"/>
      <c r="J796" s="30"/>
      <c r="K796" s="30"/>
      <c r="L796" s="11"/>
      <c r="M796" s="11"/>
      <c r="N796" s="11"/>
      <c r="O796" s="11"/>
      <c r="P796" s="82"/>
    </row>
    <row r="797" spans="2:16" s="9" customFormat="1" x14ac:dyDescent="0.2">
      <c r="B797" s="10"/>
      <c r="C797" s="11"/>
      <c r="D797" s="63"/>
      <c r="E797" s="11"/>
      <c r="F797" s="65"/>
      <c r="G797" s="12"/>
      <c r="H797" s="41"/>
      <c r="I797" s="30"/>
      <c r="J797" s="30"/>
      <c r="K797" s="30"/>
      <c r="L797" s="11"/>
      <c r="M797" s="11"/>
      <c r="N797" s="11"/>
      <c r="O797" s="11"/>
      <c r="P797" s="82"/>
    </row>
    <row r="798" spans="2:16" s="9" customFormat="1" x14ac:dyDescent="0.2">
      <c r="B798" s="10"/>
      <c r="C798" s="11"/>
      <c r="D798" s="63"/>
      <c r="E798" s="11"/>
      <c r="F798" s="65"/>
      <c r="G798" s="12"/>
      <c r="H798" s="41"/>
      <c r="I798" s="30"/>
      <c r="J798" s="30"/>
      <c r="K798" s="30"/>
      <c r="L798" s="11"/>
      <c r="M798" s="11"/>
      <c r="N798" s="11"/>
      <c r="O798" s="11"/>
      <c r="P798" s="82"/>
    </row>
    <row r="799" spans="2:16" s="9" customFormat="1" x14ac:dyDescent="0.2">
      <c r="B799" s="10"/>
      <c r="C799" s="11"/>
      <c r="D799" s="63"/>
      <c r="E799" s="11"/>
      <c r="F799" s="65"/>
      <c r="G799" s="12"/>
      <c r="H799" s="41"/>
      <c r="I799" s="30"/>
      <c r="J799" s="30"/>
      <c r="K799" s="30"/>
      <c r="L799" s="11"/>
      <c r="M799" s="11"/>
      <c r="N799" s="11"/>
      <c r="O799" s="11"/>
      <c r="P799" s="82"/>
    </row>
    <row r="800" spans="2:16" s="9" customFormat="1" x14ac:dyDescent="0.2">
      <c r="B800" s="10"/>
      <c r="C800" s="11"/>
      <c r="D800" s="63"/>
      <c r="E800" s="11"/>
      <c r="F800" s="65"/>
      <c r="G800" s="12"/>
      <c r="H800" s="41"/>
      <c r="I800" s="30"/>
      <c r="J800" s="30"/>
      <c r="K800" s="30"/>
      <c r="L800" s="11"/>
      <c r="M800" s="11"/>
      <c r="N800" s="11"/>
      <c r="O800" s="11"/>
      <c r="P800" s="82"/>
    </row>
    <row r="801" spans="2:16" s="9" customFormat="1" x14ac:dyDescent="0.2">
      <c r="B801" s="10"/>
      <c r="C801" s="11"/>
      <c r="D801" s="63"/>
      <c r="E801" s="11"/>
      <c r="F801" s="65"/>
      <c r="G801" s="12"/>
      <c r="H801" s="41"/>
      <c r="I801" s="30"/>
      <c r="J801" s="30"/>
      <c r="K801" s="30"/>
      <c r="L801" s="11"/>
      <c r="M801" s="11"/>
      <c r="N801" s="11"/>
      <c r="O801" s="11"/>
      <c r="P801" s="82"/>
    </row>
    <row r="802" spans="2:16" s="9" customFormat="1" x14ac:dyDescent="0.2">
      <c r="B802" s="10"/>
      <c r="C802" s="11"/>
      <c r="D802" s="63"/>
      <c r="E802" s="11"/>
      <c r="F802" s="65"/>
      <c r="G802" s="12"/>
      <c r="H802" s="41"/>
      <c r="I802" s="30"/>
      <c r="J802" s="30"/>
      <c r="K802" s="30"/>
      <c r="L802" s="11"/>
      <c r="M802" s="11"/>
      <c r="N802" s="11"/>
      <c r="O802" s="11"/>
      <c r="P802" s="82"/>
    </row>
    <row r="803" spans="2:16" s="9" customFormat="1" x14ac:dyDescent="0.2">
      <c r="B803" s="10"/>
      <c r="C803" s="11"/>
      <c r="D803" s="63"/>
      <c r="E803" s="11"/>
      <c r="F803" s="65"/>
      <c r="G803" s="12"/>
      <c r="H803" s="41"/>
      <c r="I803" s="30"/>
      <c r="J803" s="30"/>
      <c r="K803" s="30"/>
      <c r="L803" s="11"/>
      <c r="M803" s="11"/>
      <c r="N803" s="11"/>
      <c r="O803" s="11"/>
      <c r="P803" s="82"/>
    </row>
    <row r="804" spans="2:16" s="9" customFormat="1" x14ac:dyDescent="0.2">
      <c r="B804" s="10"/>
      <c r="C804" s="11"/>
      <c r="D804" s="63"/>
      <c r="E804" s="11"/>
      <c r="F804" s="65"/>
      <c r="G804" s="12"/>
      <c r="H804" s="41"/>
      <c r="I804" s="30"/>
      <c r="J804" s="30"/>
      <c r="K804" s="30"/>
      <c r="L804" s="11"/>
      <c r="M804" s="11"/>
      <c r="N804" s="11"/>
      <c r="O804" s="11"/>
      <c r="P804" s="82"/>
    </row>
    <row r="805" spans="2:16" s="9" customFormat="1" x14ac:dyDescent="0.2">
      <c r="B805" s="10"/>
      <c r="C805" s="11"/>
      <c r="D805" s="63"/>
      <c r="E805" s="11"/>
      <c r="F805" s="65"/>
      <c r="G805" s="12"/>
      <c r="H805" s="41"/>
      <c r="I805" s="30"/>
      <c r="J805" s="30"/>
      <c r="K805" s="30"/>
      <c r="L805" s="11"/>
      <c r="M805" s="11"/>
      <c r="N805" s="11"/>
      <c r="O805" s="11"/>
      <c r="P805" s="82"/>
    </row>
    <row r="806" spans="2:16" s="9" customFormat="1" x14ac:dyDescent="0.2">
      <c r="B806" s="10"/>
      <c r="C806" s="11"/>
      <c r="D806" s="63"/>
      <c r="E806" s="11"/>
      <c r="F806" s="65"/>
      <c r="G806" s="12"/>
      <c r="H806" s="41"/>
      <c r="I806" s="30"/>
      <c r="J806" s="30"/>
      <c r="K806" s="30"/>
      <c r="L806" s="11"/>
      <c r="M806" s="11"/>
      <c r="N806" s="11"/>
      <c r="O806" s="11"/>
      <c r="P806" s="82"/>
    </row>
    <row r="807" spans="2:16" s="9" customFormat="1" x14ac:dyDescent="0.2">
      <c r="B807" s="10"/>
      <c r="C807" s="11"/>
      <c r="D807" s="63"/>
      <c r="E807" s="11"/>
      <c r="F807" s="65"/>
      <c r="G807" s="12"/>
      <c r="H807" s="41"/>
      <c r="I807" s="30"/>
      <c r="J807" s="30"/>
      <c r="K807" s="30"/>
      <c r="L807" s="11"/>
      <c r="M807" s="11"/>
      <c r="N807" s="11"/>
      <c r="O807" s="11"/>
      <c r="P807" s="82"/>
    </row>
    <row r="808" spans="2:16" s="9" customFormat="1" x14ac:dyDescent="0.2">
      <c r="B808" s="10"/>
      <c r="C808" s="11"/>
      <c r="D808" s="63"/>
      <c r="E808" s="11"/>
      <c r="F808" s="65"/>
      <c r="G808" s="12"/>
      <c r="H808" s="41"/>
      <c r="I808" s="30"/>
      <c r="J808" s="30"/>
      <c r="K808" s="30"/>
      <c r="L808" s="11"/>
      <c r="M808" s="11"/>
      <c r="N808" s="11"/>
      <c r="O808" s="11"/>
      <c r="P808" s="82"/>
    </row>
    <row r="809" spans="2:16" s="9" customFormat="1" x14ac:dyDescent="0.2">
      <c r="B809" s="10"/>
      <c r="C809" s="11"/>
      <c r="D809" s="63"/>
      <c r="E809" s="11"/>
      <c r="F809" s="65"/>
      <c r="G809" s="12"/>
      <c r="H809" s="41"/>
      <c r="I809" s="30"/>
      <c r="J809" s="30"/>
      <c r="K809" s="30"/>
      <c r="L809" s="11"/>
      <c r="M809" s="11"/>
      <c r="N809" s="11"/>
      <c r="O809" s="11"/>
      <c r="P809" s="82"/>
    </row>
    <row r="810" spans="2:16" s="9" customFormat="1" x14ac:dyDescent="0.2">
      <c r="B810" s="10"/>
      <c r="C810" s="11"/>
      <c r="D810" s="63"/>
      <c r="E810" s="11"/>
      <c r="F810" s="65"/>
      <c r="G810" s="12"/>
      <c r="H810" s="41"/>
      <c r="I810" s="30"/>
      <c r="J810" s="30"/>
      <c r="K810" s="30"/>
      <c r="L810" s="11"/>
      <c r="M810" s="11"/>
      <c r="N810" s="11"/>
      <c r="O810" s="11"/>
      <c r="P810" s="82"/>
    </row>
    <row r="811" spans="2:16" s="9" customFormat="1" x14ac:dyDescent="0.2">
      <c r="B811" s="10"/>
      <c r="C811" s="11"/>
      <c r="D811" s="63"/>
      <c r="E811" s="11"/>
      <c r="F811" s="65"/>
      <c r="G811" s="12"/>
      <c r="H811" s="41"/>
      <c r="I811" s="30"/>
      <c r="J811" s="30"/>
      <c r="K811" s="30"/>
      <c r="L811" s="11"/>
      <c r="M811" s="11"/>
      <c r="N811" s="11"/>
      <c r="O811" s="11"/>
      <c r="P811" s="82"/>
    </row>
    <row r="812" spans="2:16" s="9" customFormat="1" x14ac:dyDescent="0.2">
      <c r="B812" s="10"/>
      <c r="C812" s="11"/>
      <c r="D812" s="63"/>
      <c r="E812" s="11"/>
      <c r="F812" s="65"/>
      <c r="G812" s="12"/>
      <c r="H812" s="41"/>
      <c r="I812" s="30"/>
      <c r="J812" s="30"/>
      <c r="K812" s="30"/>
      <c r="L812" s="11"/>
      <c r="M812" s="11"/>
      <c r="N812" s="11"/>
      <c r="O812" s="11"/>
      <c r="P812" s="82"/>
    </row>
    <row r="813" spans="2:16" s="9" customFormat="1" x14ac:dyDescent="0.2">
      <c r="B813" s="10"/>
      <c r="C813" s="11"/>
      <c r="D813" s="63"/>
      <c r="E813" s="11"/>
      <c r="F813" s="65"/>
      <c r="G813" s="12"/>
      <c r="H813" s="41"/>
      <c r="I813" s="30"/>
      <c r="J813" s="30"/>
      <c r="K813" s="30"/>
      <c r="L813" s="11"/>
      <c r="M813" s="11"/>
      <c r="N813" s="11"/>
      <c r="O813" s="11"/>
      <c r="P813" s="82"/>
    </row>
    <row r="814" spans="2:16" s="9" customFormat="1" x14ac:dyDescent="0.2">
      <c r="B814" s="10"/>
      <c r="C814" s="11"/>
      <c r="D814" s="63"/>
      <c r="E814" s="11"/>
      <c r="F814" s="65"/>
      <c r="G814" s="12"/>
      <c r="H814" s="41"/>
      <c r="I814" s="30"/>
      <c r="J814" s="30"/>
      <c r="K814" s="30"/>
      <c r="L814" s="11"/>
      <c r="M814" s="11"/>
      <c r="N814" s="11"/>
      <c r="O814" s="11"/>
      <c r="P814" s="82"/>
    </row>
    <row r="815" spans="2:16" s="9" customFormat="1" x14ac:dyDescent="0.2">
      <c r="B815" s="10"/>
      <c r="C815" s="11"/>
      <c r="D815" s="63"/>
      <c r="E815" s="11"/>
      <c r="F815" s="65"/>
      <c r="G815" s="12"/>
      <c r="H815" s="41"/>
      <c r="I815" s="30"/>
      <c r="J815" s="30"/>
      <c r="K815" s="30"/>
      <c r="L815" s="11"/>
      <c r="M815" s="11"/>
      <c r="N815" s="11"/>
      <c r="O815" s="11"/>
      <c r="P815" s="82"/>
    </row>
    <row r="816" spans="2:16" s="9" customFormat="1" x14ac:dyDescent="0.2">
      <c r="B816" s="10"/>
      <c r="C816" s="11"/>
      <c r="D816" s="63"/>
      <c r="E816" s="11"/>
      <c r="F816" s="65"/>
      <c r="G816" s="12"/>
      <c r="H816" s="41"/>
      <c r="I816" s="30"/>
      <c r="J816" s="30"/>
      <c r="K816" s="30"/>
      <c r="L816" s="11"/>
      <c r="M816" s="11"/>
      <c r="N816" s="11"/>
      <c r="O816" s="11"/>
      <c r="P816" s="82"/>
    </row>
    <row r="817" spans="2:16" s="9" customFormat="1" x14ac:dyDescent="0.2">
      <c r="B817" s="10"/>
      <c r="C817" s="11"/>
      <c r="D817" s="63"/>
      <c r="E817" s="11"/>
      <c r="F817" s="65"/>
      <c r="G817" s="12"/>
      <c r="H817" s="41"/>
      <c r="I817" s="30"/>
      <c r="J817" s="30"/>
      <c r="K817" s="30"/>
      <c r="L817" s="11"/>
      <c r="M817" s="11"/>
      <c r="N817" s="11"/>
      <c r="O817" s="11"/>
      <c r="P817" s="82"/>
    </row>
    <row r="818" spans="2:16" s="9" customFormat="1" x14ac:dyDescent="0.2">
      <c r="B818" s="10"/>
      <c r="C818" s="11"/>
      <c r="D818" s="63"/>
      <c r="E818" s="11"/>
      <c r="F818" s="65"/>
      <c r="G818" s="12"/>
      <c r="H818" s="41"/>
      <c r="I818" s="30"/>
      <c r="J818" s="30"/>
      <c r="K818" s="30"/>
      <c r="L818" s="11"/>
      <c r="M818" s="11"/>
      <c r="N818" s="11"/>
      <c r="O818" s="11"/>
      <c r="P818" s="82"/>
    </row>
    <row r="819" spans="2:16" s="9" customFormat="1" x14ac:dyDescent="0.2">
      <c r="B819" s="10"/>
      <c r="C819" s="11"/>
      <c r="D819" s="63"/>
      <c r="E819" s="11"/>
      <c r="F819" s="65"/>
      <c r="G819" s="12"/>
      <c r="H819" s="41"/>
      <c r="I819" s="30"/>
      <c r="J819" s="30"/>
      <c r="K819" s="30"/>
      <c r="L819" s="11"/>
      <c r="M819" s="11"/>
      <c r="N819" s="11"/>
      <c r="O819" s="11"/>
      <c r="P819" s="82"/>
    </row>
    <row r="820" spans="2:16" s="9" customFormat="1" x14ac:dyDescent="0.2">
      <c r="B820" s="10"/>
      <c r="C820" s="11"/>
      <c r="D820" s="63"/>
      <c r="E820" s="11"/>
      <c r="F820" s="65"/>
      <c r="G820" s="12"/>
      <c r="H820" s="41"/>
      <c r="I820" s="30"/>
      <c r="J820" s="30"/>
      <c r="K820" s="30"/>
      <c r="L820" s="11"/>
      <c r="M820" s="11"/>
      <c r="N820" s="11"/>
      <c r="O820" s="11"/>
      <c r="P820" s="82"/>
    </row>
    <row r="821" spans="2:16" s="9" customFormat="1" x14ac:dyDescent="0.2">
      <c r="B821" s="10"/>
      <c r="C821" s="11"/>
      <c r="D821" s="63"/>
      <c r="E821" s="11"/>
      <c r="F821" s="65"/>
      <c r="G821" s="12"/>
      <c r="H821" s="41"/>
      <c r="I821" s="30"/>
      <c r="J821" s="30"/>
      <c r="K821" s="30"/>
      <c r="L821" s="11"/>
      <c r="M821" s="11"/>
      <c r="N821" s="11"/>
      <c r="O821" s="11"/>
      <c r="P821" s="82"/>
    </row>
    <row r="822" spans="2:16" s="9" customFormat="1" x14ac:dyDescent="0.2">
      <c r="B822" s="10"/>
      <c r="C822" s="11"/>
      <c r="D822" s="63"/>
      <c r="E822" s="11"/>
      <c r="F822" s="65"/>
      <c r="G822" s="12"/>
      <c r="H822" s="41"/>
      <c r="I822" s="30"/>
      <c r="J822" s="30"/>
      <c r="K822" s="30"/>
      <c r="L822" s="11"/>
      <c r="M822" s="11"/>
      <c r="N822" s="11"/>
      <c r="O822" s="11"/>
      <c r="P822" s="82"/>
    </row>
    <row r="823" spans="2:16" s="9" customFormat="1" x14ac:dyDescent="0.2">
      <c r="B823" s="10"/>
      <c r="C823" s="11"/>
      <c r="D823" s="63"/>
      <c r="E823" s="11"/>
      <c r="F823" s="65"/>
      <c r="G823" s="12"/>
      <c r="H823" s="41"/>
      <c r="I823" s="30"/>
      <c r="J823" s="30"/>
      <c r="K823" s="30"/>
      <c r="L823" s="11"/>
      <c r="M823" s="11"/>
      <c r="N823" s="11"/>
      <c r="O823" s="11"/>
      <c r="P823" s="82"/>
    </row>
    <row r="824" spans="2:16" s="9" customFormat="1" x14ac:dyDescent="0.2">
      <c r="B824" s="10"/>
      <c r="C824" s="11"/>
      <c r="D824" s="63"/>
      <c r="E824" s="11"/>
      <c r="F824" s="65"/>
      <c r="G824" s="12"/>
      <c r="H824" s="41"/>
      <c r="I824" s="30"/>
      <c r="J824" s="30"/>
      <c r="K824" s="30"/>
      <c r="L824" s="11"/>
      <c r="M824" s="11"/>
      <c r="N824" s="11"/>
      <c r="O824" s="11"/>
      <c r="P824" s="82"/>
    </row>
    <row r="825" spans="2:16" s="9" customFormat="1" x14ac:dyDescent="0.2">
      <c r="B825" s="10"/>
      <c r="C825" s="11"/>
      <c r="D825" s="63"/>
      <c r="E825" s="11"/>
      <c r="F825" s="65"/>
      <c r="G825" s="12"/>
      <c r="H825" s="41"/>
      <c r="I825" s="30"/>
      <c r="J825" s="30"/>
      <c r="K825" s="30"/>
      <c r="L825" s="11"/>
      <c r="M825" s="11"/>
      <c r="N825" s="11"/>
      <c r="O825" s="11"/>
      <c r="P825" s="82"/>
    </row>
    <row r="826" spans="2:16" s="9" customFormat="1" x14ac:dyDescent="0.2">
      <c r="B826" s="10"/>
      <c r="C826" s="11"/>
      <c r="D826" s="63"/>
      <c r="E826" s="11"/>
      <c r="F826" s="65"/>
      <c r="G826" s="12"/>
      <c r="H826" s="41"/>
      <c r="I826" s="30"/>
      <c r="J826" s="30"/>
      <c r="K826" s="30"/>
      <c r="L826" s="11"/>
      <c r="M826" s="11"/>
      <c r="N826" s="11"/>
      <c r="O826" s="11"/>
      <c r="P826" s="82"/>
    </row>
    <row r="827" spans="2:16" s="9" customFormat="1" x14ac:dyDescent="0.2">
      <c r="B827" s="10"/>
      <c r="C827" s="11"/>
      <c r="D827" s="63"/>
      <c r="E827" s="11"/>
      <c r="F827" s="65"/>
      <c r="G827" s="12"/>
      <c r="H827" s="41"/>
      <c r="I827" s="30"/>
      <c r="J827" s="30"/>
      <c r="K827" s="30"/>
      <c r="L827" s="11"/>
      <c r="M827" s="11"/>
      <c r="N827" s="11"/>
      <c r="O827" s="11"/>
      <c r="P827" s="82"/>
    </row>
    <row r="828" spans="2:16" s="9" customFormat="1" x14ac:dyDescent="0.2">
      <c r="B828" s="10"/>
      <c r="C828" s="11"/>
      <c r="D828" s="63"/>
      <c r="E828" s="11"/>
      <c r="F828" s="65"/>
      <c r="G828" s="12"/>
      <c r="H828" s="41"/>
      <c r="I828" s="30"/>
      <c r="J828" s="30"/>
      <c r="K828" s="30"/>
      <c r="L828" s="11"/>
      <c r="M828" s="11"/>
      <c r="N828" s="11"/>
      <c r="O828" s="11"/>
      <c r="P828" s="82"/>
    </row>
    <row r="829" spans="2:16" s="9" customFormat="1" x14ac:dyDescent="0.2">
      <c r="B829" s="10"/>
      <c r="C829" s="11"/>
      <c r="D829" s="63"/>
      <c r="E829" s="11"/>
      <c r="F829" s="65"/>
      <c r="G829" s="12"/>
      <c r="H829" s="41"/>
      <c r="I829" s="30"/>
      <c r="J829" s="30"/>
      <c r="K829" s="30"/>
      <c r="L829" s="11"/>
      <c r="M829" s="11"/>
      <c r="N829" s="11"/>
      <c r="O829" s="11"/>
      <c r="P829" s="82"/>
    </row>
    <row r="830" spans="2:16" s="9" customFormat="1" x14ac:dyDescent="0.2">
      <c r="B830" s="10"/>
      <c r="C830" s="11"/>
      <c r="D830" s="63"/>
      <c r="E830" s="11"/>
      <c r="F830" s="65"/>
      <c r="G830" s="12"/>
      <c r="H830" s="41"/>
      <c r="I830" s="30"/>
      <c r="J830" s="30"/>
      <c r="K830" s="30"/>
      <c r="L830" s="11"/>
      <c r="M830" s="11"/>
      <c r="N830" s="11"/>
      <c r="O830" s="11"/>
      <c r="P830" s="82"/>
    </row>
    <row r="831" spans="2:16" s="9" customFormat="1" x14ac:dyDescent="0.2">
      <c r="B831" s="10"/>
      <c r="C831" s="11"/>
      <c r="D831" s="63"/>
      <c r="E831" s="11"/>
      <c r="F831" s="65"/>
      <c r="G831" s="12"/>
      <c r="H831" s="41"/>
      <c r="I831" s="30"/>
      <c r="J831" s="30"/>
      <c r="K831" s="30"/>
      <c r="L831" s="11"/>
      <c r="M831" s="11"/>
      <c r="N831" s="11"/>
      <c r="O831" s="11"/>
      <c r="P831" s="82"/>
    </row>
    <row r="832" spans="2:16" s="9" customFormat="1" x14ac:dyDescent="0.2">
      <c r="B832" s="10"/>
      <c r="C832" s="11"/>
      <c r="D832" s="63"/>
      <c r="E832" s="11"/>
      <c r="F832" s="65"/>
      <c r="G832" s="12"/>
      <c r="H832" s="41"/>
      <c r="I832" s="30"/>
      <c r="J832" s="30"/>
      <c r="K832" s="30"/>
      <c r="L832" s="11"/>
      <c r="M832" s="11"/>
      <c r="N832" s="11"/>
      <c r="O832" s="11"/>
      <c r="P832" s="82"/>
    </row>
    <row r="833" spans="2:16" s="9" customFormat="1" x14ac:dyDescent="0.2">
      <c r="B833" s="10"/>
      <c r="C833" s="11"/>
      <c r="D833" s="63"/>
      <c r="E833" s="11"/>
      <c r="F833" s="65"/>
      <c r="G833" s="12"/>
      <c r="H833" s="41"/>
      <c r="I833" s="30"/>
      <c r="J833" s="30"/>
      <c r="K833" s="30"/>
      <c r="L833" s="11"/>
      <c r="M833" s="11"/>
      <c r="N833" s="11"/>
      <c r="O833" s="11"/>
      <c r="P833" s="82"/>
    </row>
    <row r="834" spans="2:16" s="9" customFormat="1" x14ac:dyDescent="0.2">
      <c r="B834" s="10"/>
      <c r="C834" s="11"/>
      <c r="D834" s="63"/>
      <c r="E834" s="11"/>
      <c r="F834" s="65"/>
      <c r="G834" s="12"/>
      <c r="H834" s="41"/>
      <c r="I834" s="30"/>
      <c r="J834" s="30"/>
      <c r="K834" s="30"/>
      <c r="L834" s="11"/>
      <c r="M834" s="11"/>
      <c r="N834" s="11"/>
      <c r="O834" s="11"/>
      <c r="P834" s="82"/>
    </row>
    <row r="835" spans="2:16" s="9" customFormat="1" x14ac:dyDescent="0.2">
      <c r="B835" s="10"/>
      <c r="C835" s="11"/>
      <c r="D835" s="63"/>
      <c r="E835" s="11"/>
      <c r="F835" s="65"/>
      <c r="G835" s="12"/>
      <c r="H835" s="41"/>
      <c r="I835" s="30"/>
      <c r="J835" s="30"/>
      <c r="K835" s="30"/>
      <c r="L835" s="11"/>
      <c r="M835" s="11"/>
      <c r="N835" s="11"/>
      <c r="O835" s="11"/>
      <c r="P835" s="82"/>
    </row>
    <row r="836" spans="2:16" s="9" customFormat="1" x14ac:dyDescent="0.2">
      <c r="B836" s="10"/>
      <c r="C836" s="11"/>
      <c r="D836" s="63"/>
      <c r="E836" s="11"/>
      <c r="F836" s="65"/>
      <c r="G836" s="12"/>
      <c r="H836" s="41"/>
      <c r="I836" s="30"/>
      <c r="J836" s="30"/>
      <c r="K836" s="30"/>
      <c r="L836" s="11"/>
      <c r="M836" s="11"/>
      <c r="N836" s="11"/>
      <c r="O836" s="11"/>
      <c r="P836" s="82"/>
    </row>
    <row r="837" spans="2:16" s="9" customFormat="1" x14ac:dyDescent="0.2">
      <c r="B837" s="10"/>
      <c r="C837" s="11"/>
      <c r="D837" s="63"/>
      <c r="E837" s="11"/>
      <c r="F837" s="65"/>
      <c r="G837" s="12"/>
      <c r="H837" s="41"/>
      <c r="I837" s="30"/>
      <c r="J837" s="30"/>
      <c r="K837" s="30"/>
      <c r="L837" s="11"/>
      <c r="M837" s="11"/>
      <c r="N837" s="11"/>
      <c r="O837" s="11"/>
      <c r="P837" s="82"/>
    </row>
    <row r="838" spans="2:16" s="9" customFormat="1" x14ac:dyDescent="0.2">
      <c r="B838" s="10"/>
      <c r="C838" s="11"/>
      <c r="D838" s="63"/>
      <c r="E838" s="11"/>
      <c r="F838" s="65"/>
      <c r="G838" s="12"/>
      <c r="H838" s="41"/>
      <c r="I838" s="30"/>
      <c r="J838" s="30"/>
      <c r="K838" s="30"/>
      <c r="L838" s="11"/>
      <c r="M838" s="11"/>
      <c r="N838" s="11"/>
      <c r="O838" s="11"/>
      <c r="P838" s="82"/>
    </row>
    <row r="839" spans="2:16" s="9" customFormat="1" x14ac:dyDescent="0.2">
      <c r="B839" s="10"/>
      <c r="C839" s="11"/>
      <c r="D839" s="63"/>
      <c r="E839" s="11"/>
      <c r="F839" s="65"/>
      <c r="G839" s="12"/>
      <c r="H839" s="41"/>
      <c r="I839" s="30"/>
      <c r="J839" s="30"/>
      <c r="K839" s="30"/>
      <c r="L839" s="11"/>
      <c r="M839" s="11"/>
      <c r="N839" s="11"/>
      <c r="O839" s="11"/>
      <c r="P839" s="82"/>
    </row>
    <row r="840" spans="2:16" s="9" customFormat="1" x14ac:dyDescent="0.2">
      <c r="B840" s="10"/>
      <c r="C840" s="11"/>
      <c r="D840" s="63"/>
      <c r="E840" s="11"/>
      <c r="F840" s="65"/>
      <c r="G840" s="12"/>
      <c r="H840" s="41"/>
      <c r="I840" s="30"/>
      <c r="J840" s="30"/>
      <c r="K840" s="30"/>
      <c r="L840" s="11"/>
      <c r="M840" s="11"/>
      <c r="N840" s="11"/>
      <c r="O840" s="11"/>
      <c r="P840" s="82"/>
    </row>
    <row r="841" spans="2:16" s="9" customFormat="1" x14ac:dyDescent="0.2">
      <c r="B841" s="10"/>
      <c r="C841" s="11"/>
      <c r="D841" s="63"/>
      <c r="E841" s="11"/>
      <c r="F841" s="65"/>
      <c r="G841" s="12"/>
      <c r="H841" s="41"/>
      <c r="I841" s="30"/>
      <c r="J841" s="30"/>
      <c r="K841" s="30"/>
      <c r="L841" s="11"/>
      <c r="M841" s="11"/>
      <c r="N841" s="11"/>
      <c r="O841" s="11"/>
      <c r="P841" s="82"/>
    </row>
    <row r="842" spans="2:16" s="9" customFormat="1" x14ac:dyDescent="0.2">
      <c r="B842" s="10"/>
      <c r="C842" s="11"/>
      <c r="D842" s="63"/>
      <c r="E842" s="11"/>
      <c r="F842" s="65"/>
      <c r="G842" s="12"/>
      <c r="H842" s="41"/>
      <c r="I842" s="30"/>
      <c r="J842" s="30"/>
      <c r="K842" s="30"/>
      <c r="L842" s="11"/>
      <c r="M842" s="11"/>
      <c r="N842" s="11"/>
      <c r="O842" s="11"/>
      <c r="P842" s="82"/>
    </row>
    <row r="843" spans="2:16" s="9" customFormat="1" x14ac:dyDescent="0.2">
      <c r="B843" s="10"/>
      <c r="C843" s="11"/>
      <c r="D843" s="63"/>
      <c r="E843" s="11"/>
      <c r="F843" s="65"/>
      <c r="G843" s="12"/>
      <c r="H843" s="41"/>
      <c r="I843" s="30"/>
      <c r="J843" s="30"/>
      <c r="K843" s="30"/>
      <c r="L843" s="11"/>
      <c r="M843" s="11"/>
      <c r="N843" s="11"/>
      <c r="O843" s="11"/>
      <c r="P843" s="82"/>
    </row>
    <row r="844" spans="2:16" s="9" customFormat="1" x14ac:dyDescent="0.2">
      <c r="B844" s="10"/>
      <c r="C844" s="11"/>
      <c r="D844" s="63"/>
      <c r="E844" s="11"/>
      <c r="F844" s="65"/>
      <c r="G844" s="12"/>
      <c r="H844" s="41"/>
      <c r="I844" s="30"/>
      <c r="J844" s="30"/>
      <c r="K844" s="30"/>
      <c r="L844" s="11"/>
      <c r="M844" s="11"/>
      <c r="N844" s="11"/>
      <c r="O844" s="11"/>
      <c r="P844" s="82"/>
    </row>
    <row r="845" spans="2:16" s="9" customFormat="1" x14ac:dyDescent="0.2">
      <c r="B845" s="10"/>
      <c r="C845" s="11"/>
      <c r="D845" s="63"/>
      <c r="E845" s="11"/>
      <c r="F845" s="65"/>
      <c r="G845" s="12"/>
      <c r="H845" s="41"/>
      <c r="I845" s="30"/>
      <c r="J845" s="30"/>
      <c r="K845" s="30"/>
      <c r="L845" s="11"/>
      <c r="M845" s="11"/>
      <c r="N845" s="11"/>
      <c r="O845" s="11"/>
      <c r="P845" s="82"/>
    </row>
    <row r="846" spans="2:16" s="9" customFormat="1" x14ac:dyDescent="0.2">
      <c r="B846" s="10"/>
      <c r="C846" s="11"/>
      <c r="D846" s="63"/>
      <c r="E846" s="11"/>
      <c r="F846" s="65"/>
      <c r="G846" s="12"/>
      <c r="H846" s="41"/>
      <c r="I846" s="30"/>
      <c r="J846" s="30"/>
      <c r="K846" s="30"/>
      <c r="L846" s="11"/>
      <c r="M846" s="11"/>
      <c r="N846" s="11"/>
      <c r="O846" s="11"/>
      <c r="P846" s="82"/>
    </row>
    <row r="847" spans="2:16" s="9" customFormat="1" x14ac:dyDescent="0.2">
      <c r="B847" s="10"/>
      <c r="C847" s="11"/>
      <c r="D847" s="63"/>
      <c r="E847" s="11"/>
      <c r="F847" s="65"/>
      <c r="G847" s="12"/>
      <c r="H847" s="41"/>
      <c r="I847" s="30"/>
      <c r="J847" s="30"/>
      <c r="K847" s="30"/>
      <c r="L847" s="11"/>
      <c r="M847" s="11"/>
      <c r="N847" s="11"/>
      <c r="O847" s="11"/>
      <c r="P847" s="82"/>
    </row>
    <row r="848" spans="2:16" s="9" customFormat="1" x14ac:dyDescent="0.2">
      <c r="B848" s="10"/>
      <c r="C848" s="11"/>
      <c r="D848" s="63"/>
      <c r="E848" s="11"/>
      <c r="F848" s="65"/>
      <c r="G848" s="12"/>
      <c r="H848" s="41"/>
      <c r="I848" s="30"/>
      <c r="J848" s="30"/>
      <c r="K848" s="30"/>
      <c r="L848" s="11"/>
      <c r="M848" s="11"/>
      <c r="N848" s="11"/>
      <c r="O848" s="11"/>
      <c r="P848" s="82"/>
    </row>
    <row r="849" spans="2:16" s="9" customFormat="1" x14ac:dyDescent="0.2">
      <c r="B849" s="10"/>
      <c r="C849" s="11"/>
      <c r="D849" s="63"/>
      <c r="E849" s="11"/>
      <c r="F849" s="65"/>
      <c r="G849" s="12"/>
      <c r="H849" s="41"/>
      <c r="I849" s="30"/>
      <c r="J849" s="30"/>
      <c r="K849" s="30"/>
      <c r="L849" s="11"/>
      <c r="M849" s="11"/>
      <c r="N849" s="11"/>
      <c r="O849" s="11"/>
      <c r="P849" s="82"/>
    </row>
    <row r="850" spans="2:16" s="9" customFormat="1" x14ac:dyDescent="0.2">
      <c r="B850" s="10"/>
      <c r="C850" s="11"/>
      <c r="D850" s="63"/>
      <c r="E850" s="11"/>
      <c r="F850" s="65"/>
      <c r="G850" s="12"/>
      <c r="H850" s="41"/>
      <c r="I850" s="30"/>
      <c r="J850" s="30"/>
      <c r="K850" s="30"/>
      <c r="L850" s="11"/>
      <c r="M850" s="11"/>
      <c r="N850" s="11"/>
      <c r="O850" s="11"/>
      <c r="P850" s="82"/>
    </row>
    <row r="851" spans="2:16" s="9" customFormat="1" x14ac:dyDescent="0.2">
      <c r="B851" s="10"/>
      <c r="C851" s="11"/>
      <c r="D851" s="63"/>
      <c r="E851" s="11"/>
      <c r="F851" s="65"/>
      <c r="G851" s="12"/>
      <c r="H851" s="41"/>
      <c r="I851" s="30"/>
      <c r="J851" s="30"/>
      <c r="K851" s="30"/>
      <c r="L851" s="11"/>
      <c r="M851" s="11"/>
      <c r="N851" s="11"/>
      <c r="O851" s="11"/>
      <c r="P851" s="82"/>
    </row>
    <row r="852" spans="2:16" s="9" customFormat="1" x14ac:dyDescent="0.2">
      <c r="B852" s="10"/>
      <c r="C852" s="11"/>
      <c r="D852" s="63"/>
      <c r="E852" s="11"/>
      <c r="F852" s="65"/>
      <c r="G852" s="12"/>
      <c r="H852" s="41"/>
      <c r="I852" s="30"/>
      <c r="J852" s="30"/>
      <c r="K852" s="30"/>
      <c r="L852" s="11"/>
      <c r="M852" s="11"/>
      <c r="N852" s="11"/>
      <c r="O852" s="11"/>
      <c r="P852" s="82"/>
    </row>
    <row r="853" spans="2:16" s="9" customFormat="1" x14ac:dyDescent="0.2">
      <c r="B853" s="10"/>
      <c r="C853" s="11"/>
      <c r="D853" s="63"/>
      <c r="E853" s="11"/>
      <c r="F853" s="65"/>
      <c r="G853" s="12"/>
      <c r="H853" s="41"/>
      <c r="I853" s="30"/>
      <c r="J853" s="30"/>
      <c r="K853" s="30"/>
      <c r="L853" s="11"/>
      <c r="M853" s="11"/>
      <c r="N853" s="11"/>
      <c r="O853" s="11"/>
      <c r="P853" s="82"/>
    </row>
    <row r="854" spans="2:16" s="9" customFormat="1" x14ac:dyDescent="0.2">
      <c r="B854" s="10"/>
      <c r="C854" s="11"/>
      <c r="D854" s="63"/>
      <c r="E854" s="11"/>
      <c r="F854" s="65"/>
      <c r="G854" s="12"/>
      <c r="H854" s="41"/>
      <c r="I854" s="30"/>
      <c r="J854" s="30"/>
      <c r="K854" s="30"/>
      <c r="L854" s="11"/>
      <c r="M854" s="11"/>
      <c r="N854" s="11"/>
      <c r="O854" s="11"/>
      <c r="P854" s="82"/>
    </row>
    <row r="855" spans="2:16" s="9" customFormat="1" x14ac:dyDescent="0.2">
      <c r="B855" s="10"/>
      <c r="C855" s="11"/>
      <c r="D855" s="63"/>
      <c r="E855" s="11"/>
      <c r="F855" s="65"/>
      <c r="G855" s="12"/>
      <c r="H855" s="41"/>
      <c r="I855" s="30"/>
      <c r="J855" s="30"/>
      <c r="K855" s="30"/>
      <c r="L855" s="11"/>
      <c r="M855" s="11"/>
      <c r="N855" s="11"/>
      <c r="O855" s="11"/>
      <c r="P855" s="82"/>
    </row>
    <row r="856" spans="2:16" s="9" customFormat="1" x14ac:dyDescent="0.2">
      <c r="B856" s="10"/>
      <c r="C856" s="11"/>
      <c r="D856" s="63"/>
      <c r="E856" s="11"/>
      <c r="F856" s="65"/>
      <c r="G856" s="12"/>
      <c r="H856" s="41"/>
      <c r="I856" s="30"/>
      <c r="J856" s="30"/>
      <c r="K856" s="30"/>
      <c r="L856" s="11"/>
      <c r="M856" s="11"/>
      <c r="N856" s="11"/>
      <c r="O856" s="11"/>
      <c r="P856" s="82"/>
    </row>
    <row r="857" spans="2:16" s="9" customFormat="1" x14ac:dyDescent="0.2">
      <c r="B857" s="10"/>
      <c r="C857" s="11"/>
      <c r="D857" s="63"/>
      <c r="E857" s="11"/>
      <c r="F857" s="65"/>
      <c r="G857" s="12"/>
      <c r="H857" s="41"/>
      <c r="I857" s="30"/>
      <c r="J857" s="30"/>
      <c r="K857" s="30"/>
      <c r="L857" s="11"/>
      <c r="M857" s="11"/>
      <c r="N857" s="11"/>
      <c r="O857" s="11"/>
      <c r="P857" s="82"/>
    </row>
    <row r="858" spans="2:16" s="9" customFormat="1" x14ac:dyDescent="0.2">
      <c r="B858" s="10"/>
      <c r="C858" s="11"/>
      <c r="D858" s="63"/>
      <c r="E858" s="11"/>
      <c r="F858" s="65"/>
      <c r="G858" s="12"/>
      <c r="H858" s="41"/>
      <c r="I858" s="30"/>
      <c r="J858" s="30"/>
      <c r="K858" s="30"/>
      <c r="L858" s="11"/>
      <c r="M858" s="11"/>
      <c r="N858" s="11"/>
      <c r="O858" s="11"/>
      <c r="P858" s="82"/>
    </row>
    <row r="859" spans="2:16" s="9" customFormat="1" x14ac:dyDescent="0.2">
      <c r="B859" s="10"/>
      <c r="C859" s="11"/>
      <c r="D859" s="63"/>
      <c r="E859" s="11"/>
      <c r="F859" s="65"/>
      <c r="G859" s="12"/>
      <c r="H859" s="41"/>
      <c r="I859" s="30"/>
      <c r="J859" s="30"/>
      <c r="K859" s="30"/>
      <c r="L859" s="11"/>
      <c r="M859" s="11"/>
      <c r="N859" s="11"/>
      <c r="O859" s="11"/>
      <c r="P859" s="82"/>
    </row>
    <row r="860" spans="2:16" s="9" customFormat="1" x14ac:dyDescent="0.2">
      <c r="B860" s="10"/>
      <c r="C860" s="11"/>
      <c r="D860" s="63"/>
      <c r="E860" s="11"/>
      <c r="F860" s="65"/>
      <c r="G860" s="12"/>
      <c r="H860" s="41"/>
      <c r="I860" s="30"/>
      <c r="J860" s="30"/>
      <c r="K860" s="30"/>
      <c r="L860" s="11"/>
      <c r="M860" s="11"/>
      <c r="N860" s="11"/>
      <c r="O860" s="11"/>
      <c r="P860" s="82"/>
    </row>
    <row r="861" spans="2:16" s="9" customFormat="1" x14ac:dyDescent="0.2">
      <c r="B861" s="10"/>
      <c r="C861" s="11"/>
      <c r="D861" s="63"/>
      <c r="E861" s="11"/>
      <c r="F861" s="65"/>
      <c r="G861" s="12"/>
      <c r="H861" s="41"/>
      <c r="I861" s="30"/>
      <c r="J861" s="30"/>
      <c r="K861" s="30"/>
      <c r="L861" s="11"/>
      <c r="M861" s="11"/>
      <c r="N861" s="11"/>
      <c r="O861" s="11"/>
      <c r="P861" s="82"/>
    </row>
    <row r="862" spans="2:16" s="9" customFormat="1" x14ac:dyDescent="0.2">
      <c r="B862" s="10"/>
      <c r="C862" s="11"/>
      <c r="D862" s="63"/>
      <c r="E862" s="11"/>
      <c r="F862" s="65"/>
      <c r="G862" s="12"/>
      <c r="H862" s="41"/>
      <c r="I862" s="30"/>
      <c r="J862" s="30"/>
      <c r="K862" s="30"/>
      <c r="L862" s="11"/>
      <c r="M862" s="11"/>
      <c r="N862" s="11"/>
      <c r="O862" s="11"/>
      <c r="P862" s="82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allgemein!$B$3:$B$11</xm:f>
          </x14:formula1>
          <xm:sqref>L3:L135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56"/>
  <sheetViews>
    <sheetView tabSelected="1" workbookViewId="0">
      <pane ySplit="2" topLeftCell="A32" activePane="bottomLeft" state="frozen"/>
      <selection pane="bottomLeft" activeCell="B53" sqref="B53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62" customWidth="1"/>
    <col min="5" max="5" width="9.5703125" style="2" customWidth="1"/>
    <col min="6" max="6" width="12.7109375" style="66" customWidth="1"/>
    <col min="7" max="7" width="13.28515625" style="3" customWidth="1"/>
    <col min="8" max="8" width="13.28515625" style="42" customWidth="1"/>
    <col min="9" max="9" width="13.28515625" style="31" customWidth="1"/>
    <col min="10" max="10" width="10" style="31" bestFit="1" customWidth="1"/>
    <col min="11" max="11" width="10" style="98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84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67"/>
      <c r="E1" s="68"/>
      <c r="F1" s="69"/>
      <c r="G1" s="80"/>
      <c r="H1" s="29"/>
      <c r="I1" s="29"/>
      <c r="J1" s="29"/>
      <c r="K1" s="93"/>
      <c r="P1" s="82"/>
    </row>
    <row r="2" spans="2:20" ht="32.25" x14ac:dyDescent="0.2">
      <c r="B2" s="4" t="s">
        <v>0</v>
      </c>
      <c r="C2" s="4" t="s">
        <v>8</v>
      </c>
      <c r="D2" s="61" t="s">
        <v>958</v>
      </c>
      <c r="E2" s="8" t="s">
        <v>719</v>
      </c>
      <c r="F2" s="64" t="s">
        <v>684</v>
      </c>
      <c r="G2" s="5" t="s">
        <v>361</v>
      </c>
      <c r="H2" s="5" t="s">
        <v>362</v>
      </c>
      <c r="I2" s="5" t="s">
        <v>7</v>
      </c>
      <c r="J2" s="73" t="s">
        <v>6</v>
      </c>
      <c r="K2" s="94" t="s">
        <v>683</v>
      </c>
      <c r="L2" s="5" t="s">
        <v>5</v>
      </c>
      <c r="M2" s="5" t="s">
        <v>685</v>
      </c>
      <c r="N2" s="5" t="s">
        <v>686</v>
      </c>
      <c r="O2" s="5" t="s">
        <v>1</v>
      </c>
      <c r="P2" s="158" t="s">
        <v>2</v>
      </c>
      <c r="Q2" s="159"/>
      <c r="R2" s="4" t="s">
        <v>3</v>
      </c>
      <c r="S2" s="27" t="s">
        <v>360</v>
      </c>
      <c r="T2" s="27">
        <v>2017</v>
      </c>
    </row>
    <row r="3" spans="2:20" x14ac:dyDescent="0.2">
      <c r="B3" s="13" t="s">
        <v>891</v>
      </c>
      <c r="C3" s="13" t="s">
        <v>812</v>
      </c>
      <c r="D3" s="70">
        <v>29.1</v>
      </c>
      <c r="E3" s="70">
        <v>0.7</v>
      </c>
      <c r="F3" s="71">
        <v>547</v>
      </c>
      <c r="G3" s="15">
        <v>1.857</v>
      </c>
      <c r="H3" s="15">
        <v>3.7170000000000001</v>
      </c>
      <c r="I3" s="15">
        <v>3.6960000000000002</v>
      </c>
      <c r="J3" s="74">
        <f t="shared" ref="J3" si="0">H3-I3</f>
        <v>2.0999999999999908E-2</v>
      </c>
      <c r="K3" s="95">
        <f>(F3*(273.15+D3)/273.15)/(M3*N3)</f>
        <v>7.5659321801208135</v>
      </c>
      <c r="L3" s="15" t="s">
        <v>323</v>
      </c>
      <c r="M3" s="72">
        <f>VLOOKUP(L3,allgemein!$B$3:$C$11,2,FALSE)</f>
        <v>2</v>
      </c>
      <c r="N3" s="14">
        <v>40</v>
      </c>
      <c r="O3" s="13" t="s">
        <v>890</v>
      </c>
      <c r="P3" s="83"/>
      <c r="Q3" s="44"/>
      <c r="R3" s="6"/>
    </row>
    <row r="4" spans="2:20" x14ac:dyDescent="0.2">
      <c r="B4" s="13"/>
      <c r="C4" s="13" t="s">
        <v>41</v>
      </c>
      <c r="D4" s="70"/>
      <c r="E4" s="70"/>
      <c r="F4" s="71"/>
      <c r="G4" s="15">
        <v>1.859</v>
      </c>
      <c r="H4" s="15"/>
      <c r="I4" s="15"/>
      <c r="J4" s="74"/>
      <c r="K4" s="95"/>
      <c r="L4" s="15"/>
      <c r="M4" s="72"/>
      <c r="N4" s="14"/>
      <c r="O4" s="13"/>
      <c r="P4" s="21"/>
      <c r="Q4" s="44"/>
      <c r="R4" s="6"/>
    </row>
    <row r="5" spans="2:20" x14ac:dyDescent="0.2">
      <c r="B5" s="13" t="s">
        <v>892</v>
      </c>
      <c r="C5" s="13" t="s">
        <v>41</v>
      </c>
      <c r="D5" s="70">
        <v>29.5</v>
      </c>
      <c r="E5" s="70">
        <v>0.6</v>
      </c>
      <c r="F5" s="71">
        <v>546</v>
      </c>
      <c r="G5" s="15">
        <v>1.845</v>
      </c>
      <c r="H5" s="15">
        <v>3.6930000000000001</v>
      </c>
      <c r="I5" s="15">
        <v>3.6709999999999998</v>
      </c>
      <c r="J5" s="74">
        <f t="shared" ref="J5" si="1">H5-I5</f>
        <v>2.2000000000000242E-2</v>
      </c>
      <c r="K5" s="95">
        <f>(F5*(273.15+D5)/273.15)/(M5*N5)</f>
        <v>7.5620950027457443</v>
      </c>
      <c r="L5" s="15" t="s">
        <v>323</v>
      </c>
      <c r="M5" s="72">
        <f>VLOOKUP(L5,allgemein!$B$3:$C$11,2,FALSE)</f>
        <v>2</v>
      </c>
      <c r="N5" s="14">
        <v>40</v>
      </c>
      <c r="O5" s="13" t="s">
        <v>41</v>
      </c>
      <c r="P5" s="21"/>
      <c r="Q5" s="44"/>
      <c r="R5" s="6"/>
    </row>
    <row r="6" spans="2:20" x14ac:dyDescent="0.2">
      <c r="B6" s="13"/>
      <c r="C6" s="13" t="s">
        <v>41</v>
      </c>
      <c r="D6" s="70"/>
      <c r="E6" s="70"/>
      <c r="F6" s="71"/>
      <c r="G6" s="15">
        <v>1.847</v>
      </c>
      <c r="H6" s="15"/>
      <c r="I6" s="15"/>
      <c r="J6" s="74"/>
      <c r="K6" s="95"/>
      <c r="L6" s="15"/>
      <c r="M6" s="72"/>
      <c r="N6" s="14"/>
      <c r="O6" s="13"/>
      <c r="P6" s="21"/>
      <c r="Q6" s="44"/>
      <c r="R6" s="6"/>
    </row>
    <row r="7" spans="2:20" x14ac:dyDescent="0.2">
      <c r="B7" s="13" t="s">
        <v>902</v>
      </c>
      <c r="C7" s="13" t="s">
        <v>41</v>
      </c>
      <c r="D7" s="70">
        <v>29.4</v>
      </c>
      <c r="E7" s="70">
        <v>0.8</v>
      </c>
      <c r="F7" s="71">
        <v>543</v>
      </c>
      <c r="G7" s="15">
        <v>1.86</v>
      </c>
      <c r="H7" s="15">
        <v>3.7250000000000001</v>
      </c>
      <c r="I7" s="15">
        <v>3.7069999999999999</v>
      </c>
      <c r="J7" s="74">
        <f t="shared" ref="J7:J11" si="2">H7-I7</f>
        <v>1.8000000000000238E-2</v>
      </c>
      <c r="K7" s="95">
        <f>(F7*(273.15+D7)/273.15)/(M7*N7)</f>
        <v>7.5180601317957159</v>
      </c>
      <c r="L7" s="15" t="s">
        <v>323</v>
      </c>
      <c r="M7" s="72">
        <f>VLOOKUP(L7,allgemein!$B$3:$C$11,2,FALSE)</f>
        <v>2</v>
      </c>
      <c r="N7" s="14">
        <v>40</v>
      </c>
      <c r="O7" s="13" t="s">
        <v>41</v>
      </c>
      <c r="P7" s="21"/>
      <c r="Q7" s="44"/>
      <c r="R7" s="6"/>
    </row>
    <row r="8" spans="2:20" x14ac:dyDescent="0.2">
      <c r="B8" s="13"/>
      <c r="C8" s="13" t="s">
        <v>41</v>
      </c>
      <c r="D8" s="70"/>
      <c r="E8" s="70"/>
      <c r="F8" s="71"/>
      <c r="G8" s="15">
        <v>1.865</v>
      </c>
      <c r="H8" s="15"/>
      <c r="I8" s="15"/>
      <c r="J8" s="74"/>
      <c r="K8" s="95"/>
      <c r="L8" s="15"/>
      <c r="M8" s="72"/>
      <c r="N8" s="14"/>
      <c r="O8" s="13"/>
      <c r="P8" s="21" t="s">
        <v>905</v>
      </c>
      <c r="Q8" s="44"/>
      <c r="R8" s="6"/>
    </row>
    <row r="9" spans="2:20" x14ac:dyDescent="0.2">
      <c r="B9" s="13" t="s">
        <v>903</v>
      </c>
      <c r="C9" s="13" t="s">
        <v>41</v>
      </c>
      <c r="D9" s="70">
        <v>29.2</v>
      </c>
      <c r="E9" s="70">
        <v>0.9</v>
      </c>
      <c r="F9" s="71">
        <v>544</v>
      </c>
      <c r="G9" s="15">
        <v>1.855</v>
      </c>
      <c r="H9" s="15">
        <v>3.7189999999999999</v>
      </c>
      <c r="I9" s="15">
        <v>3.6989999999999998</v>
      </c>
      <c r="J9" s="74">
        <f t="shared" si="2"/>
        <v>2.0000000000000018E-2</v>
      </c>
      <c r="K9" s="95">
        <f>(F9*(273.15+D9)/273.15)/(M9*N9)</f>
        <v>7.526926597107817</v>
      </c>
      <c r="L9" s="15" t="s">
        <v>323</v>
      </c>
      <c r="M9" s="72">
        <f>VLOOKUP(L9,allgemein!$B$3:$C$11,2,FALSE)</f>
        <v>2</v>
      </c>
      <c r="N9" s="14">
        <v>40</v>
      </c>
      <c r="O9" s="13" t="s">
        <v>41</v>
      </c>
      <c r="P9" s="21"/>
      <c r="Q9" s="44"/>
      <c r="R9" s="6"/>
    </row>
    <row r="10" spans="2:20" x14ac:dyDescent="0.2">
      <c r="B10" s="13"/>
      <c r="C10" s="13" t="s">
        <v>41</v>
      </c>
      <c r="D10" s="70"/>
      <c r="E10" s="70"/>
      <c r="F10" s="71"/>
      <c r="G10" s="15">
        <v>1.863</v>
      </c>
      <c r="H10" s="15"/>
      <c r="I10" s="15"/>
      <c r="J10" s="74"/>
      <c r="K10" s="95"/>
      <c r="L10" s="15"/>
      <c r="M10" s="72"/>
      <c r="N10" s="14"/>
      <c r="O10" s="13"/>
      <c r="P10" s="23"/>
      <c r="Q10" s="13"/>
      <c r="R10" s="6"/>
    </row>
    <row r="11" spans="2:20" x14ac:dyDescent="0.2">
      <c r="B11" s="13" t="s">
        <v>904</v>
      </c>
      <c r="C11" s="13" t="s">
        <v>41</v>
      </c>
      <c r="D11" s="70">
        <v>29.5</v>
      </c>
      <c r="E11" s="70">
        <v>0.9</v>
      </c>
      <c r="F11" s="71">
        <v>545</v>
      </c>
      <c r="G11" s="15">
        <v>1.8580000000000001</v>
      </c>
      <c r="H11" s="15">
        <v>3.7149999999999999</v>
      </c>
      <c r="I11" s="15">
        <v>3.6890000000000001</v>
      </c>
      <c r="J11" s="74">
        <f t="shared" si="2"/>
        <v>2.5999999999999801E-2</v>
      </c>
      <c r="K11" s="95">
        <f>(F11*(273.15+D11)/273.15)/(M11*N11)</f>
        <v>7.5482450118982261</v>
      </c>
      <c r="L11" s="15" t="s">
        <v>323</v>
      </c>
      <c r="M11" s="72">
        <f>VLOOKUP(L11,allgemein!$B$3:$C$11,2,FALSE)</f>
        <v>2</v>
      </c>
      <c r="N11" s="14">
        <v>40</v>
      </c>
      <c r="O11" s="13" t="s">
        <v>41</v>
      </c>
      <c r="P11" s="21"/>
      <c r="Q11" s="44"/>
      <c r="R11" s="6"/>
    </row>
    <row r="12" spans="2:20" x14ac:dyDescent="0.2">
      <c r="B12" s="13"/>
      <c r="C12" s="13" t="s">
        <v>41</v>
      </c>
      <c r="D12" s="70"/>
      <c r="E12" s="70"/>
      <c r="F12" s="71"/>
      <c r="G12" s="15">
        <v>1.857</v>
      </c>
      <c r="H12" s="15"/>
      <c r="I12" s="15"/>
      <c r="J12" s="74"/>
      <c r="K12" s="95"/>
      <c r="L12" s="15"/>
      <c r="M12" s="72"/>
      <c r="N12" s="14"/>
      <c r="O12" s="13"/>
      <c r="P12" s="21" t="s">
        <v>905</v>
      </c>
      <c r="Q12" s="13"/>
      <c r="R12" s="6"/>
    </row>
    <row r="13" spans="2:20" x14ac:dyDescent="0.2">
      <c r="B13" s="13" t="s">
        <v>907</v>
      </c>
      <c r="C13" s="13" t="s">
        <v>41</v>
      </c>
      <c r="D13" s="70">
        <v>29.6</v>
      </c>
      <c r="E13" s="70">
        <v>0.9</v>
      </c>
      <c r="F13" s="71">
        <v>545</v>
      </c>
      <c r="G13" s="15">
        <v>1.861</v>
      </c>
      <c r="H13" s="15">
        <v>3.7189999999999999</v>
      </c>
      <c r="I13" s="15">
        <v>3.6949999999999998</v>
      </c>
      <c r="J13" s="74">
        <f t="shared" ref="J13" si="3">H13-I13</f>
        <v>2.4000000000000021E-2</v>
      </c>
      <c r="K13" s="95">
        <f t="shared" ref="K13" si="4">(F13*(273.15+D13)/273.15)/(M13*N13)</f>
        <v>7.5507390627860165</v>
      </c>
      <c r="L13" s="15" t="s">
        <v>323</v>
      </c>
      <c r="M13" s="72">
        <f>VLOOKUP(L13,allgemein!$B$3:$C$11,2,FALSE)</f>
        <v>2</v>
      </c>
      <c r="N13" s="14">
        <v>40</v>
      </c>
      <c r="O13" s="13" t="s">
        <v>41</v>
      </c>
      <c r="P13" s="23"/>
      <c r="Q13" s="13"/>
      <c r="R13" s="6"/>
    </row>
    <row r="14" spans="2:20" x14ac:dyDescent="0.2">
      <c r="B14" s="13"/>
      <c r="C14" s="13" t="s">
        <v>41</v>
      </c>
      <c r="D14" s="70"/>
      <c r="E14" s="70"/>
      <c r="F14" s="71"/>
      <c r="G14" s="15">
        <v>1.8580000000000001</v>
      </c>
      <c r="H14" s="15"/>
      <c r="I14" s="15"/>
      <c r="J14" s="74"/>
      <c r="K14" s="95"/>
      <c r="L14" s="15"/>
      <c r="M14" s="72"/>
      <c r="N14" s="14"/>
      <c r="O14" s="13"/>
      <c r="P14" s="23"/>
      <c r="Q14" s="44"/>
      <c r="R14" s="6"/>
    </row>
    <row r="15" spans="2:20" x14ac:dyDescent="0.2">
      <c r="B15" s="13" t="s">
        <v>908</v>
      </c>
      <c r="C15" s="13" t="s">
        <v>41</v>
      </c>
      <c r="D15" s="70">
        <v>29.8</v>
      </c>
      <c r="E15" s="70">
        <v>0.5</v>
      </c>
      <c r="F15" s="71">
        <v>544</v>
      </c>
      <c r="G15" s="15">
        <v>1.86</v>
      </c>
      <c r="H15" s="15">
        <v>3.718</v>
      </c>
      <c r="I15" s="15">
        <v>3.6930000000000001</v>
      </c>
      <c r="J15" s="74">
        <f t="shared" ref="J15" si="5">H15-I15</f>
        <v>2.4999999999999911E-2</v>
      </c>
      <c r="K15" s="95">
        <f t="shared" ref="K15" si="6">(F15*(273.15+D15)/273.15)/(M15*N15)</f>
        <v>7.5418634449935933</v>
      </c>
      <c r="L15" s="15" t="s">
        <v>323</v>
      </c>
      <c r="M15" s="72">
        <f>VLOOKUP(L15,allgemein!$B$3:$C$11,2,FALSE)</f>
        <v>2</v>
      </c>
      <c r="N15" s="14">
        <v>40</v>
      </c>
      <c r="O15" s="13" t="s">
        <v>41</v>
      </c>
      <c r="P15" s="23"/>
      <c r="Q15" s="13"/>
      <c r="R15" s="6"/>
    </row>
    <row r="16" spans="2:20" x14ac:dyDescent="0.2">
      <c r="B16" s="13"/>
      <c r="C16" s="13" t="s">
        <v>41</v>
      </c>
      <c r="D16" s="70"/>
      <c r="E16" s="70"/>
      <c r="F16" s="71"/>
      <c r="G16" s="15">
        <v>1.8580000000000001</v>
      </c>
      <c r="H16" s="15"/>
      <c r="I16" s="15"/>
      <c r="J16" s="74"/>
      <c r="K16" s="95"/>
      <c r="L16" s="15"/>
      <c r="M16" s="72"/>
      <c r="N16" s="14"/>
      <c r="O16" s="13"/>
      <c r="P16" s="23"/>
      <c r="Q16" s="13"/>
      <c r="R16" s="6"/>
    </row>
    <row r="17" spans="2:18" x14ac:dyDescent="0.2">
      <c r="B17" s="13" t="s">
        <v>909</v>
      </c>
      <c r="C17" s="13" t="s">
        <v>41</v>
      </c>
      <c r="D17" s="70">
        <v>29.7</v>
      </c>
      <c r="E17" s="70">
        <v>0.7</v>
      </c>
      <c r="F17" s="71">
        <v>544</v>
      </c>
      <c r="G17" s="15">
        <v>1.8620000000000001</v>
      </c>
      <c r="H17" s="15">
        <v>3.7330000000000001</v>
      </c>
      <c r="I17" s="15">
        <v>3.7130000000000001</v>
      </c>
      <c r="J17" s="74">
        <f t="shared" ref="J17" si="7">H17-I17</f>
        <v>2.0000000000000018E-2</v>
      </c>
      <c r="K17" s="95">
        <f t="shared" ref="K17" si="8">(F17*(273.15+D17)/273.15)/(M17*N17)</f>
        <v>7.5393739703459648</v>
      </c>
      <c r="L17" s="15" t="s">
        <v>323</v>
      </c>
      <c r="M17" s="72">
        <f>VLOOKUP(L17,allgemein!$B$3:$C$11,2,FALSE)</f>
        <v>2</v>
      </c>
      <c r="N17" s="14">
        <v>40</v>
      </c>
      <c r="O17" s="13" t="s">
        <v>41</v>
      </c>
      <c r="P17" s="23"/>
      <c r="Q17" s="44"/>
      <c r="R17" s="6"/>
    </row>
    <row r="18" spans="2:18" x14ac:dyDescent="0.2">
      <c r="B18" s="13"/>
      <c r="C18" s="13" t="s">
        <v>912</v>
      </c>
      <c r="D18" s="70"/>
      <c r="E18" s="70"/>
      <c r="F18" s="71"/>
      <c r="G18" s="15">
        <v>1.87</v>
      </c>
      <c r="H18" s="15"/>
      <c r="I18" s="15"/>
      <c r="J18" s="74"/>
      <c r="K18" s="95"/>
      <c r="L18" s="15"/>
      <c r="M18" s="72"/>
      <c r="N18" s="14"/>
      <c r="O18" s="13"/>
      <c r="P18" s="23"/>
      <c r="Q18" s="13"/>
      <c r="R18" s="6"/>
    </row>
    <row r="19" spans="2:18" x14ac:dyDescent="0.2">
      <c r="B19" s="13" t="s">
        <v>910</v>
      </c>
      <c r="C19" s="13" t="s">
        <v>41</v>
      </c>
      <c r="D19" s="70">
        <v>29.8</v>
      </c>
      <c r="E19" s="70">
        <v>0.7</v>
      </c>
      <c r="F19" s="71">
        <v>544</v>
      </c>
      <c r="G19" s="15">
        <v>1.87</v>
      </c>
      <c r="H19" s="15">
        <v>3.74</v>
      </c>
      <c r="I19" s="15">
        <v>3.72</v>
      </c>
      <c r="J19" s="74">
        <f t="shared" ref="J19" si="9">H19-I19</f>
        <v>2.0000000000000018E-2</v>
      </c>
      <c r="K19" s="95">
        <f t="shared" ref="K19" si="10">(F19*(273.15+D19)/273.15)/(M19*N19)</f>
        <v>7.5418634449935933</v>
      </c>
      <c r="L19" s="15" t="s">
        <v>323</v>
      </c>
      <c r="M19" s="72">
        <f>VLOOKUP(L19,allgemein!$B$3:$C$11,2,FALSE)</f>
        <v>2</v>
      </c>
      <c r="N19" s="14">
        <v>40</v>
      </c>
      <c r="O19" s="13" t="s">
        <v>41</v>
      </c>
      <c r="P19" s="23"/>
      <c r="Q19" s="13"/>
      <c r="R19" s="6"/>
    </row>
    <row r="20" spans="2:18" x14ac:dyDescent="0.2">
      <c r="B20" s="13"/>
      <c r="C20" s="13" t="s">
        <v>41</v>
      </c>
      <c r="D20" s="70"/>
      <c r="E20" s="70"/>
      <c r="F20" s="71"/>
      <c r="G20" s="15">
        <v>1.87</v>
      </c>
      <c r="H20" s="15"/>
      <c r="I20" s="15"/>
      <c r="J20" s="74"/>
      <c r="K20" s="95"/>
      <c r="L20" s="15"/>
      <c r="M20" s="72"/>
      <c r="N20" s="14"/>
      <c r="O20" s="13"/>
      <c r="P20" s="23"/>
      <c r="Q20" s="44"/>
      <c r="R20" s="6"/>
    </row>
    <row r="21" spans="2:18" x14ac:dyDescent="0.2">
      <c r="B21" s="13" t="s">
        <v>911</v>
      </c>
      <c r="C21" s="13" t="s">
        <v>41</v>
      </c>
      <c r="D21" s="70">
        <v>29.9</v>
      </c>
      <c r="E21" s="70">
        <v>0.7</v>
      </c>
      <c r="F21" s="71">
        <v>545</v>
      </c>
      <c r="G21" s="15">
        <v>1.871</v>
      </c>
      <c r="H21" s="15">
        <v>3.7410000000000001</v>
      </c>
      <c r="I21" s="15">
        <v>3.718</v>
      </c>
      <c r="J21" s="74">
        <f t="shared" ref="J21" si="11">H21-I21</f>
        <v>2.3000000000000131E-2</v>
      </c>
      <c r="K21" s="95">
        <f t="shared" ref="K21" si="12">(F21*(273.15+D21)/273.15)/(M21*N21)</f>
        <v>7.558221215449386</v>
      </c>
      <c r="L21" s="15" t="s">
        <v>323</v>
      </c>
      <c r="M21" s="72">
        <f>VLOOKUP(L21,allgemein!$B$3:$C$11,2,FALSE)</f>
        <v>2</v>
      </c>
      <c r="N21" s="14">
        <v>40</v>
      </c>
      <c r="O21" s="13" t="s">
        <v>41</v>
      </c>
      <c r="Q21" s="13"/>
      <c r="R21" s="6"/>
    </row>
    <row r="22" spans="2:18" x14ac:dyDescent="0.2">
      <c r="B22" s="13"/>
      <c r="C22" s="13" t="s">
        <v>41</v>
      </c>
      <c r="D22" s="70"/>
      <c r="E22" s="70"/>
      <c r="F22" s="71"/>
      <c r="G22" s="15">
        <v>1.87</v>
      </c>
      <c r="H22" s="15"/>
      <c r="I22" s="15"/>
      <c r="J22" s="74"/>
      <c r="K22" s="95"/>
      <c r="L22" s="15"/>
      <c r="M22" s="72"/>
      <c r="N22" s="14"/>
      <c r="O22" s="13"/>
      <c r="P22" s="23"/>
      <c r="Q22" s="13"/>
      <c r="R22" s="6"/>
    </row>
    <row r="23" spans="2:18" x14ac:dyDescent="0.2">
      <c r="B23" s="13" t="s">
        <v>913</v>
      </c>
      <c r="C23" s="13" t="s">
        <v>41</v>
      </c>
      <c r="D23" s="70">
        <v>29</v>
      </c>
      <c r="E23" s="70">
        <v>0.3</v>
      </c>
      <c r="F23" s="71">
        <v>551</v>
      </c>
      <c r="G23" s="15">
        <v>1.87</v>
      </c>
      <c r="H23" s="15">
        <v>3.7429999999999999</v>
      </c>
      <c r="I23" s="15">
        <v>3.72</v>
      </c>
      <c r="J23" s="74">
        <f t="shared" ref="J23" si="13">H23-I23</f>
        <v>2.2999999999999687E-2</v>
      </c>
      <c r="K23" s="95">
        <f t="shared" ref="K23" si="14">(F23*(273.15+D23)/273.15)/(M23*N23)</f>
        <v>7.6187374153395577</v>
      </c>
      <c r="L23" s="15" t="s">
        <v>323</v>
      </c>
      <c r="M23" s="72">
        <f>VLOOKUP(L23,allgemein!$B$3:$C$11,2,FALSE)</f>
        <v>2</v>
      </c>
      <c r="N23" s="14">
        <v>40</v>
      </c>
      <c r="O23" s="13" t="s">
        <v>41</v>
      </c>
      <c r="P23" s="86"/>
      <c r="Q23" s="13"/>
      <c r="R23" s="6"/>
    </row>
    <row r="24" spans="2:18" x14ac:dyDescent="0.2">
      <c r="B24" s="13"/>
      <c r="C24" s="13" t="s">
        <v>41</v>
      </c>
      <c r="D24" s="70"/>
      <c r="E24" s="70"/>
      <c r="F24" s="71"/>
      <c r="G24" s="15">
        <v>1.873</v>
      </c>
      <c r="H24" s="15"/>
      <c r="I24" s="15"/>
      <c r="J24" s="74"/>
      <c r="K24" s="95"/>
      <c r="L24" s="15"/>
      <c r="M24" s="72"/>
      <c r="N24" s="14"/>
      <c r="O24" s="13"/>
      <c r="P24" s="23"/>
      <c r="Q24" s="13"/>
      <c r="R24" s="6"/>
    </row>
    <row r="25" spans="2:18" x14ac:dyDescent="0.2">
      <c r="B25" s="13" t="s">
        <v>914</v>
      </c>
      <c r="C25" s="13" t="s">
        <v>41</v>
      </c>
      <c r="D25" s="70">
        <v>29.3</v>
      </c>
      <c r="E25" s="70">
        <v>0.2</v>
      </c>
      <c r="F25" s="71">
        <v>547</v>
      </c>
      <c r="G25" s="15">
        <v>1.863</v>
      </c>
      <c r="H25" s="15">
        <v>3.7269999999999999</v>
      </c>
      <c r="I25" s="15">
        <v>3.7040000000000002</v>
      </c>
      <c r="J25" s="74">
        <f t="shared" ref="J25" si="15">H25-I25</f>
        <v>2.2999999999999687E-2</v>
      </c>
      <c r="K25" s="95">
        <f t="shared" ref="K25" si="16">(F25*(273.15+D25)/273.15)/(M25*N25)</f>
        <v>7.5709385868570376</v>
      </c>
      <c r="L25" s="15" t="s">
        <v>323</v>
      </c>
      <c r="M25" s="72">
        <f>VLOOKUP(L25,allgemein!$B$3:$C$11,2,FALSE)</f>
        <v>2</v>
      </c>
      <c r="N25" s="14">
        <v>40</v>
      </c>
      <c r="O25" s="13" t="s">
        <v>41</v>
      </c>
      <c r="P25" s="23"/>
      <c r="Q25" s="13"/>
      <c r="R25" s="6"/>
    </row>
    <row r="26" spans="2:18" x14ac:dyDescent="0.2">
      <c r="B26" s="13"/>
      <c r="C26" s="13" t="s">
        <v>41</v>
      </c>
      <c r="D26" s="70"/>
      <c r="E26" s="70"/>
      <c r="F26" s="71"/>
      <c r="G26" s="15">
        <v>1.8640000000000001</v>
      </c>
      <c r="H26" s="15"/>
      <c r="I26" s="15"/>
      <c r="J26" s="74"/>
      <c r="K26" s="95"/>
      <c r="L26" s="15"/>
      <c r="M26" s="72"/>
      <c r="N26" s="14"/>
      <c r="O26" s="13"/>
      <c r="P26" s="23"/>
      <c r="Q26" s="13"/>
      <c r="R26" s="6"/>
    </row>
    <row r="27" spans="2:18" x14ac:dyDescent="0.2">
      <c r="B27" s="13" t="s">
        <v>915</v>
      </c>
      <c r="C27" s="13" t="s">
        <v>41</v>
      </c>
      <c r="D27" s="70">
        <v>29.5</v>
      </c>
      <c r="E27" s="70">
        <v>0.2</v>
      </c>
      <c r="F27" s="71">
        <v>547</v>
      </c>
      <c r="G27" s="15">
        <v>1.8620000000000001</v>
      </c>
      <c r="H27" s="15">
        <v>3.7229999999999999</v>
      </c>
      <c r="I27" s="15">
        <v>3.7010000000000001</v>
      </c>
      <c r="J27" s="74">
        <f t="shared" ref="J27" si="17">H27-I27</f>
        <v>2.1999999999999797E-2</v>
      </c>
      <c r="K27" s="95">
        <f t="shared" ref="K27" si="18">(F27*(273.15+D27)/273.15)/(M27*N27)</f>
        <v>7.5759449935932635</v>
      </c>
      <c r="L27" s="15" t="s">
        <v>323</v>
      </c>
      <c r="M27" s="72">
        <f>VLOOKUP(L27,allgemein!$B$3:$C$11,2,FALSE)</f>
        <v>2</v>
      </c>
      <c r="N27" s="14">
        <v>40</v>
      </c>
      <c r="O27" s="13" t="s">
        <v>41</v>
      </c>
      <c r="P27" s="21"/>
      <c r="Q27" s="13"/>
      <c r="R27" s="6"/>
    </row>
    <row r="28" spans="2:18" x14ac:dyDescent="0.2">
      <c r="B28" s="13"/>
      <c r="C28" s="13" t="s">
        <v>41</v>
      </c>
      <c r="D28" s="70"/>
      <c r="E28" s="70"/>
      <c r="F28" s="71"/>
      <c r="G28" s="15">
        <v>1.86</v>
      </c>
      <c r="H28" s="15"/>
      <c r="I28" s="15"/>
      <c r="J28" s="74"/>
      <c r="K28" s="95"/>
      <c r="L28" s="15"/>
      <c r="M28" s="72"/>
      <c r="N28" s="14"/>
      <c r="O28" s="13"/>
      <c r="P28" s="21"/>
      <c r="Q28" s="13"/>
      <c r="R28" s="6"/>
    </row>
    <row r="29" spans="2:18" x14ac:dyDescent="0.2">
      <c r="B29" s="13" t="s">
        <v>916</v>
      </c>
      <c r="C29" s="13" t="s">
        <v>41</v>
      </c>
      <c r="D29" s="70">
        <v>29.6</v>
      </c>
      <c r="E29" s="70">
        <v>0.2</v>
      </c>
      <c r="F29" s="71">
        <v>548</v>
      </c>
      <c r="G29" s="15">
        <v>1.8520000000000001</v>
      </c>
      <c r="H29" s="15">
        <v>3.706</v>
      </c>
      <c r="I29" s="15">
        <v>3.681</v>
      </c>
      <c r="J29" s="74">
        <f t="shared" ref="J29" si="19">H29-I29</f>
        <v>2.4999999999999911E-2</v>
      </c>
      <c r="K29" s="95">
        <f t="shared" ref="K29" si="20">(F29*(273.15+D29)/273.15)/(M29*N29)</f>
        <v>7.592302764049057</v>
      </c>
      <c r="L29" s="15" t="s">
        <v>323</v>
      </c>
      <c r="M29" s="72">
        <f>VLOOKUP(L29,allgemein!$B$3:$C$11,2,FALSE)</f>
        <v>2</v>
      </c>
      <c r="N29" s="14">
        <v>40</v>
      </c>
      <c r="O29" s="13" t="s">
        <v>41</v>
      </c>
      <c r="P29" s="21"/>
      <c r="Q29" s="13"/>
      <c r="R29" s="6"/>
    </row>
    <row r="30" spans="2:18" x14ac:dyDescent="0.2">
      <c r="B30" s="13"/>
      <c r="C30" s="13" t="s">
        <v>41</v>
      </c>
      <c r="D30" s="70"/>
      <c r="E30" s="70"/>
      <c r="F30" s="71"/>
      <c r="G30" s="15">
        <v>1.8540000000000001</v>
      </c>
      <c r="H30" s="15"/>
      <c r="I30" s="15"/>
      <c r="J30" s="74"/>
      <c r="K30" s="95"/>
      <c r="L30" s="15"/>
      <c r="M30" s="72"/>
      <c r="N30" s="14"/>
      <c r="O30" s="13"/>
      <c r="P30" s="13"/>
      <c r="Q30" s="13"/>
      <c r="R30" s="6"/>
    </row>
    <row r="31" spans="2:18" x14ac:dyDescent="0.2">
      <c r="B31" s="13" t="s">
        <v>917</v>
      </c>
      <c r="C31" s="13" t="s">
        <v>41</v>
      </c>
      <c r="D31" s="70">
        <v>29.6</v>
      </c>
      <c r="E31" s="70">
        <v>0.4</v>
      </c>
      <c r="F31" s="71">
        <v>546</v>
      </c>
      <c r="G31" s="15">
        <v>1.8580000000000001</v>
      </c>
      <c r="H31" s="15">
        <v>3.714</v>
      </c>
      <c r="I31" s="15">
        <v>3.6920000000000002</v>
      </c>
      <c r="J31" s="74">
        <f t="shared" ref="J31" si="21">H31-I31</f>
        <v>2.1999999999999797E-2</v>
      </c>
      <c r="K31" s="95">
        <f t="shared" ref="K31" si="22">(F31*(273.15+D31)/273.15)/(M31*N31)</f>
        <v>7.5645936298736967</v>
      </c>
      <c r="L31" s="15" t="s">
        <v>323</v>
      </c>
      <c r="M31" s="72">
        <f>VLOOKUP(L31,allgemein!$B$3:$C$11,2,FALSE)</f>
        <v>2</v>
      </c>
      <c r="N31" s="14">
        <v>40</v>
      </c>
      <c r="O31" s="13" t="s">
        <v>41</v>
      </c>
      <c r="P31" s="13"/>
      <c r="Q31" s="13"/>
      <c r="R31" s="6"/>
    </row>
    <row r="32" spans="2:18" x14ac:dyDescent="0.2">
      <c r="B32" s="13"/>
      <c r="C32" s="13" t="s">
        <v>41</v>
      </c>
      <c r="D32" s="70"/>
      <c r="E32" s="70"/>
      <c r="F32" s="71"/>
      <c r="G32" s="15">
        <v>1.8560000000000001</v>
      </c>
      <c r="H32" s="15"/>
      <c r="I32" s="15"/>
      <c r="J32" s="74"/>
      <c r="K32" s="95"/>
      <c r="L32" s="15"/>
      <c r="M32" s="72"/>
      <c r="N32" s="14"/>
      <c r="O32" s="13"/>
      <c r="P32" s="13"/>
      <c r="Q32" s="79"/>
      <c r="R32" s="6"/>
    </row>
    <row r="33" spans="2:18" x14ac:dyDescent="0.2">
      <c r="B33" s="13" t="s">
        <v>918</v>
      </c>
      <c r="C33" s="13" t="s">
        <v>41</v>
      </c>
      <c r="D33" s="70">
        <v>29.5</v>
      </c>
      <c r="E33" s="70">
        <v>0.7</v>
      </c>
      <c r="F33" s="71">
        <v>545</v>
      </c>
      <c r="G33" s="15">
        <v>1.861</v>
      </c>
      <c r="H33" s="15">
        <v>3.7280000000000002</v>
      </c>
      <c r="I33" s="15">
        <v>3.7040000000000002</v>
      </c>
      <c r="J33" s="74">
        <f t="shared" ref="J33:J38" si="23">H33-I33</f>
        <v>2.4000000000000021E-2</v>
      </c>
      <c r="K33" s="95">
        <f t="shared" ref="K33" si="24">(F33*(273.15+D33)/273.15)/(M33*N33)</f>
        <v>7.5482450118982261</v>
      </c>
      <c r="L33" s="15" t="s">
        <v>323</v>
      </c>
      <c r="M33" s="72">
        <f>VLOOKUP(L33,allgemein!$B$3:$C$11,2,FALSE)</f>
        <v>2</v>
      </c>
      <c r="N33" s="14">
        <v>40</v>
      </c>
      <c r="O33" s="13" t="s">
        <v>41</v>
      </c>
      <c r="P33" s="21"/>
      <c r="Q33" s="13"/>
      <c r="R33" s="6"/>
    </row>
    <row r="34" spans="2:18" x14ac:dyDescent="0.2">
      <c r="B34" s="13"/>
      <c r="C34" s="13" t="s">
        <v>41</v>
      </c>
      <c r="D34" s="70"/>
      <c r="E34" s="70"/>
      <c r="F34" s="71"/>
      <c r="G34" s="15">
        <v>1.867</v>
      </c>
      <c r="H34" s="15"/>
      <c r="I34" s="15"/>
      <c r="J34" s="74"/>
      <c r="K34" s="95"/>
      <c r="L34" s="15"/>
      <c r="M34" s="72"/>
      <c r="N34" s="14"/>
      <c r="O34" s="13"/>
      <c r="P34" s="21"/>
      <c r="Q34" s="13"/>
      <c r="R34" s="6"/>
    </row>
    <row r="35" spans="2:18" x14ac:dyDescent="0.2">
      <c r="B35" s="13" t="s">
        <v>919</v>
      </c>
      <c r="C35" s="13" t="s">
        <v>41</v>
      </c>
      <c r="D35" s="70">
        <v>29.5</v>
      </c>
      <c r="E35" s="70">
        <v>0.8</v>
      </c>
      <c r="F35" s="71">
        <v>275</v>
      </c>
      <c r="G35" s="15"/>
      <c r="H35" s="15">
        <v>1.867</v>
      </c>
      <c r="I35" s="15">
        <v>1.8580000000000001</v>
      </c>
      <c r="J35" s="74">
        <f t="shared" si="23"/>
        <v>8.999999999999897E-3</v>
      </c>
      <c r="K35" s="95">
        <f t="shared" ref="K35" si="25">(F35*(273.15+D35)/273.15)/(M35*N35)</f>
        <v>7.6174949661358244</v>
      </c>
      <c r="L35" s="15" t="s">
        <v>328</v>
      </c>
      <c r="M35" s="72">
        <f>VLOOKUP(L35,allgemein!$B$3:$C$11,2,FALSE)</f>
        <v>1</v>
      </c>
      <c r="N35" s="14">
        <v>40</v>
      </c>
      <c r="O35" s="13" t="s">
        <v>924</v>
      </c>
      <c r="P35" s="21"/>
      <c r="Q35" s="13"/>
      <c r="R35" s="6"/>
    </row>
    <row r="36" spans="2:18" x14ac:dyDescent="0.2">
      <c r="B36" s="13" t="s">
        <v>920</v>
      </c>
      <c r="C36" s="13" t="s">
        <v>41</v>
      </c>
      <c r="D36" s="70">
        <v>29.3</v>
      </c>
      <c r="E36" s="70">
        <v>0.6</v>
      </c>
      <c r="F36" s="71">
        <v>274</v>
      </c>
      <c r="G36" s="15"/>
      <c r="H36" s="15">
        <v>1.867</v>
      </c>
      <c r="I36" s="15">
        <v>1.8540000000000001</v>
      </c>
      <c r="J36" s="74">
        <f t="shared" si="23"/>
        <v>1.2999999999999901E-2</v>
      </c>
      <c r="K36" s="95">
        <f t="shared" ref="K36:K38" si="26">(F36*(273.15+D36)/273.15)/(M36*N36)</f>
        <v>7.5847794252242364</v>
      </c>
      <c r="L36" s="15" t="s">
        <v>328</v>
      </c>
      <c r="M36" s="72">
        <f>VLOOKUP(L36,allgemein!$B$3:$C$11,2,FALSE)</f>
        <v>1</v>
      </c>
      <c r="N36" s="14">
        <v>40</v>
      </c>
      <c r="O36" s="13" t="s">
        <v>41</v>
      </c>
      <c r="P36" s="23"/>
      <c r="Q36" s="13"/>
      <c r="R36" s="6"/>
    </row>
    <row r="37" spans="2:18" x14ac:dyDescent="0.2">
      <c r="B37" s="13" t="s">
        <v>921</v>
      </c>
      <c r="C37" s="13" t="s">
        <v>41</v>
      </c>
      <c r="D37" s="70">
        <v>29.6</v>
      </c>
      <c r="E37" s="70">
        <v>0.4</v>
      </c>
      <c r="F37" s="71">
        <v>275</v>
      </c>
      <c r="G37" s="15"/>
      <c r="H37" s="15">
        <v>1.867</v>
      </c>
      <c r="I37" s="15">
        <v>1.855</v>
      </c>
      <c r="J37" s="74">
        <f t="shared" si="23"/>
        <v>1.2000000000000011E-2</v>
      </c>
      <c r="K37" s="95">
        <f t="shared" si="26"/>
        <v>7.6200118982244192</v>
      </c>
      <c r="L37" s="15" t="s">
        <v>328</v>
      </c>
      <c r="M37" s="72">
        <f>VLOOKUP(L37,allgemein!$B$3:$C$11,2,FALSE)</f>
        <v>1</v>
      </c>
      <c r="N37" s="14">
        <v>40</v>
      </c>
      <c r="O37" s="13" t="s">
        <v>41</v>
      </c>
      <c r="P37" s="21"/>
      <c r="Q37" s="13"/>
      <c r="R37" s="6"/>
    </row>
    <row r="38" spans="2:18" x14ac:dyDescent="0.2">
      <c r="B38" s="13" t="s">
        <v>922</v>
      </c>
      <c r="C38" s="13" t="s">
        <v>923</v>
      </c>
      <c r="D38" s="70">
        <v>29.3</v>
      </c>
      <c r="E38" s="70">
        <v>0.8</v>
      </c>
      <c r="F38" s="71">
        <v>275</v>
      </c>
      <c r="G38" s="15"/>
      <c r="H38" s="15">
        <v>1.8720000000000001</v>
      </c>
      <c r="I38" s="15">
        <v>1.86</v>
      </c>
      <c r="J38" s="74">
        <f t="shared" si="23"/>
        <v>1.2000000000000011E-2</v>
      </c>
      <c r="K38" s="95">
        <f t="shared" si="26"/>
        <v>7.6124611019586315</v>
      </c>
      <c r="L38" s="15" t="s">
        <v>328</v>
      </c>
      <c r="M38" s="72">
        <f>VLOOKUP(L38,allgemein!$B$3:$C$11,2,FALSE)</f>
        <v>1</v>
      </c>
      <c r="N38" s="14">
        <v>40</v>
      </c>
      <c r="O38" s="13" t="s">
        <v>41</v>
      </c>
      <c r="P38" s="23"/>
      <c r="Q38" s="13"/>
      <c r="R38" s="6"/>
    </row>
    <row r="39" spans="2:18" x14ac:dyDescent="0.2">
      <c r="B39" s="13" t="s">
        <v>925</v>
      </c>
      <c r="C39" s="13" t="s">
        <v>41</v>
      </c>
      <c r="D39" s="70">
        <v>27.3</v>
      </c>
      <c r="E39" s="70">
        <v>0.4</v>
      </c>
      <c r="F39" s="71">
        <v>276</v>
      </c>
      <c r="G39" s="15"/>
      <c r="H39" s="15">
        <v>1.8640000000000001</v>
      </c>
      <c r="I39" s="15">
        <v>1.85</v>
      </c>
      <c r="J39" s="74">
        <f t="shared" ref="J39:J52" si="27">H39-I39</f>
        <v>1.4000000000000012E-2</v>
      </c>
      <c r="K39" s="95">
        <f t="shared" ref="K39:K52" si="28">(F39*(273.15+D39)/273.15)/(M39*N39)</f>
        <v>7.5896210873146632</v>
      </c>
      <c r="L39" s="15" t="s">
        <v>328</v>
      </c>
      <c r="M39" s="72">
        <f>VLOOKUP(L39,allgemein!$B$3:$C$11,2,FALSE)</f>
        <v>1</v>
      </c>
      <c r="N39" s="14">
        <v>40</v>
      </c>
      <c r="O39" s="13" t="s">
        <v>41</v>
      </c>
      <c r="P39" s="91"/>
      <c r="Q39" s="13"/>
      <c r="R39" s="6"/>
    </row>
    <row r="40" spans="2:18" x14ac:dyDescent="0.2">
      <c r="B40" s="13" t="s">
        <v>926</v>
      </c>
      <c r="C40" s="13" t="s">
        <v>41</v>
      </c>
      <c r="D40" s="70">
        <v>27.2</v>
      </c>
      <c r="E40" s="70">
        <v>0.9</v>
      </c>
      <c r="F40" s="71">
        <v>274</v>
      </c>
      <c r="G40" s="15"/>
      <c r="H40" s="15">
        <v>1.875</v>
      </c>
      <c r="I40" s="15">
        <v>1.867</v>
      </c>
      <c r="J40" s="74">
        <f t="shared" si="27"/>
        <v>8.0000000000000071E-3</v>
      </c>
      <c r="K40" s="95">
        <f t="shared" si="28"/>
        <v>7.5321160534504852</v>
      </c>
      <c r="L40" s="15" t="s">
        <v>328</v>
      </c>
      <c r="M40" s="72">
        <f>VLOOKUP(L40,allgemein!$B$3:$C$11,2,FALSE)</f>
        <v>1</v>
      </c>
      <c r="N40" s="14">
        <v>40</v>
      </c>
      <c r="O40" s="13" t="s">
        <v>41</v>
      </c>
      <c r="P40" s="91"/>
      <c r="Q40" s="13"/>
      <c r="R40" s="6"/>
    </row>
    <row r="41" spans="2:18" x14ac:dyDescent="0.2">
      <c r="B41" s="13" t="s">
        <v>927</v>
      </c>
      <c r="C41" s="13" t="s">
        <v>41</v>
      </c>
      <c r="D41" s="70">
        <v>27.2</v>
      </c>
      <c r="E41" s="70">
        <v>0.6</v>
      </c>
      <c r="F41" s="71">
        <v>276</v>
      </c>
      <c r="G41" s="15"/>
      <c r="H41" s="15">
        <v>1.871</v>
      </c>
      <c r="I41" s="15">
        <v>1.8580000000000001</v>
      </c>
      <c r="J41" s="74">
        <f t="shared" si="27"/>
        <v>1.2999999999999901E-2</v>
      </c>
      <c r="K41" s="95">
        <f t="shared" si="28"/>
        <v>7.5870950027457438</v>
      </c>
      <c r="L41" s="15" t="s">
        <v>328</v>
      </c>
      <c r="M41" s="72">
        <f>VLOOKUP(L41,allgemein!$B$3:$C$11,2,FALSE)</f>
        <v>1</v>
      </c>
      <c r="N41" s="14">
        <v>40</v>
      </c>
      <c r="O41" s="13" t="s">
        <v>41</v>
      </c>
      <c r="P41" s="91"/>
      <c r="Q41" s="13"/>
      <c r="R41" s="6"/>
    </row>
    <row r="42" spans="2:18" x14ac:dyDescent="0.2">
      <c r="B42" s="13" t="s">
        <v>928</v>
      </c>
      <c r="C42" s="13" t="s">
        <v>41</v>
      </c>
      <c r="D42" s="70">
        <v>27.3</v>
      </c>
      <c r="E42" s="70">
        <v>0.5</v>
      </c>
      <c r="F42" s="71">
        <v>275</v>
      </c>
      <c r="G42" s="15"/>
      <c r="H42" s="15">
        <v>1.879</v>
      </c>
      <c r="I42" s="15">
        <v>1.8660000000000001</v>
      </c>
      <c r="J42" s="74">
        <f t="shared" si="27"/>
        <v>1.2999999999999901E-2</v>
      </c>
      <c r="K42" s="95">
        <f t="shared" si="28"/>
        <v>7.5621224601867114</v>
      </c>
      <c r="L42" s="15" t="s">
        <v>328</v>
      </c>
      <c r="M42" s="72">
        <f>VLOOKUP(L42,allgemein!$B$3:$C$11,2,FALSE)</f>
        <v>1</v>
      </c>
      <c r="N42" s="14">
        <v>40</v>
      </c>
      <c r="O42" s="13" t="s">
        <v>41</v>
      </c>
      <c r="P42" s="91"/>
      <c r="Q42" s="13"/>
      <c r="R42" s="6"/>
    </row>
    <row r="43" spans="2:18" x14ac:dyDescent="0.2">
      <c r="B43" s="13" t="s">
        <v>929</v>
      </c>
      <c r="C43" s="13" t="s">
        <v>41</v>
      </c>
      <c r="D43" s="70">
        <v>27.2</v>
      </c>
      <c r="E43" s="70">
        <v>0.6</v>
      </c>
      <c r="F43" s="71">
        <v>273</v>
      </c>
      <c r="G43" s="15"/>
      <c r="H43" s="15">
        <v>1.875</v>
      </c>
      <c r="I43" s="15">
        <v>1.863</v>
      </c>
      <c r="J43" s="74">
        <f t="shared" si="27"/>
        <v>1.2000000000000011E-2</v>
      </c>
      <c r="K43" s="95">
        <f t="shared" si="28"/>
        <v>7.5046265788028546</v>
      </c>
      <c r="L43" s="15" t="s">
        <v>328</v>
      </c>
      <c r="M43" s="72">
        <f>VLOOKUP(L43,allgemein!$B$3:$C$11,2,FALSE)</f>
        <v>1</v>
      </c>
      <c r="N43" s="14">
        <v>40</v>
      </c>
      <c r="O43" s="13" t="s">
        <v>41</v>
      </c>
      <c r="P43" s="17" t="s">
        <v>939</v>
      </c>
      <c r="Q43" s="13"/>
      <c r="R43" s="6"/>
    </row>
    <row r="44" spans="2:18" x14ac:dyDescent="0.2">
      <c r="B44" s="13" t="s">
        <v>930</v>
      </c>
      <c r="C44" s="13" t="s">
        <v>41</v>
      </c>
      <c r="D44" s="70">
        <v>27.1</v>
      </c>
      <c r="E44" s="70">
        <v>0.7</v>
      </c>
      <c r="F44" s="71">
        <v>275</v>
      </c>
      <c r="G44" s="15"/>
      <c r="H44" s="15">
        <v>1.8819999999999999</v>
      </c>
      <c r="I44" s="15">
        <v>1.871</v>
      </c>
      <c r="J44" s="74">
        <f t="shared" si="27"/>
        <v>1.0999999999999899E-2</v>
      </c>
      <c r="K44" s="95">
        <f t="shared" si="28"/>
        <v>7.5570885960095193</v>
      </c>
      <c r="L44" s="15" t="s">
        <v>328</v>
      </c>
      <c r="M44" s="72">
        <f>VLOOKUP(L44,allgemein!$B$3:$C$11,2,FALSE)</f>
        <v>1</v>
      </c>
      <c r="N44" s="14">
        <v>40</v>
      </c>
      <c r="O44" s="13" t="s">
        <v>41</v>
      </c>
      <c r="P44" s="91"/>
      <c r="Q44" s="13"/>
      <c r="R44" s="6"/>
    </row>
    <row r="45" spans="2:18" x14ac:dyDescent="0.2">
      <c r="B45" s="13" t="s">
        <v>931</v>
      </c>
      <c r="C45" s="13" t="s">
        <v>41</v>
      </c>
      <c r="D45" s="70">
        <v>27.9</v>
      </c>
      <c r="E45" s="70">
        <v>0.4</v>
      </c>
      <c r="F45" s="71">
        <v>277</v>
      </c>
      <c r="G45" s="15"/>
      <c r="H45" s="15">
        <v>1.857</v>
      </c>
      <c r="I45" s="15">
        <v>1.8460000000000001</v>
      </c>
      <c r="J45" s="74">
        <f t="shared" si="27"/>
        <v>1.0999999999999899E-2</v>
      </c>
      <c r="K45" s="95">
        <f t="shared" si="28"/>
        <v>7.6323311367380553</v>
      </c>
      <c r="L45" s="15" t="s">
        <v>328</v>
      </c>
      <c r="M45" s="72">
        <f>VLOOKUP(L45,allgemein!$B$3:$C$11,2,FALSE)</f>
        <v>1</v>
      </c>
      <c r="N45" s="14">
        <v>40</v>
      </c>
      <c r="O45" s="13" t="s">
        <v>41</v>
      </c>
      <c r="P45" s="17"/>
      <c r="Q45" s="13"/>
      <c r="R45" s="6"/>
    </row>
    <row r="46" spans="2:18" x14ac:dyDescent="0.2">
      <c r="B46" s="13" t="s">
        <v>932</v>
      </c>
      <c r="C46" s="13" t="s">
        <v>41</v>
      </c>
      <c r="D46" s="70">
        <v>28</v>
      </c>
      <c r="E46" s="70">
        <v>0.7</v>
      </c>
      <c r="F46" s="71">
        <v>275</v>
      </c>
      <c r="G46" s="15"/>
      <c r="H46" s="15">
        <v>1.8580000000000001</v>
      </c>
      <c r="I46" s="15">
        <v>1.845</v>
      </c>
      <c r="J46" s="74">
        <f t="shared" si="27"/>
        <v>1.3000000000000123E-2</v>
      </c>
      <c r="K46" s="95">
        <f t="shared" si="28"/>
        <v>7.5797409848068842</v>
      </c>
      <c r="L46" s="15" t="s">
        <v>328</v>
      </c>
      <c r="M46" s="72">
        <f>VLOOKUP(L46,allgemein!$B$3:$C$11,2,FALSE)</f>
        <v>1</v>
      </c>
      <c r="N46" s="14">
        <v>40</v>
      </c>
      <c r="O46" s="13" t="s">
        <v>41</v>
      </c>
      <c r="P46" s="91"/>
      <c r="Q46" s="13"/>
      <c r="R46" s="6"/>
    </row>
    <row r="47" spans="2:18" x14ac:dyDescent="0.2">
      <c r="B47" s="13" t="s">
        <v>933</v>
      </c>
      <c r="C47" s="13" t="s">
        <v>41</v>
      </c>
      <c r="D47" s="70">
        <v>27.9</v>
      </c>
      <c r="E47" s="70">
        <v>0.4</v>
      </c>
      <c r="F47" s="71">
        <v>275</v>
      </c>
      <c r="G47" s="15"/>
      <c r="H47" s="15">
        <v>1.8660000000000001</v>
      </c>
      <c r="I47" s="15">
        <v>1.853</v>
      </c>
      <c r="J47" s="74">
        <f t="shared" si="27"/>
        <v>1.3000000000000123E-2</v>
      </c>
      <c r="K47" s="95">
        <f t="shared" si="28"/>
        <v>7.5772240527182859</v>
      </c>
      <c r="L47" s="15" t="s">
        <v>328</v>
      </c>
      <c r="M47" s="72">
        <f>VLOOKUP(L47,allgemein!$B$3:$C$11,2,FALSE)</f>
        <v>1</v>
      </c>
      <c r="N47" s="14">
        <v>40</v>
      </c>
      <c r="O47" s="13" t="s">
        <v>41</v>
      </c>
      <c r="P47" s="21"/>
      <c r="Q47" s="13"/>
      <c r="R47" s="6"/>
    </row>
    <row r="48" spans="2:18" x14ac:dyDescent="0.2">
      <c r="B48" s="13" t="s">
        <v>934</v>
      </c>
      <c r="C48" s="13" t="s">
        <v>41</v>
      </c>
      <c r="D48" s="70">
        <v>28.4</v>
      </c>
      <c r="E48" s="70">
        <v>0.8</v>
      </c>
      <c r="F48" s="71">
        <v>275</v>
      </c>
      <c r="G48" s="15"/>
      <c r="H48" s="15">
        <v>1.877</v>
      </c>
      <c r="I48" s="15">
        <v>1.8660000000000001</v>
      </c>
      <c r="J48" s="74">
        <f t="shared" si="27"/>
        <v>1.0999999999999899E-2</v>
      </c>
      <c r="K48" s="95">
        <f t="shared" si="28"/>
        <v>7.5898087131612657</v>
      </c>
      <c r="L48" s="15" t="s">
        <v>328</v>
      </c>
      <c r="M48" s="72">
        <f>VLOOKUP(L48,allgemein!$B$3:$C$11,2,FALSE)</f>
        <v>1</v>
      </c>
      <c r="N48" s="14">
        <v>40</v>
      </c>
      <c r="O48" s="13" t="s">
        <v>41</v>
      </c>
      <c r="P48" s="21"/>
      <c r="Q48" s="13"/>
      <c r="R48" s="6"/>
    </row>
    <row r="49" spans="2:18" x14ac:dyDescent="0.2">
      <c r="B49" s="13" t="s">
        <v>935</v>
      </c>
      <c r="C49" s="13" t="s">
        <v>41</v>
      </c>
      <c r="D49" s="70">
        <v>27.7</v>
      </c>
      <c r="E49" s="70">
        <v>0.2</v>
      </c>
      <c r="F49" s="71">
        <v>275</v>
      </c>
      <c r="G49" s="15"/>
      <c r="H49" s="15">
        <v>1.873</v>
      </c>
      <c r="I49" s="15">
        <v>1.8620000000000001</v>
      </c>
      <c r="J49" s="74">
        <f t="shared" si="27"/>
        <v>1.0999999999999899E-2</v>
      </c>
      <c r="K49" s="95">
        <f t="shared" si="28"/>
        <v>7.5721901885410947</v>
      </c>
      <c r="L49" s="15" t="s">
        <v>328</v>
      </c>
      <c r="M49" s="72">
        <f>VLOOKUP(L49,allgemein!$B$3:$C$11,2,FALSE)</f>
        <v>1</v>
      </c>
      <c r="N49" s="14">
        <v>40</v>
      </c>
      <c r="O49" s="13" t="s">
        <v>41</v>
      </c>
      <c r="P49" s="21"/>
      <c r="Q49" s="13"/>
      <c r="R49" s="6"/>
    </row>
    <row r="50" spans="2:18" x14ac:dyDescent="0.2">
      <c r="B50" s="13" t="s">
        <v>936</v>
      </c>
      <c r="C50" s="13" t="s">
        <v>41</v>
      </c>
      <c r="D50" s="70">
        <v>27.6</v>
      </c>
      <c r="E50" s="70">
        <v>0.1</v>
      </c>
      <c r="F50" s="71">
        <v>276</v>
      </c>
      <c r="G50" s="15"/>
      <c r="H50" s="15">
        <v>1.87</v>
      </c>
      <c r="I50" s="15">
        <v>1.857</v>
      </c>
      <c r="J50" s="74">
        <f t="shared" si="27"/>
        <v>1.3000000000000123E-2</v>
      </c>
      <c r="K50" s="95">
        <f t="shared" si="28"/>
        <v>7.5971993410214171</v>
      </c>
      <c r="L50" s="15" t="s">
        <v>328</v>
      </c>
      <c r="M50" s="72">
        <f>VLOOKUP(L50,allgemein!$B$3:$C$11,2,FALSE)</f>
        <v>1</v>
      </c>
      <c r="N50" s="14">
        <v>40</v>
      </c>
      <c r="O50" s="13" t="s">
        <v>41</v>
      </c>
      <c r="P50" s="21"/>
      <c r="Q50" s="13"/>
      <c r="R50" s="6"/>
    </row>
    <row r="51" spans="2:18" x14ac:dyDescent="0.2">
      <c r="B51" s="13" t="s">
        <v>937</v>
      </c>
      <c r="C51" s="13" t="s">
        <v>41</v>
      </c>
      <c r="D51" s="70">
        <v>27.6</v>
      </c>
      <c r="E51" s="70">
        <v>0.2</v>
      </c>
      <c r="F51" s="71">
        <v>275</v>
      </c>
      <c r="G51" s="15"/>
      <c r="H51" s="15">
        <v>1.879</v>
      </c>
      <c r="I51" s="15">
        <v>1.8680000000000001</v>
      </c>
      <c r="J51" s="74">
        <f t="shared" si="27"/>
        <v>1.0999999999999899E-2</v>
      </c>
      <c r="K51" s="95">
        <f t="shared" si="28"/>
        <v>7.5696732564524991</v>
      </c>
      <c r="L51" s="15" t="s">
        <v>328</v>
      </c>
      <c r="M51" s="72">
        <f>VLOOKUP(L51,allgemein!$B$3:$C$11,2,FALSE)</f>
        <v>1</v>
      </c>
      <c r="N51" s="14">
        <v>40</v>
      </c>
      <c r="O51" s="13" t="s">
        <v>41</v>
      </c>
      <c r="P51" s="21"/>
      <c r="Q51" s="23"/>
      <c r="R51" s="6"/>
    </row>
    <row r="52" spans="2:18" x14ac:dyDescent="0.2">
      <c r="B52" s="13" t="s">
        <v>938</v>
      </c>
      <c r="C52" s="13" t="s">
        <v>41</v>
      </c>
      <c r="D52" s="70">
        <v>27.9</v>
      </c>
      <c r="E52" s="70">
        <v>0.7</v>
      </c>
      <c r="F52" s="71">
        <v>276</v>
      </c>
      <c r="G52" s="15"/>
      <c r="H52" s="15">
        <v>1.883</v>
      </c>
      <c r="I52" s="15">
        <v>1.871</v>
      </c>
      <c r="J52" s="74">
        <f t="shared" si="27"/>
        <v>1.2000000000000011E-2</v>
      </c>
      <c r="K52" s="95">
        <f t="shared" si="28"/>
        <v>7.6047775947281711</v>
      </c>
      <c r="L52" s="15" t="s">
        <v>328</v>
      </c>
      <c r="M52" s="72">
        <f>VLOOKUP(L52,allgemein!$B$3:$C$11,2,FALSE)</f>
        <v>1</v>
      </c>
      <c r="N52" s="14">
        <v>40</v>
      </c>
      <c r="O52" s="13" t="s">
        <v>41</v>
      </c>
      <c r="P52" s="21"/>
      <c r="Q52" s="13"/>
      <c r="R52" s="6"/>
    </row>
    <row r="53" spans="2:18" x14ac:dyDescent="0.2">
      <c r="B53" s="13" t="s">
        <v>940</v>
      </c>
      <c r="C53" s="13" t="s">
        <v>879</v>
      </c>
      <c r="D53" s="70">
        <v>26.6</v>
      </c>
      <c r="E53" s="70">
        <v>0.7</v>
      </c>
      <c r="F53" s="71">
        <v>182</v>
      </c>
      <c r="G53" s="15"/>
      <c r="H53" s="15">
        <v>1.8660000000000001</v>
      </c>
      <c r="I53" s="15">
        <v>1.851</v>
      </c>
      <c r="J53" s="74">
        <f t="shared" ref="J53:J60" si="29">H53-I53</f>
        <v>1.5000000000000124E-2</v>
      </c>
      <c r="K53" s="95">
        <f t="shared" ref="K53:K60" si="30">(F53*(273.15+D53)/273.15)/(M53*N53)</f>
        <v>7.9889438037708222</v>
      </c>
      <c r="L53" s="15" t="s">
        <v>728</v>
      </c>
      <c r="M53" s="72">
        <f>VLOOKUP(L53,allgemein!$B$3:$C$11,2,FALSE)</f>
        <v>1</v>
      </c>
      <c r="N53" s="14">
        <v>25</v>
      </c>
      <c r="O53" s="13" t="s">
        <v>948</v>
      </c>
      <c r="P53" s="21"/>
      <c r="Q53" s="13"/>
      <c r="R53" s="6"/>
    </row>
    <row r="54" spans="2:18" x14ac:dyDescent="0.2">
      <c r="B54" s="13" t="s">
        <v>941</v>
      </c>
      <c r="C54" s="13" t="s">
        <v>949</v>
      </c>
      <c r="D54" s="70">
        <v>26.4</v>
      </c>
      <c r="E54" s="70">
        <v>0.7</v>
      </c>
      <c r="F54" s="71">
        <v>179</v>
      </c>
      <c r="G54" s="15"/>
      <c r="H54" s="15">
        <v>1.877</v>
      </c>
      <c r="I54" s="15">
        <v>1.865</v>
      </c>
      <c r="J54" s="74">
        <f t="shared" si="29"/>
        <v>1.2000000000000011E-2</v>
      </c>
      <c r="K54" s="95">
        <f t="shared" si="30"/>
        <v>7.8520153761669409</v>
      </c>
      <c r="L54" s="15" t="s">
        <v>728</v>
      </c>
      <c r="M54" s="72">
        <f>VLOOKUP(L54,allgemein!$B$3:$C$11,2,FALSE)</f>
        <v>1</v>
      </c>
      <c r="N54" s="14">
        <v>25</v>
      </c>
      <c r="O54" s="13" t="s">
        <v>41</v>
      </c>
      <c r="P54" s="21"/>
      <c r="Q54" s="13"/>
      <c r="R54" s="6"/>
    </row>
    <row r="55" spans="2:18" x14ac:dyDescent="0.2">
      <c r="B55" s="13" t="s">
        <v>942</v>
      </c>
      <c r="C55" s="13" t="s">
        <v>41</v>
      </c>
      <c r="D55" s="70">
        <v>26.8</v>
      </c>
      <c r="E55" s="70">
        <v>0.5</v>
      </c>
      <c r="F55" s="71">
        <v>182</v>
      </c>
      <c r="G55" s="15"/>
      <c r="H55" s="15">
        <v>1.91</v>
      </c>
      <c r="I55" s="15">
        <v>1.8939999999999999</v>
      </c>
      <c r="J55" s="92">
        <f t="shared" si="29"/>
        <v>1.6000000000000014E-2</v>
      </c>
      <c r="K55" s="96">
        <f t="shared" ref="K55" si="31">(F55*(273.15+D55)/273.15)/(M55*N55)</f>
        <v>7.9942742083104532</v>
      </c>
      <c r="L55" s="15" t="s">
        <v>728</v>
      </c>
      <c r="M55" s="72">
        <f>VLOOKUP(L55,allgemein!$B$3:$C$11,2,FALSE)</f>
        <v>1</v>
      </c>
      <c r="N55" s="14">
        <v>25</v>
      </c>
      <c r="O55" s="13" t="s">
        <v>41</v>
      </c>
      <c r="P55" s="21"/>
      <c r="Q55" s="13"/>
      <c r="R55" s="6"/>
    </row>
    <row r="56" spans="2:18" x14ac:dyDescent="0.2">
      <c r="B56" s="13" t="s">
        <v>943</v>
      </c>
      <c r="C56" s="13" t="s">
        <v>41</v>
      </c>
      <c r="D56" s="70">
        <v>26.8</v>
      </c>
      <c r="E56" s="70">
        <v>0.3</v>
      </c>
      <c r="F56" s="71">
        <v>182</v>
      </c>
      <c r="G56" s="15"/>
      <c r="H56" s="15">
        <v>1.9019999999999999</v>
      </c>
      <c r="I56" s="15">
        <v>1.887</v>
      </c>
      <c r="J56" s="92">
        <f t="shared" si="29"/>
        <v>1.4999999999999902E-2</v>
      </c>
      <c r="K56" s="95">
        <f t="shared" si="30"/>
        <v>7.9942742083104532</v>
      </c>
      <c r="L56" s="15" t="s">
        <v>728</v>
      </c>
      <c r="M56" s="72">
        <f>VLOOKUP(L56,allgemein!$B$3:$C$11,2,FALSE)</f>
        <v>1</v>
      </c>
      <c r="N56" s="14">
        <v>25</v>
      </c>
      <c r="O56" s="13" t="s">
        <v>41</v>
      </c>
      <c r="P56" s="23"/>
      <c r="Q56" s="13"/>
      <c r="R56" s="60"/>
    </row>
    <row r="57" spans="2:18" x14ac:dyDescent="0.2">
      <c r="B57" s="13" t="s">
        <v>944</v>
      </c>
      <c r="C57" s="13" t="s">
        <v>41</v>
      </c>
      <c r="D57" s="70">
        <v>25.8</v>
      </c>
      <c r="E57" s="70">
        <v>0.5</v>
      </c>
      <c r="F57" s="71">
        <v>181</v>
      </c>
      <c r="G57" s="15"/>
      <c r="H57" s="15">
        <v>1.8859999999999999</v>
      </c>
      <c r="I57" s="15">
        <v>1.873</v>
      </c>
      <c r="J57" s="74">
        <f t="shared" si="29"/>
        <v>1.2999999999999901E-2</v>
      </c>
      <c r="K57" s="95">
        <f t="shared" si="30"/>
        <v>7.9238440417353102</v>
      </c>
      <c r="L57" s="15" t="s">
        <v>728</v>
      </c>
      <c r="M57" s="72">
        <f>VLOOKUP(L57,allgemein!$B$3:$C$11,2,FALSE)</f>
        <v>1</v>
      </c>
      <c r="N57" s="14">
        <v>25</v>
      </c>
      <c r="O57" s="13" t="s">
        <v>41</v>
      </c>
      <c r="P57" s="21"/>
      <c r="Q57" s="13"/>
      <c r="R57" s="6"/>
    </row>
    <row r="58" spans="2:18" x14ac:dyDescent="0.2">
      <c r="B58" s="13" t="s">
        <v>945</v>
      </c>
      <c r="C58" s="13" t="s">
        <v>41</v>
      </c>
      <c r="D58" s="70">
        <v>25.7</v>
      </c>
      <c r="E58" s="70">
        <v>0.4</v>
      </c>
      <c r="F58" s="71">
        <v>170</v>
      </c>
      <c r="G58" s="15"/>
      <c r="H58" s="15">
        <v>1.901</v>
      </c>
      <c r="I58" s="15">
        <v>1.8879999999999999</v>
      </c>
      <c r="J58" s="74">
        <f t="shared" si="29"/>
        <v>1.3000000000000123E-2</v>
      </c>
      <c r="K58" s="95">
        <f t="shared" si="30"/>
        <v>7.4397949844407831</v>
      </c>
      <c r="L58" s="15" t="s">
        <v>728</v>
      </c>
      <c r="M58" s="72">
        <f>VLOOKUP(L58,allgemein!$B$3:$C$11,2,FALSE)</f>
        <v>1</v>
      </c>
      <c r="N58" s="14">
        <v>25</v>
      </c>
      <c r="O58" s="13" t="s">
        <v>41</v>
      </c>
      <c r="P58" s="21"/>
      <c r="Q58" s="13"/>
      <c r="R58" s="6"/>
    </row>
    <row r="59" spans="2:18" x14ac:dyDescent="0.2">
      <c r="B59" s="13" t="s">
        <v>946</v>
      </c>
      <c r="C59" s="13" t="s">
        <v>41</v>
      </c>
      <c r="D59" s="70">
        <v>25.7</v>
      </c>
      <c r="E59" s="70">
        <v>0.4</v>
      </c>
      <c r="F59" s="71">
        <v>175</v>
      </c>
      <c r="G59" s="15"/>
      <c r="H59" s="15">
        <v>1.9</v>
      </c>
      <c r="I59" s="15">
        <v>1.889</v>
      </c>
      <c r="J59" s="74">
        <f t="shared" si="29"/>
        <v>1.0999999999999899E-2</v>
      </c>
      <c r="K59" s="95">
        <f t="shared" si="30"/>
        <v>7.6586124839831591</v>
      </c>
      <c r="L59" s="15" t="s">
        <v>728</v>
      </c>
      <c r="M59" s="72">
        <f>VLOOKUP(L59,allgemein!$B$3:$C$11,2,FALSE)</f>
        <v>1</v>
      </c>
      <c r="N59" s="14">
        <v>25</v>
      </c>
      <c r="O59" s="13" t="s">
        <v>41</v>
      </c>
      <c r="P59" s="21"/>
      <c r="Q59" s="13"/>
      <c r="R59" s="6"/>
    </row>
    <row r="60" spans="2:18" x14ac:dyDescent="0.2">
      <c r="B60" s="13" t="s">
        <v>947</v>
      </c>
      <c r="C60" s="13" t="s">
        <v>41</v>
      </c>
      <c r="D60" s="70">
        <v>25.5</v>
      </c>
      <c r="E60" s="70">
        <v>0.3</v>
      </c>
      <c r="F60" s="71">
        <v>176</v>
      </c>
      <c r="G60" s="15"/>
      <c r="H60" s="15">
        <v>1.9079999999999999</v>
      </c>
      <c r="I60" s="15">
        <v>1.893</v>
      </c>
      <c r="J60" s="74">
        <f t="shared" si="29"/>
        <v>1.4999999999999902E-2</v>
      </c>
      <c r="K60" s="95">
        <f t="shared" si="30"/>
        <v>7.697221306974189</v>
      </c>
      <c r="L60" s="15" t="s">
        <v>728</v>
      </c>
      <c r="M60" s="72">
        <f>VLOOKUP(L60,allgemein!$B$3:$C$11,2,FALSE)</f>
        <v>1</v>
      </c>
      <c r="N60" s="14">
        <v>25</v>
      </c>
      <c r="O60" s="13" t="s">
        <v>41</v>
      </c>
      <c r="P60" s="21"/>
      <c r="Q60" s="13"/>
      <c r="R60" s="6"/>
    </row>
    <row r="61" spans="2:18" x14ac:dyDescent="0.2">
      <c r="B61" s="13" t="s">
        <v>950</v>
      </c>
      <c r="C61" s="13" t="s">
        <v>41</v>
      </c>
      <c r="D61" s="70">
        <v>26</v>
      </c>
      <c r="E61" s="70">
        <v>0.2</v>
      </c>
      <c r="F61" s="71">
        <v>179</v>
      </c>
      <c r="G61" s="15"/>
      <c r="H61" s="15">
        <v>1.9</v>
      </c>
      <c r="I61" s="15">
        <v>1.8859999999999999</v>
      </c>
      <c r="J61" s="74">
        <f t="shared" ref="J61:J68" si="32">H61-I61</f>
        <v>1.4000000000000012E-2</v>
      </c>
      <c r="K61" s="95">
        <f t="shared" ref="K61:K68" si="33">(F61*(273.15+D61)/273.15)/(M61*N61)</f>
        <v>7.8415302947098668</v>
      </c>
      <c r="L61" s="15" t="s">
        <v>728</v>
      </c>
      <c r="M61" s="72">
        <f>VLOOKUP(L61,allgemein!$B$3:$C$11,2,FALSE)</f>
        <v>1</v>
      </c>
      <c r="N61" s="14">
        <v>25</v>
      </c>
      <c r="O61" s="13" t="s">
        <v>41</v>
      </c>
      <c r="Q61" s="13"/>
      <c r="R61" s="6"/>
    </row>
    <row r="62" spans="2:18" x14ac:dyDescent="0.2">
      <c r="B62" s="13" t="s">
        <v>951</v>
      </c>
      <c r="C62" s="13" t="s">
        <v>41</v>
      </c>
      <c r="D62" s="70">
        <v>25.9</v>
      </c>
      <c r="E62" s="70">
        <v>0.3</v>
      </c>
      <c r="F62" s="71">
        <v>179</v>
      </c>
      <c r="G62" s="15"/>
      <c r="H62" s="15">
        <v>1.9019999999999999</v>
      </c>
      <c r="I62" s="15">
        <v>1.889</v>
      </c>
      <c r="J62" s="74">
        <f t="shared" si="32"/>
        <v>1.2999999999999901E-2</v>
      </c>
      <c r="K62" s="95">
        <f t="shared" si="33"/>
        <v>7.8389090243455977</v>
      </c>
      <c r="L62" s="15" t="s">
        <v>728</v>
      </c>
      <c r="M62" s="72">
        <f>VLOOKUP(L62,allgemein!$B$3:$C$11,2,FALSE)</f>
        <v>1</v>
      </c>
      <c r="N62" s="14">
        <v>25</v>
      </c>
      <c r="O62" s="13" t="s">
        <v>41</v>
      </c>
      <c r="P62" s="21"/>
      <c r="Q62" s="13"/>
      <c r="R62" s="6"/>
    </row>
    <row r="63" spans="2:18" x14ac:dyDescent="0.2">
      <c r="B63" s="13" t="s">
        <v>952</v>
      </c>
      <c r="C63" s="13" t="s">
        <v>41</v>
      </c>
      <c r="D63" s="70">
        <v>25.9</v>
      </c>
      <c r="E63" s="70">
        <v>0.2</v>
      </c>
      <c r="F63" s="71">
        <v>179</v>
      </c>
      <c r="G63" s="15"/>
      <c r="H63" s="15">
        <v>1.901</v>
      </c>
      <c r="I63" s="15">
        <v>1.89</v>
      </c>
      <c r="J63" s="74">
        <f t="shared" si="32"/>
        <v>1.1000000000000121E-2</v>
      </c>
      <c r="K63" s="95">
        <f t="shared" si="33"/>
        <v>7.8389090243455977</v>
      </c>
      <c r="L63" s="15" t="s">
        <v>728</v>
      </c>
      <c r="M63" s="72">
        <f>VLOOKUP(L63,allgemein!$B$3:$C$11,2,FALSE)</f>
        <v>1</v>
      </c>
      <c r="N63" s="14">
        <v>25</v>
      </c>
      <c r="O63" s="13" t="s">
        <v>41</v>
      </c>
      <c r="P63" s="23"/>
      <c r="Q63" s="13"/>
      <c r="R63" s="6"/>
    </row>
    <row r="64" spans="2:18" x14ac:dyDescent="0.2">
      <c r="B64" s="13" t="s">
        <v>953</v>
      </c>
      <c r="C64" s="13" t="s">
        <v>41</v>
      </c>
      <c r="D64" s="70">
        <v>26</v>
      </c>
      <c r="E64" s="70">
        <v>0.2</v>
      </c>
      <c r="F64" s="71">
        <v>179</v>
      </c>
      <c r="G64" s="15"/>
      <c r="H64" s="15">
        <v>1.887</v>
      </c>
      <c r="I64" s="15">
        <v>1.8740000000000001</v>
      </c>
      <c r="J64" s="74">
        <f t="shared" si="32"/>
        <v>1.2999999999999901E-2</v>
      </c>
      <c r="K64" s="95">
        <f t="shared" si="33"/>
        <v>7.8415302947098668</v>
      </c>
      <c r="L64" s="15" t="s">
        <v>728</v>
      </c>
      <c r="M64" s="72">
        <f>VLOOKUP(L64,allgemein!$B$3:$C$11,2,FALSE)</f>
        <v>1</v>
      </c>
      <c r="N64" s="14">
        <v>25</v>
      </c>
      <c r="O64" s="13" t="s">
        <v>41</v>
      </c>
      <c r="P64" s="21"/>
      <c r="Q64" s="13"/>
      <c r="R64" s="6"/>
    </row>
    <row r="65" spans="2:18" x14ac:dyDescent="0.2">
      <c r="B65" s="13" t="s">
        <v>954</v>
      </c>
      <c r="C65" s="13" t="s">
        <v>41</v>
      </c>
      <c r="D65" s="70">
        <v>26.1</v>
      </c>
      <c r="E65" s="70">
        <v>0.2</v>
      </c>
      <c r="F65" s="71">
        <v>178</v>
      </c>
      <c r="G65" s="15"/>
      <c r="H65" s="15">
        <v>1.8979999999999999</v>
      </c>
      <c r="I65" s="15">
        <v>1.8859999999999999</v>
      </c>
      <c r="J65" s="74">
        <f t="shared" si="32"/>
        <v>1.2000000000000011E-2</v>
      </c>
      <c r="K65" s="95">
        <f t="shared" si="33"/>
        <v>7.800329489291598</v>
      </c>
      <c r="L65" s="15" t="s">
        <v>728</v>
      </c>
      <c r="M65" s="72">
        <f>VLOOKUP(L65,allgemein!$B$3:$C$11,2,FALSE)</f>
        <v>1</v>
      </c>
      <c r="N65" s="14">
        <v>25</v>
      </c>
      <c r="O65" s="13" t="s">
        <v>41</v>
      </c>
      <c r="P65" s="23"/>
      <c r="Q65" s="13"/>
      <c r="R65" s="6"/>
    </row>
    <row r="66" spans="2:18" x14ac:dyDescent="0.2">
      <c r="B66" s="13" t="s">
        <v>955</v>
      </c>
      <c r="C66" s="13" t="s">
        <v>41</v>
      </c>
      <c r="D66" s="70">
        <v>26</v>
      </c>
      <c r="E66" s="70">
        <v>0.2</v>
      </c>
      <c r="F66" s="71">
        <v>179</v>
      </c>
      <c r="G66" s="15"/>
      <c r="H66" s="15">
        <v>1.8919999999999999</v>
      </c>
      <c r="I66" s="15">
        <v>1.881</v>
      </c>
      <c r="J66" s="74">
        <f t="shared" si="32"/>
        <v>1.0999999999999899E-2</v>
      </c>
      <c r="K66" s="95">
        <f t="shared" si="33"/>
        <v>7.8415302947098668</v>
      </c>
      <c r="L66" s="15" t="s">
        <v>728</v>
      </c>
      <c r="M66" s="72">
        <f>VLOOKUP(L66,allgemein!$B$3:$C$11,2,FALSE)</f>
        <v>1</v>
      </c>
      <c r="N66" s="14">
        <v>25</v>
      </c>
      <c r="O66" s="13" t="s">
        <v>41</v>
      </c>
      <c r="P66" s="23"/>
      <c r="Q66" s="13"/>
      <c r="R66" s="6"/>
    </row>
    <row r="67" spans="2:18" x14ac:dyDescent="0.2">
      <c r="B67" s="13" t="s">
        <v>956</v>
      </c>
      <c r="C67" s="13" t="s">
        <v>41</v>
      </c>
      <c r="D67" s="70">
        <v>26.1</v>
      </c>
      <c r="E67" s="70">
        <v>0.4</v>
      </c>
      <c r="F67" s="71">
        <v>179</v>
      </c>
      <c r="G67" s="15"/>
      <c r="H67" s="15">
        <v>1.8779999999999999</v>
      </c>
      <c r="I67" s="15">
        <v>1.867</v>
      </c>
      <c r="J67" s="74">
        <f t="shared" si="32"/>
        <v>1.0999999999999899E-2</v>
      </c>
      <c r="K67" s="95">
        <f t="shared" si="33"/>
        <v>7.844151565074136</v>
      </c>
      <c r="L67" s="15" t="s">
        <v>728</v>
      </c>
      <c r="M67" s="72">
        <f>VLOOKUP(L67,allgemein!$B$3:$C$11,2,FALSE)</f>
        <v>1</v>
      </c>
      <c r="N67" s="14">
        <v>25</v>
      </c>
      <c r="O67" s="13" t="s">
        <v>41</v>
      </c>
      <c r="P67" s="23"/>
      <c r="Q67" s="13"/>
      <c r="R67" s="6"/>
    </row>
    <row r="68" spans="2:18" x14ac:dyDescent="0.2">
      <c r="B68" s="13" t="s">
        <v>957</v>
      </c>
      <c r="C68" s="13" t="s">
        <v>41</v>
      </c>
      <c r="D68" s="70">
        <v>26.1</v>
      </c>
      <c r="E68" s="70">
        <v>0.3</v>
      </c>
      <c r="F68" s="71">
        <v>179</v>
      </c>
      <c r="G68" s="15"/>
      <c r="H68" s="15">
        <v>1.89</v>
      </c>
      <c r="I68" s="15">
        <v>1.8759999999999999</v>
      </c>
      <c r="J68" s="74">
        <f t="shared" si="32"/>
        <v>1.4000000000000012E-2</v>
      </c>
      <c r="K68" s="95">
        <f t="shared" si="33"/>
        <v>7.844151565074136</v>
      </c>
      <c r="L68" s="15" t="s">
        <v>728</v>
      </c>
      <c r="M68" s="72">
        <f>VLOOKUP(L68,allgemein!$B$3:$C$11,2,FALSE)</f>
        <v>1</v>
      </c>
      <c r="N68" s="14">
        <v>25</v>
      </c>
      <c r="O68" s="13" t="s">
        <v>41</v>
      </c>
      <c r="P68" s="23"/>
      <c r="Q68" s="6"/>
      <c r="R68" s="6"/>
    </row>
    <row r="69" spans="2:18" x14ac:dyDescent="0.2">
      <c r="B69" s="13" t="s">
        <v>959</v>
      </c>
      <c r="C69" s="13" t="s">
        <v>41</v>
      </c>
      <c r="D69" s="70">
        <v>26.1</v>
      </c>
      <c r="E69" s="70">
        <v>0.3</v>
      </c>
      <c r="F69" s="71">
        <v>179</v>
      </c>
      <c r="G69" s="15"/>
      <c r="H69" s="15">
        <v>1.863</v>
      </c>
      <c r="I69" s="15">
        <v>1.8520000000000001</v>
      </c>
      <c r="J69" s="74">
        <f t="shared" ref="J69:J76" si="34">H69-I69</f>
        <v>1.0999999999999899E-2</v>
      </c>
      <c r="K69" s="95">
        <f t="shared" ref="K69:K76" si="35">(F69*(273.15+D69)/273.15)/(M69*N69)</f>
        <v>7.844151565074136</v>
      </c>
      <c r="L69" s="15" t="s">
        <v>728</v>
      </c>
      <c r="M69" s="72">
        <f>VLOOKUP(L69,allgemein!$B$3:$C$11,2,FALSE)</f>
        <v>1</v>
      </c>
      <c r="N69" s="14">
        <v>25</v>
      </c>
      <c r="O69" s="13" t="s">
        <v>41</v>
      </c>
      <c r="P69" s="85"/>
      <c r="Q69" s="6"/>
      <c r="R69" s="6"/>
    </row>
    <row r="70" spans="2:18" x14ac:dyDescent="0.2">
      <c r="B70" s="13" t="s">
        <v>960</v>
      </c>
      <c r="C70" s="13" t="s">
        <v>41</v>
      </c>
      <c r="D70" s="70">
        <v>26.1</v>
      </c>
      <c r="E70" s="70">
        <v>0.3</v>
      </c>
      <c r="F70" s="71">
        <v>179</v>
      </c>
      <c r="G70" s="15"/>
      <c r="H70" s="15">
        <v>1.877</v>
      </c>
      <c r="I70" s="15">
        <v>1.8660000000000001</v>
      </c>
      <c r="J70" s="74">
        <f t="shared" si="34"/>
        <v>1.0999999999999899E-2</v>
      </c>
      <c r="K70" s="95">
        <f t="shared" si="35"/>
        <v>7.844151565074136</v>
      </c>
      <c r="L70" s="15" t="s">
        <v>728</v>
      </c>
      <c r="M70" s="72">
        <f>VLOOKUP(L70,allgemein!$B$3:$C$11,2,FALSE)</f>
        <v>1</v>
      </c>
      <c r="N70" s="14">
        <v>25</v>
      </c>
      <c r="O70" s="13" t="s">
        <v>41</v>
      </c>
      <c r="P70" s="85"/>
      <c r="Q70" s="6"/>
      <c r="R70" s="6"/>
    </row>
    <row r="71" spans="2:18" x14ac:dyDescent="0.2">
      <c r="B71" s="13" t="s">
        <v>961</v>
      </c>
      <c r="C71" s="13" t="s">
        <v>41</v>
      </c>
      <c r="D71" s="70">
        <v>25.7</v>
      </c>
      <c r="E71" s="70">
        <v>0.4</v>
      </c>
      <c r="F71" s="71">
        <v>179</v>
      </c>
      <c r="G71" s="15"/>
      <c r="H71" s="15">
        <v>1.88</v>
      </c>
      <c r="I71" s="15">
        <v>1.869</v>
      </c>
      <c r="J71" s="74">
        <f t="shared" si="34"/>
        <v>1.0999999999999899E-2</v>
      </c>
      <c r="K71" s="95">
        <f t="shared" si="35"/>
        <v>7.8336664836170602</v>
      </c>
      <c r="L71" s="15" t="s">
        <v>728</v>
      </c>
      <c r="M71" s="72">
        <f>VLOOKUP(L71,allgemein!$B$3:$C$11,2,FALSE)</f>
        <v>1</v>
      </c>
      <c r="N71" s="14">
        <v>25</v>
      </c>
      <c r="O71" s="13" t="s">
        <v>41</v>
      </c>
      <c r="P71" s="85"/>
      <c r="Q71" s="6"/>
      <c r="R71" s="6"/>
    </row>
    <row r="72" spans="2:18" x14ac:dyDescent="0.2">
      <c r="B72" s="13" t="s">
        <v>962</v>
      </c>
      <c r="C72" s="13" t="s">
        <v>41</v>
      </c>
      <c r="D72" s="70">
        <v>25.7</v>
      </c>
      <c r="E72" s="70">
        <v>0.5</v>
      </c>
      <c r="F72" s="71">
        <v>178</v>
      </c>
      <c r="G72" s="15"/>
      <c r="H72" s="15">
        <v>1.8720000000000001</v>
      </c>
      <c r="I72" s="15">
        <v>1.8580000000000001</v>
      </c>
      <c r="J72" s="74">
        <f t="shared" si="34"/>
        <v>1.4000000000000012E-2</v>
      </c>
      <c r="K72" s="95">
        <f t="shared" si="35"/>
        <v>7.7899029837085845</v>
      </c>
      <c r="L72" s="15" t="s">
        <v>728</v>
      </c>
      <c r="M72" s="72">
        <f>VLOOKUP(L72,allgemein!$B$3:$C$11,2,FALSE)</f>
        <v>1</v>
      </c>
      <c r="N72" s="14">
        <v>25</v>
      </c>
      <c r="O72" s="13" t="s">
        <v>41</v>
      </c>
      <c r="P72" s="85"/>
      <c r="Q72" s="6"/>
      <c r="R72" s="6"/>
    </row>
    <row r="73" spans="2:18" x14ac:dyDescent="0.2">
      <c r="B73" s="13" t="s">
        <v>966</v>
      </c>
      <c r="C73" s="13" t="s">
        <v>41</v>
      </c>
      <c r="D73" s="70">
        <v>25.7</v>
      </c>
      <c r="E73" s="70">
        <v>0.5</v>
      </c>
      <c r="F73" s="71">
        <v>179</v>
      </c>
      <c r="G73" s="15"/>
      <c r="H73" s="15">
        <v>1.887</v>
      </c>
      <c r="I73" s="15">
        <v>1.8740000000000001</v>
      </c>
      <c r="J73" s="74">
        <f t="shared" si="34"/>
        <v>1.2999999999999901E-2</v>
      </c>
      <c r="K73" s="95">
        <f t="shared" si="35"/>
        <v>7.8336664836170602</v>
      </c>
      <c r="L73" s="15" t="s">
        <v>728</v>
      </c>
      <c r="M73" s="72">
        <f>VLOOKUP(L73,allgemein!$B$3:$C$11,2,FALSE)</f>
        <v>1</v>
      </c>
      <c r="N73" s="14">
        <v>25</v>
      </c>
      <c r="O73" s="13" t="s">
        <v>41</v>
      </c>
      <c r="P73" s="85"/>
      <c r="Q73" s="6"/>
      <c r="R73" s="6"/>
    </row>
    <row r="74" spans="2:18" x14ac:dyDescent="0.2">
      <c r="B74" s="13" t="s">
        <v>963</v>
      </c>
      <c r="C74" s="13" t="s">
        <v>967</v>
      </c>
      <c r="D74" s="70">
        <v>25.6</v>
      </c>
      <c r="E74" s="70">
        <v>0.6</v>
      </c>
      <c r="F74" s="71">
        <v>178</v>
      </c>
      <c r="G74" s="15"/>
      <c r="H74" s="15">
        <v>1.8819999999999999</v>
      </c>
      <c r="I74" s="15">
        <v>1.87</v>
      </c>
      <c r="J74" s="74">
        <f t="shared" si="34"/>
        <v>1.1999999999999789E-2</v>
      </c>
      <c r="K74" s="95">
        <f t="shared" si="35"/>
        <v>7.7872963573128322</v>
      </c>
      <c r="L74" s="15" t="s">
        <v>728</v>
      </c>
      <c r="M74" s="72">
        <f>VLOOKUP(L74,allgemein!$B$3:$C$11,2,FALSE)</f>
        <v>1</v>
      </c>
      <c r="N74" s="14">
        <v>25</v>
      </c>
      <c r="O74" s="13" t="s">
        <v>41</v>
      </c>
      <c r="P74" s="85"/>
      <c r="Q74" s="6"/>
      <c r="R74" s="6"/>
    </row>
    <row r="75" spans="2:18" x14ac:dyDescent="0.2">
      <c r="B75" s="13" t="s">
        <v>964</v>
      </c>
      <c r="C75" s="13" t="s">
        <v>41</v>
      </c>
      <c r="D75" s="70">
        <v>25.6</v>
      </c>
      <c r="E75" s="70">
        <v>0.3</v>
      </c>
      <c r="F75" s="71">
        <v>179</v>
      </c>
      <c r="G75" s="15"/>
      <c r="H75" s="15">
        <v>1.877</v>
      </c>
      <c r="I75" s="15">
        <v>1.863</v>
      </c>
      <c r="J75" s="74">
        <f t="shared" si="34"/>
        <v>1.4000000000000012E-2</v>
      </c>
      <c r="K75" s="95">
        <f t="shared" si="35"/>
        <v>7.8310452132527919</v>
      </c>
      <c r="L75" s="15" t="s">
        <v>728</v>
      </c>
      <c r="M75" s="72">
        <f>VLOOKUP(L75,allgemein!$B$3:$C$11,2,FALSE)</f>
        <v>1</v>
      </c>
      <c r="N75" s="14">
        <v>25</v>
      </c>
      <c r="O75" s="13" t="s">
        <v>41</v>
      </c>
      <c r="P75" s="85"/>
      <c r="Q75" s="6"/>
      <c r="R75" s="6"/>
    </row>
    <row r="76" spans="2:18" x14ac:dyDescent="0.2">
      <c r="B76" s="13" t="s">
        <v>965</v>
      </c>
      <c r="C76" s="13" t="s">
        <v>41</v>
      </c>
      <c r="D76" s="70">
        <v>25.6</v>
      </c>
      <c r="E76" s="70">
        <v>0.6</v>
      </c>
      <c r="F76" s="71">
        <v>178</v>
      </c>
      <c r="G76" s="15"/>
      <c r="H76" s="15">
        <v>1.8859999999999999</v>
      </c>
      <c r="I76" s="15">
        <v>1.8759999999999999</v>
      </c>
      <c r="J76" s="74">
        <f t="shared" si="34"/>
        <v>1.0000000000000009E-2</v>
      </c>
      <c r="K76" s="95">
        <f t="shared" si="35"/>
        <v>7.7872963573128322</v>
      </c>
      <c r="L76" s="15" t="s">
        <v>728</v>
      </c>
      <c r="M76" s="72">
        <f>VLOOKUP(L76,allgemein!$B$3:$C$11,2,FALSE)</f>
        <v>1</v>
      </c>
      <c r="N76" s="14">
        <v>25</v>
      </c>
      <c r="O76" s="13" t="s">
        <v>41</v>
      </c>
      <c r="P76" s="85"/>
      <c r="Q76" s="6"/>
      <c r="R76" s="6"/>
    </row>
    <row r="77" spans="2:18" x14ac:dyDescent="0.2">
      <c r="B77" s="13" t="s">
        <v>968</v>
      </c>
      <c r="C77" s="13" t="s">
        <v>41</v>
      </c>
      <c r="D77" s="70">
        <v>25.3</v>
      </c>
      <c r="E77" s="70">
        <v>0.3</v>
      </c>
      <c r="F77" s="71">
        <v>179</v>
      </c>
      <c r="G77" s="15"/>
      <c r="H77" s="15">
        <v>1.9179999999999999</v>
      </c>
      <c r="I77" s="15">
        <v>1.9059999999999999</v>
      </c>
      <c r="J77" s="74">
        <f t="shared" ref="J77:J82" si="36">H77-I77</f>
        <v>1.2000000000000011E-2</v>
      </c>
      <c r="K77" s="95">
        <f t="shared" ref="K77:K82" si="37">(F77*(273.15+D77)/273.15)/(M77*N77)</f>
        <v>7.8231814021599853</v>
      </c>
      <c r="L77" s="15" t="s">
        <v>728</v>
      </c>
      <c r="M77" s="72">
        <f>VLOOKUP(L77,allgemein!$B$3:$C$11,2,FALSE)</f>
        <v>1</v>
      </c>
      <c r="N77" s="14">
        <v>25</v>
      </c>
      <c r="O77" s="13" t="s">
        <v>41</v>
      </c>
      <c r="P77" s="85" t="s">
        <v>974</v>
      </c>
      <c r="Q77" s="6"/>
      <c r="R77" s="6"/>
    </row>
    <row r="78" spans="2:18" x14ac:dyDescent="0.2">
      <c r="B78" s="13" t="s">
        <v>969</v>
      </c>
      <c r="C78" s="13" t="s">
        <v>41</v>
      </c>
      <c r="D78" s="70">
        <v>25.6</v>
      </c>
      <c r="E78" s="70">
        <v>0.4</v>
      </c>
      <c r="F78" s="71">
        <v>179</v>
      </c>
      <c r="G78" s="15"/>
      <c r="H78" s="15">
        <v>1.891</v>
      </c>
      <c r="I78" s="15">
        <v>1.8819999999999999</v>
      </c>
      <c r="J78" s="74">
        <f t="shared" si="36"/>
        <v>9.000000000000119E-3</v>
      </c>
      <c r="K78" s="95">
        <f t="shared" si="37"/>
        <v>7.8310452132527919</v>
      </c>
      <c r="L78" s="15" t="s">
        <v>728</v>
      </c>
      <c r="M78" s="72">
        <f>VLOOKUP(L78,allgemein!$B$3:$C$11,2,FALSE)</f>
        <v>1</v>
      </c>
      <c r="N78" s="14">
        <v>25</v>
      </c>
      <c r="O78" s="13" t="s">
        <v>41</v>
      </c>
      <c r="P78" s="85"/>
      <c r="Q78" s="6"/>
      <c r="R78" s="6"/>
    </row>
    <row r="79" spans="2:18" x14ac:dyDescent="0.2">
      <c r="B79" s="13" t="s">
        <v>970</v>
      </c>
      <c r="C79" s="13" t="s">
        <v>41</v>
      </c>
      <c r="D79" s="70">
        <v>25.9</v>
      </c>
      <c r="E79" s="70">
        <v>0.3</v>
      </c>
      <c r="F79" s="71">
        <v>179</v>
      </c>
      <c r="G79" s="15"/>
      <c r="H79" s="15">
        <v>1.9059999999999999</v>
      </c>
      <c r="I79" s="15">
        <v>1.895</v>
      </c>
      <c r="J79" s="74">
        <f t="shared" si="36"/>
        <v>1.0999999999999899E-2</v>
      </c>
      <c r="K79" s="95">
        <f t="shared" si="37"/>
        <v>7.8389090243455977</v>
      </c>
      <c r="L79" s="15" t="s">
        <v>728</v>
      </c>
      <c r="M79" s="72">
        <f>VLOOKUP(L79,allgemein!$B$3:$C$11,2,FALSE)</f>
        <v>1</v>
      </c>
      <c r="N79" s="14">
        <v>25</v>
      </c>
      <c r="O79" s="13" t="s">
        <v>41</v>
      </c>
      <c r="P79" s="85"/>
      <c r="Q79" s="6"/>
      <c r="R79" s="6"/>
    </row>
    <row r="80" spans="2:18" x14ac:dyDescent="0.2">
      <c r="B80" s="13" t="s">
        <v>971</v>
      </c>
      <c r="C80" s="13" t="s">
        <v>41</v>
      </c>
      <c r="D80" s="70">
        <v>26.3</v>
      </c>
      <c r="E80" s="70">
        <v>0.4</v>
      </c>
      <c r="F80" s="71">
        <v>180</v>
      </c>
      <c r="G80" s="15"/>
      <c r="H80" s="15">
        <v>1.8939999999999999</v>
      </c>
      <c r="I80" s="15">
        <v>1.8819999999999999</v>
      </c>
      <c r="J80" s="74">
        <f t="shared" si="36"/>
        <v>1.2000000000000011E-2</v>
      </c>
      <c r="K80" s="95">
        <f t="shared" si="37"/>
        <v>7.8932454695222409</v>
      </c>
      <c r="L80" s="15" t="s">
        <v>728</v>
      </c>
      <c r="M80" s="72">
        <f>VLOOKUP(L80,allgemein!$B$3:$C$11,2,FALSE)</f>
        <v>1</v>
      </c>
      <c r="N80" s="14">
        <v>25</v>
      </c>
      <c r="O80" s="13" t="s">
        <v>41</v>
      </c>
      <c r="P80" s="85"/>
      <c r="Q80" s="6"/>
      <c r="R80" s="6"/>
    </row>
    <row r="81" spans="2:18" x14ac:dyDescent="0.2">
      <c r="B81" s="13" t="s">
        <v>972</v>
      </c>
      <c r="C81" s="13" t="s">
        <v>41</v>
      </c>
      <c r="D81" s="70">
        <v>26.8</v>
      </c>
      <c r="E81" s="70">
        <v>0.6</v>
      </c>
      <c r="F81" s="71">
        <v>179</v>
      </c>
      <c r="G81" s="15"/>
      <c r="H81" s="15">
        <v>1.893</v>
      </c>
      <c r="I81" s="15">
        <v>1.883</v>
      </c>
      <c r="J81" s="74">
        <f t="shared" si="36"/>
        <v>1.0000000000000009E-2</v>
      </c>
      <c r="K81" s="95">
        <f t="shared" si="37"/>
        <v>7.8625004576240167</v>
      </c>
      <c r="L81" s="15" t="s">
        <v>728</v>
      </c>
      <c r="M81" s="72">
        <f>VLOOKUP(L81,allgemein!$B$3:$C$11,2,FALSE)</f>
        <v>1</v>
      </c>
      <c r="N81" s="14">
        <v>25</v>
      </c>
      <c r="O81" s="13" t="s">
        <v>41</v>
      </c>
      <c r="P81" s="85"/>
      <c r="Q81" s="6"/>
      <c r="R81" s="6"/>
    </row>
    <row r="82" spans="2:18" x14ac:dyDescent="0.2">
      <c r="B82" s="13" t="s">
        <v>973</v>
      </c>
      <c r="C82" s="13" t="s">
        <v>41</v>
      </c>
      <c r="D82" s="70">
        <v>27.3</v>
      </c>
      <c r="E82" s="70">
        <v>0.3</v>
      </c>
      <c r="F82" s="71">
        <v>179</v>
      </c>
      <c r="G82" s="15"/>
      <c r="H82" s="15">
        <v>1.873</v>
      </c>
      <c r="I82" s="15">
        <v>1.8620000000000001</v>
      </c>
      <c r="J82" s="74">
        <f t="shared" si="36"/>
        <v>1.0999999999999899E-2</v>
      </c>
      <c r="K82" s="95">
        <f t="shared" si="37"/>
        <v>7.87560680944536</v>
      </c>
      <c r="L82" s="15" t="s">
        <v>728</v>
      </c>
      <c r="M82" s="72">
        <f>VLOOKUP(L82,allgemein!$B$3:$C$11,2,FALSE)</f>
        <v>1</v>
      </c>
      <c r="N82" s="14">
        <v>25</v>
      </c>
      <c r="O82" s="13" t="s">
        <v>41</v>
      </c>
      <c r="P82" s="85"/>
      <c r="Q82" s="6"/>
      <c r="R82" s="6"/>
    </row>
    <row r="83" spans="2:18" x14ac:dyDescent="0.2">
      <c r="B83" s="13" t="s">
        <v>981</v>
      </c>
      <c r="C83" s="13" t="s">
        <v>843</v>
      </c>
      <c r="D83" s="70">
        <v>28.4</v>
      </c>
      <c r="E83" s="70">
        <v>0.8</v>
      </c>
      <c r="F83" s="71">
        <v>177</v>
      </c>
      <c r="G83" s="15"/>
      <c r="H83" s="15">
        <v>1.909</v>
      </c>
      <c r="I83" s="15">
        <v>1.901</v>
      </c>
      <c r="J83" s="74">
        <f t="shared" ref="J83:J84" si="38">H83-I83</f>
        <v>8.0000000000000071E-3</v>
      </c>
      <c r="K83" s="95">
        <f t="shared" ref="K83:K84" si="39">(F83*(273.15+D83)/273.15)/(M83*N83)</f>
        <v>7.8161230093355289</v>
      </c>
      <c r="L83" s="15" t="s">
        <v>731</v>
      </c>
      <c r="M83" s="72">
        <f>VLOOKUP(L83,allgemein!$B$3:$C$11,2,FALSE)</f>
        <v>1</v>
      </c>
      <c r="N83" s="14">
        <v>25</v>
      </c>
      <c r="O83" s="13" t="s">
        <v>995</v>
      </c>
      <c r="P83" s="85" t="s">
        <v>983</v>
      </c>
      <c r="Q83" s="6"/>
      <c r="R83" s="6"/>
    </row>
    <row r="84" spans="2:18" x14ac:dyDescent="0.2">
      <c r="B84" s="13" t="s">
        <v>982</v>
      </c>
      <c r="C84" s="13" t="s">
        <v>967</v>
      </c>
      <c r="D84" s="70">
        <v>29.7</v>
      </c>
      <c r="E84" s="70">
        <v>0.8</v>
      </c>
      <c r="F84" s="71">
        <v>179</v>
      </c>
      <c r="G84" s="15"/>
      <c r="H84" s="15">
        <v>1.8919999999999999</v>
      </c>
      <c r="I84" s="15">
        <v>1.885</v>
      </c>
      <c r="J84" s="74">
        <f t="shared" si="38"/>
        <v>6.9999999999998952E-3</v>
      </c>
      <c r="K84" s="95">
        <f t="shared" si="39"/>
        <v>7.9385172981878087</v>
      </c>
      <c r="L84" s="15" t="s">
        <v>731</v>
      </c>
      <c r="M84" s="72">
        <f>VLOOKUP(L84,allgemein!$B$3:$C$11,2,FALSE)</f>
        <v>1</v>
      </c>
      <c r="N84" s="14">
        <v>25</v>
      </c>
      <c r="O84" s="13" t="s">
        <v>41</v>
      </c>
      <c r="P84" s="85" t="s">
        <v>984</v>
      </c>
      <c r="Q84" s="6"/>
      <c r="R84" s="6"/>
    </row>
    <row r="85" spans="2:18" x14ac:dyDescent="0.2">
      <c r="B85" s="13" t="s">
        <v>975</v>
      </c>
      <c r="C85" s="13" t="s">
        <v>41</v>
      </c>
      <c r="D85" s="70">
        <v>26.7</v>
      </c>
      <c r="E85" s="70">
        <v>0.3</v>
      </c>
      <c r="F85" s="71">
        <v>179</v>
      </c>
      <c r="G85" s="15"/>
      <c r="H85" s="15">
        <v>1.91</v>
      </c>
      <c r="I85" s="15">
        <v>1.899</v>
      </c>
      <c r="J85" s="74">
        <f t="shared" ref="J85:J90" si="40">H85-I85</f>
        <v>1.0999999999999899E-2</v>
      </c>
      <c r="K85" s="95">
        <f t="shared" ref="K85:K90" si="41">(F85*(273.15+D85)/273.15)/(M85*N85)</f>
        <v>7.8598791872597475</v>
      </c>
      <c r="L85" s="15" t="s">
        <v>728</v>
      </c>
      <c r="M85" s="72">
        <f>VLOOKUP(L85,allgemein!$B$3:$C$11,2,FALSE)</f>
        <v>1</v>
      </c>
      <c r="N85" s="14">
        <v>25</v>
      </c>
      <c r="O85" s="13" t="s">
        <v>996</v>
      </c>
      <c r="P85" s="85"/>
      <c r="Q85" s="6"/>
      <c r="R85" s="6"/>
    </row>
    <row r="86" spans="2:18" x14ac:dyDescent="0.2">
      <c r="B86" s="13" t="s">
        <v>976</v>
      </c>
      <c r="C86" s="13" t="s">
        <v>41</v>
      </c>
      <c r="D86" s="70">
        <v>26.8</v>
      </c>
      <c r="E86" s="70">
        <v>0.4</v>
      </c>
      <c r="F86" s="71">
        <v>178</v>
      </c>
      <c r="G86" s="15"/>
      <c r="H86" s="15">
        <v>1.9019999999999999</v>
      </c>
      <c r="I86" s="15">
        <v>1.8919999999999999</v>
      </c>
      <c r="J86" s="74">
        <f t="shared" si="40"/>
        <v>1.0000000000000009E-2</v>
      </c>
      <c r="K86" s="95">
        <f t="shared" si="41"/>
        <v>7.8185758740618709</v>
      </c>
      <c r="L86" s="15" t="s">
        <v>728</v>
      </c>
      <c r="M86" s="72">
        <f>VLOOKUP(L86,allgemein!$B$3:$C$11,2,FALSE)</f>
        <v>1</v>
      </c>
      <c r="N86" s="14">
        <v>25</v>
      </c>
      <c r="O86" s="13" t="s">
        <v>41</v>
      </c>
      <c r="P86" s="85"/>
      <c r="Q86" s="6"/>
      <c r="R86" s="6"/>
    </row>
    <row r="87" spans="2:18" x14ac:dyDescent="0.2">
      <c r="B87" s="13" t="s">
        <v>977</v>
      </c>
      <c r="C87" s="13" t="s">
        <v>41</v>
      </c>
      <c r="D87" s="70">
        <v>27.1</v>
      </c>
      <c r="E87" s="70">
        <v>0.4</v>
      </c>
      <c r="F87" s="71">
        <v>179</v>
      </c>
      <c r="G87" s="15"/>
      <c r="H87" s="15">
        <v>1.889</v>
      </c>
      <c r="I87" s="15">
        <v>1.8759999999999999</v>
      </c>
      <c r="J87" s="74">
        <f t="shared" si="40"/>
        <v>1.3000000000000123E-2</v>
      </c>
      <c r="K87" s="95">
        <f t="shared" si="41"/>
        <v>7.8703642687168225</v>
      </c>
      <c r="L87" s="15" t="s">
        <v>728</v>
      </c>
      <c r="M87" s="72">
        <f>VLOOKUP(L87,allgemein!$B$3:$C$11,2,FALSE)</f>
        <v>1</v>
      </c>
      <c r="N87" s="14">
        <v>25</v>
      </c>
      <c r="O87" s="13" t="s">
        <v>41</v>
      </c>
      <c r="P87" s="85"/>
      <c r="Q87" s="6"/>
      <c r="R87" s="6"/>
    </row>
    <row r="88" spans="2:18" x14ac:dyDescent="0.2">
      <c r="B88" s="13" t="s">
        <v>978</v>
      </c>
      <c r="C88" s="13" t="s">
        <v>985</v>
      </c>
      <c r="D88" s="70">
        <v>26.7</v>
      </c>
      <c r="E88" s="70">
        <v>0.6</v>
      </c>
      <c r="F88" s="71">
        <v>179</v>
      </c>
      <c r="G88" s="15"/>
      <c r="H88" s="15">
        <v>1.9019999999999999</v>
      </c>
      <c r="I88" s="15">
        <v>1.8919999999999999</v>
      </c>
      <c r="J88" s="74">
        <f t="shared" si="40"/>
        <v>1.0000000000000009E-2</v>
      </c>
      <c r="K88" s="95">
        <f t="shared" si="41"/>
        <v>7.8598791872597475</v>
      </c>
      <c r="L88" s="15" t="s">
        <v>728</v>
      </c>
      <c r="M88" s="72">
        <f>VLOOKUP(L88,allgemein!$B$3:$C$11,2,FALSE)</f>
        <v>1</v>
      </c>
      <c r="N88" s="14">
        <v>25</v>
      </c>
      <c r="O88" s="13" t="s">
        <v>41</v>
      </c>
      <c r="P88" s="85" t="s">
        <v>986</v>
      </c>
      <c r="Q88" s="6"/>
      <c r="R88" s="6"/>
    </row>
    <row r="89" spans="2:18" x14ac:dyDescent="0.2">
      <c r="B89" s="13" t="s">
        <v>979</v>
      </c>
      <c r="C89" s="13" t="s">
        <v>41</v>
      </c>
      <c r="D89" s="70">
        <v>26.9</v>
      </c>
      <c r="E89" s="70">
        <v>0.4</v>
      </c>
      <c r="F89" s="71">
        <v>180</v>
      </c>
      <c r="G89" s="15"/>
      <c r="H89" s="15">
        <v>1.8859999999999999</v>
      </c>
      <c r="I89" s="15">
        <v>1.873</v>
      </c>
      <c r="J89" s="74">
        <f t="shared" si="40"/>
        <v>1.2999999999999901E-2</v>
      </c>
      <c r="K89" s="95">
        <f t="shared" si="41"/>
        <v>7.9090609555189451</v>
      </c>
      <c r="L89" s="15" t="s">
        <v>728</v>
      </c>
      <c r="M89" s="72">
        <f>VLOOKUP(L89,allgemein!$B$3:$C$11,2,FALSE)</f>
        <v>1</v>
      </c>
      <c r="N89" s="14">
        <v>25</v>
      </c>
      <c r="O89" s="13" t="s">
        <v>41</v>
      </c>
      <c r="P89" s="13" t="s">
        <v>41</v>
      </c>
      <c r="Q89" s="6"/>
      <c r="R89" s="6"/>
    </row>
    <row r="90" spans="2:18" x14ac:dyDescent="0.2">
      <c r="B90" s="13" t="s">
        <v>980</v>
      </c>
      <c r="C90" s="13" t="s">
        <v>41</v>
      </c>
      <c r="D90" s="70">
        <v>27</v>
      </c>
      <c r="E90" s="70">
        <v>0.5</v>
      </c>
      <c r="F90" s="71">
        <v>178</v>
      </c>
      <c r="G90" s="15"/>
      <c r="H90" s="15">
        <v>1.89</v>
      </c>
      <c r="I90" s="15">
        <v>1.881</v>
      </c>
      <c r="J90" s="74">
        <f t="shared" si="40"/>
        <v>8.999999999999897E-3</v>
      </c>
      <c r="K90" s="95">
        <f t="shared" si="41"/>
        <v>7.8237891268533772</v>
      </c>
      <c r="L90" s="15" t="s">
        <v>728</v>
      </c>
      <c r="M90" s="72">
        <f>VLOOKUP(L90,allgemein!$B$3:$C$11,2,FALSE)</f>
        <v>1</v>
      </c>
      <c r="N90" s="14">
        <v>25</v>
      </c>
      <c r="O90" s="13" t="s">
        <v>41</v>
      </c>
      <c r="P90" s="13" t="s">
        <v>41</v>
      </c>
      <c r="Q90" s="6"/>
      <c r="R90" s="6"/>
    </row>
    <row r="91" spans="2:18" x14ac:dyDescent="0.2">
      <c r="B91" s="13" t="s">
        <v>987</v>
      </c>
      <c r="C91" s="13" t="s">
        <v>967</v>
      </c>
      <c r="D91" s="70">
        <v>24.6</v>
      </c>
      <c r="E91" s="70">
        <v>0.4</v>
      </c>
      <c r="F91" s="71">
        <v>179</v>
      </c>
      <c r="G91" s="15"/>
      <c r="H91" s="15">
        <v>1.9139999999999999</v>
      </c>
      <c r="I91" s="15">
        <v>1.903</v>
      </c>
      <c r="J91" s="74">
        <f t="shared" ref="J91" si="42">H91-I91</f>
        <v>1.0999999999999899E-2</v>
      </c>
      <c r="K91" s="95">
        <f t="shared" ref="K91" si="43">(F91*(273.15+D91)/273.15)/(M91*N91)</f>
        <v>7.8048325096101054</v>
      </c>
      <c r="L91" s="15" t="s">
        <v>728</v>
      </c>
      <c r="M91" s="72">
        <f>VLOOKUP(L91,allgemein!$B$3:$C$11,2,FALSE)</f>
        <v>1</v>
      </c>
      <c r="N91" s="14">
        <v>25</v>
      </c>
      <c r="O91" s="13" t="s">
        <v>41</v>
      </c>
      <c r="P91" s="13"/>
      <c r="Q91" s="6"/>
      <c r="R91" s="6"/>
    </row>
    <row r="92" spans="2:18" x14ac:dyDescent="0.2">
      <c r="B92" s="13" t="s">
        <v>988</v>
      </c>
      <c r="C92" s="13" t="s">
        <v>41</v>
      </c>
      <c r="D92" s="70">
        <v>24.6</v>
      </c>
      <c r="E92" s="70">
        <v>0.2</v>
      </c>
      <c r="F92" s="71">
        <v>179</v>
      </c>
      <c r="G92" s="15"/>
      <c r="H92" s="15">
        <v>1.9119999999999999</v>
      </c>
      <c r="I92" s="15">
        <v>1.901</v>
      </c>
      <c r="J92" s="74">
        <f t="shared" ref="J92:J98" si="44">H92-I92</f>
        <v>1.0999999999999899E-2</v>
      </c>
      <c r="K92" s="95">
        <f t="shared" ref="K92:K98" si="45">(F92*(273.15+D92)/273.15)/(M92*N92)</f>
        <v>7.8048325096101054</v>
      </c>
      <c r="L92" s="15" t="s">
        <v>728</v>
      </c>
      <c r="M92" s="72">
        <f>VLOOKUP(L92,allgemein!$B$3:$C$11,2,FALSE)</f>
        <v>1</v>
      </c>
      <c r="N92" s="14">
        <v>25</v>
      </c>
      <c r="O92" s="13" t="s">
        <v>41</v>
      </c>
      <c r="P92" s="85"/>
      <c r="Q92" s="6"/>
      <c r="R92" s="6"/>
    </row>
    <row r="93" spans="2:18" x14ac:dyDescent="0.2">
      <c r="B93" s="13" t="s">
        <v>989</v>
      </c>
      <c r="C93" s="13" t="s">
        <v>41</v>
      </c>
      <c r="D93" s="70">
        <v>24.6</v>
      </c>
      <c r="E93" s="70">
        <v>0.1</v>
      </c>
      <c r="F93" s="71">
        <v>180</v>
      </c>
      <c r="G93" s="15"/>
      <c r="H93" s="15">
        <v>1.921</v>
      </c>
      <c r="I93" s="15">
        <v>1.909</v>
      </c>
      <c r="J93" s="74">
        <f t="shared" si="44"/>
        <v>1.2000000000000011E-2</v>
      </c>
      <c r="K93" s="95">
        <f t="shared" si="45"/>
        <v>7.8484349258649102</v>
      </c>
      <c r="L93" s="15" t="s">
        <v>728</v>
      </c>
      <c r="M93" s="72">
        <f>VLOOKUP(L93,allgemein!$B$3:$C$11,2,FALSE)</f>
        <v>1</v>
      </c>
      <c r="N93" s="14">
        <v>25</v>
      </c>
      <c r="O93" s="13" t="s">
        <v>41</v>
      </c>
      <c r="P93" s="85"/>
      <c r="Q93" s="6"/>
      <c r="R93" s="6"/>
    </row>
    <row r="94" spans="2:18" x14ac:dyDescent="0.2">
      <c r="B94" s="13" t="s">
        <v>990</v>
      </c>
      <c r="C94" s="13" t="s">
        <v>41</v>
      </c>
      <c r="D94" s="70">
        <v>25</v>
      </c>
      <c r="E94" s="70">
        <v>0</v>
      </c>
      <c r="F94" s="71">
        <v>179</v>
      </c>
      <c r="G94" s="15"/>
      <c r="H94" s="15">
        <v>1.89</v>
      </c>
      <c r="I94" s="15">
        <v>1.8779999999999999</v>
      </c>
      <c r="J94" s="74">
        <f t="shared" si="44"/>
        <v>1.2000000000000011E-2</v>
      </c>
      <c r="K94" s="95">
        <f t="shared" si="45"/>
        <v>7.8153175910671795</v>
      </c>
      <c r="L94" s="15" t="s">
        <v>728</v>
      </c>
      <c r="M94" s="72">
        <f>VLOOKUP(L94,allgemein!$B$3:$C$11,2,FALSE)</f>
        <v>1</v>
      </c>
      <c r="N94" s="14">
        <v>25</v>
      </c>
      <c r="O94" s="13" t="s">
        <v>41</v>
      </c>
      <c r="P94" s="85"/>
      <c r="Q94" s="6"/>
      <c r="R94" s="6"/>
    </row>
    <row r="95" spans="2:18" x14ac:dyDescent="0.2">
      <c r="B95" s="13" t="s">
        <v>991</v>
      </c>
      <c r="C95" s="13" t="s">
        <v>985</v>
      </c>
      <c r="D95" s="70">
        <v>24.6</v>
      </c>
      <c r="E95" s="70">
        <v>0.2</v>
      </c>
      <c r="F95" s="71">
        <v>179</v>
      </c>
      <c r="G95" s="15"/>
      <c r="H95" s="15">
        <v>1.895</v>
      </c>
      <c r="I95" s="15">
        <v>1.881</v>
      </c>
      <c r="J95" s="74">
        <f t="shared" si="44"/>
        <v>1.4000000000000012E-2</v>
      </c>
      <c r="K95" s="95">
        <f t="shared" si="45"/>
        <v>7.8048325096101054</v>
      </c>
      <c r="L95" s="15" t="s">
        <v>728</v>
      </c>
      <c r="M95" s="72">
        <f>VLOOKUP(L95,allgemein!$B$3:$C$11,2,FALSE)</f>
        <v>1</v>
      </c>
      <c r="N95" s="14">
        <v>25</v>
      </c>
      <c r="O95" s="13" t="s">
        <v>41</v>
      </c>
      <c r="P95" s="85" t="s">
        <v>986</v>
      </c>
      <c r="Q95" s="6"/>
      <c r="R95" s="6"/>
    </row>
    <row r="96" spans="2:18" x14ac:dyDescent="0.2">
      <c r="B96" s="13" t="s">
        <v>992</v>
      </c>
      <c r="C96" s="13" t="s">
        <v>41</v>
      </c>
      <c r="D96" s="70">
        <v>24.6</v>
      </c>
      <c r="E96" s="70">
        <v>0.2</v>
      </c>
      <c r="F96" s="71">
        <v>179</v>
      </c>
      <c r="G96" s="15"/>
      <c r="H96" s="15">
        <v>1.905</v>
      </c>
      <c r="I96" s="15">
        <v>1.891</v>
      </c>
      <c r="J96" s="74">
        <f t="shared" si="44"/>
        <v>1.4000000000000012E-2</v>
      </c>
      <c r="K96" s="95">
        <f t="shared" si="45"/>
        <v>7.8048325096101054</v>
      </c>
      <c r="L96" s="15" t="s">
        <v>728</v>
      </c>
      <c r="M96" s="72">
        <f>VLOOKUP(L96,allgemein!$B$3:$C$11,2,FALSE)</f>
        <v>1</v>
      </c>
      <c r="N96" s="14">
        <v>25</v>
      </c>
      <c r="O96" s="13" t="s">
        <v>41</v>
      </c>
      <c r="P96" s="13" t="s">
        <v>41</v>
      </c>
      <c r="Q96" s="6"/>
      <c r="R96" s="6"/>
    </row>
    <row r="97" spans="2:18" x14ac:dyDescent="0.2">
      <c r="B97" s="13" t="s">
        <v>993</v>
      </c>
      <c r="C97" s="13" t="s">
        <v>41</v>
      </c>
      <c r="D97" s="70">
        <v>24.9</v>
      </c>
      <c r="E97" s="70">
        <v>0</v>
      </c>
      <c r="F97" s="71">
        <v>179</v>
      </c>
      <c r="G97" s="15"/>
      <c r="H97" s="15">
        <v>1.9</v>
      </c>
      <c r="I97" s="15">
        <v>1.8879999999999999</v>
      </c>
      <c r="J97" s="74">
        <f t="shared" si="44"/>
        <v>1.2000000000000011E-2</v>
      </c>
      <c r="K97" s="95">
        <f t="shared" si="45"/>
        <v>7.8126963207029094</v>
      </c>
      <c r="L97" s="15" t="s">
        <v>728</v>
      </c>
      <c r="M97" s="72">
        <f>VLOOKUP(L97,allgemein!$B$3:$C$11,2,FALSE)</f>
        <v>1</v>
      </c>
      <c r="N97" s="14">
        <v>25</v>
      </c>
      <c r="O97" s="13" t="s">
        <v>41</v>
      </c>
      <c r="P97" s="13" t="s">
        <v>41</v>
      </c>
      <c r="Q97" s="6"/>
      <c r="R97" s="6"/>
    </row>
    <row r="98" spans="2:18" x14ac:dyDescent="0.2">
      <c r="B98" s="13" t="s">
        <v>994</v>
      </c>
      <c r="C98" s="13" t="s">
        <v>41</v>
      </c>
      <c r="D98" s="70">
        <v>25.1</v>
      </c>
      <c r="E98" s="70">
        <v>0</v>
      </c>
      <c r="F98" s="71">
        <v>178</v>
      </c>
      <c r="G98" s="15"/>
      <c r="H98" s="15">
        <v>1.89</v>
      </c>
      <c r="I98" s="15">
        <v>1.877</v>
      </c>
      <c r="J98" s="74">
        <f t="shared" si="44"/>
        <v>1.2999999999999901E-2</v>
      </c>
      <c r="K98" s="95">
        <f t="shared" si="45"/>
        <v>7.7742632253340664</v>
      </c>
      <c r="L98" s="15" t="s">
        <v>728</v>
      </c>
      <c r="M98" s="72">
        <f>VLOOKUP(L98,allgemein!$B$3:$C$11,2,FALSE)</f>
        <v>1</v>
      </c>
      <c r="N98" s="14">
        <v>25</v>
      </c>
      <c r="O98" s="13" t="s">
        <v>41</v>
      </c>
      <c r="P98" s="13" t="s">
        <v>41</v>
      </c>
      <c r="Q98" s="6"/>
      <c r="R98" s="6"/>
    </row>
    <row r="99" spans="2:18" x14ac:dyDescent="0.2">
      <c r="B99" s="13"/>
      <c r="C99" s="13"/>
      <c r="D99" s="70"/>
      <c r="E99" s="70"/>
      <c r="F99" s="71"/>
      <c r="G99" s="81"/>
      <c r="H99" s="15"/>
      <c r="I99" s="15"/>
      <c r="J99" s="74">
        <f t="shared" ref="J99:J128" si="46">H99-I99</f>
        <v>0</v>
      </c>
      <c r="K99" s="95" t="e">
        <f t="shared" ref="K99:K128" si="47">(F99*(273.15+D99)/273.15)/(M99*N99)</f>
        <v>#N/A</v>
      </c>
      <c r="L99" s="15"/>
      <c r="M99" s="72" t="e">
        <f>VLOOKUP(L99,allgemein!$B$3:$C$11,2,FALSE)</f>
        <v>#N/A</v>
      </c>
      <c r="N99" s="14"/>
      <c r="O99" s="13"/>
      <c r="P99" s="85"/>
      <c r="Q99" s="6"/>
      <c r="R99" s="6"/>
    </row>
    <row r="100" spans="2:18" x14ac:dyDescent="0.2">
      <c r="B100" s="13"/>
      <c r="C100" s="13"/>
      <c r="D100" s="70"/>
      <c r="E100" s="70"/>
      <c r="F100" s="71"/>
      <c r="G100" s="81"/>
      <c r="H100" s="15"/>
      <c r="I100" s="15"/>
      <c r="J100" s="74">
        <f t="shared" si="46"/>
        <v>0</v>
      </c>
      <c r="K100" s="95" t="e">
        <f t="shared" si="47"/>
        <v>#N/A</v>
      </c>
      <c r="L100" s="15"/>
      <c r="M100" s="72" t="e">
        <f>VLOOKUP(L100,allgemein!$B$3:$C$11,2,FALSE)</f>
        <v>#N/A</v>
      </c>
      <c r="N100" s="14"/>
      <c r="O100" s="13"/>
      <c r="P100" s="85"/>
      <c r="Q100" s="6"/>
      <c r="R100" s="6"/>
    </row>
    <row r="101" spans="2:18" x14ac:dyDescent="0.2">
      <c r="B101" s="13"/>
      <c r="C101" s="13"/>
      <c r="D101" s="70"/>
      <c r="E101" s="70"/>
      <c r="F101" s="71"/>
      <c r="G101" s="81"/>
      <c r="H101" s="15"/>
      <c r="I101" s="15"/>
      <c r="J101" s="74">
        <f t="shared" si="46"/>
        <v>0</v>
      </c>
      <c r="K101" s="95" t="e">
        <f t="shared" si="47"/>
        <v>#N/A</v>
      </c>
      <c r="L101" s="15"/>
      <c r="M101" s="72" t="e">
        <f>VLOOKUP(L101,allgemein!$B$3:$C$11,2,FALSE)</f>
        <v>#N/A</v>
      </c>
      <c r="N101" s="14"/>
      <c r="O101" s="13"/>
      <c r="P101" s="85"/>
      <c r="Q101" s="6"/>
      <c r="R101" s="6"/>
    </row>
    <row r="102" spans="2:18" x14ac:dyDescent="0.2">
      <c r="B102" s="6"/>
      <c r="C102" s="13"/>
      <c r="D102" s="70"/>
      <c r="E102" s="70"/>
      <c r="F102" s="71"/>
      <c r="G102" s="81"/>
      <c r="H102" s="15"/>
      <c r="I102" s="15"/>
      <c r="J102" s="74">
        <f t="shared" si="46"/>
        <v>0</v>
      </c>
      <c r="K102" s="95" t="e">
        <f t="shared" si="47"/>
        <v>#N/A</v>
      </c>
      <c r="L102" s="15"/>
      <c r="M102" s="72" t="e">
        <f>VLOOKUP(L102,allgemein!$B$3:$C$11,2,FALSE)</f>
        <v>#N/A</v>
      </c>
      <c r="N102" s="14"/>
      <c r="O102" s="13"/>
      <c r="P102" s="85"/>
      <c r="Q102" s="6"/>
      <c r="R102" s="6"/>
    </row>
    <row r="103" spans="2:18" x14ac:dyDescent="0.2">
      <c r="B103" s="6"/>
      <c r="C103" s="13"/>
      <c r="D103" s="70"/>
      <c r="E103" s="70"/>
      <c r="F103" s="71"/>
      <c r="G103" s="81"/>
      <c r="H103" s="15"/>
      <c r="I103" s="15"/>
      <c r="J103" s="74">
        <f t="shared" si="46"/>
        <v>0</v>
      </c>
      <c r="K103" s="95" t="e">
        <f t="shared" si="47"/>
        <v>#N/A</v>
      </c>
      <c r="L103" s="15"/>
      <c r="M103" s="72" t="e">
        <f>VLOOKUP(L103,allgemein!$B$3:$C$11,2,FALSE)</f>
        <v>#N/A</v>
      </c>
      <c r="N103" s="14"/>
      <c r="O103" s="13"/>
      <c r="P103" s="85"/>
      <c r="Q103" s="6"/>
      <c r="R103" s="6"/>
    </row>
    <row r="104" spans="2:18" x14ac:dyDescent="0.2">
      <c r="B104" s="13"/>
      <c r="C104" s="6"/>
      <c r="D104" s="70"/>
      <c r="E104" s="70"/>
      <c r="F104" s="71"/>
      <c r="G104" s="81"/>
      <c r="H104" s="15"/>
      <c r="I104" s="15"/>
      <c r="J104" s="74">
        <f t="shared" si="46"/>
        <v>0</v>
      </c>
      <c r="K104" s="95" t="e">
        <f t="shared" si="47"/>
        <v>#N/A</v>
      </c>
      <c r="L104" s="15"/>
      <c r="M104" s="72" t="e">
        <f>VLOOKUP(L104,allgemein!$B$3:$C$11,2,FALSE)</f>
        <v>#N/A</v>
      </c>
      <c r="N104" s="14"/>
      <c r="O104" s="13"/>
      <c r="P104" s="85"/>
      <c r="Q104" s="6"/>
      <c r="R104" s="6"/>
    </row>
    <row r="105" spans="2:18" x14ac:dyDescent="0.2">
      <c r="B105" s="6"/>
      <c r="C105" s="6"/>
      <c r="D105" s="70"/>
      <c r="E105" s="70"/>
      <c r="F105" s="71"/>
      <c r="G105" s="81"/>
      <c r="H105" s="15"/>
      <c r="I105" s="15"/>
      <c r="J105" s="74">
        <f t="shared" si="46"/>
        <v>0</v>
      </c>
      <c r="K105" s="95" t="e">
        <f t="shared" si="47"/>
        <v>#N/A</v>
      </c>
      <c r="L105" s="15"/>
      <c r="M105" s="72" t="e">
        <f>VLOOKUP(L105,allgemein!$B$3:$C$11,2,FALSE)</f>
        <v>#N/A</v>
      </c>
      <c r="N105" s="14"/>
      <c r="O105" s="13"/>
      <c r="P105" s="85"/>
      <c r="Q105" s="6"/>
      <c r="R105" s="6"/>
    </row>
    <row r="106" spans="2:18" x14ac:dyDescent="0.2">
      <c r="B106" s="13"/>
      <c r="C106" s="6"/>
      <c r="D106" s="70"/>
      <c r="E106" s="70"/>
      <c r="F106" s="71"/>
      <c r="G106" s="81"/>
      <c r="H106" s="15"/>
      <c r="I106" s="15"/>
      <c r="J106" s="74">
        <f t="shared" si="46"/>
        <v>0</v>
      </c>
      <c r="K106" s="95" t="e">
        <f t="shared" si="47"/>
        <v>#N/A</v>
      </c>
      <c r="L106" s="15"/>
      <c r="M106" s="72" t="e">
        <f>VLOOKUP(L106,allgemein!$B$3:$C$11,2,FALSE)</f>
        <v>#N/A</v>
      </c>
      <c r="N106" s="14"/>
      <c r="O106" s="13"/>
      <c r="P106" s="85"/>
      <c r="Q106" s="6"/>
      <c r="R106" s="6"/>
    </row>
    <row r="107" spans="2:18" x14ac:dyDescent="0.2">
      <c r="B107" s="6"/>
      <c r="C107" s="6"/>
      <c r="D107" s="70"/>
      <c r="E107" s="70"/>
      <c r="F107" s="71"/>
      <c r="G107" s="81"/>
      <c r="H107" s="15"/>
      <c r="I107" s="15"/>
      <c r="J107" s="74">
        <f t="shared" si="46"/>
        <v>0</v>
      </c>
      <c r="K107" s="95" t="e">
        <f t="shared" si="47"/>
        <v>#N/A</v>
      </c>
      <c r="L107" s="15"/>
      <c r="M107" s="72" t="e">
        <f>VLOOKUP(L107,allgemein!$B$3:$C$11,2,FALSE)</f>
        <v>#N/A</v>
      </c>
      <c r="N107" s="14"/>
      <c r="O107" s="13"/>
      <c r="P107" s="85"/>
      <c r="Q107" s="6"/>
      <c r="R107" s="6"/>
    </row>
    <row r="108" spans="2:18" x14ac:dyDescent="0.2">
      <c r="B108" s="6"/>
      <c r="C108" s="6"/>
      <c r="D108" s="70"/>
      <c r="E108" s="70"/>
      <c r="F108" s="71"/>
      <c r="G108" s="81"/>
      <c r="H108" s="15"/>
      <c r="I108" s="15"/>
      <c r="J108" s="74">
        <f t="shared" si="46"/>
        <v>0</v>
      </c>
      <c r="K108" s="95" t="e">
        <f t="shared" si="47"/>
        <v>#N/A</v>
      </c>
      <c r="L108" s="15"/>
      <c r="M108" s="72" t="e">
        <f>VLOOKUP(L108,allgemein!$B$3:$C$11,2,FALSE)</f>
        <v>#N/A</v>
      </c>
      <c r="N108" s="14"/>
      <c r="O108" s="13"/>
      <c r="P108" s="85"/>
      <c r="Q108" s="6"/>
      <c r="R108" s="6"/>
    </row>
    <row r="109" spans="2:18" x14ac:dyDescent="0.2">
      <c r="B109" s="6"/>
      <c r="C109" s="6"/>
      <c r="D109" s="70"/>
      <c r="E109" s="70"/>
      <c r="F109" s="71"/>
      <c r="G109" s="81"/>
      <c r="H109" s="15"/>
      <c r="I109" s="15"/>
      <c r="J109" s="74">
        <f t="shared" si="46"/>
        <v>0</v>
      </c>
      <c r="K109" s="95" t="e">
        <f t="shared" si="47"/>
        <v>#N/A</v>
      </c>
      <c r="L109" s="15"/>
      <c r="M109" s="72" t="e">
        <f>VLOOKUP(L109,allgemein!$B$3:$C$11,2,FALSE)</f>
        <v>#N/A</v>
      </c>
      <c r="N109" s="14"/>
      <c r="O109" s="13"/>
      <c r="P109" s="85"/>
      <c r="Q109" s="6"/>
      <c r="R109" s="6"/>
    </row>
    <row r="110" spans="2:18" x14ac:dyDescent="0.2">
      <c r="B110" s="6"/>
      <c r="C110" s="6"/>
      <c r="D110" s="70"/>
      <c r="E110" s="70"/>
      <c r="F110" s="71"/>
      <c r="G110" s="81"/>
      <c r="H110" s="15"/>
      <c r="I110" s="15"/>
      <c r="J110" s="74">
        <f t="shared" si="46"/>
        <v>0</v>
      </c>
      <c r="K110" s="95" t="e">
        <f t="shared" si="47"/>
        <v>#N/A</v>
      </c>
      <c r="L110" s="15"/>
      <c r="M110" s="72" t="e">
        <f>VLOOKUP(L110,allgemein!$B$3:$C$11,2,FALSE)</f>
        <v>#N/A</v>
      </c>
      <c r="N110" s="14"/>
      <c r="O110" s="13"/>
      <c r="P110" s="85"/>
      <c r="Q110" s="6"/>
      <c r="R110" s="6"/>
    </row>
    <row r="111" spans="2:18" x14ac:dyDescent="0.2">
      <c r="B111" s="6"/>
      <c r="C111" s="6"/>
      <c r="D111" s="70"/>
      <c r="E111" s="70"/>
      <c r="F111" s="71"/>
      <c r="G111" s="81"/>
      <c r="H111" s="15"/>
      <c r="I111" s="15"/>
      <c r="J111" s="74">
        <f t="shared" si="46"/>
        <v>0</v>
      </c>
      <c r="K111" s="95" t="e">
        <f t="shared" si="47"/>
        <v>#N/A</v>
      </c>
      <c r="L111" s="15"/>
      <c r="M111" s="72" t="e">
        <f>VLOOKUP(L111,allgemein!$B$3:$C$11,2,FALSE)</f>
        <v>#N/A</v>
      </c>
      <c r="N111" s="14"/>
      <c r="O111" s="13"/>
      <c r="P111" s="85"/>
      <c r="Q111" s="6"/>
      <c r="R111" s="6"/>
    </row>
    <row r="112" spans="2:18" x14ac:dyDescent="0.2">
      <c r="B112" s="6"/>
      <c r="C112" s="6"/>
      <c r="D112" s="70"/>
      <c r="E112" s="70"/>
      <c r="F112" s="71"/>
      <c r="G112" s="81"/>
      <c r="H112" s="15"/>
      <c r="I112" s="15"/>
      <c r="J112" s="74">
        <f t="shared" si="46"/>
        <v>0</v>
      </c>
      <c r="K112" s="95" t="e">
        <f t="shared" si="47"/>
        <v>#N/A</v>
      </c>
      <c r="L112" s="15"/>
      <c r="M112" s="72" t="e">
        <f>VLOOKUP(L112,allgemein!$B$3:$C$11,2,FALSE)</f>
        <v>#N/A</v>
      </c>
      <c r="N112" s="14"/>
      <c r="O112" s="13"/>
      <c r="P112" s="85"/>
      <c r="Q112" s="6"/>
      <c r="R112" s="6"/>
    </row>
    <row r="113" spans="2:18" x14ac:dyDescent="0.2">
      <c r="B113" s="6"/>
      <c r="C113" s="6"/>
      <c r="D113" s="70"/>
      <c r="E113" s="70"/>
      <c r="F113" s="71"/>
      <c r="G113" s="81"/>
      <c r="H113" s="15"/>
      <c r="I113" s="15"/>
      <c r="J113" s="74">
        <f t="shared" si="46"/>
        <v>0</v>
      </c>
      <c r="K113" s="95" t="e">
        <f t="shared" si="47"/>
        <v>#N/A</v>
      </c>
      <c r="L113" s="15"/>
      <c r="M113" s="72" t="e">
        <f>VLOOKUP(L113,allgemein!$B$3:$C$11,2,FALSE)</f>
        <v>#N/A</v>
      </c>
      <c r="N113" s="14"/>
      <c r="O113" s="13"/>
      <c r="P113" s="85"/>
      <c r="Q113" s="6"/>
      <c r="R113" s="6"/>
    </row>
    <row r="114" spans="2:18" x14ac:dyDescent="0.2">
      <c r="B114" s="6"/>
      <c r="C114" s="6"/>
      <c r="D114" s="70"/>
      <c r="E114" s="70"/>
      <c r="F114" s="71"/>
      <c r="G114" s="81"/>
      <c r="H114" s="15"/>
      <c r="I114" s="15"/>
      <c r="J114" s="74">
        <f t="shared" si="46"/>
        <v>0</v>
      </c>
      <c r="K114" s="95" t="e">
        <f t="shared" si="47"/>
        <v>#N/A</v>
      </c>
      <c r="L114" s="15"/>
      <c r="M114" s="72" t="e">
        <f>VLOOKUP(L114,allgemein!$B$3:$C$11,2,FALSE)</f>
        <v>#N/A</v>
      </c>
      <c r="N114" s="14"/>
      <c r="O114" s="13"/>
      <c r="P114" s="85"/>
      <c r="Q114" s="6"/>
      <c r="R114" s="6"/>
    </row>
    <row r="115" spans="2:18" x14ac:dyDescent="0.2">
      <c r="B115" s="6"/>
      <c r="C115" s="6"/>
      <c r="D115" s="70"/>
      <c r="E115" s="70"/>
      <c r="F115" s="71"/>
      <c r="G115" s="81"/>
      <c r="H115" s="15"/>
      <c r="I115" s="15"/>
      <c r="J115" s="74">
        <f t="shared" si="46"/>
        <v>0</v>
      </c>
      <c r="K115" s="95" t="e">
        <f t="shared" si="47"/>
        <v>#N/A</v>
      </c>
      <c r="L115" s="15"/>
      <c r="M115" s="72" t="e">
        <f>VLOOKUP(L115,allgemein!$B$3:$C$11,2,FALSE)</f>
        <v>#N/A</v>
      </c>
      <c r="N115" s="14"/>
      <c r="O115" s="13"/>
      <c r="P115" s="85"/>
      <c r="Q115" s="6"/>
      <c r="R115" s="6"/>
    </row>
    <row r="116" spans="2:18" x14ac:dyDescent="0.2">
      <c r="B116" s="6"/>
      <c r="C116" s="6"/>
      <c r="D116" s="70"/>
      <c r="E116" s="70"/>
      <c r="F116" s="71"/>
      <c r="G116" s="81"/>
      <c r="H116" s="7"/>
      <c r="I116" s="7"/>
      <c r="J116" s="74">
        <f t="shared" si="46"/>
        <v>0</v>
      </c>
      <c r="K116" s="95" t="e">
        <f t="shared" si="47"/>
        <v>#N/A</v>
      </c>
      <c r="L116" s="15"/>
      <c r="M116" s="72" t="e">
        <f>VLOOKUP(L116,allgemein!$B$3:$C$11,2,FALSE)</f>
        <v>#N/A</v>
      </c>
      <c r="N116" s="14"/>
      <c r="O116" s="13"/>
      <c r="P116" s="85"/>
      <c r="Q116" s="6"/>
      <c r="R116" s="6"/>
    </row>
    <row r="117" spans="2:18" x14ac:dyDescent="0.2">
      <c r="B117" s="6"/>
      <c r="C117" s="6"/>
      <c r="D117" s="70"/>
      <c r="E117" s="70"/>
      <c r="F117" s="71"/>
      <c r="G117" s="81"/>
      <c r="H117" s="7"/>
      <c r="I117" s="7"/>
      <c r="J117" s="74">
        <f t="shared" si="46"/>
        <v>0</v>
      </c>
      <c r="K117" s="95" t="e">
        <f t="shared" si="47"/>
        <v>#N/A</v>
      </c>
      <c r="L117" s="15"/>
      <c r="M117" s="72" t="e">
        <f>VLOOKUP(L117,allgemein!$B$3:$C$11,2,FALSE)</f>
        <v>#N/A</v>
      </c>
      <c r="N117" s="14"/>
      <c r="O117" s="13"/>
      <c r="P117" s="85"/>
      <c r="Q117" s="6"/>
      <c r="R117" s="6"/>
    </row>
    <row r="118" spans="2:18" x14ac:dyDescent="0.2">
      <c r="B118" s="6"/>
      <c r="C118" s="6"/>
      <c r="D118" s="70"/>
      <c r="E118" s="70"/>
      <c r="F118" s="71"/>
      <c r="G118" s="81"/>
      <c r="H118" s="7"/>
      <c r="I118" s="7"/>
      <c r="J118" s="74">
        <f t="shared" si="46"/>
        <v>0</v>
      </c>
      <c r="K118" s="95" t="e">
        <f t="shared" si="47"/>
        <v>#N/A</v>
      </c>
      <c r="L118" s="15"/>
      <c r="M118" s="72" t="e">
        <f>VLOOKUP(L118,allgemein!$B$3:$C$11,2,FALSE)</f>
        <v>#N/A</v>
      </c>
      <c r="N118" s="14"/>
      <c r="O118" s="5"/>
      <c r="P118" s="85"/>
      <c r="Q118" s="6"/>
      <c r="R118" s="6"/>
    </row>
    <row r="119" spans="2:18" x14ac:dyDescent="0.2">
      <c r="B119" s="6"/>
      <c r="C119" s="6"/>
      <c r="D119" s="70"/>
      <c r="E119" s="70"/>
      <c r="F119" s="71"/>
      <c r="G119" s="81"/>
      <c r="H119" s="7"/>
      <c r="I119" s="7"/>
      <c r="J119" s="74">
        <f t="shared" si="46"/>
        <v>0</v>
      </c>
      <c r="K119" s="95" t="e">
        <f t="shared" si="47"/>
        <v>#N/A</v>
      </c>
      <c r="L119" s="15"/>
      <c r="M119" s="72" t="e">
        <f>VLOOKUP(L119,allgemein!$B$3:$C$11,2,FALSE)</f>
        <v>#N/A</v>
      </c>
      <c r="N119" s="14"/>
      <c r="O119" s="5"/>
      <c r="P119" s="85"/>
      <c r="Q119" s="6"/>
      <c r="R119" s="6"/>
    </row>
    <row r="120" spans="2:18" x14ac:dyDescent="0.2">
      <c r="B120" s="6"/>
      <c r="C120" s="6"/>
      <c r="D120" s="70"/>
      <c r="E120" s="70"/>
      <c r="F120" s="71"/>
      <c r="G120" s="81"/>
      <c r="H120" s="7"/>
      <c r="I120" s="7"/>
      <c r="J120" s="74">
        <f t="shared" si="46"/>
        <v>0</v>
      </c>
      <c r="K120" s="95" t="e">
        <f t="shared" si="47"/>
        <v>#N/A</v>
      </c>
      <c r="L120" s="15"/>
      <c r="M120" s="72" t="e">
        <f>VLOOKUP(L120,allgemein!$B$3:$C$11,2,FALSE)</f>
        <v>#N/A</v>
      </c>
      <c r="N120" s="14"/>
      <c r="O120" s="5"/>
      <c r="P120" s="85"/>
      <c r="Q120" s="6"/>
      <c r="R120" s="6"/>
    </row>
    <row r="121" spans="2:18" x14ac:dyDescent="0.2">
      <c r="B121" s="6"/>
      <c r="C121" s="6"/>
      <c r="D121" s="70"/>
      <c r="E121" s="70"/>
      <c r="F121" s="71"/>
      <c r="G121" s="81"/>
      <c r="H121" s="7"/>
      <c r="I121" s="7"/>
      <c r="J121" s="74">
        <f t="shared" si="46"/>
        <v>0</v>
      </c>
      <c r="K121" s="95" t="e">
        <f t="shared" si="47"/>
        <v>#N/A</v>
      </c>
      <c r="L121" s="15"/>
      <c r="M121" s="72" t="e">
        <f>VLOOKUP(L121,allgemein!$B$3:$C$11,2,FALSE)</f>
        <v>#N/A</v>
      </c>
      <c r="N121" s="14"/>
      <c r="O121" s="5"/>
      <c r="P121" s="85"/>
      <c r="Q121" s="6"/>
      <c r="R121" s="6"/>
    </row>
    <row r="122" spans="2:18" x14ac:dyDescent="0.2">
      <c r="B122" s="6"/>
      <c r="C122" s="6"/>
      <c r="D122" s="70"/>
      <c r="E122" s="70"/>
      <c r="F122" s="71"/>
      <c r="G122" s="81"/>
      <c r="H122" s="7"/>
      <c r="I122" s="7"/>
      <c r="J122" s="74">
        <f t="shared" si="46"/>
        <v>0</v>
      </c>
      <c r="K122" s="95" t="e">
        <f t="shared" si="47"/>
        <v>#N/A</v>
      </c>
      <c r="L122" s="15"/>
      <c r="M122" s="72" t="e">
        <f>VLOOKUP(L122,allgemein!$B$3:$C$11,2,FALSE)</f>
        <v>#N/A</v>
      </c>
      <c r="N122" s="14"/>
      <c r="O122" s="5"/>
      <c r="P122" s="85"/>
      <c r="Q122" s="6"/>
      <c r="R122" s="6"/>
    </row>
    <row r="123" spans="2:18" x14ac:dyDescent="0.2">
      <c r="B123" s="6"/>
      <c r="C123" s="6"/>
      <c r="D123" s="70"/>
      <c r="E123" s="70"/>
      <c r="F123" s="71"/>
      <c r="G123" s="81"/>
      <c r="H123" s="7"/>
      <c r="I123" s="7"/>
      <c r="J123" s="74">
        <f t="shared" si="46"/>
        <v>0</v>
      </c>
      <c r="K123" s="95" t="e">
        <f t="shared" si="47"/>
        <v>#N/A</v>
      </c>
      <c r="L123" s="15"/>
      <c r="M123" s="72" t="e">
        <f>VLOOKUP(L123,allgemein!$B$3:$C$11,2,FALSE)</f>
        <v>#N/A</v>
      </c>
      <c r="N123" s="14"/>
      <c r="O123" s="5"/>
      <c r="P123" s="85"/>
      <c r="Q123" s="6"/>
      <c r="R123" s="6"/>
    </row>
    <row r="124" spans="2:18" x14ac:dyDescent="0.2">
      <c r="B124" s="6"/>
      <c r="C124" s="6"/>
      <c r="D124" s="70"/>
      <c r="E124" s="70"/>
      <c r="F124" s="71"/>
      <c r="G124" s="81"/>
      <c r="H124" s="7"/>
      <c r="I124" s="7"/>
      <c r="J124" s="74">
        <f t="shared" si="46"/>
        <v>0</v>
      </c>
      <c r="K124" s="95" t="e">
        <f t="shared" si="47"/>
        <v>#N/A</v>
      </c>
      <c r="L124" s="15"/>
      <c r="M124" s="72" t="e">
        <f>VLOOKUP(L124,allgemein!$B$3:$C$11,2,FALSE)</f>
        <v>#N/A</v>
      </c>
      <c r="N124" s="14"/>
      <c r="O124" s="5"/>
      <c r="P124" s="85"/>
      <c r="Q124" s="6"/>
      <c r="R124" s="6"/>
    </row>
    <row r="125" spans="2:18" x14ac:dyDescent="0.2">
      <c r="B125" s="6"/>
      <c r="C125" s="6"/>
      <c r="D125" s="70"/>
      <c r="E125" s="70"/>
      <c r="F125" s="71"/>
      <c r="G125" s="81"/>
      <c r="H125" s="7"/>
      <c r="I125" s="7"/>
      <c r="J125" s="74">
        <f t="shared" si="46"/>
        <v>0</v>
      </c>
      <c r="K125" s="95" t="e">
        <f t="shared" si="47"/>
        <v>#N/A</v>
      </c>
      <c r="L125" s="15"/>
      <c r="M125" s="72" t="e">
        <f>VLOOKUP(L125,allgemein!$B$3:$C$11,2,FALSE)</f>
        <v>#N/A</v>
      </c>
      <c r="N125" s="14"/>
      <c r="O125" s="5"/>
      <c r="P125" s="85"/>
      <c r="Q125" s="6"/>
      <c r="R125" s="6"/>
    </row>
    <row r="126" spans="2:18" x14ac:dyDescent="0.2">
      <c r="B126" s="6"/>
      <c r="C126" s="6"/>
      <c r="D126" s="70"/>
      <c r="E126" s="70"/>
      <c r="F126" s="71"/>
      <c r="G126" s="81"/>
      <c r="H126" s="7"/>
      <c r="I126" s="7"/>
      <c r="J126" s="74">
        <f t="shared" si="46"/>
        <v>0</v>
      </c>
      <c r="K126" s="95" t="e">
        <f t="shared" si="47"/>
        <v>#N/A</v>
      </c>
      <c r="L126" s="15"/>
      <c r="M126" s="72" t="e">
        <f>VLOOKUP(L126,allgemein!$B$3:$C$11,2,FALSE)</f>
        <v>#N/A</v>
      </c>
      <c r="N126" s="14"/>
      <c r="O126" s="5"/>
      <c r="P126" s="85"/>
      <c r="Q126" s="6"/>
      <c r="R126" s="6"/>
    </row>
    <row r="127" spans="2:18" x14ac:dyDescent="0.2">
      <c r="B127" s="6"/>
      <c r="C127" s="6"/>
      <c r="D127" s="70"/>
      <c r="E127" s="70"/>
      <c r="F127" s="71"/>
      <c r="G127" s="81"/>
      <c r="H127" s="7"/>
      <c r="I127" s="7"/>
      <c r="J127" s="74">
        <f t="shared" si="46"/>
        <v>0</v>
      </c>
      <c r="K127" s="95" t="e">
        <f t="shared" si="47"/>
        <v>#N/A</v>
      </c>
      <c r="L127" s="15"/>
      <c r="M127" s="72" t="e">
        <f>VLOOKUP(L127,allgemein!$B$3:$C$11,2,FALSE)</f>
        <v>#N/A</v>
      </c>
      <c r="N127" s="14"/>
      <c r="O127" s="5"/>
      <c r="P127" s="85"/>
      <c r="Q127" s="6"/>
      <c r="R127" s="6"/>
    </row>
    <row r="128" spans="2:18" x14ac:dyDescent="0.2">
      <c r="B128" s="6"/>
      <c r="C128" s="6"/>
      <c r="D128" s="70"/>
      <c r="E128" s="70"/>
      <c r="F128" s="71"/>
      <c r="G128" s="81"/>
      <c r="H128" s="7"/>
      <c r="I128" s="7"/>
      <c r="J128" s="74">
        <f t="shared" si="46"/>
        <v>0</v>
      </c>
      <c r="K128" s="95" t="e">
        <f t="shared" si="47"/>
        <v>#N/A</v>
      </c>
      <c r="L128" s="15"/>
      <c r="M128" s="72" t="e">
        <f>VLOOKUP(L128,allgemein!$B$3:$C$11,2,FALSE)</f>
        <v>#N/A</v>
      </c>
      <c r="N128" s="14"/>
      <c r="O128" s="5"/>
      <c r="P128" s="85"/>
      <c r="Q128" s="6"/>
      <c r="R128" s="6"/>
    </row>
    <row r="129" spans="2:18" x14ac:dyDescent="0.2">
      <c r="B129" s="6"/>
      <c r="C129" s="6"/>
      <c r="D129" s="70"/>
      <c r="E129" s="70"/>
      <c r="F129" s="71"/>
      <c r="G129" s="81"/>
      <c r="H129" s="7"/>
      <c r="I129" s="7"/>
      <c r="J129" s="74">
        <f t="shared" ref="J129" si="48">H129-I129</f>
        <v>0</v>
      </c>
      <c r="K129" s="95" t="e">
        <f t="shared" ref="K129" si="49">(F129*(273.15+D129)/273.15)/(M129*N129)</f>
        <v>#N/A</v>
      </c>
      <c r="L129" s="15"/>
      <c r="M129" s="72" t="e">
        <f>VLOOKUP(L129,allgemein!$B$3:$C$11,2,FALSE)</f>
        <v>#N/A</v>
      </c>
      <c r="N129" s="14"/>
      <c r="O129" s="5"/>
      <c r="P129" s="85"/>
      <c r="Q129" s="6"/>
      <c r="R129" s="6"/>
    </row>
    <row r="130" spans="2:18" s="9" customFormat="1" x14ac:dyDescent="0.2">
      <c r="B130" s="10"/>
      <c r="C130" s="11"/>
      <c r="D130" s="63"/>
      <c r="E130" s="11"/>
      <c r="F130" s="65"/>
      <c r="G130" s="12"/>
      <c r="H130" s="41"/>
      <c r="I130" s="30"/>
      <c r="J130" s="30"/>
      <c r="K130" s="97"/>
      <c r="L130" s="11"/>
      <c r="M130" s="11"/>
      <c r="N130" s="11"/>
      <c r="O130" s="11"/>
      <c r="P130" s="82"/>
    </row>
    <row r="131" spans="2:18" s="9" customFormat="1" x14ac:dyDescent="0.2">
      <c r="B131" s="10"/>
      <c r="C131" s="11"/>
      <c r="D131" s="63"/>
      <c r="E131" s="11"/>
      <c r="F131" s="65"/>
      <c r="G131" s="12"/>
      <c r="H131" s="41"/>
      <c r="I131" s="30"/>
      <c r="J131" s="30"/>
      <c r="K131" s="97"/>
      <c r="L131" s="11"/>
      <c r="M131" s="11"/>
      <c r="N131" s="11"/>
      <c r="O131" s="11"/>
      <c r="P131" s="82"/>
    </row>
    <row r="132" spans="2:18" s="9" customFormat="1" x14ac:dyDescent="0.2">
      <c r="B132" s="10"/>
      <c r="C132" s="11"/>
      <c r="D132" s="63"/>
      <c r="E132" s="11"/>
      <c r="F132" s="65"/>
      <c r="G132" s="12"/>
      <c r="H132" s="41"/>
      <c r="I132" s="30"/>
      <c r="J132" s="30"/>
      <c r="K132" s="97"/>
      <c r="L132" s="11"/>
      <c r="M132" s="11"/>
      <c r="N132" s="11"/>
      <c r="O132" s="11"/>
      <c r="P132" s="82"/>
    </row>
    <row r="133" spans="2:18" s="9" customFormat="1" x14ac:dyDescent="0.2">
      <c r="B133" s="10"/>
      <c r="C133" s="11"/>
      <c r="D133" s="63"/>
      <c r="E133" s="11"/>
      <c r="F133" s="65"/>
      <c r="G133" s="12"/>
      <c r="H133" s="41"/>
      <c r="I133" s="30"/>
      <c r="J133" s="30"/>
      <c r="K133" s="97"/>
      <c r="L133" s="11"/>
      <c r="M133" s="11"/>
      <c r="N133" s="11"/>
      <c r="O133" s="11"/>
      <c r="P133" s="82"/>
    </row>
    <row r="134" spans="2:18" s="9" customFormat="1" x14ac:dyDescent="0.2">
      <c r="B134" s="10"/>
      <c r="C134" s="11"/>
      <c r="D134" s="63"/>
      <c r="E134" s="11"/>
      <c r="F134" s="65"/>
      <c r="G134" s="12"/>
      <c r="H134" s="41"/>
      <c r="I134" s="30"/>
      <c r="J134" s="30"/>
      <c r="K134" s="97"/>
      <c r="L134" s="11"/>
      <c r="M134" s="11"/>
      <c r="N134" s="11"/>
      <c r="O134" s="11"/>
      <c r="P134" s="82"/>
    </row>
    <row r="135" spans="2:18" s="9" customFormat="1" x14ac:dyDescent="0.2">
      <c r="B135" s="10"/>
      <c r="C135" s="11"/>
      <c r="D135" s="63"/>
      <c r="E135" s="11"/>
      <c r="F135" s="65"/>
      <c r="G135" s="12"/>
      <c r="H135" s="41"/>
      <c r="I135" s="30"/>
      <c r="J135" s="30"/>
      <c r="K135" s="97"/>
      <c r="L135" s="11"/>
      <c r="M135" s="11"/>
      <c r="N135" s="11"/>
      <c r="O135" s="11"/>
      <c r="P135" s="82"/>
    </row>
    <row r="136" spans="2:18" s="9" customFormat="1" x14ac:dyDescent="0.2">
      <c r="B136" s="10"/>
      <c r="C136" s="11"/>
      <c r="D136" s="63"/>
      <c r="E136" s="11"/>
      <c r="F136" s="65"/>
      <c r="G136" s="12"/>
      <c r="H136" s="41"/>
      <c r="I136" s="30"/>
      <c r="J136" s="30"/>
      <c r="K136" s="97"/>
      <c r="L136" s="11"/>
      <c r="M136" s="11"/>
      <c r="N136" s="11"/>
      <c r="O136" s="11"/>
      <c r="P136" s="82"/>
    </row>
    <row r="137" spans="2:18" s="9" customFormat="1" x14ac:dyDescent="0.2">
      <c r="B137" s="10"/>
      <c r="C137" s="11"/>
      <c r="D137" s="63"/>
      <c r="E137" s="11"/>
      <c r="F137" s="65"/>
      <c r="G137" s="12"/>
      <c r="H137" s="41"/>
      <c r="I137" s="30"/>
      <c r="J137" s="30"/>
      <c r="K137" s="97"/>
      <c r="L137" s="11"/>
      <c r="M137" s="11"/>
      <c r="N137" s="11"/>
      <c r="O137" s="11"/>
      <c r="P137" s="82"/>
    </row>
    <row r="138" spans="2:18" s="9" customFormat="1" x14ac:dyDescent="0.2">
      <c r="B138" s="10"/>
      <c r="C138" s="11"/>
      <c r="D138" s="63"/>
      <c r="E138" s="11"/>
      <c r="F138" s="65"/>
      <c r="G138" s="12"/>
      <c r="H138" s="41"/>
      <c r="I138" s="30"/>
      <c r="J138" s="30"/>
      <c r="K138" s="97"/>
      <c r="L138" s="11"/>
      <c r="M138" s="11"/>
      <c r="N138" s="11"/>
      <c r="O138" s="11"/>
      <c r="P138" s="82"/>
    </row>
    <row r="139" spans="2:18" s="9" customFormat="1" x14ac:dyDescent="0.2">
      <c r="B139" s="10"/>
      <c r="C139" s="11"/>
      <c r="D139" s="63"/>
      <c r="E139" s="11"/>
      <c r="F139" s="65"/>
      <c r="G139" s="12"/>
      <c r="H139" s="41"/>
      <c r="I139" s="30"/>
      <c r="J139" s="30"/>
      <c r="K139" s="97"/>
      <c r="L139" s="11"/>
      <c r="M139" s="11"/>
      <c r="N139" s="11"/>
      <c r="O139" s="11"/>
      <c r="P139" s="82"/>
    </row>
    <row r="140" spans="2:18" s="9" customFormat="1" x14ac:dyDescent="0.2">
      <c r="B140" s="10"/>
      <c r="C140" s="11"/>
      <c r="D140" s="63"/>
      <c r="E140" s="11"/>
      <c r="F140" s="65"/>
      <c r="G140" s="12"/>
      <c r="H140" s="41"/>
      <c r="I140" s="30"/>
      <c r="J140" s="30"/>
      <c r="K140" s="97"/>
      <c r="L140" s="11"/>
      <c r="M140" s="11"/>
      <c r="N140" s="11"/>
      <c r="O140" s="11"/>
      <c r="P140" s="82"/>
    </row>
    <row r="141" spans="2:18" s="9" customFormat="1" x14ac:dyDescent="0.2">
      <c r="B141" s="10"/>
      <c r="C141" s="11"/>
      <c r="D141" s="63"/>
      <c r="E141" s="11"/>
      <c r="F141" s="65"/>
      <c r="G141" s="12"/>
      <c r="H141" s="41"/>
      <c r="I141" s="30"/>
      <c r="J141" s="30"/>
      <c r="K141" s="97"/>
      <c r="L141" s="11"/>
      <c r="M141" s="11"/>
      <c r="N141" s="11"/>
      <c r="O141" s="11"/>
      <c r="P141" s="82"/>
    </row>
    <row r="142" spans="2:18" s="9" customFormat="1" x14ac:dyDescent="0.2">
      <c r="B142" s="10"/>
      <c r="C142" s="11"/>
      <c r="D142" s="63"/>
      <c r="E142" s="11"/>
      <c r="F142" s="65"/>
      <c r="G142" s="12"/>
      <c r="H142" s="41"/>
      <c r="I142" s="30"/>
      <c r="J142" s="30"/>
      <c r="K142" s="97"/>
      <c r="L142" s="11"/>
      <c r="M142" s="11"/>
      <c r="N142" s="11"/>
      <c r="O142" s="11"/>
      <c r="P142" s="82"/>
    </row>
    <row r="143" spans="2:18" s="9" customFormat="1" x14ac:dyDescent="0.2">
      <c r="B143" s="10"/>
      <c r="C143" s="11"/>
      <c r="D143" s="63"/>
      <c r="E143" s="11"/>
      <c r="F143" s="65"/>
      <c r="G143" s="12"/>
      <c r="H143" s="41"/>
      <c r="I143" s="30"/>
      <c r="J143" s="30"/>
      <c r="K143" s="97"/>
      <c r="L143" s="11"/>
      <c r="M143" s="11"/>
      <c r="N143" s="11"/>
      <c r="O143" s="11"/>
      <c r="P143" s="82"/>
    </row>
    <row r="144" spans="2:18" s="9" customFormat="1" x14ac:dyDescent="0.2">
      <c r="B144" s="10"/>
      <c r="C144" s="11"/>
      <c r="D144" s="63"/>
      <c r="E144" s="11"/>
      <c r="F144" s="65"/>
      <c r="G144" s="12"/>
      <c r="H144" s="41"/>
      <c r="I144" s="30"/>
      <c r="J144" s="30"/>
      <c r="K144" s="97"/>
      <c r="L144" s="11"/>
      <c r="M144" s="11"/>
      <c r="N144" s="11"/>
      <c r="O144" s="11"/>
      <c r="P144" s="82"/>
    </row>
    <row r="145" spans="2:16" s="9" customFormat="1" x14ac:dyDescent="0.2">
      <c r="B145" s="10"/>
      <c r="C145" s="11"/>
      <c r="D145" s="63"/>
      <c r="E145" s="11"/>
      <c r="F145" s="65"/>
      <c r="G145" s="12"/>
      <c r="H145" s="41"/>
      <c r="I145" s="30"/>
      <c r="J145" s="30"/>
      <c r="K145" s="97"/>
      <c r="L145" s="11"/>
      <c r="M145" s="11"/>
      <c r="N145" s="11"/>
      <c r="O145" s="11"/>
      <c r="P145" s="82"/>
    </row>
    <row r="146" spans="2:16" s="9" customFormat="1" x14ac:dyDescent="0.2">
      <c r="B146" s="10"/>
      <c r="C146" s="11"/>
      <c r="D146" s="63"/>
      <c r="E146" s="11"/>
      <c r="F146" s="65"/>
      <c r="G146" s="12"/>
      <c r="H146" s="41"/>
      <c r="I146" s="30"/>
      <c r="J146" s="30"/>
      <c r="K146" s="97"/>
      <c r="L146" s="11"/>
      <c r="M146" s="11"/>
      <c r="N146" s="11"/>
      <c r="O146" s="11"/>
      <c r="P146" s="82"/>
    </row>
    <row r="147" spans="2:16" s="9" customFormat="1" x14ac:dyDescent="0.2">
      <c r="B147" s="10"/>
      <c r="C147" s="11"/>
      <c r="D147" s="63"/>
      <c r="E147" s="11"/>
      <c r="F147" s="65"/>
      <c r="G147" s="12"/>
      <c r="H147" s="41"/>
      <c r="I147" s="30"/>
      <c r="J147" s="30"/>
      <c r="K147" s="97"/>
      <c r="L147" s="11"/>
      <c r="M147" s="11"/>
      <c r="N147" s="11"/>
      <c r="O147" s="11"/>
      <c r="P147" s="82"/>
    </row>
    <row r="148" spans="2:16" s="9" customFormat="1" x14ac:dyDescent="0.2">
      <c r="B148" s="10"/>
      <c r="C148" s="11"/>
      <c r="D148" s="63"/>
      <c r="E148" s="11"/>
      <c r="F148" s="65"/>
      <c r="G148" s="12"/>
      <c r="H148" s="41"/>
      <c r="I148" s="30"/>
      <c r="J148" s="30"/>
      <c r="K148" s="97"/>
      <c r="L148" s="11"/>
      <c r="M148" s="11"/>
      <c r="N148" s="11"/>
      <c r="O148" s="11"/>
      <c r="P148" s="82"/>
    </row>
    <row r="149" spans="2:16" s="9" customFormat="1" x14ac:dyDescent="0.2">
      <c r="B149" s="10"/>
      <c r="C149" s="11"/>
      <c r="D149" s="63"/>
      <c r="E149" s="11"/>
      <c r="F149" s="65"/>
      <c r="G149" s="12"/>
      <c r="H149" s="41"/>
      <c r="I149" s="30"/>
      <c r="J149" s="30"/>
      <c r="K149" s="97"/>
      <c r="L149" s="11"/>
      <c r="M149" s="11"/>
      <c r="N149" s="11"/>
      <c r="O149" s="11"/>
      <c r="P149" s="82"/>
    </row>
    <row r="150" spans="2:16" s="9" customFormat="1" x14ac:dyDescent="0.2">
      <c r="B150" s="10"/>
      <c r="C150" s="11"/>
      <c r="D150" s="63"/>
      <c r="E150" s="11"/>
      <c r="F150" s="65"/>
      <c r="G150" s="12"/>
      <c r="H150" s="41"/>
      <c r="I150" s="30"/>
      <c r="J150" s="30"/>
      <c r="K150" s="97"/>
      <c r="L150" s="11"/>
      <c r="M150" s="11"/>
      <c r="N150" s="11"/>
      <c r="O150" s="11"/>
      <c r="P150" s="82"/>
    </row>
    <row r="151" spans="2:16" s="9" customFormat="1" x14ac:dyDescent="0.2">
      <c r="B151" s="10"/>
      <c r="C151" s="11"/>
      <c r="D151" s="63"/>
      <c r="E151" s="11"/>
      <c r="F151" s="65"/>
      <c r="G151" s="12"/>
      <c r="H151" s="41"/>
      <c r="I151" s="30"/>
      <c r="J151" s="30"/>
      <c r="K151" s="97"/>
      <c r="L151" s="11"/>
      <c r="M151" s="11"/>
      <c r="N151" s="11"/>
      <c r="O151" s="11"/>
      <c r="P151" s="82"/>
    </row>
    <row r="152" spans="2:16" s="9" customFormat="1" x14ac:dyDescent="0.2">
      <c r="B152" s="10"/>
      <c r="C152" s="11"/>
      <c r="D152" s="63"/>
      <c r="E152" s="11"/>
      <c r="F152" s="65"/>
      <c r="G152" s="12"/>
      <c r="H152" s="41"/>
      <c r="I152" s="30"/>
      <c r="J152" s="30"/>
      <c r="K152" s="97"/>
      <c r="L152" s="11"/>
      <c r="M152" s="11"/>
      <c r="N152" s="11"/>
      <c r="O152" s="11"/>
      <c r="P152" s="82"/>
    </row>
    <row r="153" spans="2:16" s="9" customFormat="1" x14ac:dyDescent="0.2">
      <c r="B153" s="10"/>
      <c r="C153" s="11"/>
      <c r="D153" s="63"/>
      <c r="E153" s="11"/>
      <c r="F153" s="65"/>
      <c r="G153" s="12"/>
      <c r="H153" s="41"/>
      <c r="I153" s="30"/>
      <c r="J153" s="30"/>
      <c r="K153" s="97"/>
      <c r="L153" s="11"/>
      <c r="M153" s="11"/>
      <c r="N153" s="11"/>
      <c r="O153" s="11"/>
      <c r="P153" s="82"/>
    </row>
    <row r="154" spans="2:16" s="9" customFormat="1" x14ac:dyDescent="0.2">
      <c r="B154" s="10"/>
      <c r="C154" s="11"/>
      <c r="D154" s="63"/>
      <c r="E154" s="11"/>
      <c r="F154" s="65"/>
      <c r="G154" s="12"/>
      <c r="H154" s="41"/>
      <c r="I154" s="30"/>
      <c r="J154" s="30"/>
      <c r="K154" s="97"/>
      <c r="L154" s="11"/>
      <c r="M154" s="11"/>
      <c r="N154" s="11"/>
      <c r="O154" s="11"/>
      <c r="P154" s="82"/>
    </row>
    <row r="155" spans="2:16" s="9" customFormat="1" x14ac:dyDescent="0.2">
      <c r="B155" s="10"/>
      <c r="C155" s="11"/>
      <c r="D155" s="63"/>
      <c r="E155" s="11"/>
      <c r="F155" s="65"/>
      <c r="G155" s="12"/>
      <c r="H155" s="41"/>
      <c r="I155" s="30"/>
      <c r="J155" s="30"/>
      <c r="K155" s="97"/>
      <c r="L155" s="11"/>
      <c r="M155" s="11"/>
      <c r="N155" s="11"/>
      <c r="O155" s="11"/>
      <c r="P155" s="82"/>
    </row>
    <row r="156" spans="2:16" s="9" customFormat="1" x14ac:dyDescent="0.2">
      <c r="B156" s="10"/>
      <c r="C156" s="11"/>
      <c r="D156" s="63"/>
      <c r="E156" s="11"/>
      <c r="F156" s="65"/>
      <c r="G156" s="12"/>
      <c r="H156" s="41"/>
      <c r="I156" s="30"/>
      <c r="J156" s="30"/>
      <c r="K156" s="97"/>
      <c r="L156" s="11"/>
      <c r="M156" s="11"/>
      <c r="N156" s="11"/>
      <c r="O156" s="11"/>
      <c r="P156" s="82"/>
    </row>
    <row r="157" spans="2:16" s="9" customFormat="1" x14ac:dyDescent="0.2">
      <c r="B157" s="10"/>
      <c r="C157" s="11"/>
      <c r="D157" s="63"/>
      <c r="E157" s="11"/>
      <c r="F157" s="65"/>
      <c r="G157" s="12"/>
      <c r="H157" s="41"/>
      <c r="I157" s="30"/>
      <c r="J157" s="30"/>
      <c r="K157" s="97"/>
      <c r="L157" s="11"/>
      <c r="M157" s="11"/>
      <c r="N157" s="11"/>
      <c r="O157" s="11"/>
      <c r="P157" s="82"/>
    </row>
    <row r="158" spans="2:16" s="9" customFormat="1" x14ac:dyDescent="0.2">
      <c r="B158" s="10"/>
      <c r="C158" s="11"/>
      <c r="D158" s="63"/>
      <c r="E158" s="11"/>
      <c r="F158" s="65"/>
      <c r="G158" s="12"/>
      <c r="H158" s="41"/>
      <c r="I158" s="30"/>
      <c r="J158" s="30"/>
      <c r="K158" s="97"/>
      <c r="L158" s="11"/>
      <c r="M158" s="11"/>
      <c r="N158" s="11"/>
      <c r="O158" s="11"/>
      <c r="P158" s="82"/>
    </row>
    <row r="159" spans="2:16" s="9" customFormat="1" x14ac:dyDescent="0.2">
      <c r="B159" s="10"/>
      <c r="C159" s="11"/>
      <c r="D159" s="63"/>
      <c r="E159" s="11"/>
      <c r="F159" s="65"/>
      <c r="G159" s="12"/>
      <c r="H159" s="41"/>
      <c r="I159" s="30"/>
      <c r="J159" s="30"/>
      <c r="K159" s="97"/>
      <c r="L159" s="11"/>
      <c r="M159" s="11"/>
      <c r="N159" s="11"/>
      <c r="O159" s="11"/>
      <c r="P159" s="82"/>
    </row>
    <row r="160" spans="2:16" s="9" customFormat="1" x14ac:dyDescent="0.2">
      <c r="B160" s="10"/>
      <c r="C160" s="11"/>
      <c r="D160" s="63"/>
      <c r="E160" s="11"/>
      <c r="F160" s="65"/>
      <c r="G160" s="12"/>
      <c r="H160" s="41"/>
      <c r="I160" s="30"/>
      <c r="J160" s="30"/>
      <c r="K160" s="97"/>
      <c r="L160" s="11"/>
      <c r="M160" s="11"/>
      <c r="N160" s="11"/>
      <c r="O160" s="11"/>
      <c r="P160" s="82"/>
    </row>
    <row r="161" spans="2:16" s="9" customFormat="1" x14ac:dyDescent="0.2">
      <c r="B161" s="10"/>
      <c r="C161" s="11"/>
      <c r="D161" s="63"/>
      <c r="E161" s="11"/>
      <c r="F161" s="65"/>
      <c r="G161" s="12"/>
      <c r="H161" s="41"/>
      <c r="I161" s="30"/>
      <c r="J161" s="30"/>
      <c r="K161" s="97"/>
      <c r="L161" s="11"/>
      <c r="M161" s="11"/>
      <c r="N161" s="11"/>
      <c r="O161" s="11"/>
      <c r="P161" s="82"/>
    </row>
    <row r="162" spans="2:16" s="9" customFormat="1" x14ac:dyDescent="0.2">
      <c r="B162" s="10"/>
      <c r="C162" s="11"/>
      <c r="D162" s="63"/>
      <c r="E162" s="11"/>
      <c r="F162" s="65"/>
      <c r="G162" s="12"/>
      <c r="H162" s="41"/>
      <c r="I162" s="30"/>
      <c r="J162" s="30"/>
      <c r="K162" s="97"/>
      <c r="L162" s="11"/>
      <c r="M162" s="11"/>
      <c r="N162" s="11"/>
      <c r="O162" s="11"/>
      <c r="P162" s="82"/>
    </row>
    <row r="163" spans="2:16" s="9" customFormat="1" x14ac:dyDescent="0.2">
      <c r="B163" s="10"/>
      <c r="C163" s="11"/>
      <c r="D163" s="63"/>
      <c r="E163" s="11"/>
      <c r="F163" s="65"/>
      <c r="G163" s="12"/>
      <c r="H163" s="41"/>
      <c r="I163" s="30"/>
      <c r="J163" s="30"/>
      <c r="K163" s="97"/>
      <c r="L163" s="11"/>
      <c r="M163" s="11"/>
      <c r="N163" s="11"/>
      <c r="O163" s="11"/>
      <c r="P163" s="82"/>
    </row>
    <row r="164" spans="2:16" s="9" customFormat="1" x14ac:dyDescent="0.2">
      <c r="B164" s="10"/>
      <c r="C164" s="11"/>
      <c r="D164" s="63"/>
      <c r="E164" s="11"/>
      <c r="F164" s="65"/>
      <c r="G164" s="12"/>
      <c r="H164" s="41"/>
      <c r="I164" s="30"/>
      <c r="J164" s="30"/>
      <c r="K164" s="97"/>
      <c r="L164" s="11"/>
      <c r="M164" s="11"/>
      <c r="N164" s="11"/>
      <c r="O164" s="11"/>
      <c r="P164" s="82"/>
    </row>
    <row r="165" spans="2:16" s="9" customFormat="1" x14ac:dyDescent="0.2">
      <c r="B165" s="10"/>
      <c r="C165" s="11"/>
      <c r="D165" s="63"/>
      <c r="E165" s="11"/>
      <c r="F165" s="65"/>
      <c r="G165" s="12"/>
      <c r="H165" s="41"/>
      <c r="I165" s="30"/>
      <c r="J165" s="30"/>
      <c r="K165" s="97"/>
      <c r="L165" s="11"/>
      <c r="M165" s="11"/>
      <c r="N165" s="11"/>
      <c r="O165" s="11"/>
      <c r="P165" s="82"/>
    </row>
    <row r="166" spans="2:16" s="9" customFormat="1" x14ac:dyDescent="0.2">
      <c r="B166" s="10"/>
      <c r="C166" s="11"/>
      <c r="D166" s="63"/>
      <c r="E166" s="11"/>
      <c r="F166" s="65"/>
      <c r="G166" s="12"/>
      <c r="H166" s="41"/>
      <c r="I166" s="30"/>
      <c r="J166" s="30"/>
      <c r="K166" s="97"/>
      <c r="L166" s="11"/>
      <c r="M166" s="11"/>
      <c r="N166" s="11"/>
      <c r="O166" s="11"/>
      <c r="P166" s="82"/>
    </row>
    <row r="167" spans="2:16" s="9" customFormat="1" x14ac:dyDescent="0.2">
      <c r="B167" s="10"/>
      <c r="C167" s="11"/>
      <c r="D167" s="63"/>
      <c r="E167" s="11"/>
      <c r="F167" s="65"/>
      <c r="G167" s="12"/>
      <c r="H167" s="41"/>
      <c r="I167" s="30"/>
      <c r="J167" s="30"/>
      <c r="K167" s="97"/>
      <c r="L167" s="11"/>
      <c r="M167" s="11"/>
      <c r="N167" s="11"/>
      <c r="O167" s="11"/>
      <c r="P167" s="82"/>
    </row>
    <row r="168" spans="2:16" s="9" customFormat="1" x14ac:dyDescent="0.2">
      <c r="B168" s="10"/>
      <c r="C168" s="11"/>
      <c r="D168" s="63"/>
      <c r="E168" s="11"/>
      <c r="F168" s="65"/>
      <c r="G168" s="12"/>
      <c r="H168" s="41"/>
      <c r="I168" s="30"/>
      <c r="J168" s="30"/>
      <c r="K168" s="97"/>
      <c r="L168" s="11"/>
      <c r="M168" s="11"/>
      <c r="N168" s="11"/>
      <c r="O168" s="11"/>
      <c r="P168" s="82"/>
    </row>
    <row r="169" spans="2:16" s="9" customFormat="1" x14ac:dyDescent="0.2">
      <c r="B169" s="10"/>
      <c r="C169" s="11"/>
      <c r="D169" s="63"/>
      <c r="E169" s="11"/>
      <c r="F169" s="65"/>
      <c r="G169" s="12"/>
      <c r="H169" s="41"/>
      <c r="I169" s="30"/>
      <c r="J169" s="30"/>
      <c r="K169" s="97"/>
      <c r="L169" s="11"/>
      <c r="M169" s="11"/>
      <c r="N169" s="11"/>
      <c r="O169" s="11"/>
      <c r="P169" s="82"/>
    </row>
    <row r="170" spans="2:16" s="9" customFormat="1" x14ac:dyDescent="0.2">
      <c r="B170" s="10"/>
      <c r="C170" s="11"/>
      <c r="D170" s="63"/>
      <c r="E170" s="11"/>
      <c r="F170" s="65"/>
      <c r="G170" s="12"/>
      <c r="H170" s="41"/>
      <c r="I170" s="30"/>
      <c r="J170" s="30"/>
      <c r="K170" s="97"/>
      <c r="L170" s="11"/>
      <c r="M170" s="11"/>
      <c r="N170" s="11"/>
      <c r="O170" s="11"/>
      <c r="P170" s="82"/>
    </row>
    <row r="171" spans="2:16" s="9" customFormat="1" x14ac:dyDescent="0.2">
      <c r="B171" s="10"/>
      <c r="C171" s="11"/>
      <c r="D171" s="63"/>
      <c r="E171" s="11"/>
      <c r="F171" s="65"/>
      <c r="G171" s="12"/>
      <c r="H171" s="41"/>
      <c r="I171" s="30"/>
      <c r="J171" s="30"/>
      <c r="K171" s="97"/>
      <c r="L171" s="11"/>
      <c r="M171" s="11"/>
      <c r="N171" s="11"/>
      <c r="O171" s="11"/>
      <c r="P171" s="82"/>
    </row>
    <row r="172" spans="2:16" s="9" customFormat="1" x14ac:dyDescent="0.2">
      <c r="B172" s="10"/>
      <c r="C172" s="11"/>
      <c r="D172" s="63"/>
      <c r="E172" s="11"/>
      <c r="F172" s="65"/>
      <c r="G172" s="12"/>
      <c r="H172" s="41"/>
      <c r="I172" s="30"/>
      <c r="J172" s="30"/>
      <c r="K172" s="97"/>
      <c r="L172" s="11"/>
      <c r="M172" s="11"/>
      <c r="N172" s="11"/>
      <c r="O172" s="11"/>
      <c r="P172" s="82"/>
    </row>
    <row r="173" spans="2:16" s="9" customFormat="1" x14ac:dyDescent="0.2">
      <c r="B173" s="10"/>
      <c r="C173" s="11"/>
      <c r="D173" s="63"/>
      <c r="E173" s="11"/>
      <c r="F173" s="65"/>
      <c r="G173" s="12"/>
      <c r="H173" s="41"/>
      <c r="I173" s="30"/>
      <c r="J173" s="30"/>
      <c r="K173" s="97"/>
      <c r="L173" s="11"/>
      <c r="M173" s="11"/>
      <c r="N173" s="11"/>
      <c r="O173" s="11"/>
      <c r="P173" s="82"/>
    </row>
    <row r="174" spans="2:16" s="9" customFormat="1" x14ac:dyDescent="0.2">
      <c r="B174" s="10"/>
      <c r="C174" s="11"/>
      <c r="D174" s="63"/>
      <c r="E174" s="11"/>
      <c r="F174" s="65"/>
      <c r="G174" s="12"/>
      <c r="H174" s="41"/>
      <c r="I174" s="30"/>
      <c r="J174" s="30"/>
      <c r="K174" s="97"/>
      <c r="L174" s="11"/>
      <c r="M174" s="11"/>
      <c r="N174" s="11"/>
      <c r="O174" s="11"/>
      <c r="P174" s="82"/>
    </row>
    <row r="175" spans="2:16" s="9" customFormat="1" x14ac:dyDescent="0.2">
      <c r="B175" s="10"/>
      <c r="C175" s="11"/>
      <c r="D175" s="63"/>
      <c r="E175" s="11"/>
      <c r="F175" s="65"/>
      <c r="G175" s="12"/>
      <c r="H175" s="41"/>
      <c r="I175" s="30"/>
      <c r="J175" s="30"/>
      <c r="K175" s="97"/>
      <c r="L175" s="11"/>
      <c r="M175" s="11"/>
      <c r="N175" s="11"/>
      <c r="O175" s="11"/>
      <c r="P175" s="82"/>
    </row>
    <row r="176" spans="2:16" s="9" customFormat="1" x14ac:dyDescent="0.2">
      <c r="B176" s="10"/>
      <c r="C176" s="11"/>
      <c r="D176" s="63"/>
      <c r="E176" s="11"/>
      <c r="F176" s="65"/>
      <c r="G176" s="12"/>
      <c r="H176" s="41"/>
      <c r="I176" s="30"/>
      <c r="J176" s="30"/>
      <c r="K176" s="97"/>
      <c r="L176" s="11"/>
      <c r="M176" s="11"/>
      <c r="N176" s="11"/>
      <c r="O176" s="11"/>
      <c r="P176" s="82"/>
    </row>
    <row r="177" spans="2:16" s="9" customFormat="1" x14ac:dyDescent="0.2">
      <c r="B177" s="10"/>
      <c r="C177" s="11"/>
      <c r="D177" s="63"/>
      <c r="E177" s="11"/>
      <c r="F177" s="65"/>
      <c r="G177" s="12"/>
      <c r="H177" s="41"/>
      <c r="I177" s="30"/>
      <c r="J177" s="30"/>
      <c r="K177" s="97"/>
      <c r="L177" s="11"/>
      <c r="M177" s="11"/>
      <c r="N177" s="11"/>
      <c r="O177" s="11"/>
      <c r="P177" s="82"/>
    </row>
    <row r="178" spans="2:16" s="9" customFormat="1" x14ac:dyDescent="0.2">
      <c r="B178" s="10"/>
      <c r="C178" s="11"/>
      <c r="D178" s="63"/>
      <c r="E178" s="11"/>
      <c r="F178" s="65"/>
      <c r="G178" s="12"/>
      <c r="H178" s="41"/>
      <c r="I178" s="30"/>
      <c r="J178" s="30"/>
      <c r="K178" s="97"/>
      <c r="L178" s="11"/>
      <c r="M178" s="11"/>
      <c r="N178" s="11"/>
      <c r="O178" s="11"/>
      <c r="P178" s="82"/>
    </row>
    <row r="179" spans="2:16" s="9" customFormat="1" x14ac:dyDescent="0.2">
      <c r="B179" s="10"/>
      <c r="C179" s="11"/>
      <c r="D179" s="63"/>
      <c r="E179" s="11"/>
      <c r="F179" s="65"/>
      <c r="G179" s="12"/>
      <c r="H179" s="41"/>
      <c r="I179" s="30"/>
      <c r="J179" s="30"/>
      <c r="K179" s="97"/>
      <c r="L179" s="11"/>
      <c r="M179" s="11"/>
      <c r="N179" s="11"/>
      <c r="O179" s="11"/>
      <c r="P179" s="82"/>
    </row>
    <row r="180" spans="2:16" s="9" customFormat="1" x14ac:dyDescent="0.2">
      <c r="B180" s="10"/>
      <c r="C180" s="11"/>
      <c r="D180" s="63"/>
      <c r="E180" s="11"/>
      <c r="F180" s="65"/>
      <c r="G180" s="12"/>
      <c r="H180" s="41"/>
      <c r="I180" s="30"/>
      <c r="J180" s="30"/>
      <c r="K180" s="97"/>
      <c r="L180" s="11"/>
      <c r="M180" s="11"/>
      <c r="N180" s="11"/>
      <c r="O180" s="11"/>
      <c r="P180" s="82"/>
    </row>
    <row r="181" spans="2:16" s="9" customFormat="1" x14ac:dyDescent="0.2">
      <c r="B181" s="10"/>
      <c r="C181" s="11"/>
      <c r="D181" s="63"/>
      <c r="E181" s="11"/>
      <c r="F181" s="65"/>
      <c r="G181" s="12"/>
      <c r="H181" s="41"/>
      <c r="I181" s="30"/>
      <c r="J181" s="30"/>
      <c r="K181" s="97"/>
      <c r="L181" s="11"/>
      <c r="M181" s="11"/>
      <c r="N181" s="11"/>
      <c r="O181" s="11"/>
      <c r="P181" s="82"/>
    </row>
    <row r="182" spans="2:16" s="9" customFormat="1" x14ac:dyDescent="0.2">
      <c r="B182" s="10"/>
      <c r="C182" s="11"/>
      <c r="D182" s="63"/>
      <c r="E182" s="11"/>
      <c r="F182" s="65"/>
      <c r="G182" s="12"/>
      <c r="H182" s="41"/>
      <c r="I182" s="30"/>
      <c r="J182" s="30"/>
      <c r="K182" s="97"/>
      <c r="L182" s="11"/>
      <c r="M182" s="11"/>
      <c r="N182" s="11"/>
      <c r="O182" s="11"/>
      <c r="P182" s="82"/>
    </row>
    <row r="183" spans="2:16" s="9" customFormat="1" x14ac:dyDescent="0.2">
      <c r="B183" s="10"/>
      <c r="C183" s="11"/>
      <c r="D183" s="63"/>
      <c r="E183" s="11"/>
      <c r="F183" s="65"/>
      <c r="G183" s="12"/>
      <c r="H183" s="41"/>
      <c r="I183" s="30"/>
      <c r="J183" s="30"/>
      <c r="K183" s="97"/>
      <c r="L183" s="11"/>
      <c r="M183" s="11"/>
      <c r="N183" s="11"/>
      <c r="O183" s="11"/>
      <c r="P183" s="82"/>
    </row>
    <row r="184" spans="2:16" s="9" customFormat="1" x14ac:dyDescent="0.2">
      <c r="B184" s="10"/>
      <c r="C184" s="11"/>
      <c r="D184" s="63"/>
      <c r="E184" s="11"/>
      <c r="F184" s="65"/>
      <c r="G184" s="12"/>
      <c r="H184" s="41"/>
      <c r="I184" s="30"/>
      <c r="J184" s="30"/>
      <c r="K184" s="97"/>
      <c r="L184" s="11"/>
      <c r="M184" s="11"/>
      <c r="N184" s="11"/>
      <c r="O184" s="11"/>
      <c r="P184" s="82"/>
    </row>
    <row r="185" spans="2:16" s="9" customFormat="1" x14ac:dyDescent="0.2">
      <c r="B185" s="10"/>
      <c r="C185" s="11"/>
      <c r="D185" s="63"/>
      <c r="E185" s="11"/>
      <c r="F185" s="65"/>
      <c r="G185" s="12"/>
      <c r="H185" s="41"/>
      <c r="I185" s="30"/>
      <c r="J185" s="30"/>
      <c r="K185" s="97"/>
      <c r="L185" s="11"/>
      <c r="M185" s="11"/>
      <c r="N185" s="11"/>
      <c r="O185" s="11"/>
      <c r="P185" s="82"/>
    </row>
    <row r="186" spans="2:16" s="9" customFormat="1" x14ac:dyDescent="0.2">
      <c r="B186" s="10"/>
      <c r="C186" s="11"/>
      <c r="D186" s="63"/>
      <c r="E186" s="11"/>
      <c r="F186" s="65"/>
      <c r="G186" s="12"/>
      <c r="H186" s="41"/>
      <c r="I186" s="30"/>
      <c r="J186" s="30"/>
      <c r="K186" s="97"/>
      <c r="L186" s="11"/>
      <c r="M186" s="11"/>
      <c r="N186" s="11"/>
      <c r="O186" s="11"/>
      <c r="P186" s="82"/>
    </row>
    <row r="187" spans="2:16" s="9" customFormat="1" x14ac:dyDescent="0.2">
      <c r="B187" s="10"/>
      <c r="C187" s="11"/>
      <c r="D187" s="63"/>
      <c r="E187" s="11"/>
      <c r="F187" s="65"/>
      <c r="G187" s="12"/>
      <c r="H187" s="41"/>
      <c r="I187" s="30"/>
      <c r="J187" s="30"/>
      <c r="K187" s="97"/>
      <c r="L187" s="11"/>
      <c r="M187" s="11"/>
      <c r="N187" s="11"/>
      <c r="O187" s="11"/>
      <c r="P187" s="82"/>
    </row>
    <row r="188" spans="2:16" s="9" customFormat="1" x14ac:dyDescent="0.2">
      <c r="B188" s="10"/>
      <c r="C188" s="11"/>
      <c r="D188" s="63"/>
      <c r="E188" s="11"/>
      <c r="F188" s="65"/>
      <c r="G188" s="12"/>
      <c r="H188" s="41"/>
      <c r="I188" s="30"/>
      <c r="J188" s="30"/>
      <c r="K188" s="97"/>
      <c r="L188" s="11"/>
      <c r="M188" s="11"/>
      <c r="N188" s="11"/>
      <c r="O188" s="11"/>
      <c r="P188" s="82"/>
    </row>
    <row r="189" spans="2:16" s="9" customFormat="1" x14ac:dyDescent="0.2">
      <c r="B189" s="10"/>
      <c r="C189" s="11"/>
      <c r="D189" s="63"/>
      <c r="E189" s="11"/>
      <c r="F189" s="65"/>
      <c r="G189" s="12"/>
      <c r="H189" s="41"/>
      <c r="I189" s="30"/>
      <c r="J189" s="30"/>
      <c r="K189" s="97"/>
      <c r="L189" s="11"/>
      <c r="M189" s="11"/>
      <c r="N189" s="11"/>
      <c r="O189" s="11"/>
      <c r="P189" s="82"/>
    </row>
    <row r="190" spans="2:16" s="9" customFormat="1" x14ac:dyDescent="0.2">
      <c r="B190" s="10"/>
      <c r="C190" s="11"/>
      <c r="D190" s="63"/>
      <c r="E190" s="11"/>
      <c r="F190" s="65"/>
      <c r="G190" s="12"/>
      <c r="H190" s="41"/>
      <c r="I190" s="30"/>
      <c r="J190" s="30"/>
      <c r="K190" s="97"/>
      <c r="L190" s="11"/>
      <c r="M190" s="11"/>
      <c r="N190" s="11"/>
      <c r="O190" s="11"/>
      <c r="P190" s="82"/>
    </row>
    <row r="191" spans="2:16" s="9" customFormat="1" x14ac:dyDescent="0.2">
      <c r="B191" s="10"/>
      <c r="C191" s="11"/>
      <c r="D191" s="63"/>
      <c r="E191" s="11"/>
      <c r="F191" s="65"/>
      <c r="G191" s="12"/>
      <c r="H191" s="41"/>
      <c r="I191" s="30"/>
      <c r="J191" s="30"/>
      <c r="K191" s="97"/>
      <c r="L191" s="11"/>
      <c r="M191" s="11"/>
      <c r="N191" s="11"/>
      <c r="O191" s="11"/>
      <c r="P191" s="82"/>
    </row>
    <row r="192" spans="2:16" s="9" customFormat="1" x14ac:dyDescent="0.2">
      <c r="B192" s="10"/>
      <c r="C192" s="11"/>
      <c r="D192" s="63"/>
      <c r="E192" s="11"/>
      <c r="F192" s="65"/>
      <c r="G192" s="12"/>
      <c r="H192" s="41"/>
      <c r="I192" s="30"/>
      <c r="J192" s="30"/>
      <c r="K192" s="97"/>
      <c r="L192" s="11"/>
      <c r="M192" s="11"/>
      <c r="N192" s="11"/>
      <c r="O192" s="11"/>
      <c r="P192" s="82"/>
    </row>
    <row r="193" spans="2:16" s="9" customFormat="1" x14ac:dyDescent="0.2">
      <c r="B193" s="10"/>
      <c r="C193" s="11"/>
      <c r="D193" s="63"/>
      <c r="E193" s="11"/>
      <c r="F193" s="65"/>
      <c r="G193" s="12"/>
      <c r="H193" s="41"/>
      <c r="I193" s="30"/>
      <c r="J193" s="30"/>
      <c r="K193" s="97"/>
      <c r="L193" s="11"/>
      <c r="M193" s="11"/>
      <c r="N193" s="11"/>
      <c r="O193" s="11"/>
      <c r="P193" s="82"/>
    </row>
    <row r="194" spans="2:16" s="9" customFormat="1" x14ac:dyDescent="0.2">
      <c r="B194" s="10"/>
      <c r="C194" s="11"/>
      <c r="D194" s="63"/>
      <c r="E194" s="11"/>
      <c r="F194" s="65"/>
      <c r="G194" s="12"/>
      <c r="H194" s="41"/>
      <c r="I194" s="30"/>
      <c r="J194" s="30"/>
      <c r="K194" s="97"/>
      <c r="L194" s="11"/>
      <c r="M194" s="11"/>
      <c r="N194" s="11"/>
      <c r="O194" s="11"/>
      <c r="P194" s="82"/>
    </row>
    <row r="195" spans="2:16" s="9" customFormat="1" x14ac:dyDescent="0.2">
      <c r="B195" s="10"/>
      <c r="C195" s="11"/>
      <c r="D195" s="63"/>
      <c r="E195" s="11"/>
      <c r="F195" s="65"/>
      <c r="G195" s="12"/>
      <c r="H195" s="41"/>
      <c r="I195" s="30"/>
      <c r="J195" s="30"/>
      <c r="K195" s="97"/>
      <c r="L195" s="11"/>
      <c r="M195" s="11"/>
      <c r="N195" s="11"/>
      <c r="O195" s="11"/>
      <c r="P195" s="82"/>
    </row>
    <row r="196" spans="2:16" s="9" customFormat="1" x14ac:dyDescent="0.2">
      <c r="B196" s="10"/>
      <c r="C196" s="11"/>
      <c r="D196" s="63"/>
      <c r="E196" s="11"/>
      <c r="F196" s="65"/>
      <c r="G196" s="12"/>
      <c r="H196" s="41"/>
      <c r="I196" s="30"/>
      <c r="J196" s="30"/>
      <c r="K196" s="97"/>
      <c r="L196" s="11"/>
      <c r="M196" s="11"/>
      <c r="N196" s="11"/>
      <c r="O196" s="11"/>
      <c r="P196" s="82"/>
    </row>
    <row r="197" spans="2:16" s="9" customFormat="1" x14ac:dyDescent="0.2">
      <c r="B197" s="10"/>
      <c r="C197" s="11"/>
      <c r="D197" s="63"/>
      <c r="E197" s="11"/>
      <c r="F197" s="65"/>
      <c r="G197" s="12"/>
      <c r="H197" s="41"/>
      <c r="I197" s="30"/>
      <c r="J197" s="30"/>
      <c r="K197" s="97"/>
      <c r="L197" s="11"/>
      <c r="M197" s="11"/>
      <c r="N197" s="11"/>
      <c r="O197" s="11"/>
      <c r="P197" s="82"/>
    </row>
    <row r="198" spans="2:16" s="9" customFormat="1" x14ac:dyDescent="0.2">
      <c r="B198" s="10"/>
      <c r="C198" s="11"/>
      <c r="D198" s="63"/>
      <c r="E198" s="11"/>
      <c r="F198" s="65"/>
      <c r="G198" s="12"/>
      <c r="H198" s="41"/>
      <c r="I198" s="30"/>
      <c r="J198" s="30"/>
      <c r="K198" s="97"/>
      <c r="L198" s="11"/>
      <c r="M198" s="11"/>
      <c r="N198" s="11"/>
      <c r="O198" s="11"/>
      <c r="P198" s="82"/>
    </row>
    <row r="199" spans="2:16" s="9" customFormat="1" x14ac:dyDescent="0.2">
      <c r="B199" s="10"/>
      <c r="C199" s="11"/>
      <c r="D199" s="63"/>
      <c r="E199" s="11"/>
      <c r="F199" s="65"/>
      <c r="G199" s="12"/>
      <c r="H199" s="41"/>
      <c r="I199" s="30"/>
      <c r="J199" s="30"/>
      <c r="K199" s="97"/>
      <c r="L199" s="11"/>
      <c r="M199" s="11"/>
      <c r="N199" s="11"/>
      <c r="O199" s="11"/>
      <c r="P199" s="82"/>
    </row>
    <row r="200" spans="2:16" s="9" customFormat="1" x14ac:dyDescent="0.2">
      <c r="B200" s="10"/>
      <c r="C200" s="11"/>
      <c r="D200" s="63"/>
      <c r="E200" s="11"/>
      <c r="F200" s="65"/>
      <c r="G200" s="12"/>
      <c r="H200" s="41"/>
      <c r="I200" s="30"/>
      <c r="J200" s="30"/>
      <c r="K200" s="97"/>
      <c r="L200" s="11"/>
      <c r="M200" s="11"/>
      <c r="N200" s="11"/>
      <c r="O200" s="11"/>
      <c r="P200" s="82"/>
    </row>
    <row r="201" spans="2:16" s="9" customFormat="1" x14ac:dyDescent="0.2">
      <c r="B201" s="10"/>
      <c r="C201" s="11"/>
      <c r="D201" s="63"/>
      <c r="E201" s="11"/>
      <c r="F201" s="65"/>
      <c r="G201" s="12"/>
      <c r="H201" s="41"/>
      <c r="I201" s="30"/>
      <c r="J201" s="30"/>
      <c r="K201" s="97"/>
      <c r="L201" s="11"/>
      <c r="M201" s="11"/>
      <c r="N201" s="11"/>
      <c r="O201" s="11"/>
      <c r="P201" s="82"/>
    </row>
    <row r="202" spans="2:16" s="9" customFormat="1" x14ac:dyDescent="0.2">
      <c r="B202" s="10"/>
      <c r="C202" s="11"/>
      <c r="D202" s="63"/>
      <c r="E202" s="11"/>
      <c r="F202" s="65"/>
      <c r="G202" s="12"/>
      <c r="H202" s="41"/>
      <c r="I202" s="30"/>
      <c r="J202" s="30"/>
      <c r="K202" s="97"/>
      <c r="L202" s="11"/>
      <c r="M202" s="11"/>
      <c r="N202" s="11"/>
      <c r="O202" s="11"/>
      <c r="P202" s="82"/>
    </row>
    <row r="203" spans="2:16" s="9" customFormat="1" x14ac:dyDescent="0.2">
      <c r="B203" s="10"/>
      <c r="C203" s="11"/>
      <c r="D203" s="63"/>
      <c r="E203" s="11"/>
      <c r="F203" s="65"/>
      <c r="G203" s="12"/>
      <c r="H203" s="41"/>
      <c r="I203" s="30"/>
      <c r="J203" s="30"/>
      <c r="K203" s="97"/>
      <c r="L203" s="11"/>
      <c r="M203" s="11"/>
      <c r="N203" s="11"/>
      <c r="O203" s="11"/>
      <c r="P203" s="82"/>
    </row>
    <row r="204" spans="2:16" s="9" customFormat="1" x14ac:dyDescent="0.2">
      <c r="B204" s="10"/>
      <c r="C204" s="11"/>
      <c r="D204" s="63"/>
      <c r="E204" s="11"/>
      <c r="F204" s="65"/>
      <c r="G204" s="12"/>
      <c r="H204" s="41"/>
      <c r="I204" s="30"/>
      <c r="J204" s="30"/>
      <c r="K204" s="97"/>
      <c r="L204" s="11"/>
      <c r="M204" s="11"/>
      <c r="N204" s="11"/>
      <c r="O204" s="11"/>
      <c r="P204" s="82"/>
    </row>
    <row r="205" spans="2:16" s="9" customFormat="1" x14ac:dyDescent="0.2">
      <c r="B205" s="10"/>
      <c r="C205" s="11"/>
      <c r="D205" s="63"/>
      <c r="E205" s="11"/>
      <c r="F205" s="65"/>
      <c r="G205" s="12"/>
      <c r="H205" s="41"/>
      <c r="I205" s="30"/>
      <c r="J205" s="30"/>
      <c r="K205" s="97"/>
      <c r="L205" s="11"/>
      <c r="M205" s="11"/>
      <c r="N205" s="11"/>
      <c r="O205" s="11"/>
      <c r="P205" s="82"/>
    </row>
    <row r="206" spans="2:16" s="9" customFormat="1" x14ac:dyDescent="0.2">
      <c r="B206" s="10"/>
      <c r="C206" s="11"/>
      <c r="D206" s="63"/>
      <c r="E206" s="11"/>
      <c r="F206" s="65"/>
      <c r="G206" s="12"/>
      <c r="H206" s="41"/>
      <c r="I206" s="30"/>
      <c r="J206" s="30"/>
      <c r="K206" s="97"/>
      <c r="L206" s="11"/>
      <c r="M206" s="11"/>
      <c r="N206" s="11"/>
      <c r="O206" s="11"/>
      <c r="P206" s="82"/>
    </row>
    <row r="207" spans="2:16" s="9" customFormat="1" x14ac:dyDescent="0.2">
      <c r="B207" s="10"/>
      <c r="C207" s="11"/>
      <c r="D207" s="63"/>
      <c r="E207" s="11"/>
      <c r="F207" s="65"/>
      <c r="G207" s="12"/>
      <c r="H207" s="41"/>
      <c r="I207" s="30"/>
      <c r="J207" s="30"/>
      <c r="K207" s="97"/>
      <c r="L207" s="11"/>
      <c r="M207" s="11"/>
      <c r="N207" s="11"/>
      <c r="O207" s="11"/>
      <c r="P207" s="82"/>
    </row>
    <row r="208" spans="2:16" s="9" customFormat="1" x14ac:dyDescent="0.2">
      <c r="B208" s="10"/>
      <c r="C208" s="11"/>
      <c r="D208" s="63"/>
      <c r="E208" s="11"/>
      <c r="F208" s="65"/>
      <c r="G208" s="12"/>
      <c r="H208" s="41"/>
      <c r="I208" s="30"/>
      <c r="J208" s="30"/>
      <c r="K208" s="97"/>
      <c r="L208" s="11"/>
      <c r="M208" s="11"/>
      <c r="N208" s="11"/>
      <c r="O208" s="11"/>
      <c r="P208" s="82"/>
    </row>
    <row r="209" spans="2:16" s="9" customFormat="1" x14ac:dyDescent="0.2">
      <c r="B209" s="10"/>
      <c r="C209" s="11"/>
      <c r="D209" s="63"/>
      <c r="E209" s="11"/>
      <c r="F209" s="65"/>
      <c r="G209" s="12"/>
      <c r="H209" s="41"/>
      <c r="I209" s="30"/>
      <c r="J209" s="30"/>
      <c r="K209" s="97"/>
      <c r="L209" s="11"/>
      <c r="M209" s="11"/>
      <c r="N209" s="11"/>
      <c r="O209" s="11"/>
      <c r="P209" s="82"/>
    </row>
    <row r="210" spans="2:16" s="9" customFormat="1" x14ac:dyDescent="0.2">
      <c r="B210" s="10"/>
      <c r="C210" s="11"/>
      <c r="D210" s="63"/>
      <c r="E210" s="11"/>
      <c r="F210" s="65"/>
      <c r="G210" s="12"/>
      <c r="H210" s="41"/>
      <c r="I210" s="30"/>
      <c r="J210" s="30"/>
      <c r="K210" s="97"/>
      <c r="L210" s="11"/>
      <c r="M210" s="11"/>
      <c r="N210" s="11"/>
      <c r="O210" s="11"/>
      <c r="P210" s="82"/>
    </row>
    <row r="211" spans="2:16" s="9" customFormat="1" x14ac:dyDescent="0.2">
      <c r="B211" s="10"/>
      <c r="C211" s="11"/>
      <c r="D211" s="63"/>
      <c r="E211" s="11"/>
      <c r="F211" s="65"/>
      <c r="G211" s="12"/>
      <c r="H211" s="41"/>
      <c r="I211" s="30"/>
      <c r="J211" s="30"/>
      <c r="K211" s="97"/>
      <c r="L211" s="11"/>
      <c r="M211" s="11"/>
      <c r="N211" s="11"/>
      <c r="O211" s="11"/>
      <c r="P211" s="82"/>
    </row>
    <row r="212" spans="2:16" s="9" customFormat="1" x14ac:dyDescent="0.2">
      <c r="B212" s="10"/>
      <c r="C212" s="11"/>
      <c r="D212" s="63"/>
      <c r="E212" s="11"/>
      <c r="F212" s="65"/>
      <c r="G212" s="12"/>
      <c r="H212" s="41"/>
      <c r="I212" s="30"/>
      <c r="J212" s="30"/>
      <c r="K212" s="97"/>
      <c r="L212" s="11"/>
      <c r="M212" s="11"/>
      <c r="N212" s="11"/>
      <c r="O212" s="11"/>
      <c r="P212" s="82"/>
    </row>
    <row r="213" spans="2:16" s="9" customFormat="1" x14ac:dyDescent="0.2">
      <c r="B213" s="10"/>
      <c r="C213" s="11"/>
      <c r="D213" s="63"/>
      <c r="E213" s="11"/>
      <c r="F213" s="65"/>
      <c r="G213" s="12"/>
      <c r="H213" s="41"/>
      <c r="I213" s="30"/>
      <c r="J213" s="30"/>
      <c r="K213" s="97"/>
      <c r="L213" s="11"/>
      <c r="M213" s="11"/>
      <c r="N213" s="11"/>
      <c r="O213" s="11"/>
      <c r="P213" s="82"/>
    </row>
    <row r="214" spans="2:16" s="9" customFormat="1" x14ac:dyDescent="0.2">
      <c r="B214" s="10"/>
      <c r="C214" s="11"/>
      <c r="D214" s="63"/>
      <c r="E214" s="11"/>
      <c r="F214" s="65"/>
      <c r="G214" s="12"/>
      <c r="H214" s="41"/>
      <c r="I214" s="30"/>
      <c r="J214" s="30"/>
      <c r="K214" s="97"/>
      <c r="L214" s="11"/>
      <c r="M214" s="11"/>
      <c r="N214" s="11"/>
      <c r="O214" s="11"/>
      <c r="P214" s="82"/>
    </row>
    <row r="215" spans="2:16" s="9" customFormat="1" x14ac:dyDescent="0.2">
      <c r="B215" s="10"/>
      <c r="C215" s="11"/>
      <c r="D215" s="63"/>
      <c r="E215" s="11"/>
      <c r="F215" s="65"/>
      <c r="G215" s="12"/>
      <c r="H215" s="41"/>
      <c r="I215" s="30"/>
      <c r="J215" s="30"/>
      <c r="K215" s="97"/>
      <c r="L215" s="11"/>
      <c r="M215" s="11"/>
      <c r="N215" s="11"/>
      <c r="O215" s="11"/>
      <c r="P215" s="82"/>
    </row>
    <row r="216" spans="2:16" s="9" customFormat="1" x14ac:dyDescent="0.2">
      <c r="B216" s="10"/>
      <c r="C216" s="11"/>
      <c r="D216" s="63"/>
      <c r="E216" s="11"/>
      <c r="F216" s="65"/>
      <c r="G216" s="12"/>
      <c r="H216" s="41"/>
      <c r="I216" s="30"/>
      <c r="J216" s="30"/>
      <c r="K216" s="97"/>
      <c r="L216" s="11"/>
      <c r="M216" s="11"/>
      <c r="N216" s="11"/>
      <c r="O216" s="11"/>
      <c r="P216" s="82"/>
    </row>
    <row r="217" spans="2:16" s="9" customFormat="1" x14ac:dyDescent="0.2">
      <c r="B217" s="10"/>
      <c r="C217" s="11"/>
      <c r="D217" s="63"/>
      <c r="E217" s="11"/>
      <c r="F217" s="65"/>
      <c r="G217" s="12"/>
      <c r="H217" s="41"/>
      <c r="I217" s="30"/>
      <c r="J217" s="30"/>
      <c r="K217" s="97"/>
      <c r="L217" s="11"/>
      <c r="M217" s="11"/>
      <c r="N217" s="11"/>
      <c r="O217" s="11"/>
      <c r="P217" s="82"/>
    </row>
    <row r="218" spans="2:16" s="9" customFormat="1" x14ac:dyDescent="0.2">
      <c r="B218" s="10"/>
      <c r="C218" s="11"/>
      <c r="D218" s="63"/>
      <c r="E218" s="11"/>
      <c r="F218" s="65"/>
      <c r="G218" s="12"/>
      <c r="H218" s="41"/>
      <c r="I218" s="30"/>
      <c r="J218" s="30"/>
      <c r="K218" s="97"/>
      <c r="L218" s="11"/>
      <c r="M218" s="11"/>
      <c r="N218" s="11"/>
      <c r="O218" s="11"/>
      <c r="P218" s="82"/>
    </row>
    <row r="219" spans="2:16" s="9" customFormat="1" x14ac:dyDescent="0.2">
      <c r="B219" s="10"/>
      <c r="C219" s="11"/>
      <c r="D219" s="63"/>
      <c r="E219" s="11"/>
      <c r="F219" s="65"/>
      <c r="G219" s="12"/>
      <c r="H219" s="41"/>
      <c r="I219" s="30"/>
      <c r="J219" s="30"/>
      <c r="K219" s="97"/>
      <c r="L219" s="11"/>
      <c r="M219" s="11"/>
      <c r="N219" s="11"/>
      <c r="O219" s="11"/>
      <c r="P219" s="82"/>
    </row>
    <row r="220" spans="2:16" s="9" customFormat="1" x14ac:dyDescent="0.2">
      <c r="B220" s="10"/>
      <c r="C220" s="11"/>
      <c r="D220" s="63"/>
      <c r="E220" s="11"/>
      <c r="F220" s="65"/>
      <c r="G220" s="12"/>
      <c r="H220" s="41"/>
      <c r="I220" s="30"/>
      <c r="J220" s="30"/>
      <c r="K220" s="97"/>
      <c r="L220" s="11"/>
      <c r="M220" s="11"/>
      <c r="N220" s="11"/>
      <c r="O220" s="11"/>
      <c r="P220" s="82"/>
    </row>
    <row r="221" spans="2:16" s="9" customFormat="1" x14ac:dyDescent="0.2">
      <c r="B221" s="10"/>
      <c r="C221" s="11"/>
      <c r="D221" s="63"/>
      <c r="E221" s="11"/>
      <c r="F221" s="65"/>
      <c r="G221" s="12"/>
      <c r="H221" s="41"/>
      <c r="I221" s="30"/>
      <c r="J221" s="30"/>
      <c r="K221" s="97"/>
      <c r="L221" s="11"/>
      <c r="M221" s="11"/>
      <c r="N221" s="11"/>
      <c r="O221" s="11"/>
      <c r="P221" s="82"/>
    </row>
    <row r="222" spans="2:16" s="9" customFormat="1" x14ac:dyDescent="0.2">
      <c r="B222" s="10"/>
      <c r="C222" s="11"/>
      <c r="D222" s="63"/>
      <c r="E222" s="11"/>
      <c r="F222" s="65"/>
      <c r="G222" s="12"/>
      <c r="H222" s="41"/>
      <c r="I222" s="30"/>
      <c r="J222" s="30"/>
      <c r="K222" s="97"/>
      <c r="L222" s="11"/>
      <c r="M222" s="11"/>
      <c r="N222" s="11"/>
      <c r="O222" s="11"/>
      <c r="P222" s="82"/>
    </row>
    <row r="223" spans="2:16" s="9" customFormat="1" x14ac:dyDescent="0.2">
      <c r="B223" s="10"/>
      <c r="C223" s="11"/>
      <c r="D223" s="63"/>
      <c r="E223" s="11"/>
      <c r="F223" s="65"/>
      <c r="G223" s="12"/>
      <c r="H223" s="41"/>
      <c r="I223" s="30"/>
      <c r="J223" s="30"/>
      <c r="K223" s="97"/>
      <c r="L223" s="11"/>
      <c r="M223" s="11"/>
      <c r="N223" s="11"/>
      <c r="O223" s="11"/>
      <c r="P223" s="82"/>
    </row>
    <row r="224" spans="2:16" s="9" customFormat="1" x14ac:dyDescent="0.2">
      <c r="B224" s="10"/>
      <c r="C224" s="11"/>
      <c r="D224" s="63"/>
      <c r="E224" s="11"/>
      <c r="F224" s="65"/>
      <c r="G224" s="12"/>
      <c r="H224" s="41"/>
      <c r="I224" s="30"/>
      <c r="J224" s="30"/>
      <c r="K224" s="97"/>
      <c r="L224" s="11"/>
      <c r="M224" s="11"/>
      <c r="N224" s="11"/>
      <c r="O224" s="11"/>
      <c r="P224" s="82"/>
    </row>
    <row r="225" spans="2:16" s="9" customFormat="1" x14ac:dyDescent="0.2">
      <c r="B225" s="10"/>
      <c r="C225" s="11"/>
      <c r="D225" s="63"/>
      <c r="E225" s="11"/>
      <c r="F225" s="65"/>
      <c r="G225" s="12"/>
      <c r="H225" s="41"/>
      <c r="I225" s="30"/>
      <c r="J225" s="30"/>
      <c r="K225" s="97"/>
      <c r="L225" s="11"/>
      <c r="M225" s="11"/>
      <c r="N225" s="11"/>
      <c r="O225" s="11"/>
      <c r="P225" s="82"/>
    </row>
    <row r="226" spans="2:16" s="9" customFormat="1" x14ac:dyDescent="0.2">
      <c r="B226" s="10"/>
      <c r="C226" s="11"/>
      <c r="D226" s="63"/>
      <c r="E226" s="11"/>
      <c r="F226" s="65"/>
      <c r="G226" s="12"/>
      <c r="H226" s="41"/>
      <c r="I226" s="30"/>
      <c r="J226" s="30"/>
      <c r="K226" s="97"/>
      <c r="L226" s="11"/>
      <c r="M226" s="11"/>
      <c r="N226" s="11"/>
      <c r="O226" s="11"/>
      <c r="P226" s="82"/>
    </row>
    <row r="227" spans="2:16" s="9" customFormat="1" x14ac:dyDescent="0.2">
      <c r="B227" s="10"/>
      <c r="C227" s="11"/>
      <c r="D227" s="63"/>
      <c r="E227" s="11"/>
      <c r="F227" s="65"/>
      <c r="G227" s="12"/>
      <c r="H227" s="41"/>
      <c r="I227" s="30"/>
      <c r="J227" s="30"/>
      <c r="K227" s="97"/>
      <c r="L227" s="11"/>
      <c r="M227" s="11"/>
      <c r="N227" s="11"/>
      <c r="O227" s="11"/>
      <c r="P227" s="82"/>
    </row>
    <row r="228" spans="2:16" s="9" customFormat="1" x14ac:dyDescent="0.2">
      <c r="B228" s="10"/>
      <c r="C228" s="11"/>
      <c r="D228" s="63"/>
      <c r="E228" s="11"/>
      <c r="F228" s="65"/>
      <c r="G228" s="12"/>
      <c r="H228" s="41"/>
      <c r="I228" s="30"/>
      <c r="J228" s="30"/>
      <c r="K228" s="97"/>
      <c r="L228" s="11"/>
      <c r="M228" s="11"/>
      <c r="N228" s="11"/>
      <c r="O228" s="11"/>
      <c r="P228" s="82"/>
    </row>
    <row r="229" spans="2:16" s="9" customFormat="1" x14ac:dyDescent="0.2">
      <c r="B229" s="10"/>
      <c r="C229" s="11"/>
      <c r="D229" s="63"/>
      <c r="E229" s="11"/>
      <c r="F229" s="65"/>
      <c r="G229" s="12"/>
      <c r="H229" s="41"/>
      <c r="I229" s="30"/>
      <c r="J229" s="30"/>
      <c r="K229" s="97"/>
      <c r="L229" s="11"/>
      <c r="M229" s="11"/>
      <c r="N229" s="11"/>
      <c r="O229" s="11"/>
      <c r="P229" s="82"/>
    </row>
    <row r="230" spans="2:16" s="9" customFormat="1" x14ac:dyDescent="0.2">
      <c r="B230" s="10"/>
      <c r="C230" s="11"/>
      <c r="D230" s="63"/>
      <c r="E230" s="11"/>
      <c r="F230" s="65"/>
      <c r="G230" s="12"/>
      <c r="H230" s="41"/>
      <c r="I230" s="30"/>
      <c r="J230" s="30"/>
      <c r="K230" s="97"/>
      <c r="L230" s="11"/>
      <c r="M230" s="11"/>
      <c r="N230" s="11"/>
      <c r="O230" s="11"/>
      <c r="P230" s="82"/>
    </row>
    <row r="231" spans="2:16" s="9" customFormat="1" x14ac:dyDescent="0.2">
      <c r="B231" s="10"/>
      <c r="C231" s="11"/>
      <c r="D231" s="63"/>
      <c r="E231" s="11"/>
      <c r="F231" s="65"/>
      <c r="G231" s="12"/>
      <c r="H231" s="41"/>
      <c r="I231" s="30"/>
      <c r="J231" s="30"/>
      <c r="K231" s="97"/>
      <c r="L231" s="11"/>
      <c r="M231" s="11"/>
      <c r="N231" s="11"/>
      <c r="O231" s="11"/>
      <c r="P231" s="82"/>
    </row>
    <row r="232" spans="2:16" s="9" customFormat="1" x14ac:dyDescent="0.2">
      <c r="B232" s="10"/>
      <c r="C232" s="11"/>
      <c r="D232" s="63"/>
      <c r="E232" s="11"/>
      <c r="F232" s="65"/>
      <c r="G232" s="12"/>
      <c r="H232" s="41"/>
      <c r="I232" s="30"/>
      <c r="J232" s="30"/>
      <c r="K232" s="97"/>
      <c r="L232" s="11"/>
      <c r="M232" s="11"/>
      <c r="N232" s="11"/>
      <c r="O232" s="11"/>
      <c r="P232" s="82"/>
    </row>
    <row r="233" spans="2:16" s="9" customFormat="1" x14ac:dyDescent="0.2">
      <c r="B233" s="10"/>
      <c r="C233" s="11"/>
      <c r="D233" s="63"/>
      <c r="E233" s="11"/>
      <c r="F233" s="65"/>
      <c r="G233" s="12"/>
      <c r="H233" s="41"/>
      <c r="I233" s="30"/>
      <c r="J233" s="30"/>
      <c r="K233" s="97"/>
      <c r="L233" s="11"/>
      <c r="M233" s="11"/>
      <c r="N233" s="11"/>
      <c r="O233" s="11"/>
      <c r="P233" s="82"/>
    </row>
    <row r="234" spans="2:16" s="9" customFormat="1" x14ac:dyDescent="0.2">
      <c r="B234" s="10"/>
      <c r="C234" s="11"/>
      <c r="D234" s="63"/>
      <c r="E234" s="11"/>
      <c r="F234" s="65"/>
      <c r="G234" s="12"/>
      <c r="H234" s="41"/>
      <c r="I234" s="30"/>
      <c r="J234" s="30"/>
      <c r="K234" s="97"/>
      <c r="L234" s="11"/>
      <c r="M234" s="11"/>
      <c r="N234" s="11"/>
      <c r="O234" s="11"/>
      <c r="P234" s="82"/>
    </row>
    <row r="235" spans="2:16" s="9" customFormat="1" x14ac:dyDescent="0.2">
      <c r="B235" s="10"/>
      <c r="C235" s="11"/>
      <c r="D235" s="63"/>
      <c r="E235" s="11"/>
      <c r="F235" s="65"/>
      <c r="G235" s="12"/>
      <c r="H235" s="41"/>
      <c r="I235" s="30"/>
      <c r="J235" s="30"/>
      <c r="K235" s="97"/>
      <c r="L235" s="11"/>
      <c r="M235" s="11"/>
      <c r="N235" s="11"/>
      <c r="O235" s="11"/>
      <c r="P235" s="82"/>
    </row>
    <row r="236" spans="2:16" s="9" customFormat="1" x14ac:dyDescent="0.2">
      <c r="B236" s="10"/>
      <c r="C236" s="11"/>
      <c r="D236" s="63"/>
      <c r="E236" s="11"/>
      <c r="F236" s="65"/>
      <c r="G236" s="12"/>
      <c r="H236" s="41"/>
      <c r="I236" s="30"/>
      <c r="J236" s="30"/>
      <c r="K236" s="97"/>
      <c r="L236" s="11"/>
      <c r="M236" s="11"/>
      <c r="N236" s="11"/>
      <c r="O236" s="11"/>
      <c r="P236" s="82"/>
    </row>
    <row r="237" spans="2:16" s="9" customFormat="1" x14ac:dyDescent="0.2">
      <c r="B237" s="10"/>
      <c r="C237" s="11"/>
      <c r="D237" s="63"/>
      <c r="E237" s="11"/>
      <c r="F237" s="65"/>
      <c r="G237" s="12"/>
      <c r="H237" s="41"/>
      <c r="I237" s="30"/>
      <c r="J237" s="30"/>
      <c r="K237" s="97"/>
      <c r="L237" s="11"/>
      <c r="M237" s="11"/>
      <c r="N237" s="11"/>
      <c r="O237" s="11"/>
      <c r="P237" s="82"/>
    </row>
    <row r="238" spans="2:16" s="9" customFormat="1" x14ac:dyDescent="0.2">
      <c r="B238" s="10"/>
      <c r="C238" s="11"/>
      <c r="D238" s="63"/>
      <c r="E238" s="11"/>
      <c r="F238" s="65"/>
      <c r="G238" s="12"/>
      <c r="H238" s="41"/>
      <c r="I238" s="30"/>
      <c r="J238" s="30"/>
      <c r="K238" s="97"/>
      <c r="L238" s="11"/>
      <c r="M238" s="11"/>
      <c r="N238" s="11"/>
      <c r="O238" s="11"/>
      <c r="P238" s="82"/>
    </row>
    <row r="239" spans="2:16" s="9" customFormat="1" x14ac:dyDescent="0.2">
      <c r="B239" s="10"/>
      <c r="C239" s="11"/>
      <c r="D239" s="63"/>
      <c r="E239" s="11"/>
      <c r="F239" s="65"/>
      <c r="G239" s="12"/>
      <c r="H239" s="41"/>
      <c r="I239" s="30"/>
      <c r="J239" s="30"/>
      <c r="K239" s="97"/>
      <c r="L239" s="11"/>
      <c r="M239" s="11"/>
      <c r="N239" s="11"/>
      <c r="O239" s="11"/>
      <c r="P239" s="82"/>
    </row>
    <row r="240" spans="2:16" s="9" customFormat="1" x14ac:dyDescent="0.2">
      <c r="B240" s="10"/>
      <c r="C240" s="11"/>
      <c r="D240" s="63"/>
      <c r="E240" s="11"/>
      <c r="F240" s="65"/>
      <c r="G240" s="12"/>
      <c r="H240" s="41"/>
      <c r="I240" s="30"/>
      <c r="J240" s="30"/>
      <c r="K240" s="97"/>
      <c r="L240" s="11"/>
      <c r="M240" s="11"/>
      <c r="N240" s="11"/>
      <c r="O240" s="11"/>
      <c r="P240" s="82"/>
    </row>
    <row r="241" spans="2:16" s="9" customFormat="1" x14ac:dyDescent="0.2">
      <c r="B241" s="10"/>
      <c r="C241" s="11"/>
      <c r="D241" s="63"/>
      <c r="E241" s="11"/>
      <c r="F241" s="65"/>
      <c r="G241" s="12"/>
      <c r="H241" s="41"/>
      <c r="I241" s="30"/>
      <c r="J241" s="30"/>
      <c r="K241" s="97"/>
      <c r="L241" s="11"/>
      <c r="M241" s="11"/>
      <c r="N241" s="11"/>
      <c r="O241" s="11"/>
      <c r="P241" s="82"/>
    </row>
    <row r="242" spans="2:16" s="9" customFormat="1" x14ac:dyDescent="0.2">
      <c r="B242" s="10"/>
      <c r="C242" s="11"/>
      <c r="D242" s="63"/>
      <c r="E242" s="11"/>
      <c r="F242" s="65"/>
      <c r="G242" s="12"/>
      <c r="H242" s="41"/>
      <c r="I242" s="30"/>
      <c r="J242" s="30"/>
      <c r="K242" s="97"/>
      <c r="L242" s="11"/>
      <c r="M242" s="11"/>
      <c r="N242" s="11"/>
      <c r="O242" s="11"/>
      <c r="P242" s="82"/>
    </row>
    <row r="243" spans="2:16" s="9" customFormat="1" x14ac:dyDescent="0.2">
      <c r="B243" s="10"/>
      <c r="C243" s="11"/>
      <c r="D243" s="63"/>
      <c r="E243" s="11"/>
      <c r="F243" s="65"/>
      <c r="G243" s="12"/>
      <c r="H243" s="41"/>
      <c r="I243" s="30"/>
      <c r="J243" s="30"/>
      <c r="K243" s="97"/>
      <c r="L243" s="11"/>
      <c r="M243" s="11"/>
      <c r="N243" s="11"/>
      <c r="O243" s="11"/>
      <c r="P243" s="82"/>
    </row>
    <row r="244" spans="2:16" s="9" customFormat="1" x14ac:dyDescent="0.2">
      <c r="B244" s="10"/>
      <c r="C244" s="11"/>
      <c r="D244" s="63"/>
      <c r="E244" s="11"/>
      <c r="F244" s="65"/>
      <c r="G244" s="12"/>
      <c r="H244" s="41"/>
      <c r="I244" s="30"/>
      <c r="J244" s="30"/>
      <c r="K244" s="97"/>
      <c r="L244" s="11"/>
      <c r="M244" s="11"/>
      <c r="N244" s="11"/>
      <c r="O244" s="11"/>
      <c r="P244" s="82"/>
    </row>
    <row r="245" spans="2:16" s="9" customFormat="1" x14ac:dyDescent="0.2">
      <c r="B245" s="10"/>
      <c r="C245" s="11"/>
      <c r="D245" s="63"/>
      <c r="E245" s="11"/>
      <c r="F245" s="65"/>
      <c r="G245" s="12"/>
      <c r="H245" s="41"/>
      <c r="I245" s="30"/>
      <c r="J245" s="30"/>
      <c r="K245" s="97"/>
      <c r="L245" s="11"/>
      <c r="M245" s="11"/>
      <c r="N245" s="11"/>
      <c r="O245" s="11"/>
      <c r="P245" s="82"/>
    </row>
    <row r="246" spans="2:16" s="9" customFormat="1" x14ac:dyDescent="0.2">
      <c r="B246" s="10"/>
      <c r="C246" s="11"/>
      <c r="D246" s="63"/>
      <c r="E246" s="11"/>
      <c r="F246" s="65"/>
      <c r="G246" s="12"/>
      <c r="H246" s="41"/>
      <c r="I246" s="30"/>
      <c r="J246" s="30"/>
      <c r="K246" s="97"/>
      <c r="L246" s="11"/>
      <c r="M246" s="11"/>
      <c r="N246" s="11"/>
      <c r="O246" s="11"/>
      <c r="P246" s="82"/>
    </row>
    <row r="247" spans="2:16" s="9" customFormat="1" x14ac:dyDescent="0.2">
      <c r="B247" s="10"/>
      <c r="C247" s="11"/>
      <c r="D247" s="63"/>
      <c r="E247" s="11"/>
      <c r="F247" s="65"/>
      <c r="G247" s="12"/>
      <c r="H247" s="41"/>
      <c r="I247" s="30"/>
      <c r="J247" s="30"/>
      <c r="K247" s="97"/>
      <c r="L247" s="11"/>
      <c r="M247" s="11"/>
      <c r="N247" s="11"/>
      <c r="O247" s="11"/>
      <c r="P247" s="82"/>
    </row>
    <row r="248" spans="2:16" s="9" customFormat="1" x14ac:dyDescent="0.2">
      <c r="B248" s="10"/>
      <c r="C248" s="11"/>
      <c r="D248" s="63"/>
      <c r="E248" s="11"/>
      <c r="F248" s="65"/>
      <c r="G248" s="12"/>
      <c r="H248" s="41"/>
      <c r="I248" s="30"/>
      <c r="J248" s="30"/>
      <c r="K248" s="97"/>
      <c r="L248" s="11"/>
      <c r="M248" s="11"/>
      <c r="N248" s="11"/>
      <c r="O248" s="11"/>
      <c r="P248" s="82"/>
    </row>
    <row r="249" spans="2:16" s="9" customFormat="1" x14ac:dyDescent="0.2">
      <c r="B249" s="10"/>
      <c r="C249" s="11"/>
      <c r="D249" s="63"/>
      <c r="E249" s="11"/>
      <c r="F249" s="65"/>
      <c r="G249" s="12"/>
      <c r="H249" s="41"/>
      <c r="I249" s="30"/>
      <c r="J249" s="30"/>
      <c r="K249" s="97"/>
      <c r="L249" s="11"/>
      <c r="M249" s="11"/>
      <c r="N249" s="11"/>
      <c r="O249" s="11"/>
      <c r="P249" s="82"/>
    </row>
    <row r="250" spans="2:16" s="9" customFormat="1" x14ac:dyDescent="0.2">
      <c r="B250" s="10"/>
      <c r="C250" s="11"/>
      <c r="D250" s="63"/>
      <c r="E250" s="11"/>
      <c r="F250" s="65"/>
      <c r="G250" s="12"/>
      <c r="H250" s="41"/>
      <c r="I250" s="30"/>
      <c r="J250" s="30"/>
      <c r="K250" s="97"/>
      <c r="L250" s="11"/>
      <c r="M250" s="11"/>
      <c r="N250" s="11"/>
      <c r="O250" s="11"/>
      <c r="P250" s="82"/>
    </row>
    <row r="251" spans="2:16" s="9" customFormat="1" x14ac:dyDescent="0.2">
      <c r="B251" s="10"/>
      <c r="C251" s="11"/>
      <c r="D251" s="63"/>
      <c r="E251" s="11"/>
      <c r="F251" s="65"/>
      <c r="G251" s="12"/>
      <c r="H251" s="41"/>
      <c r="I251" s="30"/>
      <c r="J251" s="30"/>
      <c r="K251" s="97"/>
      <c r="L251" s="11"/>
      <c r="M251" s="11"/>
      <c r="N251" s="11"/>
      <c r="O251" s="11"/>
      <c r="P251" s="82"/>
    </row>
    <row r="252" spans="2:16" s="9" customFormat="1" x14ac:dyDescent="0.2">
      <c r="B252" s="10"/>
      <c r="C252" s="11"/>
      <c r="D252" s="63"/>
      <c r="E252" s="11"/>
      <c r="F252" s="65"/>
      <c r="G252" s="12"/>
      <c r="H252" s="41"/>
      <c r="I252" s="30"/>
      <c r="J252" s="30"/>
      <c r="K252" s="97"/>
      <c r="L252" s="11"/>
      <c r="M252" s="11"/>
      <c r="N252" s="11"/>
      <c r="O252" s="11"/>
      <c r="P252" s="82"/>
    </row>
    <row r="253" spans="2:16" s="9" customFormat="1" x14ac:dyDescent="0.2">
      <c r="B253" s="10"/>
      <c r="C253" s="11"/>
      <c r="D253" s="63"/>
      <c r="E253" s="11"/>
      <c r="F253" s="65"/>
      <c r="G253" s="12"/>
      <c r="H253" s="41"/>
      <c r="I253" s="30"/>
      <c r="J253" s="30"/>
      <c r="K253" s="97"/>
      <c r="L253" s="11"/>
      <c r="M253" s="11"/>
      <c r="N253" s="11"/>
      <c r="O253" s="11"/>
      <c r="P253" s="82"/>
    </row>
    <row r="254" spans="2:16" s="9" customFormat="1" x14ac:dyDescent="0.2">
      <c r="B254" s="10"/>
      <c r="C254" s="11"/>
      <c r="D254" s="63"/>
      <c r="E254" s="11"/>
      <c r="F254" s="65"/>
      <c r="G254" s="12"/>
      <c r="H254" s="41"/>
      <c r="I254" s="30"/>
      <c r="J254" s="30"/>
      <c r="K254" s="97"/>
      <c r="L254" s="11"/>
      <c r="M254" s="11"/>
      <c r="N254" s="11"/>
      <c r="O254" s="11"/>
      <c r="P254" s="82"/>
    </row>
    <row r="255" spans="2:16" s="9" customFormat="1" x14ac:dyDescent="0.2">
      <c r="B255" s="10"/>
      <c r="C255" s="11"/>
      <c r="D255" s="63"/>
      <c r="E255" s="11"/>
      <c r="F255" s="65"/>
      <c r="G255" s="12"/>
      <c r="H255" s="41"/>
      <c r="I255" s="30"/>
      <c r="J255" s="30"/>
      <c r="K255" s="97"/>
      <c r="L255" s="11"/>
      <c r="M255" s="11"/>
      <c r="N255" s="11"/>
      <c r="O255" s="11"/>
      <c r="P255" s="82"/>
    </row>
    <row r="256" spans="2:16" s="9" customFormat="1" x14ac:dyDescent="0.2">
      <c r="B256" s="10"/>
      <c r="C256" s="11"/>
      <c r="D256" s="63"/>
      <c r="E256" s="11"/>
      <c r="F256" s="65"/>
      <c r="G256" s="12"/>
      <c r="H256" s="41"/>
      <c r="I256" s="30"/>
      <c r="J256" s="30"/>
      <c r="K256" s="97"/>
      <c r="L256" s="11"/>
      <c r="M256" s="11"/>
      <c r="N256" s="11"/>
      <c r="O256" s="11"/>
      <c r="P256" s="82"/>
    </row>
    <row r="257" spans="2:16" s="9" customFormat="1" x14ac:dyDescent="0.2">
      <c r="B257" s="10"/>
      <c r="C257" s="11"/>
      <c r="D257" s="63"/>
      <c r="E257" s="11"/>
      <c r="F257" s="65"/>
      <c r="G257" s="12"/>
      <c r="H257" s="41"/>
      <c r="I257" s="30"/>
      <c r="J257" s="30"/>
      <c r="K257" s="97"/>
      <c r="L257" s="11"/>
      <c r="M257" s="11"/>
      <c r="N257" s="11"/>
      <c r="O257" s="11"/>
      <c r="P257" s="82"/>
    </row>
    <row r="258" spans="2:16" s="9" customFormat="1" x14ac:dyDescent="0.2">
      <c r="B258" s="10"/>
      <c r="C258" s="11"/>
      <c r="D258" s="63"/>
      <c r="E258" s="11"/>
      <c r="F258" s="65"/>
      <c r="G258" s="12"/>
      <c r="H258" s="41"/>
      <c r="I258" s="30"/>
      <c r="J258" s="30"/>
      <c r="K258" s="97"/>
      <c r="L258" s="11"/>
      <c r="M258" s="11"/>
      <c r="N258" s="11"/>
      <c r="O258" s="11"/>
      <c r="P258" s="82"/>
    </row>
    <row r="259" spans="2:16" s="9" customFormat="1" x14ac:dyDescent="0.2">
      <c r="B259" s="10"/>
      <c r="C259" s="11"/>
      <c r="D259" s="63"/>
      <c r="E259" s="11"/>
      <c r="F259" s="65"/>
      <c r="G259" s="12"/>
      <c r="H259" s="41"/>
      <c r="I259" s="30"/>
      <c r="J259" s="30"/>
      <c r="K259" s="97"/>
      <c r="L259" s="11"/>
      <c r="M259" s="11"/>
      <c r="N259" s="11"/>
      <c r="O259" s="11"/>
      <c r="P259" s="82"/>
    </row>
    <row r="260" spans="2:16" s="9" customFormat="1" x14ac:dyDescent="0.2">
      <c r="B260" s="10"/>
      <c r="C260" s="11"/>
      <c r="D260" s="63"/>
      <c r="E260" s="11"/>
      <c r="F260" s="65"/>
      <c r="G260" s="12"/>
      <c r="H260" s="41"/>
      <c r="I260" s="30"/>
      <c r="J260" s="30"/>
      <c r="K260" s="97"/>
      <c r="L260" s="11"/>
      <c r="M260" s="11"/>
      <c r="N260" s="11"/>
      <c r="O260" s="11"/>
      <c r="P260" s="82"/>
    </row>
    <row r="261" spans="2:16" s="9" customFormat="1" x14ac:dyDescent="0.2">
      <c r="B261" s="10"/>
      <c r="C261" s="11"/>
      <c r="D261" s="63"/>
      <c r="E261" s="11"/>
      <c r="F261" s="65"/>
      <c r="G261" s="12"/>
      <c r="H261" s="41"/>
      <c r="I261" s="30"/>
      <c r="J261" s="30"/>
      <c r="K261" s="97"/>
      <c r="L261" s="11"/>
      <c r="M261" s="11"/>
      <c r="N261" s="11"/>
      <c r="O261" s="11"/>
      <c r="P261" s="82"/>
    </row>
    <row r="262" spans="2:16" s="9" customFormat="1" x14ac:dyDescent="0.2">
      <c r="B262" s="10"/>
      <c r="C262" s="11"/>
      <c r="D262" s="63"/>
      <c r="E262" s="11"/>
      <c r="F262" s="65"/>
      <c r="G262" s="12"/>
      <c r="H262" s="41"/>
      <c r="I262" s="30"/>
      <c r="J262" s="30"/>
      <c r="K262" s="97"/>
      <c r="L262" s="11"/>
      <c r="M262" s="11"/>
      <c r="N262" s="11"/>
      <c r="O262" s="11"/>
      <c r="P262" s="82"/>
    </row>
    <row r="263" spans="2:16" s="9" customFormat="1" x14ac:dyDescent="0.2">
      <c r="B263" s="10"/>
      <c r="C263" s="11"/>
      <c r="D263" s="63"/>
      <c r="E263" s="11"/>
      <c r="F263" s="65"/>
      <c r="G263" s="12"/>
      <c r="H263" s="41"/>
      <c r="I263" s="30"/>
      <c r="J263" s="30"/>
      <c r="K263" s="97"/>
      <c r="L263" s="11"/>
      <c r="M263" s="11"/>
      <c r="N263" s="11"/>
      <c r="O263" s="11"/>
      <c r="P263" s="82"/>
    </row>
    <row r="264" spans="2:16" s="9" customFormat="1" x14ac:dyDescent="0.2">
      <c r="B264" s="10"/>
      <c r="C264" s="11"/>
      <c r="D264" s="63"/>
      <c r="E264" s="11"/>
      <c r="F264" s="65"/>
      <c r="G264" s="12"/>
      <c r="H264" s="41"/>
      <c r="I264" s="30"/>
      <c r="J264" s="30"/>
      <c r="K264" s="97"/>
      <c r="L264" s="11"/>
      <c r="M264" s="11"/>
      <c r="N264" s="11"/>
      <c r="O264" s="11"/>
      <c r="P264" s="82"/>
    </row>
    <row r="265" spans="2:16" s="9" customFormat="1" x14ac:dyDescent="0.2">
      <c r="B265" s="10"/>
      <c r="C265" s="11"/>
      <c r="D265" s="63"/>
      <c r="E265" s="11"/>
      <c r="F265" s="65"/>
      <c r="G265" s="12"/>
      <c r="H265" s="41"/>
      <c r="I265" s="30"/>
      <c r="J265" s="30"/>
      <c r="K265" s="97"/>
      <c r="L265" s="11"/>
      <c r="M265" s="11"/>
      <c r="N265" s="11"/>
      <c r="O265" s="11"/>
      <c r="P265" s="82"/>
    </row>
    <row r="266" spans="2:16" s="9" customFormat="1" x14ac:dyDescent="0.2">
      <c r="B266" s="10"/>
      <c r="C266" s="11"/>
      <c r="D266" s="63"/>
      <c r="E266" s="11"/>
      <c r="F266" s="65"/>
      <c r="G266" s="12"/>
      <c r="H266" s="41"/>
      <c r="I266" s="30"/>
      <c r="J266" s="30"/>
      <c r="K266" s="97"/>
      <c r="L266" s="11"/>
      <c r="M266" s="11"/>
      <c r="N266" s="11"/>
      <c r="O266" s="11"/>
      <c r="P266" s="82"/>
    </row>
    <row r="267" spans="2:16" s="9" customFormat="1" x14ac:dyDescent="0.2">
      <c r="B267" s="10"/>
      <c r="C267" s="11"/>
      <c r="D267" s="63"/>
      <c r="E267" s="11"/>
      <c r="F267" s="65"/>
      <c r="G267" s="12"/>
      <c r="H267" s="41"/>
      <c r="I267" s="30"/>
      <c r="J267" s="30"/>
      <c r="K267" s="97"/>
      <c r="L267" s="11"/>
      <c r="M267" s="11"/>
      <c r="N267" s="11"/>
      <c r="O267" s="11"/>
      <c r="P267" s="82"/>
    </row>
    <row r="268" spans="2:16" s="9" customFormat="1" x14ac:dyDescent="0.2">
      <c r="B268" s="10"/>
      <c r="C268" s="11"/>
      <c r="D268" s="63"/>
      <c r="E268" s="11"/>
      <c r="F268" s="65"/>
      <c r="G268" s="12"/>
      <c r="H268" s="41"/>
      <c r="I268" s="30"/>
      <c r="J268" s="30"/>
      <c r="K268" s="97"/>
      <c r="L268" s="11"/>
      <c r="M268" s="11"/>
      <c r="N268" s="11"/>
      <c r="O268" s="11"/>
      <c r="P268" s="82"/>
    </row>
    <row r="269" spans="2:16" s="9" customFormat="1" x14ac:dyDescent="0.2">
      <c r="B269" s="10"/>
      <c r="C269" s="11"/>
      <c r="D269" s="63"/>
      <c r="E269" s="11"/>
      <c r="F269" s="65"/>
      <c r="G269" s="12"/>
      <c r="H269" s="41"/>
      <c r="I269" s="30"/>
      <c r="J269" s="30"/>
      <c r="K269" s="97"/>
      <c r="L269" s="11"/>
      <c r="M269" s="11"/>
      <c r="N269" s="11"/>
      <c r="O269" s="11"/>
      <c r="P269" s="82"/>
    </row>
    <row r="270" spans="2:16" s="9" customFormat="1" x14ac:dyDescent="0.2">
      <c r="B270" s="10"/>
      <c r="C270" s="11"/>
      <c r="D270" s="63"/>
      <c r="E270" s="11"/>
      <c r="F270" s="65"/>
      <c r="G270" s="12"/>
      <c r="H270" s="41"/>
      <c r="I270" s="30"/>
      <c r="J270" s="30"/>
      <c r="K270" s="97"/>
      <c r="L270" s="11"/>
      <c r="M270" s="11"/>
      <c r="N270" s="11"/>
      <c r="O270" s="11"/>
      <c r="P270" s="82"/>
    </row>
    <row r="271" spans="2:16" s="9" customFormat="1" x14ac:dyDescent="0.2">
      <c r="B271" s="10"/>
      <c r="C271" s="11"/>
      <c r="D271" s="63"/>
      <c r="E271" s="11"/>
      <c r="F271" s="65"/>
      <c r="G271" s="12"/>
      <c r="H271" s="41"/>
      <c r="I271" s="30"/>
      <c r="J271" s="30"/>
      <c r="K271" s="97"/>
      <c r="L271" s="11"/>
      <c r="M271" s="11"/>
      <c r="N271" s="11"/>
      <c r="O271" s="11"/>
      <c r="P271" s="82"/>
    </row>
    <row r="272" spans="2:16" s="9" customFormat="1" x14ac:dyDescent="0.2">
      <c r="B272" s="10"/>
      <c r="C272" s="11"/>
      <c r="D272" s="63"/>
      <c r="E272" s="11"/>
      <c r="F272" s="65"/>
      <c r="G272" s="12"/>
      <c r="H272" s="41"/>
      <c r="I272" s="30"/>
      <c r="J272" s="30"/>
      <c r="K272" s="97"/>
      <c r="L272" s="11"/>
      <c r="M272" s="11"/>
      <c r="N272" s="11"/>
      <c r="O272" s="11"/>
      <c r="P272" s="82"/>
    </row>
    <row r="273" spans="2:16" s="9" customFormat="1" x14ac:dyDescent="0.2">
      <c r="B273" s="10"/>
      <c r="C273" s="11"/>
      <c r="D273" s="63"/>
      <c r="E273" s="11"/>
      <c r="F273" s="65"/>
      <c r="G273" s="12"/>
      <c r="H273" s="41"/>
      <c r="I273" s="30"/>
      <c r="J273" s="30"/>
      <c r="K273" s="97"/>
      <c r="L273" s="11"/>
      <c r="M273" s="11"/>
      <c r="N273" s="11"/>
      <c r="O273" s="11"/>
      <c r="P273" s="82"/>
    </row>
    <row r="274" spans="2:16" s="9" customFormat="1" x14ac:dyDescent="0.2">
      <c r="B274" s="10"/>
      <c r="C274" s="11"/>
      <c r="D274" s="63"/>
      <c r="E274" s="11"/>
      <c r="F274" s="65"/>
      <c r="G274" s="12"/>
      <c r="H274" s="41"/>
      <c r="I274" s="30"/>
      <c r="J274" s="30"/>
      <c r="K274" s="97"/>
      <c r="L274" s="11"/>
      <c r="M274" s="11"/>
      <c r="N274" s="11"/>
      <c r="O274" s="11"/>
      <c r="P274" s="82"/>
    </row>
    <row r="275" spans="2:16" s="9" customFormat="1" x14ac:dyDescent="0.2">
      <c r="B275" s="10"/>
      <c r="C275" s="11"/>
      <c r="D275" s="63"/>
      <c r="E275" s="11"/>
      <c r="F275" s="65"/>
      <c r="G275" s="12"/>
      <c r="H275" s="41"/>
      <c r="I275" s="30"/>
      <c r="J275" s="30"/>
      <c r="K275" s="97"/>
      <c r="L275" s="11"/>
      <c r="M275" s="11"/>
      <c r="N275" s="11"/>
      <c r="O275" s="11"/>
      <c r="P275" s="82"/>
    </row>
    <row r="276" spans="2:16" s="9" customFormat="1" x14ac:dyDescent="0.2">
      <c r="B276" s="10"/>
      <c r="C276" s="11"/>
      <c r="D276" s="63"/>
      <c r="E276" s="11"/>
      <c r="F276" s="65"/>
      <c r="G276" s="12"/>
      <c r="H276" s="41"/>
      <c r="I276" s="30"/>
      <c r="J276" s="30"/>
      <c r="K276" s="97"/>
      <c r="L276" s="11"/>
      <c r="M276" s="11"/>
      <c r="N276" s="11"/>
      <c r="O276" s="11"/>
      <c r="P276" s="82"/>
    </row>
    <row r="277" spans="2:16" s="9" customFormat="1" x14ac:dyDescent="0.2">
      <c r="B277" s="10"/>
      <c r="C277" s="11"/>
      <c r="D277" s="63"/>
      <c r="E277" s="11"/>
      <c r="F277" s="65"/>
      <c r="G277" s="12"/>
      <c r="H277" s="41"/>
      <c r="I277" s="30"/>
      <c r="J277" s="30"/>
      <c r="K277" s="97"/>
      <c r="L277" s="11"/>
      <c r="M277" s="11"/>
      <c r="N277" s="11"/>
      <c r="O277" s="11"/>
      <c r="P277" s="82"/>
    </row>
    <row r="278" spans="2:16" s="9" customFormat="1" x14ac:dyDescent="0.2">
      <c r="B278" s="10"/>
      <c r="C278" s="11"/>
      <c r="D278" s="63"/>
      <c r="E278" s="11"/>
      <c r="F278" s="65"/>
      <c r="G278" s="12"/>
      <c r="H278" s="41"/>
      <c r="I278" s="30"/>
      <c r="J278" s="30"/>
      <c r="K278" s="97"/>
      <c r="L278" s="11"/>
      <c r="M278" s="11"/>
      <c r="N278" s="11"/>
      <c r="O278" s="11"/>
      <c r="P278" s="82"/>
    </row>
    <row r="279" spans="2:16" s="9" customFormat="1" x14ac:dyDescent="0.2">
      <c r="B279" s="10"/>
      <c r="C279" s="11"/>
      <c r="D279" s="63"/>
      <c r="E279" s="11"/>
      <c r="F279" s="65"/>
      <c r="G279" s="12"/>
      <c r="H279" s="41"/>
      <c r="I279" s="30"/>
      <c r="J279" s="30"/>
      <c r="K279" s="97"/>
      <c r="L279" s="11"/>
      <c r="M279" s="11"/>
      <c r="N279" s="11"/>
      <c r="O279" s="11"/>
      <c r="P279" s="82"/>
    </row>
    <row r="280" spans="2:16" s="9" customFormat="1" x14ac:dyDescent="0.2">
      <c r="B280" s="10"/>
      <c r="C280" s="11"/>
      <c r="D280" s="63"/>
      <c r="E280" s="11"/>
      <c r="F280" s="65"/>
      <c r="G280" s="12"/>
      <c r="H280" s="41"/>
      <c r="I280" s="30"/>
      <c r="J280" s="30"/>
      <c r="K280" s="97"/>
      <c r="L280" s="11"/>
      <c r="M280" s="11"/>
      <c r="N280" s="11"/>
      <c r="O280" s="11"/>
      <c r="P280" s="82"/>
    </row>
    <row r="281" spans="2:16" s="9" customFormat="1" x14ac:dyDescent="0.2">
      <c r="B281" s="10"/>
      <c r="C281" s="11"/>
      <c r="D281" s="63"/>
      <c r="E281" s="11"/>
      <c r="F281" s="65"/>
      <c r="G281" s="12"/>
      <c r="H281" s="41"/>
      <c r="I281" s="30"/>
      <c r="J281" s="30"/>
      <c r="K281" s="97"/>
      <c r="L281" s="11"/>
      <c r="M281" s="11"/>
      <c r="N281" s="11"/>
      <c r="O281" s="11"/>
      <c r="P281" s="82"/>
    </row>
    <row r="282" spans="2:16" s="9" customFormat="1" x14ac:dyDescent="0.2">
      <c r="B282" s="10"/>
      <c r="C282" s="11"/>
      <c r="D282" s="63"/>
      <c r="E282" s="11"/>
      <c r="F282" s="65"/>
      <c r="G282" s="12"/>
      <c r="H282" s="41"/>
      <c r="I282" s="30"/>
      <c r="J282" s="30"/>
      <c r="K282" s="97"/>
      <c r="L282" s="11"/>
      <c r="M282" s="11"/>
      <c r="N282" s="11"/>
      <c r="O282" s="11"/>
      <c r="P282" s="82"/>
    </row>
    <row r="283" spans="2:16" s="9" customFormat="1" x14ac:dyDescent="0.2">
      <c r="B283" s="10"/>
      <c r="C283" s="11"/>
      <c r="D283" s="63"/>
      <c r="E283" s="11"/>
      <c r="F283" s="65"/>
      <c r="G283" s="12"/>
      <c r="H283" s="41"/>
      <c r="I283" s="30"/>
      <c r="J283" s="30"/>
      <c r="K283" s="97"/>
      <c r="L283" s="11"/>
      <c r="M283" s="11"/>
      <c r="N283" s="11"/>
      <c r="O283" s="11"/>
      <c r="P283" s="82"/>
    </row>
    <row r="284" spans="2:16" s="9" customFormat="1" x14ac:dyDescent="0.2">
      <c r="B284" s="10"/>
      <c r="C284" s="11"/>
      <c r="D284" s="63"/>
      <c r="E284" s="11"/>
      <c r="F284" s="65"/>
      <c r="G284" s="12"/>
      <c r="H284" s="41"/>
      <c r="I284" s="30"/>
      <c r="J284" s="30"/>
      <c r="K284" s="97"/>
      <c r="L284" s="11"/>
      <c r="M284" s="11"/>
      <c r="N284" s="11"/>
      <c r="O284" s="11"/>
      <c r="P284" s="82"/>
    </row>
    <row r="285" spans="2:16" s="9" customFormat="1" x14ac:dyDescent="0.2">
      <c r="B285" s="10"/>
      <c r="C285" s="11"/>
      <c r="D285" s="63"/>
      <c r="E285" s="11"/>
      <c r="F285" s="65"/>
      <c r="G285" s="12"/>
      <c r="H285" s="41"/>
      <c r="I285" s="30"/>
      <c r="J285" s="30"/>
      <c r="K285" s="97"/>
      <c r="L285" s="11"/>
      <c r="M285" s="11"/>
      <c r="N285" s="11"/>
      <c r="O285" s="11"/>
      <c r="P285" s="82"/>
    </row>
    <row r="286" spans="2:16" s="9" customFormat="1" x14ac:dyDescent="0.2">
      <c r="B286" s="10"/>
      <c r="C286" s="11"/>
      <c r="D286" s="63"/>
      <c r="E286" s="11"/>
      <c r="F286" s="65"/>
      <c r="G286" s="12"/>
      <c r="H286" s="41"/>
      <c r="I286" s="30"/>
      <c r="J286" s="30"/>
      <c r="K286" s="97"/>
      <c r="L286" s="11"/>
      <c r="M286" s="11"/>
      <c r="N286" s="11"/>
      <c r="O286" s="11"/>
      <c r="P286" s="82"/>
    </row>
    <row r="287" spans="2:16" s="9" customFormat="1" x14ac:dyDescent="0.2">
      <c r="B287" s="10"/>
      <c r="C287" s="11"/>
      <c r="D287" s="63"/>
      <c r="E287" s="11"/>
      <c r="F287" s="65"/>
      <c r="G287" s="12"/>
      <c r="H287" s="41"/>
      <c r="I287" s="30"/>
      <c r="J287" s="30"/>
      <c r="K287" s="97"/>
      <c r="L287" s="11"/>
      <c r="M287" s="11"/>
      <c r="N287" s="11"/>
      <c r="O287" s="11"/>
      <c r="P287" s="82"/>
    </row>
    <row r="288" spans="2:16" s="9" customFormat="1" x14ac:dyDescent="0.2">
      <c r="B288" s="10"/>
      <c r="C288" s="11"/>
      <c r="D288" s="63"/>
      <c r="E288" s="11"/>
      <c r="F288" s="65"/>
      <c r="G288" s="12"/>
      <c r="H288" s="41"/>
      <c r="I288" s="30"/>
      <c r="J288" s="30"/>
      <c r="K288" s="97"/>
      <c r="L288" s="11"/>
      <c r="M288" s="11"/>
      <c r="N288" s="11"/>
      <c r="O288" s="11"/>
      <c r="P288" s="82"/>
    </row>
    <row r="289" spans="2:16" s="9" customFormat="1" x14ac:dyDescent="0.2">
      <c r="B289" s="10"/>
      <c r="C289" s="11"/>
      <c r="D289" s="63"/>
      <c r="E289" s="11"/>
      <c r="F289" s="65"/>
      <c r="G289" s="12"/>
      <c r="H289" s="41"/>
      <c r="I289" s="30"/>
      <c r="J289" s="30"/>
      <c r="K289" s="97"/>
      <c r="L289" s="11"/>
      <c r="M289" s="11"/>
      <c r="N289" s="11"/>
      <c r="O289" s="11"/>
      <c r="P289" s="82"/>
    </row>
    <row r="290" spans="2:16" s="9" customFormat="1" x14ac:dyDescent="0.2">
      <c r="B290" s="10"/>
      <c r="C290" s="11"/>
      <c r="D290" s="63"/>
      <c r="E290" s="11"/>
      <c r="F290" s="65"/>
      <c r="G290" s="12"/>
      <c r="H290" s="41"/>
      <c r="I290" s="30"/>
      <c r="J290" s="30"/>
      <c r="K290" s="97"/>
      <c r="L290" s="11"/>
      <c r="M290" s="11"/>
      <c r="N290" s="11"/>
      <c r="O290" s="11"/>
      <c r="P290" s="82"/>
    </row>
    <row r="291" spans="2:16" s="9" customFormat="1" x14ac:dyDescent="0.2">
      <c r="B291" s="10"/>
      <c r="C291" s="11"/>
      <c r="D291" s="63"/>
      <c r="E291" s="11"/>
      <c r="F291" s="65"/>
      <c r="G291" s="12"/>
      <c r="H291" s="41"/>
      <c r="I291" s="30"/>
      <c r="J291" s="30"/>
      <c r="K291" s="97"/>
      <c r="L291" s="11"/>
      <c r="M291" s="11"/>
      <c r="N291" s="11"/>
      <c r="O291" s="11"/>
      <c r="P291" s="82"/>
    </row>
    <row r="292" spans="2:16" s="9" customFormat="1" x14ac:dyDescent="0.2">
      <c r="B292" s="10"/>
      <c r="C292" s="11"/>
      <c r="D292" s="63"/>
      <c r="E292" s="11"/>
      <c r="F292" s="65"/>
      <c r="G292" s="12"/>
      <c r="H292" s="41"/>
      <c r="I292" s="30"/>
      <c r="J292" s="30"/>
      <c r="K292" s="97"/>
      <c r="L292" s="11"/>
      <c r="M292" s="11"/>
      <c r="N292" s="11"/>
      <c r="O292" s="11"/>
      <c r="P292" s="82"/>
    </row>
    <row r="293" spans="2:16" s="9" customFormat="1" x14ac:dyDescent="0.2">
      <c r="B293" s="10"/>
      <c r="C293" s="11"/>
      <c r="D293" s="63"/>
      <c r="E293" s="11"/>
      <c r="F293" s="65"/>
      <c r="G293" s="12"/>
      <c r="H293" s="41"/>
      <c r="I293" s="30"/>
      <c r="J293" s="30"/>
      <c r="K293" s="97"/>
      <c r="L293" s="11"/>
      <c r="M293" s="11"/>
      <c r="N293" s="11"/>
      <c r="O293" s="11"/>
      <c r="P293" s="82"/>
    </row>
    <row r="294" spans="2:16" s="9" customFormat="1" x14ac:dyDescent="0.2">
      <c r="B294" s="10"/>
      <c r="C294" s="11"/>
      <c r="D294" s="63"/>
      <c r="E294" s="11"/>
      <c r="F294" s="65"/>
      <c r="G294" s="12"/>
      <c r="H294" s="41"/>
      <c r="I294" s="30"/>
      <c r="J294" s="30"/>
      <c r="K294" s="97"/>
      <c r="L294" s="11"/>
      <c r="M294" s="11"/>
      <c r="N294" s="11"/>
      <c r="O294" s="11"/>
      <c r="P294" s="82"/>
    </row>
    <row r="295" spans="2:16" s="9" customFormat="1" x14ac:dyDescent="0.2">
      <c r="B295" s="10"/>
      <c r="C295" s="11"/>
      <c r="D295" s="63"/>
      <c r="E295" s="11"/>
      <c r="F295" s="65"/>
      <c r="G295" s="12"/>
      <c r="H295" s="41"/>
      <c r="I295" s="30"/>
      <c r="J295" s="30"/>
      <c r="K295" s="97"/>
      <c r="L295" s="11"/>
      <c r="M295" s="11"/>
      <c r="N295" s="11"/>
      <c r="O295" s="11"/>
      <c r="P295" s="82"/>
    </row>
    <row r="296" spans="2:16" s="9" customFormat="1" x14ac:dyDescent="0.2">
      <c r="B296" s="10"/>
      <c r="C296" s="11"/>
      <c r="D296" s="63"/>
      <c r="E296" s="11"/>
      <c r="F296" s="65"/>
      <c r="G296" s="12"/>
      <c r="H296" s="41"/>
      <c r="I296" s="30"/>
      <c r="J296" s="30"/>
      <c r="K296" s="97"/>
      <c r="L296" s="11"/>
      <c r="M296" s="11"/>
      <c r="N296" s="11"/>
      <c r="O296" s="11"/>
      <c r="P296" s="82"/>
    </row>
    <row r="297" spans="2:16" s="9" customFormat="1" x14ac:dyDescent="0.2">
      <c r="B297" s="10"/>
      <c r="C297" s="11"/>
      <c r="D297" s="63"/>
      <c r="E297" s="11"/>
      <c r="F297" s="65"/>
      <c r="G297" s="12"/>
      <c r="H297" s="41"/>
      <c r="I297" s="30"/>
      <c r="J297" s="30"/>
      <c r="K297" s="97"/>
      <c r="L297" s="11"/>
      <c r="M297" s="11"/>
      <c r="N297" s="11"/>
      <c r="O297" s="11"/>
      <c r="P297" s="82"/>
    </row>
    <row r="298" spans="2:16" s="9" customFormat="1" x14ac:dyDescent="0.2">
      <c r="B298" s="10"/>
      <c r="C298" s="11"/>
      <c r="D298" s="63"/>
      <c r="E298" s="11"/>
      <c r="F298" s="65"/>
      <c r="G298" s="12"/>
      <c r="H298" s="41"/>
      <c r="I298" s="30"/>
      <c r="J298" s="30"/>
      <c r="K298" s="97"/>
      <c r="L298" s="11"/>
      <c r="M298" s="11"/>
      <c r="N298" s="11"/>
      <c r="O298" s="11"/>
      <c r="P298" s="82"/>
    </row>
    <row r="299" spans="2:16" s="9" customFormat="1" x14ac:dyDescent="0.2">
      <c r="B299" s="10"/>
      <c r="C299" s="11"/>
      <c r="D299" s="63"/>
      <c r="E299" s="11"/>
      <c r="F299" s="65"/>
      <c r="G299" s="12"/>
      <c r="H299" s="41"/>
      <c r="I299" s="30"/>
      <c r="J299" s="30"/>
      <c r="K299" s="97"/>
      <c r="L299" s="11"/>
      <c r="M299" s="11"/>
      <c r="N299" s="11"/>
      <c r="O299" s="11"/>
      <c r="P299" s="82"/>
    </row>
    <row r="300" spans="2:16" s="9" customFormat="1" x14ac:dyDescent="0.2">
      <c r="B300" s="10"/>
      <c r="C300" s="11"/>
      <c r="D300" s="63"/>
      <c r="E300" s="11"/>
      <c r="F300" s="65"/>
      <c r="G300" s="12"/>
      <c r="H300" s="41"/>
      <c r="I300" s="30"/>
      <c r="J300" s="30"/>
      <c r="K300" s="97"/>
      <c r="L300" s="11"/>
      <c r="M300" s="11"/>
      <c r="N300" s="11"/>
      <c r="O300" s="11"/>
      <c r="P300" s="82"/>
    </row>
    <row r="301" spans="2:16" s="9" customFormat="1" x14ac:dyDescent="0.2">
      <c r="B301" s="10"/>
      <c r="C301" s="11"/>
      <c r="D301" s="63"/>
      <c r="E301" s="11"/>
      <c r="F301" s="65"/>
      <c r="G301" s="12"/>
      <c r="H301" s="41"/>
      <c r="I301" s="30"/>
      <c r="J301" s="30"/>
      <c r="K301" s="97"/>
      <c r="L301" s="11"/>
      <c r="M301" s="11"/>
      <c r="N301" s="11"/>
      <c r="O301" s="11"/>
      <c r="P301" s="82"/>
    </row>
    <row r="302" spans="2:16" s="9" customFormat="1" x14ac:dyDescent="0.2">
      <c r="B302" s="10"/>
      <c r="C302" s="11"/>
      <c r="D302" s="63"/>
      <c r="E302" s="11"/>
      <c r="F302" s="65"/>
      <c r="G302" s="12"/>
      <c r="H302" s="41"/>
      <c r="I302" s="30"/>
      <c r="J302" s="30"/>
      <c r="K302" s="97"/>
      <c r="L302" s="11"/>
      <c r="M302" s="11"/>
      <c r="N302" s="11"/>
      <c r="O302" s="11"/>
      <c r="P302" s="82"/>
    </row>
    <row r="303" spans="2:16" s="9" customFormat="1" x14ac:dyDescent="0.2">
      <c r="B303" s="10"/>
      <c r="C303" s="11"/>
      <c r="D303" s="63"/>
      <c r="E303" s="11"/>
      <c r="F303" s="65"/>
      <c r="G303" s="12"/>
      <c r="H303" s="41"/>
      <c r="I303" s="30"/>
      <c r="J303" s="30"/>
      <c r="K303" s="97"/>
      <c r="L303" s="11"/>
      <c r="M303" s="11"/>
      <c r="N303" s="11"/>
      <c r="O303" s="11"/>
      <c r="P303" s="82"/>
    </row>
    <row r="304" spans="2:16" s="9" customFormat="1" x14ac:dyDescent="0.2">
      <c r="B304" s="10"/>
      <c r="C304" s="11"/>
      <c r="D304" s="63"/>
      <c r="E304" s="11"/>
      <c r="F304" s="65"/>
      <c r="G304" s="12"/>
      <c r="H304" s="41"/>
      <c r="I304" s="30"/>
      <c r="J304" s="30"/>
      <c r="K304" s="97"/>
      <c r="L304" s="11"/>
      <c r="M304" s="11"/>
      <c r="N304" s="11"/>
      <c r="O304" s="11"/>
      <c r="P304" s="82"/>
    </row>
    <row r="305" spans="2:16" s="9" customFormat="1" x14ac:dyDescent="0.2">
      <c r="B305" s="10"/>
      <c r="C305" s="11"/>
      <c r="D305" s="63"/>
      <c r="E305" s="11"/>
      <c r="F305" s="65"/>
      <c r="G305" s="12"/>
      <c r="H305" s="41"/>
      <c r="I305" s="30"/>
      <c r="J305" s="30"/>
      <c r="K305" s="97"/>
      <c r="L305" s="11"/>
      <c r="M305" s="11"/>
      <c r="N305" s="11"/>
      <c r="O305" s="11"/>
      <c r="P305" s="82"/>
    </row>
    <row r="306" spans="2:16" s="9" customFormat="1" x14ac:dyDescent="0.2">
      <c r="B306" s="10"/>
      <c r="C306" s="11"/>
      <c r="D306" s="63"/>
      <c r="E306" s="11"/>
      <c r="F306" s="65"/>
      <c r="G306" s="12"/>
      <c r="H306" s="41"/>
      <c r="I306" s="30"/>
      <c r="J306" s="30"/>
      <c r="K306" s="97"/>
      <c r="L306" s="11"/>
      <c r="M306" s="11"/>
      <c r="N306" s="11"/>
      <c r="O306" s="11"/>
      <c r="P306" s="82"/>
    </row>
    <row r="307" spans="2:16" s="9" customFormat="1" x14ac:dyDescent="0.2">
      <c r="B307" s="10"/>
      <c r="C307" s="11"/>
      <c r="D307" s="63"/>
      <c r="E307" s="11"/>
      <c r="F307" s="65"/>
      <c r="G307" s="12"/>
      <c r="H307" s="41"/>
      <c r="I307" s="30"/>
      <c r="J307" s="30"/>
      <c r="K307" s="97"/>
      <c r="L307" s="11"/>
      <c r="M307" s="11"/>
      <c r="N307" s="11"/>
      <c r="O307" s="11"/>
      <c r="P307" s="82"/>
    </row>
    <row r="308" spans="2:16" s="9" customFormat="1" x14ac:dyDescent="0.2">
      <c r="B308" s="10"/>
      <c r="C308" s="11"/>
      <c r="D308" s="63"/>
      <c r="E308" s="11"/>
      <c r="F308" s="65"/>
      <c r="G308" s="12"/>
      <c r="H308" s="41"/>
      <c r="I308" s="30"/>
      <c r="J308" s="30"/>
      <c r="K308" s="97"/>
      <c r="L308" s="11"/>
      <c r="M308" s="11"/>
      <c r="N308" s="11"/>
      <c r="O308" s="11"/>
      <c r="P308" s="82"/>
    </row>
    <row r="309" spans="2:16" s="9" customFormat="1" x14ac:dyDescent="0.2">
      <c r="B309" s="10"/>
      <c r="C309" s="11"/>
      <c r="D309" s="63"/>
      <c r="E309" s="11"/>
      <c r="F309" s="65"/>
      <c r="G309" s="12"/>
      <c r="H309" s="41"/>
      <c r="I309" s="30"/>
      <c r="J309" s="30"/>
      <c r="K309" s="97"/>
      <c r="L309" s="11"/>
      <c r="M309" s="11"/>
      <c r="N309" s="11"/>
      <c r="O309" s="11"/>
      <c r="P309" s="82"/>
    </row>
    <row r="310" spans="2:16" s="9" customFormat="1" x14ac:dyDescent="0.2">
      <c r="B310" s="10"/>
      <c r="C310" s="11"/>
      <c r="D310" s="63"/>
      <c r="E310" s="11"/>
      <c r="F310" s="65"/>
      <c r="G310" s="12"/>
      <c r="H310" s="41"/>
      <c r="I310" s="30"/>
      <c r="J310" s="30"/>
      <c r="K310" s="97"/>
      <c r="L310" s="11"/>
      <c r="M310" s="11"/>
      <c r="N310" s="11"/>
      <c r="O310" s="11"/>
      <c r="P310" s="82"/>
    </row>
    <row r="311" spans="2:16" s="9" customFormat="1" x14ac:dyDescent="0.2">
      <c r="B311" s="10"/>
      <c r="C311" s="11"/>
      <c r="D311" s="63"/>
      <c r="E311" s="11"/>
      <c r="F311" s="65"/>
      <c r="G311" s="12"/>
      <c r="H311" s="41"/>
      <c r="I311" s="30"/>
      <c r="J311" s="30"/>
      <c r="K311" s="97"/>
      <c r="L311" s="11"/>
      <c r="M311" s="11"/>
      <c r="N311" s="11"/>
      <c r="O311" s="11"/>
      <c r="P311" s="82"/>
    </row>
    <row r="312" spans="2:16" s="9" customFormat="1" x14ac:dyDescent="0.2">
      <c r="B312" s="10"/>
      <c r="C312" s="11"/>
      <c r="D312" s="63"/>
      <c r="E312" s="11"/>
      <c r="F312" s="65"/>
      <c r="G312" s="12"/>
      <c r="H312" s="41"/>
      <c r="I312" s="30"/>
      <c r="J312" s="30"/>
      <c r="K312" s="97"/>
      <c r="L312" s="11"/>
      <c r="M312" s="11"/>
      <c r="N312" s="11"/>
      <c r="O312" s="11"/>
      <c r="P312" s="82"/>
    </row>
    <row r="313" spans="2:16" s="9" customFormat="1" x14ac:dyDescent="0.2">
      <c r="B313" s="10"/>
      <c r="C313" s="11"/>
      <c r="D313" s="63"/>
      <c r="E313" s="11"/>
      <c r="F313" s="65"/>
      <c r="G313" s="12"/>
      <c r="H313" s="41"/>
      <c r="I313" s="30"/>
      <c r="J313" s="30"/>
      <c r="K313" s="97"/>
      <c r="L313" s="11"/>
      <c r="M313" s="11"/>
      <c r="N313" s="11"/>
      <c r="O313" s="11"/>
      <c r="P313" s="82"/>
    </row>
    <row r="314" spans="2:16" s="9" customFormat="1" x14ac:dyDescent="0.2">
      <c r="B314" s="10"/>
      <c r="C314" s="11"/>
      <c r="D314" s="63"/>
      <c r="E314" s="11"/>
      <c r="F314" s="65"/>
      <c r="G314" s="12"/>
      <c r="H314" s="41"/>
      <c r="I314" s="30"/>
      <c r="J314" s="30"/>
      <c r="K314" s="97"/>
      <c r="L314" s="11"/>
      <c r="M314" s="11"/>
      <c r="N314" s="11"/>
      <c r="O314" s="11"/>
      <c r="P314" s="82"/>
    </row>
    <row r="315" spans="2:16" s="9" customFormat="1" x14ac:dyDescent="0.2">
      <c r="B315" s="10"/>
      <c r="C315" s="11"/>
      <c r="D315" s="63"/>
      <c r="E315" s="11"/>
      <c r="F315" s="65"/>
      <c r="G315" s="12"/>
      <c r="H315" s="41"/>
      <c r="I315" s="30"/>
      <c r="J315" s="30"/>
      <c r="K315" s="97"/>
      <c r="L315" s="11"/>
      <c r="M315" s="11"/>
      <c r="N315" s="11"/>
      <c r="O315" s="11"/>
      <c r="P315" s="82"/>
    </row>
    <row r="316" spans="2:16" s="9" customFormat="1" x14ac:dyDescent="0.2">
      <c r="B316" s="10"/>
      <c r="C316" s="11"/>
      <c r="D316" s="63"/>
      <c r="E316" s="11"/>
      <c r="F316" s="65"/>
      <c r="G316" s="12"/>
      <c r="H316" s="41"/>
      <c r="I316" s="30"/>
      <c r="J316" s="30"/>
      <c r="K316" s="97"/>
      <c r="L316" s="11"/>
      <c r="M316" s="11"/>
      <c r="N316" s="11"/>
      <c r="O316" s="11"/>
      <c r="P316" s="82"/>
    </row>
    <row r="317" spans="2:16" s="9" customFormat="1" x14ac:dyDescent="0.2">
      <c r="B317" s="10"/>
      <c r="C317" s="11"/>
      <c r="D317" s="63"/>
      <c r="E317" s="11"/>
      <c r="F317" s="65"/>
      <c r="G317" s="12"/>
      <c r="H317" s="41"/>
      <c r="I317" s="30"/>
      <c r="J317" s="30"/>
      <c r="K317" s="97"/>
      <c r="L317" s="11"/>
      <c r="M317" s="11"/>
      <c r="N317" s="11"/>
      <c r="O317" s="11"/>
      <c r="P317" s="82"/>
    </row>
    <row r="318" spans="2:16" s="9" customFormat="1" x14ac:dyDescent="0.2">
      <c r="B318" s="10"/>
      <c r="C318" s="11"/>
      <c r="D318" s="63"/>
      <c r="E318" s="11"/>
      <c r="F318" s="65"/>
      <c r="G318" s="12"/>
      <c r="H318" s="41"/>
      <c r="I318" s="30"/>
      <c r="J318" s="30"/>
      <c r="K318" s="97"/>
      <c r="L318" s="11"/>
      <c r="M318" s="11"/>
      <c r="N318" s="11"/>
      <c r="O318" s="11"/>
      <c r="P318" s="82"/>
    </row>
    <row r="319" spans="2:16" s="9" customFormat="1" x14ac:dyDescent="0.2">
      <c r="B319" s="10"/>
      <c r="C319" s="11"/>
      <c r="D319" s="63"/>
      <c r="E319" s="11"/>
      <c r="F319" s="65"/>
      <c r="G319" s="12"/>
      <c r="H319" s="41"/>
      <c r="I319" s="30"/>
      <c r="J319" s="30"/>
      <c r="K319" s="97"/>
      <c r="L319" s="11"/>
      <c r="M319" s="11"/>
      <c r="N319" s="11"/>
      <c r="O319" s="11"/>
      <c r="P319" s="82"/>
    </row>
    <row r="320" spans="2:16" s="9" customFormat="1" x14ac:dyDescent="0.2">
      <c r="B320" s="10"/>
      <c r="C320" s="11"/>
      <c r="D320" s="63"/>
      <c r="E320" s="11"/>
      <c r="F320" s="65"/>
      <c r="G320" s="12"/>
      <c r="H320" s="41"/>
      <c r="I320" s="30"/>
      <c r="J320" s="30"/>
      <c r="K320" s="97"/>
      <c r="L320" s="11"/>
      <c r="M320" s="11"/>
      <c r="N320" s="11"/>
      <c r="O320" s="11"/>
      <c r="P320" s="82"/>
    </row>
    <row r="321" spans="2:16" s="9" customFormat="1" x14ac:dyDescent="0.2">
      <c r="B321" s="10"/>
      <c r="C321" s="11"/>
      <c r="D321" s="63"/>
      <c r="E321" s="11"/>
      <c r="F321" s="65"/>
      <c r="G321" s="12"/>
      <c r="H321" s="41"/>
      <c r="I321" s="30"/>
      <c r="J321" s="30"/>
      <c r="K321" s="97"/>
      <c r="L321" s="11"/>
      <c r="M321" s="11"/>
      <c r="N321" s="11"/>
      <c r="O321" s="11"/>
      <c r="P321" s="82"/>
    </row>
    <row r="322" spans="2:16" s="9" customFormat="1" x14ac:dyDescent="0.2">
      <c r="B322" s="10"/>
      <c r="C322" s="11"/>
      <c r="D322" s="63"/>
      <c r="E322" s="11"/>
      <c r="F322" s="65"/>
      <c r="G322" s="12"/>
      <c r="H322" s="41"/>
      <c r="I322" s="30"/>
      <c r="J322" s="30"/>
      <c r="K322" s="97"/>
      <c r="L322" s="11"/>
      <c r="M322" s="11"/>
      <c r="N322" s="11"/>
      <c r="O322" s="11"/>
      <c r="P322" s="82"/>
    </row>
    <row r="323" spans="2:16" s="9" customFormat="1" x14ac:dyDescent="0.2">
      <c r="B323" s="10"/>
      <c r="C323" s="11"/>
      <c r="D323" s="63"/>
      <c r="E323" s="11"/>
      <c r="F323" s="65"/>
      <c r="G323" s="12"/>
      <c r="H323" s="41"/>
      <c r="I323" s="30"/>
      <c r="J323" s="30"/>
      <c r="K323" s="97"/>
      <c r="L323" s="11"/>
      <c r="M323" s="11"/>
      <c r="N323" s="11"/>
      <c r="O323" s="11"/>
      <c r="P323" s="82"/>
    </row>
    <row r="324" spans="2:16" s="9" customFormat="1" x14ac:dyDescent="0.2">
      <c r="B324" s="10"/>
      <c r="C324" s="11"/>
      <c r="D324" s="63"/>
      <c r="E324" s="11"/>
      <c r="F324" s="65"/>
      <c r="G324" s="12"/>
      <c r="H324" s="41"/>
      <c r="I324" s="30"/>
      <c r="J324" s="30"/>
      <c r="K324" s="97"/>
      <c r="L324" s="11"/>
      <c r="M324" s="11"/>
      <c r="N324" s="11"/>
      <c r="O324" s="11"/>
      <c r="P324" s="82"/>
    </row>
    <row r="325" spans="2:16" s="9" customFormat="1" x14ac:dyDescent="0.2">
      <c r="B325" s="10"/>
      <c r="C325" s="11"/>
      <c r="D325" s="63"/>
      <c r="E325" s="11"/>
      <c r="F325" s="65"/>
      <c r="G325" s="12"/>
      <c r="H325" s="41"/>
      <c r="I325" s="30"/>
      <c r="J325" s="30"/>
      <c r="K325" s="97"/>
      <c r="L325" s="11"/>
      <c r="M325" s="11"/>
      <c r="N325" s="11"/>
      <c r="O325" s="11"/>
      <c r="P325" s="82"/>
    </row>
    <row r="326" spans="2:16" s="9" customFormat="1" x14ac:dyDescent="0.2">
      <c r="B326" s="10"/>
      <c r="C326" s="11"/>
      <c r="D326" s="63"/>
      <c r="E326" s="11"/>
      <c r="F326" s="65"/>
      <c r="G326" s="12"/>
      <c r="H326" s="41"/>
      <c r="I326" s="30"/>
      <c r="J326" s="30"/>
      <c r="K326" s="97"/>
      <c r="L326" s="11"/>
      <c r="M326" s="11"/>
      <c r="N326" s="11"/>
      <c r="O326" s="11"/>
      <c r="P326" s="82"/>
    </row>
    <row r="327" spans="2:16" s="9" customFormat="1" x14ac:dyDescent="0.2">
      <c r="B327" s="10"/>
      <c r="C327" s="11"/>
      <c r="D327" s="63"/>
      <c r="E327" s="11"/>
      <c r="F327" s="65"/>
      <c r="G327" s="12"/>
      <c r="H327" s="41"/>
      <c r="I327" s="30"/>
      <c r="J327" s="30"/>
      <c r="K327" s="97"/>
      <c r="L327" s="11"/>
      <c r="M327" s="11"/>
      <c r="N327" s="11"/>
      <c r="O327" s="11"/>
      <c r="P327" s="82"/>
    </row>
    <row r="328" spans="2:16" s="9" customFormat="1" x14ac:dyDescent="0.2">
      <c r="B328" s="10"/>
      <c r="C328" s="11"/>
      <c r="D328" s="63"/>
      <c r="E328" s="11"/>
      <c r="F328" s="65"/>
      <c r="G328" s="12"/>
      <c r="H328" s="41"/>
      <c r="I328" s="30"/>
      <c r="J328" s="30"/>
      <c r="K328" s="97"/>
      <c r="L328" s="11"/>
      <c r="M328" s="11"/>
      <c r="N328" s="11"/>
      <c r="O328" s="11"/>
      <c r="P328" s="82"/>
    </row>
    <row r="329" spans="2:16" s="9" customFormat="1" x14ac:dyDescent="0.2">
      <c r="B329" s="10"/>
      <c r="C329" s="11"/>
      <c r="D329" s="63"/>
      <c r="E329" s="11"/>
      <c r="F329" s="65"/>
      <c r="G329" s="12"/>
      <c r="H329" s="41"/>
      <c r="I329" s="30"/>
      <c r="J329" s="30"/>
      <c r="K329" s="97"/>
      <c r="L329" s="11"/>
      <c r="M329" s="11"/>
      <c r="N329" s="11"/>
      <c r="O329" s="11"/>
      <c r="P329" s="82"/>
    </row>
    <row r="330" spans="2:16" s="9" customFormat="1" x14ac:dyDescent="0.2">
      <c r="B330" s="10"/>
      <c r="C330" s="11"/>
      <c r="D330" s="63"/>
      <c r="E330" s="11"/>
      <c r="F330" s="65"/>
      <c r="G330" s="12"/>
      <c r="H330" s="41"/>
      <c r="I330" s="30"/>
      <c r="J330" s="30"/>
      <c r="K330" s="97"/>
      <c r="L330" s="11"/>
      <c r="M330" s="11"/>
      <c r="N330" s="11"/>
      <c r="O330" s="11"/>
      <c r="P330" s="82"/>
    </row>
    <row r="331" spans="2:16" s="9" customFormat="1" x14ac:dyDescent="0.2">
      <c r="B331" s="10"/>
      <c r="C331" s="11"/>
      <c r="D331" s="63"/>
      <c r="E331" s="11"/>
      <c r="F331" s="65"/>
      <c r="G331" s="12"/>
      <c r="H331" s="41"/>
      <c r="I331" s="30"/>
      <c r="J331" s="30"/>
      <c r="K331" s="97"/>
      <c r="L331" s="11"/>
      <c r="M331" s="11"/>
      <c r="N331" s="11"/>
      <c r="O331" s="11"/>
      <c r="P331" s="82"/>
    </row>
    <row r="332" spans="2:16" s="9" customFormat="1" x14ac:dyDescent="0.2">
      <c r="B332" s="10"/>
      <c r="C332" s="11"/>
      <c r="D332" s="63"/>
      <c r="E332" s="11"/>
      <c r="F332" s="65"/>
      <c r="G332" s="12"/>
      <c r="H332" s="41"/>
      <c r="I332" s="30"/>
      <c r="J332" s="30"/>
      <c r="K332" s="97"/>
      <c r="L332" s="11"/>
      <c r="M332" s="11"/>
      <c r="N332" s="11"/>
      <c r="O332" s="11"/>
      <c r="P332" s="82"/>
    </row>
    <row r="333" spans="2:16" s="9" customFormat="1" x14ac:dyDescent="0.2">
      <c r="B333" s="10"/>
      <c r="C333" s="11"/>
      <c r="D333" s="63"/>
      <c r="E333" s="11"/>
      <c r="F333" s="65"/>
      <c r="G333" s="12"/>
      <c r="H333" s="41"/>
      <c r="I333" s="30"/>
      <c r="J333" s="30"/>
      <c r="K333" s="97"/>
      <c r="L333" s="11"/>
      <c r="M333" s="11"/>
      <c r="N333" s="11"/>
      <c r="O333" s="11"/>
      <c r="P333" s="82"/>
    </row>
    <row r="334" spans="2:16" s="9" customFormat="1" x14ac:dyDescent="0.2">
      <c r="B334" s="10"/>
      <c r="C334" s="11"/>
      <c r="D334" s="63"/>
      <c r="E334" s="11"/>
      <c r="F334" s="65"/>
      <c r="G334" s="12"/>
      <c r="H334" s="41"/>
      <c r="I334" s="30"/>
      <c r="J334" s="30"/>
      <c r="K334" s="97"/>
      <c r="L334" s="11"/>
      <c r="M334" s="11"/>
      <c r="N334" s="11"/>
      <c r="O334" s="11"/>
      <c r="P334" s="82"/>
    </row>
    <row r="335" spans="2:16" s="9" customFormat="1" x14ac:dyDescent="0.2">
      <c r="B335" s="10"/>
      <c r="C335" s="11"/>
      <c r="D335" s="63"/>
      <c r="E335" s="11"/>
      <c r="F335" s="65"/>
      <c r="G335" s="12"/>
      <c r="H335" s="41"/>
      <c r="I335" s="30"/>
      <c r="J335" s="30"/>
      <c r="K335" s="97"/>
      <c r="L335" s="11"/>
      <c r="M335" s="11"/>
      <c r="N335" s="11"/>
      <c r="O335" s="11"/>
      <c r="P335" s="82"/>
    </row>
    <row r="336" spans="2:16" s="9" customFormat="1" x14ac:dyDescent="0.2">
      <c r="B336" s="10"/>
      <c r="C336" s="11"/>
      <c r="D336" s="63"/>
      <c r="E336" s="11"/>
      <c r="F336" s="65"/>
      <c r="G336" s="12"/>
      <c r="H336" s="41"/>
      <c r="I336" s="30"/>
      <c r="J336" s="30"/>
      <c r="K336" s="97"/>
      <c r="L336" s="11"/>
      <c r="M336" s="11"/>
      <c r="N336" s="11"/>
      <c r="O336" s="11"/>
      <c r="P336" s="82"/>
    </row>
    <row r="337" spans="2:16" s="9" customFormat="1" x14ac:dyDescent="0.2">
      <c r="B337" s="10"/>
      <c r="C337" s="11"/>
      <c r="D337" s="63"/>
      <c r="E337" s="11"/>
      <c r="F337" s="65"/>
      <c r="G337" s="12"/>
      <c r="H337" s="41"/>
      <c r="I337" s="30"/>
      <c r="J337" s="30"/>
      <c r="K337" s="97"/>
      <c r="L337" s="11"/>
      <c r="M337" s="11"/>
      <c r="N337" s="11"/>
      <c r="O337" s="11"/>
      <c r="P337" s="82"/>
    </row>
    <row r="338" spans="2:16" s="9" customFormat="1" x14ac:dyDescent="0.2">
      <c r="B338" s="10"/>
      <c r="C338" s="11"/>
      <c r="D338" s="63"/>
      <c r="E338" s="11"/>
      <c r="F338" s="65"/>
      <c r="G338" s="12"/>
      <c r="H338" s="41"/>
      <c r="I338" s="30"/>
      <c r="J338" s="30"/>
      <c r="K338" s="97"/>
      <c r="L338" s="11"/>
      <c r="M338" s="11"/>
      <c r="N338" s="11"/>
      <c r="O338" s="11"/>
      <c r="P338" s="82"/>
    </row>
    <row r="339" spans="2:16" s="9" customFormat="1" x14ac:dyDescent="0.2">
      <c r="B339" s="10"/>
      <c r="C339" s="11"/>
      <c r="D339" s="63"/>
      <c r="E339" s="11"/>
      <c r="F339" s="65"/>
      <c r="G339" s="12"/>
      <c r="H339" s="41"/>
      <c r="I339" s="30"/>
      <c r="J339" s="30"/>
      <c r="K339" s="97"/>
      <c r="L339" s="11"/>
      <c r="M339" s="11"/>
      <c r="N339" s="11"/>
      <c r="O339" s="11"/>
      <c r="P339" s="82"/>
    </row>
    <row r="340" spans="2:16" s="9" customFormat="1" x14ac:dyDescent="0.2">
      <c r="B340" s="10"/>
      <c r="C340" s="11"/>
      <c r="D340" s="63"/>
      <c r="E340" s="11"/>
      <c r="F340" s="65"/>
      <c r="G340" s="12"/>
      <c r="H340" s="41"/>
      <c r="I340" s="30"/>
      <c r="J340" s="30"/>
      <c r="K340" s="97"/>
      <c r="L340" s="11"/>
      <c r="M340" s="11"/>
      <c r="N340" s="11"/>
      <c r="O340" s="11"/>
      <c r="P340" s="82"/>
    </row>
    <row r="341" spans="2:16" s="9" customFormat="1" x14ac:dyDescent="0.2">
      <c r="B341" s="10"/>
      <c r="C341" s="11"/>
      <c r="D341" s="63"/>
      <c r="E341" s="11"/>
      <c r="F341" s="65"/>
      <c r="G341" s="12"/>
      <c r="H341" s="41"/>
      <c r="I341" s="30"/>
      <c r="J341" s="30"/>
      <c r="K341" s="97"/>
      <c r="L341" s="11"/>
      <c r="M341" s="11"/>
      <c r="N341" s="11"/>
      <c r="O341" s="11"/>
      <c r="P341" s="82"/>
    </row>
    <row r="342" spans="2:16" s="9" customFormat="1" x14ac:dyDescent="0.2">
      <c r="B342" s="10"/>
      <c r="C342" s="11"/>
      <c r="D342" s="63"/>
      <c r="E342" s="11"/>
      <c r="F342" s="65"/>
      <c r="G342" s="12"/>
      <c r="H342" s="41"/>
      <c r="I342" s="30"/>
      <c r="J342" s="30"/>
      <c r="K342" s="97"/>
      <c r="L342" s="11"/>
      <c r="M342" s="11"/>
      <c r="N342" s="11"/>
      <c r="O342" s="11"/>
      <c r="P342" s="82"/>
    </row>
    <row r="343" spans="2:16" s="9" customFormat="1" x14ac:dyDescent="0.2">
      <c r="B343" s="10"/>
      <c r="C343" s="11"/>
      <c r="D343" s="63"/>
      <c r="E343" s="11"/>
      <c r="F343" s="65"/>
      <c r="G343" s="12"/>
      <c r="H343" s="41"/>
      <c r="I343" s="30"/>
      <c r="J343" s="30"/>
      <c r="K343" s="97"/>
      <c r="L343" s="11"/>
      <c r="M343" s="11"/>
      <c r="N343" s="11"/>
      <c r="O343" s="11"/>
      <c r="P343" s="82"/>
    </row>
    <row r="344" spans="2:16" s="9" customFormat="1" x14ac:dyDescent="0.2">
      <c r="B344" s="10"/>
      <c r="C344" s="11"/>
      <c r="D344" s="63"/>
      <c r="E344" s="11"/>
      <c r="F344" s="65"/>
      <c r="G344" s="12"/>
      <c r="H344" s="41"/>
      <c r="I344" s="30"/>
      <c r="J344" s="30"/>
      <c r="K344" s="97"/>
      <c r="L344" s="11"/>
      <c r="M344" s="11"/>
      <c r="N344" s="11"/>
      <c r="O344" s="11"/>
      <c r="P344" s="82"/>
    </row>
    <row r="345" spans="2:16" s="9" customFormat="1" x14ac:dyDescent="0.2">
      <c r="B345" s="10"/>
      <c r="C345" s="11"/>
      <c r="D345" s="63"/>
      <c r="E345" s="11"/>
      <c r="F345" s="65"/>
      <c r="G345" s="12"/>
      <c r="H345" s="41"/>
      <c r="I345" s="30"/>
      <c r="J345" s="30"/>
      <c r="K345" s="97"/>
      <c r="L345" s="11"/>
      <c r="M345" s="11"/>
      <c r="N345" s="11"/>
      <c r="O345" s="11"/>
      <c r="P345" s="82"/>
    </row>
    <row r="346" spans="2:16" s="9" customFormat="1" x14ac:dyDescent="0.2">
      <c r="B346" s="10"/>
      <c r="C346" s="11"/>
      <c r="D346" s="63"/>
      <c r="E346" s="11"/>
      <c r="F346" s="65"/>
      <c r="G346" s="12"/>
      <c r="H346" s="41"/>
      <c r="I346" s="30"/>
      <c r="J346" s="30"/>
      <c r="K346" s="97"/>
      <c r="L346" s="11"/>
      <c r="M346" s="11"/>
      <c r="N346" s="11"/>
      <c r="O346" s="11"/>
      <c r="P346" s="82"/>
    </row>
    <row r="347" spans="2:16" s="9" customFormat="1" x14ac:dyDescent="0.2">
      <c r="B347" s="10"/>
      <c r="C347" s="11"/>
      <c r="D347" s="63"/>
      <c r="E347" s="11"/>
      <c r="F347" s="65"/>
      <c r="G347" s="12"/>
      <c r="H347" s="41"/>
      <c r="I347" s="30"/>
      <c r="J347" s="30"/>
      <c r="K347" s="97"/>
      <c r="L347" s="11"/>
      <c r="M347" s="11"/>
      <c r="N347" s="11"/>
      <c r="O347" s="11"/>
      <c r="P347" s="82"/>
    </row>
    <row r="348" spans="2:16" s="9" customFormat="1" x14ac:dyDescent="0.2">
      <c r="B348" s="10"/>
      <c r="C348" s="11"/>
      <c r="D348" s="63"/>
      <c r="E348" s="11"/>
      <c r="F348" s="65"/>
      <c r="G348" s="12"/>
      <c r="H348" s="41"/>
      <c r="I348" s="30"/>
      <c r="J348" s="30"/>
      <c r="K348" s="97"/>
      <c r="L348" s="11"/>
      <c r="M348" s="11"/>
      <c r="N348" s="11"/>
      <c r="O348" s="11"/>
      <c r="P348" s="82"/>
    </row>
    <row r="349" spans="2:16" s="9" customFormat="1" x14ac:dyDescent="0.2">
      <c r="B349" s="10"/>
      <c r="C349" s="11"/>
      <c r="D349" s="63"/>
      <c r="E349" s="11"/>
      <c r="F349" s="65"/>
      <c r="G349" s="12"/>
      <c r="H349" s="41"/>
      <c r="I349" s="30"/>
      <c r="J349" s="30"/>
      <c r="K349" s="97"/>
      <c r="L349" s="11"/>
      <c r="M349" s="11"/>
      <c r="N349" s="11"/>
      <c r="O349" s="11"/>
      <c r="P349" s="82"/>
    </row>
    <row r="350" spans="2:16" s="9" customFormat="1" x14ac:dyDescent="0.2">
      <c r="B350" s="10"/>
      <c r="C350" s="11"/>
      <c r="D350" s="63"/>
      <c r="E350" s="11"/>
      <c r="F350" s="65"/>
      <c r="G350" s="12"/>
      <c r="H350" s="41"/>
      <c r="I350" s="30"/>
      <c r="J350" s="30"/>
      <c r="K350" s="97"/>
      <c r="L350" s="11"/>
      <c r="M350" s="11"/>
      <c r="N350" s="11"/>
      <c r="O350" s="11"/>
      <c r="P350" s="82"/>
    </row>
    <row r="351" spans="2:16" s="9" customFormat="1" x14ac:dyDescent="0.2">
      <c r="B351" s="10"/>
      <c r="C351" s="11"/>
      <c r="D351" s="63"/>
      <c r="E351" s="11"/>
      <c r="F351" s="65"/>
      <c r="G351" s="12"/>
      <c r="H351" s="41"/>
      <c r="I351" s="30"/>
      <c r="J351" s="30"/>
      <c r="K351" s="97"/>
      <c r="L351" s="11"/>
      <c r="M351" s="11"/>
      <c r="N351" s="11"/>
      <c r="O351" s="11"/>
      <c r="P351" s="82"/>
    </row>
    <row r="352" spans="2:16" s="9" customFormat="1" x14ac:dyDescent="0.2">
      <c r="B352" s="10"/>
      <c r="C352" s="11"/>
      <c r="D352" s="63"/>
      <c r="E352" s="11"/>
      <c r="F352" s="65"/>
      <c r="G352" s="12"/>
      <c r="H352" s="41"/>
      <c r="I352" s="30"/>
      <c r="J352" s="30"/>
      <c r="K352" s="97"/>
      <c r="L352" s="11"/>
      <c r="M352" s="11"/>
      <c r="N352" s="11"/>
      <c r="O352" s="11"/>
      <c r="P352" s="82"/>
    </row>
    <row r="353" spans="2:16" s="9" customFormat="1" x14ac:dyDescent="0.2">
      <c r="B353" s="10"/>
      <c r="C353" s="11"/>
      <c r="D353" s="63"/>
      <c r="E353" s="11"/>
      <c r="F353" s="65"/>
      <c r="G353" s="12"/>
      <c r="H353" s="41"/>
      <c r="I353" s="30"/>
      <c r="J353" s="30"/>
      <c r="K353" s="97"/>
      <c r="L353" s="11"/>
      <c r="M353" s="11"/>
      <c r="N353" s="11"/>
      <c r="O353" s="11"/>
      <c r="P353" s="82"/>
    </row>
    <row r="354" spans="2:16" s="9" customFormat="1" x14ac:dyDescent="0.2">
      <c r="B354" s="10"/>
      <c r="C354" s="11"/>
      <c r="D354" s="63"/>
      <c r="E354" s="11"/>
      <c r="F354" s="65"/>
      <c r="G354" s="12"/>
      <c r="H354" s="41"/>
      <c r="I354" s="30"/>
      <c r="J354" s="30"/>
      <c r="K354" s="97"/>
      <c r="L354" s="11"/>
      <c r="M354" s="11"/>
      <c r="N354" s="11"/>
      <c r="O354" s="11"/>
      <c r="P354" s="82"/>
    </row>
    <row r="355" spans="2:16" s="9" customFormat="1" x14ac:dyDescent="0.2">
      <c r="B355" s="10"/>
      <c r="C355" s="11"/>
      <c r="D355" s="63"/>
      <c r="E355" s="11"/>
      <c r="F355" s="65"/>
      <c r="G355" s="12"/>
      <c r="H355" s="41"/>
      <c r="I355" s="30"/>
      <c r="J355" s="30"/>
      <c r="K355" s="97"/>
      <c r="L355" s="11"/>
      <c r="M355" s="11"/>
      <c r="N355" s="11"/>
      <c r="O355" s="11"/>
      <c r="P355" s="82"/>
    </row>
    <row r="356" spans="2:16" s="9" customFormat="1" x14ac:dyDescent="0.2">
      <c r="B356" s="10"/>
      <c r="C356" s="11"/>
      <c r="D356" s="63"/>
      <c r="E356" s="11"/>
      <c r="F356" s="65"/>
      <c r="G356" s="12"/>
      <c r="H356" s="41"/>
      <c r="I356" s="30"/>
      <c r="J356" s="30"/>
      <c r="K356" s="97"/>
      <c r="L356" s="11"/>
      <c r="M356" s="11"/>
      <c r="N356" s="11"/>
      <c r="O356" s="11"/>
      <c r="P356" s="82"/>
    </row>
    <row r="357" spans="2:16" s="9" customFormat="1" x14ac:dyDescent="0.2">
      <c r="B357" s="10"/>
      <c r="C357" s="11"/>
      <c r="D357" s="63"/>
      <c r="E357" s="11"/>
      <c r="F357" s="65"/>
      <c r="G357" s="12"/>
      <c r="H357" s="41"/>
      <c r="I357" s="30"/>
      <c r="J357" s="30"/>
      <c r="K357" s="97"/>
      <c r="L357" s="11"/>
      <c r="M357" s="11"/>
      <c r="N357" s="11"/>
      <c r="O357" s="11"/>
      <c r="P357" s="82"/>
    </row>
    <row r="358" spans="2:16" s="9" customFormat="1" x14ac:dyDescent="0.2">
      <c r="B358" s="10"/>
      <c r="C358" s="11"/>
      <c r="D358" s="63"/>
      <c r="E358" s="11"/>
      <c r="F358" s="65"/>
      <c r="G358" s="12"/>
      <c r="H358" s="41"/>
      <c r="I358" s="30"/>
      <c r="J358" s="30"/>
      <c r="K358" s="97"/>
      <c r="L358" s="11"/>
      <c r="M358" s="11"/>
      <c r="N358" s="11"/>
      <c r="O358" s="11"/>
      <c r="P358" s="82"/>
    </row>
    <row r="359" spans="2:16" s="9" customFormat="1" x14ac:dyDescent="0.2">
      <c r="B359" s="10"/>
      <c r="C359" s="11"/>
      <c r="D359" s="63"/>
      <c r="E359" s="11"/>
      <c r="F359" s="65"/>
      <c r="G359" s="12"/>
      <c r="H359" s="41"/>
      <c r="I359" s="30"/>
      <c r="J359" s="30"/>
      <c r="K359" s="97"/>
      <c r="L359" s="11"/>
      <c r="M359" s="11"/>
      <c r="N359" s="11"/>
      <c r="O359" s="11"/>
      <c r="P359" s="82"/>
    </row>
    <row r="360" spans="2:16" s="9" customFormat="1" x14ac:dyDescent="0.2">
      <c r="B360" s="10"/>
      <c r="C360" s="11"/>
      <c r="D360" s="63"/>
      <c r="E360" s="11"/>
      <c r="F360" s="65"/>
      <c r="G360" s="12"/>
      <c r="H360" s="41"/>
      <c r="I360" s="30"/>
      <c r="J360" s="30"/>
      <c r="K360" s="97"/>
      <c r="L360" s="11"/>
      <c r="M360" s="11"/>
      <c r="N360" s="11"/>
      <c r="O360" s="11"/>
      <c r="P360" s="82"/>
    </row>
    <row r="361" spans="2:16" s="9" customFormat="1" x14ac:dyDescent="0.2">
      <c r="B361" s="10"/>
      <c r="C361" s="11"/>
      <c r="D361" s="63"/>
      <c r="E361" s="11"/>
      <c r="F361" s="65"/>
      <c r="G361" s="12"/>
      <c r="H361" s="41"/>
      <c r="I361" s="30"/>
      <c r="J361" s="30"/>
      <c r="K361" s="97"/>
      <c r="L361" s="11"/>
      <c r="M361" s="11"/>
      <c r="N361" s="11"/>
      <c r="O361" s="11"/>
      <c r="P361" s="82"/>
    </row>
    <row r="362" spans="2:16" s="9" customFormat="1" x14ac:dyDescent="0.2">
      <c r="B362" s="10"/>
      <c r="C362" s="11"/>
      <c r="D362" s="63"/>
      <c r="E362" s="11"/>
      <c r="F362" s="65"/>
      <c r="G362" s="12"/>
      <c r="H362" s="41"/>
      <c r="I362" s="30"/>
      <c r="J362" s="30"/>
      <c r="K362" s="97"/>
      <c r="L362" s="11"/>
      <c r="M362" s="11"/>
      <c r="N362" s="11"/>
      <c r="O362" s="11"/>
      <c r="P362" s="82"/>
    </row>
    <row r="363" spans="2:16" s="9" customFormat="1" x14ac:dyDescent="0.2">
      <c r="B363" s="10"/>
      <c r="C363" s="11"/>
      <c r="D363" s="63"/>
      <c r="E363" s="11"/>
      <c r="F363" s="65"/>
      <c r="G363" s="12"/>
      <c r="H363" s="41"/>
      <c r="I363" s="30"/>
      <c r="J363" s="30"/>
      <c r="K363" s="97"/>
      <c r="L363" s="11"/>
      <c r="M363" s="11"/>
      <c r="N363" s="11"/>
      <c r="O363" s="11"/>
      <c r="P363" s="82"/>
    </row>
    <row r="364" spans="2:16" s="9" customFormat="1" x14ac:dyDescent="0.2">
      <c r="B364" s="10"/>
      <c r="C364" s="11"/>
      <c r="D364" s="63"/>
      <c r="E364" s="11"/>
      <c r="F364" s="65"/>
      <c r="G364" s="12"/>
      <c r="H364" s="41"/>
      <c r="I364" s="30"/>
      <c r="J364" s="30"/>
      <c r="K364" s="97"/>
      <c r="L364" s="11"/>
      <c r="M364" s="11"/>
      <c r="N364" s="11"/>
      <c r="O364" s="11"/>
      <c r="P364" s="82"/>
    </row>
    <row r="365" spans="2:16" s="9" customFormat="1" x14ac:dyDescent="0.2">
      <c r="B365" s="10"/>
      <c r="C365" s="11"/>
      <c r="D365" s="63"/>
      <c r="E365" s="11"/>
      <c r="F365" s="65"/>
      <c r="G365" s="12"/>
      <c r="H365" s="41"/>
      <c r="I365" s="30"/>
      <c r="J365" s="30"/>
      <c r="K365" s="97"/>
      <c r="L365" s="11"/>
      <c r="M365" s="11"/>
      <c r="N365" s="11"/>
      <c r="O365" s="11"/>
      <c r="P365" s="82"/>
    </row>
    <row r="366" spans="2:16" s="9" customFormat="1" x14ac:dyDescent="0.2">
      <c r="B366" s="10"/>
      <c r="C366" s="11"/>
      <c r="D366" s="63"/>
      <c r="E366" s="11"/>
      <c r="F366" s="65"/>
      <c r="G366" s="12"/>
      <c r="H366" s="41"/>
      <c r="I366" s="30"/>
      <c r="J366" s="30"/>
      <c r="K366" s="97"/>
      <c r="L366" s="11"/>
      <c r="M366" s="11"/>
      <c r="N366" s="11"/>
      <c r="O366" s="11"/>
      <c r="P366" s="82"/>
    </row>
    <row r="367" spans="2:16" s="9" customFormat="1" x14ac:dyDescent="0.2">
      <c r="B367" s="10"/>
      <c r="C367" s="11"/>
      <c r="D367" s="63"/>
      <c r="E367" s="11"/>
      <c r="F367" s="65"/>
      <c r="G367" s="12"/>
      <c r="H367" s="41"/>
      <c r="I367" s="30"/>
      <c r="J367" s="30"/>
      <c r="K367" s="97"/>
      <c r="L367" s="11"/>
      <c r="M367" s="11"/>
      <c r="N367" s="11"/>
      <c r="O367" s="11"/>
      <c r="P367" s="82"/>
    </row>
    <row r="368" spans="2:16" s="9" customFormat="1" x14ac:dyDescent="0.2">
      <c r="B368" s="10"/>
      <c r="C368" s="11"/>
      <c r="D368" s="63"/>
      <c r="E368" s="11"/>
      <c r="F368" s="65"/>
      <c r="G368" s="12"/>
      <c r="H368" s="41"/>
      <c r="I368" s="30"/>
      <c r="J368" s="30"/>
      <c r="K368" s="97"/>
      <c r="L368" s="11"/>
      <c r="M368" s="11"/>
      <c r="N368" s="11"/>
      <c r="O368" s="11"/>
      <c r="P368" s="82"/>
    </row>
    <row r="369" spans="2:16" s="9" customFormat="1" x14ac:dyDescent="0.2">
      <c r="B369" s="10"/>
      <c r="C369" s="11"/>
      <c r="D369" s="63"/>
      <c r="E369" s="11"/>
      <c r="F369" s="65"/>
      <c r="G369" s="12"/>
      <c r="H369" s="41"/>
      <c r="I369" s="30"/>
      <c r="J369" s="30"/>
      <c r="K369" s="97"/>
      <c r="L369" s="11"/>
      <c r="M369" s="11"/>
      <c r="N369" s="11"/>
      <c r="O369" s="11"/>
      <c r="P369" s="82"/>
    </row>
    <row r="370" spans="2:16" s="9" customFormat="1" x14ac:dyDescent="0.2">
      <c r="B370" s="10"/>
      <c r="C370" s="11"/>
      <c r="D370" s="63"/>
      <c r="E370" s="11"/>
      <c r="F370" s="65"/>
      <c r="G370" s="12"/>
      <c r="H370" s="41"/>
      <c r="I370" s="30"/>
      <c r="J370" s="30"/>
      <c r="K370" s="97"/>
      <c r="L370" s="11"/>
      <c r="M370" s="11"/>
      <c r="N370" s="11"/>
      <c r="O370" s="11"/>
      <c r="P370" s="82"/>
    </row>
    <row r="371" spans="2:16" s="9" customFormat="1" x14ac:dyDescent="0.2">
      <c r="B371" s="10"/>
      <c r="C371" s="11"/>
      <c r="D371" s="63"/>
      <c r="E371" s="11"/>
      <c r="F371" s="65"/>
      <c r="G371" s="12"/>
      <c r="H371" s="41"/>
      <c r="I371" s="30"/>
      <c r="J371" s="30"/>
      <c r="K371" s="97"/>
      <c r="L371" s="11"/>
      <c r="M371" s="11"/>
      <c r="N371" s="11"/>
      <c r="O371" s="11"/>
      <c r="P371" s="82"/>
    </row>
    <row r="372" spans="2:16" s="9" customFormat="1" x14ac:dyDescent="0.2">
      <c r="B372" s="10"/>
      <c r="C372" s="11"/>
      <c r="D372" s="63"/>
      <c r="E372" s="11"/>
      <c r="F372" s="65"/>
      <c r="G372" s="12"/>
      <c r="H372" s="41"/>
      <c r="I372" s="30"/>
      <c r="J372" s="30"/>
      <c r="K372" s="97"/>
      <c r="L372" s="11"/>
      <c r="M372" s="11"/>
      <c r="N372" s="11"/>
      <c r="O372" s="11"/>
      <c r="P372" s="82"/>
    </row>
    <row r="373" spans="2:16" s="9" customFormat="1" x14ac:dyDescent="0.2">
      <c r="B373" s="10"/>
      <c r="C373" s="11"/>
      <c r="D373" s="63"/>
      <c r="E373" s="11"/>
      <c r="F373" s="65"/>
      <c r="G373" s="12"/>
      <c r="H373" s="41"/>
      <c r="I373" s="30"/>
      <c r="J373" s="30"/>
      <c r="K373" s="97"/>
      <c r="L373" s="11"/>
      <c r="M373" s="11"/>
      <c r="N373" s="11"/>
      <c r="O373" s="11"/>
      <c r="P373" s="82"/>
    </row>
    <row r="374" spans="2:16" s="9" customFormat="1" x14ac:dyDescent="0.2">
      <c r="B374" s="10"/>
      <c r="C374" s="11"/>
      <c r="D374" s="63"/>
      <c r="E374" s="11"/>
      <c r="F374" s="65"/>
      <c r="G374" s="12"/>
      <c r="H374" s="41"/>
      <c r="I374" s="30"/>
      <c r="J374" s="30"/>
      <c r="K374" s="97"/>
      <c r="L374" s="11"/>
      <c r="M374" s="11"/>
      <c r="N374" s="11"/>
      <c r="O374" s="11"/>
      <c r="P374" s="82"/>
    </row>
    <row r="375" spans="2:16" s="9" customFormat="1" x14ac:dyDescent="0.2">
      <c r="B375" s="10"/>
      <c r="C375" s="11"/>
      <c r="D375" s="63"/>
      <c r="E375" s="11"/>
      <c r="F375" s="65"/>
      <c r="G375" s="12"/>
      <c r="H375" s="41"/>
      <c r="I375" s="30"/>
      <c r="J375" s="30"/>
      <c r="K375" s="97"/>
      <c r="L375" s="11"/>
      <c r="M375" s="11"/>
      <c r="N375" s="11"/>
      <c r="O375" s="11"/>
      <c r="P375" s="82"/>
    </row>
    <row r="376" spans="2:16" s="9" customFormat="1" x14ac:dyDescent="0.2">
      <c r="B376" s="10"/>
      <c r="C376" s="11"/>
      <c r="D376" s="63"/>
      <c r="E376" s="11"/>
      <c r="F376" s="65"/>
      <c r="G376" s="12"/>
      <c r="H376" s="41"/>
      <c r="I376" s="30"/>
      <c r="J376" s="30"/>
      <c r="K376" s="97"/>
      <c r="L376" s="11"/>
      <c r="M376" s="11"/>
      <c r="N376" s="11"/>
      <c r="O376" s="11"/>
      <c r="P376" s="82"/>
    </row>
    <row r="377" spans="2:16" s="9" customFormat="1" x14ac:dyDescent="0.2">
      <c r="B377" s="10"/>
      <c r="C377" s="11"/>
      <c r="D377" s="63"/>
      <c r="E377" s="11"/>
      <c r="F377" s="65"/>
      <c r="G377" s="12"/>
      <c r="H377" s="41"/>
      <c r="I377" s="30"/>
      <c r="J377" s="30"/>
      <c r="K377" s="97"/>
      <c r="L377" s="11"/>
      <c r="M377" s="11"/>
      <c r="N377" s="11"/>
      <c r="O377" s="11"/>
      <c r="P377" s="82"/>
    </row>
    <row r="378" spans="2:16" s="9" customFormat="1" x14ac:dyDescent="0.2">
      <c r="B378" s="10"/>
      <c r="C378" s="11"/>
      <c r="D378" s="63"/>
      <c r="E378" s="11"/>
      <c r="F378" s="65"/>
      <c r="G378" s="12"/>
      <c r="H378" s="41"/>
      <c r="I378" s="30"/>
      <c r="J378" s="30"/>
      <c r="K378" s="97"/>
      <c r="L378" s="11"/>
      <c r="M378" s="11"/>
      <c r="N378" s="11"/>
      <c r="O378" s="11"/>
      <c r="P378" s="82"/>
    </row>
    <row r="379" spans="2:16" s="9" customFormat="1" x14ac:dyDescent="0.2">
      <c r="B379" s="10"/>
      <c r="C379" s="11"/>
      <c r="D379" s="63"/>
      <c r="E379" s="11"/>
      <c r="F379" s="65"/>
      <c r="G379" s="12"/>
      <c r="H379" s="41"/>
      <c r="I379" s="30"/>
      <c r="J379" s="30"/>
      <c r="K379" s="97"/>
      <c r="L379" s="11"/>
      <c r="M379" s="11"/>
      <c r="N379" s="11"/>
      <c r="O379" s="11"/>
      <c r="P379" s="82"/>
    </row>
    <row r="380" spans="2:16" s="9" customFormat="1" x14ac:dyDescent="0.2">
      <c r="B380" s="10"/>
      <c r="C380" s="11"/>
      <c r="D380" s="63"/>
      <c r="E380" s="11"/>
      <c r="F380" s="65"/>
      <c r="G380" s="12"/>
      <c r="H380" s="41"/>
      <c r="I380" s="30"/>
      <c r="J380" s="30"/>
      <c r="K380" s="97"/>
      <c r="L380" s="11"/>
      <c r="M380" s="11"/>
      <c r="N380" s="11"/>
      <c r="O380" s="11"/>
      <c r="P380" s="82"/>
    </row>
    <row r="381" spans="2:16" s="9" customFormat="1" x14ac:dyDescent="0.2">
      <c r="B381" s="10"/>
      <c r="C381" s="11"/>
      <c r="D381" s="63"/>
      <c r="E381" s="11"/>
      <c r="F381" s="65"/>
      <c r="G381" s="12"/>
      <c r="H381" s="41"/>
      <c r="I381" s="30"/>
      <c r="J381" s="30"/>
      <c r="K381" s="97"/>
      <c r="L381" s="11"/>
      <c r="M381" s="11"/>
      <c r="N381" s="11"/>
      <c r="O381" s="11"/>
      <c r="P381" s="82"/>
    </row>
    <row r="382" spans="2:16" s="9" customFormat="1" x14ac:dyDescent="0.2">
      <c r="B382" s="10"/>
      <c r="C382" s="11"/>
      <c r="D382" s="63"/>
      <c r="E382" s="11"/>
      <c r="F382" s="65"/>
      <c r="G382" s="12"/>
      <c r="H382" s="41"/>
      <c r="I382" s="30"/>
      <c r="J382" s="30"/>
      <c r="K382" s="97"/>
      <c r="L382" s="11"/>
      <c r="M382" s="11"/>
      <c r="N382" s="11"/>
      <c r="O382" s="11"/>
      <c r="P382" s="82"/>
    </row>
    <row r="383" spans="2:16" s="9" customFormat="1" x14ac:dyDescent="0.2">
      <c r="B383" s="10"/>
      <c r="C383" s="11"/>
      <c r="D383" s="63"/>
      <c r="E383" s="11"/>
      <c r="F383" s="65"/>
      <c r="G383" s="12"/>
      <c r="H383" s="41"/>
      <c r="I383" s="30"/>
      <c r="J383" s="30"/>
      <c r="K383" s="97"/>
      <c r="L383" s="11"/>
      <c r="M383" s="11"/>
      <c r="N383" s="11"/>
      <c r="O383" s="11"/>
      <c r="P383" s="82"/>
    </row>
    <row r="384" spans="2:16" s="9" customFormat="1" x14ac:dyDescent="0.2">
      <c r="B384" s="10"/>
      <c r="C384" s="11"/>
      <c r="D384" s="63"/>
      <c r="E384" s="11"/>
      <c r="F384" s="65"/>
      <c r="G384" s="12"/>
      <c r="H384" s="41"/>
      <c r="I384" s="30"/>
      <c r="J384" s="30"/>
      <c r="K384" s="97"/>
      <c r="L384" s="11"/>
      <c r="M384" s="11"/>
      <c r="N384" s="11"/>
      <c r="O384" s="11"/>
      <c r="P384" s="82"/>
    </row>
    <row r="385" spans="2:16" s="9" customFormat="1" x14ac:dyDescent="0.2">
      <c r="B385" s="10"/>
      <c r="C385" s="11"/>
      <c r="D385" s="63"/>
      <c r="E385" s="11"/>
      <c r="F385" s="65"/>
      <c r="G385" s="12"/>
      <c r="H385" s="41"/>
      <c r="I385" s="30"/>
      <c r="J385" s="30"/>
      <c r="K385" s="97"/>
      <c r="L385" s="11"/>
      <c r="M385" s="11"/>
      <c r="N385" s="11"/>
      <c r="O385" s="11"/>
      <c r="P385" s="82"/>
    </row>
    <row r="386" spans="2:16" s="9" customFormat="1" x14ac:dyDescent="0.2">
      <c r="B386" s="10"/>
      <c r="C386" s="11"/>
      <c r="D386" s="63"/>
      <c r="E386" s="11"/>
      <c r="F386" s="65"/>
      <c r="G386" s="12"/>
      <c r="H386" s="41"/>
      <c r="I386" s="30"/>
      <c r="J386" s="30"/>
      <c r="K386" s="97"/>
      <c r="L386" s="11"/>
      <c r="M386" s="11"/>
      <c r="N386" s="11"/>
      <c r="O386" s="11"/>
      <c r="P386" s="82"/>
    </row>
    <row r="387" spans="2:16" s="9" customFormat="1" x14ac:dyDescent="0.2">
      <c r="B387" s="10"/>
      <c r="C387" s="11"/>
      <c r="D387" s="63"/>
      <c r="E387" s="11"/>
      <c r="F387" s="65"/>
      <c r="G387" s="12"/>
      <c r="H387" s="41"/>
      <c r="I387" s="30"/>
      <c r="J387" s="30"/>
      <c r="K387" s="97"/>
      <c r="L387" s="11"/>
      <c r="M387" s="11"/>
      <c r="N387" s="11"/>
      <c r="O387" s="11"/>
      <c r="P387" s="82"/>
    </row>
    <row r="388" spans="2:16" s="9" customFormat="1" x14ac:dyDescent="0.2">
      <c r="B388" s="10"/>
      <c r="C388" s="11"/>
      <c r="D388" s="63"/>
      <c r="E388" s="11"/>
      <c r="F388" s="65"/>
      <c r="G388" s="12"/>
      <c r="H388" s="41"/>
      <c r="I388" s="30"/>
      <c r="J388" s="30"/>
      <c r="K388" s="97"/>
      <c r="L388" s="11"/>
      <c r="M388" s="11"/>
      <c r="N388" s="11"/>
      <c r="O388" s="11"/>
      <c r="P388" s="82"/>
    </row>
    <row r="389" spans="2:16" s="9" customFormat="1" x14ac:dyDescent="0.2">
      <c r="B389" s="10"/>
      <c r="C389" s="11"/>
      <c r="D389" s="63"/>
      <c r="E389" s="11"/>
      <c r="F389" s="65"/>
      <c r="G389" s="12"/>
      <c r="H389" s="41"/>
      <c r="I389" s="30"/>
      <c r="J389" s="30"/>
      <c r="K389" s="97"/>
      <c r="L389" s="11"/>
      <c r="M389" s="11"/>
      <c r="N389" s="11"/>
      <c r="O389" s="11"/>
      <c r="P389" s="82"/>
    </row>
    <row r="390" spans="2:16" s="9" customFormat="1" x14ac:dyDescent="0.2">
      <c r="B390" s="10"/>
      <c r="C390" s="11"/>
      <c r="D390" s="63"/>
      <c r="E390" s="11"/>
      <c r="F390" s="65"/>
      <c r="G390" s="12"/>
      <c r="H390" s="41"/>
      <c r="I390" s="30"/>
      <c r="J390" s="30"/>
      <c r="K390" s="97"/>
      <c r="L390" s="11"/>
      <c r="M390" s="11"/>
      <c r="N390" s="11"/>
      <c r="O390" s="11"/>
      <c r="P390" s="82"/>
    </row>
    <row r="391" spans="2:16" s="9" customFormat="1" x14ac:dyDescent="0.2">
      <c r="B391" s="10"/>
      <c r="C391" s="11"/>
      <c r="D391" s="63"/>
      <c r="E391" s="11"/>
      <c r="F391" s="65"/>
      <c r="G391" s="12"/>
      <c r="H391" s="41"/>
      <c r="I391" s="30"/>
      <c r="J391" s="30"/>
      <c r="K391" s="97"/>
      <c r="L391" s="11"/>
      <c r="M391" s="11"/>
      <c r="N391" s="11"/>
      <c r="O391" s="11"/>
      <c r="P391" s="82"/>
    </row>
    <row r="392" spans="2:16" s="9" customFormat="1" x14ac:dyDescent="0.2">
      <c r="B392" s="10"/>
      <c r="C392" s="11"/>
      <c r="D392" s="63"/>
      <c r="E392" s="11"/>
      <c r="F392" s="65"/>
      <c r="G392" s="12"/>
      <c r="H392" s="41"/>
      <c r="I392" s="30"/>
      <c r="J392" s="30"/>
      <c r="K392" s="97"/>
      <c r="L392" s="11"/>
      <c r="M392" s="11"/>
      <c r="N392" s="11"/>
      <c r="O392" s="11"/>
      <c r="P392" s="82"/>
    </row>
    <row r="393" spans="2:16" s="9" customFormat="1" x14ac:dyDescent="0.2">
      <c r="B393" s="10"/>
      <c r="C393" s="11"/>
      <c r="D393" s="63"/>
      <c r="E393" s="11"/>
      <c r="F393" s="65"/>
      <c r="G393" s="12"/>
      <c r="H393" s="41"/>
      <c r="I393" s="30"/>
      <c r="J393" s="30"/>
      <c r="K393" s="97"/>
      <c r="L393" s="11"/>
      <c r="M393" s="11"/>
      <c r="N393" s="11"/>
      <c r="O393" s="11"/>
      <c r="P393" s="82"/>
    </row>
    <row r="394" spans="2:16" s="9" customFormat="1" x14ac:dyDescent="0.2">
      <c r="B394" s="10"/>
      <c r="C394" s="11"/>
      <c r="D394" s="63"/>
      <c r="E394" s="11"/>
      <c r="F394" s="65"/>
      <c r="G394" s="12"/>
      <c r="H394" s="41"/>
      <c r="I394" s="30"/>
      <c r="J394" s="30"/>
      <c r="K394" s="97"/>
      <c r="L394" s="11"/>
      <c r="M394" s="11"/>
      <c r="N394" s="11"/>
      <c r="O394" s="11"/>
      <c r="P394" s="82"/>
    </row>
    <row r="395" spans="2:16" s="9" customFormat="1" x14ac:dyDescent="0.2">
      <c r="B395" s="10"/>
      <c r="C395" s="11"/>
      <c r="D395" s="63"/>
      <c r="E395" s="11"/>
      <c r="F395" s="65"/>
      <c r="G395" s="12"/>
      <c r="H395" s="41"/>
      <c r="I395" s="30"/>
      <c r="J395" s="30"/>
      <c r="K395" s="97"/>
      <c r="L395" s="11"/>
      <c r="M395" s="11"/>
      <c r="N395" s="11"/>
      <c r="O395" s="11"/>
      <c r="P395" s="82"/>
    </row>
    <row r="396" spans="2:16" s="9" customFormat="1" x14ac:dyDescent="0.2">
      <c r="B396" s="10"/>
      <c r="C396" s="11"/>
      <c r="D396" s="63"/>
      <c r="E396" s="11"/>
      <c r="F396" s="65"/>
      <c r="G396" s="12"/>
      <c r="H396" s="41"/>
      <c r="I396" s="30"/>
      <c r="J396" s="30"/>
      <c r="K396" s="97"/>
      <c r="L396" s="11"/>
      <c r="M396" s="11"/>
      <c r="N396" s="11"/>
      <c r="O396" s="11"/>
      <c r="P396" s="82"/>
    </row>
    <row r="397" spans="2:16" s="9" customFormat="1" x14ac:dyDescent="0.2">
      <c r="B397" s="10"/>
      <c r="C397" s="11"/>
      <c r="D397" s="63"/>
      <c r="E397" s="11"/>
      <c r="F397" s="65"/>
      <c r="G397" s="12"/>
      <c r="H397" s="41"/>
      <c r="I397" s="30"/>
      <c r="J397" s="30"/>
      <c r="K397" s="97"/>
      <c r="L397" s="11"/>
      <c r="M397" s="11"/>
      <c r="N397" s="11"/>
      <c r="O397" s="11"/>
      <c r="P397" s="82"/>
    </row>
    <row r="398" spans="2:16" s="9" customFormat="1" x14ac:dyDescent="0.2">
      <c r="B398" s="10"/>
      <c r="C398" s="11"/>
      <c r="D398" s="63"/>
      <c r="E398" s="11"/>
      <c r="F398" s="65"/>
      <c r="G398" s="12"/>
      <c r="H398" s="41"/>
      <c r="I398" s="30"/>
      <c r="J398" s="30"/>
      <c r="K398" s="97"/>
      <c r="L398" s="11"/>
      <c r="M398" s="11"/>
      <c r="N398" s="11"/>
      <c r="O398" s="11"/>
      <c r="P398" s="82"/>
    </row>
    <row r="399" spans="2:16" s="9" customFormat="1" x14ac:dyDescent="0.2">
      <c r="B399" s="10"/>
      <c r="C399" s="11"/>
      <c r="D399" s="63"/>
      <c r="E399" s="11"/>
      <c r="F399" s="65"/>
      <c r="G399" s="12"/>
      <c r="H399" s="41"/>
      <c r="I399" s="30"/>
      <c r="J399" s="30"/>
      <c r="K399" s="97"/>
      <c r="L399" s="11"/>
      <c r="M399" s="11"/>
      <c r="N399" s="11"/>
      <c r="O399" s="11"/>
      <c r="P399" s="82"/>
    </row>
    <row r="400" spans="2:16" s="9" customFormat="1" x14ac:dyDescent="0.2">
      <c r="B400" s="10"/>
      <c r="C400" s="11"/>
      <c r="D400" s="63"/>
      <c r="E400" s="11"/>
      <c r="F400" s="65"/>
      <c r="G400" s="12"/>
      <c r="H400" s="41"/>
      <c r="I400" s="30"/>
      <c r="J400" s="30"/>
      <c r="K400" s="97"/>
      <c r="L400" s="11"/>
      <c r="M400" s="11"/>
      <c r="N400" s="11"/>
      <c r="O400" s="11"/>
      <c r="P400" s="82"/>
    </row>
    <row r="401" spans="2:16" s="9" customFormat="1" x14ac:dyDescent="0.2">
      <c r="B401" s="10"/>
      <c r="C401" s="11"/>
      <c r="D401" s="63"/>
      <c r="E401" s="11"/>
      <c r="F401" s="65"/>
      <c r="G401" s="12"/>
      <c r="H401" s="41"/>
      <c r="I401" s="30"/>
      <c r="J401" s="30"/>
      <c r="K401" s="97"/>
      <c r="L401" s="11"/>
      <c r="M401" s="11"/>
      <c r="N401" s="11"/>
      <c r="O401" s="11"/>
      <c r="P401" s="82"/>
    </row>
    <row r="402" spans="2:16" s="9" customFormat="1" x14ac:dyDescent="0.2">
      <c r="B402" s="10"/>
      <c r="C402" s="11"/>
      <c r="D402" s="63"/>
      <c r="E402" s="11"/>
      <c r="F402" s="65"/>
      <c r="G402" s="12"/>
      <c r="H402" s="41"/>
      <c r="I402" s="30"/>
      <c r="J402" s="30"/>
      <c r="K402" s="97"/>
      <c r="L402" s="11"/>
      <c r="M402" s="11"/>
      <c r="N402" s="11"/>
      <c r="O402" s="11"/>
      <c r="P402" s="82"/>
    </row>
    <row r="403" spans="2:16" s="9" customFormat="1" x14ac:dyDescent="0.2">
      <c r="B403" s="10"/>
      <c r="C403" s="11"/>
      <c r="D403" s="63"/>
      <c r="E403" s="11"/>
      <c r="F403" s="65"/>
      <c r="G403" s="12"/>
      <c r="H403" s="41"/>
      <c r="I403" s="30"/>
      <c r="J403" s="30"/>
      <c r="K403" s="97"/>
      <c r="L403" s="11"/>
      <c r="M403" s="11"/>
      <c r="N403" s="11"/>
      <c r="O403" s="11"/>
      <c r="P403" s="82"/>
    </row>
    <row r="404" spans="2:16" s="9" customFormat="1" x14ac:dyDescent="0.2">
      <c r="B404" s="10"/>
      <c r="C404" s="11"/>
      <c r="D404" s="63"/>
      <c r="E404" s="11"/>
      <c r="F404" s="65"/>
      <c r="G404" s="12"/>
      <c r="H404" s="41"/>
      <c r="I404" s="30"/>
      <c r="J404" s="30"/>
      <c r="K404" s="97"/>
      <c r="L404" s="11"/>
      <c r="M404" s="11"/>
      <c r="N404" s="11"/>
      <c r="O404" s="11"/>
      <c r="P404" s="82"/>
    </row>
    <row r="405" spans="2:16" s="9" customFormat="1" x14ac:dyDescent="0.2">
      <c r="B405" s="10"/>
      <c r="C405" s="11"/>
      <c r="D405" s="63"/>
      <c r="E405" s="11"/>
      <c r="F405" s="65"/>
      <c r="G405" s="12"/>
      <c r="H405" s="41"/>
      <c r="I405" s="30"/>
      <c r="J405" s="30"/>
      <c r="K405" s="97"/>
      <c r="L405" s="11"/>
      <c r="M405" s="11"/>
      <c r="N405" s="11"/>
      <c r="O405" s="11"/>
      <c r="P405" s="82"/>
    </row>
    <row r="406" spans="2:16" s="9" customFormat="1" x14ac:dyDescent="0.2">
      <c r="B406" s="10"/>
      <c r="C406" s="11"/>
      <c r="D406" s="63"/>
      <c r="E406" s="11"/>
      <c r="F406" s="65"/>
      <c r="G406" s="12"/>
      <c r="H406" s="41"/>
      <c r="I406" s="30"/>
      <c r="J406" s="30"/>
      <c r="K406" s="97"/>
      <c r="L406" s="11"/>
      <c r="M406" s="11"/>
      <c r="N406" s="11"/>
      <c r="O406" s="11"/>
      <c r="P406" s="82"/>
    </row>
    <row r="407" spans="2:16" s="9" customFormat="1" x14ac:dyDescent="0.2">
      <c r="B407" s="10"/>
      <c r="C407" s="11"/>
      <c r="D407" s="63"/>
      <c r="E407" s="11"/>
      <c r="F407" s="65"/>
      <c r="G407" s="12"/>
      <c r="H407" s="41"/>
      <c r="I407" s="30"/>
      <c r="J407" s="30"/>
      <c r="K407" s="97"/>
      <c r="L407" s="11"/>
      <c r="M407" s="11"/>
      <c r="N407" s="11"/>
      <c r="O407" s="11"/>
      <c r="P407" s="82"/>
    </row>
    <row r="408" spans="2:16" s="9" customFormat="1" x14ac:dyDescent="0.2">
      <c r="B408" s="10"/>
      <c r="C408" s="11"/>
      <c r="D408" s="63"/>
      <c r="E408" s="11"/>
      <c r="F408" s="65"/>
      <c r="G408" s="12"/>
      <c r="H408" s="41"/>
      <c r="I408" s="30"/>
      <c r="J408" s="30"/>
      <c r="K408" s="97"/>
      <c r="L408" s="11"/>
      <c r="M408" s="11"/>
      <c r="N408" s="11"/>
      <c r="O408" s="11"/>
      <c r="P408" s="82"/>
    </row>
    <row r="409" spans="2:16" s="9" customFormat="1" x14ac:dyDescent="0.2">
      <c r="B409" s="10"/>
      <c r="C409" s="11"/>
      <c r="D409" s="63"/>
      <c r="E409" s="11"/>
      <c r="F409" s="65"/>
      <c r="G409" s="12"/>
      <c r="H409" s="41"/>
      <c r="I409" s="30"/>
      <c r="J409" s="30"/>
      <c r="K409" s="97"/>
      <c r="L409" s="11"/>
      <c r="M409" s="11"/>
      <c r="N409" s="11"/>
      <c r="O409" s="11"/>
      <c r="P409" s="82"/>
    </row>
    <row r="410" spans="2:16" s="9" customFormat="1" x14ac:dyDescent="0.2">
      <c r="B410" s="10"/>
      <c r="C410" s="11"/>
      <c r="D410" s="63"/>
      <c r="E410" s="11"/>
      <c r="F410" s="65"/>
      <c r="G410" s="12"/>
      <c r="H410" s="41"/>
      <c r="I410" s="30"/>
      <c r="J410" s="30"/>
      <c r="K410" s="97"/>
      <c r="L410" s="11"/>
      <c r="M410" s="11"/>
      <c r="N410" s="11"/>
      <c r="O410" s="11"/>
      <c r="P410" s="82"/>
    </row>
    <row r="411" spans="2:16" s="9" customFormat="1" x14ac:dyDescent="0.2">
      <c r="B411" s="10"/>
      <c r="C411" s="11"/>
      <c r="D411" s="63"/>
      <c r="E411" s="11"/>
      <c r="F411" s="65"/>
      <c r="G411" s="12"/>
      <c r="H411" s="41"/>
      <c r="I411" s="30"/>
      <c r="J411" s="30"/>
      <c r="K411" s="97"/>
      <c r="L411" s="11"/>
      <c r="M411" s="11"/>
      <c r="N411" s="11"/>
      <c r="O411" s="11"/>
      <c r="P411" s="82"/>
    </row>
    <row r="412" spans="2:16" s="9" customFormat="1" x14ac:dyDescent="0.2">
      <c r="B412" s="10"/>
      <c r="C412" s="11"/>
      <c r="D412" s="63"/>
      <c r="E412" s="11"/>
      <c r="F412" s="65"/>
      <c r="G412" s="12"/>
      <c r="H412" s="41"/>
      <c r="I412" s="30"/>
      <c r="J412" s="30"/>
      <c r="K412" s="97"/>
      <c r="L412" s="11"/>
      <c r="M412" s="11"/>
      <c r="N412" s="11"/>
      <c r="O412" s="11"/>
      <c r="P412" s="82"/>
    </row>
    <row r="413" spans="2:16" s="9" customFormat="1" x14ac:dyDescent="0.2">
      <c r="B413" s="10"/>
      <c r="C413" s="11"/>
      <c r="D413" s="63"/>
      <c r="E413" s="11"/>
      <c r="F413" s="65"/>
      <c r="G413" s="12"/>
      <c r="H413" s="41"/>
      <c r="I413" s="30"/>
      <c r="J413" s="30"/>
      <c r="K413" s="97"/>
      <c r="L413" s="11"/>
      <c r="M413" s="11"/>
      <c r="N413" s="11"/>
      <c r="O413" s="11"/>
      <c r="P413" s="82"/>
    </row>
    <row r="414" spans="2:16" s="9" customFormat="1" x14ac:dyDescent="0.2">
      <c r="B414" s="10"/>
      <c r="C414" s="11"/>
      <c r="D414" s="63"/>
      <c r="E414" s="11"/>
      <c r="F414" s="65"/>
      <c r="G414" s="12"/>
      <c r="H414" s="41"/>
      <c r="I414" s="30"/>
      <c r="J414" s="30"/>
      <c r="K414" s="97"/>
      <c r="L414" s="11"/>
      <c r="M414" s="11"/>
      <c r="N414" s="11"/>
      <c r="O414" s="11"/>
      <c r="P414" s="82"/>
    </row>
    <row r="415" spans="2:16" s="9" customFormat="1" x14ac:dyDescent="0.2">
      <c r="B415" s="10"/>
      <c r="C415" s="11"/>
      <c r="D415" s="63"/>
      <c r="E415" s="11"/>
      <c r="F415" s="65"/>
      <c r="G415" s="12"/>
      <c r="H415" s="41"/>
      <c r="I415" s="30"/>
      <c r="J415" s="30"/>
      <c r="K415" s="97"/>
      <c r="L415" s="11"/>
      <c r="M415" s="11"/>
      <c r="N415" s="11"/>
      <c r="O415" s="11"/>
      <c r="P415" s="82"/>
    </row>
    <row r="416" spans="2:16" s="9" customFormat="1" x14ac:dyDescent="0.2">
      <c r="B416" s="10"/>
      <c r="C416" s="11"/>
      <c r="D416" s="63"/>
      <c r="E416" s="11"/>
      <c r="F416" s="65"/>
      <c r="G416" s="12"/>
      <c r="H416" s="41"/>
      <c r="I416" s="30"/>
      <c r="J416" s="30"/>
      <c r="K416" s="97"/>
      <c r="L416" s="11"/>
      <c r="M416" s="11"/>
      <c r="N416" s="11"/>
      <c r="O416" s="11"/>
      <c r="P416" s="82"/>
    </row>
    <row r="417" spans="2:16" s="9" customFormat="1" x14ac:dyDescent="0.2">
      <c r="B417" s="10"/>
      <c r="C417" s="11"/>
      <c r="D417" s="63"/>
      <c r="E417" s="11"/>
      <c r="F417" s="65"/>
      <c r="G417" s="12"/>
      <c r="H417" s="41"/>
      <c r="I417" s="30"/>
      <c r="J417" s="30"/>
      <c r="K417" s="97"/>
      <c r="L417" s="11"/>
      <c r="M417" s="11"/>
      <c r="N417" s="11"/>
      <c r="O417" s="11"/>
      <c r="P417" s="82"/>
    </row>
    <row r="418" spans="2:16" s="9" customFormat="1" x14ac:dyDescent="0.2">
      <c r="B418" s="10"/>
      <c r="C418" s="11"/>
      <c r="D418" s="63"/>
      <c r="E418" s="11"/>
      <c r="F418" s="65"/>
      <c r="G418" s="12"/>
      <c r="H418" s="41"/>
      <c r="I418" s="30"/>
      <c r="J418" s="30"/>
      <c r="K418" s="97"/>
      <c r="L418" s="11"/>
      <c r="M418" s="11"/>
      <c r="N418" s="11"/>
      <c r="O418" s="11"/>
      <c r="P418" s="82"/>
    </row>
    <row r="419" spans="2:16" s="9" customFormat="1" x14ac:dyDescent="0.2">
      <c r="B419" s="10"/>
      <c r="C419" s="11"/>
      <c r="D419" s="63"/>
      <c r="E419" s="11"/>
      <c r="F419" s="65"/>
      <c r="G419" s="12"/>
      <c r="H419" s="41"/>
      <c r="I419" s="30"/>
      <c r="J419" s="30"/>
      <c r="K419" s="97"/>
      <c r="L419" s="11"/>
      <c r="M419" s="11"/>
      <c r="N419" s="11"/>
      <c r="O419" s="11"/>
      <c r="P419" s="82"/>
    </row>
    <row r="420" spans="2:16" s="9" customFormat="1" x14ac:dyDescent="0.2">
      <c r="B420" s="10"/>
      <c r="C420" s="11"/>
      <c r="D420" s="63"/>
      <c r="E420" s="11"/>
      <c r="F420" s="65"/>
      <c r="G420" s="12"/>
      <c r="H420" s="41"/>
      <c r="I420" s="30"/>
      <c r="J420" s="30"/>
      <c r="K420" s="97"/>
      <c r="L420" s="11"/>
      <c r="M420" s="11"/>
      <c r="N420" s="11"/>
      <c r="O420" s="11"/>
      <c r="P420" s="82"/>
    </row>
    <row r="421" spans="2:16" s="9" customFormat="1" x14ac:dyDescent="0.2">
      <c r="B421" s="10"/>
      <c r="C421" s="11"/>
      <c r="D421" s="63"/>
      <c r="E421" s="11"/>
      <c r="F421" s="65"/>
      <c r="G421" s="12"/>
      <c r="H421" s="41"/>
      <c r="I421" s="30"/>
      <c r="J421" s="30"/>
      <c r="K421" s="97"/>
      <c r="L421" s="11"/>
      <c r="M421" s="11"/>
      <c r="N421" s="11"/>
      <c r="O421" s="11"/>
      <c r="P421" s="82"/>
    </row>
    <row r="422" spans="2:16" s="9" customFormat="1" x14ac:dyDescent="0.2">
      <c r="B422" s="10"/>
      <c r="C422" s="11"/>
      <c r="D422" s="63"/>
      <c r="E422" s="11"/>
      <c r="F422" s="65"/>
      <c r="G422" s="12"/>
      <c r="H422" s="41"/>
      <c r="I422" s="30"/>
      <c r="J422" s="30"/>
      <c r="K422" s="97"/>
      <c r="L422" s="11"/>
      <c r="M422" s="11"/>
      <c r="N422" s="11"/>
      <c r="O422" s="11"/>
      <c r="P422" s="82"/>
    </row>
    <row r="423" spans="2:16" s="9" customFormat="1" x14ac:dyDescent="0.2">
      <c r="B423" s="10"/>
      <c r="C423" s="11"/>
      <c r="D423" s="63"/>
      <c r="E423" s="11"/>
      <c r="F423" s="65"/>
      <c r="G423" s="12"/>
      <c r="H423" s="41"/>
      <c r="I423" s="30"/>
      <c r="J423" s="30"/>
      <c r="K423" s="97"/>
      <c r="L423" s="11"/>
      <c r="M423" s="11"/>
      <c r="N423" s="11"/>
      <c r="O423" s="11"/>
      <c r="P423" s="82"/>
    </row>
    <row r="424" spans="2:16" s="9" customFormat="1" x14ac:dyDescent="0.2">
      <c r="B424" s="10"/>
      <c r="C424" s="11"/>
      <c r="D424" s="63"/>
      <c r="E424" s="11"/>
      <c r="F424" s="65"/>
      <c r="G424" s="12"/>
      <c r="H424" s="41"/>
      <c r="I424" s="30"/>
      <c r="J424" s="30"/>
      <c r="K424" s="97"/>
      <c r="L424" s="11"/>
      <c r="M424" s="11"/>
      <c r="N424" s="11"/>
      <c r="O424" s="11"/>
      <c r="P424" s="82"/>
    </row>
    <row r="425" spans="2:16" s="9" customFormat="1" x14ac:dyDescent="0.2">
      <c r="B425" s="10"/>
      <c r="C425" s="11"/>
      <c r="D425" s="63"/>
      <c r="E425" s="11"/>
      <c r="F425" s="65"/>
      <c r="G425" s="12"/>
      <c r="H425" s="41"/>
      <c r="I425" s="30"/>
      <c r="J425" s="30"/>
      <c r="K425" s="97"/>
      <c r="L425" s="11"/>
      <c r="M425" s="11"/>
      <c r="N425" s="11"/>
      <c r="O425" s="11"/>
      <c r="P425" s="82"/>
    </row>
    <row r="426" spans="2:16" s="9" customFormat="1" x14ac:dyDescent="0.2">
      <c r="B426" s="10"/>
      <c r="C426" s="11"/>
      <c r="D426" s="63"/>
      <c r="E426" s="11"/>
      <c r="F426" s="65"/>
      <c r="G426" s="12"/>
      <c r="H426" s="41"/>
      <c r="I426" s="30"/>
      <c r="J426" s="30"/>
      <c r="K426" s="97"/>
      <c r="L426" s="11"/>
      <c r="M426" s="11"/>
      <c r="N426" s="11"/>
      <c r="O426" s="11"/>
      <c r="P426" s="82"/>
    </row>
    <row r="427" spans="2:16" s="9" customFormat="1" x14ac:dyDescent="0.2">
      <c r="B427" s="10"/>
      <c r="C427" s="11"/>
      <c r="D427" s="63"/>
      <c r="E427" s="11"/>
      <c r="F427" s="65"/>
      <c r="G427" s="12"/>
      <c r="H427" s="41"/>
      <c r="I427" s="30"/>
      <c r="J427" s="30"/>
      <c r="K427" s="97"/>
      <c r="L427" s="11"/>
      <c r="M427" s="11"/>
      <c r="N427" s="11"/>
      <c r="O427" s="11"/>
      <c r="P427" s="82"/>
    </row>
    <row r="428" spans="2:16" s="9" customFormat="1" x14ac:dyDescent="0.2">
      <c r="B428" s="10"/>
      <c r="C428" s="11"/>
      <c r="D428" s="63"/>
      <c r="E428" s="11"/>
      <c r="F428" s="65"/>
      <c r="G428" s="12"/>
      <c r="H428" s="41"/>
      <c r="I428" s="30"/>
      <c r="J428" s="30"/>
      <c r="K428" s="97"/>
      <c r="L428" s="11"/>
      <c r="M428" s="11"/>
      <c r="N428" s="11"/>
      <c r="O428" s="11"/>
      <c r="P428" s="82"/>
    </row>
    <row r="429" spans="2:16" s="9" customFormat="1" x14ac:dyDescent="0.2">
      <c r="B429" s="10"/>
      <c r="C429" s="11"/>
      <c r="D429" s="63"/>
      <c r="E429" s="11"/>
      <c r="F429" s="65"/>
      <c r="G429" s="12"/>
      <c r="H429" s="41"/>
      <c r="I429" s="30"/>
      <c r="J429" s="30"/>
      <c r="K429" s="97"/>
      <c r="L429" s="11"/>
      <c r="M429" s="11"/>
      <c r="N429" s="11"/>
      <c r="O429" s="11"/>
      <c r="P429" s="82"/>
    </row>
    <row r="430" spans="2:16" s="9" customFormat="1" x14ac:dyDescent="0.2">
      <c r="B430" s="10"/>
      <c r="C430" s="11"/>
      <c r="D430" s="63"/>
      <c r="E430" s="11"/>
      <c r="F430" s="65"/>
      <c r="G430" s="12"/>
      <c r="H430" s="41"/>
      <c r="I430" s="30"/>
      <c r="J430" s="30"/>
      <c r="K430" s="97"/>
      <c r="L430" s="11"/>
      <c r="M430" s="11"/>
      <c r="N430" s="11"/>
      <c r="O430" s="11"/>
      <c r="P430" s="82"/>
    </row>
    <row r="431" spans="2:16" s="9" customFormat="1" x14ac:dyDescent="0.2">
      <c r="B431" s="10"/>
      <c r="C431" s="11"/>
      <c r="D431" s="63"/>
      <c r="E431" s="11"/>
      <c r="F431" s="65"/>
      <c r="G431" s="12"/>
      <c r="H431" s="41"/>
      <c r="I431" s="30"/>
      <c r="J431" s="30"/>
      <c r="K431" s="97"/>
      <c r="L431" s="11"/>
      <c r="M431" s="11"/>
      <c r="N431" s="11"/>
      <c r="O431" s="11"/>
      <c r="P431" s="82"/>
    </row>
    <row r="432" spans="2:16" s="9" customFormat="1" x14ac:dyDescent="0.2">
      <c r="B432" s="10"/>
      <c r="C432" s="11"/>
      <c r="D432" s="63"/>
      <c r="E432" s="11"/>
      <c r="F432" s="65"/>
      <c r="G432" s="12"/>
      <c r="H432" s="41"/>
      <c r="I432" s="30"/>
      <c r="J432" s="30"/>
      <c r="K432" s="97"/>
      <c r="L432" s="11"/>
      <c r="M432" s="11"/>
      <c r="N432" s="11"/>
      <c r="O432" s="11"/>
      <c r="P432" s="82"/>
    </row>
    <row r="433" spans="2:16" s="9" customFormat="1" x14ac:dyDescent="0.2">
      <c r="B433" s="10"/>
      <c r="C433" s="11"/>
      <c r="D433" s="63"/>
      <c r="E433" s="11"/>
      <c r="F433" s="65"/>
      <c r="G433" s="12"/>
      <c r="H433" s="41"/>
      <c r="I433" s="30"/>
      <c r="J433" s="30"/>
      <c r="K433" s="97"/>
      <c r="L433" s="11"/>
      <c r="M433" s="11"/>
      <c r="N433" s="11"/>
      <c r="O433" s="11"/>
      <c r="P433" s="82"/>
    </row>
    <row r="434" spans="2:16" s="9" customFormat="1" x14ac:dyDescent="0.2">
      <c r="B434" s="10"/>
      <c r="C434" s="11"/>
      <c r="D434" s="63"/>
      <c r="E434" s="11"/>
      <c r="F434" s="65"/>
      <c r="G434" s="12"/>
      <c r="H434" s="41"/>
      <c r="I434" s="30"/>
      <c r="J434" s="30"/>
      <c r="K434" s="97"/>
      <c r="L434" s="11"/>
      <c r="M434" s="11"/>
      <c r="N434" s="11"/>
      <c r="O434" s="11"/>
      <c r="P434" s="82"/>
    </row>
    <row r="435" spans="2:16" s="9" customFormat="1" x14ac:dyDescent="0.2">
      <c r="B435" s="10"/>
      <c r="C435" s="11"/>
      <c r="D435" s="63"/>
      <c r="E435" s="11"/>
      <c r="F435" s="65"/>
      <c r="G435" s="12"/>
      <c r="H435" s="41"/>
      <c r="I435" s="30"/>
      <c r="J435" s="30"/>
      <c r="K435" s="97"/>
      <c r="L435" s="11"/>
      <c r="M435" s="11"/>
      <c r="N435" s="11"/>
      <c r="O435" s="11"/>
      <c r="P435" s="82"/>
    </row>
    <row r="436" spans="2:16" s="9" customFormat="1" x14ac:dyDescent="0.2">
      <c r="B436" s="10"/>
      <c r="C436" s="11"/>
      <c r="D436" s="63"/>
      <c r="E436" s="11"/>
      <c r="F436" s="65"/>
      <c r="G436" s="12"/>
      <c r="H436" s="41"/>
      <c r="I436" s="30"/>
      <c r="J436" s="30"/>
      <c r="K436" s="97"/>
      <c r="L436" s="11"/>
      <c r="M436" s="11"/>
      <c r="N436" s="11"/>
      <c r="O436" s="11"/>
      <c r="P436" s="82"/>
    </row>
    <row r="437" spans="2:16" s="9" customFormat="1" x14ac:dyDescent="0.2">
      <c r="B437" s="10"/>
      <c r="C437" s="11"/>
      <c r="D437" s="63"/>
      <c r="E437" s="11"/>
      <c r="F437" s="65"/>
      <c r="G437" s="12"/>
      <c r="H437" s="41"/>
      <c r="I437" s="30"/>
      <c r="J437" s="30"/>
      <c r="K437" s="97"/>
      <c r="L437" s="11"/>
      <c r="M437" s="11"/>
      <c r="N437" s="11"/>
      <c r="O437" s="11"/>
      <c r="P437" s="82"/>
    </row>
    <row r="438" spans="2:16" s="9" customFormat="1" x14ac:dyDescent="0.2">
      <c r="B438" s="10"/>
      <c r="C438" s="11"/>
      <c r="D438" s="63"/>
      <c r="E438" s="11"/>
      <c r="F438" s="65"/>
      <c r="G438" s="12"/>
      <c r="H438" s="41"/>
      <c r="I438" s="30"/>
      <c r="J438" s="30"/>
      <c r="K438" s="97"/>
      <c r="L438" s="11"/>
      <c r="M438" s="11"/>
      <c r="N438" s="11"/>
      <c r="O438" s="11"/>
      <c r="P438" s="82"/>
    </row>
    <row r="439" spans="2:16" s="9" customFormat="1" x14ac:dyDescent="0.2">
      <c r="B439" s="10"/>
      <c r="C439" s="11"/>
      <c r="D439" s="63"/>
      <c r="E439" s="11"/>
      <c r="F439" s="65"/>
      <c r="G439" s="12"/>
      <c r="H439" s="41"/>
      <c r="I439" s="30"/>
      <c r="J439" s="30"/>
      <c r="K439" s="97"/>
      <c r="L439" s="11"/>
      <c r="M439" s="11"/>
      <c r="N439" s="11"/>
      <c r="O439" s="11"/>
      <c r="P439" s="82"/>
    </row>
    <row r="440" spans="2:16" s="9" customFormat="1" x14ac:dyDescent="0.2">
      <c r="B440" s="10"/>
      <c r="C440" s="11"/>
      <c r="D440" s="63"/>
      <c r="E440" s="11"/>
      <c r="F440" s="65"/>
      <c r="G440" s="12"/>
      <c r="H440" s="41"/>
      <c r="I440" s="30"/>
      <c r="J440" s="30"/>
      <c r="K440" s="97"/>
      <c r="L440" s="11"/>
      <c r="M440" s="11"/>
      <c r="N440" s="11"/>
      <c r="O440" s="11"/>
      <c r="P440" s="82"/>
    </row>
    <row r="441" spans="2:16" s="9" customFormat="1" x14ac:dyDescent="0.2">
      <c r="B441" s="10"/>
      <c r="C441" s="11"/>
      <c r="D441" s="63"/>
      <c r="E441" s="11"/>
      <c r="F441" s="65"/>
      <c r="G441" s="12"/>
      <c r="H441" s="41"/>
      <c r="I441" s="30"/>
      <c r="J441" s="30"/>
      <c r="K441" s="97"/>
      <c r="L441" s="11"/>
      <c r="M441" s="11"/>
      <c r="N441" s="11"/>
      <c r="O441" s="11"/>
      <c r="P441" s="82"/>
    </row>
    <row r="442" spans="2:16" s="9" customFormat="1" x14ac:dyDescent="0.2">
      <c r="B442" s="10"/>
      <c r="C442" s="11"/>
      <c r="D442" s="63"/>
      <c r="E442" s="11"/>
      <c r="F442" s="65"/>
      <c r="G442" s="12"/>
      <c r="H442" s="41"/>
      <c r="I442" s="30"/>
      <c r="J442" s="30"/>
      <c r="K442" s="97"/>
      <c r="L442" s="11"/>
      <c r="M442" s="11"/>
      <c r="N442" s="11"/>
      <c r="O442" s="11"/>
      <c r="P442" s="82"/>
    </row>
    <row r="443" spans="2:16" s="9" customFormat="1" x14ac:dyDescent="0.2">
      <c r="B443" s="10"/>
      <c r="C443" s="11"/>
      <c r="D443" s="63"/>
      <c r="E443" s="11"/>
      <c r="F443" s="65"/>
      <c r="G443" s="12"/>
      <c r="H443" s="41"/>
      <c r="I443" s="30"/>
      <c r="J443" s="30"/>
      <c r="K443" s="97"/>
      <c r="L443" s="11"/>
      <c r="M443" s="11"/>
      <c r="N443" s="11"/>
      <c r="O443" s="11"/>
      <c r="P443" s="82"/>
    </row>
    <row r="444" spans="2:16" s="9" customFormat="1" x14ac:dyDescent="0.2">
      <c r="B444" s="10"/>
      <c r="C444" s="11"/>
      <c r="D444" s="63"/>
      <c r="E444" s="11"/>
      <c r="F444" s="65"/>
      <c r="G444" s="12"/>
      <c r="H444" s="41"/>
      <c r="I444" s="30"/>
      <c r="J444" s="30"/>
      <c r="K444" s="97"/>
      <c r="L444" s="11"/>
      <c r="M444" s="11"/>
      <c r="N444" s="11"/>
      <c r="O444" s="11"/>
      <c r="P444" s="82"/>
    </row>
    <row r="445" spans="2:16" s="9" customFormat="1" x14ac:dyDescent="0.2">
      <c r="B445" s="10"/>
      <c r="C445" s="11"/>
      <c r="D445" s="63"/>
      <c r="E445" s="11"/>
      <c r="F445" s="65"/>
      <c r="G445" s="12"/>
      <c r="H445" s="41"/>
      <c r="I445" s="30"/>
      <c r="J445" s="30"/>
      <c r="K445" s="97"/>
      <c r="L445" s="11"/>
      <c r="M445" s="11"/>
      <c r="N445" s="11"/>
      <c r="O445" s="11"/>
      <c r="P445" s="82"/>
    </row>
    <row r="446" spans="2:16" s="9" customFormat="1" x14ac:dyDescent="0.2">
      <c r="B446" s="10"/>
      <c r="C446" s="11"/>
      <c r="D446" s="63"/>
      <c r="E446" s="11"/>
      <c r="F446" s="65"/>
      <c r="G446" s="12"/>
      <c r="H446" s="41"/>
      <c r="I446" s="30"/>
      <c r="J446" s="30"/>
      <c r="K446" s="97"/>
      <c r="L446" s="11"/>
      <c r="M446" s="11"/>
      <c r="N446" s="11"/>
      <c r="O446" s="11"/>
      <c r="P446" s="82"/>
    </row>
    <row r="447" spans="2:16" s="9" customFormat="1" x14ac:dyDescent="0.2">
      <c r="B447" s="10"/>
      <c r="C447" s="11"/>
      <c r="D447" s="63"/>
      <c r="E447" s="11"/>
      <c r="F447" s="65"/>
      <c r="G447" s="12"/>
      <c r="H447" s="41"/>
      <c r="I447" s="30"/>
      <c r="J447" s="30"/>
      <c r="K447" s="97"/>
      <c r="L447" s="11"/>
      <c r="M447" s="11"/>
      <c r="N447" s="11"/>
      <c r="O447" s="11"/>
      <c r="P447" s="82"/>
    </row>
    <row r="448" spans="2:16" s="9" customFormat="1" x14ac:dyDescent="0.2">
      <c r="B448" s="10"/>
      <c r="C448" s="11"/>
      <c r="D448" s="63"/>
      <c r="E448" s="11"/>
      <c r="F448" s="65"/>
      <c r="G448" s="12"/>
      <c r="H448" s="41"/>
      <c r="I448" s="30"/>
      <c r="J448" s="30"/>
      <c r="K448" s="97"/>
      <c r="L448" s="11"/>
      <c r="M448" s="11"/>
      <c r="N448" s="11"/>
      <c r="O448" s="11"/>
      <c r="P448" s="82"/>
    </row>
    <row r="449" spans="2:16" s="9" customFormat="1" x14ac:dyDescent="0.2">
      <c r="B449" s="10"/>
      <c r="C449" s="11"/>
      <c r="D449" s="63"/>
      <c r="E449" s="11"/>
      <c r="F449" s="65"/>
      <c r="G449" s="12"/>
      <c r="H449" s="41"/>
      <c r="I449" s="30"/>
      <c r="J449" s="30"/>
      <c r="K449" s="97"/>
      <c r="L449" s="11"/>
      <c r="M449" s="11"/>
      <c r="N449" s="11"/>
      <c r="O449" s="11"/>
      <c r="P449" s="82"/>
    </row>
    <row r="450" spans="2:16" s="9" customFormat="1" x14ac:dyDescent="0.2">
      <c r="B450" s="10"/>
      <c r="C450" s="11"/>
      <c r="D450" s="63"/>
      <c r="E450" s="11"/>
      <c r="F450" s="65"/>
      <c r="G450" s="12"/>
      <c r="H450" s="41"/>
      <c r="I450" s="30"/>
      <c r="J450" s="30"/>
      <c r="K450" s="97"/>
      <c r="L450" s="11"/>
      <c r="M450" s="11"/>
      <c r="N450" s="11"/>
      <c r="O450" s="11"/>
      <c r="P450" s="82"/>
    </row>
    <row r="451" spans="2:16" s="9" customFormat="1" x14ac:dyDescent="0.2">
      <c r="B451" s="10"/>
      <c r="C451" s="11"/>
      <c r="D451" s="63"/>
      <c r="E451" s="11"/>
      <c r="F451" s="65"/>
      <c r="G451" s="12"/>
      <c r="H451" s="41"/>
      <c r="I451" s="30"/>
      <c r="J451" s="30"/>
      <c r="K451" s="97"/>
      <c r="L451" s="11"/>
      <c r="M451" s="11"/>
      <c r="N451" s="11"/>
      <c r="O451" s="11"/>
      <c r="P451" s="82"/>
    </row>
    <row r="452" spans="2:16" s="9" customFormat="1" x14ac:dyDescent="0.2">
      <c r="B452" s="10"/>
      <c r="C452" s="11"/>
      <c r="D452" s="63"/>
      <c r="E452" s="11"/>
      <c r="F452" s="65"/>
      <c r="G452" s="12"/>
      <c r="H452" s="41"/>
      <c r="I452" s="30"/>
      <c r="J452" s="30"/>
      <c r="K452" s="97"/>
      <c r="L452" s="11"/>
      <c r="M452" s="11"/>
      <c r="N452" s="11"/>
      <c r="O452" s="11"/>
      <c r="P452" s="82"/>
    </row>
    <row r="453" spans="2:16" s="9" customFormat="1" x14ac:dyDescent="0.2">
      <c r="B453" s="10"/>
      <c r="C453" s="11"/>
      <c r="D453" s="63"/>
      <c r="E453" s="11"/>
      <c r="F453" s="65"/>
      <c r="G453" s="12"/>
      <c r="H453" s="41"/>
      <c r="I453" s="30"/>
      <c r="J453" s="30"/>
      <c r="K453" s="97"/>
      <c r="L453" s="11"/>
      <c r="M453" s="11"/>
      <c r="N453" s="11"/>
      <c r="O453" s="11"/>
      <c r="P453" s="82"/>
    </row>
    <row r="454" spans="2:16" s="9" customFormat="1" x14ac:dyDescent="0.2">
      <c r="B454" s="10"/>
      <c r="C454" s="11"/>
      <c r="D454" s="63"/>
      <c r="E454" s="11"/>
      <c r="F454" s="65"/>
      <c r="G454" s="12"/>
      <c r="H454" s="41"/>
      <c r="I454" s="30"/>
      <c r="J454" s="30"/>
      <c r="K454" s="97"/>
      <c r="L454" s="11"/>
      <c r="M454" s="11"/>
      <c r="N454" s="11"/>
      <c r="O454" s="11"/>
      <c r="P454" s="82"/>
    </row>
    <row r="455" spans="2:16" s="9" customFormat="1" x14ac:dyDescent="0.2">
      <c r="B455" s="10"/>
      <c r="C455" s="11"/>
      <c r="D455" s="63"/>
      <c r="E455" s="11"/>
      <c r="F455" s="65"/>
      <c r="G455" s="12"/>
      <c r="H455" s="41"/>
      <c r="I455" s="30"/>
      <c r="J455" s="30"/>
      <c r="K455" s="97"/>
      <c r="L455" s="11"/>
      <c r="M455" s="11"/>
      <c r="N455" s="11"/>
      <c r="O455" s="11"/>
      <c r="P455" s="82"/>
    </row>
    <row r="456" spans="2:16" s="9" customFormat="1" x14ac:dyDescent="0.2">
      <c r="B456" s="10"/>
      <c r="C456" s="11"/>
      <c r="D456" s="63"/>
      <c r="E456" s="11"/>
      <c r="F456" s="65"/>
      <c r="G456" s="12"/>
      <c r="H456" s="41"/>
      <c r="I456" s="30"/>
      <c r="J456" s="30"/>
      <c r="K456" s="97"/>
      <c r="L456" s="11"/>
      <c r="M456" s="11"/>
      <c r="N456" s="11"/>
      <c r="O456" s="11"/>
      <c r="P456" s="82"/>
    </row>
    <row r="457" spans="2:16" s="9" customFormat="1" x14ac:dyDescent="0.2">
      <c r="B457" s="10"/>
      <c r="C457" s="11"/>
      <c r="D457" s="63"/>
      <c r="E457" s="11"/>
      <c r="F457" s="65"/>
      <c r="G457" s="12"/>
      <c r="H457" s="41"/>
      <c r="I457" s="30"/>
      <c r="J457" s="30"/>
      <c r="K457" s="97"/>
      <c r="L457" s="11"/>
      <c r="M457" s="11"/>
      <c r="N457" s="11"/>
      <c r="O457" s="11"/>
      <c r="P457" s="82"/>
    </row>
    <row r="458" spans="2:16" s="9" customFormat="1" x14ac:dyDescent="0.2">
      <c r="B458" s="10"/>
      <c r="C458" s="11"/>
      <c r="D458" s="63"/>
      <c r="E458" s="11"/>
      <c r="F458" s="65"/>
      <c r="G458" s="12"/>
      <c r="H458" s="41"/>
      <c r="I458" s="30"/>
      <c r="J458" s="30"/>
      <c r="K458" s="97"/>
      <c r="L458" s="11"/>
      <c r="M458" s="11"/>
      <c r="N458" s="11"/>
      <c r="O458" s="11"/>
      <c r="P458" s="82"/>
    </row>
    <row r="459" spans="2:16" s="9" customFormat="1" x14ac:dyDescent="0.2">
      <c r="B459" s="10"/>
      <c r="C459" s="11"/>
      <c r="D459" s="63"/>
      <c r="E459" s="11"/>
      <c r="F459" s="65"/>
      <c r="G459" s="12"/>
      <c r="H459" s="41"/>
      <c r="I459" s="30"/>
      <c r="J459" s="30"/>
      <c r="K459" s="97"/>
      <c r="L459" s="11"/>
      <c r="M459" s="11"/>
      <c r="N459" s="11"/>
      <c r="O459" s="11"/>
      <c r="P459" s="82"/>
    </row>
    <row r="460" spans="2:16" s="9" customFormat="1" x14ac:dyDescent="0.2">
      <c r="B460" s="10"/>
      <c r="C460" s="11"/>
      <c r="D460" s="63"/>
      <c r="E460" s="11"/>
      <c r="F460" s="65"/>
      <c r="G460" s="12"/>
      <c r="H460" s="41"/>
      <c r="I460" s="30"/>
      <c r="J460" s="30"/>
      <c r="K460" s="97"/>
      <c r="L460" s="11"/>
      <c r="M460" s="11"/>
      <c r="N460" s="11"/>
      <c r="O460" s="11"/>
      <c r="P460" s="82"/>
    </row>
    <row r="461" spans="2:16" s="9" customFormat="1" x14ac:dyDescent="0.2">
      <c r="B461" s="10"/>
      <c r="C461" s="11"/>
      <c r="D461" s="63"/>
      <c r="E461" s="11"/>
      <c r="F461" s="65"/>
      <c r="G461" s="12"/>
      <c r="H461" s="41"/>
      <c r="I461" s="30"/>
      <c r="J461" s="30"/>
      <c r="K461" s="97"/>
      <c r="L461" s="11"/>
      <c r="M461" s="11"/>
      <c r="N461" s="11"/>
      <c r="O461" s="11"/>
      <c r="P461" s="82"/>
    </row>
    <row r="462" spans="2:16" s="9" customFormat="1" x14ac:dyDescent="0.2">
      <c r="B462" s="10"/>
      <c r="C462" s="11"/>
      <c r="D462" s="63"/>
      <c r="E462" s="11"/>
      <c r="F462" s="65"/>
      <c r="G462" s="12"/>
      <c r="H462" s="41"/>
      <c r="I462" s="30"/>
      <c r="J462" s="30"/>
      <c r="K462" s="97"/>
      <c r="L462" s="11"/>
      <c r="M462" s="11"/>
      <c r="N462" s="11"/>
      <c r="O462" s="11"/>
      <c r="P462" s="82"/>
    </row>
    <row r="463" spans="2:16" s="9" customFormat="1" x14ac:dyDescent="0.2">
      <c r="B463" s="10"/>
      <c r="C463" s="11"/>
      <c r="D463" s="63"/>
      <c r="E463" s="11"/>
      <c r="F463" s="65"/>
      <c r="G463" s="12"/>
      <c r="H463" s="41"/>
      <c r="I463" s="30"/>
      <c r="J463" s="30"/>
      <c r="K463" s="97"/>
      <c r="L463" s="11"/>
      <c r="M463" s="11"/>
      <c r="N463" s="11"/>
      <c r="O463" s="11"/>
      <c r="P463" s="82"/>
    </row>
    <row r="464" spans="2:16" s="9" customFormat="1" x14ac:dyDescent="0.2">
      <c r="B464" s="10"/>
      <c r="C464" s="11"/>
      <c r="D464" s="63"/>
      <c r="E464" s="11"/>
      <c r="F464" s="65"/>
      <c r="G464" s="12"/>
      <c r="H464" s="41"/>
      <c r="I464" s="30"/>
      <c r="J464" s="30"/>
      <c r="K464" s="97"/>
      <c r="L464" s="11"/>
      <c r="M464" s="11"/>
      <c r="N464" s="11"/>
      <c r="O464" s="11"/>
      <c r="P464" s="82"/>
    </row>
    <row r="465" spans="2:16" s="9" customFormat="1" x14ac:dyDescent="0.2">
      <c r="B465" s="10"/>
      <c r="C465" s="11"/>
      <c r="D465" s="63"/>
      <c r="E465" s="11"/>
      <c r="F465" s="65"/>
      <c r="G465" s="12"/>
      <c r="H465" s="41"/>
      <c r="I465" s="30"/>
      <c r="J465" s="30"/>
      <c r="K465" s="97"/>
      <c r="L465" s="11"/>
      <c r="M465" s="11"/>
      <c r="N465" s="11"/>
      <c r="O465" s="11"/>
      <c r="P465" s="82"/>
    </row>
    <row r="466" spans="2:16" s="9" customFormat="1" x14ac:dyDescent="0.2">
      <c r="B466" s="10"/>
      <c r="C466" s="11"/>
      <c r="D466" s="63"/>
      <c r="E466" s="11"/>
      <c r="F466" s="65"/>
      <c r="G466" s="12"/>
      <c r="H466" s="41"/>
      <c r="I466" s="30"/>
      <c r="J466" s="30"/>
      <c r="K466" s="97"/>
      <c r="L466" s="11"/>
      <c r="M466" s="11"/>
      <c r="N466" s="11"/>
      <c r="O466" s="11"/>
      <c r="P466" s="82"/>
    </row>
    <row r="467" spans="2:16" s="9" customFormat="1" x14ac:dyDescent="0.2">
      <c r="B467" s="10"/>
      <c r="C467" s="11"/>
      <c r="D467" s="63"/>
      <c r="E467" s="11"/>
      <c r="F467" s="65"/>
      <c r="G467" s="12"/>
      <c r="H467" s="41"/>
      <c r="I467" s="30"/>
      <c r="J467" s="30"/>
      <c r="K467" s="97"/>
      <c r="L467" s="11"/>
      <c r="M467" s="11"/>
      <c r="N467" s="11"/>
      <c r="O467" s="11"/>
      <c r="P467" s="82"/>
    </row>
    <row r="468" spans="2:16" s="9" customFormat="1" x14ac:dyDescent="0.2">
      <c r="B468" s="10"/>
      <c r="C468" s="11"/>
      <c r="D468" s="63"/>
      <c r="E468" s="11"/>
      <c r="F468" s="65"/>
      <c r="G468" s="12"/>
      <c r="H468" s="41"/>
      <c r="I468" s="30"/>
      <c r="J468" s="30"/>
      <c r="K468" s="97"/>
      <c r="L468" s="11"/>
      <c r="M468" s="11"/>
      <c r="N468" s="11"/>
      <c r="O468" s="11"/>
      <c r="P468" s="82"/>
    </row>
    <row r="469" spans="2:16" s="9" customFormat="1" x14ac:dyDescent="0.2">
      <c r="B469" s="10"/>
      <c r="C469" s="11"/>
      <c r="D469" s="63"/>
      <c r="E469" s="11"/>
      <c r="F469" s="65"/>
      <c r="G469" s="12"/>
      <c r="H469" s="41"/>
      <c r="I469" s="30"/>
      <c r="J469" s="30"/>
      <c r="K469" s="97"/>
      <c r="L469" s="11"/>
      <c r="M469" s="11"/>
      <c r="N469" s="11"/>
      <c r="O469" s="11"/>
      <c r="P469" s="82"/>
    </row>
    <row r="470" spans="2:16" s="9" customFormat="1" x14ac:dyDescent="0.2">
      <c r="B470" s="10"/>
      <c r="C470" s="11"/>
      <c r="D470" s="63"/>
      <c r="E470" s="11"/>
      <c r="F470" s="65"/>
      <c r="G470" s="12"/>
      <c r="H470" s="41"/>
      <c r="I470" s="30"/>
      <c r="J470" s="30"/>
      <c r="K470" s="97"/>
      <c r="L470" s="11"/>
      <c r="M470" s="11"/>
      <c r="N470" s="11"/>
      <c r="O470" s="11"/>
      <c r="P470" s="82"/>
    </row>
    <row r="471" spans="2:16" s="9" customFormat="1" x14ac:dyDescent="0.2">
      <c r="B471" s="10"/>
      <c r="C471" s="11"/>
      <c r="D471" s="63"/>
      <c r="E471" s="11"/>
      <c r="F471" s="65"/>
      <c r="G471" s="12"/>
      <c r="H471" s="41"/>
      <c r="I471" s="30"/>
      <c r="J471" s="30"/>
      <c r="K471" s="97"/>
      <c r="L471" s="11"/>
      <c r="M471" s="11"/>
      <c r="N471" s="11"/>
      <c r="O471" s="11"/>
      <c r="P471" s="82"/>
    </row>
    <row r="472" spans="2:16" s="9" customFormat="1" x14ac:dyDescent="0.2">
      <c r="B472" s="10"/>
      <c r="C472" s="11"/>
      <c r="D472" s="63"/>
      <c r="E472" s="11"/>
      <c r="F472" s="65"/>
      <c r="G472" s="12"/>
      <c r="H472" s="41"/>
      <c r="I472" s="30"/>
      <c r="J472" s="30"/>
      <c r="K472" s="97"/>
      <c r="L472" s="11"/>
      <c r="M472" s="11"/>
      <c r="N472" s="11"/>
      <c r="O472" s="11"/>
      <c r="P472" s="82"/>
    </row>
    <row r="473" spans="2:16" s="9" customFormat="1" x14ac:dyDescent="0.2">
      <c r="B473" s="10"/>
      <c r="C473" s="11"/>
      <c r="D473" s="63"/>
      <c r="E473" s="11"/>
      <c r="F473" s="65"/>
      <c r="G473" s="12"/>
      <c r="H473" s="41"/>
      <c r="I473" s="30"/>
      <c r="J473" s="30"/>
      <c r="K473" s="97"/>
      <c r="L473" s="11"/>
      <c r="M473" s="11"/>
      <c r="N473" s="11"/>
      <c r="O473" s="11"/>
      <c r="P473" s="82"/>
    </row>
    <row r="474" spans="2:16" s="9" customFormat="1" x14ac:dyDescent="0.2">
      <c r="B474" s="10"/>
      <c r="C474" s="11"/>
      <c r="D474" s="63"/>
      <c r="E474" s="11"/>
      <c r="F474" s="65"/>
      <c r="G474" s="12"/>
      <c r="H474" s="41"/>
      <c r="I474" s="30"/>
      <c r="J474" s="30"/>
      <c r="K474" s="97"/>
      <c r="L474" s="11"/>
      <c r="M474" s="11"/>
      <c r="N474" s="11"/>
      <c r="O474" s="11"/>
      <c r="P474" s="82"/>
    </row>
    <row r="475" spans="2:16" s="9" customFormat="1" x14ac:dyDescent="0.2">
      <c r="B475" s="10"/>
      <c r="C475" s="11"/>
      <c r="D475" s="63"/>
      <c r="E475" s="11"/>
      <c r="F475" s="65"/>
      <c r="G475" s="12"/>
      <c r="H475" s="41"/>
      <c r="I475" s="30"/>
      <c r="J475" s="30"/>
      <c r="K475" s="97"/>
      <c r="L475" s="11"/>
      <c r="M475" s="11"/>
      <c r="N475" s="11"/>
      <c r="O475" s="11"/>
      <c r="P475" s="82"/>
    </row>
    <row r="476" spans="2:16" s="9" customFormat="1" x14ac:dyDescent="0.2">
      <c r="B476" s="10"/>
      <c r="C476" s="11"/>
      <c r="D476" s="63"/>
      <c r="E476" s="11"/>
      <c r="F476" s="65"/>
      <c r="G476" s="12"/>
      <c r="H476" s="41"/>
      <c r="I476" s="30"/>
      <c r="J476" s="30"/>
      <c r="K476" s="97"/>
      <c r="L476" s="11"/>
      <c r="M476" s="11"/>
      <c r="N476" s="11"/>
      <c r="O476" s="11"/>
      <c r="P476" s="82"/>
    </row>
    <row r="477" spans="2:16" s="9" customFormat="1" x14ac:dyDescent="0.2">
      <c r="B477" s="10"/>
      <c r="C477" s="11"/>
      <c r="D477" s="63"/>
      <c r="E477" s="11"/>
      <c r="F477" s="65"/>
      <c r="G477" s="12"/>
      <c r="H477" s="41"/>
      <c r="I477" s="30"/>
      <c r="J477" s="30"/>
      <c r="K477" s="97"/>
      <c r="L477" s="11"/>
      <c r="M477" s="11"/>
      <c r="N477" s="11"/>
      <c r="O477" s="11"/>
      <c r="P477" s="82"/>
    </row>
    <row r="478" spans="2:16" s="9" customFormat="1" x14ac:dyDescent="0.2">
      <c r="B478" s="10"/>
      <c r="C478" s="11"/>
      <c r="D478" s="63"/>
      <c r="E478" s="11"/>
      <c r="F478" s="65"/>
      <c r="G478" s="12"/>
      <c r="H478" s="41"/>
      <c r="I478" s="30"/>
      <c r="J478" s="30"/>
      <c r="K478" s="97"/>
      <c r="L478" s="11"/>
      <c r="M478" s="11"/>
      <c r="N478" s="11"/>
      <c r="O478" s="11"/>
      <c r="P478" s="82"/>
    </row>
    <row r="479" spans="2:16" s="9" customFormat="1" x14ac:dyDescent="0.2">
      <c r="B479" s="10"/>
      <c r="C479" s="11"/>
      <c r="D479" s="63"/>
      <c r="E479" s="11"/>
      <c r="F479" s="65"/>
      <c r="G479" s="12"/>
      <c r="H479" s="41"/>
      <c r="I479" s="30"/>
      <c r="J479" s="30"/>
      <c r="K479" s="97"/>
      <c r="L479" s="11"/>
      <c r="M479" s="11"/>
      <c r="N479" s="11"/>
      <c r="O479" s="11"/>
      <c r="P479" s="82"/>
    </row>
    <row r="480" spans="2:16" s="9" customFormat="1" x14ac:dyDescent="0.2">
      <c r="B480" s="10"/>
      <c r="C480" s="11"/>
      <c r="D480" s="63"/>
      <c r="E480" s="11"/>
      <c r="F480" s="65"/>
      <c r="G480" s="12"/>
      <c r="H480" s="41"/>
      <c r="I480" s="30"/>
      <c r="J480" s="30"/>
      <c r="K480" s="97"/>
      <c r="L480" s="11"/>
      <c r="M480" s="11"/>
      <c r="N480" s="11"/>
      <c r="O480" s="11"/>
      <c r="P480" s="82"/>
    </row>
    <row r="481" spans="2:16" s="9" customFormat="1" x14ac:dyDescent="0.2">
      <c r="B481" s="10"/>
      <c r="C481" s="11"/>
      <c r="D481" s="63"/>
      <c r="E481" s="11"/>
      <c r="F481" s="65"/>
      <c r="G481" s="12"/>
      <c r="H481" s="41"/>
      <c r="I481" s="30"/>
      <c r="J481" s="30"/>
      <c r="K481" s="97"/>
      <c r="L481" s="11"/>
      <c r="M481" s="11"/>
      <c r="N481" s="11"/>
      <c r="O481" s="11"/>
      <c r="P481" s="82"/>
    </row>
    <row r="482" spans="2:16" s="9" customFormat="1" x14ac:dyDescent="0.2">
      <c r="B482" s="10"/>
      <c r="C482" s="11"/>
      <c r="D482" s="63"/>
      <c r="E482" s="11"/>
      <c r="F482" s="65"/>
      <c r="G482" s="12"/>
      <c r="H482" s="41"/>
      <c r="I482" s="30"/>
      <c r="J482" s="30"/>
      <c r="K482" s="97"/>
      <c r="L482" s="11"/>
      <c r="M482" s="11"/>
      <c r="N482" s="11"/>
      <c r="O482" s="11"/>
      <c r="P482" s="82"/>
    </row>
    <row r="483" spans="2:16" s="9" customFormat="1" x14ac:dyDescent="0.2">
      <c r="B483" s="10"/>
      <c r="C483" s="11"/>
      <c r="D483" s="63"/>
      <c r="E483" s="11"/>
      <c r="F483" s="65"/>
      <c r="G483" s="12"/>
      <c r="H483" s="41"/>
      <c r="I483" s="30"/>
      <c r="J483" s="30"/>
      <c r="K483" s="97"/>
      <c r="L483" s="11"/>
      <c r="M483" s="11"/>
      <c r="N483" s="11"/>
      <c r="O483" s="11"/>
      <c r="P483" s="82"/>
    </row>
    <row r="484" spans="2:16" s="9" customFormat="1" x14ac:dyDescent="0.2">
      <c r="B484" s="10"/>
      <c r="C484" s="11"/>
      <c r="D484" s="63"/>
      <c r="E484" s="11"/>
      <c r="F484" s="65"/>
      <c r="G484" s="12"/>
      <c r="H484" s="41"/>
      <c r="I484" s="30"/>
      <c r="J484" s="30"/>
      <c r="K484" s="97"/>
      <c r="L484" s="11"/>
      <c r="M484" s="11"/>
      <c r="N484" s="11"/>
      <c r="O484" s="11"/>
      <c r="P484" s="82"/>
    </row>
    <row r="485" spans="2:16" s="9" customFormat="1" x14ac:dyDescent="0.2">
      <c r="B485" s="10"/>
      <c r="C485" s="11"/>
      <c r="D485" s="63"/>
      <c r="E485" s="11"/>
      <c r="F485" s="65"/>
      <c r="G485" s="12"/>
      <c r="H485" s="41"/>
      <c r="I485" s="30"/>
      <c r="J485" s="30"/>
      <c r="K485" s="97"/>
      <c r="L485" s="11"/>
      <c r="M485" s="11"/>
      <c r="N485" s="11"/>
      <c r="O485" s="11"/>
      <c r="P485" s="82"/>
    </row>
    <row r="486" spans="2:16" s="9" customFormat="1" x14ac:dyDescent="0.2">
      <c r="B486" s="10"/>
      <c r="C486" s="11"/>
      <c r="D486" s="63"/>
      <c r="E486" s="11"/>
      <c r="F486" s="65"/>
      <c r="G486" s="12"/>
      <c r="H486" s="41"/>
      <c r="I486" s="30"/>
      <c r="J486" s="30"/>
      <c r="K486" s="97"/>
      <c r="L486" s="11"/>
      <c r="M486" s="11"/>
      <c r="N486" s="11"/>
      <c r="O486" s="11"/>
      <c r="P486" s="82"/>
    </row>
    <row r="487" spans="2:16" s="9" customFormat="1" x14ac:dyDescent="0.2">
      <c r="B487" s="10"/>
      <c r="C487" s="11"/>
      <c r="D487" s="63"/>
      <c r="E487" s="11"/>
      <c r="F487" s="65"/>
      <c r="G487" s="12"/>
      <c r="H487" s="41"/>
      <c r="I487" s="30"/>
      <c r="J487" s="30"/>
      <c r="K487" s="97"/>
      <c r="L487" s="11"/>
      <c r="M487" s="11"/>
      <c r="N487" s="11"/>
      <c r="O487" s="11"/>
      <c r="P487" s="82"/>
    </row>
    <row r="488" spans="2:16" s="9" customFormat="1" x14ac:dyDescent="0.2">
      <c r="B488" s="10"/>
      <c r="C488" s="11"/>
      <c r="D488" s="63"/>
      <c r="E488" s="11"/>
      <c r="F488" s="65"/>
      <c r="G488" s="12"/>
      <c r="H488" s="41"/>
      <c r="I488" s="30"/>
      <c r="J488" s="30"/>
      <c r="K488" s="97"/>
      <c r="L488" s="11"/>
      <c r="M488" s="11"/>
      <c r="N488" s="11"/>
      <c r="O488" s="11"/>
      <c r="P488" s="82"/>
    </row>
    <row r="489" spans="2:16" s="9" customFormat="1" x14ac:dyDescent="0.2">
      <c r="B489" s="10"/>
      <c r="C489" s="11"/>
      <c r="D489" s="63"/>
      <c r="E489" s="11"/>
      <c r="F489" s="65"/>
      <c r="G489" s="12"/>
      <c r="H489" s="41"/>
      <c r="I489" s="30"/>
      <c r="J489" s="30"/>
      <c r="K489" s="97"/>
      <c r="L489" s="11"/>
      <c r="M489" s="11"/>
      <c r="N489" s="11"/>
      <c r="O489" s="11"/>
      <c r="P489" s="82"/>
    </row>
    <row r="490" spans="2:16" s="9" customFormat="1" x14ac:dyDescent="0.2">
      <c r="B490" s="10"/>
      <c r="C490" s="11"/>
      <c r="D490" s="63"/>
      <c r="E490" s="11"/>
      <c r="F490" s="65"/>
      <c r="G490" s="12"/>
      <c r="H490" s="41"/>
      <c r="I490" s="30"/>
      <c r="J490" s="30"/>
      <c r="K490" s="97"/>
      <c r="L490" s="11"/>
      <c r="M490" s="11"/>
      <c r="N490" s="11"/>
      <c r="O490" s="11"/>
      <c r="P490" s="82"/>
    </row>
    <row r="491" spans="2:16" s="9" customFormat="1" x14ac:dyDescent="0.2">
      <c r="B491" s="10"/>
      <c r="C491" s="11"/>
      <c r="D491" s="63"/>
      <c r="E491" s="11"/>
      <c r="F491" s="65"/>
      <c r="G491" s="12"/>
      <c r="H491" s="41"/>
      <c r="I491" s="30"/>
      <c r="J491" s="30"/>
      <c r="K491" s="97"/>
      <c r="L491" s="11"/>
      <c r="M491" s="11"/>
      <c r="N491" s="11"/>
      <c r="O491" s="11"/>
      <c r="P491" s="82"/>
    </row>
    <row r="492" spans="2:16" s="9" customFormat="1" x14ac:dyDescent="0.2">
      <c r="B492" s="10"/>
      <c r="C492" s="11"/>
      <c r="D492" s="63"/>
      <c r="E492" s="11"/>
      <c r="F492" s="65"/>
      <c r="G492" s="12"/>
      <c r="H492" s="41"/>
      <c r="I492" s="30"/>
      <c r="J492" s="30"/>
      <c r="K492" s="97"/>
      <c r="L492" s="11"/>
      <c r="M492" s="11"/>
      <c r="N492" s="11"/>
      <c r="O492" s="11"/>
      <c r="P492" s="82"/>
    </row>
    <row r="493" spans="2:16" s="9" customFormat="1" x14ac:dyDescent="0.2">
      <c r="B493" s="10"/>
      <c r="C493" s="11"/>
      <c r="D493" s="63"/>
      <c r="E493" s="11"/>
      <c r="F493" s="65"/>
      <c r="G493" s="12"/>
      <c r="H493" s="41"/>
      <c r="I493" s="30"/>
      <c r="J493" s="30"/>
      <c r="K493" s="97"/>
      <c r="L493" s="11"/>
      <c r="M493" s="11"/>
      <c r="N493" s="11"/>
      <c r="O493" s="11"/>
      <c r="P493" s="82"/>
    </row>
    <row r="494" spans="2:16" s="9" customFormat="1" x14ac:dyDescent="0.2">
      <c r="B494" s="10"/>
      <c r="C494" s="11"/>
      <c r="D494" s="63"/>
      <c r="E494" s="11"/>
      <c r="F494" s="65"/>
      <c r="G494" s="12"/>
      <c r="H494" s="41"/>
      <c r="I494" s="30"/>
      <c r="J494" s="30"/>
      <c r="K494" s="97"/>
      <c r="L494" s="11"/>
      <c r="M494" s="11"/>
      <c r="N494" s="11"/>
      <c r="O494" s="11"/>
      <c r="P494" s="82"/>
    </row>
    <row r="495" spans="2:16" s="9" customFormat="1" x14ac:dyDescent="0.2">
      <c r="B495" s="10"/>
      <c r="C495" s="11"/>
      <c r="D495" s="63"/>
      <c r="E495" s="11"/>
      <c r="F495" s="65"/>
      <c r="G495" s="12"/>
      <c r="H495" s="41"/>
      <c r="I495" s="30"/>
      <c r="J495" s="30"/>
      <c r="K495" s="97"/>
      <c r="L495" s="11"/>
      <c r="M495" s="11"/>
      <c r="N495" s="11"/>
      <c r="O495" s="11"/>
      <c r="P495" s="82"/>
    </row>
    <row r="496" spans="2:16" s="9" customFormat="1" x14ac:dyDescent="0.2">
      <c r="B496" s="10"/>
      <c r="C496" s="11"/>
      <c r="D496" s="63"/>
      <c r="E496" s="11"/>
      <c r="F496" s="65"/>
      <c r="G496" s="12"/>
      <c r="H496" s="41"/>
      <c r="I496" s="30"/>
      <c r="J496" s="30"/>
      <c r="K496" s="97"/>
      <c r="L496" s="11"/>
      <c r="M496" s="11"/>
      <c r="N496" s="11"/>
      <c r="O496" s="11"/>
      <c r="P496" s="82"/>
    </row>
    <row r="497" spans="2:16" s="9" customFormat="1" x14ac:dyDescent="0.2">
      <c r="B497" s="10"/>
      <c r="C497" s="11"/>
      <c r="D497" s="63"/>
      <c r="E497" s="11"/>
      <c r="F497" s="65"/>
      <c r="G497" s="12"/>
      <c r="H497" s="41"/>
      <c r="I497" s="30"/>
      <c r="J497" s="30"/>
      <c r="K497" s="97"/>
      <c r="L497" s="11"/>
      <c r="M497" s="11"/>
      <c r="N497" s="11"/>
      <c r="O497" s="11"/>
      <c r="P497" s="82"/>
    </row>
    <row r="498" spans="2:16" s="9" customFormat="1" x14ac:dyDescent="0.2">
      <c r="B498" s="10"/>
      <c r="C498" s="11"/>
      <c r="D498" s="63"/>
      <c r="E498" s="11"/>
      <c r="F498" s="65"/>
      <c r="G498" s="12"/>
      <c r="H498" s="41"/>
      <c r="I498" s="30"/>
      <c r="J498" s="30"/>
      <c r="K498" s="97"/>
      <c r="L498" s="11"/>
      <c r="M498" s="11"/>
      <c r="N498" s="11"/>
      <c r="O498" s="11"/>
      <c r="P498" s="82"/>
    </row>
    <row r="499" spans="2:16" s="9" customFormat="1" x14ac:dyDescent="0.2">
      <c r="B499" s="10"/>
      <c r="C499" s="11"/>
      <c r="D499" s="63"/>
      <c r="E499" s="11"/>
      <c r="F499" s="65"/>
      <c r="G499" s="12"/>
      <c r="H499" s="41"/>
      <c r="I499" s="30"/>
      <c r="J499" s="30"/>
      <c r="K499" s="97"/>
      <c r="L499" s="11"/>
      <c r="M499" s="11"/>
      <c r="N499" s="11"/>
      <c r="O499" s="11"/>
      <c r="P499" s="82"/>
    </row>
    <row r="500" spans="2:16" s="9" customFormat="1" x14ac:dyDescent="0.2">
      <c r="B500" s="10"/>
      <c r="C500" s="11"/>
      <c r="D500" s="63"/>
      <c r="E500" s="11"/>
      <c r="F500" s="65"/>
      <c r="G500" s="12"/>
      <c r="H500" s="41"/>
      <c r="I500" s="30"/>
      <c r="J500" s="30"/>
      <c r="K500" s="97"/>
      <c r="L500" s="11"/>
      <c r="M500" s="11"/>
      <c r="N500" s="11"/>
      <c r="O500" s="11"/>
      <c r="P500" s="82"/>
    </row>
    <row r="501" spans="2:16" s="9" customFormat="1" x14ac:dyDescent="0.2">
      <c r="B501" s="10"/>
      <c r="C501" s="11"/>
      <c r="D501" s="63"/>
      <c r="E501" s="11"/>
      <c r="F501" s="65"/>
      <c r="G501" s="12"/>
      <c r="H501" s="41"/>
      <c r="I501" s="30"/>
      <c r="J501" s="30"/>
      <c r="K501" s="97"/>
      <c r="L501" s="11"/>
      <c r="M501" s="11"/>
      <c r="N501" s="11"/>
      <c r="O501" s="11"/>
      <c r="P501" s="82"/>
    </row>
    <row r="502" spans="2:16" s="9" customFormat="1" x14ac:dyDescent="0.2">
      <c r="B502" s="10"/>
      <c r="C502" s="11"/>
      <c r="D502" s="63"/>
      <c r="E502" s="11"/>
      <c r="F502" s="65"/>
      <c r="G502" s="12"/>
      <c r="H502" s="41"/>
      <c r="I502" s="30"/>
      <c r="J502" s="30"/>
      <c r="K502" s="97"/>
      <c r="L502" s="11"/>
      <c r="M502" s="11"/>
      <c r="N502" s="11"/>
      <c r="O502" s="11"/>
      <c r="P502" s="82"/>
    </row>
    <row r="503" spans="2:16" s="9" customFormat="1" x14ac:dyDescent="0.2">
      <c r="B503" s="10"/>
      <c r="C503" s="11"/>
      <c r="D503" s="63"/>
      <c r="E503" s="11"/>
      <c r="F503" s="65"/>
      <c r="G503" s="12"/>
      <c r="H503" s="41"/>
      <c r="I503" s="30"/>
      <c r="J503" s="30"/>
      <c r="K503" s="97"/>
      <c r="L503" s="11"/>
      <c r="M503" s="11"/>
      <c r="N503" s="11"/>
      <c r="O503" s="11"/>
      <c r="P503" s="82"/>
    </row>
    <row r="504" spans="2:16" s="9" customFormat="1" x14ac:dyDescent="0.2">
      <c r="B504" s="10"/>
      <c r="C504" s="11"/>
      <c r="D504" s="63"/>
      <c r="E504" s="11"/>
      <c r="F504" s="65"/>
      <c r="G504" s="12"/>
      <c r="H504" s="41"/>
      <c r="I504" s="30"/>
      <c r="J504" s="30"/>
      <c r="K504" s="97"/>
      <c r="L504" s="11"/>
      <c r="M504" s="11"/>
      <c r="N504" s="11"/>
      <c r="O504" s="11"/>
      <c r="P504" s="82"/>
    </row>
    <row r="505" spans="2:16" s="9" customFormat="1" x14ac:dyDescent="0.2">
      <c r="B505" s="10"/>
      <c r="C505" s="11"/>
      <c r="D505" s="63"/>
      <c r="E505" s="11"/>
      <c r="F505" s="65"/>
      <c r="G505" s="12"/>
      <c r="H505" s="41"/>
      <c r="I505" s="30"/>
      <c r="J505" s="30"/>
      <c r="K505" s="97"/>
      <c r="L505" s="11"/>
      <c r="M505" s="11"/>
      <c r="N505" s="11"/>
      <c r="O505" s="11"/>
      <c r="P505" s="82"/>
    </row>
    <row r="506" spans="2:16" s="9" customFormat="1" x14ac:dyDescent="0.2">
      <c r="B506" s="10"/>
      <c r="C506" s="11"/>
      <c r="D506" s="63"/>
      <c r="E506" s="11"/>
      <c r="F506" s="65"/>
      <c r="G506" s="12"/>
      <c r="H506" s="41"/>
      <c r="I506" s="30"/>
      <c r="J506" s="30"/>
      <c r="K506" s="97"/>
      <c r="L506" s="11"/>
      <c r="M506" s="11"/>
      <c r="N506" s="11"/>
      <c r="O506" s="11"/>
      <c r="P506" s="82"/>
    </row>
    <row r="507" spans="2:16" s="9" customFormat="1" x14ac:dyDescent="0.2">
      <c r="B507" s="10"/>
      <c r="C507" s="11"/>
      <c r="D507" s="63"/>
      <c r="E507" s="11"/>
      <c r="F507" s="65"/>
      <c r="G507" s="12"/>
      <c r="H507" s="41"/>
      <c r="I507" s="30"/>
      <c r="J507" s="30"/>
      <c r="K507" s="97"/>
      <c r="L507" s="11"/>
      <c r="M507" s="11"/>
      <c r="N507" s="11"/>
      <c r="O507" s="11"/>
      <c r="P507" s="82"/>
    </row>
    <row r="508" spans="2:16" s="9" customFormat="1" x14ac:dyDescent="0.2">
      <c r="B508" s="10"/>
      <c r="C508" s="11"/>
      <c r="D508" s="63"/>
      <c r="E508" s="11"/>
      <c r="F508" s="65"/>
      <c r="G508" s="12"/>
      <c r="H508" s="41"/>
      <c r="I508" s="30"/>
      <c r="J508" s="30"/>
      <c r="K508" s="97"/>
      <c r="L508" s="11"/>
      <c r="M508" s="11"/>
      <c r="N508" s="11"/>
      <c r="O508" s="11"/>
      <c r="P508" s="82"/>
    </row>
    <row r="509" spans="2:16" s="9" customFormat="1" x14ac:dyDescent="0.2">
      <c r="B509" s="10"/>
      <c r="C509" s="11"/>
      <c r="D509" s="63"/>
      <c r="E509" s="11"/>
      <c r="F509" s="65"/>
      <c r="G509" s="12"/>
      <c r="H509" s="41"/>
      <c r="I509" s="30"/>
      <c r="J509" s="30"/>
      <c r="K509" s="97"/>
      <c r="L509" s="11"/>
      <c r="M509" s="11"/>
      <c r="N509" s="11"/>
      <c r="O509" s="11"/>
      <c r="P509" s="82"/>
    </row>
    <row r="510" spans="2:16" s="9" customFormat="1" x14ac:dyDescent="0.2">
      <c r="B510" s="10"/>
      <c r="C510" s="11"/>
      <c r="D510" s="63"/>
      <c r="E510" s="11"/>
      <c r="F510" s="65"/>
      <c r="G510" s="12"/>
      <c r="H510" s="41"/>
      <c r="I510" s="30"/>
      <c r="J510" s="30"/>
      <c r="K510" s="97"/>
      <c r="L510" s="11"/>
      <c r="M510" s="11"/>
      <c r="N510" s="11"/>
      <c r="O510" s="11"/>
      <c r="P510" s="82"/>
    </row>
    <row r="511" spans="2:16" s="9" customFormat="1" x14ac:dyDescent="0.2">
      <c r="B511" s="10"/>
      <c r="C511" s="11"/>
      <c r="D511" s="63"/>
      <c r="E511" s="11"/>
      <c r="F511" s="65"/>
      <c r="G511" s="12"/>
      <c r="H511" s="41"/>
      <c r="I511" s="30"/>
      <c r="J511" s="30"/>
      <c r="K511" s="97"/>
      <c r="L511" s="11"/>
      <c r="M511" s="11"/>
      <c r="N511" s="11"/>
      <c r="O511" s="11"/>
      <c r="P511" s="82"/>
    </row>
    <row r="512" spans="2:16" s="9" customFormat="1" x14ac:dyDescent="0.2">
      <c r="B512" s="10"/>
      <c r="C512" s="11"/>
      <c r="D512" s="63"/>
      <c r="E512" s="11"/>
      <c r="F512" s="65"/>
      <c r="G512" s="12"/>
      <c r="H512" s="41"/>
      <c r="I512" s="30"/>
      <c r="J512" s="30"/>
      <c r="K512" s="97"/>
      <c r="L512" s="11"/>
      <c r="M512" s="11"/>
      <c r="N512" s="11"/>
      <c r="O512" s="11"/>
      <c r="P512" s="82"/>
    </row>
    <row r="513" spans="2:16" s="9" customFormat="1" x14ac:dyDescent="0.2">
      <c r="B513" s="10"/>
      <c r="C513" s="11"/>
      <c r="D513" s="63"/>
      <c r="E513" s="11"/>
      <c r="F513" s="65"/>
      <c r="G513" s="12"/>
      <c r="H513" s="41"/>
      <c r="I513" s="30"/>
      <c r="J513" s="30"/>
      <c r="K513" s="97"/>
      <c r="L513" s="11"/>
      <c r="M513" s="11"/>
      <c r="N513" s="11"/>
      <c r="O513" s="11"/>
      <c r="P513" s="82"/>
    </row>
    <row r="514" spans="2:16" s="9" customFormat="1" x14ac:dyDescent="0.2">
      <c r="B514" s="10"/>
      <c r="C514" s="11"/>
      <c r="D514" s="63"/>
      <c r="E514" s="11"/>
      <c r="F514" s="65"/>
      <c r="G514" s="12"/>
      <c r="H514" s="41"/>
      <c r="I514" s="30"/>
      <c r="J514" s="30"/>
      <c r="K514" s="97"/>
      <c r="L514" s="11"/>
      <c r="M514" s="11"/>
      <c r="N514" s="11"/>
      <c r="O514" s="11"/>
      <c r="P514" s="82"/>
    </row>
    <row r="515" spans="2:16" s="9" customFormat="1" x14ac:dyDescent="0.2">
      <c r="B515" s="10"/>
      <c r="C515" s="11"/>
      <c r="D515" s="63"/>
      <c r="E515" s="11"/>
      <c r="F515" s="65"/>
      <c r="G515" s="12"/>
      <c r="H515" s="41"/>
      <c r="I515" s="30"/>
      <c r="J515" s="30"/>
      <c r="K515" s="97"/>
      <c r="L515" s="11"/>
      <c r="M515" s="11"/>
      <c r="N515" s="11"/>
      <c r="O515" s="11"/>
      <c r="P515" s="82"/>
    </row>
    <row r="516" spans="2:16" s="9" customFormat="1" x14ac:dyDescent="0.2">
      <c r="B516" s="10"/>
      <c r="C516" s="11"/>
      <c r="D516" s="63"/>
      <c r="E516" s="11"/>
      <c r="F516" s="65"/>
      <c r="G516" s="12"/>
      <c r="H516" s="41"/>
      <c r="I516" s="30"/>
      <c r="J516" s="30"/>
      <c r="K516" s="97"/>
      <c r="L516" s="11"/>
      <c r="M516" s="11"/>
      <c r="N516" s="11"/>
      <c r="O516" s="11"/>
      <c r="P516" s="82"/>
    </row>
    <row r="517" spans="2:16" s="9" customFormat="1" x14ac:dyDescent="0.2">
      <c r="B517" s="10"/>
      <c r="C517" s="11"/>
      <c r="D517" s="63"/>
      <c r="E517" s="11"/>
      <c r="F517" s="65"/>
      <c r="G517" s="12"/>
      <c r="H517" s="41"/>
      <c r="I517" s="30"/>
      <c r="J517" s="30"/>
      <c r="K517" s="97"/>
      <c r="L517" s="11"/>
      <c r="M517" s="11"/>
      <c r="N517" s="11"/>
      <c r="O517" s="11"/>
      <c r="P517" s="82"/>
    </row>
    <row r="518" spans="2:16" s="9" customFormat="1" x14ac:dyDescent="0.2">
      <c r="B518" s="10"/>
      <c r="C518" s="11"/>
      <c r="D518" s="63"/>
      <c r="E518" s="11"/>
      <c r="F518" s="65"/>
      <c r="G518" s="12"/>
      <c r="H518" s="41"/>
      <c r="I518" s="30"/>
      <c r="J518" s="30"/>
      <c r="K518" s="97"/>
      <c r="L518" s="11"/>
      <c r="M518" s="11"/>
      <c r="N518" s="11"/>
      <c r="O518" s="11"/>
      <c r="P518" s="82"/>
    </row>
    <row r="519" spans="2:16" s="9" customFormat="1" x14ac:dyDescent="0.2">
      <c r="B519" s="10"/>
      <c r="C519" s="11"/>
      <c r="D519" s="63"/>
      <c r="E519" s="11"/>
      <c r="F519" s="65"/>
      <c r="G519" s="12"/>
      <c r="H519" s="41"/>
      <c r="I519" s="30"/>
      <c r="J519" s="30"/>
      <c r="K519" s="97"/>
      <c r="L519" s="11"/>
      <c r="M519" s="11"/>
      <c r="N519" s="11"/>
      <c r="O519" s="11"/>
      <c r="P519" s="82"/>
    </row>
    <row r="520" spans="2:16" s="9" customFormat="1" x14ac:dyDescent="0.2">
      <c r="B520" s="10"/>
      <c r="C520" s="11"/>
      <c r="D520" s="63"/>
      <c r="E520" s="11"/>
      <c r="F520" s="65"/>
      <c r="G520" s="12"/>
      <c r="H520" s="41"/>
      <c r="I520" s="30"/>
      <c r="J520" s="30"/>
      <c r="K520" s="97"/>
      <c r="L520" s="11"/>
      <c r="M520" s="11"/>
      <c r="N520" s="11"/>
      <c r="O520" s="11"/>
      <c r="P520" s="82"/>
    </row>
    <row r="521" spans="2:16" s="9" customFormat="1" x14ac:dyDescent="0.2">
      <c r="B521" s="10"/>
      <c r="C521" s="11"/>
      <c r="D521" s="63"/>
      <c r="E521" s="11"/>
      <c r="F521" s="65"/>
      <c r="G521" s="12"/>
      <c r="H521" s="41"/>
      <c r="I521" s="30"/>
      <c r="J521" s="30"/>
      <c r="K521" s="97"/>
      <c r="L521" s="11"/>
      <c r="M521" s="11"/>
      <c r="N521" s="11"/>
      <c r="O521" s="11"/>
      <c r="P521" s="82"/>
    </row>
    <row r="522" spans="2:16" s="9" customFormat="1" x14ac:dyDescent="0.2">
      <c r="B522" s="10"/>
      <c r="C522" s="11"/>
      <c r="D522" s="63"/>
      <c r="E522" s="11"/>
      <c r="F522" s="65"/>
      <c r="G522" s="12"/>
      <c r="H522" s="41"/>
      <c r="I522" s="30"/>
      <c r="J522" s="30"/>
      <c r="K522" s="97"/>
      <c r="L522" s="11"/>
      <c r="M522" s="11"/>
      <c r="N522" s="11"/>
      <c r="O522" s="11"/>
      <c r="P522" s="82"/>
    </row>
    <row r="523" spans="2:16" s="9" customFormat="1" x14ac:dyDescent="0.2">
      <c r="B523" s="10"/>
      <c r="C523" s="11"/>
      <c r="D523" s="63"/>
      <c r="E523" s="11"/>
      <c r="F523" s="65"/>
      <c r="G523" s="12"/>
      <c r="H523" s="41"/>
      <c r="I523" s="30"/>
      <c r="J523" s="30"/>
      <c r="K523" s="97"/>
      <c r="L523" s="11"/>
      <c r="M523" s="11"/>
      <c r="N523" s="11"/>
      <c r="O523" s="11"/>
      <c r="P523" s="82"/>
    </row>
    <row r="524" spans="2:16" s="9" customFormat="1" x14ac:dyDescent="0.2">
      <c r="B524" s="10"/>
      <c r="C524" s="11"/>
      <c r="D524" s="63"/>
      <c r="E524" s="11"/>
      <c r="F524" s="65"/>
      <c r="G524" s="12"/>
      <c r="H524" s="41"/>
      <c r="I524" s="30"/>
      <c r="J524" s="30"/>
      <c r="K524" s="97"/>
      <c r="L524" s="11"/>
      <c r="M524" s="11"/>
      <c r="N524" s="11"/>
      <c r="O524" s="11"/>
      <c r="P524" s="82"/>
    </row>
    <row r="525" spans="2:16" s="9" customFormat="1" x14ac:dyDescent="0.2">
      <c r="B525" s="10"/>
      <c r="C525" s="11"/>
      <c r="D525" s="63"/>
      <c r="E525" s="11"/>
      <c r="F525" s="65"/>
      <c r="G525" s="12"/>
      <c r="H525" s="41"/>
      <c r="I525" s="30"/>
      <c r="J525" s="30"/>
      <c r="K525" s="97"/>
      <c r="L525" s="11"/>
      <c r="M525" s="11"/>
      <c r="N525" s="11"/>
      <c r="O525" s="11"/>
      <c r="P525" s="82"/>
    </row>
    <row r="526" spans="2:16" s="9" customFormat="1" x14ac:dyDescent="0.2">
      <c r="B526" s="10"/>
      <c r="C526" s="11"/>
      <c r="D526" s="63"/>
      <c r="E526" s="11"/>
      <c r="F526" s="65"/>
      <c r="G526" s="12"/>
      <c r="H526" s="41"/>
      <c r="I526" s="30"/>
      <c r="J526" s="30"/>
      <c r="K526" s="97"/>
      <c r="L526" s="11"/>
      <c r="M526" s="11"/>
      <c r="N526" s="11"/>
      <c r="O526" s="11"/>
      <c r="P526" s="82"/>
    </row>
    <row r="527" spans="2:16" s="9" customFormat="1" x14ac:dyDescent="0.2">
      <c r="B527" s="10"/>
      <c r="C527" s="11"/>
      <c r="D527" s="63"/>
      <c r="E527" s="11"/>
      <c r="F527" s="65"/>
      <c r="G527" s="12"/>
      <c r="H527" s="41"/>
      <c r="I527" s="30"/>
      <c r="J527" s="30"/>
      <c r="K527" s="97"/>
      <c r="L527" s="11"/>
      <c r="M527" s="11"/>
      <c r="N527" s="11"/>
      <c r="O527" s="11"/>
      <c r="P527" s="82"/>
    </row>
    <row r="528" spans="2:16" s="9" customFormat="1" x14ac:dyDescent="0.2">
      <c r="B528" s="10"/>
      <c r="C528" s="11"/>
      <c r="D528" s="63"/>
      <c r="E528" s="11"/>
      <c r="F528" s="65"/>
      <c r="G528" s="12"/>
      <c r="H528" s="41"/>
      <c r="I528" s="30"/>
      <c r="J528" s="30"/>
      <c r="K528" s="97"/>
      <c r="L528" s="11"/>
      <c r="M528" s="11"/>
      <c r="N528" s="11"/>
      <c r="O528" s="11"/>
      <c r="P528" s="82"/>
    </row>
    <row r="529" spans="2:16" s="9" customFormat="1" x14ac:dyDescent="0.2">
      <c r="B529" s="10"/>
      <c r="C529" s="11"/>
      <c r="D529" s="63"/>
      <c r="E529" s="11"/>
      <c r="F529" s="65"/>
      <c r="G529" s="12"/>
      <c r="H529" s="41"/>
      <c r="I529" s="30"/>
      <c r="J529" s="30"/>
      <c r="K529" s="97"/>
      <c r="L529" s="11"/>
      <c r="M529" s="11"/>
      <c r="N529" s="11"/>
      <c r="O529" s="11"/>
      <c r="P529" s="82"/>
    </row>
    <row r="530" spans="2:16" s="9" customFormat="1" x14ac:dyDescent="0.2">
      <c r="B530" s="10"/>
      <c r="C530" s="11"/>
      <c r="D530" s="63"/>
      <c r="E530" s="11"/>
      <c r="F530" s="65"/>
      <c r="G530" s="12"/>
      <c r="H530" s="41"/>
      <c r="I530" s="30"/>
      <c r="J530" s="30"/>
      <c r="K530" s="97"/>
      <c r="L530" s="11"/>
      <c r="M530" s="11"/>
      <c r="N530" s="11"/>
      <c r="O530" s="11"/>
      <c r="P530" s="82"/>
    </row>
    <row r="531" spans="2:16" s="9" customFormat="1" x14ac:dyDescent="0.2">
      <c r="B531" s="10"/>
      <c r="C531" s="11"/>
      <c r="D531" s="63"/>
      <c r="E531" s="11"/>
      <c r="F531" s="65"/>
      <c r="G531" s="12"/>
      <c r="H531" s="41"/>
      <c r="I531" s="30"/>
      <c r="J531" s="30"/>
      <c r="K531" s="97"/>
      <c r="L531" s="11"/>
      <c r="M531" s="11"/>
      <c r="N531" s="11"/>
      <c r="O531" s="11"/>
      <c r="P531" s="82"/>
    </row>
    <row r="532" spans="2:16" s="9" customFormat="1" x14ac:dyDescent="0.2">
      <c r="B532" s="10"/>
      <c r="C532" s="11"/>
      <c r="D532" s="63"/>
      <c r="E532" s="11"/>
      <c r="F532" s="65"/>
      <c r="G532" s="12"/>
      <c r="H532" s="41"/>
      <c r="I532" s="30"/>
      <c r="J532" s="30"/>
      <c r="K532" s="97"/>
      <c r="L532" s="11"/>
      <c r="M532" s="11"/>
      <c r="N532" s="11"/>
      <c r="O532" s="11"/>
      <c r="P532" s="82"/>
    </row>
    <row r="533" spans="2:16" s="9" customFormat="1" x14ac:dyDescent="0.2">
      <c r="B533" s="10"/>
      <c r="C533" s="11"/>
      <c r="D533" s="63"/>
      <c r="E533" s="11"/>
      <c r="F533" s="65"/>
      <c r="G533" s="12"/>
      <c r="H533" s="41"/>
      <c r="I533" s="30"/>
      <c r="J533" s="30"/>
      <c r="K533" s="97"/>
      <c r="L533" s="11"/>
      <c r="M533" s="11"/>
      <c r="N533" s="11"/>
      <c r="O533" s="11"/>
      <c r="P533" s="82"/>
    </row>
    <row r="534" spans="2:16" s="9" customFormat="1" x14ac:dyDescent="0.2">
      <c r="B534" s="10"/>
      <c r="C534" s="11"/>
      <c r="D534" s="63"/>
      <c r="E534" s="11"/>
      <c r="F534" s="65"/>
      <c r="G534" s="12"/>
      <c r="H534" s="41"/>
      <c r="I534" s="30"/>
      <c r="J534" s="30"/>
      <c r="K534" s="97"/>
      <c r="L534" s="11"/>
      <c r="M534" s="11"/>
      <c r="N534" s="11"/>
      <c r="O534" s="11"/>
      <c r="P534" s="82"/>
    </row>
    <row r="535" spans="2:16" s="9" customFormat="1" x14ac:dyDescent="0.2">
      <c r="B535" s="10"/>
      <c r="C535" s="11"/>
      <c r="D535" s="63"/>
      <c r="E535" s="11"/>
      <c r="F535" s="65"/>
      <c r="G535" s="12"/>
      <c r="H535" s="41"/>
      <c r="I535" s="30"/>
      <c r="J535" s="30"/>
      <c r="K535" s="97"/>
      <c r="L535" s="11"/>
      <c r="M535" s="11"/>
      <c r="N535" s="11"/>
      <c r="O535" s="11"/>
      <c r="P535" s="82"/>
    </row>
    <row r="536" spans="2:16" s="9" customFormat="1" x14ac:dyDescent="0.2">
      <c r="B536" s="10"/>
      <c r="C536" s="11"/>
      <c r="D536" s="63"/>
      <c r="E536" s="11"/>
      <c r="F536" s="65"/>
      <c r="G536" s="12"/>
      <c r="H536" s="41"/>
      <c r="I536" s="30"/>
      <c r="J536" s="30"/>
      <c r="K536" s="97"/>
      <c r="L536" s="11"/>
      <c r="M536" s="11"/>
      <c r="N536" s="11"/>
      <c r="O536" s="11"/>
      <c r="P536" s="82"/>
    </row>
    <row r="537" spans="2:16" s="9" customFormat="1" x14ac:dyDescent="0.2">
      <c r="B537" s="10"/>
      <c r="C537" s="11"/>
      <c r="D537" s="63"/>
      <c r="E537" s="11"/>
      <c r="F537" s="65"/>
      <c r="G537" s="12"/>
      <c r="H537" s="41"/>
      <c r="I537" s="30"/>
      <c r="J537" s="30"/>
      <c r="K537" s="97"/>
      <c r="L537" s="11"/>
      <c r="M537" s="11"/>
      <c r="N537" s="11"/>
      <c r="O537" s="11"/>
      <c r="P537" s="82"/>
    </row>
    <row r="538" spans="2:16" s="9" customFormat="1" x14ac:dyDescent="0.2">
      <c r="B538" s="10"/>
      <c r="C538" s="11"/>
      <c r="D538" s="63"/>
      <c r="E538" s="11"/>
      <c r="F538" s="65"/>
      <c r="G538" s="12"/>
      <c r="H538" s="41"/>
      <c r="I538" s="30"/>
      <c r="J538" s="30"/>
      <c r="K538" s="97"/>
      <c r="L538" s="11"/>
      <c r="M538" s="11"/>
      <c r="N538" s="11"/>
      <c r="O538" s="11"/>
      <c r="P538" s="82"/>
    </row>
    <row r="539" spans="2:16" s="9" customFormat="1" x14ac:dyDescent="0.2">
      <c r="B539" s="10"/>
      <c r="C539" s="11"/>
      <c r="D539" s="63"/>
      <c r="E539" s="11"/>
      <c r="F539" s="65"/>
      <c r="G539" s="12"/>
      <c r="H539" s="41"/>
      <c r="I539" s="30"/>
      <c r="J539" s="30"/>
      <c r="K539" s="97"/>
      <c r="L539" s="11"/>
      <c r="M539" s="11"/>
      <c r="N539" s="11"/>
      <c r="O539" s="11"/>
      <c r="P539" s="82"/>
    </row>
    <row r="540" spans="2:16" s="9" customFormat="1" x14ac:dyDescent="0.2">
      <c r="B540" s="10"/>
      <c r="C540" s="11"/>
      <c r="D540" s="63"/>
      <c r="E540" s="11"/>
      <c r="F540" s="65"/>
      <c r="G540" s="12"/>
      <c r="H540" s="41"/>
      <c r="I540" s="30"/>
      <c r="J540" s="30"/>
      <c r="K540" s="97"/>
      <c r="L540" s="11"/>
      <c r="M540" s="11"/>
      <c r="N540" s="11"/>
      <c r="O540" s="11"/>
      <c r="P540" s="82"/>
    </row>
    <row r="541" spans="2:16" s="9" customFormat="1" x14ac:dyDescent="0.2">
      <c r="B541" s="10"/>
      <c r="C541" s="11"/>
      <c r="D541" s="63"/>
      <c r="E541" s="11"/>
      <c r="F541" s="65"/>
      <c r="G541" s="12"/>
      <c r="H541" s="41"/>
      <c r="I541" s="30"/>
      <c r="J541" s="30"/>
      <c r="K541" s="97"/>
      <c r="L541" s="11"/>
      <c r="M541" s="11"/>
      <c r="N541" s="11"/>
      <c r="O541" s="11"/>
      <c r="P541" s="82"/>
    </row>
    <row r="542" spans="2:16" s="9" customFormat="1" x14ac:dyDescent="0.2">
      <c r="B542" s="10"/>
      <c r="C542" s="11"/>
      <c r="D542" s="63"/>
      <c r="E542" s="11"/>
      <c r="F542" s="65"/>
      <c r="G542" s="12"/>
      <c r="H542" s="41"/>
      <c r="I542" s="30"/>
      <c r="J542" s="30"/>
      <c r="K542" s="97"/>
      <c r="L542" s="11"/>
      <c r="M542" s="11"/>
      <c r="N542" s="11"/>
      <c r="O542" s="11"/>
      <c r="P542" s="82"/>
    </row>
    <row r="543" spans="2:16" s="9" customFormat="1" x14ac:dyDescent="0.2">
      <c r="B543" s="10"/>
      <c r="C543" s="11"/>
      <c r="D543" s="63"/>
      <c r="E543" s="11"/>
      <c r="F543" s="65"/>
      <c r="G543" s="12"/>
      <c r="H543" s="41"/>
      <c r="I543" s="30"/>
      <c r="J543" s="30"/>
      <c r="K543" s="97"/>
      <c r="L543" s="11"/>
      <c r="M543" s="11"/>
      <c r="N543" s="11"/>
      <c r="O543" s="11"/>
      <c r="P543" s="82"/>
    </row>
    <row r="544" spans="2:16" s="9" customFormat="1" x14ac:dyDescent="0.2">
      <c r="B544" s="10"/>
      <c r="C544" s="11"/>
      <c r="D544" s="63"/>
      <c r="E544" s="11"/>
      <c r="F544" s="65"/>
      <c r="G544" s="12"/>
      <c r="H544" s="41"/>
      <c r="I544" s="30"/>
      <c r="J544" s="30"/>
      <c r="K544" s="97"/>
      <c r="L544" s="11"/>
      <c r="M544" s="11"/>
      <c r="N544" s="11"/>
      <c r="O544" s="11"/>
      <c r="P544" s="82"/>
    </row>
    <row r="545" spans="2:16" s="9" customFormat="1" x14ac:dyDescent="0.2">
      <c r="B545" s="10"/>
      <c r="C545" s="11"/>
      <c r="D545" s="63"/>
      <c r="E545" s="11"/>
      <c r="F545" s="65"/>
      <c r="G545" s="12"/>
      <c r="H545" s="41"/>
      <c r="I545" s="30"/>
      <c r="J545" s="30"/>
      <c r="K545" s="97"/>
      <c r="L545" s="11"/>
      <c r="M545" s="11"/>
      <c r="N545" s="11"/>
      <c r="O545" s="11"/>
      <c r="P545" s="82"/>
    </row>
    <row r="546" spans="2:16" s="9" customFormat="1" x14ac:dyDescent="0.2">
      <c r="B546" s="10"/>
      <c r="C546" s="11"/>
      <c r="D546" s="63"/>
      <c r="E546" s="11"/>
      <c r="F546" s="65"/>
      <c r="G546" s="12"/>
      <c r="H546" s="41"/>
      <c r="I546" s="30"/>
      <c r="J546" s="30"/>
      <c r="K546" s="97"/>
      <c r="L546" s="11"/>
      <c r="M546" s="11"/>
      <c r="N546" s="11"/>
      <c r="O546" s="11"/>
      <c r="P546" s="82"/>
    </row>
    <row r="547" spans="2:16" s="9" customFormat="1" x14ac:dyDescent="0.2">
      <c r="B547" s="10"/>
      <c r="C547" s="11"/>
      <c r="D547" s="63"/>
      <c r="E547" s="11"/>
      <c r="F547" s="65"/>
      <c r="G547" s="12"/>
      <c r="H547" s="41"/>
      <c r="I547" s="30"/>
      <c r="J547" s="30"/>
      <c r="K547" s="97"/>
      <c r="L547" s="11"/>
      <c r="M547" s="11"/>
      <c r="N547" s="11"/>
      <c r="O547" s="11"/>
      <c r="P547" s="82"/>
    </row>
    <row r="548" spans="2:16" s="9" customFormat="1" x14ac:dyDescent="0.2">
      <c r="B548" s="10"/>
      <c r="C548" s="11"/>
      <c r="D548" s="63"/>
      <c r="E548" s="11"/>
      <c r="F548" s="65"/>
      <c r="G548" s="12"/>
      <c r="H548" s="41"/>
      <c r="I548" s="30"/>
      <c r="J548" s="30"/>
      <c r="K548" s="97"/>
      <c r="L548" s="11"/>
      <c r="M548" s="11"/>
      <c r="N548" s="11"/>
      <c r="O548" s="11"/>
      <c r="P548" s="82"/>
    </row>
    <row r="549" spans="2:16" s="9" customFormat="1" x14ac:dyDescent="0.2">
      <c r="B549" s="10"/>
      <c r="C549" s="11"/>
      <c r="D549" s="63"/>
      <c r="E549" s="11"/>
      <c r="F549" s="65"/>
      <c r="G549" s="12"/>
      <c r="H549" s="41"/>
      <c r="I549" s="30"/>
      <c r="J549" s="30"/>
      <c r="K549" s="97"/>
      <c r="L549" s="11"/>
      <c r="M549" s="11"/>
      <c r="N549" s="11"/>
      <c r="O549" s="11"/>
      <c r="P549" s="82"/>
    </row>
    <row r="550" spans="2:16" s="9" customFormat="1" x14ac:dyDescent="0.2">
      <c r="B550" s="10"/>
      <c r="C550" s="11"/>
      <c r="D550" s="63"/>
      <c r="E550" s="11"/>
      <c r="F550" s="65"/>
      <c r="G550" s="12"/>
      <c r="H550" s="41"/>
      <c r="I550" s="30"/>
      <c r="J550" s="30"/>
      <c r="K550" s="97"/>
      <c r="L550" s="11"/>
      <c r="M550" s="11"/>
      <c r="N550" s="11"/>
      <c r="O550" s="11"/>
      <c r="P550" s="82"/>
    </row>
    <row r="551" spans="2:16" s="9" customFormat="1" x14ac:dyDescent="0.2">
      <c r="B551" s="10"/>
      <c r="C551" s="11"/>
      <c r="D551" s="63"/>
      <c r="E551" s="11"/>
      <c r="F551" s="65"/>
      <c r="G551" s="12"/>
      <c r="H551" s="41"/>
      <c r="I551" s="30"/>
      <c r="J551" s="30"/>
      <c r="K551" s="97"/>
      <c r="L551" s="11"/>
      <c r="M551" s="11"/>
      <c r="N551" s="11"/>
      <c r="O551" s="11"/>
      <c r="P551" s="82"/>
    </row>
    <row r="552" spans="2:16" s="9" customFormat="1" x14ac:dyDescent="0.2">
      <c r="B552" s="10"/>
      <c r="C552" s="11"/>
      <c r="D552" s="63"/>
      <c r="E552" s="11"/>
      <c r="F552" s="65"/>
      <c r="G552" s="12"/>
      <c r="H552" s="41"/>
      <c r="I552" s="30"/>
      <c r="J552" s="30"/>
      <c r="K552" s="97"/>
      <c r="L552" s="11"/>
      <c r="M552" s="11"/>
      <c r="N552" s="11"/>
      <c r="O552" s="11"/>
      <c r="P552" s="82"/>
    </row>
    <row r="553" spans="2:16" s="9" customFormat="1" x14ac:dyDescent="0.2">
      <c r="B553" s="10"/>
      <c r="C553" s="11"/>
      <c r="D553" s="63"/>
      <c r="E553" s="11"/>
      <c r="F553" s="65"/>
      <c r="G553" s="12"/>
      <c r="H553" s="41"/>
      <c r="I553" s="30"/>
      <c r="J553" s="30"/>
      <c r="K553" s="97"/>
      <c r="L553" s="11"/>
      <c r="M553" s="11"/>
      <c r="N553" s="11"/>
      <c r="O553" s="11"/>
      <c r="P553" s="82"/>
    </row>
    <row r="554" spans="2:16" s="9" customFormat="1" x14ac:dyDescent="0.2">
      <c r="B554" s="10"/>
      <c r="C554" s="11"/>
      <c r="D554" s="63"/>
      <c r="E554" s="11"/>
      <c r="F554" s="65"/>
      <c r="G554" s="12"/>
      <c r="H554" s="41"/>
      <c r="I554" s="30"/>
      <c r="J554" s="30"/>
      <c r="K554" s="97"/>
      <c r="L554" s="11"/>
      <c r="M554" s="11"/>
      <c r="N554" s="11"/>
      <c r="O554" s="11"/>
      <c r="P554" s="82"/>
    </row>
    <row r="555" spans="2:16" s="9" customFormat="1" x14ac:dyDescent="0.2">
      <c r="B555" s="10"/>
      <c r="C555" s="11"/>
      <c r="D555" s="63"/>
      <c r="E555" s="11"/>
      <c r="F555" s="65"/>
      <c r="G555" s="12"/>
      <c r="H555" s="41"/>
      <c r="I555" s="30"/>
      <c r="J555" s="30"/>
      <c r="K555" s="97"/>
      <c r="L555" s="11"/>
      <c r="M555" s="11"/>
      <c r="N555" s="11"/>
      <c r="O555" s="11"/>
      <c r="P555" s="82"/>
    </row>
    <row r="556" spans="2:16" s="9" customFormat="1" x14ac:dyDescent="0.2">
      <c r="B556" s="10"/>
      <c r="C556" s="11"/>
      <c r="D556" s="63"/>
      <c r="E556" s="11"/>
      <c r="F556" s="65"/>
      <c r="G556" s="12"/>
      <c r="H556" s="41"/>
      <c r="I556" s="30"/>
      <c r="J556" s="30"/>
      <c r="K556" s="97"/>
      <c r="L556" s="11"/>
      <c r="M556" s="11"/>
      <c r="N556" s="11"/>
      <c r="O556" s="11"/>
      <c r="P556" s="82"/>
    </row>
    <row r="557" spans="2:16" s="9" customFormat="1" x14ac:dyDescent="0.2">
      <c r="B557" s="10"/>
      <c r="C557" s="11"/>
      <c r="D557" s="63"/>
      <c r="E557" s="11"/>
      <c r="F557" s="65"/>
      <c r="G557" s="12"/>
      <c r="H557" s="41"/>
      <c r="I557" s="30"/>
      <c r="J557" s="30"/>
      <c r="K557" s="97"/>
      <c r="L557" s="11"/>
      <c r="M557" s="11"/>
      <c r="N557" s="11"/>
      <c r="O557" s="11"/>
      <c r="P557" s="82"/>
    </row>
    <row r="558" spans="2:16" s="9" customFormat="1" x14ac:dyDescent="0.2">
      <c r="B558" s="10"/>
      <c r="C558" s="11"/>
      <c r="D558" s="63"/>
      <c r="E558" s="11"/>
      <c r="F558" s="65"/>
      <c r="G558" s="12"/>
      <c r="H558" s="41"/>
      <c r="I558" s="30"/>
      <c r="J558" s="30"/>
      <c r="K558" s="97"/>
      <c r="L558" s="11"/>
      <c r="M558" s="11"/>
      <c r="N558" s="11"/>
      <c r="O558" s="11"/>
      <c r="P558" s="82"/>
    </row>
    <row r="559" spans="2:16" s="9" customFormat="1" x14ac:dyDescent="0.2">
      <c r="B559" s="10"/>
      <c r="C559" s="11"/>
      <c r="D559" s="63"/>
      <c r="E559" s="11"/>
      <c r="F559" s="65"/>
      <c r="G559" s="12"/>
      <c r="H559" s="41"/>
      <c r="I559" s="30"/>
      <c r="J559" s="30"/>
      <c r="K559" s="97"/>
      <c r="L559" s="11"/>
      <c r="M559" s="11"/>
      <c r="N559" s="11"/>
      <c r="O559" s="11"/>
      <c r="P559" s="82"/>
    </row>
    <row r="560" spans="2:16" s="9" customFormat="1" x14ac:dyDescent="0.2">
      <c r="B560" s="10"/>
      <c r="C560" s="11"/>
      <c r="D560" s="63"/>
      <c r="E560" s="11"/>
      <c r="F560" s="65"/>
      <c r="G560" s="12"/>
      <c r="H560" s="41"/>
      <c r="I560" s="30"/>
      <c r="J560" s="30"/>
      <c r="K560" s="97"/>
      <c r="L560" s="11"/>
      <c r="M560" s="11"/>
      <c r="N560" s="11"/>
      <c r="O560" s="11"/>
      <c r="P560" s="82"/>
    </row>
    <row r="561" spans="2:16" s="9" customFormat="1" x14ac:dyDescent="0.2">
      <c r="B561" s="10"/>
      <c r="C561" s="11"/>
      <c r="D561" s="63"/>
      <c r="E561" s="11"/>
      <c r="F561" s="65"/>
      <c r="G561" s="12"/>
      <c r="H561" s="41"/>
      <c r="I561" s="30"/>
      <c r="J561" s="30"/>
      <c r="K561" s="97"/>
      <c r="L561" s="11"/>
      <c r="M561" s="11"/>
      <c r="N561" s="11"/>
      <c r="O561" s="11"/>
      <c r="P561" s="82"/>
    </row>
    <row r="562" spans="2:16" s="9" customFormat="1" x14ac:dyDescent="0.2">
      <c r="B562" s="10"/>
      <c r="C562" s="11"/>
      <c r="D562" s="63"/>
      <c r="E562" s="11"/>
      <c r="F562" s="65"/>
      <c r="G562" s="12"/>
      <c r="H562" s="41"/>
      <c r="I562" s="30"/>
      <c r="J562" s="30"/>
      <c r="K562" s="97"/>
      <c r="L562" s="11"/>
      <c r="M562" s="11"/>
      <c r="N562" s="11"/>
      <c r="O562" s="11"/>
      <c r="P562" s="82"/>
    </row>
    <row r="563" spans="2:16" s="9" customFormat="1" x14ac:dyDescent="0.2">
      <c r="B563" s="10"/>
      <c r="C563" s="11"/>
      <c r="D563" s="63"/>
      <c r="E563" s="11"/>
      <c r="F563" s="65"/>
      <c r="G563" s="12"/>
      <c r="H563" s="41"/>
      <c r="I563" s="30"/>
      <c r="J563" s="30"/>
      <c r="K563" s="97"/>
      <c r="L563" s="11"/>
      <c r="M563" s="11"/>
      <c r="N563" s="11"/>
      <c r="O563" s="11"/>
      <c r="P563" s="82"/>
    </row>
    <row r="564" spans="2:16" s="9" customFormat="1" x14ac:dyDescent="0.2">
      <c r="B564" s="10"/>
      <c r="C564" s="11"/>
      <c r="D564" s="63"/>
      <c r="E564" s="11"/>
      <c r="F564" s="65"/>
      <c r="G564" s="12"/>
      <c r="H564" s="41"/>
      <c r="I564" s="30"/>
      <c r="J564" s="30"/>
      <c r="K564" s="97"/>
      <c r="L564" s="11"/>
      <c r="M564" s="11"/>
      <c r="N564" s="11"/>
      <c r="O564" s="11"/>
      <c r="P564" s="82"/>
    </row>
    <row r="565" spans="2:16" s="9" customFormat="1" x14ac:dyDescent="0.2">
      <c r="B565" s="10"/>
      <c r="C565" s="11"/>
      <c r="D565" s="63"/>
      <c r="E565" s="11"/>
      <c r="F565" s="65"/>
      <c r="G565" s="12"/>
      <c r="H565" s="41"/>
      <c r="I565" s="30"/>
      <c r="J565" s="30"/>
      <c r="K565" s="97"/>
      <c r="L565" s="11"/>
      <c r="M565" s="11"/>
      <c r="N565" s="11"/>
      <c r="O565" s="11"/>
      <c r="P565" s="82"/>
    </row>
    <row r="566" spans="2:16" s="9" customFormat="1" x14ac:dyDescent="0.2">
      <c r="B566" s="10"/>
      <c r="C566" s="11"/>
      <c r="D566" s="63"/>
      <c r="E566" s="11"/>
      <c r="F566" s="65"/>
      <c r="G566" s="12"/>
      <c r="H566" s="41"/>
      <c r="I566" s="30"/>
      <c r="J566" s="30"/>
      <c r="K566" s="97"/>
      <c r="L566" s="11"/>
      <c r="M566" s="11"/>
      <c r="N566" s="11"/>
      <c r="O566" s="11"/>
      <c r="P566" s="82"/>
    </row>
    <row r="567" spans="2:16" s="9" customFormat="1" x14ac:dyDescent="0.2">
      <c r="B567" s="10"/>
      <c r="C567" s="11"/>
      <c r="D567" s="63"/>
      <c r="E567" s="11"/>
      <c r="F567" s="65"/>
      <c r="G567" s="12"/>
      <c r="H567" s="41"/>
      <c r="I567" s="30"/>
      <c r="J567" s="30"/>
      <c r="K567" s="97"/>
      <c r="L567" s="11"/>
      <c r="M567" s="11"/>
      <c r="N567" s="11"/>
      <c r="O567" s="11"/>
      <c r="P567" s="82"/>
    </row>
    <row r="568" spans="2:16" s="9" customFormat="1" x14ac:dyDescent="0.2">
      <c r="B568" s="10"/>
      <c r="C568" s="11"/>
      <c r="D568" s="63"/>
      <c r="E568" s="11"/>
      <c r="F568" s="65"/>
      <c r="G568" s="12"/>
      <c r="H568" s="41"/>
      <c r="I568" s="30"/>
      <c r="J568" s="30"/>
      <c r="K568" s="97"/>
      <c r="L568" s="11"/>
      <c r="M568" s="11"/>
      <c r="N568" s="11"/>
      <c r="O568" s="11"/>
      <c r="P568" s="82"/>
    </row>
    <row r="569" spans="2:16" s="9" customFormat="1" x14ac:dyDescent="0.2">
      <c r="B569" s="10"/>
      <c r="C569" s="11"/>
      <c r="D569" s="63"/>
      <c r="E569" s="11"/>
      <c r="F569" s="65"/>
      <c r="G569" s="12"/>
      <c r="H569" s="41"/>
      <c r="I569" s="30"/>
      <c r="J569" s="30"/>
      <c r="K569" s="97"/>
      <c r="L569" s="11"/>
      <c r="M569" s="11"/>
      <c r="N569" s="11"/>
      <c r="O569" s="11"/>
      <c r="P569" s="82"/>
    </row>
    <row r="570" spans="2:16" s="9" customFormat="1" x14ac:dyDescent="0.2">
      <c r="B570" s="10"/>
      <c r="C570" s="11"/>
      <c r="D570" s="63"/>
      <c r="E570" s="11"/>
      <c r="F570" s="65"/>
      <c r="G570" s="12"/>
      <c r="H570" s="41"/>
      <c r="I570" s="30"/>
      <c r="J570" s="30"/>
      <c r="K570" s="97"/>
      <c r="L570" s="11"/>
      <c r="M570" s="11"/>
      <c r="N570" s="11"/>
      <c r="O570" s="11"/>
      <c r="P570" s="82"/>
    </row>
    <row r="571" spans="2:16" s="9" customFormat="1" x14ac:dyDescent="0.2">
      <c r="B571" s="10"/>
      <c r="C571" s="11"/>
      <c r="D571" s="63"/>
      <c r="E571" s="11"/>
      <c r="F571" s="65"/>
      <c r="G571" s="12"/>
      <c r="H571" s="41"/>
      <c r="I571" s="30"/>
      <c r="J571" s="30"/>
      <c r="K571" s="97"/>
      <c r="L571" s="11"/>
      <c r="M571" s="11"/>
      <c r="N571" s="11"/>
      <c r="O571" s="11"/>
      <c r="P571" s="82"/>
    </row>
    <row r="572" spans="2:16" s="9" customFormat="1" x14ac:dyDescent="0.2">
      <c r="B572" s="10"/>
      <c r="C572" s="11"/>
      <c r="D572" s="63"/>
      <c r="E572" s="11"/>
      <c r="F572" s="65"/>
      <c r="G572" s="12"/>
      <c r="H572" s="41"/>
      <c r="I572" s="30"/>
      <c r="J572" s="30"/>
      <c r="K572" s="97"/>
      <c r="L572" s="11"/>
      <c r="M572" s="11"/>
      <c r="N572" s="11"/>
      <c r="O572" s="11"/>
      <c r="P572" s="82"/>
    </row>
    <row r="573" spans="2:16" s="9" customFormat="1" x14ac:dyDescent="0.2">
      <c r="B573" s="10"/>
      <c r="C573" s="11"/>
      <c r="D573" s="63"/>
      <c r="E573" s="11"/>
      <c r="F573" s="65"/>
      <c r="G573" s="12"/>
      <c r="H573" s="41"/>
      <c r="I573" s="30"/>
      <c r="J573" s="30"/>
      <c r="K573" s="97"/>
      <c r="L573" s="11"/>
      <c r="M573" s="11"/>
      <c r="N573" s="11"/>
      <c r="O573" s="11"/>
      <c r="P573" s="82"/>
    </row>
    <row r="574" spans="2:16" s="9" customFormat="1" x14ac:dyDescent="0.2">
      <c r="B574" s="10"/>
      <c r="C574" s="11"/>
      <c r="D574" s="63"/>
      <c r="E574" s="11"/>
      <c r="F574" s="65"/>
      <c r="G574" s="12"/>
      <c r="H574" s="41"/>
      <c r="I574" s="30"/>
      <c r="J574" s="30"/>
      <c r="K574" s="97"/>
      <c r="L574" s="11"/>
      <c r="M574" s="11"/>
      <c r="N574" s="11"/>
      <c r="O574" s="11"/>
      <c r="P574" s="82"/>
    </row>
    <row r="575" spans="2:16" s="9" customFormat="1" x14ac:dyDescent="0.2">
      <c r="B575" s="10"/>
      <c r="C575" s="11"/>
      <c r="D575" s="63"/>
      <c r="E575" s="11"/>
      <c r="F575" s="65"/>
      <c r="G575" s="12"/>
      <c r="H575" s="41"/>
      <c r="I575" s="30"/>
      <c r="J575" s="30"/>
      <c r="K575" s="97"/>
      <c r="L575" s="11"/>
      <c r="M575" s="11"/>
      <c r="N575" s="11"/>
      <c r="O575" s="11"/>
      <c r="P575" s="82"/>
    </row>
    <row r="576" spans="2:16" s="9" customFormat="1" x14ac:dyDescent="0.2">
      <c r="B576" s="10"/>
      <c r="C576" s="11"/>
      <c r="D576" s="63"/>
      <c r="E576" s="11"/>
      <c r="F576" s="65"/>
      <c r="G576" s="12"/>
      <c r="H576" s="41"/>
      <c r="I576" s="30"/>
      <c r="J576" s="30"/>
      <c r="K576" s="97"/>
      <c r="L576" s="11"/>
      <c r="M576" s="11"/>
      <c r="N576" s="11"/>
      <c r="O576" s="11"/>
      <c r="P576" s="82"/>
    </row>
    <row r="577" spans="2:16" s="9" customFormat="1" x14ac:dyDescent="0.2">
      <c r="B577" s="10"/>
      <c r="C577" s="11"/>
      <c r="D577" s="63"/>
      <c r="E577" s="11"/>
      <c r="F577" s="65"/>
      <c r="G577" s="12"/>
      <c r="H577" s="41"/>
      <c r="I577" s="30"/>
      <c r="J577" s="30"/>
      <c r="K577" s="97"/>
      <c r="L577" s="11"/>
      <c r="M577" s="11"/>
      <c r="N577" s="11"/>
      <c r="O577" s="11"/>
      <c r="P577" s="82"/>
    </row>
    <row r="578" spans="2:16" s="9" customFormat="1" x14ac:dyDescent="0.2">
      <c r="B578" s="10"/>
      <c r="C578" s="11"/>
      <c r="D578" s="63"/>
      <c r="E578" s="11"/>
      <c r="F578" s="65"/>
      <c r="G578" s="12"/>
      <c r="H578" s="41"/>
      <c r="I578" s="30"/>
      <c r="J578" s="30"/>
      <c r="K578" s="97"/>
      <c r="L578" s="11"/>
      <c r="M578" s="11"/>
      <c r="N578" s="11"/>
      <c r="O578" s="11"/>
      <c r="P578" s="82"/>
    </row>
    <row r="579" spans="2:16" s="9" customFormat="1" x14ac:dyDescent="0.2">
      <c r="B579" s="10"/>
      <c r="C579" s="11"/>
      <c r="D579" s="63"/>
      <c r="E579" s="11"/>
      <c r="F579" s="65"/>
      <c r="G579" s="12"/>
      <c r="H579" s="41"/>
      <c r="I579" s="30"/>
      <c r="J579" s="30"/>
      <c r="K579" s="97"/>
      <c r="L579" s="11"/>
      <c r="M579" s="11"/>
      <c r="N579" s="11"/>
      <c r="O579" s="11"/>
      <c r="P579" s="82"/>
    </row>
    <row r="580" spans="2:16" s="9" customFormat="1" x14ac:dyDescent="0.2">
      <c r="B580" s="10"/>
      <c r="C580" s="11"/>
      <c r="D580" s="63"/>
      <c r="E580" s="11"/>
      <c r="F580" s="65"/>
      <c r="G580" s="12"/>
      <c r="H580" s="41"/>
      <c r="I580" s="30"/>
      <c r="J580" s="30"/>
      <c r="K580" s="97"/>
      <c r="L580" s="11"/>
      <c r="M580" s="11"/>
      <c r="N580" s="11"/>
      <c r="O580" s="11"/>
      <c r="P580" s="82"/>
    </row>
    <row r="581" spans="2:16" s="9" customFormat="1" x14ac:dyDescent="0.2">
      <c r="B581" s="10"/>
      <c r="C581" s="11"/>
      <c r="D581" s="63"/>
      <c r="E581" s="11"/>
      <c r="F581" s="65"/>
      <c r="G581" s="12"/>
      <c r="H581" s="41"/>
      <c r="I581" s="30"/>
      <c r="J581" s="30"/>
      <c r="K581" s="97"/>
      <c r="L581" s="11"/>
      <c r="M581" s="11"/>
      <c r="N581" s="11"/>
      <c r="O581" s="11"/>
      <c r="P581" s="82"/>
    </row>
    <row r="582" spans="2:16" s="9" customFormat="1" x14ac:dyDescent="0.2">
      <c r="B582" s="10"/>
      <c r="C582" s="11"/>
      <c r="D582" s="63"/>
      <c r="E582" s="11"/>
      <c r="F582" s="65"/>
      <c r="G582" s="12"/>
      <c r="H582" s="41"/>
      <c r="I582" s="30"/>
      <c r="J582" s="30"/>
      <c r="K582" s="97"/>
      <c r="L582" s="11"/>
      <c r="M582" s="11"/>
      <c r="N582" s="11"/>
      <c r="O582" s="11"/>
      <c r="P582" s="82"/>
    </row>
    <row r="583" spans="2:16" s="9" customFormat="1" x14ac:dyDescent="0.2">
      <c r="B583" s="10"/>
      <c r="C583" s="11"/>
      <c r="D583" s="63"/>
      <c r="E583" s="11"/>
      <c r="F583" s="65"/>
      <c r="G583" s="12"/>
      <c r="H583" s="41"/>
      <c r="I583" s="30"/>
      <c r="J583" s="30"/>
      <c r="K583" s="97"/>
      <c r="L583" s="11"/>
      <c r="M583" s="11"/>
      <c r="N583" s="11"/>
      <c r="O583" s="11"/>
      <c r="P583" s="82"/>
    </row>
    <row r="584" spans="2:16" s="9" customFormat="1" x14ac:dyDescent="0.2">
      <c r="B584" s="10"/>
      <c r="C584" s="11"/>
      <c r="D584" s="63"/>
      <c r="E584" s="11"/>
      <c r="F584" s="65"/>
      <c r="G584" s="12"/>
      <c r="H584" s="41"/>
      <c r="I584" s="30"/>
      <c r="J584" s="30"/>
      <c r="K584" s="97"/>
      <c r="L584" s="11"/>
      <c r="M584" s="11"/>
      <c r="N584" s="11"/>
      <c r="O584" s="11"/>
      <c r="P584" s="82"/>
    </row>
    <row r="585" spans="2:16" s="9" customFormat="1" x14ac:dyDescent="0.2">
      <c r="B585" s="10"/>
      <c r="C585" s="11"/>
      <c r="D585" s="63"/>
      <c r="E585" s="11"/>
      <c r="F585" s="65"/>
      <c r="G585" s="12"/>
      <c r="H585" s="41"/>
      <c r="I585" s="30"/>
      <c r="J585" s="30"/>
      <c r="K585" s="97"/>
      <c r="L585" s="11"/>
      <c r="M585" s="11"/>
      <c r="N585" s="11"/>
      <c r="O585" s="11"/>
      <c r="P585" s="82"/>
    </row>
    <row r="586" spans="2:16" s="9" customFormat="1" x14ac:dyDescent="0.2">
      <c r="B586" s="10"/>
      <c r="C586" s="11"/>
      <c r="D586" s="63"/>
      <c r="E586" s="11"/>
      <c r="F586" s="65"/>
      <c r="G586" s="12"/>
      <c r="H586" s="41"/>
      <c r="I586" s="30"/>
      <c r="J586" s="30"/>
      <c r="K586" s="97"/>
      <c r="L586" s="11"/>
      <c r="M586" s="11"/>
      <c r="N586" s="11"/>
      <c r="O586" s="11"/>
      <c r="P586" s="82"/>
    </row>
    <row r="587" spans="2:16" s="9" customFormat="1" x14ac:dyDescent="0.2">
      <c r="B587" s="10"/>
      <c r="C587" s="11"/>
      <c r="D587" s="63"/>
      <c r="E587" s="11"/>
      <c r="F587" s="65"/>
      <c r="G587" s="12"/>
      <c r="H587" s="41"/>
      <c r="I587" s="30"/>
      <c r="J587" s="30"/>
      <c r="K587" s="97"/>
      <c r="L587" s="11"/>
      <c r="M587" s="11"/>
      <c r="N587" s="11"/>
      <c r="O587" s="11"/>
      <c r="P587" s="82"/>
    </row>
    <row r="588" spans="2:16" s="9" customFormat="1" x14ac:dyDescent="0.2">
      <c r="B588" s="10"/>
      <c r="C588" s="11"/>
      <c r="D588" s="63"/>
      <c r="E588" s="11"/>
      <c r="F588" s="65"/>
      <c r="G588" s="12"/>
      <c r="H588" s="41"/>
      <c r="I588" s="30"/>
      <c r="J588" s="30"/>
      <c r="K588" s="97"/>
      <c r="L588" s="11"/>
      <c r="M588" s="11"/>
      <c r="N588" s="11"/>
      <c r="O588" s="11"/>
      <c r="P588" s="82"/>
    </row>
    <row r="589" spans="2:16" s="9" customFormat="1" x14ac:dyDescent="0.2">
      <c r="B589" s="10"/>
      <c r="C589" s="11"/>
      <c r="D589" s="63"/>
      <c r="E589" s="11"/>
      <c r="F589" s="65"/>
      <c r="G589" s="12"/>
      <c r="H589" s="41"/>
      <c r="I589" s="30"/>
      <c r="J589" s="30"/>
      <c r="K589" s="97"/>
      <c r="L589" s="11"/>
      <c r="M589" s="11"/>
      <c r="N589" s="11"/>
      <c r="O589" s="11"/>
      <c r="P589" s="82"/>
    </row>
    <row r="590" spans="2:16" s="9" customFormat="1" x14ac:dyDescent="0.2">
      <c r="B590" s="10"/>
      <c r="C590" s="11"/>
      <c r="D590" s="63"/>
      <c r="E590" s="11"/>
      <c r="F590" s="65"/>
      <c r="G590" s="12"/>
      <c r="H590" s="41"/>
      <c r="I590" s="30"/>
      <c r="J590" s="30"/>
      <c r="K590" s="97"/>
      <c r="L590" s="11"/>
      <c r="M590" s="11"/>
      <c r="N590" s="11"/>
      <c r="O590" s="11"/>
      <c r="P590" s="82"/>
    </row>
    <row r="591" spans="2:16" s="9" customFormat="1" x14ac:dyDescent="0.2">
      <c r="B591" s="10"/>
      <c r="C591" s="11"/>
      <c r="D591" s="63"/>
      <c r="E591" s="11"/>
      <c r="F591" s="65"/>
      <c r="G591" s="12"/>
      <c r="H591" s="41"/>
      <c r="I591" s="30"/>
      <c r="J591" s="30"/>
      <c r="K591" s="97"/>
      <c r="L591" s="11"/>
      <c r="M591" s="11"/>
      <c r="N591" s="11"/>
      <c r="O591" s="11"/>
      <c r="P591" s="82"/>
    </row>
    <row r="592" spans="2:16" s="9" customFormat="1" x14ac:dyDescent="0.2">
      <c r="B592" s="10"/>
      <c r="C592" s="11"/>
      <c r="D592" s="63"/>
      <c r="E592" s="11"/>
      <c r="F592" s="65"/>
      <c r="G592" s="12"/>
      <c r="H592" s="41"/>
      <c r="I592" s="30"/>
      <c r="J592" s="30"/>
      <c r="K592" s="97"/>
      <c r="L592" s="11"/>
      <c r="M592" s="11"/>
      <c r="N592" s="11"/>
      <c r="O592" s="11"/>
      <c r="P592" s="82"/>
    </row>
    <row r="593" spans="2:16" s="9" customFormat="1" x14ac:dyDescent="0.2">
      <c r="B593" s="10"/>
      <c r="C593" s="11"/>
      <c r="D593" s="63"/>
      <c r="E593" s="11"/>
      <c r="F593" s="65"/>
      <c r="G593" s="12"/>
      <c r="H593" s="41"/>
      <c r="I593" s="30"/>
      <c r="J593" s="30"/>
      <c r="K593" s="97"/>
      <c r="L593" s="11"/>
      <c r="M593" s="11"/>
      <c r="N593" s="11"/>
      <c r="O593" s="11"/>
      <c r="P593" s="82"/>
    </row>
    <row r="594" spans="2:16" s="9" customFormat="1" x14ac:dyDescent="0.2">
      <c r="B594" s="10"/>
      <c r="C594" s="11"/>
      <c r="D594" s="63"/>
      <c r="E594" s="11"/>
      <c r="F594" s="65"/>
      <c r="G594" s="12"/>
      <c r="H594" s="41"/>
      <c r="I594" s="30"/>
      <c r="J594" s="30"/>
      <c r="K594" s="97"/>
      <c r="L594" s="11"/>
      <c r="M594" s="11"/>
      <c r="N594" s="11"/>
      <c r="O594" s="11"/>
      <c r="P594" s="82"/>
    </row>
    <row r="595" spans="2:16" s="9" customFormat="1" x14ac:dyDescent="0.2">
      <c r="B595" s="10"/>
      <c r="C595" s="11"/>
      <c r="D595" s="63"/>
      <c r="E595" s="11"/>
      <c r="F595" s="65"/>
      <c r="G595" s="12"/>
      <c r="H595" s="41"/>
      <c r="I595" s="30"/>
      <c r="J595" s="30"/>
      <c r="K595" s="97"/>
      <c r="L595" s="11"/>
      <c r="M595" s="11"/>
      <c r="N595" s="11"/>
      <c r="O595" s="11"/>
      <c r="P595" s="82"/>
    </row>
    <row r="596" spans="2:16" s="9" customFormat="1" x14ac:dyDescent="0.2">
      <c r="B596" s="10"/>
      <c r="C596" s="11"/>
      <c r="D596" s="63"/>
      <c r="E596" s="11"/>
      <c r="F596" s="65"/>
      <c r="G596" s="12"/>
      <c r="H596" s="41"/>
      <c r="I596" s="30"/>
      <c r="J596" s="30"/>
      <c r="K596" s="97"/>
      <c r="L596" s="11"/>
      <c r="M596" s="11"/>
      <c r="N596" s="11"/>
      <c r="O596" s="11"/>
      <c r="P596" s="82"/>
    </row>
    <row r="597" spans="2:16" s="9" customFormat="1" x14ac:dyDescent="0.2">
      <c r="B597" s="10"/>
      <c r="C597" s="11"/>
      <c r="D597" s="63"/>
      <c r="E597" s="11"/>
      <c r="F597" s="65"/>
      <c r="G597" s="12"/>
      <c r="H597" s="41"/>
      <c r="I597" s="30"/>
      <c r="J597" s="30"/>
      <c r="K597" s="97"/>
      <c r="L597" s="11"/>
      <c r="M597" s="11"/>
      <c r="N597" s="11"/>
      <c r="O597" s="11"/>
      <c r="P597" s="82"/>
    </row>
    <row r="598" spans="2:16" s="9" customFormat="1" x14ac:dyDescent="0.2">
      <c r="B598" s="10"/>
      <c r="C598" s="11"/>
      <c r="D598" s="63"/>
      <c r="E598" s="11"/>
      <c r="F598" s="65"/>
      <c r="G598" s="12"/>
      <c r="H598" s="41"/>
      <c r="I598" s="30"/>
      <c r="J598" s="30"/>
      <c r="K598" s="97"/>
      <c r="L598" s="11"/>
      <c r="M598" s="11"/>
      <c r="N598" s="11"/>
      <c r="O598" s="11"/>
      <c r="P598" s="82"/>
    </row>
    <row r="599" spans="2:16" s="9" customFormat="1" x14ac:dyDescent="0.2">
      <c r="B599" s="10"/>
      <c r="C599" s="11"/>
      <c r="D599" s="63"/>
      <c r="E599" s="11"/>
      <c r="F599" s="65"/>
      <c r="G599" s="12"/>
      <c r="H599" s="41"/>
      <c r="I599" s="30"/>
      <c r="J599" s="30"/>
      <c r="K599" s="97"/>
      <c r="L599" s="11"/>
      <c r="M599" s="11"/>
      <c r="N599" s="11"/>
      <c r="O599" s="11"/>
      <c r="P599" s="82"/>
    </row>
    <row r="600" spans="2:16" s="9" customFormat="1" x14ac:dyDescent="0.2">
      <c r="B600" s="10"/>
      <c r="C600" s="11"/>
      <c r="D600" s="63"/>
      <c r="E600" s="11"/>
      <c r="F600" s="65"/>
      <c r="G600" s="12"/>
      <c r="H600" s="41"/>
      <c r="I600" s="30"/>
      <c r="J600" s="30"/>
      <c r="K600" s="97"/>
      <c r="L600" s="11"/>
      <c r="M600" s="11"/>
      <c r="N600" s="11"/>
      <c r="O600" s="11"/>
      <c r="P600" s="82"/>
    </row>
    <row r="601" spans="2:16" s="9" customFormat="1" x14ac:dyDescent="0.2">
      <c r="B601" s="10"/>
      <c r="C601" s="11"/>
      <c r="D601" s="63"/>
      <c r="E601" s="11"/>
      <c r="F601" s="65"/>
      <c r="G601" s="12"/>
      <c r="H601" s="41"/>
      <c r="I601" s="30"/>
      <c r="J601" s="30"/>
      <c r="K601" s="97"/>
      <c r="L601" s="11"/>
      <c r="M601" s="11"/>
      <c r="N601" s="11"/>
      <c r="O601" s="11"/>
      <c r="P601" s="82"/>
    </row>
    <row r="602" spans="2:16" s="9" customFormat="1" x14ac:dyDescent="0.2">
      <c r="B602" s="10"/>
      <c r="C602" s="11"/>
      <c r="D602" s="63"/>
      <c r="E602" s="11"/>
      <c r="F602" s="65"/>
      <c r="G602" s="12"/>
      <c r="H602" s="41"/>
      <c r="I602" s="30"/>
      <c r="J602" s="30"/>
      <c r="K602" s="97"/>
      <c r="L602" s="11"/>
      <c r="M602" s="11"/>
      <c r="N602" s="11"/>
      <c r="O602" s="11"/>
      <c r="P602" s="82"/>
    </row>
    <row r="603" spans="2:16" s="9" customFormat="1" x14ac:dyDescent="0.2">
      <c r="B603" s="10"/>
      <c r="C603" s="11"/>
      <c r="D603" s="63"/>
      <c r="E603" s="11"/>
      <c r="F603" s="65"/>
      <c r="G603" s="12"/>
      <c r="H603" s="41"/>
      <c r="I603" s="30"/>
      <c r="J603" s="30"/>
      <c r="K603" s="97"/>
      <c r="L603" s="11"/>
      <c r="M603" s="11"/>
      <c r="N603" s="11"/>
      <c r="O603" s="11"/>
      <c r="P603" s="82"/>
    </row>
    <row r="604" spans="2:16" s="9" customFormat="1" x14ac:dyDescent="0.2">
      <c r="B604" s="10"/>
      <c r="C604" s="11"/>
      <c r="D604" s="63"/>
      <c r="E604" s="11"/>
      <c r="F604" s="65"/>
      <c r="G604" s="12"/>
      <c r="H604" s="41"/>
      <c r="I604" s="30"/>
      <c r="J604" s="30"/>
      <c r="K604" s="97"/>
      <c r="L604" s="11"/>
      <c r="M604" s="11"/>
      <c r="N604" s="11"/>
      <c r="O604" s="11"/>
      <c r="P604" s="82"/>
    </row>
    <row r="605" spans="2:16" s="9" customFormat="1" x14ac:dyDescent="0.2">
      <c r="B605" s="10"/>
      <c r="C605" s="11"/>
      <c r="D605" s="63"/>
      <c r="E605" s="11"/>
      <c r="F605" s="65"/>
      <c r="G605" s="12"/>
      <c r="H605" s="41"/>
      <c r="I605" s="30"/>
      <c r="J605" s="30"/>
      <c r="K605" s="97"/>
      <c r="L605" s="11"/>
      <c r="M605" s="11"/>
      <c r="N605" s="11"/>
      <c r="O605" s="11"/>
      <c r="P605" s="82"/>
    </row>
    <row r="606" spans="2:16" s="9" customFormat="1" x14ac:dyDescent="0.2">
      <c r="B606" s="10"/>
      <c r="C606" s="11"/>
      <c r="D606" s="63"/>
      <c r="E606" s="11"/>
      <c r="F606" s="65"/>
      <c r="G606" s="12"/>
      <c r="H606" s="41"/>
      <c r="I606" s="30"/>
      <c r="J606" s="30"/>
      <c r="K606" s="97"/>
      <c r="L606" s="11"/>
      <c r="M606" s="11"/>
      <c r="N606" s="11"/>
      <c r="O606" s="11"/>
      <c r="P606" s="82"/>
    </row>
    <row r="607" spans="2:16" s="9" customFormat="1" x14ac:dyDescent="0.2">
      <c r="B607" s="10"/>
      <c r="C607" s="11"/>
      <c r="D607" s="63"/>
      <c r="E607" s="11"/>
      <c r="F607" s="65"/>
      <c r="G607" s="12"/>
      <c r="H607" s="41"/>
      <c r="I607" s="30"/>
      <c r="J607" s="30"/>
      <c r="K607" s="97"/>
      <c r="L607" s="11"/>
      <c r="M607" s="11"/>
      <c r="N607" s="11"/>
      <c r="O607" s="11"/>
      <c r="P607" s="82"/>
    </row>
    <row r="608" spans="2:16" s="9" customFormat="1" x14ac:dyDescent="0.2">
      <c r="B608" s="10"/>
      <c r="C608" s="11"/>
      <c r="D608" s="63"/>
      <c r="E608" s="11"/>
      <c r="F608" s="65"/>
      <c r="G608" s="12"/>
      <c r="H608" s="41"/>
      <c r="I608" s="30"/>
      <c r="J608" s="30"/>
      <c r="K608" s="97"/>
      <c r="L608" s="11"/>
      <c r="M608" s="11"/>
      <c r="N608" s="11"/>
      <c r="O608" s="11"/>
      <c r="P608" s="82"/>
    </row>
    <row r="609" spans="2:16" s="9" customFormat="1" x14ac:dyDescent="0.2">
      <c r="B609" s="10"/>
      <c r="C609" s="11"/>
      <c r="D609" s="63"/>
      <c r="E609" s="11"/>
      <c r="F609" s="65"/>
      <c r="G609" s="12"/>
      <c r="H609" s="41"/>
      <c r="I609" s="30"/>
      <c r="J609" s="30"/>
      <c r="K609" s="97"/>
      <c r="L609" s="11"/>
      <c r="M609" s="11"/>
      <c r="N609" s="11"/>
      <c r="O609" s="11"/>
      <c r="P609" s="82"/>
    </row>
    <row r="610" spans="2:16" s="9" customFormat="1" x14ac:dyDescent="0.2">
      <c r="B610" s="10"/>
      <c r="C610" s="11"/>
      <c r="D610" s="63"/>
      <c r="E610" s="11"/>
      <c r="F610" s="65"/>
      <c r="G610" s="12"/>
      <c r="H610" s="41"/>
      <c r="I610" s="30"/>
      <c r="J610" s="30"/>
      <c r="K610" s="97"/>
      <c r="L610" s="11"/>
      <c r="M610" s="11"/>
      <c r="N610" s="11"/>
      <c r="O610" s="11"/>
      <c r="P610" s="82"/>
    </row>
    <row r="611" spans="2:16" s="9" customFormat="1" x14ac:dyDescent="0.2">
      <c r="B611" s="10"/>
      <c r="C611" s="11"/>
      <c r="D611" s="63"/>
      <c r="E611" s="11"/>
      <c r="F611" s="65"/>
      <c r="G611" s="12"/>
      <c r="H611" s="41"/>
      <c r="I611" s="30"/>
      <c r="J611" s="30"/>
      <c r="K611" s="97"/>
      <c r="L611" s="11"/>
      <c r="M611" s="11"/>
      <c r="N611" s="11"/>
      <c r="O611" s="11"/>
      <c r="P611" s="82"/>
    </row>
    <row r="612" spans="2:16" s="9" customFormat="1" x14ac:dyDescent="0.2">
      <c r="B612" s="10"/>
      <c r="C612" s="11"/>
      <c r="D612" s="63"/>
      <c r="E612" s="11"/>
      <c r="F612" s="65"/>
      <c r="G612" s="12"/>
      <c r="H612" s="41"/>
      <c r="I612" s="30"/>
      <c r="J612" s="30"/>
      <c r="K612" s="97"/>
      <c r="L612" s="11"/>
      <c r="M612" s="11"/>
      <c r="N612" s="11"/>
      <c r="O612" s="11"/>
      <c r="P612" s="82"/>
    </row>
    <row r="613" spans="2:16" s="9" customFormat="1" x14ac:dyDescent="0.2">
      <c r="B613" s="10"/>
      <c r="C613" s="11"/>
      <c r="D613" s="63"/>
      <c r="E613" s="11"/>
      <c r="F613" s="65"/>
      <c r="G613" s="12"/>
      <c r="H613" s="41"/>
      <c r="I613" s="30"/>
      <c r="J613" s="30"/>
      <c r="K613" s="97"/>
      <c r="L613" s="11"/>
      <c r="M613" s="11"/>
      <c r="N613" s="11"/>
      <c r="O613" s="11"/>
      <c r="P613" s="82"/>
    </row>
    <row r="614" spans="2:16" s="9" customFormat="1" x14ac:dyDescent="0.2">
      <c r="B614" s="10"/>
      <c r="C614" s="11"/>
      <c r="D614" s="63"/>
      <c r="E614" s="11"/>
      <c r="F614" s="65"/>
      <c r="G614" s="12"/>
      <c r="H614" s="41"/>
      <c r="I614" s="30"/>
      <c r="J614" s="30"/>
      <c r="K614" s="97"/>
      <c r="L614" s="11"/>
      <c r="M614" s="11"/>
      <c r="N614" s="11"/>
      <c r="O614" s="11"/>
      <c r="P614" s="82"/>
    </row>
    <row r="615" spans="2:16" s="9" customFormat="1" x14ac:dyDescent="0.2">
      <c r="B615" s="10"/>
      <c r="C615" s="11"/>
      <c r="D615" s="63"/>
      <c r="E615" s="11"/>
      <c r="F615" s="65"/>
      <c r="G615" s="12"/>
      <c r="H615" s="41"/>
      <c r="I615" s="30"/>
      <c r="J615" s="30"/>
      <c r="K615" s="97"/>
      <c r="L615" s="11"/>
      <c r="M615" s="11"/>
      <c r="N615" s="11"/>
      <c r="O615" s="11"/>
      <c r="P615" s="82"/>
    </row>
    <row r="616" spans="2:16" s="9" customFormat="1" x14ac:dyDescent="0.2">
      <c r="B616" s="10"/>
      <c r="C616" s="11"/>
      <c r="D616" s="63"/>
      <c r="E616" s="11"/>
      <c r="F616" s="65"/>
      <c r="G616" s="12"/>
      <c r="H616" s="41"/>
      <c r="I616" s="30"/>
      <c r="J616" s="30"/>
      <c r="K616" s="97"/>
      <c r="L616" s="11"/>
      <c r="M616" s="11"/>
      <c r="N616" s="11"/>
      <c r="O616" s="11"/>
      <c r="P616" s="82"/>
    </row>
    <row r="617" spans="2:16" s="9" customFormat="1" x14ac:dyDescent="0.2">
      <c r="B617" s="10"/>
      <c r="C617" s="11"/>
      <c r="D617" s="63"/>
      <c r="E617" s="11"/>
      <c r="F617" s="65"/>
      <c r="G617" s="12"/>
      <c r="H617" s="41"/>
      <c r="I617" s="30"/>
      <c r="J617" s="30"/>
      <c r="K617" s="97"/>
      <c r="L617" s="11"/>
      <c r="M617" s="11"/>
      <c r="N617" s="11"/>
      <c r="O617" s="11"/>
      <c r="P617" s="82"/>
    </row>
    <row r="618" spans="2:16" s="9" customFormat="1" x14ac:dyDescent="0.2">
      <c r="B618" s="10"/>
      <c r="C618" s="11"/>
      <c r="D618" s="63"/>
      <c r="E618" s="11"/>
      <c r="F618" s="65"/>
      <c r="G618" s="12"/>
      <c r="H618" s="41"/>
      <c r="I618" s="30"/>
      <c r="J618" s="30"/>
      <c r="K618" s="97"/>
      <c r="L618" s="11"/>
      <c r="M618" s="11"/>
      <c r="N618" s="11"/>
      <c r="O618" s="11"/>
      <c r="P618" s="82"/>
    </row>
    <row r="619" spans="2:16" s="9" customFormat="1" x14ac:dyDescent="0.2">
      <c r="B619" s="10"/>
      <c r="C619" s="11"/>
      <c r="D619" s="63"/>
      <c r="E619" s="11"/>
      <c r="F619" s="65"/>
      <c r="G619" s="12"/>
      <c r="H619" s="41"/>
      <c r="I619" s="30"/>
      <c r="J619" s="30"/>
      <c r="K619" s="97"/>
      <c r="L619" s="11"/>
      <c r="M619" s="11"/>
      <c r="N619" s="11"/>
      <c r="O619" s="11"/>
      <c r="P619" s="82"/>
    </row>
    <row r="620" spans="2:16" s="9" customFormat="1" x14ac:dyDescent="0.2">
      <c r="B620" s="10"/>
      <c r="C620" s="11"/>
      <c r="D620" s="63"/>
      <c r="E620" s="11"/>
      <c r="F620" s="65"/>
      <c r="G620" s="12"/>
      <c r="H620" s="41"/>
      <c r="I620" s="30"/>
      <c r="J620" s="30"/>
      <c r="K620" s="97"/>
      <c r="L620" s="11"/>
      <c r="M620" s="11"/>
      <c r="N620" s="11"/>
      <c r="O620" s="11"/>
      <c r="P620" s="82"/>
    </row>
    <row r="621" spans="2:16" s="9" customFormat="1" x14ac:dyDescent="0.2">
      <c r="B621" s="10"/>
      <c r="C621" s="11"/>
      <c r="D621" s="63"/>
      <c r="E621" s="11"/>
      <c r="F621" s="65"/>
      <c r="G621" s="12"/>
      <c r="H621" s="41"/>
      <c r="I621" s="30"/>
      <c r="J621" s="30"/>
      <c r="K621" s="97"/>
      <c r="L621" s="11"/>
      <c r="M621" s="11"/>
      <c r="N621" s="11"/>
      <c r="O621" s="11"/>
      <c r="P621" s="82"/>
    </row>
    <row r="622" spans="2:16" s="9" customFormat="1" x14ac:dyDescent="0.2">
      <c r="B622" s="10"/>
      <c r="C622" s="11"/>
      <c r="D622" s="63"/>
      <c r="E622" s="11"/>
      <c r="F622" s="65"/>
      <c r="G622" s="12"/>
      <c r="H622" s="41"/>
      <c r="I622" s="30"/>
      <c r="J622" s="30"/>
      <c r="K622" s="97"/>
      <c r="L622" s="11"/>
      <c r="M622" s="11"/>
      <c r="N622" s="11"/>
      <c r="O622" s="11"/>
      <c r="P622" s="82"/>
    </row>
    <row r="623" spans="2:16" s="9" customFormat="1" x14ac:dyDescent="0.2">
      <c r="B623" s="10"/>
      <c r="C623" s="11"/>
      <c r="D623" s="63"/>
      <c r="E623" s="11"/>
      <c r="F623" s="65"/>
      <c r="G623" s="12"/>
      <c r="H623" s="41"/>
      <c r="I623" s="30"/>
      <c r="J623" s="30"/>
      <c r="K623" s="97"/>
      <c r="L623" s="11"/>
      <c r="M623" s="11"/>
      <c r="N623" s="11"/>
      <c r="O623" s="11"/>
      <c r="P623" s="82"/>
    </row>
    <row r="624" spans="2:16" s="9" customFormat="1" x14ac:dyDescent="0.2">
      <c r="B624" s="10"/>
      <c r="C624" s="11"/>
      <c r="D624" s="63"/>
      <c r="E624" s="11"/>
      <c r="F624" s="65"/>
      <c r="G624" s="12"/>
      <c r="H624" s="41"/>
      <c r="I624" s="30"/>
      <c r="J624" s="30"/>
      <c r="K624" s="97"/>
      <c r="L624" s="11"/>
      <c r="M624" s="11"/>
      <c r="N624" s="11"/>
      <c r="O624" s="11"/>
      <c r="P624" s="82"/>
    </row>
    <row r="625" spans="2:16" s="9" customFormat="1" x14ac:dyDescent="0.2">
      <c r="B625" s="10"/>
      <c r="C625" s="11"/>
      <c r="D625" s="63"/>
      <c r="E625" s="11"/>
      <c r="F625" s="65"/>
      <c r="G625" s="12"/>
      <c r="H625" s="41"/>
      <c r="I625" s="30"/>
      <c r="J625" s="30"/>
      <c r="K625" s="97"/>
      <c r="L625" s="11"/>
      <c r="M625" s="11"/>
      <c r="N625" s="11"/>
      <c r="O625" s="11"/>
      <c r="P625" s="82"/>
    </row>
    <row r="626" spans="2:16" s="9" customFormat="1" x14ac:dyDescent="0.2">
      <c r="B626" s="10"/>
      <c r="C626" s="11"/>
      <c r="D626" s="63"/>
      <c r="E626" s="11"/>
      <c r="F626" s="65"/>
      <c r="G626" s="12"/>
      <c r="H626" s="41"/>
      <c r="I626" s="30"/>
      <c r="J626" s="30"/>
      <c r="K626" s="97"/>
      <c r="L626" s="11"/>
      <c r="M626" s="11"/>
      <c r="N626" s="11"/>
      <c r="O626" s="11"/>
      <c r="P626" s="82"/>
    </row>
    <row r="627" spans="2:16" s="9" customFormat="1" x14ac:dyDescent="0.2">
      <c r="B627" s="10"/>
      <c r="C627" s="11"/>
      <c r="D627" s="63"/>
      <c r="E627" s="11"/>
      <c r="F627" s="65"/>
      <c r="G627" s="12"/>
      <c r="H627" s="41"/>
      <c r="I627" s="30"/>
      <c r="J627" s="30"/>
      <c r="K627" s="97"/>
      <c r="L627" s="11"/>
      <c r="M627" s="11"/>
      <c r="N627" s="11"/>
      <c r="O627" s="11"/>
      <c r="P627" s="82"/>
    </row>
    <row r="628" spans="2:16" s="9" customFormat="1" x14ac:dyDescent="0.2">
      <c r="B628" s="10"/>
      <c r="C628" s="11"/>
      <c r="D628" s="63"/>
      <c r="E628" s="11"/>
      <c r="F628" s="65"/>
      <c r="G628" s="12"/>
      <c r="H628" s="41"/>
      <c r="I628" s="30"/>
      <c r="J628" s="30"/>
      <c r="K628" s="97"/>
      <c r="L628" s="11"/>
      <c r="M628" s="11"/>
      <c r="N628" s="11"/>
      <c r="O628" s="11"/>
      <c r="P628" s="82"/>
    </row>
    <row r="629" spans="2:16" s="9" customFormat="1" x14ac:dyDescent="0.2">
      <c r="B629" s="10"/>
      <c r="C629" s="11"/>
      <c r="D629" s="63"/>
      <c r="E629" s="11"/>
      <c r="F629" s="65"/>
      <c r="G629" s="12"/>
      <c r="H629" s="41"/>
      <c r="I629" s="30"/>
      <c r="J629" s="30"/>
      <c r="K629" s="97"/>
      <c r="L629" s="11"/>
      <c r="M629" s="11"/>
      <c r="N629" s="11"/>
      <c r="O629" s="11"/>
      <c r="P629" s="82"/>
    </row>
    <row r="630" spans="2:16" s="9" customFormat="1" x14ac:dyDescent="0.2">
      <c r="B630" s="10"/>
      <c r="C630" s="11"/>
      <c r="D630" s="63"/>
      <c r="E630" s="11"/>
      <c r="F630" s="65"/>
      <c r="G630" s="12"/>
      <c r="H630" s="41"/>
      <c r="I630" s="30"/>
      <c r="J630" s="30"/>
      <c r="K630" s="97"/>
      <c r="L630" s="11"/>
      <c r="M630" s="11"/>
      <c r="N630" s="11"/>
      <c r="O630" s="11"/>
      <c r="P630" s="82"/>
    </row>
    <row r="631" spans="2:16" s="9" customFormat="1" x14ac:dyDescent="0.2">
      <c r="B631" s="10"/>
      <c r="C631" s="11"/>
      <c r="D631" s="63"/>
      <c r="E631" s="11"/>
      <c r="F631" s="65"/>
      <c r="G631" s="12"/>
      <c r="H631" s="41"/>
      <c r="I631" s="30"/>
      <c r="J631" s="30"/>
      <c r="K631" s="97"/>
      <c r="L631" s="11"/>
      <c r="M631" s="11"/>
      <c r="N631" s="11"/>
      <c r="O631" s="11"/>
      <c r="P631" s="82"/>
    </row>
    <row r="632" spans="2:16" s="9" customFormat="1" x14ac:dyDescent="0.2">
      <c r="B632" s="10"/>
      <c r="C632" s="11"/>
      <c r="D632" s="63"/>
      <c r="E632" s="11"/>
      <c r="F632" s="65"/>
      <c r="G632" s="12"/>
      <c r="H632" s="41"/>
      <c r="I632" s="30"/>
      <c r="J632" s="30"/>
      <c r="K632" s="97"/>
      <c r="L632" s="11"/>
      <c r="M632" s="11"/>
      <c r="N632" s="11"/>
      <c r="O632" s="11"/>
      <c r="P632" s="82"/>
    </row>
    <row r="633" spans="2:16" s="9" customFormat="1" x14ac:dyDescent="0.2">
      <c r="B633" s="10"/>
      <c r="C633" s="11"/>
      <c r="D633" s="63"/>
      <c r="E633" s="11"/>
      <c r="F633" s="65"/>
      <c r="G633" s="12"/>
      <c r="H633" s="41"/>
      <c r="I633" s="30"/>
      <c r="J633" s="30"/>
      <c r="K633" s="97"/>
      <c r="L633" s="11"/>
      <c r="M633" s="11"/>
      <c r="N633" s="11"/>
      <c r="O633" s="11"/>
      <c r="P633" s="82"/>
    </row>
    <row r="634" spans="2:16" s="9" customFormat="1" x14ac:dyDescent="0.2">
      <c r="B634" s="10"/>
      <c r="C634" s="11"/>
      <c r="D634" s="63"/>
      <c r="E634" s="11"/>
      <c r="F634" s="65"/>
      <c r="G634" s="12"/>
      <c r="H634" s="41"/>
      <c r="I634" s="30"/>
      <c r="J634" s="30"/>
      <c r="K634" s="97"/>
      <c r="L634" s="11"/>
      <c r="M634" s="11"/>
      <c r="N634" s="11"/>
      <c r="O634" s="11"/>
      <c r="P634" s="82"/>
    </row>
    <row r="635" spans="2:16" s="9" customFormat="1" x14ac:dyDescent="0.2">
      <c r="B635" s="10"/>
      <c r="C635" s="11"/>
      <c r="D635" s="63"/>
      <c r="E635" s="11"/>
      <c r="F635" s="65"/>
      <c r="G635" s="12"/>
      <c r="H635" s="41"/>
      <c r="I635" s="30"/>
      <c r="J635" s="30"/>
      <c r="K635" s="97"/>
      <c r="L635" s="11"/>
      <c r="M635" s="11"/>
      <c r="N635" s="11"/>
      <c r="O635" s="11"/>
      <c r="P635" s="82"/>
    </row>
    <row r="636" spans="2:16" s="9" customFormat="1" x14ac:dyDescent="0.2">
      <c r="B636" s="10"/>
      <c r="C636" s="11"/>
      <c r="D636" s="63"/>
      <c r="E636" s="11"/>
      <c r="F636" s="65"/>
      <c r="G636" s="12"/>
      <c r="H636" s="41"/>
      <c r="I636" s="30"/>
      <c r="J636" s="30"/>
      <c r="K636" s="97"/>
      <c r="L636" s="11"/>
      <c r="M636" s="11"/>
      <c r="N636" s="11"/>
      <c r="O636" s="11"/>
      <c r="P636" s="82"/>
    </row>
    <row r="637" spans="2:16" s="9" customFormat="1" x14ac:dyDescent="0.2">
      <c r="B637" s="10"/>
      <c r="C637" s="11"/>
      <c r="D637" s="63"/>
      <c r="E637" s="11"/>
      <c r="F637" s="65"/>
      <c r="G637" s="12"/>
      <c r="H637" s="41"/>
      <c r="I637" s="30"/>
      <c r="J637" s="30"/>
      <c r="K637" s="97"/>
      <c r="L637" s="11"/>
      <c r="M637" s="11"/>
      <c r="N637" s="11"/>
      <c r="O637" s="11"/>
      <c r="P637" s="82"/>
    </row>
    <row r="638" spans="2:16" s="9" customFormat="1" x14ac:dyDescent="0.2">
      <c r="B638" s="10"/>
      <c r="C638" s="11"/>
      <c r="D638" s="63"/>
      <c r="E638" s="11"/>
      <c r="F638" s="65"/>
      <c r="G638" s="12"/>
      <c r="H638" s="41"/>
      <c r="I638" s="30"/>
      <c r="J638" s="30"/>
      <c r="K638" s="97"/>
      <c r="L638" s="11"/>
      <c r="M638" s="11"/>
      <c r="N638" s="11"/>
      <c r="O638" s="11"/>
      <c r="P638" s="82"/>
    </row>
    <row r="639" spans="2:16" s="9" customFormat="1" x14ac:dyDescent="0.2">
      <c r="B639" s="10"/>
      <c r="C639" s="11"/>
      <c r="D639" s="63"/>
      <c r="E639" s="11"/>
      <c r="F639" s="65"/>
      <c r="G639" s="12"/>
      <c r="H639" s="41"/>
      <c r="I639" s="30"/>
      <c r="J639" s="30"/>
      <c r="K639" s="97"/>
      <c r="L639" s="11"/>
      <c r="M639" s="11"/>
      <c r="N639" s="11"/>
      <c r="O639" s="11"/>
      <c r="P639" s="82"/>
    </row>
    <row r="640" spans="2:16" s="9" customFormat="1" x14ac:dyDescent="0.2">
      <c r="B640" s="10"/>
      <c r="C640" s="11"/>
      <c r="D640" s="63"/>
      <c r="E640" s="11"/>
      <c r="F640" s="65"/>
      <c r="G640" s="12"/>
      <c r="H640" s="41"/>
      <c r="I640" s="30"/>
      <c r="J640" s="30"/>
      <c r="K640" s="97"/>
      <c r="L640" s="11"/>
      <c r="M640" s="11"/>
      <c r="N640" s="11"/>
      <c r="O640" s="11"/>
      <c r="P640" s="82"/>
    </row>
    <row r="641" spans="2:16" s="9" customFormat="1" x14ac:dyDescent="0.2">
      <c r="B641" s="10"/>
      <c r="C641" s="11"/>
      <c r="D641" s="63"/>
      <c r="E641" s="11"/>
      <c r="F641" s="65"/>
      <c r="G641" s="12"/>
      <c r="H641" s="41"/>
      <c r="I641" s="30"/>
      <c r="J641" s="30"/>
      <c r="K641" s="97"/>
      <c r="L641" s="11"/>
      <c r="M641" s="11"/>
      <c r="N641" s="11"/>
      <c r="O641" s="11"/>
      <c r="P641" s="82"/>
    </row>
    <row r="642" spans="2:16" s="9" customFormat="1" x14ac:dyDescent="0.2">
      <c r="B642" s="10"/>
      <c r="C642" s="11"/>
      <c r="D642" s="63"/>
      <c r="E642" s="11"/>
      <c r="F642" s="65"/>
      <c r="G642" s="12"/>
      <c r="H642" s="41"/>
      <c r="I642" s="30"/>
      <c r="J642" s="30"/>
      <c r="K642" s="97"/>
      <c r="L642" s="11"/>
      <c r="M642" s="11"/>
      <c r="N642" s="11"/>
      <c r="O642" s="11"/>
      <c r="P642" s="82"/>
    </row>
    <row r="643" spans="2:16" s="9" customFormat="1" x14ac:dyDescent="0.2">
      <c r="B643" s="10"/>
      <c r="C643" s="11"/>
      <c r="D643" s="63"/>
      <c r="E643" s="11"/>
      <c r="F643" s="65"/>
      <c r="G643" s="12"/>
      <c r="H643" s="41"/>
      <c r="I643" s="30"/>
      <c r="J643" s="30"/>
      <c r="K643" s="97"/>
      <c r="L643" s="11"/>
      <c r="M643" s="11"/>
      <c r="N643" s="11"/>
      <c r="O643" s="11"/>
      <c r="P643" s="82"/>
    </row>
    <row r="644" spans="2:16" s="9" customFormat="1" x14ac:dyDescent="0.2">
      <c r="B644" s="10"/>
      <c r="C644" s="11"/>
      <c r="D644" s="63"/>
      <c r="E644" s="11"/>
      <c r="F644" s="65"/>
      <c r="G644" s="12"/>
      <c r="H644" s="41"/>
      <c r="I644" s="30"/>
      <c r="J644" s="30"/>
      <c r="K644" s="97"/>
      <c r="L644" s="11"/>
      <c r="M644" s="11"/>
      <c r="N644" s="11"/>
      <c r="O644" s="11"/>
      <c r="P644" s="82"/>
    </row>
    <row r="645" spans="2:16" s="9" customFormat="1" x14ac:dyDescent="0.2">
      <c r="B645" s="10"/>
      <c r="C645" s="11"/>
      <c r="D645" s="63"/>
      <c r="E645" s="11"/>
      <c r="F645" s="65"/>
      <c r="G645" s="12"/>
      <c r="H645" s="41"/>
      <c r="I645" s="30"/>
      <c r="J645" s="30"/>
      <c r="K645" s="97"/>
      <c r="L645" s="11"/>
      <c r="M645" s="11"/>
      <c r="N645" s="11"/>
      <c r="O645" s="11"/>
      <c r="P645" s="82"/>
    </row>
    <row r="646" spans="2:16" s="9" customFormat="1" x14ac:dyDescent="0.2">
      <c r="B646" s="10"/>
      <c r="C646" s="11"/>
      <c r="D646" s="63"/>
      <c r="E646" s="11"/>
      <c r="F646" s="65"/>
      <c r="G646" s="12"/>
      <c r="H646" s="41"/>
      <c r="I646" s="30"/>
      <c r="J646" s="30"/>
      <c r="K646" s="97"/>
      <c r="L646" s="11"/>
      <c r="M646" s="11"/>
      <c r="N646" s="11"/>
      <c r="O646" s="11"/>
      <c r="P646" s="82"/>
    </row>
    <row r="647" spans="2:16" s="9" customFormat="1" x14ac:dyDescent="0.2">
      <c r="B647" s="10"/>
      <c r="C647" s="11"/>
      <c r="D647" s="63"/>
      <c r="E647" s="11"/>
      <c r="F647" s="65"/>
      <c r="G647" s="12"/>
      <c r="H647" s="41"/>
      <c r="I647" s="30"/>
      <c r="J647" s="30"/>
      <c r="K647" s="97"/>
      <c r="L647" s="11"/>
      <c r="M647" s="11"/>
      <c r="N647" s="11"/>
      <c r="O647" s="11"/>
      <c r="P647" s="82"/>
    </row>
    <row r="648" spans="2:16" s="9" customFormat="1" x14ac:dyDescent="0.2">
      <c r="B648" s="10"/>
      <c r="C648" s="11"/>
      <c r="D648" s="63"/>
      <c r="E648" s="11"/>
      <c r="F648" s="65"/>
      <c r="G648" s="12"/>
      <c r="H648" s="41"/>
      <c r="I648" s="30"/>
      <c r="J648" s="30"/>
      <c r="K648" s="97"/>
      <c r="L648" s="11"/>
      <c r="M648" s="11"/>
      <c r="N648" s="11"/>
      <c r="O648" s="11"/>
      <c r="P648" s="82"/>
    </row>
    <row r="649" spans="2:16" s="9" customFormat="1" x14ac:dyDescent="0.2">
      <c r="B649" s="10"/>
      <c r="C649" s="11"/>
      <c r="D649" s="63"/>
      <c r="E649" s="11"/>
      <c r="F649" s="65"/>
      <c r="G649" s="12"/>
      <c r="H649" s="41"/>
      <c r="I649" s="30"/>
      <c r="J649" s="30"/>
      <c r="K649" s="97"/>
      <c r="L649" s="11"/>
      <c r="M649" s="11"/>
      <c r="N649" s="11"/>
      <c r="O649" s="11"/>
      <c r="P649" s="82"/>
    </row>
    <row r="650" spans="2:16" s="9" customFormat="1" x14ac:dyDescent="0.2">
      <c r="B650" s="10"/>
      <c r="C650" s="11"/>
      <c r="D650" s="63"/>
      <c r="E650" s="11"/>
      <c r="F650" s="65"/>
      <c r="G650" s="12"/>
      <c r="H650" s="41"/>
      <c r="I650" s="30"/>
      <c r="J650" s="30"/>
      <c r="K650" s="97"/>
      <c r="L650" s="11"/>
      <c r="M650" s="11"/>
      <c r="N650" s="11"/>
      <c r="O650" s="11"/>
      <c r="P650" s="82"/>
    </row>
    <row r="651" spans="2:16" s="9" customFormat="1" x14ac:dyDescent="0.2">
      <c r="B651" s="10"/>
      <c r="C651" s="11"/>
      <c r="D651" s="63"/>
      <c r="E651" s="11"/>
      <c r="F651" s="65"/>
      <c r="G651" s="12"/>
      <c r="H651" s="41"/>
      <c r="I651" s="30"/>
      <c r="J651" s="30"/>
      <c r="K651" s="97"/>
      <c r="L651" s="11"/>
      <c r="M651" s="11"/>
      <c r="N651" s="11"/>
      <c r="O651" s="11"/>
      <c r="P651" s="82"/>
    </row>
    <row r="652" spans="2:16" s="9" customFormat="1" x14ac:dyDescent="0.2">
      <c r="B652" s="10"/>
      <c r="C652" s="11"/>
      <c r="D652" s="63"/>
      <c r="E652" s="11"/>
      <c r="F652" s="65"/>
      <c r="G652" s="12"/>
      <c r="H652" s="41"/>
      <c r="I652" s="30"/>
      <c r="J652" s="30"/>
      <c r="K652" s="97"/>
      <c r="L652" s="11"/>
      <c r="M652" s="11"/>
      <c r="N652" s="11"/>
      <c r="O652" s="11"/>
      <c r="P652" s="82"/>
    </row>
    <row r="653" spans="2:16" s="9" customFormat="1" x14ac:dyDescent="0.2">
      <c r="B653" s="10"/>
      <c r="C653" s="11"/>
      <c r="D653" s="63"/>
      <c r="E653" s="11"/>
      <c r="F653" s="65"/>
      <c r="G653" s="12"/>
      <c r="H653" s="41"/>
      <c r="I653" s="30"/>
      <c r="J653" s="30"/>
      <c r="K653" s="97"/>
      <c r="L653" s="11"/>
      <c r="M653" s="11"/>
      <c r="N653" s="11"/>
      <c r="O653" s="11"/>
      <c r="P653" s="82"/>
    </row>
    <row r="654" spans="2:16" s="9" customFormat="1" x14ac:dyDescent="0.2">
      <c r="B654" s="10"/>
      <c r="C654" s="11"/>
      <c r="D654" s="63"/>
      <c r="E654" s="11"/>
      <c r="F654" s="65"/>
      <c r="G654" s="12"/>
      <c r="H654" s="41"/>
      <c r="I654" s="30"/>
      <c r="J654" s="30"/>
      <c r="K654" s="97"/>
      <c r="L654" s="11"/>
      <c r="M654" s="11"/>
      <c r="N654" s="11"/>
      <c r="O654" s="11"/>
      <c r="P654" s="82"/>
    </row>
    <row r="655" spans="2:16" s="9" customFormat="1" x14ac:dyDescent="0.2">
      <c r="B655" s="10"/>
      <c r="C655" s="11"/>
      <c r="D655" s="63"/>
      <c r="E655" s="11"/>
      <c r="F655" s="65"/>
      <c r="G655" s="12"/>
      <c r="H655" s="41"/>
      <c r="I655" s="30"/>
      <c r="J655" s="30"/>
      <c r="K655" s="97"/>
      <c r="L655" s="11"/>
      <c r="M655" s="11"/>
      <c r="N655" s="11"/>
      <c r="O655" s="11"/>
      <c r="P655" s="82"/>
    </row>
    <row r="656" spans="2:16" s="9" customFormat="1" x14ac:dyDescent="0.2">
      <c r="B656" s="10"/>
      <c r="C656" s="11"/>
      <c r="D656" s="63"/>
      <c r="E656" s="11"/>
      <c r="F656" s="65"/>
      <c r="G656" s="12"/>
      <c r="H656" s="41"/>
      <c r="I656" s="30"/>
      <c r="J656" s="30"/>
      <c r="K656" s="97"/>
      <c r="L656" s="11"/>
      <c r="M656" s="11"/>
      <c r="N656" s="11"/>
      <c r="O656" s="11"/>
      <c r="P656" s="82"/>
    </row>
    <row r="657" spans="2:16" s="9" customFormat="1" x14ac:dyDescent="0.2">
      <c r="B657" s="10"/>
      <c r="C657" s="11"/>
      <c r="D657" s="63"/>
      <c r="E657" s="11"/>
      <c r="F657" s="65"/>
      <c r="G657" s="12"/>
      <c r="H657" s="41"/>
      <c r="I657" s="30"/>
      <c r="J657" s="30"/>
      <c r="K657" s="97"/>
      <c r="L657" s="11"/>
      <c r="M657" s="11"/>
      <c r="N657" s="11"/>
      <c r="O657" s="11"/>
      <c r="P657" s="82"/>
    </row>
    <row r="658" spans="2:16" s="9" customFormat="1" x14ac:dyDescent="0.2">
      <c r="B658" s="10"/>
      <c r="C658" s="11"/>
      <c r="D658" s="63"/>
      <c r="E658" s="11"/>
      <c r="F658" s="65"/>
      <c r="G658" s="12"/>
      <c r="H658" s="41"/>
      <c r="I658" s="30"/>
      <c r="J658" s="30"/>
      <c r="K658" s="97"/>
      <c r="L658" s="11"/>
      <c r="M658" s="11"/>
      <c r="N658" s="11"/>
      <c r="O658" s="11"/>
      <c r="P658" s="82"/>
    </row>
    <row r="659" spans="2:16" s="9" customFormat="1" x14ac:dyDescent="0.2">
      <c r="B659" s="10"/>
      <c r="C659" s="11"/>
      <c r="D659" s="63"/>
      <c r="E659" s="11"/>
      <c r="F659" s="65"/>
      <c r="G659" s="12"/>
      <c r="H659" s="41"/>
      <c r="I659" s="30"/>
      <c r="J659" s="30"/>
      <c r="K659" s="97"/>
      <c r="L659" s="11"/>
      <c r="M659" s="11"/>
      <c r="N659" s="11"/>
      <c r="O659" s="11"/>
      <c r="P659" s="82"/>
    </row>
    <row r="660" spans="2:16" s="9" customFormat="1" x14ac:dyDescent="0.2">
      <c r="B660" s="10"/>
      <c r="C660" s="11"/>
      <c r="D660" s="63"/>
      <c r="E660" s="11"/>
      <c r="F660" s="65"/>
      <c r="G660" s="12"/>
      <c r="H660" s="41"/>
      <c r="I660" s="30"/>
      <c r="J660" s="30"/>
      <c r="K660" s="97"/>
      <c r="L660" s="11"/>
      <c r="M660" s="11"/>
      <c r="N660" s="11"/>
      <c r="O660" s="11"/>
      <c r="P660" s="82"/>
    </row>
    <row r="661" spans="2:16" s="9" customFormat="1" x14ac:dyDescent="0.2">
      <c r="B661" s="10"/>
      <c r="C661" s="11"/>
      <c r="D661" s="63"/>
      <c r="E661" s="11"/>
      <c r="F661" s="65"/>
      <c r="G661" s="12"/>
      <c r="H661" s="41"/>
      <c r="I661" s="30"/>
      <c r="J661" s="30"/>
      <c r="K661" s="97"/>
      <c r="L661" s="11"/>
      <c r="M661" s="11"/>
      <c r="N661" s="11"/>
      <c r="O661" s="11"/>
      <c r="P661" s="82"/>
    </row>
    <row r="662" spans="2:16" s="9" customFormat="1" x14ac:dyDescent="0.2">
      <c r="B662" s="10"/>
      <c r="C662" s="11"/>
      <c r="D662" s="63"/>
      <c r="E662" s="11"/>
      <c r="F662" s="65"/>
      <c r="G662" s="12"/>
      <c r="H662" s="41"/>
      <c r="I662" s="30"/>
      <c r="J662" s="30"/>
      <c r="K662" s="97"/>
      <c r="L662" s="11"/>
      <c r="M662" s="11"/>
      <c r="N662" s="11"/>
      <c r="O662" s="11"/>
      <c r="P662" s="82"/>
    </row>
    <row r="663" spans="2:16" s="9" customFormat="1" x14ac:dyDescent="0.2">
      <c r="B663" s="10"/>
      <c r="C663" s="11"/>
      <c r="D663" s="63"/>
      <c r="E663" s="11"/>
      <c r="F663" s="65"/>
      <c r="G663" s="12"/>
      <c r="H663" s="41"/>
      <c r="I663" s="30"/>
      <c r="J663" s="30"/>
      <c r="K663" s="97"/>
      <c r="L663" s="11"/>
      <c r="M663" s="11"/>
      <c r="N663" s="11"/>
      <c r="O663" s="11"/>
      <c r="P663" s="82"/>
    </row>
    <row r="664" spans="2:16" s="9" customFormat="1" x14ac:dyDescent="0.2">
      <c r="B664" s="10"/>
      <c r="C664" s="11"/>
      <c r="D664" s="63"/>
      <c r="E664" s="11"/>
      <c r="F664" s="65"/>
      <c r="G664" s="12"/>
      <c r="H664" s="41"/>
      <c r="I664" s="30"/>
      <c r="J664" s="30"/>
      <c r="K664" s="97"/>
      <c r="L664" s="11"/>
      <c r="M664" s="11"/>
      <c r="N664" s="11"/>
      <c r="O664" s="11"/>
      <c r="P664" s="82"/>
    </row>
    <row r="665" spans="2:16" s="9" customFormat="1" x14ac:dyDescent="0.2">
      <c r="B665" s="10"/>
      <c r="C665" s="11"/>
      <c r="D665" s="63"/>
      <c r="E665" s="11"/>
      <c r="F665" s="65"/>
      <c r="G665" s="12"/>
      <c r="H665" s="41"/>
      <c r="I665" s="30"/>
      <c r="J665" s="30"/>
      <c r="K665" s="97"/>
      <c r="L665" s="11"/>
      <c r="M665" s="11"/>
      <c r="N665" s="11"/>
      <c r="O665" s="11"/>
      <c r="P665" s="82"/>
    </row>
    <row r="666" spans="2:16" s="9" customFormat="1" x14ac:dyDescent="0.2">
      <c r="B666" s="10"/>
      <c r="C666" s="11"/>
      <c r="D666" s="63"/>
      <c r="E666" s="11"/>
      <c r="F666" s="65"/>
      <c r="G666" s="12"/>
      <c r="H666" s="41"/>
      <c r="I666" s="30"/>
      <c r="J666" s="30"/>
      <c r="K666" s="97"/>
      <c r="L666" s="11"/>
      <c r="M666" s="11"/>
      <c r="N666" s="11"/>
      <c r="O666" s="11"/>
      <c r="P666" s="82"/>
    </row>
    <row r="667" spans="2:16" s="9" customFormat="1" x14ac:dyDescent="0.2">
      <c r="B667" s="10"/>
      <c r="C667" s="11"/>
      <c r="D667" s="63"/>
      <c r="E667" s="11"/>
      <c r="F667" s="65"/>
      <c r="G667" s="12"/>
      <c r="H667" s="41"/>
      <c r="I667" s="30"/>
      <c r="J667" s="30"/>
      <c r="K667" s="97"/>
      <c r="L667" s="11"/>
      <c r="M667" s="11"/>
      <c r="N667" s="11"/>
      <c r="O667" s="11"/>
      <c r="P667" s="82"/>
    </row>
    <row r="668" spans="2:16" s="9" customFormat="1" x14ac:dyDescent="0.2">
      <c r="B668" s="10"/>
      <c r="C668" s="11"/>
      <c r="D668" s="63"/>
      <c r="E668" s="11"/>
      <c r="F668" s="65"/>
      <c r="G668" s="12"/>
      <c r="H668" s="41"/>
      <c r="I668" s="30"/>
      <c r="J668" s="30"/>
      <c r="K668" s="97"/>
      <c r="L668" s="11"/>
      <c r="M668" s="11"/>
      <c r="N668" s="11"/>
      <c r="O668" s="11"/>
      <c r="P668" s="82"/>
    </row>
    <row r="669" spans="2:16" s="9" customFormat="1" x14ac:dyDescent="0.2">
      <c r="B669" s="10"/>
      <c r="C669" s="11"/>
      <c r="D669" s="63"/>
      <c r="E669" s="11"/>
      <c r="F669" s="65"/>
      <c r="G669" s="12"/>
      <c r="H669" s="41"/>
      <c r="I669" s="30"/>
      <c r="J669" s="30"/>
      <c r="K669" s="97"/>
      <c r="L669" s="11"/>
      <c r="M669" s="11"/>
      <c r="N669" s="11"/>
      <c r="O669" s="11"/>
      <c r="P669" s="82"/>
    </row>
    <row r="670" spans="2:16" s="9" customFormat="1" x14ac:dyDescent="0.2">
      <c r="B670" s="10"/>
      <c r="C670" s="11"/>
      <c r="D670" s="63"/>
      <c r="E670" s="11"/>
      <c r="F670" s="65"/>
      <c r="G670" s="12"/>
      <c r="H670" s="41"/>
      <c r="I670" s="30"/>
      <c r="J670" s="30"/>
      <c r="K670" s="97"/>
      <c r="L670" s="11"/>
      <c r="M670" s="11"/>
      <c r="N670" s="11"/>
      <c r="O670" s="11"/>
      <c r="P670" s="82"/>
    </row>
    <row r="671" spans="2:16" s="9" customFormat="1" x14ac:dyDescent="0.2">
      <c r="B671" s="10"/>
      <c r="C671" s="11"/>
      <c r="D671" s="63"/>
      <c r="E671" s="11"/>
      <c r="F671" s="65"/>
      <c r="G671" s="12"/>
      <c r="H671" s="41"/>
      <c r="I671" s="30"/>
      <c r="J671" s="30"/>
      <c r="K671" s="97"/>
      <c r="L671" s="11"/>
      <c r="M671" s="11"/>
      <c r="N671" s="11"/>
      <c r="O671" s="11"/>
      <c r="P671" s="82"/>
    </row>
    <row r="672" spans="2:16" s="9" customFormat="1" x14ac:dyDescent="0.2">
      <c r="B672" s="10"/>
      <c r="C672" s="11"/>
      <c r="D672" s="63"/>
      <c r="E672" s="11"/>
      <c r="F672" s="65"/>
      <c r="G672" s="12"/>
      <c r="H672" s="41"/>
      <c r="I672" s="30"/>
      <c r="J672" s="30"/>
      <c r="K672" s="97"/>
      <c r="L672" s="11"/>
      <c r="M672" s="11"/>
      <c r="N672" s="11"/>
      <c r="O672" s="11"/>
      <c r="P672" s="82"/>
    </row>
    <row r="673" spans="2:16" s="9" customFormat="1" x14ac:dyDescent="0.2">
      <c r="B673" s="10"/>
      <c r="C673" s="11"/>
      <c r="D673" s="63"/>
      <c r="E673" s="11"/>
      <c r="F673" s="65"/>
      <c r="G673" s="12"/>
      <c r="H673" s="41"/>
      <c r="I673" s="30"/>
      <c r="J673" s="30"/>
      <c r="K673" s="97"/>
      <c r="L673" s="11"/>
      <c r="M673" s="11"/>
      <c r="N673" s="11"/>
      <c r="O673" s="11"/>
      <c r="P673" s="82"/>
    </row>
    <row r="674" spans="2:16" s="9" customFormat="1" x14ac:dyDescent="0.2">
      <c r="B674" s="10"/>
      <c r="C674" s="11"/>
      <c r="D674" s="63"/>
      <c r="E674" s="11"/>
      <c r="F674" s="65"/>
      <c r="G674" s="12"/>
      <c r="H674" s="41"/>
      <c r="I674" s="30"/>
      <c r="J674" s="30"/>
      <c r="K674" s="97"/>
      <c r="L674" s="11"/>
      <c r="M674" s="11"/>
      <c r="N674" s="11"/>
      <c r="O674" s="11"/>
      <c r="P674" s="82"/>
    </row>
    <row r="675" spans="2:16" s="9" customFormat="1" x14ac:dyDescent="0.2">
      <c r="B675" s="10"/>
      <c r="C675" s="11"/>
      <c r="D675" s="63"/>
      <c r="E675" s="11"/>
      <c r="F675" s="65"/>
      <c r="G675" s="12"/>
      <c r="H675" s="41"/>
      <c r="I675" s="30"/>
      <c r="J675" s="30"/>
      <c r="K675" s="97"/>
      <c r="L675" s="11"/>
      <c r="M675" s="11"/>
      <c r="N675" s="11"/>
      <c r="O675" s="11"/>
      <c r="P675" s="82"/>
    </row>
    <row r="676" spans="2:16" s="9" customFormat="1" x14ac:dyDescent="0.2">
      <c r="B676" s="10"/>
      <c r="C676" s="11"/>
      <c r="D676" s="63"/>
      <c r="E676" s="11"/>
      <c r="F676" s="65"/>
      <c r="G676" s="12"/>
      <c r="H676" s="41"/>
      <c r="I676" s="30"/>
      <c r="J676" s="30"/>
      <c r="K676" s="97"/>
      <c r="L676" s="11"/>
      <c r="M676" s="11"/>
      <c r="N676" s="11"/>
      <c r="O676" s="11"/>
      <c r="P676" s="82"/>
    </row>
    <row r="677" spans="2:16" s="9" customFormat="1" x14ac:dyDescent="0.2">
      <c r="B677" s="10"/>
      <c r="C677" s="11"/>
      <c r="D677" s="63"/>
      <c r="E677" s="11"/>
      <c r="F677" s="65"/>
      <c r="G677" s="12"/>
      <c r="H677" s="41"/>
      <c r="I677" s="30"/>
      <c r="J677" s="30"/>
      <c r="K677" s="97"/>
      <c r="L677" s="11"/>
      <c r="M677" s="11"/>
      <c r="N677" s="11"/>
      <c r="O677" s="11"/>
      <c r="P677" s="82"/>
    </row>
    <row r="678" spans="2:16" s="9" customFormat="1" x14ac:dyDescent="0.2">
      <c r="B678" s="10"/>
      <c r="C678" s="11"/>
      <c r="D678" s="63"/>
      <c r="E678" s="11"/>
      <c r="F678" s="65"/>
      <c r="G678" s="12"/>
      <c r="H678" s="41"/>
      <c r="I678" s="30"/>
      <c r="J678" s="30"/>
      <c r="K678" s="97"/>
      <c r="L678" s="11"/>
      <c r="M678" s="11"/>
      <c r="N678" s="11"/>
      <c r="O678" s="11"/>
      <c r="P678" s="82"/>
    </row>
    <row r="679" spans="2:16" s="9" customFormat="1" x14ac:dyDescent="0.2">
      <c r="B679" s="10"/>
      <c r="C679" s="11"/>
      <c r="D679" s="63"/>
      <c r="E679" s="11"/>
      <c r="F679" s="65"/>
      <c r="G679" s="12"/>
      <c r="H679" s="41"/>
      <c r="I679" s="30"/>
      <c r="J679" s="30"/>
      <c r="K679" s="97"/>
      <c r="L679" s="11"/>
      <c r="M679" s="11"/>
      <c r="N679" s="11"/>
      <c r="O679" s="11"/>
      <c r="P679" s="82"/>
    </row>
    <row r="680" spans="2:16" s="9" customFormat="1" x14ac:dyDescent="0.2">
      <c r="B680" s="10"/>
      <c r="C680" s="11"/>
      <c r="D680" s="63"/>
      <c r="E680" s="11"/>
      <c r="F680" s="65"/>
      <c r="G680" s="12"/>
      <c r="H680" s="41"/>
      <c r="I680" s="30"/>
      <c r="J680" s="30"/>
      <c r="K680" s="97"/>
      <c r="L680" s="11"/>
      <c r="M680" s="11"/>
      <c r="N680" s="11"/>
      <c r="O680" s="11"/>
      <c r="P680" s="82"/>
    </row>
    <row r="681" spans="2:16" s="9" customFormat="1" x14ac:dyDescent="0.2">
      <c r="B681" s="10"/>
      <c r="C681" s="11"/>
      <c r="D681" s="63"/>
      <c r="E681" s="11"/>
      <c r="F681" s="65"/>
      <c r="G681" s="12"/>
      <c r="H681" s="41"/>
      <c r="I681" s="30"/>
      <c r="J681" s="30"/>
      <c r="K681" s="97"/>
      <c r="L681" s="11"/>
      <c r="M681" s="11"/>
      <c r="N681" s="11"/>
      <c r="O681" s="11"/>
      <c r="P681" s="82"/>
    </row>
    <row r="682" spans="2:16" s="9" customFormat="1" x14ac:dyDescent="0.2">
      <c r="B682" s="10"/>
      <c r="C682" s="11"/>
      <c r="D682" s="63"/>
      <c r="E682" s="11"/>
      <c r="F682" s="65"/>
      <c r="G682" s="12"/>
      <c r="H682" s="41"/>
      <c r="I682" s="30"/>
      <c r="J682" s="30"/>
      <c r="K682" s="97"/>
      <c r="L682" s="11"/>
      <c r="M682" s="11"/>
      <c r="N682" s="11"/>
      <c r="O682" s="11"/>
      <c r="P682" s="82"/>
    </row>
    <row r="683" spans="2:16" s="9" customFormat="1" x14ac:dyDescent="0.2">
      <c r="B683" s="10"/>
      <c r="C683" s="11"/>
      <c r="D683" s="63"/>
      <c r="E683" s="11"/>
      <c r="F683" s="65"/>
      <c r="G683" s="12"/>
      <c r="H683" s="41"/>
      <c r="I683" s="30"/>
      <c r="J683" s="30"/>
      <c r="K683" s="97"/>
      <c r="L683" s="11"/>
      <c r="M683" s="11"/>
      <c r="N683" s="11"/>
      <c r="O683" s="11"/>
      <c r="P683" s="82"/>
    </row>
    <row r="684" spans="2:16" s="9" customFormat="1" x14ac:dyDescent="0.2">
      <c r="B684" s="10"/>
      <c r="C684" s="11"/>
      <c r="D684" s="63"/>
      <c r="E684" s="11"/>
      <c r="F684" s="65"/>
      <c r="G684" s="12"/>
      <c r="H684" s="41"/>
      <c r="I684" s="30"/>
      <c r="J684" s="30"/>
      <c r="K684" s="97"/>
      <c r="L684" s="11"/>
      <c r="M684" s="11"/>
      <c r="N684" s="11"/>
      <c r="O684" s="11"/>
      <c r="P684" s="82"/>
    </row>
    <row r="685" spans="2:16" s="9" customFormat="1" x14ac:dyDescent="0.2">
      <c r="B685" s="10"/>
      <c r="C685" s="11"/>
      <c r="D685" s="63"/>
      <c r="E685" s="11"/>
      <c r="F685" s="65"/>
      <c r="G685" s="12"/>
      <c r="H685" s="41"/>
      <c r="I685" s="30"/>
      <c r="J685" s="30"/>
      <c r="K685" s="97"/>
      <c r="L685" s="11"/>
      <c r="M685" s="11"/>
      <c r="N685" s="11"/>
      <c r="O685" s="11"/>
      <c r="P685" s="82"/>
    </row>
    <row r="686" spans="2:16" s="9" customFormat="1" x14ac:dyDescent="0.2">
      <c r="B686" s="10"/>
      <c r="C686" s="11"/>
      <c r="D686" s="63"/>
      <c r="E686" s="11"/>
      <c r="F686" s="65"/>
      <c r="G686" s="12"/>
      <c r="H686" s="41"/>
      <c r="I686" s="30"/>
      <c r="J686" s="30"/>
      <c r="K686" s="97"/>
      <c r="L686" s="11"/>
      <c r="M686" s="11"/>
      <c r="N686" s="11"/>
      <c r="O686" s="11"/>
      <c r="P686" s="82"/>
    </row>
    <row r="687" spans="2:16" s="9" customFormat="1" x14ac:dyDescent="0.2">
      <c r="B687" s="10"/>
      <c r="C687" s="11"/>
      <c r="D687" s="63"/>
      <c r="E687" s="11"/>
      <c r="F687" s="65"/>
      <c r="G687" s="12"/>
      <c r="H687" s="41"/>
      <c r="I687" s="30"/>
      <c r="J687" s="30"/>
      <c r="K687" s="97"/>
      <c r="L687" s="11"/>
      <c r="M687" s="11"/>
      <c r="N687" s="11"/>
      <c r="O687" s="11"/>
      <c r="P687" s="82"/>
    </row>
    <row r="688" spans="2:16" s="9" customFormat="1" x14ac:dyDescent="0.2">
      <c r="B688" s="10"/>
      <c r="C688" s="11"/>
      <c r="D688" s="63"/>
      <c r="E688" s="11"/>
      <c r="F688" s="65"/>
      <c r="G688" s="12"/>
      <c r="H688" s="41"/>
      <c r="I688" s="30"/>
      <c r="J688" s="30"/>
      <c r="K688" s="97"/>
      <c r="L688" s="11"/>
      <c r="M688" s="11"/>
      <c r="N688" s="11"/>
      <c r="O688" s="11"/>
      <c r="P688" s="82"/>
    </row>
    <row r="689" spans="2:16" s="9" customFormat="1" x14ac:dyDescent="0.2">
      <c r="B689" s="10"/>
      <c r="C689" s="11"/>
      <c r="D689" s="63"/>
      <c r="E689" s="11"/>
      <c r="F689" s="65"/>
      <c r="G689" s="12"/>
      <c r="H689" s="41"/>
      <c r="I689" s="30"/>
      <c r="J689" s="30"/>
      <c r="K689" s="97"/>
      <c r="L689" s="11"/>
      <c r="M689" s="11"/>
      <c r="N689" s="11"/>
      <c r="O689" s="11"/>
      <c r="P689" s="82"/>
    </row>
    <row r="690" spans="2:16" s="9" customFormat="1" x14ac:dyDescent="0.2">
      <c r="B690" s="10"/>
      <c r="C690" s="11"/>
      <c r="D690" s="63"/>
      <c r="E690" s="11"/>
      <c r="F690" s="65"/>
      <c r="G690" s="12"/>
      <c r="H690" s="41"/>
      <c r="I690" s="30"/>
      <c r="J690" s="30"/>
      <c r="K690" s="97"/>
      <c r="L690" s="11"/>
      <c r="M690" s="11"/>
      <c r="N690" s="11"/>
      <c r="O690" s="11"/>
      <c r="P690" s="82"/>
    </row>
    <row r="691" spans="2:16" s="9" customFormat="1" x14ac:dyDescent="0.2">
      <c r="B691" s="10"/>
      <c r="C691" s="11"/>
      <c r="D691" s="63"/>
      <c r="E691" s="11"/>
      <c r="F691" s="65"/>
      <c r="G691" s="12"/>
      <c r="H691" s="41"/>
      <c r="I691" s="30"/>
      <c r="J691" s="30"/>
      <c r="K691" s="97"/>
      <c r="L691" s="11"/>
      <c r="M691" s="11"/>
      <c r="N691" s="11"/>
      <c r="O691" s="11"/>
      <c r="P691" s="82"/>
    </row>
    <row r="692" spans="2:16" s="9" customFormat="1" x14ac:dyDescent="0.2">
      <c r="B692" s="10"/>
      <c r="C692" s="11"/>
      <c r="D692" s="63"/>
      <c r="E692" s="11"/>
      <c r="F692" s="65"/>
      <c r="G692" s="12"/>
      <c r="H692" s="41"/>
      <c r="I692" s="30"/>
      <c r="J692" s="30"/>
      <c r="K692" s="97"/>
      <c r="L692" s="11"/>
      <c r="M692" s="11"/>
      <c r="N692" s="11"/>
      <c r="O692" s="11"/>
      <c r="P692" s="82"/>
    </row>
    <row r="693" spans="2:16" s="9" customFormat="1" x14ac:dyDescent="0.2">
      <c r="B693" s="10"/>
      <c r="C693" s="11"/>
      <c r="D693" s="63"/>
      <c r="E693" s="11"/>
      <c r="F693" s="65"/>
      <c r="G693" s="12"/>
      <c r="H693" s="41"/>
      <c r="I693" s="30"/>
      <c r="J693" s="30"/>
      <c r="K693" s="97"/>
      <c r="L693" s="11"/>
      <c r="M693" s="11"/>
      <c r="N693" s="11"/>
      <c r="O693" s="11"/>
      <c r="P693" s="82"/>
    </row>
    <row r="694" spans="2:16" s="9" customFormat="1" x14ac:dyDescent="0.2">
      <c r="B694" s="10"/>
      <c r="C694" s="11"/>
      <c r="D694" s="63"/>
      <c r="E694" s="11"/>
      <c r="F694" s="65"/>
      <c r="G694" s="12"/>
      <c r="H694" s="41"/>
      <c r="I694" s="30"/>
      <c r="J694" s="30"/>
      <c r="K694" s="97"/>
      <c r="L694" s="11"/>
      <c r="M694" s="11"/>
      <c r="N694" s="11"/>
      <c r="O694" s="11"/>
      <c r="P694" s="82"/>
    </row>
    <row r="695" spans="2:16" s="9" customFormat="1" x14ac:dyDescent="0.2">
      <c r="B695" s="10"/>
      <c r="C695" s="11"/>
      <c r="D695" s="63"/>
      <c r="E695" s="11"/>
      <c r="F695" s="65"/>
      <c r="G695" s="12"/>
      <c r="H695" s="41"/>
      <c r="I695" s="30"/>
      <c r="J695" s="30"/>
      <c r="K695" s="97"/>
      <c r="L695" s="11"/>
      <c r="M695" s="11"/>
      <c r="N695" s="11"/>
      <c r="O695" s="11"/>
      <c r="P695" s="82"/>
    </row>
    <row r="696" spans="2:16" s="9" customFormat="1" x14ac:dyDescent="0.2">
      <c r="B696" s="10"/>
      <c r="C696" s="11"/>
      <c r="D696" s="63"/>
      <c r="E696" s="11"/>
      <c r="F696" s="65"/>
      <c r="G696" s="12"/>
      <c r="H696" s="41"/>
      <c r="I696" s="30"/>
      <c r="J696" s="30"/>
      <c r="K696" s="97"/>
      <c r="L696" s="11"/>
      <c r="M696" s="11"/>
      <c r="N696" s="11"/>
      <c r="O696" s="11"/>
      <c r="P696" s="82"/>
    </row>
    <row r="697" spans="2:16" s="9" customFormat="1" x14ac:dyDescent="0.2">
      <c r="B697" s="10"/>
      <c r="C697" s="11"/>
      <c r="D697" s="63"/>
      <c r="E697" s="11"/>
      <c r="F697" s="65"/>
      <c r="G697" s="12"/>
      <c r="H697" s="41"/>
      <c r="I697" s="30"/>
      <c r="J697" s="30"/>
      <c r="K697" s="97"/>
      <c r="L697" s="11"/>
      <c r="M697" s="11"/>
      <c r="N697" s="11"/>
      <c r="O697" s="11"/>
      <c r="P697" s="82"/>
    </row>
    <row r="698" spans="2:16" s="9" customFormat="1" x14ac:dyDescent="0.2">
      <c r="B698" s="10"/>
      <c r="C698" s="11"/>
      <c r="D698" s="63"/>
      <c r="E698" s="11"/>
      <c r="F698" s="65"/>
      <c r="G698" s="12"/>
      <c r="H698" s="41"/>
      <c r="I698" s="30"/>
      <c r="J698" s="30"/>
      <c r="K698" s="97"/>
      <c r="L698" s="11"/>
      <c r="M698" s="11"/>
      <c r="N698" s="11"/>
      <c r="O698" s="11"/>
      <c r="P698" s="82"/>
    </row>
    <row r="699" spans="2:16" s="9" customFormat="1" x14ac:dyDescent="0.2">
      <c r="B699" s="10"/>
      <c r="C699" s="11"/>
      <c r="D699" s="63"/>
      <c r="E699" s="11"/>
      <c r="F699" s="65"/>
      <c r="G699" s="12"/>
      <c r="H699" s="41"/>
      <c r="I699" s="30"/>
      <c r="J699" s="30"/>
      <c r="K699" s="97"/>
      <c r="L699" s="11"/>
      <c r="M699" s="11"/>
      <c r="N699" s="11"/>
      <c r="O699" s="11"/>
      <c r="P699" s="82"/>
    </row>
    <row r="700" spans="2:16" s="9" customFormat="1" x14ac:dyDescent="0.2">
      <c r="B700" s="10"/>
      <c r="C700" s="11"/>
      <c r="D700" s="63"/>
      <c r="E700" s="11"/>
      <c r="F700" s="65"/>
      <c r="G700" s="12"/>
      <c r="H700" s="41"/>
      <c r="I700" s="30"/>
      <c r="J700" s="30"/>
      <c r="K700" s="97"/>
      <c r="L700" s="11"/>
      <c r="M700" s="11"/>
      <c r="N700" s="11"/>
      <c r="O700" s="11"/>
      <c r="P700" s="82"/>
    </row>
    <row r="701" spans="2:16" s="9" customFormat="1" x14ac:dyDescent="0.2">
      <c r="B701" s="10"/>
      <c r="C701" s="11"/>
      <c r="D701" s="63"/>
      <c r="E701" s="11"/>
      <c r="F701" s="65"/>
      <c r="G701" s="12"/>
      <c r="H701" s="41"/>
      <c r="I701" s="30"/>
      <c r="J701" s="30"/>
      <c r="K701" s="97"/>
      <c r="L701" s="11"/>
      <c r="M701" s="11"/>
      <c r="N701" s="11"/>
      <c r="O701" s="11"/>
      <c r="P701" s="82"/>
    </row>
    <row r="702" spans="2:16" s="9" customFormat="1" x14ac:dyDescent="0.2">
      <c r="B702" s="10"/>
      <c r="C702" s="11"/>
      <c r="D702" s="63"/>
      <c r="E702" s="11"/>
      <c r="F702" s="65"/>
      <c r="G702" s="12"/>
      <c r="H702" s="41"/>
      <c r="I702" s="30"/>
      <c r="J702" s="30"/>
      <c r="K702" s="97"/>
      <c r="L702" s="11"/>
      <c r="M702" s="11"/>
      <c r="N702" s="11"/>
      <c r="O702" s="11"/>
      <c r="P702" s="82"/>
    </row>
    <row r="703" spans="2:16" s="9" customFormat="1" x14ac:dyDescent="0.2">
      <c r="B703" s="10"/>
      <c r="C703" s="11"/>
      <c r="D703" s="63"/>
      <c r="E703" s="11"/>
      <c r="F703" s="65"/>
      <c r="G703" s="12"/>
      <c r="H703" s="41"/>
      <c r="I703" s="30"/>
      <c r="J703" s="30"/>
      <c r="K703" s="97"/>
      <c r="L703" s="11"/>
      <c r="M703" s="11"/>
      <c r="N703" s="11"/>
      <c r="O703" s="11"/>
      <c r="P703" s="82"/>
    </row>
    <row r="704" spans="2:16" s="9" customFormat="1" x14ac:dyDescent="0.2">
      <c r="B704" s="10"/>
      <c r="C704" s="11"/>
      <c r="D704" s="63"/>
      <c r="E704" s="11"/>
      <c r="F704" s="65"/>
      <c r="G704" s="12"/>
      <c r="H704" s="41"/>
      <c r="I704" s="30"/>
      <c r="J704" s="30"/>
      <c r="K704" s="97"/>
      <c r="L704" s="11"/>
      <c r="M704" s="11"/>
      <c r="N704" s="11"/>
      <c r="O704" s="11"/>
      <c r="P704" s="82"/>
    </row>
    <row r="705" spans="2:16" s="9" customFormat="1" x14ac:dyDescent="0.2">
      <c r="B705" s="10"/>
      <c r="C705" s="11"/>
      <c r="D705" s="63"/>
      <c r="E705" s="11"/>
      <c r="F705" s="65"/>
      <c r="G705" s="12"/>
      <c r="H705" s="41"/>
      <c r="I705" s="30"/>
      <c r="J705" s="30"/>
      <c r="K705" s="97"/>
      <c r="L705" s="11"/>
      <c r="M705" s="11"/>
      <c r="N705" s="11"/>
      <c r="O705" s="11"/>
      <c r="P705" s="82"/>
    </row>
    <row r="706" spans="2:16" s="9" customFormat="1" x14ac:dyDescent="0.2">
      <c r="B706" s="10"/>
      <c r="C706" s="11"/>
      <c r="D706" s="63"/>
      <c r="E706" s="11"/>
      <c r="F706" s="65"/>
      <c r="G706" s="12"/>
      <c r="H706" s="41"/>
      <c r="I706" s="30"/>
      <c r="J706" s="30"/>
      <c r="K706" s="97"/>
      <c r="L706" s="11"/>
      <c r="M706" s="11"/>
      <c r="N706" s="11"/>
      <c r="O706" s="11"/>
      <c r="P706" s="82"/>
    </row>
    <row r="707" spans="2:16" s="9" customFormat="1" x14ac:dyDescent="0.2">
      <c r="B707" s="10"/>
      <c r="C707" s="11"/>
      <c r="D707" s="63"/>
      <c r="E707" s="11"/>
      <c r="F707" s="65"/>
      <c r="G707" s="12"/>
      <c r="H707" s="41"/>
      <c r="I707" s="30"/>
      <c r="J707" s="30"/>
      <c r="K707" s="97"/>
      <c r="L707" s="11"/>
      <c r="M707" s="11"/>
      <c r="N707" s="11"/>
      <c r="O707" s="11"/>
      <c r="P707" s="82"/>
    </row>
    <row r="708" spans="2:16" s="9" customFormat="1" x14ac:dyDescent="0.2">
      <c r="B708" s="10"/>
      <c r="C708" s="11"/>
      <c r="D708" s="63"/>
      <c r="E708" s="11"/>
      <c r="F708" s="65"/>
      <c r="G708" s="12"/>
      <c r="H708" s="41"/>
      <c r="I708" s="30"/>
      <c r="J708" s="30"/>
      <c r="K708" s="97"/>
      <c r="L708" s="11"/>
      <c r="M708" s="11"/>
      <c r="N708" s="11"/>
      <c r="O708" s="11"/>
      <c r="P708" s="82"/>
    </row>
    <row r="709" spans="2:16" s="9" customFormat="1" x14ac:dyDescent="0.2">
      <c r="B709" s="10"/>
      <c r="C709" s="11"/>
      <c r="D709" s="63"/>
      <c r="E709" s="11"/>
      <c r="F709" s="65"/>
      <c r="G709" s="12"/>
      <c r="H709" s="41"/>
      <c r="I709" s="30"/>
      <c r="J709" s="30"/>
      <c r="K709" s="97"/>
      <c r="L709" s="11"/>
      <c r="M709" s="11"/>
      <c r="N709" s="11"/>
      <c r="O709" s="11"/>
      <c r="P709" s="82"/>
    </row>
    <row r="710" spans="2:16" s="9" customFormat="1" x14ac:dyDescent="0.2">
      <c r="B710" s="10"/>
      <c r="C710" s="11"/>
      <c r="D710" s="63"/>
      <c r="E710" s="11"/>
      <c r="F710" s="65"/>
      <c r="G710" s="12"/>
      <c r="H710" s="41"/>
      <c r="I710" s="30"/>
      <c r="J710" s="30"/>
      <c r="K710" s="97"/>
      <c r="L710" s="11"/>
      <c r="M710" s="11"/>
      <c r="N710" s="11"/>
      <c r="O710" s="11"/>
      <c r="P710" s="82"/>
    </row>
    <row r="711" spans="2:16" s="9" customFormat="1" x14ac:dyDescent="0.2">
      <c r="B711" s="10"/>
      <c r="C711" s="11"/>
      <c r="D711" s="63"/>
      <c r="E711" s="11"/>
      <c r="F711" s="65"/>
      <c r="G711" s="12"/>
      <c r="H711" s="41"/>
      <c r="I711" s="30"/>
      <c r="J711" s="30"/>
      <c r="K711" s="97"/>
      <c r="L711" s="11"/>
      <c r="M711" s="11"/>
      <c r="N711" s="11"/>
      <c r="O711" s="11"/>
      <c r="P711" s="82"/>
    </row>
    <row r="712" spans="2:16" s="9" customFormat="1" x14ac:dyDescent="0.2">
      <c r="B712" s="10"/>
      <c r="C712" s="11"/>
      <c r="D712" s="63"/>
      <c r="E712" s="11"/>
      <c r="F712" s="65"/>
      <c r="G712" s="12"/>
      <c r="H712" s="41"/>
      <c r="I712" s="30"/>
      <c r="J712" s="30"/>
      <c r="K712" s="97"/>
      <c r="L712" s="11"/>
      <c r="M712" s="11"/>
      <c r="N712" s="11"/>
      <c r="O712" s="11"/>
      <c r="P712" s="82"/>
    </row>
    <row r="713" spans="2:16" s="9" customFormat="1" x14ac:dyDescent="0.2">
      <c r="B713" s="10"/>
      <c r="C713" s="11"/>
      <c r="D713" s="63"/>
      <c r="E713" s="11"/>
      <c r="F713" s="65"/>
      <c r="G713" s="12"/>
      <c r="H713" s="41"/>
      <c r="I713" s="30"/>
      <c r="J713" s="30"/>
      <c r="K713" s="97"/>
      <c r="L713" s="11"/>
      <c r="M713" s="11"/>
      <c r="N713" s="11"/>
      <c r="O713" s="11"/>
      <c r="P713" s="82"/>
    </row>
    <row r="714" spans="2:16" s="9" customFormat="1" x14ac:dyDescent="0.2">
      <c r="B714" s="10"/>
      <c r="C714" s="11"/>
      <c r="D714" s="63"/>
      <c r="E714" s="11"/>
      <c r="F714" s="65"/>
      <c r="G714" s="12"/>
      <c r="H714" s="41"/>
      <c r="I714" s="30"/>
      <c r="J714" s="30"/>
      <c r="K714" s="97"/>
      <c r="L714" s="11"/>
      <c r="M714" s="11"/>
      <c r="N714" s="11"/>
      <c r="O714" s="11"/>
      <c r="P714" s="82"/>
    </row>
    <row r="715" spans="2:16" s="9" customFormat="1" x14ac:dyDescent="0.2">
      <c r="B715" s="10"/>
      <c r="C715" s="11"/>
      <c r="D715" s="63"/>
      <c r="E715" s="11"/>
      <c r="F715" s="65"/>
      <c r="G715" s="12"/>
      <c r="H715" s="41"/>
      <c r="I715" s="30"/>
      <c r="J715" s="30"/>
      <c r="K715" s="97"/>
      <c r="L715" s="11"/>
      <c r="M715" s="11"/>
      <c r="N715" s="11"/>
      <c r="O715" s="11"/>
      <c r="P715" s="82"/>
    </row>
    <row r="716" spans="2:16" s="9" customFormat="1" x14ac:dyDescent="0.2">
      <c r="B716" s="10"/>
      <c r="C716" s="11"/>
      <c r="D716" s="63"/>
      <c r="E716" s="11"/>
      <c r="F716" s="65"/>
      <c r="G716" s="12"/>
      <c r="H716" s="41"/>
      <c r="I716" s="30"/>
      <c r="J716" s="30"/>
      <c r="K716" s="97"/>
      <c r="L716" s="11"/>
      <c r="M716" s="11"/>
      <c r="N716" s="11"/>
      <c r="O716" s="11"/>
      <c r="P716" s="82"/>
    </row>
    <row r="717" spans="2:16" s="9" customFormat="1" x14ac:dyDescent="0.2">
      <c r="B717" s="10"/>
      <c r="C717" s="11"/>
      <c r="D717" s="63"/>
      <c r="E717" s="11"/>
      <c r="F717" s="65"/>
      <c r="G717" s="12"/>
      <c r="H717" s="41"/>
      <c r="I717" s="30"/>
      <c r="J717" s="30"/>
      <c r="K717" s="97"/>
      <c r="L717" s="11"/>
      <c r="M717" s="11"/>
      <c r="N717" s="11"/>
      <c r="O717" s="11"/>
      <c r="P717" s="82"/>
    </row>
    <row r="718" spans="2:16" s="9" customFormat="1" x14ac:dyDescent="0.2">
      <c r="B718" s="10"/>
      <c r="C718" s="11"/>
      <c r="D718" s="63"/>
      <c r="E718" s="11"/>
      <c r="F718" s="65"/>
      <c r="G718" s="12"/>
      <c r="H718" s="41"/>
      <c r="I718" s="30"/>
      <c r="J718" s="30"/>
      <c r="K718" s="97"/>
      <c r="L718" s="11"/>
      <c r="M718" s="11"/>
      <c r="N718" s="11"/>
      <c r="O718" s="11"/>
      <c r="P718" s="82"/>
    </row>
    <row r="719" spans="2:16" s="9" customFormat="1" x14ac:dyDescent="0.2">
      <c r="B719" s="10"/>
      <c r="C719" s="11"/>
      <c r="D719" s="63"/>
      <c r="E719" s="11"/>
      <c r="F719" s="65"/>
      <c r="G719" s="12"/>
      <c r="H719" s="41"/>
      <c r="I719" s="30"/>
      <c r="J719" s="30"/>
      <c r="K719" s="97"/>
      <c r="L719" s="11"/>
      <c r="M719" s="11"/>
      <c r="N719" s="11"/>
      <c r="O719" s="11"/>
      <c r="P719" s="82"/>
    </row>
    <row r="720" spans="2:16" s="9" customFormat="1" x14ac:dyDescent="0.2">
      <c r="B720" s="10"/>
      <c r="C720" s="11"/>
      <c r="D720" s="63"/>
      <c r="E720" s="11"/>
      <c r="F720" s="65"/>
      <c r="G720" s="12"/>
      <c r="H720" s="41"/>
      <c r="I720" s="30"/>
      <c r="J720" s="30"/>
      <c r="K720" s="97"/>
      <c r="L720" s="11"/>
      <c r="M720" s="11"/>
      <c r="N720" s="11"/>
      <c r="O720" s="11"/>
      <c r="P720" s="82"/>
    </row>
    <row r="721" spans="2:16" s="9" customFormat="1" x14ac:dyDescent="0.2">
      <c r="B721" s="10"/>
      <c r="C721" s="11"/>
      <c r="D721" s="63"/>
      <c r="E721" s="11"/>
      <c r="F721" s="65"/>
      <c r="G721" s="12"/>
      <c r="H721" s="41"/>
      <c r="I721" s="30"/>
      <c r="J721" s="30"/>
      <c r="K721" s="97"/>
      <c r="L721" s="11"/>
      <c r="M721" s="11"/>
      <c r="N721" s="11"/>
      <c r="O721" s="11"/>
      <c r="P721" s="82"/>
    </row>
    <row r="722" spans="2:16" s="9" customFormat="1" x14ac:dyDescent="0.2">
      <c r="B722" s="10"/>
      <c r="C722" s="11"/>
      <c r="D722" s="63"/>
      <c r="E722" s="11"/>
      <c r="F722" s="65"/>
      <c r="G722" s="12"/>
      <c r="H722" s="41"/>
      <c r="I722" s="30"/>
      <c r="J722" s="30"/>
      <c r="K722" s="97"/>
      <c r="L722" s="11"/>
      <c r="M722" s="11"/>
      <c r="N722" s="11"/>
      <c r="O722" s="11"/>
      <c r="P722" s="82"/>
    </row>
    <row r="723" spans="2:16" s="9" customFormat="1" x14ac:dyDescent="0.2">
      <c r="B723" s="10"/>
      <c r="C723" s="11"/>
      <c r="D723" s="63"/>
      <c r="E723" s="11"/>
      <c r="F723" s="65"/>
      <c r="G723" s="12"/>
      <c r="H723" s="41"/>
      <c r="I723" s="30"/>
      <c r="J723" s="30"/>
      <c r="K723" s="97"/>
      <c r="L723" s="11"/>
      <c r="M723" s="11"/>
      <c r="N723" s="11"/>
      <c r="O723" s="11"/>
      <c r="P723" s="82"/>
    </row>
    <row r="724" spans="2:16" s="9" customFormat="1" x14ac:dyDescent="0.2">
      <c r="B724" s="10"/>
      <c r="C724" s="11"/>
      <c r="D724" s="63"/>
      <c r="E724" s="11"/>
      <c r="F724" s="65"/>
      <c r="G724" s="12"/>
      <c r="H724" s="41"/>
      <c r="I724" s="30"/>
      <c r="J724" s="30"/>
      <c r="K724" s="97"/>
      <c r="L724" s="11"/>
      <c r="M724" s="11"/>
      <c r="N724" s="11"/>
      <c r="O724" s="11"/>
      <c r="P724" s="82"/>
    </row>
    <row r="725" spans="2:16" s="9" customFormat="1" x14ac:dyDescent="0.2">
      <c r="B725" s="10"/>
      <c r="C725" s="11"/>
      <c r="D725" s="63"/>
      <c r="E725" s="11"/>
      <c r="F725" s="65"/>
      <c r="G725" s="12"/>
      <c r="H725" s="41"/>
      <c r="I725" s="30"/>
      <c r="J725" s="30"/>
      <c r="K725" s="97"/>
      <c r="L725" s="11"/>
      <c r="M725" s="11"/>
      <c r="N725" s="11"/>
      <c r="O725" s="11"/>
      <c r="P725" s="82"/>
    </row>
    <row r="726" spans="2:16" s="9" customFormat="1" x14ac:dyDescent="0.2">
      <c r="B726" s="10"/>
      <c r="C726" s="11"/>
      <c r="D726" s="63"/>
      <c r="E726" s="11"/>
      <c r="F726" s="65"/>
      <c r="G726" s="12"/>
      <c r="H726" s="41"/>
      <c r="I726" s="30"/>
      <c r="J726" s="30"/>
      <c r="K726" s="97"/>
      <c r="L726" s="11"/>
      <c r="M726" s="11"/>
      <c r="N726" s="11"/>
      <c r="O726" s="11"/>
      <c r="P726" s="82"/>
    </row>
    <row r="727" spans="2:16" s="9" customFormat="1" x14ac:dyDescent="0.2">
      <c r="B727" s="10"/>
      <c r="C727" s="11"/>
      <c r="D727" s="63"/>
      <c r="E727" s="11"/>
      <c r="F727" s="65"/>
      <c r="G727" s="12"/>
      <c r="H727" s="41"/>
      <c r="I727" s="30"/>
      <c r="J727" s="30"/>
      <c r="K727" s="97"/>
      <c r="L727" s="11"/>
      <c r="M727" s="11"/>
      <c r="N727" s="11"/>
      <c r="O727" s="11"/>
      <c r="P727" s="82"/>
    </row>
    <row r="728" spans="2:16" s="9" customFormat="1" x14ac:dyDescent="0.2">
      <c r="B728" s="10"/>
      <c r="C728" s="11"/>
      <c r="D728" s="63"/>
      <c r="E728" s="11"/>
      <c r="F728" s="65"/>
      <c r="G728" s="12"/>
      <c r="H728" s="41"/>
      <c r="I728" s="30"/>
      <c r="J728" s="30"/>
      <c r="K728" s="97"/>
      <c r="L728" s="11"/>
      <c r="M728" s="11"/>
      <c r="N728" s="11"/>
      <c r="O728" s="11"/>
      <c r="P728" s="82"/>
    </row>
    <row r="729" spans="2:16" s="9" customFormat="1" x14ac:dyDescent="0.2">
      <c r="B729" s="10"/>
      <c r="C729" s="11"/>
      <c r="D729" s="63"/>
      <c r="E729" s="11"/>
      <c r="F729" s="65"/>
      <c r="G729" s="12"/>
      <c r="H729" s="41"/>
      <c r="I729" s="30"/>
      <c r="J729" s="30"/>
      <c r="K729" s="97"/>
      <c r="L729" s="11"/>
      <c r="M729" s="11"/>
      <c r="N729" s="11"/>
      <c r="O729" s="11"/>
      <c r="P729" s="82"/>
    </row>
    <row r="730" spans="2:16" s="9" customFormat="1" x14ac:dyDescent="0.2">
      <c r="B730" s="10"/>
      <c r="C730" s="11"/>
      <c r="D730" s="63"/>
      <c r="E730" s="11"/>
      <c r="F730" s="65"/>
      <c r="G730" s="12"/>
      <c r="H730" s="41"/>
      <c r="I730" s="30"/>
      <c r="J730" s="30"/>
      <c r="K730" s="97"/>
      <c r="L730" s="11"/>
      <c r="M730" s="11"/>
      <c r="N730" s="11"/>
      <c r="O730" s="11"/>
      <c r="P730" s="82"/>
    </row>
    <row r="731" spans="2:16" s="9" customFormat="1" x14ac:dyDescent="0.2">
      <c r="B731" s="10"/>
      <c r="C731" s="11"/>
      <c r="D731" s="63"/>
      <c r="E731" s="11"/>
      <c r="F731" s="65"/>
      <c r="G731" s="12"/>
      <c r="H731" s="41"/>
      <c r="I731" s="30"/>
      <c r="J731" s="30"/>
      <c r="K731" s="97"/>
      <c r="L731" s="11"/>
      <c r="M731" s="11"/>
      <c r="N731" s="11"/>
      <c r="O731" s="11"/>
      <c r="P731" s="82"/>
    </row>
    <row r="732" spans="2:16" s="9" customFormat="1" x14ac:dyDescent="0.2">
      <c r="B732" s="10"/>
      <c r="C732" s="11"/>
      <c r="D732" s="63"/>
      <c r="E732" s="11"/>
      <c r="F732" s="65"/>
      <c r="G732" s="12"/>
      <c r="H732" s="41"/>
      <c r="I732" s="30"/>
      <c r="J732" s="30"/>
      <c r="K732" s="97"/>
      <c r="L732" s="11"/>
      <c r="M732" s="11"/>
      <c r="N732" s="11"/>
      <c r="O732" s="11"/>
      <c r="P732" s="82"/>
    </row>
    <row r="733" spans="2:16" s="9" customFormat="1" x14ac:dyDescent="0.2">
      <c r="B733" s="10"/>
      <c r="C733" s="11"/>
      <c r="D733" s="63"/>
      <c r="E733" s="11"/>
      <c r="F733" s="65"/>
      <c r="G733" s="12"/>
      <c r="H733" s="41"/>
      <c r="I733" s="30"/>
      <c r="J733" s="30"/>
      <c r="K733" s="97"/>
      <c r="L733" s="11"/>
      <c r="M733" s="11"/>
      <c r="N733" s="11"/>
      <c r="O733" s="11"/>
      <c r="P733" s="82"/>
    </row>
    <row r="734" spans="2:16" s="9" customFormat="1" x14ac:dyDescent="0.2">
      <c r="B734" s="10"/>
      <c r="C734" s="11"/>
      <c r="D734" s="63"/>
      <c r="E734" s="11"/>
      <c r="F734" s="65"/>
      <c r="G734" s="12"/>
      <c r="H734" s="41"/>
      <c r="I734" s="30"/>
      <c r="J734" s="30"/>
      <c r="K734" s="97"/>
      <c r="L734" s="11"/>
      <c r="M734" s="11"/>
      <c r="N734" s="11"/>
      <c r="O734" s="11"/>
      <c r="P734" s="82"/>
    </row>
    <row r="735" spans="2:16" s="9" customFormat="1" x14ac:dyDescent="0.2">
      <c r="B735" s="10"/>
      <c r="C735" s="11"/>
      <c r="D735" s="63"/>
      <c r="E735" s="11"/>
      <c r="F735" s="65"/>
      <c r="G735" s="12"/>
      <c r="H735" s="41"/>
      <c r="I735" s="30"/>
      <c r="J735" s="30"/>
      <c r="K735" s="97"/>
      <c r="L735" s="11"/>
      <c r="M735" s="11"/>
      <c r="N735" s="11"/>
      <c r="O735" s="11"/>
      <c r="P735" s="82"/>
    </row>
    <row r="736" spans="2:16" s="9" customFormat="1" x14ac:dyDescent="0.2">
      <c r="B736" s="10"/>
      <c r="C736" s="11"/>
      <c r="D736" s="63"/>
      <c r="E736" s="11"/>
      <c r="F736" s="65"/>
      <c r="G736" s="12"/>
      <c r="H736" s="41"/>
      <c r="I736" s="30"/>
      <c r="J736" s="30"/>
      <c r="K736" s="97"/>
      <c r="L736" s="11"/>
      <c r="M736" s="11"/>
      <c r="N736" s="11"/>
      <c r="O736" s="11"/>
      <c r="P736" s="82"/>
    </row>
    <row r="737" spans="2:16" s="9" customFormat="1" x14ac:dyDescent="0.2">
      <c r="B737" s="10"/>
      <c r="C737" s="11"/>
      <c r="D737" s="63"/>
      <c r="E737" s="11"/>
      <c r="F737" s="65"/>
      <c r="G737" s="12"/>
      <c r="H737" s="41"/>
      <c r="I737" s="30"/>
      <c r="J737" s="30"/>
      <c r="K737" s="97"/>
      <c r="L737" s="11"/>
      <c r="M737" s="11"/>
      <c r="N737" s="11"/>
      <c r="O737" s="11"/>
      <c r="P737" s="82"/>
    </row>
    <row r="738" spans="2:16" s="9" customFormat="1" x14ac:dyDescent="0.2">
      <c r="B738" s="10"/>
      <c r="C738" s="11"/>
      <c r="D738" s="63"/>
      <c r="E738" s="11"/>
      <c r="F738" s="65"/>
      <c r="G738" s="12"/>
      <c r="H738" s="41"/>
      <c r="I738" s="30"/>
      <c r="J738" s="30"/>
      <c r="K738" s="97"/>
      <c r="L738" s="11"/>
      <c r="M738" s="11"/>
      <c r="N738" s="11"/>
      <c r="O738" s="11"/>
      <c r="P738" s="82"/>
    </row>
    <row r="739" spans="2:16" s="9" customFormat="1" x14ac:dyDescent="0.2">
      <c r="B739" s="10"/>
      <c r="C739" s="11"/>
      <c r="D739" s="63"/>
      <c r="E739" s="11"/>
      <c r="F739" s="65"/>
      <c r="G739" s="12"/>
      <c r="H739" s="41"/>
      <c r="I739" s="30"/>
      <c r="J739" s="30"/>
      <c r="K739" s="97"/>
      <c r="L739" s="11"/>
      <c r="M739" s="11"/>
      <c r="N739" s="11"/>
      <c r="O739" s="11"/>
      <c r="P739" s="82"/>
    </row>
    <row r="740" spans="2:16" s="9" customFormat="1" x14ac:dyDescent="0.2">
      <c r="B740" s="10"/>
      <c r="C740" s="11"/>
      <c r="D740" s="63"/>
      <c r="E740" s="11"/>
      <c r="F740" s="65"/>
      <c r="G740" s="12"/>
      <c r="H740" s="41"/>
      <c r="I740" s="30"/>
      <c r="J740" s="30"/>
      <c r="K740" s="97"/>
      <c r="L740" s="11"/>
      <c r="M740" s="11"/>
      <c r="N740" s="11"/>
      <c r="O740" s="11"/>
      <c r="P740" s="82"/>
    </row>
    <row r="741" spans="2:16" s="9" customFormat="1" x14ac:dyDescent="0.2">
      <c r="B741" s="10"/>
      <c r="C741" s="11"/>
      <c r="D741" s="63"/>
      <c r="E741" s="11"/>
      <c r="F741" s="65"/>
      <c r="G741" s="12"/>
      <c r="H741" s="41"/>
      <c r="I741" s="30"/>
      <c r="J741" s="30"/>
      <c r="K741" s="97"/>
      <c r="L741" s="11"/>
      <c r="M741" s="11"/>
      <c r="N741" s="11"/>
      <c r="O741" s="11"/>
      <c r="P741" s="82"/>
    </row>
    <row r="742" spans="2:16" s="9" customFormat="1" x14ac:dyDescent="0.2">
      <c r="B742" s="10"/>
      <c r="C742" s="11"/>
      <c r="D742" s="63"/>
      <c r="E742" s="11"/>
      <c r="F742" s="65"/>
      <c r="G742" s="12"/>
      <c r="H742" s="41"/>
      <c r="I742" s="30"/>
      <c r="J742" s="30"/>
      <c r="K742" s="97"/>
      <c r="L742" s="11"/>
      <c r="M742" s="11"/>
      <c r="N742" s="11"/>
      <c r="O742" s="11"/>
      <c r="P742" s="82"/>
    </row>
    <row r="743" spans="2:16" s="9" customFormat="1" x14ac:dyDescent="0.2">
      <c r="B743" s="10"/>
      <c r="C743" s="11"/>
      <c r="D743" s="63"/>
      <c r="E743" s="11"/>
      <c r="F743" s="65"/>
      <c r="G743" s="12"/>
      <c r="H743" s="41"/>
      <c r="I743" s="30"/>
      <c r="J743" s="30"/>
      <c r="K743" s="97"/>
      <c r="L743" s="11"/>
      <c r="M743" s="11"/>
      <c r="N743" s="11"/>
      <c r="O743" s="11"/>
      <c r="P743" s="82"/>
    </row>
    <row r="744" spans="2:16" s="9" customFormat="1" x14ac:dyDescent="0.2">
      <c r="B744" s="10"/>
      <c r="C744" s="11"/>
      <c r="D744" s="63"/>
      <c r="E744" s="11"/>
      <c r="F744" s="65"/>
      <c r="G744" s="12"/>
      <c r="H744" s="41"/>
      <c r="I744" s="30"/>
      <c r="J744" s="30"/>
      <c r="K744" s="97"/>
      <c r="L744" s="11"/>
      <c r="M744" s="11"/>
      <c r="N744" s="11"/>
      <c r="O744" s="11"/>
      <c r="P744" s="82"/>
    </row>
    <row r="745" spans="2:16" s="9" customFormat="1" x14ac:dyDescent="0.2">
      <c r="B745" s="10"/>
      <c r="C745" s="11"/>
      <c r="D745" s="63"/>
      <c r="E745" s="11"/>
      <c r="F745" s="65"/>
      <c r="G745" s="12"/>
      <c r="H745" s="41"/>
      <c r="I745" s="30"/>
      <c r="J745" s="30"/>
      <c r="K745" s="97"/>
      <c r="L745" s="11"/>
      <c r="M745" s="11"/>
      <c r="N745" s="11"/>
      <c r="O745" s="11"/>
      <c r="P745" s="82"/>
    </row>
    <row r="746" spans="2:16" s="9" customFormat="1" x14ac:dyDescent="0.2">
      <c r="B746" s="10"/>
      <c r="C746" s="11"/>
      <c r="D746" s="63"/>
      <c r="E746" s="11"/>
      <c r="F746" s="65"/>
      <c r="G746" s="12"/>
      <c r="H746" s="41"/>
      <c r="I746" s="30"/>
      <c r="J746" s="30"/>
      <c r="K746" s="97"/>
      <c r="L746" s="11"/>
      <c r="M746" s="11"/>
      <c r="N746" s="11"/>
      <c r="O746" s="11"/>
      <c r="P746" s="82"/>
    </row>
    <row r="747" spans="2:16" s="9" customFormat="1" x14ac:dyDescent="0.2">
      <c r="B747" s="10"/>
      <c r="C747" s="11"/>
      <c r="D747" s="63"/>
      <c r="E747" s="11"/>
      <c r="F747" s="65"/>
      <c r="G747" s="12"/>
      <c r="H747" s="41"/>
      <c r="I747" s="30"/>
      <c r="J747" s="30"/>
      <c r="K747" s="97"/>
      <c r="L747" s="11"/>
      <c r="M747" s="11"/>
      <c r="N747" s="11"/>
      <c r="O747" s="11"/>
      <c r="P747" s="82"/>
    </row>
    <row r="748" spans="2:16" s="9" customFormat="1" x14ac:dyDescent="0.2">
      <c r="B748" s="10"/>
      <c r="C748" s="11"/>
      <c r="D748" s="63"/>
      <c r="E748" s="11"/>
      <c r="F748" s="65"/>
      <c r="G748" s="12"/>
      <c r="H748" s="41"/>
      <c r="I748" s="30"/>
      <c r="J748" s="30"/>
      <c r="K748" s="97"/>
      <c r="L748" s="11"/>
      <c r="M748" s="11"/>
      <c r="N748" s="11"/>
      <c r="O748" s="11"/>
      <c r="P748" s="82"/>
    </row>
    <row r="749" spans="2:16" s="9" customFormat="1" x14ac:dyDescent="0.2">
      <c r="B749" s="10"/>
      <c r="C749" s="11"/>
      <c r="D749" s="63"/>
      <c r="E749" s="11"/>
      <c r="F749" s="65"/>
      <c r="G749" s="12"/>
      <c r="H749" s="41"/>
      <c r="I749" s="30"/>
      <c r="J749" s="30"/>
      <c r="K749" s="97"/>
      <c r="L749" s="11"/>
      <c r="M749" s="11"/>
      <c r="N749" s="11"/>
      <c r="O749" s="11"/>
      <c r="P749" s="82"/>
    </row>
    <row r="750" spans="2:16" s="9" customFormat="1" x14ac:dyDescent="0.2">
      <c r="B750" s="10"/>
      <c r="C750" s="11"/>
      <c r="D750" s="63"/>
      <c r="E750" s="11"/>
      <c r="F750" s="65"/>
      <c r="G750" s="12"/>
      <c r="H750" s="41"/>
      <c r="I750" s="30"/>
      <c r="J750" s="30"/>
      <c r="K750" s="97"/>
      <c r="L750" s="11"/>
      <c r="M750" s="11"/>
      <c r="N750" s="11"/>
      <c r="O750" s="11"/>
      <c r="P750" s="82"/>
    </row>
    <row r="751" spans="2:16" s="9" customFormat="1" x14ac:dyDescent="0.2">
      <c r="B751" s="10"/>
      <c r="C751" s="11"/>
      <c r="D751" s="63"/>
      <c r="E751" s="11"/>
      <c r="F751" s="65"/>
      <c r="G751" s="12"/>
      <c r="H751" s="41"/>
      <c r="I751" s="30"/>
      <c r="J751" s="30"/>
      <c r="K751" s="97"/>
      <c r="L751" s="11"/>
      <c r="M751" s="11"/>
      <c r="N751" s="11"/>
      <c r="O751" s="11"/>
      <c r="P751" s="82"/>
    </row>
    <row r="752" spans="2:16" s="9" customFormat="1" x14ac:dyDescent="0.2">
      <c r="B752" s="10"/>
      <c r="C752" s="11"/>
      <c r="D752" s="63"/>
      <c r="E752" s="11"/>
      <c r="F752" s="65"/>
      <c r="G752" s="12"/>
      <c r="H752" s="41"/>
      <c r="I752" s="30"/>
      <c r="J752" s="30"/>
      <c r="K752" s="97"/>
      <c r="L752" s="11"/>
      <c r="M752" s="11"/>
      <c r="N752" s="11"/>
      <c r="O752" s="11"/>
      <c r="P752" s="82"/>
    </row>
    <row r="753" spans="2:16" s="9" customFormat="1" x14ac:dyDescent="0.2">
      <c r="B753" s="10"/>
      <c r="C753" s="11"/>
      <c r="D753" s="63"/>
      <c r="E753" s="11"/>
      <c r="F753" s="65"/>
      <c r="G753" s="12"/>
      <c r="H753" s="41"/>
      <c r="I753" s="30"/>
      <c r="J753" s="30"/>
      <c r="K753" s="97"/>
      <c r="L753" s="11"/>
      <c r="M753" s="11"/>
      <c r="N753" s="11"/>
      <c r="O753" s="11"/>
      <c r="P753" s="82"/>
    </row>
    <row r="754" spans="2:16" s="9" customFormat="1" x14ac:dyDescent="0.2">
      <c r="B754" s="10"/>
      <c r="C754" s="11"/>
      <c r="D754" s="63"/>
      <c r="E754" s="11"/>
      <c r="F754" s="65"/>
      <c r="G754" s="12"/>
      <c r="H754" s="41"/>
      <c r="I754" s="30"/>
      <c r="J754" s="30"/>
      <c r="K754" s="97"/>
      <c r="L754" s="11"/>
      <c r="M754" s="11"/>
      <c r="N754" s="11"/>
      <c r="O754" s="11"/>
      <c r="P754" s="82"/>
    </row>
    <row r="755" spans="2:16" s="9" customFormat="1" x14ac:dyDescent="0.2">
      <c r="B755" s="10"/>
      <c r="C755" s="11"/>
      <c r="D755" s="63"/>
      <c r="E755" s="11"/>
      <c r="F755" s="65"/>
      <c r="G755" s="12"/>
      <c r="H755" s="41"/>
      <c r="I755" s="30"/>
      <c r="J755" s="30"/>
      <c r="K755" s="97"/>
      <c r="L755" s="11"/>
      <c r="M755" s="11"/>
      <c r="N755" s="11"/>
      <c r="O755" s="11"/>
      <c r="P755" s="82"/>
    </row>
    <row r="756" spans="2:16" s="9" customFormat="1" x14ac:dyDescent="0.2">
      <c r="B756" s="10"/>
      <c r="C756" s="11"/>
      <c r="D756" s="63"/>
      <c r="E756" s="11"/>
      <c r="F756" s="65"/>
      <c r="G756" s="12"/>
      <c r="H756" s="41"/>
      <c r="I756" s="30"/>
      <c r="J756" s="30"/>
      <c r="K756" s="97"/>
      <c r="L756" s="11"/>
      <c r="M756" s="11"/>
      <c r="N756" s="11"/>
      <c r="O756" s="11"/>
      <c r="P756" s="82"/>
    </row>
    <row r="757" spans="2:16" s="9" customFormat="1" x14ac:dyDescent="0.2">
      <c r="B757" s="10"/>
      <c r="C757" s="11"/>
      <c r="D757" s="63"/>
      <c r="E757" s="11"/>
      <c r="F757" s="65"/>
      <c r="G757" s="12"/>
      <c r="H757" s="41"/>
      <c r="I757" s="30"/>
      <c r="J757" s="30"/>
      <c r="K757" s="97"/>
      <c r="L757" s="11"/>
      <c r="M757" s="11"/>
      <c r="N757" s="11"/>
      <c r="O757" s="11"/>
      <c r="P757" s="82"/>
    </row>
    <row r="758" spans="2:16" s="9" customFormat="1" x14ac:dyDescent="0.2">
      <c r="B758" s="10"/>
      <c r="C758" s="11"/>
      <c r="D758" s="63"/>
      <c r="E758" s="11"/>
      <c r="F758" s="65"/>
      <c r="G758" s="12"/>
      <c r="H758" s="41"/>
      <c r="I758" s="30"/>
      <c r="J758" s="30"/>
      <c r="K758" s="97"/>
      <c r="L758" s="11"/>
      <c r="M758" s="11"/>
      <c r="N758" s="11"/>
      <c r="O758" s="11"/>
      <c r="P758" s="82"/>
    </row>
    <row r="759" spans="2:16" s="9" customFormat="1" x14ac:dyDescent="0.2">
      <c r="B759" s="10"/>
      <c r="C759" s="11"/>
      <c r="D759" s="63"/>
      <c r="E759" s="11"/>
      <c r="F759" s="65"/>
      <c r="G759" s="12"/>
      <c r="H759" s="41"/>
      <c r="I759" s="30"/>
      <c r="J759" s="30"/>
      <c r="K759" s="97"/>
      <c r="L759" s="11"/>
      <c r="M759" s="11"/>
      <c r="N759" s="11"/>
      <c r="O759" s="11"/>
      <c r="P759" s="82"/>
    </row>
    <row r="760" spans="2:16" s="9" customFormat="1" x14ac:dyDescent="0.2">
      <c r="B760" s="10"/>
      <c r="C760" s="11"/>
      <c r="D760" s="63"/>
      <c r="E760" s="11"/>
      <c r="F760" s="65"/>
      <c r="G760" s="12"/>
      <c r="H760" s="41"/>
      <c r="I760" s="30"/>
      <c r="J760" s="30"/>
      <c r="K760" s="97"/>
      <c r="L760" s="11"/>
      <c r="M760" s="11"/>
      <c r="N760" s="11"/>
      <c r="O760" s="11"/>
      <c r="P760" s="82"/>
    </row>
    <row r="761" spans="2:16" s="9" customFormat="1" x14ac:dyDescent="0.2">
      <c r="B761" s="10"/>
      <c r="C761" s="11"/>
      <c r="D761" s="63"/>
      <c r="E761" s="11"/>
      <c r="F761" s="65"/>
      <c r="G761" s="12"/>
      <c r="H761" s="41"/>
      <c r="I761" s="30"/>
      <c r="J761" s="30"/>
      <c r="K761" s="97"/>
      <c r="L761" s="11"/>
      <c r="M761" s="11"/>
      <c r="N761" s="11"/>
      <c r="O761" s="11"/>
      <c r="P761" s="82"/>
    </row>
    <row r="762" spans="2:16" s="9" customFormat="1" x14ac:dyDescent="0.2">
      <c r="B762" s="10"/>
      <c r="C762" s="11"/>
      <c r="D762" s="63"/>
      <c r="E762" s="11"/>
      <c r="F762" s="65"/>
      <c r="G762" s="12"/>
      <c r="H762" s="41"/>
      <c r="I762" s="30"/>
      <c r="J762" s="30"/>
      <c r="K762" s="97"/>
      <c r="L762" s="11"/>
      <c r="M762" s="11"/>
      <c r="N762" s="11"/>
      <c r="O762" s="11"/>
      <c r="P762" s="82"/>
    </row>
    <row r="763" spans="2:16" s="9" customFormat="1" x14ac:dyDescent="0.2">
      <c r="B763" s="10"/>
      <c r="C763" s="11"/>
      <c r="D763" s="63"/>
      <c r="E763" s="11"/>
      <c r="F763" s="65"/>
      <c r="G763" s="12"/>
      <c r="H763" s="41"/>
      <c r="I763" s="30"/>
      <c r="J763" s="30"/>
      <c r="K763" s="97"/>
      <c r="L763" s="11"/>
      <c r="M763" s="11"/>
      <c r="N763" s="11"/>
      <c r="O763" s="11"/>
      <c r="P763" s="82"/>
    </row>
    <row r="764" spans="2:16" s="9" customFormat="1" x14ac:dyDescent="0.2">
      <c r="B764" s="10"/>
      <c r="C764" s="11"/>
      <c r="D764" s="63"/>
      <c r="E764" s="11"/>
      <c r="F764" s="65"/>
      <c r="G764" s="12"/>
      <c r="H764" s="41"/>
      <c r="I764" s="30"/>
      <c r="J764" s="30"/>
      <c r="K764" s="97"/>
      <c r="L764" s="11"/>
      <c r="M764" s="11"/>
      <c r="N764" s="11"/>
      <c r="O764" s="11"/>
      <c r="P764" s="82"/>
    </row>
    <row r="765" spans="2:16" s="9" customFormat="1" x14ac:dyDescent="0.2">
      <c r="B765" s="10"/>
      <c r="C765" s="11"/>
      <c r="D765" s="63"/>
      <c r="E765" s="11"/>
      <c r="F765" s="65"/>
      <c r="G765" s="12"/>
      <c r="H765" s="41"/>
      <c r="I765" s="30"/>
      <c r="J765" s="30"/>
      <c r="K765" s="97"/>
      <c r="L765" s="11"/>
      <c r="M765" s="11"/>
      <c r="N765" s="11"/>
      <c r="O765" s="11"/>
      <c r="P765" s="82"/>
    </row>
    <row r="766" spans="2:16" s="9" customFormat="1" x14ac:dyDescent="0.2">
      <c r="B766" s="10"/>
      <c r="C766" s="11"/>
      <c r="D766" s="63"/>
      <c r="E766" s="11"/>
      <c r="F766" s="65"/>
      <c r="G766" s="12"/>
      <c r="H766" s="41"/>
      <c r="I766" s="30"/>
      <c r="J766" s="30"/>
      <c r="K766" s="97"/>
      <c r="L766" s="11"/>
      <c r="M766" s="11"/>
      <c r="N766" s="11"/>
      <c r="O766" s="11"/>
      <c r="P766" s="82"/>
    </row>
    <row r="767" spans="2:16" s="9" customFormat="1" x14ac:dyDescent="0.2">
      <c r="B767" s="10"/>
      <c r="C767" s="11"/>
      <c r="D767" s="63"/>
      <c r="E767" s="11"/>
      <c r="F767" s="65"/>
      <c r="G767" s="12"/>
      <c r="H767" s="41"/>
      <c r="I767" s="30"/>
      <c r="J767" s="30"/>
      <c r="K767" s="97"/>
      <c r="L767" s="11"/>
      <c r="M767" s="11"/>
      <c r="N767" s="11"/>
      <c r="O767" s="11"/>
      <c r="P767" s="82"/>
    </row>
    <row r="768" spans="2:16" s="9" customFormat="1" x14ac:dyDescent="0.2">
      <c r="B768" s="10"/>
      <c r="C768" s="11"/>
      <c r="D768" s="63"/>
      <c r="E768" s="11"/>
      <c r="F768" s="65"/>
      <c r="G768" s="12"/>
      <c r="H768" s="41"/>
      <c r="I768" s="30"/>
      <c r="J768" s="30"/>
      <c r="K768" s="97"/>
      <c r="L768" s="11"/>
      <c r="M768" s="11"/>
      <c r="N768" s="11"/>
      <c r="O768" s="11"/>
      <c r="P768" s="82"/>
    </row>
    <row r="769" spans="2:16" s="9" customFormat="1" x14ac:dyDescent="0.2">
      <c r="B769" s="10"/>
      <c r="C769" s="11"/>
      <c r="D769" s="63"/>
      <c r="E769" s="11"/>
      <c r="F769" s="65"/>
      <c r="G769" s="12"/>
      <c r="H769" s="41"/>
      <c r="I769" s="30"/>
      <c r="J769" s="30"/>
      <c r="K769" s="97"/>
      <c r="L769" s="11"/>
      <c r="M769" s="11"/>
      <c r="N769" s="11"/>
      <c r="O769" s="11"/>
      <c r="P769" s="82"/>
    </row>
    <row r="770" spans="2:16" s="9" customFormat="1" x14ac:dyDescent="0.2">
      <c r="B770" s="10"/>
      <c r="C770" s="11"/>
      <c r="D770" s="63"/>
      <c r="E770" s="11"/>
      <c r="F770" s="65"/>
      <c r="G770" s="12"/>
      <c r="H770" s="41"/>
      <c r="I770" s="30"/>
      <c r="J770" s="30"/>
      <c r="K770" s="97"/>
      <c r="L770" s="11"/>
      <c r="M770" s="11"/>
      <c r="N770" s="11"/>
      <c r="O770" s="11"/>
      <c r="P770" s="82"/>
    </row>
    <row r="771" spans="2:16" s="9" customFormat="1" x14ac:dyDescent="0.2">
      <c r="B771" s="10"/>
      <c r="C771" s="11"/>
      <c r="D771" s="63"/>
      <c r="E771" s="11"/>
      <c r="F771" s="65"/>
      <c r="G771" s="12"/>
      <c r="H771" s="41"/>
      <c r="I771" s="30"/>
      <c r="J771" s="30"/>
      <c r="K771" s="97"/>
      <c r="L771" s="11"/>
      <c r="M771" s="11"/>
      <c r="N771" s="11"/>
      <c r="O771" s="11"/>
      <c r="P771" s="82"/>
    </row>
    <row r="772" spans="2:16" s="9" customFormat="1" x14ac:dyDescent="0.2">
      <c r="B772" s="10"/>
      <c r="C772" s="11"/>
      <c r="D772" s="63"/>
      <c r="E772" s="11"/>
      <c r="F772" s="65"/>
      <c r="G772" s="12"/>
      <c r="H772" s="41"/>
      <c r="I772" s="30"/>
      <c r="J772" s="30"/>
      <c r="K772" s="97"/>
      <c r="L772" s="11"/>
      <c r="M772" s="11"/>
      <c r="N772" s="11"/>
      <c r="O772" s="11"/>
      <c r="P772" s="82"/>
    </row>
    <row r="773" spans="2:16" s="9" customFormat="1" x14ac:dyDescent="0.2">
      <c r="B773" s="10"/>
      <c r="C773" s="11"/>
      <c r="D773" s="63"/>
      <c r="E773" s="11"/>
      <c r="F773" s="65"/>
      <c r="G773" s="12"/>
      <c r="H773" s="41"/>
      <c r="I773" s="30"/>
      <c r="J773" s="30"/>
      <c r="K773" s="97"/>
      <c r="L773" s="11"/>
      <c r="M773" s="11"/>
      <c r="N773" s="11"/>
      <c r="O773" s="11"/>
      <c r="P773" s="82"/>
    </row>
    <row r="774" spans="2:16" s="9" customFormat="1" x14ac:dyDescent="0.2">
      <c r="B774" s="10"/>
      <c r="C774" s="11"/>
      <c r="D774" s="63"/>
      <c r="E774" s="11"/>
      <c r="F774" s="65"/>
      <c r="G774" s="12"/>
      <c r="H774" s="41"/>
      <c r="I774" s="30"/>
      <c r="J774" s="30"/>
      <c r="K774" s="97"/>
      <c r="L774" s="11"/>
      <c r="M774" s="11"/>
      <c r="N774" s="11"/>
      <c r="O774" s="11"/>
      <c r="P774" s="82"/>
    </row>
    <row r="775" spans="2:16" s="9" customFormat="1" x14ac:dyDescent="0.2">
      <c r="B775" s="10"/>
      <c r="C775" s="11"/>
      <c r="D775" s="63"/>
      <c r="E775" s="11"/>
      <c r="F775" s="65"/>
      <c r="G775" s="12"/>
      <c r="H775" s="41"/>
      <c r="I775" s="30"/>
      <c r="J775" s="30"/>
      <c r="K775" s="97"/>
      <c r="L775" s="11"/>
      <c r="M775" s="11"/>
      <c r="N775" s="11"/>
      <c r="O775" s="11"/>
      <c r="P775" s="82"/>
    </row>
    <row r="776" spans="2:16" s="9" customFormat="1" x14ac:dyDescent="0.2">
      <c r="B776" s="10"/>
      <c r="C776" s="11"/>
      <c r="D776" s="63"/>
      <c r="E776" s="11"/>
      <c r="F776" s="65"/>
      <c r="G776" s="12"/>
      <c r="H776" s="41"/>
      <c r="I776" s="30"/>
      <c r="J776" s="30"/>
      <c r="K776" s="97"/>
      <c r="L776" s="11"/>
      <c r="M776" s="11"/>
      <c r="N776" s="11"/>
      <c r="O776" s="11"/>
      <c r="P776" s="82"/>
    </row>
    <row r="777" spans="2:16" s="9" customFormat="1" x14ac:dyDescent="0.2">
      <c r="B777" s="10"/>
      <c r="C777" s="11"/>
      <c r="D777" s="63"/>
      <c r="E777" s="11"/>
      <c r="F777" s="65"/>
      <c r="G777" s="12"/>
      <c r="H777" s="41"/>
      <c r="I777" s="30"/>
      <c r="J777" s="30"/>
      <c r="K777" s="97"/>
      <c r="L777" s="11"/>
      <c r="M777" s="11"/>
      <c r="N777" s="11"/>
      <c r="O777" s="11"/>
      <c r="P777" s="82"/>
    </row>
    <row r="778" spans="2:16" s="9" customFormat="1" x14ac:dyDescent="0.2">
      <c r="B778" s="10"/>
      <c r="C778" s="11"/>
      <c r="D778" s="63"/>
      <c r="E778" s="11"/>
      <c r="F778" s="65"/>
      <c r="G778" s="12"/>
      <c r="H778" s="41"/>
      <c r="I778" s="30"/>
      <c r="J778" s="30"/>
      <c r="K778" s="97"/>
      <c r="L778" s="11"/>
      <c r="M778" s="11"/>
      <c r="N778" s="11"/>
      <c r="O778" s="11"/>
      <c r="P778" s="82"/>
    </row>
    <row r="779" spans="2:16" s="9" customFormat="1" x14ac:dyDescent="0.2">
      <c r="B779" s="10"/>
      <c r="C779" s="11"/>
      <c r="D779" s="63"/>
      <c r="E779" s="11"/>
      <c r="F779" s="65"/>
      <c r="G779" s="12"/>
      <c r="H779" s="41"/>
      <c r="I779" s="30"/>
      <c r="J779" s="30"/>
      <c r="K779" s="97"/>
      <c r="L779" s="11"/>
      <c r="M779" s="11"/>
      <c r="N779" s="11"/>
      <c r="O779" s="11"/>
      <c r="P779" s="82"/>
    </row>
    <row r="780" spans="2:16" s="9" customFormat="1" x14ac:dyDescent="0.2">
      <c r="B780" s="10"/>
      <c r="C780" s="11"/>
      <c r="D780" s="63"/>
      <c r="E780" s="11"/>
      <c r="F780" s="65"/>
      <c r="G780" s="12"/>
      <c r="H780" s="41"/>
      <c r="I780" s="30"/>
      <c r="J780" s="30"/>
      <c r="K780" s="97"/>
      <c r="L780" s="11"/>
      <c r="M780" s="11"/>
      <c r="N780" s="11"/>
      <c r="O780" s="11"/>
      <c r="P780" s="82"/>
    </row>
    <row r="781" spans="2:16" s="9" customFormat="1" x14ac:dyDescent="0.2">
      <c r="B781" s="10"/>
      <c r="C781" s="11"/>
      <c r="D781" s="63"/>
      <c r="E781" s="11"/>
      <c r="F781" s="65"/>
      <c r="G781" s="12"/>
      <c r="H781" s="41"/>
      <c r="I781" s="30"/>
      <c r="J781" s="30"/>
      <c r="K781" s="97"/>
      <c r="L781" s="11"/>
      <c r="M781" s="11"/>
      <c r="N781" s="11"/>
      <c r="O781" s="11"/>
      <c r="P781" s="82"/>
    </row>
    <row r="782" spans="2:16" s="9" customFormat="1" x14ac:dyDescent="0.2">
      <c r="B782" s="10"/>
      <c r="C782" s="11"/>
      <c r="D782" s="63"/>
      <c r="E782" s="11"/>
      <c r="F782" s="65"/>
      <c r="G782" s="12"/>
      <c r="H782" s="41"/>
      <c r="I782" s="30"/>
      <c r="J782" s="30"/>
      <c r="K782" s="97"/>
      <c r="L782" s="11"/>
      <c r="M782" s="11"/>
      <c r="N782" s="11"/>
      <c r="O782" s="11"/>
      <c r="P782" s="82"/>
    </row>
    <row r="783" spans="2:16" s="9" customFormat="1" x14ac:dyDescent="0.2">
      <c r="B783" s="10"/>
      <c r="C783" s="11"/>
      <c r="D783" s="63"/>
      <c r="E783" s="11"/>
      <c r="F783" s="65"/>
      <c r="G783" s="12"/>
      <c r="H783" s="41"/>
      <c r="I783" s="30"/>
      <c r="J783" s="30"/>
      <c r="K783" s="97"/>
      <c r="L783" s="11"/>
      <c r="M783" s="11"/>
      <c r="N783" s="11"/>
      <c r="O783" s="11"/>
      <c r="P783" s="82"/>
    </row>
    <row r="784" spans="2:16" s="9" customFormat="1" x14ac:dyDescent="0.2">
      <c r="B784" s="10"/>
      <c r="C784" s="11"/>
      <c r="D784" s="63"/>
      <c r="E784" s="11"/>
      <c r="F784" s="65"/>
      <c r="G784" s="12"/>
      <c r="H784" s="41"/>
      <c r="I784" s="30"/>
      <c r="J784" s="30"/>
      <c r="K784" s="97"/>
      <c r="L784" s="11"/>
      <c r="M784" s="11"/>
      <c r="N784" s="11"/>
      <c r="O784" s="11"/>
      <c r="P784" s="82"/>
    </row>
    <row r="785" spans="2:16" s="9" customFormat="1" x14ac:dyDescent="0.2">
      <c r="B785" s="10"/>
      <c r="C785" s="11"/>
      <c r="D785" s="63"/>
      <c r="E785" s="11"/>
      <c r="F785" s="65"/>
      <c r="G785" s="12"/>
      <c r="H785" s="41"/>
      <c r="I785" s="30"/>
      <c r="J785" s="30"/>
      <c r="K785" s="97"/>
      <c r="L785" s="11"/>
      <c r="M785" s="11"/>
      <c r="N785" s="11"/>
      <c r="O785" s="11"/>
      <c r="P785" s="82"/>
    </row>
    <row r="786" spans="2:16" s="9" customFormat="1" x14ac:dyDescent="0.2">
      <c r="B786" s="10"/>
      <c r="C786" s="11"/>
      <c r="D786" s="63"/>
      <c r="E786" s="11"/>
      <c r="F786" s="65"/>
      <c r="G786" s="12"/>
      <c r="H786" s="41"/>
      <c r="I786" s="30"/>
      <c r="J786" s="30"/>
      <c r="K786" s="97"/>
      <c r="L786" s="11"/>
      <c r="M786" s="11"/>
      <c r="N786" s="11"/>
      <c r="O786" s="11"/>
      <c r="P786" s="82"/>
    </row>
    <row r="787" spans="2:16" s="9" customFormat="1" x14ac:dyDescent="0.2">
      <c r="B787" s="10"/>
      <c r="C787" s="11"/>
      <c r="D787" s="63"/>
      <c r="E787" s="11"/>
      <c r="F787" s="65"/>
      <c r="G787" s="12"/>
      <c r="H787" s="41"/>
      <c r="I787" s="30"/>
      <c r="J787" s="30"/>
      <c r="K787" s="97"/>
      <c r="L787" s="11"/>
      <c r="M787" s="11"/>
      <c r="N787" s="11"/>
      <c r="O787" s="11"/>
      <c r="P787" s="82"/>
    </row>
    <row r="788" spans="2:16" s="9" customFormat="1" x14ac:dyDescent="0.2">
      <c r="B788" s="10"/>
      <c r="C788" s="11"/>
      <c r="D788" s="63"/>
      <c r="E788" s="11"/>
      <c r="F788" s="65"/>
      <c r="G788" s="12"/>
      <c r="H788" s="41"/>
      <c r="I788" s="30"/>
      <c r="J788" s="30"/>
      <c r="K788" s="97"/>
      <c r="L788" s="11"/>
      <c r="M788" s="11"/>
      <c r="N788" s="11"/>
      <c r="O788" s="11"/>
      <c r="P788" s="82"/>
    </row>
    <row r="789" spans="2:16" s="9" customFormat="1" x14ac:dyDescent="0.2">
      <c r="B789" s="10"/>
      <c r="C789" s="11"/>
      <c r="D789" s="63"/>
      <c r="E789" s="11"/>
      <c r="F789" s="65"/>
      <c r="G789" s="12"/>
      <c r="H789" s="41"/>
      <c r="I789" s="30"/>
      <c r="J789" s="30"/>
      <c r="K789" s="97"/>
      <c r="L789" s="11"/>
      <c r="M789" s="11"/>
      <c r="N789" s="11"/>
      <c r="O789" s="11"/>
      <c r="P789" s="82"/>
    </row>
    <row r="790" spans="2:16" s="9" customFormat="1" x14ac:dyDescent="0.2">
      <c r="B790" s="10"/>
      <c r="C790" s="11"/>
      <c r="D790" s="63"/>
      <c r="E790" s="11"/>
      <c r="F790" s="65"/>
      <c r="G790" s="12"/>
      <c r="H790" s="41"/>
      <c r="I790" s="30"/>
      <c r="J790" s="30"/>
      <c r="K790" s="97"/>
      <c r="L790" s="11"/>
      <c r="M790" s="11"/>
      <c r="N790" s="11"/>
      <c r="O790" s="11"/>
      <c r="P790" s="82"/>
    </row>
    <row r="791" spans="2:16" s="9" customFormat="1" x14ac:dyDescent="0.2">
      <c r="B791" s="10"/>
      <c r="C791" s="11"/>
      <c r="D791" s="63"/>
      <c r="E791" s="11"/>
      <c r="F791" s="65"/>
      <c r="G791" s="12"/>
      <c r="H791" s="41"/>
      <c r="I791" s="30"/>
      <c r="J791" s="30"/>
      <c r="K791" s="97"/>
      <c r="L791" s="11"/>
      <c r="M791" s="11"/>
      <c r="N791" s="11"/>
      <c r="O791" s="11"/>
      <c r="P791" s="82"/>
    </row>
    <row r="792" spans="2:16" s="9" customFormat="1" x14ac:dyDescent="0.2">
      <c r="B792" s="10"/>
      <c r="C792" s="11"/>
      <c r="D792" s="63"/>
      <c r="E792" s="11"/>
      <c r="F792" s="65"/>
      <c r="G792" s="12"/>
      <c r="H792" s="41"/>
      <c r="I792" s="30"/>
      <c r="J792" s="30"/>
      <c r="K792" s="97"/>
      <c r="L792" s="11"/>
      <c r="M792" s="11"/>
      <c r="N792" s="11"/>
      <c r="O792" s="11"/>
      <c r="P792" s="82"/>
    </row>
    <row r="793" spans="2:16" s="9" customFormat="1" x14ac:dyDescent="0.2">
      <c r="B793" s="10"/>
      <c r="C793" s="11"/>
      <c r="D793" s="63"/>
      <c r="E793" s="11"/>
      <c r="F793" s="65"/>
      <c r="G793" s="12"/>
      <c r="H793" s="41"/>
      <c r="I793" s="30"/>
      <c r="J793" s="30"/>
      <c r="K793" s="97"/>
      <c r="L793" s="11"/>
      <c r="M793" s="11"/>
      <c r="N793" s="11"/>
      <c r="O793" s="11"/>
      <c r="P793" s="82"/>
    </row>
    <row r="794" spans="2:16" s="9" customFormat="1" x14ac:dyDescent="0.2">
      <c r="B794" s="10"/>
      <c r="C794" s="11"/>
      <c r="D794" s="63"/>
      <c r="E794" s="11"/>
      <c r="F794" s="65"/>
      <c r="G794" s="12"/>
      <c r="H794" s="41"/>
      <c r="I794" s="30"/>
      <c r="J794" s="30"/>
      <c r="K794" s="97"/>
      <c r="L794" s="11"/>
      <c r="M794" s="11"/>
      <c r="N794" s="11"/>
      <c r="O794" s="11"/>
      <c r="P794" s="82"/>
    </row>
    <row r="795" spans="2:16" s="9" customFormat="1" x14ac:dyDescent="0.2">
      <c r="B795" s="10"/>
      <c r="C795" s="11"/>
      <c r="D795" s="63"/>
      <c r="E795" s="11"/>
      <c r="F795" s="65"/>
      <c r="G795" s="12"/>
      <c r="H795" s="41"/>
      <c r="I795" s="30"/>
      <c r="J795" s="30"/>
      <c r="K795" s="97"/>
      <c r="L795" s="11"/>
      <c r="M795" s="11"/>
      <c r="N795" s="11"/>
      <c r="O795" s="11"/>
      <c r="P795" s="82"/>
    </row>
    <row r="796" spans="2:16" s="9" customFormat="1" x14ac:dyDescent="0.2">
      <c r="B796" s="10"/>
      <c r="C796" s="11"/>
      <c r="D796" s="63"/>
      <c r="E796" s="11"/>
      <c r="F796" s="65"/>
      <c r="G796" s="12"/>
      <c r="H796" s="41"/>
      <c r="I796" s="30"/>
      <c r="J796" s="30"/>
      <c r="K796" s="97"/>
      <c r="L796" s="11"/>
      <c r="M796" s="11"/>
      <c r="N796" s="11"/>
      <c r="O796" s="11"/>
      <c r="P796" s="82"/>
    </row>
    <row r="797" spans="2:16" s="9" customFormat="1" x14ac:dyDescent="0.2">
      <c r="B797" s="10"/>
      <c r="C797" s="11"/>
      <c r="D797" s="63"/>
      <c r="E797" s="11"/>
      <c r="F797" s="65"/>
      <c r="G797" s="12"/>
      <c r="H797" s="41"/>
      <c r="I797" s="30"/>
      <c r="J797" s="30"/>
      <c r="K797" s="97"/>
      <c r="L797" s="11"/>
      <c r="M797" s="11"/>
      <c r="N797" s="11"/>
      <c r="O797" s="11"/>
      <c r="P797" s="82"/>
    </row>
    <row r="798" spans="2:16" s="9" customFormat="1" x14ac:dyDescent="0.2">
      <c r="B798" s="10"/>
      <c r="C798" s="11"/>
      <c r="D798" s="63"/>
      <c r="E798" s="11"/>
      <c r="F798" s="65"/>
      <c r="G798" s="12"/>
      <c r="H798" s="41"/>
      <c r="I798" s="30"/>
      <c r="J798" s="30"/>
      <c r="K798" s="97"/>
      <c r="L798" s="11"/>
      <c r="M798" s="11"/>
      <c r="N798" s="11"/>
      <c r="O798" s="11"/>
      <c r="P798" s="82"/>
    </row>
    <row r="799" spans="2:16" s="9" customFormat="1" x14ac:dyDescent="0.2">
      <c r="B799" s="10"/>
      <c r="C799" s="11"/>
      <c r="D799" s="63"/>
      <c r="E799" s="11"/>
      <c r="F799" s="65"/>
      <c r="G799" s="12"/>
      <c r="H799" s="41"/>
      <c r="I799" s="30"/>
      <c r="J799" s="30"/>
      <c r="K799" s="97"/>
      <c r="L799" s="11"/>
      <c r="M799" s="11"/>
      <c r="N799" s="11"/>
      <c r="O799" s="11"/>
      <c r="P799" s="82"/>
    </row>
    <row r="800" spans="2:16" s="9" customFormat="1" x14ac:dyDescent="0.2">
      <c r="B800" s="10"/>
      <c r="C800" s="11"/>
      <c r="D800" s="63"/>
      <c r="E800" s="11"/>
      <c r="F800" s="65"/>
      <c r="G800" s="12"/>
      <c r="H800" s="41"/>
      <c r="I800" s="30"/>
      <c r="J800" s="30"/>
      <c r="K800" s="97"/>
      <c r="L800" s="11"/>
      <c r="M800" s="11"/>
      <c r="N800" s="11"/>
      <c r="O800" s="11"/>
      <c r="P800" s="82"/>
    </row>
    <row r="801" spans="2:16" s="9" customFormat="1" x14ac:dyDescent="0.2">
      <c r="B801" s="10"/>
      <c r="C801" s="11"/>
      <c r="D801" s="63"/>
      <c r="E801" s="11"/>
      <c r="F801" s="65"/>
      <c r="G801" s="12"/>
      <c r="H801" s="41"/>
      <c r="I801" s="30"/>
      <c r="J801" s="30"/>
      <c r="K801" s="97"/>
      <c r="L801" s="11"/>
      <c r="M801" s="11"/>
      <c r="N801" s="11"/>
      <c r="O801" s="11"/>
      <c r="P801" s="82"/>
    </row>
    <row r="802" spans="2:16" s="9" customFormat="1" x14ac:dyDescent="0.2">
      <c r="B802" s="10"/>
      <c r="C802" s="11"/>
      <c r="D802" s="63"/>
      <c r="E802" s="11"/>
      <c r="F802" s="65"/>
      <c r="G802" s="12"/>
      <c r="H802" s="41"/>
      <c r="I802" s="30"/>
      <c r="J802" s="30"/>
      <c r="K802" s="97"/>
      <c r="L802" s="11"/>
      <c r="M802" s="11"/>
      <c r="N802" s="11"/>
      <c r="O802" s="11"/>
      <c r="P802" s="82"/>
    </row>
    <row r="803" spans="2:16" s="9" customFormat="1" x14ac:dyDescent="0.2">
      <c r="B803" s="10"/>
      <c r="C803" s="11"/>
      <c r="D803" s="63"/>
      <c r="E803" s="11"/>
      <c r="F803" s="65"/>
      <c r="G803" s="12"/>
      <c r="H803" s="41"/>
      <c r="I803" s="30"/>
      <c r="J803" s="30"/>
      <c r="K803" s="97"/>
      <c r="L803" s="11"/>
      <c r="M803" s="11"/>
      <c r="N803" s="11"/>
      <c r="O803" s="11"/>
      <c r="P803" s="82"/>
    </row>
    <row r="804" spans="2:16" s="9" customFormat="1" x14ac:dyDescent="0.2">
      <c r="B804" s="10"/>
      <c r="C804" s="11"/>
      <c r="D804" s="63"/>
      <c r="E804" s="11"/>
      <c r="F804" s="65"/>
      <c r="G804" s="12"/>
      <c r="H804" s="41"/>
      <c r="I804" s="30"/>
      <c r="J804" s="30"/>
      <c r="K804" s="97"/>
      <c r="L804" s="11"/>
      <c r="M804" s="11"/>
      <c r="N804" s="11"/>
      <c r="O804" s="11"/>
      <c r="P804" s="82"/>
    </row>
    <row r="805" spans="2:16" s="9" customFormat="1" x14ac:dyDescent="0.2">
      <c r="B805" s="10"/>
      <c r="C805" s="11"/>
      <c r="D805" s="63"/>
      <c r="E805" s="11"/>
      <c r="F805" s="65"/>
      <c r="G805" s="12"/>
      <c r="H805" s="41"/>
      <c r="I805" s="30"/>
      <c r="J805" s="30"/>
      <c r="K805" s="97"/>
      <c r="L805" s="11"/>
      <c r="M805" s="11"/>
      <c r="N805" s="11"/>
      <c r="O805" s="11"/>
      <c r="P805" s="82"/>
    </row>
    <row r="806" spans="2:16" s="9" customFormat="1" x14ac:dyDescent="0.2">
      <c r="B806" s="10"/>
      <c r="C806" s="11"/>
      <c r="D806" s="63"/>
      <c r="E806" s="11"/>
      <c r="F806" s="65"/>
      <c r="G806" s="12"/>
      <c r="H806" s="41"/>
      <c r="I806" s="30"/>
      <c r="J806" s="30"/>
      <c r="K806" s="97"/>
      <c r="L806" s="11"/>
      <c r="M806" s="11"/>
      <c r="N806" s="11"/>
      <c r="O806" s="11"/>
      <c r="P806" s="82"/>
    </row>
    <row r="807" spans="2:16" s="9" customFormat="1" x14ac:dyDescent="0.2">
      <c r="B807" s="10"/>
      <c r="C807" s="11"/>
      <c r="D807" s="63"/>
      <c r="E807" s="11"/>
      <c r="F807" s="65"/>
      <c r="G807" s="12"/>
      <c r="H807" s="41"/>
      <c r="I807" s="30"/>
      <c r="J807" s="30"/>
      <c r="K807" s="97"/>
      <c r="L807" s="11"/>
      <c r="M807" s="11"/>
      <c r="N807" s="11"/>
      <c r="O807" s="11"/>
      <c r="P807" s="82"/>
    </row>
    <row r="808" spans="2:16" s="9" customFormat="1" x14ac:dyDescent="0.2">
      <c r="B808" s="10"/>
      <c r="C808" s="11"/>
      <c r="D808" s="63"/>
      <c r="E808" s="11"/>
      <c r="F808" s="65"/>
      <c r="G808" s="12"/>
      <c r="H808" s="41"/>
      <c r="I808" s="30"/>
      <c r="J808" s="30"/>
      <c r="K808" s="97"/>
      <c r="L808" s="11"/>
      <c r="M808" s="11"/>
      <c r="N808" s="11"/>
      <c r="O808" s="11"/>
      <c r="P808" s="82"/>
    </row>
    <row r="809" spans="2:16" s="9" customFormat="1" x14ac:dyDescent="0.2">
      <c r="B809" s="10"/>
      <c r="C809" s="11"/>
      <c r="D809" s="63"/>
      <c r="E809" s="11"/>
      <c r="F809" s="65"/>
      <c r="G809" s="12"/>
      <c r="H809" s="41"/>
      <c r="I809" s="30"/>
      <c r="J809" s="30"/>
      <c r="K809" s="97"/>
      <c r="L809" s="11"/>
      <c r="M809" s="11"/>
      <c r="N809" s="11"/>
      <c r="O809" s="11"/>
      <c r="P809" s="82"/>
    </row>
    <row r="810" spans="2:16" s="9" customFormat="1" x14ac:dyDescent="0.2">
      <c r="B810" s="10"/>
      <c r="C810" s="11"/>
      <c r="D810" s="63"/>
      <c r="E810" s="11"/>
      <c r="F810" s="65"/>
      <c r="G810" s="12"/>
      <c r="H810" s="41"/>
      <c r="I810" s="30"/>
      <c r="J810" s="30"/>
      <c r="K810" s="97"/>
      <c r="L810" s="11"/>
      <c r="M810" s="11"/>
      <c r="N810" s="11"/>
      <c r="O810" s="11"/>
      <c r="P810" s="82"/>
    </row>
    <row r="811" spans="2:16" s="9" customFormat="1" x14ac:dyDescent="0.2">
      <c r="B811" s="10"/>
      <c r="C811" s="11"/>
      <c r="D811" s="63"/>
      <c r="E811" s="11"/>
      <c r="F811" s="65"/>
      <c r="G811" s="12"/>
      <c r="H811" s="41"/>
      <c r="I811" s="30"/>
      <c r="J811" s="30"/>
      <c r="K811" s="97"/>
      <c r="L811" s="11"/>
      <c r="M811" s="11"/>
      <c r="N811" s="11"/>
      <c r="O811" s="11"/>
      <c r="P811" s="82"/>
    </row>
    <row r="812" spans="2:16" s="9" customFormat="1" x14ac:dyDescent="0.2">
      <c r="B812" s="10"/>
      <c r="C812" s="11"/>
      <c r="D812" s="63"/>
      <c r="E812" s="11"/>
      <c r="F812" s="65"/>
      <c r="G812" s="12"/>
      <c r="H812" s="41"/>
      <c r="I812" s="30"/>
      <c r="J812" s="30"/>
      <c r="K812" s="97"/>
      <c r="L812" s="11"/>
      <c r="M812" s="11"/>
      <c r="N812" s="11"/>
      <c r="O812" s="11"/>
      <c r="P812" s="82"/>
    </row>
    <row r="813" spans="2:16" s="9" customFormat="1" x14ac:dyDescent="0.2">
      <c r="B813" s="10"/>
      <c r="C813" s="11"/>
      <c r="D813" s="63"/>
      <c r="E813" s="11"/>
      <c r="F813" s="65"/>
      <c r="G813" s="12"/>
      <c r="H813" s="41"/>
      <c r="I813" s="30"/>
      <c r="J813" s="30"/>
      <c r="K813" s="97"/>
      <c r="L813" s="11"/>
      <c r="M813" s="11"/>
      <c r="N813" s="11"/>
      <c r="O813" s="11"/>
      <c r="P813" s="82"/>
    </row>
    <row r="814" spans="2:16" s="9" customFormat="1" x14ac:dyDescent="0.2">
      <c r="B814" s="10"/>
      <c r="C814" s="11"/>
      <c r="D814" s="63"/>
      <c r="E814" s="11"/>
      <c r="F814" s="65"/>
      <c r="G814" s="12"/>
      <c r="H814" s="41"/>
      <c r="I814" s="30"/>
      <c r="J814" s="30"/>
      <c r="K814" s="97"/>
      <c r="L814" s="11"/>
      <c r="M814" s="11"/>
      <c r="N814" s="11"/>
      <c r="O814" s="11"/>
      <c r="P814" s="82"/>
    </row>
    <row r="815" spans="2:16" s="9" customFormat="1" x14ac:dyDescent="0.2">
      <c r="B815" s="10"/>
      <c r="C815" s="11"/>
      <c r="D815" s="63"/>
      <c r="E815" s="11"/>
      <c r="F815" s="65"/>
      <c r="G815" s="12"/>
      <c r="H815" s="41"/>
      <c r="I815" s="30"/>
      <c r="J815" s="30"/>
      <c r="K815" s="97"/>
      <c r="L815" s="11"/>
      <c r="M815" s="11"/>
      <c r="N815" s="11"/>
      <c r="O815" s="11"/>
      <c r="P815" s="82"/>
    </row>
    <row r="816" spans="2:16" s="9" customFormat="1" x14ac:dyDescent="0.2">
      <c r="B816" s="10"/>
      <c r="C816" s="11"/>
      <c r="D816" s="63"/>
      <c r="E816" s="11"/>
      <c r="F816" s="65"/>
      <c r="G816" s="12"/>
      <c r="H816" s="41"/>
      <c r="I816" s="30"/>
      <c r="J816" s="30"/>
      <c r="K816" s="97"/>
      <c r="L816" s="11"/>
      <c r="M816" s="11"/>
      <c r="N816" s="11"/>
      <c r="O816" s="11"/>
      <c r="P816" s="82"/>
    </row>
    <row r="817" spans="2:16" s="9" customFormat="1" x14ac:dyDescent="0.2">
      <c r="B817" s="10"/>
      <c r="C817" s="11"/>
      <c r="D817" s="63"/>
      <c r="E817" s="11"/>
      <c r="F817" s="65"/>
      <c r="G817" s="12"/>
      <c r="H817" s="41"/>
      <c r="I817" s="30"/>
      <c r="J817" s="30"/>
      <c r="K817" s="97"/>
      <c r="L817" s="11"/>
      <c r="M817" s="11"/>
      <c r="N817" s="11"/>
      <c r="O817" s="11"/>
      <c r="P817" s="82"/>
    </row>
    <row r="818" spans="2:16" s="9" customFormat="1" x14ac:dyDescent="0.2">
      <c r="B818" s="10"/>
      <c r="C818" s="11"/>
      <c r="D818" s="63"/>
      <c r="E818" s="11"/>
      <c r="F818" s="65"/>
      <c r="G818" s="12"/>
      <c r="H818" s="41"/>
      <c r="I818" s="30"/>
      <c r="J818" s="30"/>
      <c r="K818" s="97"/>
      <c r="L818" s="11"/>
      <c r="M818" s="11"/>
      <c r="N818" s="11"/>
      <c r="O818" s="11"/>
      <c r="P818" s="82"/>
    </row>
    <row r="819" spans="2:16" s="9" customFormat="1" x14ac:dyDescent="0.2">
      <c r="B819" s="10"/>
      <c r="C819" s="11"/>
      <c r="D819" s="63"/>
      <c r="E819" s="11"/>
      <c r="F819" s="65"/>
      <c r="G819" s="12"/>
      <c r="H819" s="41"/>
      <c r="I819" s="30"/>
      <c r="J819" s="30"/>
      <c r="K819" s="97"/>
      <c r="L819" s="11"/>
      <c r="M819" s="11"/>
      <c r="N819" s="11"/>
      <c r="O819" s="11"/>
      <c r="P819" s="82"/>
    </row>
    <row r="820" spans="2:16" s="9" customFormat="1" x14ac:dyDescent="0.2">
      <c r="B820" s="10"/>
      <c r="C820" s="11"/>
      <c r="D820" s="63"/>
      <c r="E820" s="11"/>
      <c r="F820" s="65"/>
      <c r="G820" s="12"/>
      <c r="H820" s="41"/>
      <c r="I820" s="30"/>
      <c r="J820" s="30"/>
      <c r="K820" s="97"/>
      <c r="L820" s="11"/>
      <c r="M820" s="11"/>
      <c r="N820" s="11"/>
      <c r="O820" s="11"/>
      <c r="P820" s="82"/>
    </row>
    <row r="821" spans="2:16" s="9" customFormat="1" x14ac:dyDescent="0.2">
      <c r="B821" s="10"/>
      <c r="C821" s="11"/>
      <c r="D821" s="63"/>
      <c r="E821" s="11"/>
      <c r="F821" s="65"/>
      <c r="G821" s="12"/>
      <c r="H821" s="41"/>
      <c r="I821" s="30"/>
      <c r="J821" s="30"/>
      <c r="K821" s="97"/>
      <c r="L821" s="11"/>
      <c r="M821" s="11"/>
      <c r="N821" s="11"/>
      <c r="O821" s="11"/>
      <c r="P821" s="82"/>
    </row>
    <row r="822" spans="2:16" s="9" customFormat="1" x14ac:dyDescent="0.2">
      <c r="B822" s="10"/>
      <c r="C822" s="11"/>
      <c r="D822" s="63"/>
      <c r="E822" s="11"/>
      <c r="F822" s="65"/>
      <c r="G822" s="12"/>
      <c r="H822" s="41"/>
      <c r="I822" s="30"/>
      <c r="J822" s="30"/>
      <c r="K822" s="97"/>
      <c r="L822" s="11"/>
      <c r="M822" s="11"/>
      <c r="N822" s="11"/>
      <c r="O822" s="11"/>
      <c r="P822" s="82"/>
    </row>
    <row r="823" spans="2:16" s="9" customFormat="1" x14ac:dyDescent="0.2">
      <c r="B823" s="10"/>
      <c r="C823" s="11"/>
      <c r="D823" s="63"/>
      <c r="E823" s="11"/>
      <c r="F823" s="65"/>
      <c r="G823" s="12"/>
      <c r="H823" s="41"/>
      <c r="I823" s="30"/>
      <c r="J823" s="30"/>
      <c r="K823" s="97"/>
      <c r="L823" s="11"/>
      <c r="M823" s="11"/>
      <c r="N823" s="11"/>
      <c r="O823" s="11"/>
      <c r="P823" s="82"/>
    </row>
    <row r="824" spans="2:16" s="9" customFormat="1" x14ac:dyDescent="0.2">
      <c r="B824" s="10"/>
      <c r="C824" s="11"/>
      <c r="D824" s="63"/>
      <c r="E824" s="11"/>
      <c r="F824" s="65"/>
      <c r="G824" s="12"/>
      <c r="H824" s="41"/>
      <c r="I824" s="30"/>
      <c r="J824" s="30"/>
      <c r="K824" s="97"/>
      <c r="L824" s="11"/>
      <c r="M824" s="11"/>
      <c r="N824" s="11"/>
      <c r="O824" s="11"/>
      <c r="P824" s="82"/>
    </row>
    <row r="825" spans="2:16" s="9" customFormat="1" x14ac:dyDescent="0.2">
      <c r="B825" s="10"/>
      <c r="C825" s="11"/>
      <c r="D825" s="63"/>
      <c r="E825" s="11"/>
      <c r="F825" s="65"/>
      <c r="G825" s="12"/>
      <c r="H825" s="41"/>
      <c r="I825" s="30"/>
      <c r="J825" s="30"/>
      <c r="K825" s="97"/>
      <c r="L825" s="11"/>
      <c r="M825" s="11"/>
      <c r="N825" s="11"/>
      <c r="O825" s="11"/>
      <c r="P825" s="82"/>
    </row>
    <row r="826" spans="2:16" s="9" customFormat="1" x14ac:dyDescent="0.2">
      <c r="B826" s="10"/>
      <c r="C826" s="11"/>
      <c r="D826" s="63"/>
      <c r="E826" s="11"/>
      <c r="F826" s="65"/>
      <c r="G826" s="12"/>
      <c r="H826" s="41"/>
      <c r="I826" s="30"/>
      <c r="J826" s="30"/>
      <c r="K826" s="97"/>
      <c r="L826" s="11"/>
      <c r="M826" s="11"/>
      <c r="N826" s="11"/>
      <c r="O826" s="11"/>
      <c r="P826" s="82"/>
    </row>
    <row r="827" spans="2:16" s="9" customFormat="1" x14ac:dyDescent="0.2">
      <c r="B827" s="10"/>
      <c r="C827" s="11"/>
      <c r="D827" s="63"/>
      <c r="E827" s="11"/>
      <c r="F827" s="65"/>
      <c r="G827" s="12"/>
      <c r="H827" s="41"/>
      <c r="I827" s="30"/>
      <c r="J827" s="30"/>
      <c r="K827" s="97"/>
      <c r="L827" s="11"/>
      <c r="M827" s="11"/>
      <c r="N827" s="11"/>
      <c r="O827" s="11"/>
      <c r="P827" s="82"/>
    </row>
    <row r="828" spans="2:16" s="9" customFormat="1" x14ac:dyDescent="0.2">
      <c r="B828" s="10"/>
      <c r="C828" s="11"/>
      <c r="D828" s="63"/>
      <c r="E828" s="11"/>
      <c r="F828" s="65"/>
      <c r="G828" s="12"/>
      <c r="H828" s="41"/>
      <c r="I828" s="30"/>
      <c r="J828" s="30"/>
      <c r="K828" s="97"/>
      <c r="L828" s="11"/>
      <c r="M828" s="11"/>
      <c r="N828" s="11"/>
      <c r="O828" s="11"/>
      <c r="P828" s="82"/>
    </row>
    <row r="829" spans="2:16" s="9" customFormat="1" x14ac:dyDescent="0.2">
      <c r="B829" s="10"/>
      <c r="C829" s="11"/>
      <c r="D829" s="63"/>
      <c r="E829" s="11"/>
      <c r="F829" s="65"/>
      <c r="G829" s="12"/>
      <c r="H829" s="41"/>
      <c r="I829" s="30"/>
      <c r="J829" s="30"/>
      <c r="K829" s="97"/>
      <c r="L829" s="11"/>
      <c r="M829" s="11"/>
      <c r="N829" s="11"/>
      <c r="O829" s="11"/>
      <c r="P829" s="82"/>
    </row>
    <row r="830" spans="2:16" s="9" customFormat="1" x14ac:dyDescent="0.2">
      <c r="B830" s="10"/>
      <c r="C830" s="11"/>
      <c r="D830" s="63"/>
      <c r="E830" s="11"/>
      <c r="F830" s="65"/>
      <c r="G830" s="12"/>
      <c r="H830" s="41"/>
      <c r="I830" s="30"/>
      <c r="J830" s="30"/>
      <c r="K830" s="97"/>
      <c r="L830" s="11"/>
      <c r="M830" s="11"/>
      <c r="N830" s="11"/>
      <c r="O830" s="11"/>
      <c r="P830" s="82"/>
    </row>
    <row r="831" spans="2:16" s="9" customFormat="1" x14ac:dyDescent="0.2">
      <c r="B831" s="10"/>
      <c r="C831" s="11"/>
      <c r="D831" s="63"/>
      <c r="E831" s="11"/>
      <c r="F831" s="65"/>
      <c r="G831" s="12"/>
      <c r="H831" s="41"/>
      <c r="I831" s="30"/>
      <c r="J831" s="30"/>
      <c r="K831" s="97"/>
      <c r="L831" s="11"/>
      <c r="M831" s="11"/>
      <c r="N831" s="11"/>
      <c r="O831" s="11"/>
      <c r="P831" s="82"/>
    </row>
    <row r="832" spans="2:16" s="9" customFormat="1" x14ac:dyDescent="0.2">
      <c r="B832" s="10"/>
      <c r="C832" s="11"/>
      <c r="D832" s="63"/>
      <c r="E832" s="11"/>
      <c r="F832" s="65"/>
      <c r="G832" s="12"/>
      <c r="H832" s="41"/>
      <c r="I832" s="30"/>
      <c r="J832" s="30"/>
      <c r="K832" s="97"/>
      <c r="L832" s="11"/>
      <c r="M832" s="11"/>
      <c r="N832" s="11"/>
      <c r="O832" s="11"/>
      <c r="P832" s="82"/>
    </row>
    <row r="833" spans="2:16" s="9" customFormat="1" x14ac:dyDescent="0.2">
      <c r="B833" s="10"/>
      <c r="C833" s="11"/>
      <c r="D833" s="63"/>
      <c r="E833" s="11"/>
      <c r="F833" s="65"/>
      <c r="G833" s="12"/>
      <c r="H833" s="41"/>
      <c r="I833" s="30"/>
      <c r="J833" s="30"/>
      <c r="K833" s="97"/>
      <c r="L833" s="11"/>
      <c r="M833" s="11"/>
      <c r="N833" s="11"/>
      <c r="O833" s="11"/>
      <c r="P833" s="82"/>
    </row>
    <row r="834" spans="2:16" s="9" customFormat="1" x14ac:dyDescent="0.2">
      <c r="B834" s="10"/>
      <c r="C834" s="11"/>
      <c r="D834" s="63"/>
      <c r="E834" s="11"/>
      <c r="F834" s="65"/>
      <c r="G834" s="12"/>
      <c r="H834" s="41"/>
      <c r="I834" s="30"/>
      <c r="J834" s="30"/>
      <c r="K834" s="97"/>
      <c r="L834" s="11"/>
      <c r="M834" s="11"/>
      <c r="N834" s="11"/>
      <c r="O834" s="11"/>
      <c r="P834" s="82"/>
    </row>
    <row r="835" spans="2:16" s="9" customFormat="1" x14ac:dyDescent="0.2">
      <c r="B835" s="10"/>
      <c r="C835" s="11"/>
      <c r="D835" s="63"/>
      <c r="E835" s="11"/>
      <c r="F835" s="65"/>
      <c r="G835" s="12"/>
      <c r="H835" s="41"/>
      <c r="I835" s="30"/>
      <c r="J835" s="30"/>
      <c r="K835" s="97"/>
      <c r="L835" s="11"/>
      <c r="M835" s="11"/>
      <c r="N835" s="11"/>
      <c r="O835" s="11"/>
      <c r="P835" s="82"/>
    </row>
    <row r="836" spans="2:16" s="9" customFormat="1" x14ac:dyDescent="0.2">
      <c r="B836" s="10"/>
      <c r="C836" s="11"/>
      <c r="D836" s="63"/>
      <c r="E836" s="11"/>
      <c r="F836" s="65"/>
      <c r="G836" s="12"/>
      <c r="H836" s="41"/>
      <c r="I836" s="30"/>
      <c r="J836" s="30"/>
      <c r="K836" s="97"/>
      <c r="L836" s="11"/>
      <c r="M836" s="11"/>
      <c r="N836" s="11"/>
      <c r="O836" s="11"/>
      <c r="P836" s="82"/>
    </row>
    <row r="837" spans="2:16" s="9" customFormat="1" x14ac:dyDescent="0.2">
      <c r="B837" s="10"/>
      <c r="C837" s="11"/>
      <c r="D837" s="63"/>
      <c r="E837" s="11"/>
      <c r="F837" s="65"/>
      <c r="G837" s="12"/>
      <c r="H837" s="41"/>
      <c r="I837" s="30"/>
      <c r="J837" s="30"/>
      <c r="K837" s="97"/>
      <c r="L837" s="11"/>
      <c r="M837" s="11"/>
      <c r="N837" s="11"/>
      <c r="O837" s="11"/>
      <c r="P837" s="82"/>
    </row>
    <row r="838" spans="2:16" s="9" customFormat="1" x14ac:dyDescent="0.2">
      <c r="B838" s="10"/>
      <c r="C838" s="11"/>
      <c r="D838" s="63"/>
      <c r="E838" s="11"/>
      <c r="F838" s="65"/>
      <c r="G838" s="12"/>
      <c r="H838" s="41"/>
      <c r="I838" s="30"/>
      <c r="J838" s="30"/>
      <c r="K838" s="97"/>
      <c r="L838" s="11"/>
      <c r="M838" s="11"/>
      <c r="N838" s="11"/>
      <c r="O838" s="11"/>
      <c r="P838" s="82"/>
    </row>
    <row r="839" spans="2:16" s="9" customFormat="1" x14ac:dyDescent="0.2">
      <c r="B839" s="10"/>
      <c r="C839" s="11"/>
      <c r="D839" s="63"/>
      <c r="E839" s="11"/>
      <c r="F839" s="65"/>
      <c r="G839" s="12"/>
      <c r="H839" s="41"/>
      <c r="I839" s="30"/>
      <c r="J839" s="30"/>
      <c r="K839" s="97"/>
      <c r="L839" s="11"/>
      <c r="M839" s="11"/>
      <c r="N839" s="11"/>
      <c r="O839" s="11"/>
      <c r="P839" s="82"/>
    </row>
    <row r="840" spans="2:16" s="9" customFormat="1" x14ac:dyDescent="0.2">
      <c r="B840" s="10"/>
      <c r="C840" s="11"/>
      <c r="D840" s="63"/>
      <c r="E840" s="11"/>
      <c r="F840" s="65"/>
      <c r="G840" s="12"/>
      <c r="H840" s="41"/>
      <c r="I840" s="30"/>
      <c r="J840" s="30"/>
      <c r="K840" s="97"/>
      <c r="L840" s="11"/>
      <c r="M840" s="11"/>
      <c r="N840" s="11"/>
      <c r="O840" s="11"/>
      <c r="P840" s="82"/>
    </row>
    <row r="841" spans="2:16" s="9" customFormat="1" x14ac:dyDescent="0.2">
      <c r="B841" s="10"/>
      <c r="C841" s="11"/>
      <c r="D841" s="63"/>
      <c r="E841" s="11"/>
      <c r="F841" s="65"/>
      <c r="G841" s="12"/>
      <c r="H841" s="41"/>
      <c r="I841" s="30"/>
      <c r="J841" s="30"/>
      <c r="K841" s="97"/>
      <c r="L841" s="11"/>
      <c r="M841" s="11"/>
      <c r="N841" s="11"/>
      <c r="O841" s="11"/>
      <c r="P841" s="82"/>
    </row>
    <row r="842" spans="2:16" s="9" customFormat="1" x14ac:dyDescent="0.2">
      <c r="B842" s="10"/>
      <c r="C842" s="11"/>
      <c r="D842" s="63"/>
      <c r="E842" s="11"/>
      <c r="F842" s="65"/>
      <c r="G842" s="12"/>
      <c r="H842" s="41"/>
      <c r="I842" s="30"/>
      <c r="J842" s="30"/>
      <c r="K842" s="97"/>
      <c r="L842" s="11"/>
      <c r="M842" s="11"/>
      <c r="N842" s="11"/>
      <c r="O842" s="11"/>
      <c r="P842" s="82"/>
    </row>
    <row r="843" spans="2:16" s="9" customFormat="1" x14ac:dyDescent="0.2">
      <c r="B843" s="10"/>
      <c r="C843" s="11"/>
      <c r="D843" s="63"/>
      <c r="E843" s="11"/>
      <c r="F843" s="65"/>
      <c r="G843" s="12"/>
      <c r="H843" s="41"/>
      <c r="I843" s="30"/>
      <c r="J843" s="30"/>
      <c r="K843" s="97"/>
      <c r="L843" s="11"/>
      <c r="M843" s="11"/>
      <c r="N843" s="11"/>
      <c r="O843" s="11"/>
      <c r="P843" s="82"/>
    </row>
    <row r="844" spans="2:16" s="9" customFormat="1" x14ac:dyDescent="0.2">
      <c r="B844" s="10"/>
      <c r="C844" s="11"/>
      <c r="D844" s="63"/>
      <c r="E844" s="11"/>
      <c r="F844" s="65"/>
      <c r="G844" s="12"/>
      <c r="H844" s="41"/>
      <c r="I844" s="30"/>
      <c r="J844" s="30"/>
      <c r="K844" s="97"/>
      <c r="L844" s="11"/>
      <c r="M844" s="11"/>
      <c r="N844" s="11"/>
      <c r="O844" s="11"/>
      <c r="P844" s="82"/>
    </row>
    <row r="845" spans="2:16" s="9" customFormat="1" x14ac:dyDescent="0.2">
      <c r="B845" s="10"/>
      <c r="C845" s="11"/>
      <c r="D845" s="63"/>
      <c r="E845" s="11"/>
      <c r="F845" s="65"/>
      <c r="G845" s="12"/>
      <c r="H845" s="41"/>
      <c r="I845" s="30"/>
      <c r="J845" s="30"/>
      <c r="K845" s="97"/>
      <c r="L845" s="11"/>
      <c r="M845" s="11"/>
      <c r="N845" s="11"/>
      <c r="O845" s="11"/>
      <c r="P845" s="82"/>
    </row>
    <row r="846" spans="2:16" s="9" customFormat="1" x14ac:dyDescent="0.2">
      <c r="B846" s="10"/>
      <c r="C846" s="11"/>
      <c r="D846" s="63"/>
      <c r="E846" s="11"/>
      <c r="F846" s="65"/>
      <c r="G846" s="12"/>
      <c r="H846" s="41"/>
      <c r="I846" s="30"/>
      <c r="J846" s="30"/>
      <c r="K846" s="97"/>
      <c r="L846" s="11"/>
      <c r="M846" s="11"/>
      <c r="N846" s="11"/>
      <c r="O846" s="11"/>
      <c r="P846" s="82"/>
    </row>
    <row r="847" spans="2:16" s="9" customFormat="1" x14ac:dyDescent="0.2">
      <c r="B847" s="10"/>
      <c r="C847" s="11"/>
      <c r="D847" s="63"/>
      <c r="E847" s="11"/>
      <c r="F847" s="65"/>
      <c r="G847" s="12"/>
      <c r="H847" s="41"/>
      <c r="I847" s="30"/>
      <c r="J847" s="30"/>
      <c r="K847" s="97"/>
      <c r="L847" s="11"/>
      <c r="M847" s="11"/>
      <c r="N847" s="11"/>
      <c r="O847" s="11"/>
      <c r="P847" s="82"/>
    </row>
    <row r="848" spans="2:16" s="9" customFormat="1" x14ac:dyDescent="0.2">
      <c r="B848" s="10"/>
      <c r="C848" s="11"/>
      <c r="D848" s="63"/>
      <c r="E848" s="11"/>
      <c r="F848" s="65"/>
      <c r="G848" s="12"/>
      <c r="H848" s="41"/>
      <c r="I848" s="30"/>
      <c r="J848" s="30"/>
      <c r="K848" s="97"/>
      <c r="L848" s="11"/>
      <c r="M848" s="11"/>
      <c r="N848" s="11"/>
      <c r="O848" s="11"/>
      <c r="P848" s="82"/>
    </row>
    <row r="849" spans="2:16" s="9" customFormat="1" x14ac:dyDescent="0.2">
      <c r="B849" s="10"/>
      <c r="C849" s="11"/>
      <c r="D849" s="63"/>
      <c r="E849" s="11"/>
      <c r="F849" s="65"/>
      <c r="G849" s="12"/>
      <c r="H849" s="41"/>
      <c r="I849" s="30"/>
      <c r="J849" s="30"/>
      <c r="K849" s="97"/>
      <c r="L849" s="11"/>
      <c r="M849" s="11"/>
      <c r="N849" s="11"/>
      <c r="O849" s="11"/>
      <c r="P849" s="82"/>
    </row>
    <row r="850" spans="2:16" s="9" customFormat="1" x14ac:dyDescent="0.2">
      <c r="B850" s="10"/>
      <c r="C850" s="11"/>
      <c r="D850" s="63"/>
      <c r="E850" s="11"/>
      <c r="F850" s="65"/>
      <c r="G850" s="12"/>
      <c r="H850" s="41"/>
      <c r="I850" s="30"/>
      <c r="J850" s="30"/>
      <c r="K850" s="97"/>
      <c r="L850" s="11"/>
      <c r="M850" s="11"/>
      <c r="N850" s="11"/>
      <c r="O850" s="11"/>
      <c r="P850" s="82"/>
    </row>
    <row r="851" spans="2:16" s="9" customFormat="1" x14ac:dyDescent="0.2">
      <c r="B851" s="10"/>
      <c r="C851" s="11"/>
      <c r="D851" s="63"/>
      <c r="E851" s="11"/>
      <c r="F851" s="65"/>
      <c r="G851" s="12"/>
      <c r="H851" s="41"/>
      <c r="I851" s="30"/>
      <c r="J851" s="30"/>
      <c r="K851" s="97"/>
      <c r="L851" s="11"/>
      <c r="M851" s="11"/>
      <c r="N851" s="11"/>
      <c r="O851" s="11"/>
      <c r="P851" s="82"/>
    </row>
    <row r="852" spans="2:16" s="9" customFormat="1" x14ac:dyDescent="0.2">
      <c r="B852" s="10"/>
      <c r="C852" s="11"/>
      <c r="D852" s="63"/>
      <c r="E852" s="11"/>
      <c r="F852" s="65"/>
      <c r="G852" s="12"/>
      <c r="H852" s="41"/>
      <c r="I852" s="30"/>
      <c r="J852" s="30"/>
      <c r="K852" s="97"/>
      <c r="L852" s="11"/>
      <c r="M852" s="11"/>
      <c r="N852" s="11"/>
      <c r="O852" s="11"/>
      <c r="P852" s="82"/>
    </row>
    <row r="853" spans="2:16" s="9" customFormat="1" x14ac:dyDescent="0.2">
      <c r="B853" s="10"/>
      <c r="C853" s="11"/>
      <c r="D853" s="63"/>
      <c r="E853" s="11"/>
      <c r="F853" s="65"/>
      <c r="G853" s="12"/>
      <c r="H853" s="41"/>
      <c r="I853" s="30"/>
      <c r="J853" s="30"/>
      <c r="K853" s="97"/>
      <c r="L853" s="11"/>
      <c r="M853" s="11"/>
      <c r="N853" s="11"/>
      <c r="O853" s="11"/>
      <c r="P853" s="82"/>
    </row>
    <row r="854" spans="2:16" s="9" customFormat="1" x14ac:dyDescent="0.2">
      <c r="B854" s="10"/>
      <c r="C854" s="11"/>
      <c r="D854" s="63"/>
      <c r="E854" s="11"/>
      <c r="F854" s="65"/>
      <c r="G854" s="12"/>
      <c r="H854" s="41"/>
      <c r="I854" s="30"/>
      <c r="J854" s="30"/>
      <c r="K854" s="97"/>
      <c r="L854" s="11"/>
      <c r="M854" s="11"/>
      <c r="N854" s="11"/>
      <c r="O854" s="11"/>
      <c r="P854" s="82"/>
    </row>
    <row r="855" spans="2:16" s="9" customFormat="1" x14ac:dyDescent="0.2">
      <c r="B855" s="10"/>
      <c r="C855" s="11"/>
      <c r="D855" s="63"/>
      <c r="E855" s="11"/>
      <c r="F855" s="65"/>
      <c r="G855" s="12"/>
      <c r="H855" s="41"/>
      <c r="I855" s="30"/>
      <c r="J855" s="30"/>
      <c r="K855" s="97"/>
      <c r="L855" s="11"/>
      <c r="M855" s="11"/>
      <c r="N855" s="11"/>
      <c r="O855" s="11"/>
      <c r="P855" s="82"/>
    </row>
    <row r="856" spans="2:16" s="9" customFormat="1" x14ac:dyDescent="0.2">
      <c r="B856" s="10"/>
      <c r="C856" s="11"/>
      <c r="D856" s="63"/>
      <c r="E856" s="11"/>
      <c r="F856" s="65"/>
      <c r="G856" s="12"/>
      <c r="H856" s="41"/>
      <c r="I856" s="30"/>
      <c r="J856" s="30"/>
      <c r="K856" s="97"/>
      <c r="L856" s="11"/>
      <c r="M856" s="11"/>
      <c r="N856" s="11"/>
      <c r="O856" s="11"/>
      <c r="P856" s="82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allgemein!$B$3:$B$11</xm:f>
          </x14:formula1>
          <xm:sqref>L3:L129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41"/>
  <sheetViews>
    <sheetView workbookViewId="0">
      <pane ySplit="2" topLeftCell="A3" activePane="bottomLeft" state="frozen"/>
      <selection pane="bottomLeft" activeCell="P10" sqref="P10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62" customWidth="1"/>
    <col min="5" max="5" width="9.5703125" style="2" customWidth="1"/>
    <col min="6" max="6" width="12.7109375" style="66" customWidth="1"/>
    <col min="7" max="7" width="13.28515625" style="3" customWidth="1"/>
    <col min="8" max="8" width="13.28515625" style="42" customWidth="1"/>
    <col min="9" max="9" width="13.28515625" style="31" customWidth="1"/>
    <col min="10" max="10" width="10" style="31" bestFit="1" customWidth="1"/>
    <col min="11" max="11" width="10" style="98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84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67"/>
      <c r="E1" s="68"/>
      <c r="F1" s="69"/>
      <c r="G1" s="80"/>
      <c r="H1" s="29"/>
      <c r="I1" s="29"/>
      <c r="J1" s="29"/>
      <c r="K1" s="93"/>
      <c r="P1" s="82"/>
    </row>
    <row r="2" spans="2:20" ht="32.25" x14ac:dyDescent="0.2">
      <c r="B2" s="4" t="s">
        <v>0</v>
      </c>
      <c r="C2" s="4" t="s">
        <v>8</v>
      </c>
      <c r="D2" s="61" t="s">
        <v>958</v>
      </c>
      <c r="E2" s="8" t="s">
        <v>719</v>
      </c>
      <c r="F2" s="64" t="s">
        <v>684</v>
      </c>
      <c r="G2" s="5" t="s">
        <v>361</v>
      </c>
      <c r="H2" s="5" t="s">
        <v>362</v>
      </c>
      <c r="I2" s="5" t="s">
        <v>7</v>
      </c>
      <c r="J2" s="73" t="s">
        <v>6</v>
      </c>
      <c r="K2" s="94" t="s">
        <v>683</v>
      </c>
      <c r="L2" s="5" t="s">
        <v>5</v>
      </c>
      <c r="M2" s="5" t="s">
        <v>685</v>
      </c>
      <c r="N2" s="5" t="s">
        <v>686</v>
      </c>
      <c r="O2" s="5" t="s">
        <v>1</v>
      </c>
      <c r="P2" s="158" t="s">
        <v>2</v>
      </c>
      <c r="Q2" s="159"/>
      <c r="R2" s="4" t="s">
        <v>3</v>
      </c>
      <c r="S2" s="27" t="s">
        <v>360</v>
      </c>
      <c r="T2" s="27">
        <v>2017</v>
      </c>
    </row>
    <row r="3" spans="2:20" x14ac:dyDescent="0.2">
      <c r="B3" s="13" t="s">
        <v>997</v>
      </c>
      <c r="C3" s="13" t="s">
        <v>967</v>
      </c>
      <c r="D3" s="70">
        <v>25.3</v>
      </c>
      <c r="E3" s="70">
        <v>0.3</v>
      </c>
      <c r="F3" s="71">
        <v>179</v>
      </c>
      <c r="G3" s="15"/>
      <c r="H3" s="15">
        <v>1.8919999999999999</v>
      </c>
      <c r="I3" s="15">
        <v>1.8819999999999999</v>
      </c>
      <c r="J3" s="74">
        <f t="shared" ref="J3:J4" si="0">H3-I3</f>
        <v>1.0000000000000009E-2</v>
      </c>
      <c r="K3" s="95">
        <f t="shared" ref="K3:K4" si="1">(F3*(273.15+D3)/273.15)/(M3*N3)</f>
        <v>7.8231814021599853</v>
      </c>
      <c r="L3" s="148" t="s">
        <v>728</v>
      </c>
      <c r="M3" s="72">
        <f>VLOOKUP(L3,allgemein!$B$3:$C$11,2,FALSE)</f>
        <v>1</v>
      </c>
      <c r="N3" s="14">
        <v>25</v>
      </c>
      <c r="O3" s="13" t="s">
        <v>996</v>
      </c>
      <c r="P3" s="83"/>
      <c r="Q3" s="44"/>
      <c r="R3" s="6"/>
    </row>
    <row r="4" spans="2:20" x14ac:dyDescent="0.2">
      <c r="B4" s="13" t="s">
        <v>998</v>
      </c>
      <c r="C4" s="13" t="s">
        <v>41</v>
      </c>
      <c r="D4" s="70">
        <v>25.4</v>
      </c>
      <c r="E4" s="70">
        <v>0.3</v>
      </c>
      <c r="F4" s="71">
        <v>179</v>
      </c>
      <c r="G4" s="15"/>
      <c r="H4" s="15">
        <v>1.9</v>
      </c>
      <c r="I4" s="15">
        <v>1.887</v>
      </c>
      <c r="J4" s="74">
        <f t="shared" si="0"/>
        <v>1.2999999999999901E-2</v>
      </c>
      <c r="K4" s="95">
        <f t="shared" si="1"/>
        <v>7.8258026725242527</v>
      </c>
      <c r="L4" s="148" t="s">
        <v>728</v>
      </c>
      <c r="M4" s="72">
        <f>VLOOKUP(L4,allgemein!$B$3:$C$11,2,FALSE)</f>
        <v>1</v>
      </c>
      <c r="N4" s="14">
        <v>25</v>
      </c>
      <c r="O4" s="13" t="s">
        <v>41</v>
      </c>
      <c r="P4" s="21"/>
      <c r="Q4" s="44"/>
      <c r="R4" s="6"/>
    </row>
    <row r="5" spans="2:20" x14ac:dyDescent="0.2">
      <c r="B5" s="13" t="s">
        <v>999</v>
      </c>
      <c r="C5" s="13" t="s">
        <v>41</v>
      </c>
      <c r="D5" s="70">
        <v>25.8</v>
      </c>
      <c r="E5" s="70" t="s">
        <v>1005</v>
      </c>
      <c r="F5" s="71">
        <v>179</v>
      </c>
      <c r="G5" s="15"/>
      <c r="H5" s="15">
        <v>1.879</v>
      </c>
      <c r="I5" s="15">
        <v>1.8680000000000001</v>
      </c>
      <c r="J5" s="74">
        <f t="shared" ref="J5:J53" si="2">H5-I5</f>
        <v>1.0999999999999899E-2</v>
      </c>
      <c r="K5" s="95">
        <f>(F8*(273.15+D8)/273.15)/(M5*N5)</f>
        <v>7.7977228628958448</v>
      </c>
      <c r="L5" s="148" t="s">
        <v>728</v>
      </c>
      <c r="M5" s="72">
        <f>VLOOKUP(L5,allgemein!$B$3:$C$11,2,FALSE)</f>
        <v>1</v>
      </c>
      <c r="N5" s="14">
        <v>25</v>
      </c>
      <c r="O5" s="13" t="s">
        <v>41</v>
      </c>
      <c r="P5" s="21"/>
      <c r="Q5" s="44"/>
      <c r="R5" s="6"/>
    </row>
    <row r="6" spans="2:20" x14ac:dyDescent="0.2">
      <c r="B6" s="13" t="s">
        <v>1000</v>
      </c>
      <c r="C6" s="13" t="s">
        <v>985</v>
      </c>
      <c r="D6" s="70">
        <v>26.2</v>
      </c>
      <c r="E6" s="70">
        <v>0.7</v>
      </c>
      <c r="F6" s="71">
        <v>179</v>
      </c>
      <c r="G6" s="15"/>
      <c r="H6" s="15">
        <v>1.8680000000000001</v>
      </c>
      <c r="I6" s="15">
        <v>1.855</v>
      </c>
      <c r="J6" s="74">
        <f t="shared" si="2"/>
        <v>1.3000000000000123E-2</v>
      </c>
      <c r="K6" s="95">
        <f t="shared" ref="K6:K53" si="3">(F6*(273.15+D6)/273.15)/(M6*N6)</f>
        <v>7.8467728354384043</v>
      </c>
      <c r="L6" s="148" t="s">
        <v>728</v>
      </c>
      <c r="M6" s="72">
        <f>VLOOKUP(L6,allgemein!$B$3:$C$11,2,FALSE)</f>
        <v>1</v>
      </c>
      <c r="N6" s="14">
        <v>25</v>
      </c>
      <c r="O6" s="13" t="s">
        <v>41</v>
      </c>
      <c r="P6" s="21"/>
      <c r="Q6" s="44"/>
      <c r="R6" s="6"/>
    </row>
    <row r="7" spans="2:20" x14ac:dyDescent="0.2">
      <c r="B7" s="13" t="s">
        <v>1001</v>
      </c>
      <c r="C7" s="13" t="s">
        <v>41</v>
      </c>
      <c r="D7" s="70">
        <v>26.5</v>
      </c>
      <c r="E7" s="70">
        <v>0.3</v>
      </c>
      <c r="F7" s="71">
        <v>178</v>
      </c>
      <c r="G7" s="15"/>
      <c r="H7" s="15">
        <v>1.875</v>
      </c>
      <c r="I7" s="15">
        <v>1.865</v>
      </c>
      <c r="J7" s="74">
        <f t="shared" si="2"/>
        <v>1.0000000000000009E-2</v>
      </c>
      <c r="K7" s="95">
        <f t="shared" si="3"/>
        <v>7.8107559948746106</v>
      </c>
      <c r="L7" s="148" t="s">
        <v>728</v>
      </c>
      <c r="M7" s="72">
        <f>VLOOKUP(L7,allgemein!$B$3:$C$11,2,FALSE)</f>
        <v>1</v>
      </c>
      <c r="N7" s="14">
        <v>25</v>
      </c>
      <c r="O7" s="13" t="s">
        <v>41</v>
      </c>
      <c r="P7" s="21"/>
      <c r="Q7" s="44"/>
      <c r="R7" s="6"/>
    </row>
    <row r="8" spans="2:20" x14ac:dyDescent="0.2">
      <c r="B8" s="13" t="s">
        <v>1002</v>
      </c>
      <c r="C8" s="13" t="s">
        <v>41</v>
      </c>
      <c r="D8" s="70">
        <v>26</v>
      </c>
      <c r="E8" s="70">
        <v>0.8</v>
      </c>
      <c r="F8" s="71">
        <v>178</v>
      </c>
      <c r="G8" s="15"/>
      <c r="H8" s="15">
        <v>1.8879999999999999</v>
      </c>
      <c r="I8" s="15">
        <v>1.881</v>
      </c>
      <c r="J8" s="74">
        <f t="shared" ref="J8" si="4">H8-I8</f>
        <v>6.9999999999998952E-3</v>
      </c>
      <c r="K8" s="95">
        <f t="shared" ref="K8" si="5">(F8*(273.15+D8)/273.15)/(M8*N8)</f>
        <v>7.7977228628958448</v>
      </c>
      <c r="L8" s="148" t="s">
        <v>728</v>
      </c>
      <c r="M8" s="72">
        <f>VLOOKUP(L8,allgemein!$B$3:$C$11,2,FALSE)</f>
        <v>1</v>
      </c>
      <c r="N8" s="14">
        <v>25</v>
      </c>
      <c r="O8" s="13" t="s">
        <v>41</v>
      </c>
      <c r="P8" s="21"/>
      <c r="Q8" s="44"/>
      <c r="R8" s="6"/>
    </row>
    <row r="9" spans="2:20" x14ac:dyDescent="0.2">
      <c r="B9" s="13" t="s">
        <v>1003</v>
      </c>
      <c r="C9" s="13" t="s">
        <v>41</v>
      </c>
      <c r="D9" s="70">
        <v>25.5</v>
      </c>
      <c r="E9" s="70">
        <v>0.3</v>
      </c>
      <c r="F9" s="71">
        <v>179</v>
      </c>
      <c r="G9" s="15"/>
      <c r="H9" s="15">
        <v>1.8839999999999999</v>
      </c>
      <c r="I9" s="15">
        <v>1.8720000000000001</v>
      </c>
      <c r="J9" s="74">
        <f t="shared" si="2"/>
        <v>1.1999999999999789E-2</v>
      </c>
      <c r="K9" s="95">
        <f t="shared" si="3"/>
        <v>7.8284239428885236</v>
      </c>
      <c r="L9" s="148" t="s">
        <v>728</v>
      </c>
      <c r="M9" s="72">
        <f>VLOOKUP(L9,allgemein!$B$3:$C$11,2,FALSE)</f>
        <v>1</v>
      </c>
      <c r="N9" s="14">
        <v>25</v>
      </c>
      <c r="O9" s="13" t="s">
        <v>41</v>
      </c>
      <c r="P9" s="21"/>
      <c r="Q9" s="44"/>
      <c r="R9" s="6"/>
    </row>
    <row r="10" spans="2:20" x14ac:dyDescent="0.2">
      <c r="B10" s="13" t="s">
        <v>1004</v>
      </c>
      <c r="C10" s="13" t="s">
        <v>41</v>
      </c>
      <c r="D10" s="70">
        <v>25.3</v>
      </c>
      <c r="E10" s="70">
        <v>0.2</v>
      </c>
      <c r="F10" s="71">
        <v>179</v>
      </c>
      <c r="G10" s="15"/>
      <c r="H10" s="15">
        <v>1.883</v>
      </c>
      <c r="I10" s="15">
        <v>1.8680000000000001</v>
      </c>
      <c r="J10" s="74">
        <f t="shared" si="2"/>
        <v>1.4999999999999902E-2</v>
      </c>
      <c r="K10" s="95">
        <f t="shared" si="3"/>
        <v>7.8231814021599853</v>
      </c>
      <c r="L10" s="148" t="s">
        <v>728</v>
      </c>
      <c r="M10" s="72">
        <f>VLOOKUP(L10,allgemein!$B$3:$C$11,2,FALSE)</f>
        <v>1</v>
      </c>
      <c r="N10" s="14">
        <v>25</v>
      </c>
      <c r="O10" s="13" t="s">
        <v>41</v>
      </c>
      <c r="P10" s="23"/>
      <c r="Q10" s="13"/>
      <c r="R10" s="6"/>
    </row>
    <row r="11" spans="2:20" x14ac:dyDescent="0.2">
      <c r="B11" s="13" t="s">
        <v>1012</v>
      </c>
      <c r="C11" s="13" t="s">
        <v>41</v>
      </c>
      <c r="D11" s="70">
        <v>25.3</v>
      </c>
      <c r="E11" s="70">
        <v>0</v>
      </c>
      <c r="F11" s="71">
        <v>180</v>
      </c>
      <c r="G11" s="15"/>
      <c r="H11" s="15">
        <v>1.8959999999999999</v>
      </c>
      <c r="I11" s="15">
        <v>1.8839999999999999</v>
      </c>
      <c r="J11" s="74">
        <f t="shared" si="2"/>
        <v>1.2000000000000011E-2</v>
      </c>
      <c r="K11" s="95">
        <f t="shared" si="3"/>
        <v>7.8668863261943986</v>
      </c>
      <c r="L11" s="148" t="s">
        <v>728</v>
      </c>
      <c r="M11" s="72">
        <f>VLOOKUP(L11,allgemein!$B$3:$C$11,2,FALSE)</f>
        <v>1</v>
      </c>
      <c r="N11" s="14">
        <v>25</v>
      </c>
      <c r="O11" s="13" t="s">
        <v>41</v>
      </c>
      <c r="P11" s="21"/>
      <c r="Q11" s="44"/>
      <c r="R11" s="6"/>
    </row>
    <row r="12" spans="2:20" x14ac:dyDescent="0.2">
      <c r="B12" s="13" t="s">
        <v>1013</v>
      </c>
      <c r="C12" s="13" t="s">
        <v>41</v>
      </c>
      <c r="D12" s="70">
        <v>24.9</v>
      </c>
      <c r="E12" s="70">
        <v>0.1</v>
      </c>
      <c r="F12" s="71">
        <v>179</v>
      </c>
      <c r="G12" s="15"/>
      <c r="H12" s="15">
        <v>1.8879999999999999</v>
      </c>
      <c r="I12" s="15">
        <v>1.8759999999999999</v>
      </c>
      <c r="J12" s="74">
        <f t="shared" si="2"/>
        <v>1.2000000000000011E-2</v>
      </c>
      <c r="K12" s="95">
        <f t="shared" si="3"/>
        <v>7.8126963207029094</v>
      </c>
      <c r="L12" s="148" t="s">
        <v>728</v>
      </c>
      <c r="M12" s="72">
        <f>VLOOKUP(L12,allgemein!$B$3:$C$11,2,FALSE)</f>
        <v>1</v>
      </c>
      <c r="N12" s="14">
        <v>25</v>
      </c>
      <c r="O12" s="13" t="s">
        <v>41</v>
      </c>
      <c r="P12" s="21"/>
      <c r="Q12" s="13"/>
      <c r="R12" s="6"/>
    </row>
    <row r="13" spans="2:20" x14ac:dyDescent="0.2">
      <c r="B13" s="13" t="s">
        <v>1014</v>
      </c>
      <c r="C13" s="13" t="s">
        <v>41</v>
      </c>
      <c r="D13" s="70">
        <v>24.6</v>
      </c>
      <c r="E13" s="70">
        <v>0.2</v>
      </c>
      <c r="F13" s="71">
        <v>181</v>
      </c>
      <c r="G13" s="15"/>
      <c r="H13" s="15">
        <v>1.8919999999999999</v>
      </c>
      <c r="I13" s="15">
        <v>1.8759999999999999</v>
      </c>
      <c r="J13" s="74">
        <f t="shared" ref="J13:J28" si="6">H13-I13</f>
        <v>1.6000000000000014E-2</v>
      </c>
      <c r="K13" s="95">
        <f t="shared" ref="K13:K28" si="7">(F13*(273.15+D13)/273.15)/(M13*N13)</f>
        <v>7.8920373421197159</v>
      </c>
      <c r="L13" s="148" t="s">
        <v>728</v>
      </c>
      <c r="M13" s="72">
        <f>VLOOKUP(L13,allgemein!$B$3:$C$11,2,FALSE)</f>
        <v>1</v>
      </c>
      <c r="N13" s="14">
        <v>25</v>
      </c>
      <c r="O13" s="13" t="s">
        <v>41</v>
      </c>
      <c r="P13" s="21"/>
      <c r="Q13" s="13"/>
      <c r="R13" s="6"/>
    </row>
    <row r="14" spans="2:20" x14ac:dyDescent="0.2">
      <c r="B14" s="13" t="s">
        <v>1015</v>
      </c>
      <c r="C14" s="13" t="s">
        <v>41</v>
      </c>
      <c r="D14" s="70">
        <v>24.3</v>
      </c>
      <c r="E14" s="70">
        <v>0.3</v>
      </c>
      <c r="F14" s="71">
        <v>180</v>
      </c>
      <c r="G14" s="15"/>
      <c r="H14" s="15">
        <v>1.9139999999999999</v>
      </c>
      <c r="I14" s="15">
        <v>1.899</v>
      </c>
      <c r="J14" s="74">
        <f t="shared" si="6"/>
        <v>1.4999999999999902E-2</v>
      </c>
      <c r="K14" s="95">
        <f t="shared" si="7"/>
        <v>7.8405271828665573</v>
      </c>
      <c r="L14" s="148" t="s">
        <v>728</v>
      </c>
      <c r="M14" s="72">
        <f>VLOOKUP(L14,allgemein!$B$3:$C$11,2,FALSE)</f>
        <v>1</v>
      </c>
      <c r="N14" s="14">
        <v>25</v>
      </c>
      <c r="O14" s="13" t="s">
        <v>41</v>
      </c>
      <c r="P14" s="21"/>
      <c r="Q14" s="44"/>
      <c r="R14" s="6"/>
    </row>
    <row r="15" spans="2:20" x14ac:dyDescent="0.2">
      <c r="B15" s="13" t="s">
        <v>1016</v>
      </c>
      <c r="C15" s="13" t="s">
        <v>41</v>
      </c>
      <c r="D15" s="70">
        <v>24</v>
      </c>
      <c r="E15" s="70">
        <v>0.1</v>
      </c>
      <c r="F15" s="71">
        <v>180</v>
      </c>
      <c r="G15" s="15"/>
      <c r="H15" s="15">
        <v>1.9179999999999999</v>
      </c>
      <c r="I15" s="15">
        <v>1.905</v>
      </c>
      <c r="J15" s="74">
        <f t="shared" si="6"/>
        <v>1.2999999999999901E-2</v>
      </c>
      <c r="K15" s="95">
        <f t="shared" si="7"/>
        <v>7.8326194398682034</v>
      </c>
      <c r="L15" s="148" t="s">
        <v>728</v>
      </c>
      <c r="M15" s="72">
        <f>VLOOKUP(L15,allgemein!$B$3:$C$11,2,FALSE)</f>
        <v>1</v>
      </c>
      <c r="N15" s="14">
        <v>25</v>
      </c>
      <c r="O15" s="13" t="s">
        <v>41</v>
      </c>
      <c r="P15" s="21"/>
      <c r="Q15" s="13"/>
      <c r="R15" s="6"/>
    </row>
    <row r="16" spans="2:20" x14ac:dyDescent="0.2">
      <c r="B16" s="13" t="s">
        <v>1017</v>
      </c>
      <c r="C16" s="13" t="s">
        <v>41</v>
      </c>
      <c r="D16" s="70">
        <v>24</v>
      </c>
      <c r="E16" s="70">
        <v>0.2</v>
      </c>
      <c r="F16" s="71">
        <v>179</v>
      </c>
      <c r="G16" s="15"/>
      <c r="H16" s="15">
        <v>1.901</v>
      </c>
      <c r="I16" s="15">
        <v>1.89</v>
      </c>
      <c r="J16" s="74">
        <f t="shared" si="6"/>
        <v>1.1000000000000121E-2</v>
      </c>
      <c r="K16" s="95">
        <f t="shared" si="7"/>
        <v>7.789104887424493</v>
      </c>
      <c r="L16" s="148" t="s">
        <v>728</v>
      </c>
      <c r="M16" s="72">
        <f>VLOOKUP(L16,allgemein!$B$3:$C$11,2,FALSE)</f>
        <v>1</v>
      </c>
      <c r="N16" s="14">
        <v>25</v>
      </c>
      <c r="O16" s="13" t="s">
        <v>41</v>
      </c>
      <c r="P16" s="21"/>
      <c r="Q16" s="13"/>
      <c r="R16" s="6"/>
    </row>
    <row r="17" spans="2:18" x14ac:dyDescent="0.2">
      <c r="B17" s="13" t="s">
        <v>1018</v>
      </c>
      <c r="C17" s="13" t="s">
        <v>41</v>
      </c>
      <c r="D17" s="70">
        <v>24</v>
      </c>
      <c r="E17" s="70">
        <v>0.1</v>
      </c>
      <c r="F17" s="71">
        <v>179</v>
      </c>
      <c r="G17" s="15"/>
      <c r="H17" s="15">
        <v>1.9179999999999999</v>
      </c>
      <c r="I17" s="15">
        <v>1.9019999999999999</v>
      </c>
      <c r="J17" s="74">
        <f t="shared" si="6"/>
        <v>1.6000000000000014E-2</v>
      </c>
      <c r="K17" s="95">
        <f t="shared" si="7"/>
        <v>7.789104887424493</v>
      </c>
      <c r="L17" s="148" t="s">
        <v>728</v>
      </c>
      <c r="M17" s="72">
        <f>VLOOKUP(L17,allgemein!$B$3:$C$11,2,FALSE)</f>
        <v>1</v>
      </c>
      <c r="N17" s="14">
        <v>25</v>
      </c>
      <c r="O17" s="13" t="s">
        <v>41</v>
      </c>
      <c r="P17" s="21"/>
      <c r="Q17" s="44"/>
      <c r="R17" s="6"/>
    </row>
    <row r="18" spans="2:18" x14ac:dyDescent="0.2">
      <c r="B18" s="13" t="s">
        <v>1019</v>
      </c>
      <c r="C18" s="13" t="s">
        <v>41</v>
      </c>
      <c r="D18" s="70">
        <v>24</v>
      </c>
      <c r="E18" s="70">
        <v>0.2</v>
      </c>
      <c r="F18" s="71">
        <v>180</v>
      </c>
      <c r="G18" s="15"/>
      <c r="H18" s="15">
        <v>1.899</v>
      </c>
      <c r="I18" s="15">
        <v>1.887</v>
      </c>
      <c r="J18" s="74">
        <f t="shared" si="6"/>
        <v>1.2000000000000011E-2</v>
      </c>
      <c r="K18" s="95">
        <f t="shared" si="7"/>
        <v>7.8326194398682034</v>
      </c>
      <c r="L18" s="148" t="s">
        <v>728</v>
      </c>
      <c r="M18" s="72">
        <f>VLOOKUP(L18,allgemein!$B$3:$C$11,2,FALSE)</f>
        <v>1</v>
      </c>
      <c r="N18" s="14">
        <v>25</v>
      </c>
      <c r="O18" s="13" t="s">
        <v>41</v>
      </c>
      <c r="P18" s="21" t="s">
        <v>1021</v>
      </c>
      <c r="Q18" s="99"/>
      <c r="R18" s="6"/>
    </row>
    <row r="19" spans="2:18" x14ac:dyDescent="0.2">
      <c r="B19" s="13" t="s">
        <v>302</v>
      </c>
      <c r="C19" s="13" t="s">
        <v>303</v>
      </c>
      <c r="D19" s="70">
        <v>24.1</v>
      </c>
      <c r="E19" s="70">
        <v>0.2</v>
      </c>
      <c r="F19" s="71">
        <v>850</v>
      </c>
      <c r="G19" s="15">
        <v>1.829</v>
      </c>
      <c r="H19" s="15">
        <v>5.5279999999999996</v>
      </c>
      <c r="I19" s="15">
        <v>5.5039999999999996</v>
      </c>
      <c r="J19" s="74">
        <f t="shared" si="6"/>
        <v>2.4000000000000021E-2</v>
      </c>
      <c r="K19" s="95">
        <f t="shared" si="7"/>
        <v>7.708295197998658</v>
      </c>
      <c r="L19" s="15" t="s">
        <v>335</v>
      </c>
      <c r="M19" s="72">
        <f>VLOOKUP(L19,allgemein!$B$3:$C$11,2,FALSE)</f>
        <v>3</v>
      </c>
      <c r="N19" s="14">
        <v>40</v>
      </c>
      <c r="O19" s="13" t="s">
        <v>1020</v>
      </c>
      <c r="P19" s="21" t="s">
        <v>1022</v>
      </c>
      <c r="Q19" s="99"/>
      <c r="R19" s="6"/>
    </row>
    <row r="20" spans="2:18" x14ac:dyDescent="0.2">
      <c r="B20" s="13"/>
      <c r="C20" s="13" t="s">
        <v>304</v>
      </c>
      <c r="D20" s="70"/>
      <c r="E20" s="70"/>
      <c r="F20" s="71"/>
      <c r="G20" s="15">
        <v>1.821</v>
      </c>
      <c r="H20" s="15"/>
      <c r="I20" s="15"/>
      <c r="J20" s="74"/>
      <c r="K20" s="95"/>
      <c r="L20" s="15"/>
      <c r="M20" s="72"/>
      <c r="N20" s="14"/>
      <c r="O20" s="13"/>
      <c r="P20" s="21"/>
      <c r="Q20" s="44"/>
      <c r="R20" s="6"/>
    </row>
    <row r="21" spans="2:18" x14ac:dyDescent="0.2">
      <c r="B21" s="13"/>
      <c r="C21" s="13" t="s">
        <v>923</v>
      </c>
      <c r="D21" s="70"/>
      <c r="E21" s="70"/>
      <c r="F21" s="71"/>
      <c r="G21" s="15">
        <v>1.8779999999999999</v>
      </c>
      <c r="H21" s="15"/>
      <c r="I21" s="15"/>
      <c r="J21" s="74"/>
      <c r="K21" s="95"/>
      <c r="L21" s="15"/>
      <c r="M21" s="72"/>
      <c r="N21" s="14"/>
      <c r="O21" s="13"/>
      <c r="P21" s="21"/>
      <c r="Q21" s="13"/>
      <c r="R21" s="6"/>
    </row>
    <row r="22" spans="2:18" x14ac:dyDescent="0.2">
      <c r="B22" s="13" t="s">
        <v>1023</v>
      </c>
      <c r="C22" s="13" t="s">
        <v>41</v>
      </c>
      <c r="D22" s="70">
        <v>28.7</v>
      </c>
      <c r="E22" s="70">
        <v>0</v>
      </c>
      <c r="F22" s="71">
        <v>570</v>
      </c>
      <c r="G22" s="15">
        <v>1.829</v>
      </c>
      <c r="H22" s="15">
        <v>3.657</v>
      </c>
      <c r="I22" s="15">
        <v>3.6339999999999999</v>
      </c>
      <c r="J22" s="74">
        <f t="shared" si="6"/>
        <v>2.3000000000000131E-2</v>
      </c>
      <c r="K22" s="95">
        <f t="shared" si="7"/>
        <v>7.8736271279516741</v>
      </c>
      <c r="L22" s="15" t="s">
        <v>323</v>
      </c>
      <c r="M22" s="72">
        <f>VLOOKUP(L22,allgemein!$B$3:$C$11,2,FALSE)</f>
        <v>2</v>
      </c>
      <c r="N22" s="14">
        <v>40</v>
      </c>
      <c r="O22" s="13" t="s">
        <v>1027</v>
      </c>
      <c r="P22" s="21"/>
      <c r="Q22" s="13"/>
      <c r="R22" s="6"/>
    </row>
    <row r="23" spans="2:18" x14ac:dyDescent="0.2">
      <c r="B23" s="13"/>
      <c r="C23" s="13" t="s">
        <v>41</v>
      </c>
      <c r="D23" s="70"/>
      <c r="E23" s="70"/>
      <c r="F23" s="71"/>
      <c r="G23" s="15">
        <v>1.8280000000000001</v>
      </c>
      <c r="H23" s="15"/>
      <c r="I23" s="15"/>
      <c r="J23" s="74"/>
      <c r="K23" s="95"/>
      <c r="L23" s="15"/>
      <c r="M23" s="72"/>
      <c r="N23" s="14"/>
      <c r="O23" s="13"/>
      <c r="P23" s="21"/>
      <c r="Q23" s="13"/>
      <c r="R23" s="6"/>
    </row>
    <row r="24" spans="2:18" x14ac:dyDescent="0.2">
      <c r="B24" s="13" t="s">
        <v>1024</v>
      </c>
      <c r="C24" s="13" t="s">
        <v>41</v>
      </c>
      <c r="D24" s="70">
        <v>28.6</v>
      </c>
      <c r="E24" s="70">
        <v>0.4</v>
      </c>
      <c r="F24" s="71">
        <v>571</v>
      </c>
      <c r="G24" s="15">
        <v>1.845</v>
      </c>
      <c r="H24" s="15">
        <v>3.6840000000000002</v>
      </c>
      <c r="I24" s="15">
        <v>3.665</v>
      </c>
      <c r="J24" s="74">
        <f t="shared" si="6"/>
        <v>1.9000000000000128E-2</v>
      </c>
      <c r="K24" s="95">
        <f t="shared" si="7"/>
        <v>7.8848274757459276</v>
      </c>
      <c r="L24" s="15" t="s">
        <v>323</v>
      </c>
      <c r="M24" s="72">
        <f>VLOOKUP(L24,allgemein!$B$3:$C$11,2,FALSE)</f>
        <v>2</v>
      </c>
      <c r="N24" s="14">
        <v>40</v>
      </c>
      <c r="O24" s="13" t="s">
        <v>41</v>
      </c>
      <c r="P24" s="21"/>
      <c r="Q24" s="13"/>
      <c r="R24" s="6"/>
    </row>
    <row r="25" spans="2:18" x14ac:dyDescent="0.2">
      <c r="B25" s="13"/>
      <c r="C25" s="13" t="s">
        <v>41</v>
      </c>
      <c r="D25" s="70"/>
      <c r="E25" s="70"/>
      <c r="F25" s="71"/>
      <c r="G25" s="15">
        <v>1.8380000000000001</v>
      </c>
      <c r="H25" s="15"/>
      <c r="I25" s="15"/>
      <c r="J25" s="74"/>
      <c r="K25" s="95"/>
      <c r="L25" s="15"/>
      <c r="M25" s="72"/>
      <c r="N25" s="14"/>
      <c r="O25" s="13"/>
      <c r="P25" s="21"/>
      <c r="Q25" s="13"/>
      <c r="R25" s="6"/>
    </row>
    <row r="26" spans="2:18" x14ac:dyDescent="0.2">
      <c r="B26" s="13" t="s">
        <v>1025</v>
      </c>
      <c r="C26" s="13" t="s">
        <v>1028</v>
      </c>
      <c r="D26" s="70">
        <v>28.5</v>
      </c>
      <c r="E26" s="70">
        <v>0</v>
      </c>
      <c r="F26" s="71">
        <v>571</v>
      </c>
      <c r="G26" s="15">
        <v>1.851</v>
      </c>
      <c r="H26" s="15">
        <v>3.702</v>
      </c>
      <c r="I26" s="15">
        <v>3.6789999999999998</v>
      </c>
      <c r="J26" s="74">
        <f t="shared" si="6"/>
        <v>2.3000000000000131E-2</v>
      </c>
      <c r="K26" s="95">
        <f t="shared" si="7"/>
        <v>7.8822144426139484</v>
      </c>
      <c r="L26" s="15" t="s">
        <v>323</v>
      </c>
      <c r="M26" s="72">
        <f>VLOOKUP(L26,allgemein!$B$3:$C$11,2,FALSE)</f>
        <v>2</v>
      </c>
      <c r="N26" s="14">
        <v>40</v>
      </c>
      <c r="O26" s="13" t="s">
        <v>41</v>
      </c>
      <c r="P26" s="21"/>
      <c r="Q26" s="13"/>
      <c r="R26" s="6"/>
    </row>
    <row r="27" spans="2:18" x14ac:dyDescent="0.2">
      <c r="B27" s="13"/>
      <c r="C27" s="13" t="s">
        <v>41</v>
      </c>
      <c r="D27" s="70"/>
      <c r="E27" s="70"/>
      <c r="F27" s="71"/>
      <c r="G27" s="15">
        <v>1.85</v>
      </c>
      <c r="H27" s="15"/>
      <c r="I27" s="15"/>
      <c r="J27" s="74"/>
      <c r="K27" s="95"/>
      <c r="L27" s="15"/>
      <c r="M27" s="72"/>
      <c r="N27" s="14"/>
      <c r="O27" s="13"/>
      <c r="P27" s="21"/>
      <c r="Q27" s="13"/>
      <c r="R27" s="6"/>
    </row>
    <row r="28" spans="2:18" x14ac:dyDescent="0.2">
      <c r="B28" s="13" t="s">
        <v>1026</v>
      </c>
      <c r="C28" s="13" t="s">
        <v>41</v>
      </c>
      <c r="D28" s="70">
        <v>28.4</v>
      </c>
      <c r="E28" s="70">
        <v>0</v>
      </c>
      <c r="F28" s="71">
        <v>572</v>
      </c>
      <c r="G28" s="15">
        <v>1.853</v>
      </c>
      <c r="H28" s="15">
        <v>3.7029999999999998</v>
      </c>
      <c r="I28" s="15">
        <v>3.6779999999999999</v>
      </c>
      <c r="J28" s="74">
        <f t="shared" si="6"/>
        <v>2.4999999999999911E-2</v>
      </c>
      <c r="K28" s="95">
        <f t="shared" si="7"/>
        <v>7.893401061687717</v>
      </c>
      <c r="L28" s="15" t="s">
        <v>323</v>
      </c>
      <c r="M28" s="72">
        <f>VLOOKUP(L28,allgemein!$B$3:$C$11,2,FALSE)</f>
        <v>2</v>
      </c>
      <c r="N28" s="14">
        <v>40</v>
      </c>
      <c r="O28" s="13" t="s">
        <v>41</v>
      </c>
      <c r="P28" s="21"/>
      <c r="Q28" s="13" t="s">
        <v>1008</v>
      </c>
      <c r="R28" s="6"/>
    </row>
    <row r="29" spans="2:18" x14ac:dyDescent="0.2">
      <c r="B29" s="13"/>
      <c r="C29" s="13" t="s">
        <v>41</v>
      </c>
      <c r="D29" s="70"/>
      <c r="E29" s="70"/>
      <c r="F29" s="71"/>
      <c r="G29" s="15">
        <v>1.849</v>
      </c>
      <c r="H29" s="15"/>
      <c r="I29" s="15"/>
      <c r="J29" s="74"/>
      <c r="K29" s="95"/>
      <c r="L29" s="15"/>
      <c r="M29" s="72"/>
      <c r="N29" s="14"/>
      <c r="O29" s="13"/>
      <c r="P29" s="21"/>
      <c r="Q29" s="13"/>
      <c r="R29" s="6"/>
    </row>
    <row r="30" spans="2:18" x14ac:dyDescent="0.2">
      <c r="B30" s="13"/>
      <c r="C30" s="13"/>
      <c r="D30" s="70"/>
      <c r="E30" s="70"/>
      <c r="F30" s="71"/>
      <c r="G30" s="15"/>
      <c r="H30" s="15"/>
      <c r="I30" s="15"/>
      <c r="J30" s="74">
        <f t="shared" si="2"/>
        <v>0</v>
      </c>
      <c r="K30" s="95" t="e">
        <f t="shared" si="3"/>
        <v>#DIV/0!</v>
      </c>
      <c r="L30" s="15"/>
      <c r="M30" s="72"/>
      <c r="N30" s="14"/>
      <c r="O30" s="13"/>
      <c r="P30" s="21"/>
      <c r="Q30" s="13"/>
      <c r="R30" s="6"/>
    </row>
    <row r="31" spans="2:18" x14ac:dyDescent="0.2">
      <c r="B31" s="13"/>
      <c r="C31" s="13"/>
      <c r="D31" s="70"/>
      <c r="E31" s="70"/>
      <c r="F31" s="71"/>
      <c r="G31" s="15"/>
      <c r="H31" s="15"/>
      <c r="I31" s="15"/>
      <c r="J31" s="74">
        <f t="shared" si="2"/>
        <v>0</v>
      </c>
      <c r="K31" s="95" t="e">
        <f t="shared" si="3"/>
        <v>#DIV/0!</v>
      </c>
      <c r="L31" s="15"/>
      <c r="M31" s="72"/>
      <c r="N31" s="14"/>
      <c r="O31" s="13"/>
      <c r="P31" s="91"/>
      <c r="Q31" s="13"/>
      <c r="R31" s="6"/>
    </row>
    <row r="32" spans="2:18" x14ac:dyDescent="0.2">
      <c r="B32" s="13"/>
      <c r="C32" s="13"/>
      <c r="D32" s="70"/>
      <c r="E32" s="70"/>
      <c r="F32" s="71"/>
      <c r="G32" s="15"/>
      <c r="H32" s="15"/>
      <c r="I32" s="15"/>
      <c r="J32" s="74">
        <f t="shared" si="2"/>
        <v>0</v>
      </c>
      <c r="K32" s="95" t="e">
        <f t="shared" si="3"/>
        <v>#DIV/0!</v>
      </c>
      <c r="L32" s="15"/>
      <c r="M32" s="72"/>
      <c r="N32" s="14"/>
      <c r="O32" s="13"/>
      <c r="P32" s="21"/>
      <c r="Q32" s="13"/>
      <c r="R32" s="6"/>
    </row>
    <row r="33" spans="2:18" x14ac:dyDescent="0.2">
      <c r="B33" s="13"/>
      <c r="C33" s="13"/>
      <c r="D33" s="70"/>
      <c r="E33" s="70"/>
      <c r="F33" s="71"/>
      <c r="G33" s="15"/>
      <c r="H33" s="15"/>
      <c r="I33" s="15"/>
      <c r="J33" s="74">
        <f t="shared" si="2"/>
        <v>0</v>
      </c>
      <c r="K33" s="95" t="e">
        <f t="shared" si="3"/>
        <v>#DIV/0!</v>
      </c>
      <c r="L33" s="15"/>
      <c r="M33" s="72"/>
      <c r="N33" s="14"/>
      <c r="O33" s="13"/>
      <c r="P33" s="21"/>
      <c r="Q33" s="13"/>
      <c r="R33" s="6"/>
    </row>
    <row r="34" spans="2:18" x14ac:dyDescent="0.2">
      <c r="B34" s="13"/>
      <c r="C34" s="13"/>
      <c r="D34" s="70"/>
      <c r="E34" s="70"/>
      <c r="F34" s="71"/>
      <c r="G34" s="15"/>
      <c r="H34" s="15"/>
      <c r="I34" s="15"/>
      <c r="J34" s="74">
        <f t="shared" si="2"/>
        <v>0</v>
      </c>
      <c r="K34" s="95" t="e">
        <f t="shared" si="3"/>
        <v>#DIV/0!</v>
      </c>
      <c r="L34" s="15"/>
      <c r="M34" s="72"/>
      <c r="N34" s="14"/>
      <c r="O34" s="13"/>
      <c r="P34" s="21"/>
      <c r="Q34" s="13"/>
      <c r="R34" s="6"/>
    </row>
    <row r="35" spans="2:18" x14ac:dyDescent="0.2">
      <c r="B35" s="13" t="s">
        <v>1000</v>
      </c>
      <c r="C35" s="13"/>
      <c r="D35" s="70">
        <v>29.7</v>
      </c>
      <c r="E35" s="70">
        <v>0.2</v>
      </c>
      <c r="F35" s="71">
        <v>180</v>
      </c>
      <c r="G35" s="15"/>
      <c r="H35" s="15">
        <v>1.849</v>
      </c>
      <c r="I35" s="15">
        <v>1.8340000000000001</v>
      </c>
      <c r="J35" s="74">
        <f t="shared" ref="J35:J49" si="8">H35-I35</f>
        <v>1.4999999999999902E-2</v>
      </c>
      <c r="K35" s="95">
        <f t="shared" ref="K35:K49" si="9">(F35*(273.15+D35)/273.15)/(M35*N35)</f>
        <v>7.9828665568369024</v>
      </c>
      <c r="L35" s="15" t="s">
        <v>731</v>
      </c>
      <c r="M35" s="72">
        <f>VLOOKUP(L35,allgemein!$B$3:$C$11,2,FALSE)</f>
        <v>1</v>
      </c>
      <c r="N35" s="14">
        <v>25</v>
      </c>
      <c r="O35" s="13"/>
      <c r="P35" s="23"/>
      <c r="Q35" s="13"/>
      <c r="R35" s="6"/>
    </row>
    <row r="36" spans="2:18" x14ac:dyDescent="0.2">
      <c r="B36" s="13"/>
      <c r="C36" s="13"/>
      <c r="D36" s="70">
        <v>27.2</v>
      </c>
      <c r="E36" s="70"/>
      <c r="F36" s="71">
        <v>180</v>
      </c>
      <c r="G36" s="15"/>
      <c r="H36" s="15"/>
      <c r="I36" s="15"/>
      <c r="J36" s="74">
        <f t="shared" si="8"/>
        <v>0</v>
      </c>
      <c r="K36" s="95">
        <f t="shared" si="9"/>
        <v>7.9169686985172971</v>
      </c>
      <c r="L36" s="15" t="s">
        <v>731</v>
      </c>
      <c r="M36" s="72">
        <f>VLOOKUP(L36,allgemein!$B$3:$C$11,2,FALSE)</f>
        <v>1</v>
      </c>
      <c r="N36" s="14">
        <v>25</v>
      </c>
      <c r="O36" s="13"/>
      <c r="P36" s="23"/>
      <c r="Q36" s="23"/>
      <c r="R36" s="6"/>
    </row>
    <row r="37" spans="2:18" ht="13.5" thickBot="1" x14ac:dyDescent="0.25">
      <c r="B37" s="100"/>
      <c r="C37" s="100"/>
      <c r="D37" s="101"/>
      <c r="E37" s="101"/>
      <c r="F37" s="102"/>
      <c r="G37" s="103"/>
      <c r="H37" s="103"/>
      <c r="I37" s="103"/>
      <c r="J37" s="104">
        <f t="shared" si="8"/>
        <v>0</v>
      </c>
      <c r="K37" s="105" t="e">
        <f t="shared" si="9"/>
        <v>#DIV/0!</v>
      </c>
      <c r="L37" s="103"/>
      <c r="M37" s="106"/>
      <c r="N37" s="107"/>
      <c r="O37" s="100"/>
      <c r="P37" s="108"/>
      <c r="Q37" s="13"/>
      <c r="R37" s="6"/>
    </row>
    <row r="38" spans="2:18" x14ac:dyDescent="0.2">
      <c r="B38" s="118" t="s">
        <v>1006</v>
      </c>
      <c r="C38" s="119"/>
      <c r="D38" s="120">
        <v>25.5</v>
      </c>
      <c r="E38" s="120"/>
      <c r="F38" s="121">
        <v>180</v>
      </c>
      <c r="G38" s="122"/>
      <c r="H38" s="122"/>
      <c r="I38" s="122"/>
      <c r="J38" s="123">
        <f t="shared" si="8"/>
        <v>0</v>
      </c>
      <c r="K38" s="124">
        <f t="shared" si="9"/>
        <v>7.8721581548599673</v>
      </c>
      <c r="L38" s="125" t="s">
        <v>328</v>
      </c>
      <c r="M38" s="126">
        <v>1</v>
      </c>
      <c r="N38" s="127">
        <v>25</v>
      </c>
      <c r="O38" s="119"/>
      <c r="P38" s="128" t="s">
        <v>1007</v>
      </c>
      <c r="Q38" s="13"/>
      <c r="R38" s="6"/>
    </row>
    <row r="39" spans="2:18" ht="13.5" thickBot="1" x14ac:dyDescent="0.25">
      <c r="B39" s="129" t="s">
        <v>41</v>
      </c>
      <c r="C39" s="130"/>
      <c r="D39" s="131">
        <v>25.4</v>
      </c>
      <c r="E39" s="131"/>
      <c r="F39" s="132">
        <v>285</v>
      </c>
      <c r="G39" s="133"/>
      <c r="H39" s="133"/>
      <c r="I39" s="133"/>
      <c r="J39" s="134">
        <f t="shared" si="8"/>
        <v>0</v>
      </c>
      <c r="K39" s="135">
        <f t="shared" si="9"/>
        <v>7.787548050521691</v>
      </c>
      <c r="L39" s="136" t="s">
        <v>328</v>
      </c>
      <c r="M39" s="137">
        <v>1</v>
      </c>
      <c r="N39" s="138">
        <v>40</v>
      </c>
      <c r="O39" s="130"/>
      <c r="P39" s="139"/>
      <c r="Q39" s="13"/>
      <c r="R39" s="6"/>
    </row>
    <row r="40" spans="2:18" x14ac:dyDescent="0.2">
      <c r="B40" s="109"/>
      <c r="C40" s="109"/>
      <c r="D40" s="110"/>
      <c r="E40" s="110"/>
      <c r="F40" s="111"/>
      <c r="G40" s="112"/>
      <c r="H40" s="112"/>
      <c r="I40" s="112"/>
      <c r="J40" s="113">
        <f t="shared" si="8"/>
        <v>0</v>
      </c>
      <c r="K40" s="114" t="e">
        <f t="shared" si="9"/>
        <v>#DIV/0!</v>
      </c>
      <c r="L40" s="112"/>
      <c r="M40" s="115"/>
      <c r="N40" s="116"/>
      <c r="O40" s="109"/>
      <c r="P40" s="117"/>
      <c r="Q40" s="13"/>
      <c r="R40" s="6"/>
    </row>
    <row r="41" spans="2:18" x14ac:dyDescent="0.2">
      <c r="B41" s="13"/>
      <c r="C41" s="13"/>
      <c r="D41" s="70"/>
      <c r="E41" s="70"/>
      <c r="F41" s="71"/>
      <c r="G41" s="15"/>
      <c r="H41" s="15"/>
      <c r="I41" s="15"/>
      <c r="J41" s="74">
        <f t="shared" si="8"/>
        <v>0</v>
      </c>
      <c r="K41" s="95" t="e">
        <f t="shared" si="9"/>
        <v>#DIV/0!</v>
      </c>
      <c r="L41" s="15"/>
      <c r="M41" s="72"/>
      <c r="N41" s="14"/>
      <c r="O41" s="13"/>
      <c r="Q41" s="13"/>
      <c r="R41" s="60"/>
    </row>
    <row r="42" spans="2:18" x14ac:dyDescent="0.2">
      <c r="B42" s="13" t="s">
        <v>503</v>
      </c>
      <c r="C42" s="13"/>
      <c r="D42" s="70">
        <v>21.7</v>
      </c>
      <c r="E42" s="70">
        <v>0.1</v>
      </c>
      <c r="F42" s="71">
        <v>284</v>
      </c>
      <c r="G42" s="15"/>
      <c r="H42" s="15">
        <v>2.278</v>
      </c>
      <c r="I42" s="15">
        <v>2.2770000000000001</v>
      </c>
      <c r="J42" s="74">
        <f t="shared" si="8"/>
        <v>9.9999999999988987E-4</v>
      </c>
      <c r="K42" s="95">
        <f t="shared" si="9"/>
        <v>7.6640490572945268</v>
      </c>
      <c r="L42" s="15" t="s">
        <v>729</v>
      </c>
      <c r="M42" s="72">
        <v>1</v>
      </c>
      <c r="N42" s="14">
        <v>40</v>
      </c>
      <c r="O42" s="13"/>
      <c r="P42" s="23"/>
      <c r="Q42" s="13"/>
      <c r="R42" s="6"/>
    </row>
    <row r="43" spans="2:18" x14ac:dyDescent="0.2">
      <c r="B43" s="13"/>
      <c r="C43" s="13"/>
      <c r="D43" s="70">
        <v>21.9</v>
      </c>
      <c r="E43" s="70">
        <v>0</v>
      </c>
      <c r="F43" s="71">
        <v>284</v>
      </c>
      <c r="G43" s="15"/>
      <c r="H43" s="15">
        <v>2.488</v>
      </c>
      <c r="I43" s="15">
        <v>2.4849999999999999</v>
      </c>
      <c r="J43" s="74">
        <f t="shared" si="8"/>
        <v>3.0000000000001137E-3</v>
      </c>
      <c r="K43" s="95">
        <f t="shared" si="9"/>
        <v>7.6692476661175162</v>
      </c>
      <c r="L43" s="15" t="s">
        <v>729</v>
      </c>
      <c r="M43" s="72">
        <v>1</v>
      </c>
      <c r="N43" s="14">
        <v>40</v>
      </c>
      <c r="O43" s="13"/>
      <c r="P43" s="23"/>
      <c r="Q43" s="13"/>
      <c r="R43" s="6"/>
    </row>
    <row r="44" spans="2:18" x14ac:dyDescent="0.2">
      <c r="B44" s="13" t="s">
        <v>504</v>
      </c>
      <c r="C44" s="13"/>
      <c r="D44" s="70">
        <v>22</v>
      </c>
      <c r="E44" s="70">
        <v>0.5</v>
      </c>
      <c r="F44" s="71">
        <v>280</v>
      </c>
      <c r="G44" s="15"/>
      <c r="H44" s="15">
        <v>2.3479999999999999</v>
      </c>
      <c r="I44" s="15">
        <v>2.3460000000000001</v>
      </c>
      <c r="J44" s="74">
        <f t="shared" si="8"/>
        <v>1.9999999999997797E-3</v>
      </c>
      <c r="K44" s="95">
        <f t="shared" si="9"/>
        <v>7.5637927878455073</v>
      </c>
      <c r="L44" s="15" t="s">
        <v>729</v>
      </c>
      <c r="M44" s="72">
        <v>1</v>
      </c>
      <c r="N44" s="14">
        <v>40</v>
      </c>
      <c r="O44" s="13"/>
      <c r="P44" s="86"/>
      <c r="Q44" s="13"/>
      <c r="R44" s="6"/>
    </row>
    <row r="45" spans="2:18" x14ac:dyDescent="0.2">
      <c r="B45" s="13"/>
      <c r="C45" s="13"/>
      <c r="D45" s="70">
        <v>22.4</v>
      </c>
      <c r="E45" s="70">
        <v>0.2</v>
      </c>
      <c r="F45" s="71">
        <v>282</v>
      </c>
      <c r="G45" s="15"/>
      <c r="H45" s="15">
        <v>2.4630000000000001</v>
      </c>
      <c r="I45" s="15">
        <v>2.4630000000000001</v>
      </c>
      <c r="J45" s="74">
        <f t="shared" si="8"/>
        <v>0</v>
      </c>
      <c r="K45" s="95">
        <f t="shared" si="9"/>
        <v>7.6281438769906647</v>
      </c>
      <c r="L45" s="15" t="s">
        <v>729</v>
      </c>
      <c r="M45" s="72">
        <v>1</v>
      </c>
      <c r="N45" s="14">
        <v>40</v>
      </c>
      <c r="O45" s="13"/>
      <c r="P45" s="86"/>
      <c r="Q45" s="13"/>
      <c r="R45" s="6"/>
    </row>
    <row r="46" spans="2:18" x14ac:dyDescent="0.2">
      <c r="B46" s="13"/>
      <c r="C46" s="13"/>
      <c r="D46" s="70">
        <v>24.2</v>
      </c>
      <c r="E46" s="70">
        <v>0.2</v>
      </c>
      <c r="F46" s="71">
        <v>283</v>
      </c>
      <c r="G46" s="15"/>
      <c r="H46" s="15">
        <v>2.2639999999999998</v>
      </c>
      <c r="I46" s="15">
        <v>2.2650000000000001</v>
      </c>
      <c r="J46" s="74">
        <f t="shared" si="8"/>
        <v>-1.000000000000334E-3</v>
      </c>
      <c r="K46" s="95">
        <f t="shared" si="9"/>
        <v>7.7018167673439493</v>
      </c>
      <c r="L46" s="15" t="s">
        <v>729</v>
      </c>
      <c r="M46" s="72">
        <v>1</v>
      </c>
      <c r="N46" s="14">
        <v>40</v>
      </c>
      <c r="O46" s="13"/>
      <c r="P46" s="86"/>
      <c r="Q46" s="13"/>
      <c r="R46" s="6"/>
    </row>
    <row r="47" spans="2:18" x14ac:dyDescent="0.2">
      <c r="B47" s="13" t="s">
        <v>1009</v>
      </c>
      <c r="C47" s="13"/>
      <c r="D47" s="70"/>
      <c r="E47" s="70"/>
      <c r="F47" s="71"/>
      <c r="G47" s="15"/>
      <c r="H47" s="15"/>
      <c r="I47" s="15"/>
      <c r="J47" s="74">
        <f t="shared" si="8"/>
        <v>0</v>
      </c>
      <c r="K47" s="95">
        <f t="shared" si="9"/>
        <v>0</v>
      </c>
      <c r="L47" s="15" t="s">
        <v>729</v>
      </c>
      <c r="M47" s="72">
        <v>1</v>
      </c>
      <c r="N47" s="14">
        <v>40</v>
      </c>
      <c r="O47" s="13"/>
      <c r="P47" s="23" t="s">
        <v>1011</v>
      </c>
      <c r="Q47" s="13"/>
      <c r="R47" s="6"/>
    </row>
    <row r="48" spans="2:18" x14ac:dyDescent="0.2">
      <c r="B48" s="13" t="s">
        <v>1010</v>
      </c>
      <c r="C48" s="13"/>
      <c r="D48" s="70"/>
      <c r="E48" s="70"/>
      <c r="F48" s="71"/>
      <c r="G48" s="15"/>
      <c r="H48" s="15"/>
      <c r="I48" s="15"/>
      <c r="J48" s="74">
        <f t="shared" si="8"/>
        <v>0</v>
      </c>
      <c r="K48" s="95">
        <f t="shared" si="9"/>
        <v>0</v>
      </c>
      <c r="L48" s="15" t="s">
        <v>729</v>
      </c>
      <c r="M48" s="72">
        <v>1</v>
      </c>
      <c r="N48" s="14">
        <v>40</v>
      </c>
      <c r="O48" s="13"/>
      <c r="P48" s="23" t="s">
        <v>1011</v>
      </c>
      <c r="Q48" s="13"/>
      <c r="R48" s="6"/>
    </row>
    <row r="49" spans="2:18" x14ac:dyDescent="0.2">
      <c r="B49" s="13"/>
      <c r="C49" s="13"/>
      <c r="D49" s="70"/>
      <c r="E49" s="70"/>
      <c r="F49" s="71"/>
      <c r="G49" s="15"/>
      <c r="H49" s="15"/>
      <c r="I49" s="15"/>
      <c r="J49" s="74">
        <f t="shared" si="8"/>
        <v>0</v>
      </c>
      <c r="K49" s="95" t="e">
        <f t="shared" si="9"/>
        <v>#DIV/0!</v>
      </c>
      <c r="L49" s="15"/>
      <c r="M49" s="72"/>
      <c r="N49" s="14"/>
      <c r="O49" s="13"/>
      <c r="P49" s="23"/>
      <c r="Q49" s="13"/>
      <c r="R49" s="6"/>
    </row>
    <row r="50" spans="2:18" x14ac:dyDescent="0.2">
      <c r="B50" s="13"/>
      <c r="C50" s="13"/>
      <c r="D50" s="70"/>
      <c r="E50" s="70"/>
      <c r="F50" s="71"/>
      <c r="G50" s="15"/>
      <c r="H50" s="15"/>
      <c r="I50" s="15"/>
      <c r="J50" s="74">
        <f t="shared" si="2"/>
        <v>0</v>
      </c>
      <c r="K50" s="95" t="e">
        <f t="shared" si="3"/>
        <v>#DIV/0!</v>
      </c>
      <c r="L50" s="15"/>
      <c r="M50" s="72"/>
      <c r="N50" s="14"/>
      <c r="O50" s="13"/>
      <c r="P50" s="23"/>
      <c r="Q50" s="13"/>
      <c r="R50" s="6"/>
    </row>
    <row r="51" spans="2:18" x14ac:dyDescent="0.2">
      <c r="B51" s="13"/>
      <c r="C51" s="13"/>
      <c r="D51" s="70"/>
      <c r="E51" s="70"/>
      <c r="F51" s="71"/>
      <c r="G51" s="15"/>
      <c r="H51" s="15"/>
      <c r="I51" s="15"/>
      <c r="J51" s="74">
        <f t="shared" si="2"/>
        <v>0</v>
      </c>
      <c r="K51" s="95" t="e">
        <f t="shared" si="3"/>
        <v>#DIV/0!</v>
      </c>
      <c r="L51" s="15"/>
      <c r="M51" s="72"/>
      <c r="N51" s="14"/>
      <c r="O51" s="13"/>
      <c r="P51" s="23"/>
      <c r="Q51" s="13"/>
      <c r="R51" s="6"/>
    </row>
    <row r="52" spans="2:18" x14ac:dyDescent="0.2">
      <c r="B52" s="13"/>
      <c r="C52" s="13"/>
      <c r="D52" s="70"/>
      <c r="E52" s="70"/>
      <c r="F52" s="71"/>
      <c r="G52" s="15"/>
      <c r="H52" s="15"/>
      <c r="I52" s="15"/>
      <c r="J52" s="74">
        <f t="shared" si="2"/>
        <v>0</v>
      </c>
      <c r="K52" s="95" t="e">
        <f t="shared" si="3"/>
        <v>#DIV/0!</v>
      </c>
      <c r="L52" s="15"/>
      <c r="M52" s="72"/>
      <c r="N52" s="14"/>
      <c r="O52" s="13"/>
      <c r="P52" s="23"/>
      <c r="Q52" s="13"/>
      <c r="R52" s="6"/>
    </row>
    <row r="53" spans="2:18" x14ac:dyDescent="0.2">
      <c r="B53" s="13"/>
      <c r="C53" s="13"/>
      <c r="D53" s="70"/>
      <c r="E53" s="70"/>
      <c r="F53" s="71"/>
      <c r="G53" s="15"/>
      <c r="H53" s="15"/>
      <c r="I53" s="15"/>
      <c r="J53" s="74">
        <f t="shared" si="2"/>
        <v>0</v>
      </c>
      <c r="K53" s="95" t="e">
        <f t="shared" si="3"/>
        <v>#DIV/0!</v>
      </c>
      <c r="L53" s="15"/>
      <c r="M53" s="72"/>
      <c r="N53" s="14"/>
      <c r="O53" s="13"/>
      <c r="P53" s="23"/>
      <c r="Q53" s="6"/>
      <c r="R53" s="6"/>
    </row>
    <row r="54" spans="2:18" x14ac:dyDescent="0.2">
      <c r="B54" s="13"/>
      <c r="C54" s="13"/>
      <c r="D54" s="70"/>
      <c r="E54" s="70"/>
      <c r="F54" s="71"/>
      <c r="G54" s="15"/>
      <c r="H54" s="15"/>
      <c r="I54" s="15"/>
      <c r="J54" s="74">
        <f t="shared" ref="J54:J114" si="10">H54-I54</f>
        <v>0</v>
      </c>
      <c r="K54" s="95" t="e">
        <f t="shared" ref="K54:K114" si="11">(F54*(273.15+D54)/273.15)/(M54*N54)</f>
        <v>#DIV/0!</v>
      </c>
      <c r="L54" s="15"/>
      <c r="M54" s="72"/>
      <c r="N54" s="14"/>
      <c r="O54" s="13"/>
      <c r="P54" s="85"/>
      <c r="Q54" s="6"/>
      <c r="R54" s="6"/>
    </row>
    <row r="55" spans="2:18" x14ac:dyDescent="0.2">
      <c r="B55" s="13"/>
      <c r="C55" s="13"/>
      <c r="D55" s="70"/>
      <c r="E55" s="70"/>
      <c r="F55" s="71"/>
      <c r="G55" s="15"/>
      <c r="H55" s="15"/>
      <c r="I55" s="15"/>
      <c r="J55" s="74">
        <f t="shared" si="10"/>
        <v>0</v>
      </c>
      <c r="K55" s="95" t="e">
        <f t="shared" si="11"/>
        <v>#DIV/0!</v>
      </c>
      <c r="L55" s="15"/>
      <c r="M55" s="72"/>
      <c r="N55" s="14"/>
      <c r="O55" s="13"/>
      <c r="P55" s="85"/>
      <c r="Q55" s="6"/>
      <c r="R55" s="6"/>
    </row>
    <row r="56" spans="2:18" x14ac:dyDescent="0.2">
      <c r="B56" s="13"/>
      <c r="C56" s="13"/>
      <c r="D56" s="70"/>
      <c r="E56" s="70"/>
      <c r="F56" s="71"/>
      <c r="G56" s="15"/>
      <c r="H56" s="15"/>
      <c r="I56" s="15"/>
      <c r="J56" s="74">
        <f t="shared" si="10"/>
        <v>0</v>
      </c>
      <c r="K56" s="95" t="e">
        <f t="shared" si="11"/>
        <v>#DIV/0!</v>
      </c>
      <c r="L56" s="15"/>
      <c r="M56" s="72"/>
      <c r="N56" s="14"/>
      <c r="O56" s="13"/>
      <c r="P56" s="85"/>
      <c r="Q56" s="6"/>
      <c r="R56" s="6"/>
    </row>
    <row r="57" spans="2:18" x14ac:dyDescent="0.2">
      <c r="B57" s="13"/>
      <c r="C57" s="13"/>
      <c r="D57" s="70"/>
      <c r="E57" s="70"/>
      <c r="F57" s="71"/>
      <c r="G57" s="15"/>
      <c r="H57" s="15"/>
      <c r="I57" s="15"/>
      <c r="J57" s="74">
        <f t="shared" si="10"/>
        <v>0</v>
      </c>
      <c r="K57" s="95" t="e">
        <f t="shared" si="11"/>
        <v>#DIV/0!</v>
      </c>
      <c r="L57" s="15"/>
      <c r="M57" s="72"/>
      <c r="N57" s="14"/>
      <c r="O57" s="13"/>
      <c r="P57" s="85"/>
      <c r="Q57" s="6"/>
      <c r="R57" s="6"/>
    </row>
    <row r="58" spans="2:18" x14ac:dyDescent="0.2">
      <c r="B58" s="13"/>
      <c r="C58" s="13"/>
      <c r="D58" s="70"/>
      <c r="E58" s="70"/>
      <c r="F58" s="71"/>
      <c r="G58" s="15"/>
      <c r="H58" s="15"/>
      <c r="I58" s="15"/>
      <c r="J58" s="74">
        <f t="shared" si="10"/>
        <v>0</v>
      </c>
      <c r="K58" s="95" t="e">
        <f t="shared" si="11"/>
        <v>#DIV/0!</v>
      </c>
      <c r="L58" s="15"/>
      <c r="M58" s="72"/>
      <c r="N58" s="14"/>
      <c r="O58" s="13"/>
      <c r="P58" s="85"/>
      <c r="Q58" s="6"/>
      <c r="R58" s="6"/>
    </row>
    <row r="59" spans="2:18" x14ac:dyDescent="0.2">
      <c r="B59" s="13"/>
      <c r="C59" s="13"/>
      <c r="D59" s="70"/>
      <c r="E59" s="70"/>
      <c r="F59" s="71"/>
      <c r="G59" s="15"/>
      <c r="H59" s="15"/>
      <c r="I59" s="15"/>
      <c r="J59" s="74">
        <f t="shared" si="10"/>
        <v>0</v>
      </c>
      <c r="K59" s="95" t="e">
        <f t="shared" si="11"/>
        <v>#DIV/0!</v>
      </c>
      <c r="L59" s="15"/>
      <c r="M59" s="72"/>
      <c r="N59" s="14"/>
      <c r="O59" s="13"/>
      <c r="P59" s="85"/>
      <c r="Q59" s="6"/>
      <c r="R59" s="6"/>
    </row>
    <row r="60" spans="2:18" x14ac:dyDescent="0.2">
      <c r="B60" s="13"/>
      <c r="C60" s="13"/>
      <c r="D60" s="70"/>
      <c r="E60" s="70"/>
      <c r="F60" s="71"/>
      <c r="G60" s="15"/>
      <c r="H60" s="15"/>
      <c r="I60" s="15"/>
      <c r="J60" s="74">
        <f t="shared" si="10"/>
        <v>0</v>
      </c>
      <c r="K60" s="95" t="e">
        <f t="shared" si="11"/>
        <v>#DIV/0!</v>
      </c>
      <c r="L60" s="15"/>
      <c r="M60" s="72"/>
      <c r="N60" s="14"/>
      <c r="O60" s="13"/>
      <c r="P60" s="85"/>
      <c r="Q60" s="6"/>
      <c r="R60" s="6"/>
    </row>
    <row r="61" spans="2:18" x14ac:dyDescent="0.2">
      <c r="B61" s="13"/>
      <c r="C61" s="13"/>
      <c r="D61" s="70"/>
      <c r="E61" s="70"/>
      <c r="F61" s="71"/>
      <c r="G61" s="15"/>
      <c r="H61" s="15"/>
      <c r="I61" s="15"/>
      <c r="J61" s="74">
        <f t="shared" si="10"/>
        <v>0</v>
      </c>
      <c r="K61" s="95" t="e">
        <f t="shared" si="11"/>
        <v>#DIV/0!</v>
      </c>
      <c r="L61" s="15"/>
      <c r="M61" s="72"/>
      <c r="N61" s="14"/>
      <c r="O61" s="13"/>
      <c r="P61" s="85"/>
      <c r="Q61" s="6"/>
      <c r="R61" s="6"/>
    </row>
    <row r="62" spans="2:18" x14ac:dyDescent="0.2">
      <c r="B62" s="13"/>
      <c r="C62" s="13"/>
      <c r="D62" s="70"/>
      <c r="E62" s="70"/>
      <c r="F62" s="71"/>
      <c r="G62" s="15"/>
      <c r="H62" s="15"/>
      <c r="I62" s="15"/>
      <c r="J62" s="74">
        <f t="shared" si="10"/>
        <v>0</v>
      </c>
      <c r="K62" s="95" t="e">
        <f t="shared" si="11"/>
        <v>#DIV/0!</v>
      </c>
      <c r="L62" s="15"/>
      <c r="M62" s="72"/>
      <c r="N62" s="14"/>
      <c r="O62" s="13"/>
      <c r="P62" s="85"/>
      <c r="Q62" s="6"/>
      <c r="R62" s="6"/>
    </row>
    <row r="63" spans="2:18" x14ac:dyDescent="0.2">
      <c r="B63" s="13"/>
      <c r="C63" s="13"/>
      <c r="D63" s="70"/>
      <c r="E63" s="70"/>
      <c r="F63" s="71"/>
      <c r="G63" s="15"/>
      <c r="H63" s="15"/>
      <c r="I63" s="15"/>
      <c r="J63" s="74">
        <f t="shared" si="10"/>
        <v>0</v>
      </c>
      <c r="K63" s="95" t="e">
        <f t="shared" si="11"/>
        <v>#DIV/0!</v>
      </c>
      <c r="L63" s="15"/>
      <c r="M63" s="72"/>
      <c r="N63" s="14"/>
      <c r="O63" s="13"/>
      <c r="P63" s="85"/>
      <c r="Q63" s="6"/>
      <c r="R63" s="6"/>
    </row>
    <row r="64" spans="2:18" x14ac:dyDescent="0.2">
      <c r="B64" s="13"/>
      <c r="C64" s="13"/>
      <c r="D64" s="70"/>
      <c r="E64" s="70"/>
      <c r="F64" s="71"/>
      <c r="G64" s="15"/>
      <c r="H64" s="15"/>
      <c r="I64" s="15"/>
      <c r="J64" s="74">
        <f t="shared" si="10"/>
        <v>0</v>
      </c>
      <c r="K64" s="95" t="e">
        <f t="shared" si="11"/>
        <v>#DIV/0!</v>
      </c>
      <c r="L64" s="15"/>
      <c r="M64" s="72"/>
      <c r="N64" s="14"/>
      <c r="O64" s="13"/>
      <c r="P64" s="85"/>
      <c r="Q64" s="6"/>
      <c r="R64" s="6"/>
    </row>
    <row r="65" spans="2:18" x14ac:dyDescent="0.2">
      <c r="B65" s="13"/>
      <c r="C65" s="13"/>
      <c r="D65" s="70"/>
      <c r="E65" s="70"/>
      <c r="F65" s="71"/>
      <c r="G65" s="15"/>
      <c r="H65" s="15"/>
      <c r="I65" s="15"/>
      <c r="J65" s="74">
        <f t="shared" si="10"/>
        <v>0</v>
      </c>
      <c r="K65" s="95" t="e">
        <f t="shared" si="11"/>
        <v>#DIV/0!</v>
      </c>
      <c r="L65" s="15"/>
      <c r="M65" s="72"/>
      <c r="N65" s="14"/>
      <c r="O65" s="13"/>
      <c r="P65" s="85"/>
      <c r="Q65" s="6"/>
      <c r="R65" s="6"/>
    </row>
    <row r="66" spans="2:18" x14ac:dyDescent="0.2">
      <c r="B66" s="13"/>
      <c r="C66" s="13"/>
      <c r="D66" s="70"/>
      <c r="E66" s="70"/>
      <c r="F66" s="71"/>
      <c r="G66" s="15"/>
      <c r="H66" s="15"/>
      <c r="I66" s="15"/>
      <c r="J66" s="74">
        <f t="shared" si="10"/>
        <v>0</v>
      </c>
      <c r="K66" s="95" t="e">
        <f t="shared" si="11"/>
        <v>#DIV/0!</v>
      </c>
      <c r="L66" s="15"/>
      <c r="M66" s="72"/>
      <c r="N66" s="14"/>
      <c r="O66" s="13"/>
      <c r="P66" s="85"/>
      <c r="Q66" s="6"/>
      <c r="R66" s="6"/>
    </row>
    <row r="67" spans="2:18" x14ac:dyDescent="0.2">
      <c r="B67" s="13"/>
      <c r="C67" s="13"/>
      <c r="D67" s="70"/>
      <c r="E67" s="70"/>
      <c r="F67" s="71"/>
      <c r="G67" s="15"/>
      <c r="H67" s="15"/>
      <c r="I67" s="15"/>
      <c r="J67" s="74">
        <f t="shared" si="10"/>
        <v>0</v>
      </c>
      <c r="K67" s="95" t="e">
        <f t="shared" si="11"/>
        <v>#DIV/0!</v>
      </c>
      <c r="L67" s="15"/>
      <c r="M67" s="72"/>
      <c r="N67" s="14"/>
      <c r="O67" s="13"/>
      <c r="P67" s="85"/>
      <c r="Q67" s="6"/>
      <c r="R67" s="6"/>
    </row>
    <row r="68" spans="2:18" x14ac:dyDescent="0.2">
      <c r="B68" s="13"/>
      <c r="C68" s="13"/>
      <c r="D68" s="70"/>
      <c r="E68" s="70"/>
      <c r="F68" s="71"/>
      <c r="G68" s="15"/>
      <c r="H68" s="15"/>
      <c r="I68" s="15"/>
      <c r="J68" s="74">
        <f t="shared" si="10"/>
        <v>0</v>
      </c>
      <c r="K68" s="95" t="e">
        <f t="shared" si="11"/>
        <v>#DIV/0!</v>
      </c>
      <c r="L68" s="15"/>
      <c r="M68" s="72"/>
      <c r="N68" s="14"/>
      <c r="O68" s="13"/>
      <c r="P68" s="85"/>
      <c r="Q68" s="6"/>
      <c r="R68" s="6"/>
    </row>
    <row r="69" spans="2:18" x14ac:dyDescent="0.2">
      <c r="B69" s="13"/>
      <c r="C69" s="13"/>
      <c r="D69" s="70"/>
      <c r="E69" s="70"/>
      <c r="F69" s="71"/>
      <c r="G69" s="15"/>
      <c r="H69" s="15"/>
      <c r="I69" s="15"/>
      <c r="J69" s="74">
        <f t="shared" si="10"/>
        <v>0</v>
      </c>
      <c r="K69" s="95" t="e">
        <f t="shared" si="11"/>
        <v>#DIV/0!</v>
      </c>
      <c r="L69" s="15"/>
      <c r="M69" s="72"/>
      <c r="N69" s="14"/>
      <c r="O69" s="13"/>
      <c r="P69" s="85"/>
      <c r="Q69" s="6"/>
      <c r="R69" s="6"/>
    </row>
    <row r="70" spans="2:18" x14ac:dyDescent="0.2">
      <c r="B70" s="13"/>
      <c r="C70" s="13"/>
      <c r="D70" s="70"/>
      <c r="E70" s="70"/>
      <c r="F70" s="71"/>
      <c r="G70" s="15"/>
      <c r="H70" s="15"/>
      <c r="I70" s="15"/>
      <c r="J70" s="74">
        <f t="shared" si="10"/>
        <v>0</v>
      </c>
      <c r="K70" s="95" t="e">
        <f t="shared" si="11"/>
        <v>#DIV/0!</v>
      </c>
      <c r="L70" s="15"/>
      <c r="M70" s="72"/>
      <c r="N70" s="14"/>
      <c r="O70" s="13"/>
      <c r="P70" s="85"/>
      <c r="Q70" s="6"/>
      <c r="R70" s="6"/>
    </row>
    <row r="71" spans="2:18" x14ac:dyDescent="0.2">
      <c r="B71" s="13"/>
      <c r="C71" s="13"/>
      <c r="D71" s="70"/>
      <c r="E71" s="70"/>
      <c r="F71" s="71"/>
      <c r="G71" s="15"/>
      <c r="H71" s="15"/>
      <c r="I71" s="15"/>
      <c r="J71" s="74">
        <f t="shared" si="10"/>
        <v>0</v>
      </c>
      <c r="K71" s="95" t="e">
        <f t="shared" si="11"/>
        <v>#DIV/0!</v>
      </c>
      <c r="L71" s="15"/>
      <c r="M71" s="72"/>
      <c r="N71" s="14"/>
      <c r="O71" s="13"/>
      <c r="P71" s="85"/>
      <c r="Q71" s="6"/>
      <c r="R71" s="6"/>
    </row>
    <row r="72" spans="2:18" x14ac:dyDescent="0.2">
      <c r="B72" s="13"/>
      <c r="C72" s="13"/>
      <c r="D72" s="70"/>
      <c r="E72" s="70"/>
      <c r="F72" s="71"/>
      <c r="G72" s="15"/>
      <c r="H72" s="15"/>
      <c r="I72" s="15"/>
      <c r="J72" s="74">
        <f t="shared" si="10"/>
        <v>0</v>
      </c>
      <c r="K72" s="95" t="e">
        <f t="shared" si="11"/>
        <v>#DIV/0!</v>
      </c>
      <c r="L72" s="15"/>
      <c r="M72" s="72"/>
      <c r="N72" s="14"/>
      <c r="O72" s="13"/>
      <c r="P72" s="85"/>
      <c r="Q72" s="6"/>
      <c r="R72" s="6"/>
    </row>
    <row r="73" spans="2:18" x14ac:dyDescent="0.2">
      <c r="B73" s="13"/>
      <c r="C73" s="13"/>
      <c r="D73" s="70"/>
      <c r="E73" s="70"/>
      <c r="F73" s="71"/>
      <c r="G73" s="15"/>
      <c r="H73" s="15"/>
      <c r="I73" s="15"/>
      <c r="J73" s="74">
        <f t="shared" si="10"/>
        <v>0</v>
      </c>
      <c r="K73" s="95" t="e">
        <f t="shared" si="11"/>
        <v>#DIV/0!</v>
      </c>
      <c r="L73" s="15"/>
      <c r="M73" s="72"/>
      <c r="N73" s="14"/>
      <c r="O73" s="13"/>
      <c r="P73" s="85"/>
      <c r="Q73" s="6"/>
      <c r="R73" s="6"/>
    </row>
    <row r="74" spans="2:18" x14ac:dyDescent="0.2">
      <c r="B74" s="13"/>
      <c r="C74" s="13"/>
      <c r="D74" s="70"/>
      <c r="E74" s="70"/>
      <c r="F74" s="71"/>
      <c r="G74" s="15"/>
      <c r="H74" s="15"/>
      <c r="I74" s="15"/>
      <c r="J74" s="74">
        <f t="shared" si="10"/>
        <v>0</v>
      </c>
      <c r="K74" s="95" t="e">
        <f t="shared" si="11"/>
        <v>#DIV/0!</v>
      </c>
      <c r="L74" s="15"/>
      <c r="M74" s="72"/>
      <c r="N74" s="14"/>
      <c r="O74" s="13"/>
      <c r="P74" s="13"/>
      <c r="Q74" s="6"/>
      <c r="R74" s="6"/>
    </row>
    <row r="75" spans="2:18" x14ac:dyDescent="0.2">
      <c r="B75" s="13"/>
      <c r="C75" s="13"/>
      <c r="D75" s="70"/>
      <c r="E75" s="70"/>
      <c r="F75" s="71"/>
      <c r="G75" s="15"/>
      <c r="H75" s="15"/>
      <c r="I75" s="15"/>
      <c r="J75" s="74">
        <f t="shared" si="10"/>
        <v>0</v>
      </c>
      <c r="K75" s="95" t="e">
        <f t="shared" si="11"/>
        <v>#DIV/0!</v>
      </c>
      <c r="L75" s="15"/>
      <c r="M75" s="72"/>
      <c r="N75" s="14"/>
      <c r="O75" s="13"/>
      <c r="P75" s="13"/>
      <c r="Q75" s="6"/>
      <c r="R75" s="6"/>
    </row>
    <row r="76" spans="2:18" x14ac:dyDescent="0.2">
      <c r="B76" s="13"/>
      <c r="C76" s="13"/>
      <c r="D76" s="70"/>
      <c r="E76" s="70"/>
      <c r="F76" s="71"/>
      <c r="G76" s="15"/>
      <c r="H76" s="15"/>
      <c r="I76" s="15"/>
      <c r="J76" s="74">
        <f t="shared" si="10"/>
        <v>0</v>
      </c>
      <c r="K76" s="95" t="e">
        <f t="shared" si="11"/>
        <v>#DIV/0!</v>
      </c>
      <c r="L76" s="15"/>
      <c r="M76" s="72"/>
      <c r="N76" s="14"/>
      <c r="O76" s="13"/>
      <c r="P76" s="13"/>
      <c r="Q76" s="6"/>
      <c r="R76" s="6"/>
    </row>
    <row r="77" spans="2:18" x14ac:dyDescent="0.2">
      <c r="B77" s="13"/>
      <c r="C77" s="13"/>
      <c r="D77" s="70"/>
      <c r="E77" s="70"/>
      <c r="F77" s="71"/>
      <c r="G77" s="15"/>
      <c r="H77" s="15"/>
      <c r="I77" s="15"/>
      <c r="J77" s="74">
        <f t="shared" si="10"/>
        <v>0</v>
      </c>
      <c r="K77" s="95" t="e">
        <f t="shared" si="11"/>
        <v>#DIV/0!</v>
      </c>
      <c r="L77" s="15"/>
      <c r="M77" s="72"/>
      <c r="N77" s="14"/>
      <c r="O77" s="13"/>
      <c r="P77" s="85"/>
      <c r="Q77" s="6"/>
      <c r="R77" s="6"/>
    </row>
    <row r="78" spans="2:18" x14ac:dyDescent="0.2">
      <c r="B78" s="13"/>
      <c r="C78" s="13"/>
      <c r="D78" s="70"/>
      <c r="E78" s="70"/>
      <c r="F78" s="71"/>
      <c r="G78" s="15"/>
      <c r="H78" s="15"/>
      <c r="I78" s="15"/>
      <c r="J78" s="74">
        <f t="shared" si="10"/>
        <v>0</v>
      </c>
      <c r="K78" s="95" t="e">
        <f t="shared" si="11"/>
        <v>#DIV/0!</v>
      </c>
      <c r="L78" s="15"/>
      <c r="M78" s="72"/>
      <c r="N78" s="14"/>
      <c r="O78" s="13"/>
      <c r="P78" s="85"/>
      <c r="Q78" s="6"/>
      <c r="R78" s="6"/>
    </row>
    <row r="79" spans="2:18" x14ac:dyDescent="0.2">
      <c r="B79" s="13"/>
      <c r="C79" s="13"/>
      <c r="D79" s="70"/>
      <c r="E79" s="70"/>
      <c r="F79" s="71"/>
      <c r="G79" s="15"/>
      <c r="H79" s="15"/>
      <c r="I79" s="15"/>
      <c r="J79" s="74">
        <f t="shared" si="10"/>
        <v>0</v>
      </c>
      <c r="K79" s="95" t="e">
        <f t="shared" si="11"/>
        <v>#DIV/0!</v>
      </c>
      <c r="L79" s="15"/>
      <c r="M79" s="72"/>
      <c r="N79" s="14"/>
      <c r="O79" s="13"/>
      <c r="P79" s="85"/>
      <c r="Q79" s="6"/>
      <c r="R79" s="6"/>
    </row>
    <row r="80" spans="2:18" x14ac:dyDescent="0.2">
      <c r="B80" s="13"/>
      <c r="C80" s="13"/>
      <c r="D80" s="70"/>
      <c r="E80" s="70"/>
      <c r="F80" s="71"/>
      <c r="G80" s="15"/>
      <c r="H80" s="15"/>
      <c r="I80" s="15"/>
      <c r="J80" s="74">
        <f t="shared" si="10"/>
        <v>0</v>
      </c>
      <c r="K80" s="95" t="e">
        <f t="shared" si="11"/>
        <v>#DIV/0!</v>
      </c>
      <c r="L80" s="15"/>
      <c r="M80" s="72"/>
      <c r="N80" s="14"/>
      <c r="O80" s="13"/>
      <c r="P80" s="85"/>
      <c r="Q80" s="6"/>
      <c r="R80" s="6"/>
    </row>
    <row r="81" spans="2:18" x14ac:dyDescent="0.2">
      <c r="B81" s="13"/>
      <c r="C81" s="13"/>
      <c r="D81" s="70"/>
      <c r="E81" s="70"/>
      <c r="F81" s="71"/>
      <c r="G81" s="15"/>
      <c r="H81" s="15"/>
      <c r="I81" s="15"/>
      <c r="J81" s="74">
        <f t="shared" si="10"/>
        <v>0</v>
      </c>
      <c r="K81" s="95" t="e">
        <f t="shared" si="11"/>
        <v>#DIV/0!</v>
      </c>
      <c r="L81" s="15"/>
      <c r="M81" s="72"/>
      <c r="N81" s="14"/>
      <c r="O81" s="13"/>
      <c r="P81" s="13"/>
      <c r="Q81" s="6"/>
      <c r="R81" s="6"/>
    </row>
    <row r="82" spans="2:18" x14ac:dyDescent="0.2">
      <c r="B82" s="13"/>
      <c r="C82" s="13"/>
      <c r="D82" s="70"/>
      <c r="E82" s="70"/>
      <c r="F82" s="71"/>
      <c r="G82" s="15"/>
      <c r="H82" s="15"/>
      <c r="I82" s="15"/>
      <c r="J82" s="74">
        <f t="shared" si="10"/>
        <v>0</v>
      </c>
      <c r="K82" s="95" t="e">
        <f t="shared" si="11"/>
        <v>#DIV/0!</v>
      </c>
      <c r="L82" s="15"/>
      <c r="M82" s="72"/>
      <c r="N82" s="14"/>
      <c r="O82" s="13"/>
      <c r="P82" s="13"/>
      <c r="Q82" s="6"/>
      <c r="R82" s="6"/>
    </row>
    <row r="83" spans="2:18" x14ac:dyDescent="0.2">
      <c r="B83" s="13"/>
      <c r="C83" s="13"/>
      <c r="D83" s="70"/>
      <c r="E83" s="70"/>
      <c r="F83" s="71"/>
      <c r="G83" s="15"/>
      <c r="H83" s="15"/>
      <c r="I83" s="15"/>
      <c r="J83" s="74">
        <f t="shared" si="10"/>
        <v>0</v>
      </c>
      <c r="K83" s="95" t="e">
        <f t="shared" si="11"/>
        <v>#DIV/0!</v>
      </c>
      <c r="L83" s="15"/>
      <c r="M83" s="72"/>
      <c r="N83" s="14"/>
      <c r="O83" s="13"/>
      <c r="P83" s="13"/>
      <c r="Q83" s="6"/>
      <c r="R83" s="6"/>
    </row>
    <row r="84" spans="2:18" x14ac:dyDescent="0.2">
      <c r="B84" s="13"/>
      <c r="C84" s="13"/>
      <c r="D84" s="70"/>
      <c r="E84" s="70"/>
      <c r="F84" s="71"/>
      <c r="G84" s="15"/>
      <c r="H84" s="15"/>
      <c r="I84" s="15"/>
      <c r="J84" s="74">
        <f t="shared" si="10"/>
        <v>0</v>
      </c>
      <c r="K84" s="95" t="e">
        <f t="shared" si="11"/>
        <v>#DIV/0!</v>
      </c>
      <c r="L84" s="15"/>
      <c r="M84" s="72"/>
      <c r="N84" s="14"/>
      <c r="O84" s="13"/>
      <c r="P84" s="85"/>
      <c r="Q84" s="6"/>
      <c r="R84" s="6"/>
    </row>
    <row r="85" spans="2:18" x14ac:dyDescent="0.2">
      <c r="B85" s="13"/>
      <c r="C85" s="13"/>
      <c r="D85" s="70"/>
      <c r="E85" s="70"/>
      <c r="F85" s="71"/>
      <c r="G85" s="15"/>
      <c r="H85" s="15"/>
      <c r="I85" s="15"/>
      <c r="J85" s="74">
        <f t="shared" si="10"/>
        <v>0</v>
      </c>
      <c r="K85" s="95" t="e">
        <f t="shared" si="11"/>
        <v>#DIV/0!</v>
      </c>
      <c r="L85" s="15"/>
      <c r="M85" s="72"/>
      <c r="N85" s="14"/>
      <c r="O85" s="13"/>
      <c r="P85" s="85"/>
      <c r="Q85" s="6"/>
      <c r="R85" s="6"/>
    </row>
    <row r="86" spans="2:18" x14ac:dyDescent="0.2">
      <c r="B86" s="13"/>
      <c r="C86" s="13"/>
      <c r="D86" s="70"/>
      <c r="E86" s="70"/>
      <c r="F86" s="71"/>
      <c r="G86" s="15"/>
      <c r="H86" s="15"/>
      <c r="I86" s="15"/>
      <c r="J86" s="74">
        <f t="shared" si="10"/>
        <v>0</v>
      </c>
      <c r="K86" s="95" t="e">
        <f t="shared" si="11"/>
        <v>#DIV/0!</v>
      </c>
      <c r="L86" s="15"/>
      <c r="M86" s="72"/>
      <c r="N86" s="14"/>
      <c r="O86" s="13"/>
      <c r="P86" s="85"/>
      <c r="Q86" s="6"/>
      <c r="R86" s="6"/>
    </row>
    <row r="87" spans="2:18" x14ac:dyDescent="0.2">
      <c r="B87" s="13"/>
      <c r="C87" s="13"/>
      <c r="D87" s="70"/>
      <c r="E87" s="70"/>
      <c r="F87" s="71"/>
      <c r="G87" s="15"/>
      <c r="H87" s="15"/>
      <c r="I87" s="15"/>
      <c r="J87" s="74">
        <f t="shared" si="10"/>
        <v>0</v>
      </c>
      <c r="K87" s="95" t="e">
        <f t="shared" si="11"/>
        <v>#DIV/0!</v>
      </c>
      <c r="L87" s="15"/>
      <c r="M87" s="72"/>
      <c r="N87" s="14"/>
      <c r="O87" s="13"/>
      <c r="P87" s="85"/>
      <c r="Q87" s="6"/>
      <c r="R87" s="6"/>
    </row>
    <row r="88" spans="2:18" x14ac:dyDescent="0.2">
      <c r="B88" s="13"/>
      <c r="C88" s="13"/>
      <c r="D88" s="70"/>
      <c r="E88" s="70"/>
      <c r="F88" s="71"/>
      <c r="G88" s="15"/>
      <c r="H88" s="15"/>
      <c r="I88" s="15"/>
      <c r="J88" s="74">
        <f t="shared" si="10"/>
        <v>0</v>
      </c>
      <c r="K88" s="95" t="e">
        <f t="shared" si="11"/>
        <v>#DIV/0!</v>
      </c>
      <c r="L88" s="15"/>
      <c r="M88" s="72"/>
      <c r="N88" s="14"/>
      <c r="O88" s="13"/>
      <c r="P88" s="85"/>
      <c r="Q88" s="6"/>
      <c r="R88" s="6"/>
    </row>
    <row r="89" spans="2:18" x14ac:dyDescent="0.2">
      <c r="B89" s="13"/>
      <c r="C89" s="13"/>
      <c r="D89" s="70"/>
      <c r="E89" s="70"/>
      <c r="F89" s="71"/>
      <c r="G89" s="15"/>
      <c r="H89" s="15"/>
      <c r="I89" s="15"/>
      <c r="J89" s="74">
        <f t="shared" si="10"/>
        <v>0</v>
      </c>
      <c r="K89" s="95" t="e">
        <f t="shared" si="11"/>
        <v>#DIV/0!</v>
      </c>
      <c r="L89" s="15"/>
      <c r="M89" s="72"/>
      <c r="N89" s="14"/>
      <c r="O89" s="13"/>
      <c r="P89" s="85"/>
      <c r="Q89" s="6"/>
      <c r="R89" s="6"/>
    </row>
    <row r="90" spans="2:18" x14ac:dyDescent="0.2">
      <c r="B90" s="13"/>
      <c r="C90" s="13"/>
      <c r="D90" s="70"/>
      <c r="E90" s="70"/>
      <c r="F90" s="71"/>
      <c r="G90" s="15"/>
      <c r="H90" s="15"/>
      <c r="I90" s="15"/>
      <c r="J90" s="74">
        <f t="shared" si="10"/>
        <v>0</v>
      </c>
      <c r="K90" s="95" t="e">
        <f t="shared" si="11"/>
        <v>#DIV/0!</v>
      </c>
      <c r="L90" s="15"/>
      <c r="M90" s="72"/>
      <c r="N90" s="14"/>
      <c r="O90" s="13"/>
      <c r="P90" s="85"/>
      <c r="Q90" s="6"/>
      <c r="R90" s="6"/>
    </row>
    <row r="91" spans="2:18" x14ac:dyDescent="0.2">
      <c r="B91" s="13"/>
      <c r="C91" s="13"/>
      <c r="D91" s="70"/>
      <c r="E91" s="70"/>
      <c r="F91" s="71"/>
      <c r="G91" s="15"/>
      <c r="H91" s="15"/>
      <c r="I91" s="15"/>
      <c r="J91" s="74">
        <f t="shared" si="10"/>
        <v>0</v>
      </c>
      <c r="K91" s="95" t="e">
        <f t="shared" si="11"/>
        <v>#DIV/0!</v>
      </c>
      <c r="L91" s="15"/>
      <c r="M91" s="72"/>
      <c r="N91" s="14"/>
      <c r="O91" s="13"/>
      <c r="P91" s="85"/>
      <c r="Q91" s="6"/>
      <c r="R91" s="6"/>
    </row>
    <row r="92" spans="2:18" x14ac:dyDescent="0.2">
      <c r="B92" s="13"/>
      <c r="C92" s="13"/>
      <c r="D92" s="70"/>
      <c r="E92" s="70"/>
      <c r="F92" s="71"/>
      <c r="G92" s="15"/>
      <c r="H92" s="15"/>
      <c r="I92" s="15"/>
      <c r="J92" s="74">
        <f t="shared" si="10"/>
        <v>0</v>
      </c>
      <c r="K92" s="95" t="e">
        <f t="shared" si="11"/>
        <v>#DIV/0!</v>
      </c>
      <c r="L92" s="15"/>
      <c r="M92" s="72"/>
      <c r="N92" s="14"/>
      <c r="O92" s="13"/>
      <c r="P92" s="85"/>
      <c r="Q92" s="6"/>
      <c r="R92" s="6"/>
    </row>
    <row r="93" spans="2:18" x14ac:dyDescent="0.2">
      <c r="B93" s="13"/>
      <c r="C93" s="13"/>
      <c r="D93" s="70"/>
      <c r="E93" s="70"/>
      <c r="F93" s="71"/>
      <c r="G93" s="15"/>
      <c r="H93" s="15"/>
      <c r="I93" s="15"/>
      <c r="J93" s="74">
        <f t="shared" si="10"/>
        <v>0</v>
      </c>
      <c r="K93" s="95" t="e">
        <f t="shared" si="11"/>
        <v>#DIV/0!</v>
      </c>
      <c r="L93" s="15"/>
      <c r="M93" s="72"/>
      <c r="N93" s="14"/>
      <c r="O93" s="13"/>
      <c r="P93" s="85"/>
      <c r="Q93" s="6"/>
      <c r="R93" s="6"/>
    </row>
    <row r="94" spans="2:18" x14ac:dyDescent="0.2">
      <c r="B94" s="13"/>
      <c r="C94" s="13"/>
      <c r="D94" s="70"/>
      <c r="E94" s="70"/>
      <c r="F94" s="71"/>
      <c r="G94" s="15"/>
      <c r="H94" s="15"/>
      <c r="I94" s="15"/>
      <c r="J94" s="74">
        <f t="shared" si="10"/>
        <v>0</v>
      </c>
      <c r="K94" s="95" t="e">
        <f t="shared" si="11"/>
        <v>#DIV/0!</v>
      </c>
      <c r="L94" s="15"/>
      <c r="M94" s="72"/>
      <c r="N94" s="14"/>
      <c r="O94" s="13"/>
      <c r="P94" s="85"/>
      <c r="Q94" s="6"/>
      <c r="R94" s="6"/>
    </row>
    <row r="95" spans="2:18" x14ac:dyDescent="0.2">
      <c r="B95" s="13"/>
      <c r="C95" s="13"/>
      <c r="D95" s="70"/>
      <c r="E95" s="70"/>
      <c r="F95" s="71"/>
      <c r="G95" s="15"/>
      <c r="H95" s="15"/>
      <c r="I95" s="15"/>
      <c r="J95" s="74">
        <f t="shared" si="10"/>
        <v>0</v>
      </c>
      <c r="K95" s="95" t="e">
        <f t="shared" si="11"/>
        <v>#DIV/0!</v>
      </c>
      <c r="L95" s="15"/>
      <c r="M95" s="72"/>
      <c r="N95" s="14"/>
      <c r="O95" s="13"/>
      <c r="P95" s="85"/>
      <c r="Q95" s="6"/>
      <c r="R95" s="6"/>
    </row>
    <row r="96" spans="2:18" x14ac:dyDescent="0.2">
      <c r="B96" s="13"/>
      <c r="C96" s="13"/>
      <c r="D96" s="70"/>
      <c r="E96" s="70"/>
      <c r="F96" s="71"/>
      <c r="G96" s="15"/>
      <c r="H96" s="15"/>
      <c r="I96" s="15"/>
      <c r="J96" s="74">
        <f t="shared" si="10"/>
        <v>0</v>
      </c>
      <c r="K96" s="95" t="e">
        <f t="shared" si="11"/>
        <v>#DIV/0!</v>
      </c>
      <c r="L96" s="15"/>
      <c r="M96" s="72"/>
      <c r="N96" s="14"/>
      <c r="O96" s="13"/>
      <c r="P96" s="85"/>
      <c r="Q96" s="6"/>
      <c r="R96" s="6"/>
    </row>
    <row r="97" spans="2:18" x14ac:dyDescent="0.2">
      <c r="B97" s="13"/>
      <c r="C97" s="13"/>
      <c r="D97" s="70"/>
      <c r="E97" s="70"/>
      <c r="F97" s="71"/>
      <c r="G97" s="15"/>
      <c r="H97" s="15"/>
      <c r="I97" s="15"/>
      <c r="J97" s="74">
        <f t="shared" si="10"/>
        <v>0</v>
      </c>
      <c r="K97" s="95" t="e">
        <f t="shared" si="11"/>
        <v>#DIV/0!</v>
      </c>
      <c r="L97" s="15"/>
      <c r="M97" s="72"/>
      <c r="N97" s="14"/>
      <c r="O97" s="13"/>
      <c r="P97" s="85"/>
      <c r="Q97" s="6"/>
      <c r="R97" s="6"/>
    </row>
    <row r="98" spans="2:18" x14ac:dyDescent="0.2">
      <c r="B98" s="13"/>
      <c r="C98" s="13"/>
      <c r="D98" s="70"/>
      <c r="E98" s="70"/>
      <c r="F98" s="71"/>
      <c r="G98" s="15"/>
      <c r="H98" s="15"/>
      <c r="I98" s="15"/>
      <c r="J98" s="74">
        <f t="shared" si="10"/>
        <v>0</v>
      </c>
      <c r="K98" s="95" t="e">
        <f t="shared" si="11"/>
        <v>#DIV/0!</v>
      </c>
      <c r="L98" s="15"/>
      <c r="M98" s="72"/>
      <c r="N98" s="14"/>
      <c r="O98" s="13"/>
      <c r="P98" s="85"/>
      <c r="Q98" s="6"/>
      <c r="R98" s="6"/>
    </row>
    <row r="99" spans="2:18" x14ac:dyDescent="0.2">
      <c r="B99" s="13"/>
      <c r="C99" s="13"/>
      <c r="D99" s="70"/>
      <c r="E99" s="70"/>
      <c r="F99" s="71"/>
      <c r="G99" s="15"/>
      <c r="H99" s="15"/>
      <c r="I99" s="15"/>
      <c r="J99" s="74">
        <f t="shared" si="10"/>
        <v>0</v>
      </c>
      <c r="K99" s="95" t="e">
        <f t="shared" si="11"/>
        <v>#DIV/0!</v>
      </c>
      <c r="L99" s="15"/>
      <c r="M99" s="72"/>
      <c r="N99" s="14"/>
      <c r="O99" s="13"/>
      <c r="P99" s="85"/>
      <c r="Q99" s="6"/>
      <c r="R99" s="6"/>
    </row>
    <row r="100" spans="2:18" x14ac:dyDescent="0.2">
      <c r="B100" s="13"/>
      <c r="C100" s="13"/>
      <c r="D100" s="70"/>
      <c r="E100" s="70"/>
      <c r="F100" s="71"/>
      <c r="G100" s="15"/>
      <c r="H100" s="15"/>
      <c r="I100" s="15"/>
      <c r="J100" s="74">
        <f t="shared" si="10"/>
        <v>0</v>
      </c>
      <c r="K100" s="95" t="e">
        <f t="shared" si="11"/>
        <v>#DIV/0!</v>
      </c>
      <c r="L100" s="15"/>
      <c r="M100" s="72"/>
      <c r="N100" s="14"/>
      <c r="O100" s="13"/>
      <c r="P100" s="85"/>
      <c r="Q100" s="6"/>
      <c r="R100" s="6"/>
    </row>
    <row r="101" spans="2:18" x14ac:dyDescent="0.2">
      <c r="B101" s="13"/>
      <c r="C101" s="13"/>
      <c r="D101" s="70"/>
      <c r="E101" s="70"/>
      <c r="F101" s="71"/>
      <c r="G101" s="15"/>
      <c r="H101" s="15"/>
      <c r="I101" s="15"/>
      <c r="J101" s="74">
        <f t="shared" si="10"/>
        <v>0</v>
      </c>
      <c r="K101" s="95" t="e">
        <f t="shared" si="11"/>
        <v>#DIV/0!</v>
      </c>
      <c r="L101" s="15"/>
      <c r="M101" s="72"/>
      <c r="N101" s="14"/>
      <c r="O101" s="13"/>
      <c r="P101" s="85"/>
      <c r="Q101" s="6"/>
      <c r="R101" s="6"/>
    </row>
    <row r="102" spans="2:18" x14ac:dyDescent="0.2">
      <c r="B102" s="13"/>
      <c r="C102" s="13"/>
      <c r="D102" s="70"/>
      <c r="E102" s="70"/>
      <c r="F102" s="71"/>
      <c r="G102" s="15"/>
      <c r="H102" s="15"/>
      <c r="I102" s="15"/>
      <c r="J102" s="74">
        <f t="shared" si="10"/>
        <v>0</v>
      </c>
      <c r="K102" s="95" t="e">
        <f t="shared" si="11"/>
        <v>#DIV/0!</v>
      </c>
      <c r="L102" s="15"/>
      <c r="M102" s="72"/>
      <c r="N102" s="14"/>
      <c r="O102" s="13"/>
      <c r="P102" s="85"/>
      <c r="Q102" s="6"/>
      <c r="R102" s="6"/>
    </row>
    <row r="103" spans="2:18" x14ac:dyDescent="0.2">
      <c r="B103" s="13"/>
      <c r="C103" s="13"/>
      <c r="D103" s="70"/>
      <c r="E103" s="70"/>
      <c r="F103" s="71"/>
      <c r="G103" s="15"/>
      <c r="H103" s="15"/>
      <c r="I103" s="15"/>
      <c r="J103" s="74">
        <f t="shared" si="10"/>
        <v>0</v>
      </c>
      <c r="K103" s="95" t="e">
        <f t="shared" si="11"/>
        <v>#DIV/0!</v>
      </c>
      <c r="L103" s="15"/>
      <c r="M103" s="72"/>
      <c r="N103" s="14"/>
      <c r="O103" s="13"/>
      <c r="P103" s="85"/>
      <c r="Q103" s="6"/>
      <c r="R103" s="6"/>
    </row>
    <row r="104" spans="2:18" x14ac:dyDescent="0.2">
      <c r="B104" s="13"/>
      <c r="C104" s="13"/>
      <c r="D104" s="70"/>
      <c r="E104" s="70"/>
      <c r="F104" s="71"/>
      <c r="G104" s="15"/>
      <c r="H104" s="15"/>
      <c r="I104" s="15"/>
      <c r="J104" s="74">
        <f t="shared" si="10"/>
        <v>0</v>
      </c>
      <c r="K104" s="95" t="e">
        <f t="shared" si="11"/>
        <v>#DIV/0!</v>
      </c>
      <c r="L104" s="15"/>
      <c r="M104" s="72"/>
      <c r="N104" s="14"/>
      <c r="O104" s="13"/>
      <c r="P104" s="85"/>
      <c r="Q104" s="6"/>
      <c r="R104" s="6"/>
    </row>
    <row r="105" spans="2:18" x14ac:dyDescent="0.2">
      <c r="B105" s="13"/>
      <c r="C105" s="13"/>
      <c r="D105" s="70"/>
      <c r="E105" s="70"/>
      <c r="F105" s="71"/>
      <c r="G105" s="15"/>
      <c r="H105" s="15"/>
      <c r="I105" s="15"/>
      <c r="J105" s="74">
        <f t="shared" si="10"/>
        <v>0</v>
      </c>
      <c r="K105" s="95" t="e">
        <f t="shared" si="11"/>
        <v>#DIV/0!</v>
      </c>
      <c r="L105" s="15"/>
      <c r="M105" s="72"/>
      <c r="N105" s="14"/>
      <c r="O105" s="13"/>
      <c r="P105" s="85"/>
      <c r="Q105" s="6"/>
      <c r="R105" s="6"/>
    </row>
    <row r="106" spans="2:18" x14ac:dyDescent="0.2">
      <c r="B106" s="13"/>
      <c r="C106" s="13"/>
      <c r="D106" s="70"/>
      <c r="E106" s="70"/>
      <c r="F106" s="71"/>
      <c r="G106" s="15"/>
      <c r="H106" s="15"/>
      <c r="I106" s="15"/>
      <c r="J106" s="74">
        <f t="shared" si="10"/>
        <v>0</v>
      </c>
      <c r="K106" s="95" t="e">
        <f t="shared" si="11"/>
        <v>#DIV/0!</v>
      </c>
      <c r="L106" s="15"/>
      <c r="M106" s="72"/>
      <c r="N106" s="14"/>
      <c r="O106" s="13"/>
      <c r="P106" s="85"/>
      <c r="Q106" s="6"/>
      <c r="R106" s="6"/>
    </row>
    <row r="107" spans="2:18" x14ac:dyDescent="0.2">
      <c r="B107" s="13"/>
      <c r="C107" s="13"/>
      <c r="D107" s="70"/>
      <c r="E107" s="70"/>
      <c r="F107" s="71"/>
      <c r="G107" s="15"/>
      <c r="H107" s="15"/>
      <c r="I107" s="15"/>
      <c r="J107" s="74">
        <f t="shared" si="10"/>
        <v>0</v>
      </c>
      <c r="K107" s="95" t="e">
        <f t="shared" si="11"/>
        <v>#DIV/0!</v>
      </c>
      <c r="L107" s="15"/>
      <c r="M107" s="72"/>
      <c r="N107" s="14"/>
      <c r="O107" s="13"/>
      <c r="P107" s="85"/>
      <c r="Q107" s="6"/>
      <c r="R107" s="6"/>
    </row>
    <row r="108" spans="2:18" x14ac:dyDescent="0.2">
      <c r="B108" s="13"/>
      <c r="C108" s="13"/>
      <c r="D108" s="70"/>
      <c r="E108" s="70"/>
      <c r="F108" s="71"/>
      <c r="G108" s="15"/>
      <c r="H108" s="15"/>
      <c r="I108" s="15"/>
      <c r="J108" s="74">
        <f t="shared" si="10"/>
        <v>0</v>
      </c>
      <c r="K108" s="95" t="e">
        <f t="shared" si="11"/>
        <v>#DIV/0!</v>
      </c>
      <c r="L108" s="15"/>
      <c r="M108" s="72"/>
      <c r="N108" s="14"/>
      <c r="O108" s="13"/>
      <c r="P108" s="85"/>
      <c r="Q108" s="6"/>
      <c r="R108" s="6"/>
    </row>
    <row r="109" spans="2:18" x14ac:dyDescent="0.2">
      <c r="B109" s="13"/>
      <c r="C109" s="13"/>
      <c r="D109" s="70"/>
      <c r="E109" s="70"/>
      <c r="F109" s="71"/>
      <c r="G109" s="15"/>
      <c r="H109" s="15"/>
      <c r="I109" s="15"/>
      <c r="J109" s="74">
        <f t="shared" si="10"/>
        <v>0</v>
      </c>
      <c r="K109" s="95" t="e">
        <f t="shared" si="11"/>
        <v>#DIV/0!</v>
      </c>
      <c r="L109" s="15"/>
      <c r="M109" s="72"/>
      <c r="N109" s="14"/>
      <c r="O109" s="13"/>
      <c r="P109" s="85"/>
      <c r="Q109" s="6"/>
      <c r="R109" s="6"/>
    </row>
    <row r="110" spans="2:18" x14ac:dyDescent="0.2">
      <c r="B110" s="13"/>
      <c r="C110" s="13"/>
      <c r="D110" s="70"/>
      <c r="E110" s="70"/>
      <c r="F110" s="71"/>
      <c r="G110" s="15"/>
      <c r="H110" s="15"/>
      <c r="I110" s="15"/>
      <c r="J110" s="74">
        <f t="shared" si="10"/>
        <v>0</v>
      </c>
      <c r="K110" s="95" t="e">
        <f t="shared" si="11"/>
        <v>#DIV/0!</v>
      </c>
      <c r="L110" s="15"/>
      <c r="M110" s="72"/>
      <c r="N110" s="14"/>
      <c r="O110" s="13"/>
      <c r="P110" s="85"/>
      <c r="Q110" s="6"/>
      <c r="R110" s="6"/>
    </row>
    <row r="111" spans="2:18" x14ac:dyDescent="0.2">
      <c r="B111" s="13"/>
      <c r="C111" s="13"/>
      <c r="D111" s="70"/>
      <c r="E111" s="70"/>
      <c r="F111" s="71"/>
      <c r="G111" s="15"/>
      <c r="H111" s="15"/>
      <c r="I111" s="15"/>
      <c r="J111" s="74">
        <f t="shared" si="10"/>
        <v>0</v>
      </c>
      <c r="K111" s="95" t="e">
        <f t="shared" si="11"/>
        <v>#DIV/0!</v>
      </c>
      <c r="L111" s="15"/>
      <c r="M111" s="72"/>
      <c r="N111" s="14"/>
      <c r="O111" s="13"/>
      <c r="P111" s="85"/>
      <c r="Q111" s="6"/>
      <c r="R111" s="6"/>
    </row>
    <row r="112" spans="2:18" x14ac:dyDescent="0.2">
      <c r="B112" s="13"/>
      <c r="C112" s="13"/>
      <c r="D112" s="70"/>
      <c r="E112" s="70"/>
      <c r="F112" s="71"/>
      <c r="G112" s="15"/>
      <c r="H112" s="15"/>
      <c r="I112" s="15"/>
      <c r="J112" s="74">
        <f t="shared" si="10"/>
        <v>0</v>
      </c>
      <c r="K112" s="95" t="e">
        <f t="shared" si="11"/>
        <v>#DIV/0!</v>
      </c>
      <c r="L112" s="15"/>
      <c r="M112" s="72"/>
      <c r="N112" s="14"/>
      <c r="O112" s="13"/>
      <c r="P112" s="85"/>
      <c r="Q112" s="6"/>
      <c r="R112" s="6"/>
    </row>
    <row r="113" spans="2:18" x14ac:dyDescent="0.2">
      <c r="B113" s="13"/>
      <c r="C113" s="13"/>
      <c r="D113" s="70"/>
      <c r="E113" s="70"/>
      <c r="F113" s="71"/>
      <c r="G113" s="15"/>
      <c r="H113" s="15"/>
      <c r="I113" s="15"/>
      <c r="J113" s="74">
        <f t="shared" si="10"/>
        <v>0</v>
      </c>
      <c r="K113" s="95" t="e">
        <f t="shared" si="11"/>
        <v>#DIV/0!</v>
      </c>
      <c r="L113" s="15"/>
      <c r="M113" s="72"/>
      <c r="N113" s="14"/>
      <c r="O113" s="13"/>
      <c r="P113" s="85"/>
      <c r="Q113" s="6"/>
      <c r="R113" s="6"/>
    </row>
    <row r="114" spans="2:18" x14ac:dyDescent="0.2">
      <c r="B114" s="13"/>
      <c r="C114" s="13"/>
      <c r="D114" s="70"/>
      <c r="E114" s="70"/>
      <c r="F114" s="71"/>
      <c r="G114" s="15"/>
      <c r="H114" s="15"/>
      <c r="I114" s="15"/>
      <c r="J114" s="74">
        <f t="shared" si="10"/>
        <v>0</v>
      </c>
      <c r="K114" s="95" t="e">
        <f t="shared" si="11"/>
        <v>#DIV/0!</v>
      </c>
      <c r="L114" s="15"/>
      <c r="M114" s="72"/>
      <c r="N114" s="14"/>
      <c r="O114" s="13"/>
      <c r="P114" s="85"/>
      <c r="Q114" s="6"/>
      <c r="R114" s="6"/>
    </row>
    <row r="115" spans="2:18" s="9" customFormat="1" x14ac:dyDescent="0.2">
      <c r="B115" s="10"/>
      <c r="C115" s="11"/>
      <c r="D115" s="63"/>
      <c r="E115" s="11"/>
      <c r="F115" s="65"/>
      <c r="G115" s="12"/>
      <c r="H115" s="41"/>
      <c r="I115" s="30"/>
      <c r="J115" s="30"/>
      <c r="K115" s="97"/>
      <c r="L115" s="11"/>
      <c r="M115" s="11"/>
      <c r="N115" s="11"/>
      <c r="O115" s="11"/>
      <c r="P115" s="82"/>
    </row>
    <row r="116" spans="2:18" s="9" customFormat="1" x14ac:dyDescent="0.2">
      <c r="B116" s="10"/>
      <c r="C116" s="11"/>
      <c r="D116" s="63"/>
      <c r="E116" s="11"/>
      <c r="F116" s="65"/>
      <c r="G116" s="12"/>
      <c r="H116" s="41"/>
      <c r="I116" s="30"/>
      <c r="J116" s="30"/>
      <c r="K116" s="97"/>
      <c r="L116" s="11"/>
      <c r="M116" s="11"/>
      <c r="N116" s="11"/>
      <c r="O116" s="11"/>
      <c r="P116" s="82"/>
    </row>
    <row r="117" spans="2:18" s="9" customFormat="1" x14ac:dyDescent="0.2">
      <c r="B117" s="10"/>
      <c r="C117" s="11"/>
      <c r="D117" s="63"/>
      <c r="E117" s="11"/>
      <c r="F117" s="65"/>
      <c r="G117" s="12"/>
      <c r="H117" s="41"/>
      <c r="I117" s="30"/>
      <c r="J117" s="30"/>
      <c r="K117" s="97"/>
      <c r="L117" s="11"/>
      <c r="M117" s="11"/>
      <c r="N117" s="11"/>
      <c r="O117" s="11"/>
      <c r="P117" s="82"/>
    </row>
    <row r="118" spans="2:18" s="9" customFormat="1" x14ac:dyDescent="0.2">
      <c r="B118" s="10"/>
      <c r="C118" s="11"/>
      <c r="D118" s="63"/>
      <c r="E118" s="11"/>
      <c r="F118" s="65"/>
      <c r="G118" s="12"/>
      <c r="H118" s="41"/>
      <c r="I118" s="30"/>
      <c r="J118" s="30"/>
      <c r="K118" s="97"/>
      <c r="L118" s="11"/>
      <c r="M118" s="11"/>
      <c r="N118" s="11"/>
      <c r="O118" s="11"/>
      <c r="P118" s="82"/>
    </row>
    <row r="119" spans="2:18" s="9" customFormat="1" x14ac:dyDescent="0.2">
      <c r="B119" s="10"/>
      <c r="C119" s="11"/>
      <c r="D119" s="63"/>
      <c r="E119" s="11"/>
      <c r="F119" s="65"/>
      <c r="G119" s="12"/>
      <c r="H119" s="41"/>
      <c r="I119" s="30"/>
      <c r="J119" s="30"/>
      <c r="K119" s="97"/>
      <c r="L119" s="11"/>
      <c r="M119" s="11"/>
      <c r="N119" s="11"/>
      <c r="O119" s="11"/>
      <c r="P119" s="82"/>
    </row>
    <row r="120" spans="2:18" s="9" customFormat="1" x14ac:dyDescent="0.2">
      <c r="B120" s="10"/>
      <c r="C120" s="11"/>
      <c r="D120" s="63"/>
      <c r="E120" s="11"/>
      <c r="F120" s="65"/>
      <c r="G120" s="12"/>
      <c r="H120" s="41"/>
      <c r="I120" s="30"/>
      <c r="J120" s="30"/>
      <c r="K120" s="97"/>
      <c r="L120" s="11"/>
      <c r="M120" s="11"/>
      <c r="N120" s="11"/>
      <c r="O120" s="11"/>
      <c r="P120" s="82"/>
    </row>
    <row r="121" spans="2:18" s="9" customFormat="1" x14ac:dyDescent="0.2">
      <c r="B121" s="10"/>
      <c r="C121" s="11"/>
      <c r="D121" s="63"/>
      <c r="E121" s="11"/>
      <c r="F121" s="65"/>
      <c r="G121" s="12"/>
      <c r="H121" s="41"/>
      <c r="I121" s="30"/>
      <c r="J121" s="30"/>
      <c r="K121" s="97"/>
      <c r="L121" s="11"/>
      <c r="M121" s="11"/>
      <c r="N121" s="11"/>
      <c r="O121" s="11"/>
      <c r="P121" s="82"/>
    </row>
    <row r="122" spans="2:18" s="9" customFormat="1" x14ac:dyDescent="0.2">
      <c r="B122" s="10"/>
      <c r="C122" s="11"/>
      <c r="D122" s="63"/>
      <c r="E122" s="11"/>
      <c r="F122" s="65"/>
      <c r="G122" s="12"/>
      <c r="H122" s="41"/>
      <c r="I122" s="30"/>
      <c r="J122" s="30"/>
      <c r="K122" s="97"/>
      <c r="L122" s="11"/>
      <c r="M122" s="11"/>
      <c r="N122" s="11"/>
      <c r="O122" s="11"/>
      <c r="P122" s="82"/>
    </row>
    <row r="123" spans="2:18" s="9" customFormat="1" x14ac:dyDescent="0.2">
      <c r="B123" s="10"/>
      <c r="C123" s="11"/>
      <c r="D123" s="63"/>
      <c r="E123" s="11"/>
      <c r="F123" s="65"/>
      <c r="G123" s="12"/>
      <c r="H123" s="41"/>
      <c r="I123" s="30"/>
      <c r="J123" s="30"/>
      <c r="K123" s="97"/>
      <c r="L123" s="11"/>
      <c r="M123" s="11"/>
      <c r="N123" s="11"/>
      <c r="O123" s="11"/>
      <c r="P123" s="82"/>
    </row>
    <row r="124" spans="2:18" s="9" customFormat="1" x14ac:dyDescent="0.2">
      <c r="B124" s="10"/>
      <c r="C124" s="11"/>
      <c r="D124" s="63"/>
      <c r="E124" s="11"/>
      <c r="F124" s="65"/>
      <c r="G124" s="12"/>
      <c r="H124" s="41"/>
      <c r="I124" s="30"/>
      <c r="J124" s="30"/>
      <c r="K124" s="97"/>
      <c r="L124" s="11"/>
      <c r="M124" s="11"/>
      <c r="N124" s="11"/>
      <c r="O124" s="11"/>
      <c r="P124" s="82"/>
    </row>
    <row r="125" spans="2:18" s="9" customFormat="1" x14ac:dyDescent="0.2">
      <c r="B125" s="10"/>
      <c r="C125" s="11"/>
      <c r="D125" s="63"/>
      <c r="E125" s="11"/>
      <c r="F125" s="65"/>
      <c r="G125" s="12"/>
      <c r="H125" s="41"/>
      <c r="I125" s="30"/>
      <c r="J125" s="30"/>
      <c r="K125" s="97"/>
      <c r="L125" s="11"/>
      <c r="M125" s="11"/>
      <c r="N125" s="11"/>
      <c r="O125" s="11"/>
      <c r="P125" s="82"/>
    </row>
    <row r="126" spans="2:18" s="9" customFormat="1" x14ac:dyDescent="0.2">
      <c r="B126" s="10"/>
      <c r="C126" s="11"/>
      <c r="D126" s="63"/>
      <c r="E126" s="11"/>
      <c r="F126" s="65"/>
      <c r="G126" s="12"/>
      <c r="H126" s="41"/>
      <c r="I126" s="30"/>
      <c r="J126" s="30"/>
      <c r="K126" s="97"/>
      <c r="L126" s="11"/>
      <c r="M126" s="11"/>
      <c r="N126" s="11"/>
      <c r="O126" s="11"/>
      <c r="P126" s="82"/>
    </row>
    <row r="127" spans="2:18" s="9" customFormat="1" x14ac:dyDescent="0.2">
      <c r="B127" s="10"/>
      <c r="C127" s="11"/>
      <c r="D127" s="63"/>
      <c r="E127" s="11"/>
      <c r="F127" s="65"/>
      <c r="G127" s="12"/>
      <c r="H127" s="41"/>
      <c r="I127" s="30"/>
      <c r="J127" s="30"/>
      <c r="K127" s="97"/>
      <c r="L127" s="11"/>
      <c r="M127" s="11"/>
      <c r="N127" s="11"/>
      <c r="O127" s="11"/>
      <c r="P127" s="82"/>
    </row>
    <row r="128" spans="2:18" s="9" customFormat="1" x14ac:dyDescent="0.2">
      <c r="B128" s="10"/>
      <c r="C128" s="11"/>
      <c r="D128" s="63"/>
      <c r="E128" s="11"/>
      <c r="F128" s="65"/>
      <c r="G128" s="12"/>
      <c r="H128" s="41"/>
      <c r="I128" s="30"/>
      <c r="J128" s="30"/>
      <c r="K128" s="97"/>
      <c r="L128" s="11"/>
      <c r="M128" s="11"/>
      <c r="N128" s="11"/>
      <c r="O128" s="11"/>
      <c r="P128" s="82"/>
    </row>
    <row r="129" spans="2:16" s="9" customFormat="1" x14ac:dyDescent="0.2">
      <c r="B129" s="10"/>
      <c r="C129" s="11"/>
      <c r="D129" s="63"/>
      <c r="E129" s="11"/>
      <c r="F129" s="65"/>
      <c r="G129" s="12"/>
      <c r="H129" s="41"/>
      <c r="I129" s="30"/>
      <c r="J129" s="30"/>
      <c r="K129" s="97"/>
      <c r="L129" s="11"/>
      <c r="M129" s="11"/>
      <c r="N129" s="11"/>
      <c r="O129" s="11"/>
      <c r="P129" s="82"/>
    </row>
    <row r="130" spans="2:16" s="9" customFormat="1" x14ac:dyDescent="0.2">
      <c r="B130" s="10"/>
      <c r="C130" s="11"/>
      <c r="D130" s="63"/>
      <c r="E130" s="11"/>
      <c r="F130" s="65"/>
      <c r="G130" s="12"/>
      <c r="H130" s="41"/>
      <c r="I130" s="30"/>
      <c r="J130" s="30"/>
      <c r="K130" s="97"/>
      <c r="L130" s="11"/>
      <c r="M130" s="11"/>
      <c r="N130" s="11"/>
      <c r="O130" s="11"/>
      <c r="P130" s="82"/>
    </row>
    <row r="131" spans="2:16" s="9" customFormat="1" x14ac:dyDescent="0.2">
      <c r="B131" s="10"/>
      <c r="C131" s="11"/>
      <c r="D131" s="63"/>
      <c r="E131" s="11"/>
      <c r="F131" s="65"/>
      <c r="G131" s="12"/>
      <c r="H131" s="41"/>
      <c r="I131" s="30"/>
      <c r="J131" s="30"/>
      <c r="K131" s="97"/>
      <c r="L131" s="11"/>
      <c r="M131" s="11"/>
      <c r="N131" s="11"/>
      <c r="O131" s="11"/>
      <c r="P131" s="82"/>
    </row>
    <row r="132" spans="2:16" s="9" customFormat="1" x14ac:dyDescent="0.2">
      <c r="B132" s="10"/>
      <c r="C132" s="11"/>
      <c r="D132" s="63"/>
      <c r="E132" s="11"/>
      <c r="F132" s="65"/>
      <c r="G132" s="12"/>
      <c r="H132" s="41"/>
      <c r="I132" s="30"/>
      <c r="J132" s="30"/>
      <c r="K132" s="97"/>
      <c r="L132" s="11"/>
      <c r="M132" s="11"/>
      <c r="N132" s="11"/>
      <c r="O132" s="11"/>
      <c r="P132" s="82"/>
    </row>
    <row r="133" spans="2:16" s="9" customFormat="1" x14ac:dyDescent="0.2">
      <c r="B133" s="10"/>
      <c r="C133" s="11"/>
      <c r="D133" s="63"/>
      <c r="E133" s="11"/>
      <c r="F133" s="65"/>
      <c r="G133" s="12"/>
      <c r="H133" s="41"/>
      <c r="I133" s="30"/>
      <c r="J133" s="30"/>
      <c r="K133" s="97"/>
      <c r="L133" s="11"/>
      <c r="M133" s="11"/>
      <c r="N133" s="11"/>
      <c r="O133" s="11"/>
      <c r="P133" s="82"/>
    </row>
    <row r="134" spans="2:16" s="9" customFormat="1" x14ac:dyDescent="0.2">
      <c r="B134" s="10"/>
      <c r="C134" s="11"/>
      <c r="D134" s="63"/>
      <c r="E134" s="11"/>
      <c r="F134" s="65"/>
      <c r="G134" s="12"/>
      <c r="H134" s="41"/>
      <c r="I134" s="30"/>
      <c r="J134" s="30"/>
      <c r="K134" s="97"/>
      <c r="L134" s="11"/>
      <c r="M134" s="11"/>
      <c r="N134" s="11"/>
      <c r="O134" s="11"/>
      <c r="P134" s="82"/>
    </row>
    <row r="135" spans="2:16" s="9" customFormat="1" x14ac:dyDescent="0.2">
      <c r="B135" s="10"/>
      <c r="C135" s="11"/>
      <c r="D135" s="63"/>
      <c r="E135" s="11"/>
      <c r="F135" s="65"/>
      <c r="G135" s="12"/>
      <c r="H135" s="41"/>
      <c r="I135" s="30"/>
      <c r="J135" s="30"/>
      <c r="K135" s="97"/>
      <c r="L135" s="11"/>
      <c r="M135" s="11"/>
      <c r="N135" s="11"/>
      <c r="O135" s="11"/>
      <c r="P135" s="82"/>
    </row>
    <row r="136" spans="2:16" s="9" customFormat="1" x14ac:dyDescent="0.2">
      <c r="B136" s="10"/>
      <c r="C136" s="11"/>
      <c r="D136" s="63"/>
      <c r="E136" s="11"/>
      <c r="F136" s="65"/>
      <c r="G136" s="12"/>
      <c r="H136" s="41"/>
      <c r="I136" s="30"/>
      <c r="J136" s="30"/>
      <c r="K136" s="97"/>
      <c r="L136" s="11"/>
      <c r="M136" s="11"/>
      <c r="N136" s="11"/>
      <c r="O136" s="11"/>
      <c r="P136" s="82"/>
    </row>
    <row r="137" spans="2:16" s="9" customFormat="1" x14ac:dyDescent="0.2">
      <c r="B137" s="10"/>
      <c r="C137" s="11"/>
      <c r="D137" s="63"/>
      <c r="E137" s="11"/>
      <c r="F137" s="65"/>
      <c r="G137" s="12"/>
      <c r="H137" s="41"/>
      <c r="I137" s="30"/>
      <c r="J137" s="30"/>
      <c r="K137" s="97"/>
      <c r="L137" s="11"/>
      <c r="M137" s="11"/>
      <c r="N137" s="11"/>
      <c r="O137" s="11"/>
      <c r="P137" s="82"/>
    </row>
    <row r="138" spans="2:16" s="9" customFormat="1" x14ac:dyDescent="0.2">
      <c r="B138" s="10"/>
      <c r="C138" s="11"/>
      <c r="D138" s="63"/>
      <c r="E138" s="11"/>
      <c r="F138" s="65"/>
      <c r="G138" s="12"/>
      <c r="H138" s="41"/>
      <c r="I138" s="30"/>
      <c r="J138" s="30"/>
      <c r="K138" s="97"/>
      <c r="L138" s="11"/>
      <c r="M138" s="11"/>
      <c r="N138" s="11"/>
      <c r="O138" s="11"/>
      <c r="P138" s="82"/>
    </row>
    <row r="139" spans="2:16" s="9" customFormat="1" x14ac:dyDescent="0.2">
      <c r="B139" s="10"/>
      <c r="C139" s="11"/>
      <c r="D139" s="63"/>
      <c r="E139" s="11"/>
      <c r="F139" s="65"/>
      <c r="G139" s="12"/>
      <c r="H139" s="41"/>
      <c r="I139" s="30"/>
      <c r="J139" s="30"/>
      <c r="K139" s="97"/>
      <c r="L139" s="11"/>
      <c r="M139" s="11"/>
      <c r="N139" s="11"/>
      <c r="O139" s="11"/>
      <c r="P139" s="82"/>
    </row>
    <row r="140" spans="2:16" s="9" customFormat="1" x14ac:dyDescent="0.2">
      <c r="B140" s="10"/>
      <c r="C140" s="11"/>
      <c r="D140" s="63"/>
      <c r="E140" s="11"/>
      <c r="F140" s="65"/>
      <c r="G140" s="12"/>
      <c r="H140" s="41"/>
      <c r="I140" s="30"/>
      <c r="J140" s="30"/>
      <c r="K140" s="97"/>
      <c r="L140" s="11"/>
      <c r="M140" s="11"/>
      <c r="N140" s="11"/>
      <c r="O140" s="11"/>
      <c r="P140" s="82"/>
    </row>
    <row r="141" spans="2:16" s="9" customFormat="1" x14ac:dyDescent="0.2">
      <c r="B141" s="10"/>
      <c r="C141" s="11"/>
      <c r="D141" s="63"/>
      <c r="E141" s="11"/>
      <c r="F141" s="65"/>
      <c r="G141" s="12"/>
      <c r="H141" s="41"/>
      <c r="I141" s="30"/>
      <c r="J141" s="30"/>
      <c r="K141" s="97"/>
      <c r="L141" s="11"/>
      <c r="M141" s="11"/>
      <c r="N141" s="11"/>
      <c r="O141" s="11"/>
      <c r="P141" s="82"/>
    </row>
    <row r="142" spans="2:16" s="9" customFormat="1" x14ac:dyDescent="0.2">
      <c r="B142" s="10"/>
      <c r="C142" s="11"/>
      <c r="D142" s="63"/>
      <c r="E142" s="11"/>
      <c r="F142" s="65"/>
      <c r="G142" s="12"/>
      <c r="H142" s="41"/>
      <c r="I142" s="30"/>
      <c r="J142" s="30"/>
      <c r="K142" s="97"/>
      <c r="L142" s="11"/>
      <c r="M142" s="11"/>
      <c r="N142" s="11"/>
      <c r="O142" s="11"/>
      <c r="P142" s="82"/>
    </row>
    <row r="143" spans="2:16" s="9" customFormat="1" x14ac:dyDescent="0.2">
      <c r="B143" s="10"/>
      <c r="C143" s="11"/>
      <c r="D143" s="63"/>
      <c r="E143" s="11"/>
      <c r="F143" s="65"/>
      <c r="G143" s="12"/>
      <c r="H143" s="41"/>
      <c r="I143" s="30"/>
      <c r="J143" s="30"/>
      <c r="K143" s="97"/>
      <c r="L143" s="11"/>
      <c r="M143" s="11"/>
      <c r="N143" s="11"/>
      <c r="O143" s="11"/>
      <c r="P143" s="82"/>
    </row>
    <row r="144" spans="2:16" s="9" customFormat="1" x14ac:dyDescent="0.2">
      <c r="B144" s="10"/>
      <c r="C144" s="11"/>
      <c r="D144" s="63"/>
      <c r="E144" s="11"/>
      <c r="F144" s="65"/>
      <c r="G144" s="12"/>
      <c r="H144" s="41"/>
      <c r="I144" s="30"/>
      <c r="J144" s="30"/>
      <c r="K144" s="97"/>
      <c r="L144" s="11"/>
      <c r="M144" s="11"/>
      <c r="N144" s="11"/>
      <c r="O144" s="11"/>
      <c r="P144" s="82"/>
    </row>
    <row r="145" spans="2:16" s="9" customFormat="1" x14ac:dyDescent="0.2">
      <c r="B145" s="10"/>
      <c r="C145" s="11"/>
      <c r="D145" s="63"/>
      <c r="E145" s="11"/>
      <c r="F145" s="65"/>
      <c r="G145" s="12"/>
      <c r="H145" s="41"/>
      <c r="I145" s="30"/>
      <c r="J145" s="30"/>
      <c r="K145" s="97"/>
      <c r="L145" s="11"/>
      <c r="M145" s="11"/>
      <c r="N145" s="11"/>
      <c r="O145" s="11"/>
      <c r="P145" s="82"/>
    </row>
    <row r="146" spans="2:16" s="9" customFormat="1" x14ac:dyDescent="0.2">
      <c r="B146" s="10"/>
      <c r="C146" s="11"/>
      <c r="D146" s="63"/>
      <c r="E146" s="11"/>
      <c r="F146" s="65"/>
      <c r="G146" s="12"/>
      <c r="H146" s="41"/>
      <c r="I146" s="30"/>
      <c r="J146" s="30"/>
      <c r="K146" s="97"/>
      <c r="L146" s="11"/>
      <c r="M146" s="11"/>
      <c r="N146" s="11"/>
      <c r="O146" s="11"/>
      <c r="P146" s="82"/>
    </row>
    <row r="147" spans="2:16" s="9" customFormat="1" x14ac:dyDescent="0.2">
      <c r="B147" s="10"/>
      <c r="C147" s="11"/>
      <c r="D147" s="63"/>
      <c r="E147" s="11"/>
      <c r="F147" s="65"/>
      <c r="G147" s="12"/>
      <c r="H147" s="41"/>
      <c r="I147" s="30"/>
      <c r="J147" s="30"/>
      <c r="K147" s="97"/>
      <c r="L147" s="11"/>
      <c r="M147" s="11"/>
      <c r="N147" s="11"/>
      <c r="O147" s="11"/>
      <c r="P147" s="82"/>
    </row>
    <row r="148" spans="2:16" s="9" customFormat="1" x14ac:dyDescent="0.2">
      <c r="B148" s="10"/>
      <c r="C148" s="11"/>
      <c r="D148" s="63"/>
      <c r="E148" s="11"/>
      <c r="F148" s="65"/>
      <c r="G148" s="12"/>
      <c r="H148" s="41"/>
      <c r="I148" s="30"/>
      <c r="J148" s="30"/>
      <c r="K148" s="97"/>
      <c r="L148" s="11"/>
      <c r="M148" s="11"/>
      <c r="N148" s="11"/>
      <c r="O148" s="11"/>
      <c r="P148" s="82"/>
    </row>
    <row r="149" spans="2:16" s="9" customFormat="1" x14ac:dyDescent="0.2">
      <c r="B149" s="10"/>
      <c r="C149" s="11"/>
      <c r="D149" s="63"/>
      <c r="E149" s="11"/>
      <c r="F149" s="65"/>
      <c r="G149" s="12"/>
      <c r="H149" s="41"/>
      <c r="I149" s="30"/>
      <c r="J149" s="30"/>
      <c r="K149" s="97"/>
      <c r="L149" s="11"/>
      <c r="M149" s="11"/>
      <c r="N149" s="11"/>
      <c r="O149" s="11"/>
      <c r="P149" s="82"/>
    </row>
    <row r="150" spans="2:16" s="9" customFormat="1" x14ac:dyDescent="0.2">
      <c r="B150" s="10"/>
      <c r="C150" s="11"/>
      <c r="D150" s="63"/>
      <c r="E150" s="11"/>
      <c r="F150" s="65"/>
      <c r="G150" s="12"/>
      <c r="H150" s="41"/>
      <c r="I150" s="30"/>
      <c r="J150" s="30"/>
      <c r="K150" s="97"/>
      <c r="L150" s="11"/>
      <c r="M150" s="11"/>
      <c r="N150" s="11"/>
      <c r="O150" s="11"/>
      <c r="P150" s="82"/>
    </row>
    <row r="151" spans="2:16" s="9" customFormat="1" x14ac:dyDescent="0.2">
      <c r="B151" s="10"/>
      <c r="C151" s="11"/>
      <c r="D151" s="63"/>
      <c r="E151" s="11"/>
      <c r="F151" s="65"/>
      <c r="G151" s="12"/>
      <c r="H151" s="41"/>
      <c r="I151" s="30"/>
      <c r="J151" s="30"/>
      <c r="K151" s="97"/>
      <c r="L151" s="11"/>
      <c r="M151" s="11"/>
      <c r="N151" s="11"/>
      <c r="O151" s="11"/>
      <c r="P151" s="82"/>
    </row>
    <row r="152" spans="2:16" s="9" customFormat="1" x14ac:dyDescent="0.2">
      <c r="B152" s="10"/>
      <c r="C152" s="11"/>
      <c r="D152" s="63"/>
      <c r="E152" s="11"/>
      <c r="F152" s="65"/>
      <c r="G152" s="12"/>
      <c r="H152" s="41"/>
      <c r="I152" s="30"/>
      <c r="J152" s="30"/>
      <c r="K152" s="97"/>
      <c r="L152" s="11"/>
      <c r="M152" s="11"/>
      <c r="N152" s="11"/>
      <c r="O152" s="11"/>
      <c r="P152" s="82"/>
    </row>
    <row r="153" spans="2:16" s="9" customFormat="1" x14ac:dyDescent="0.2">
      <c r="B153" s="10"/>
      <c r="C153" s="11"/>
      <c r="D153" s="63"/>
      <c r="E153" s="11"/>
      <c r="F153" s="65"/>
      <c r="G153" s="12"/>
      <c r="H153" s="41"/>
      <c r="I153" s="30"/>
      <c r="J153" s="30"/>
      <c r="K153" s="97"/>
      <c r="L153" s="11"/>
      <c r="M153" s="11"/>
      <c r="N153" s="11"/>
      <c r="O153" s="11"/>
      <c r="P153" s="82"/>
    </row>
    <row r="154" spans="2:16" s="9" customFormat="1" x14ac:dyDescent="0.2">
      <c r="B154" s="10"/>
      <c r="C154" s="11"/>
      <c r="D154" s="63"/>
      <c r="E154" s="11"/>
      <c r="F154" s="65"/>
      <c r="G154" s="12"/>
      <c r="H154" s="41"/>
      <c r="I154" s="30"/>
      <c r="J154" s="30"/>
      <c r="K154" s="97"/>
      <c r="L154" s="11"/>
      <c r="M154" s="11"/>
      <c r="N154" s="11"/>
      <c r="O154" s="11"/>
      <c r="P154" s="82"/>
    </row>
    <row r="155" spans="2:16" s="9" customFormat="1" x14ac:dyDescent="0.2">
      <c r="B155" s="10"/>
      <c r="C155" s="11"/>
      <c r="D155" s="63"/>
      <c r="E155" s="11"/>
      <c r="F155" s="65"/>
      <c r="G155" s="12"/>
      <c r="H155" s="41"/>
      <c r="I155" s="30"/>
      <c r="J155" s="30"/>
      <c r="K155" s="97"/>
      <c r="L155" s="11"/>
      <c r="M155" s="11"/>
      <c r="N155" s="11"/>
      <c r="O155" s="11"/>
      <c r="P155" s="82"/>
    </row>
    <row r="156" spans="2:16" s="9" customFormat="1" x14ac:dyDescent="0.2">
      <c r="B156" s="10"/>
      <c r="C156" s="11"/>
      <c r="D156" s="63"/>
      <c r="E156" s="11"/>
      <c r="F156" s="65"/>
      <c r="G156" s="12"/>
      <c r="H156" s="41"/>
      <c r="I156" s="30"/>
      <c r="J156" s="30"/>
      <c r="K156" s="97"/>
      <c r="L156" s="11"/>
      <c r="M156" s="11"/>
      <c r="N156" s="11"/>
      <c r="O156" s="11"/>
      <c r="P156" s="82"/>
    </row>
    <row r="157" spans="2:16" s="9" customFormat="1" x14ac:dyDescent="0.2">
      <c r="B157" s="10"/>
      <c r="C157" s="11"/>
      <c r="D157" s="63"/>
      <c r="E157" s="11"/>
      <c r="F157" s="65"/>
      <c r="G157" s="12"/>
      <c r="H157" s="41"/>
      <c r="I157" s="30"/>
      <c r="J157" s="30"/>
      <c r="K157" s="97"/>
      <c r="L157" s="11"/>
      <c r="M157" s="11"/>
      <c r="N157" s="11"/>
      <c r="O157" s="11"/>
      <c r="P157" s="82"/>
    </row>
    <row r="158" spans="2:16" s="9" customFormat="1" x14ac:dyDescent="0.2">
      <c r="B158" s="10"/>
      <c r="C158" s="11"/>
      <c r="D158" s="63"/>
      <c r="E158" s="11"/>
      <c r="F158" s="65"/>
      <c r="G158" s="12"/>
      <c r="H158" s="41"/>
      <c r="I158" s="30"/>
      <c r="J158" s="30"/>
      <c r="K158" s="97"/>
      <c r="L158" s="11"/>
      <c r="M158" s="11"/>
      <c r="N158" s="11"/>
      <c r="O158" s="11"/>
      <c r="P158" s="82"/>
    </row>
    <row r="159" spans="2:16" s="9" customFormat="1" x14ac:dyDescent="0.2">
      <c r="B159" s="10"/>
      <c r="C159" s="11"/>
      <c r="D159" s="63"/>
      <c r="E159" s="11"/>
      <c r="F159" s="65"/>
      <c r="G159" s="12"/>
      <c r="H159" s="41"/>
      <c r="I159" s="30"/>
      <c r="J159" s="30"/>
      <c r="K159" s="97"/>
      <c r="L159" s="11"/>
      <c r="M159" s="11"/>
      <c r="N159" s="11"/>
      <c r="O159" s="11"/>
      <c r="P159" s="82"/>
    </row>
    <row r="160" spans="2:16" s="9" customFormat="1" x14ac:dyDescent="0.2">
      <c r="B160" s="10"/>
      <c r="C160" s="11"/>
      <c r="D160" s="63"/>
      <c r="E160" s="11"/>
      <c r="F160" s="65"/>
      <c r="G160" s="12"/>
      <c r="H160" s="41"/>
      <c r="I160" s="30"/>
      <c r="J160" s="30"/>
      <c r="K160" s="97"/>
      <c r="L160" s="11"/>
      <c r="M160" s="11"/>
      <c r="N160" s="11"/>
      <c r="O160" s="11"/>
      <c r="P160" s="82"/>
    </row>
    <row r="161" spans="2:16" s="9" customFormat="1" x14ac:dyDescent="0.2">
      <c r="B161" s="10"/>
      <c r="C161" s="11"/>
      <c r="D161" s="63"/>
      <c r="E161" s="11"/>
      <c r="F161" s="65"/>
      <c r="G161" s="12"/>
      <c r="H161" s="41"/>
      <c r="I161" s="30"/>
      <c r="J161" s="30"/>
      <c r="K161" s="97"/>
      <c r="L161" s="11"/>
      <c r="M161" s="11"/>
      <c r="N161" s="11"/>
      <c r="O161" s="11"/>
      <c r="P161" s="82"/>
    </row>
    <row r="162" spans="2:16" s="9" customFormat="1" x14ac:dyDescent="0.2">
      <c r="B162" s="10"/>
      <c r="C162" s="11"/>
      <c r="D162" s="63"/>
      <c r="E162" s="11"/>
      <c r="F162" s="65"/>
      <c r="G162" s="12"/>
      <c r="H162" s="41"/>
      <c r="I162" s="30"/>
      <c r="J162" s="30"/>
      <c r="K162" s="97"/>
      <c r="L162" s="11"/>
      <c r="M162" s="11"/>
      <c r="N162" s="11"/>
      <c r="O162" s="11"/>
      <c r="P162" s="82"/>
    </row>
    <row r="163" spans="2:16" s="9" customFormat="1" x14ac:dyDescent="0.2">
      <c r="B163" s="10"/>
      <c r="C163" s="11"/>
      <c r="D163" s="63"/>
      <c r="E163" s="11"/>
      <c r="F163" s="65"/>
      <c r="G163" s="12"/>
      <c r="H163" s="41"/>
      <c r="I163" s="30"/>
      <c r="J163" s="30"/>
      <c r="K163" s="97"/>
      <c r="L163" s="11"/>
      <c r="M163" s="11"/>
      <c r="N163" s="11"/>
      <c r="O163" s="11"/>
      <c r="P163" s="82"/>
    </row>
    <row r="164" spans="2:16" s="9" customFormat="1" x14ac:dyDescent="0.2">
      <c r="B164" s="10"/>
      <c r="C164" s="11"/>
      <c r="D164" s="63"/>
      <c r="E164" s="11"/>
      <c r="F164" s="65"/>
      <c r="G164" s="12"/>
      <c r="H164" s="41"/>
      <c r="I164" s="30"/>
      <c r="J164" s="30"/>
      <c r="K164" s="97"/>
      <c r="L164" s="11"/>
      <c r="M164" s="11"/>
      <c r="N164" s="11"/>
      <c r="O164" s="11"/>
      <c r="P164" s="82"/>
    </row>
    <row r="165" spans="2:16" s="9" customFormat="1" x14ac:dyDescent="0.2">
      <c r="B165" s="10"/>
      <c r="C165" s="11"/>
      <c r="D165" s="63"/>
      <c r="E165" s="11"/>
      <c r="F165" s="65"/>
      <c r="G165" s="12"/>
      <c r="H165" s="41"/>
      <c r="I165" s="30"/>
      <c r="J165" s="30"/>
      <c r="K165" s="97"/>
      <c r="L165" s="11"/>
      <c r="M165" s="11"/>
      <c r="N165" s="11"/>
      <c r="O165" s="11"/>
      <c r="P165" s="82"/>
    </row>
    <row r="166" spans="2:16" s="9" customFormat="1" x14ac:dyDescent="0.2">
      <c r="B166" s="10"/>
      <c r="C166" s="11"/>
      <c r="D166" s="63"/>
      <c r="E166" s="11"/>
      <c r="F166" s="65"/>
      <c r="G166" s="12"/>
      <c r="H166" s="41"/>
      <c r="I166" s="30"/>
      <c r="J166" s="30"/>
      <c r="K166" s="97"/>
      <c r="L166" s="11"/>
      <c r="M166" s="11"/>
      <c r="N166" s="11"/>
      <c r="O166" s="11"/>
      <c r="P166" s="82"/>
    </row>
    <row r="167" spans="2:16" s="9" customFormat="1" x14ac:dyDescent="0.2">
      <c r="B167" s="10"/>
      <c r="C167" s="11"/>
      <c r="D167" s="63"/>
      <c r="E167" s="11"/>
      <c r="F167" s="65"/>
      <c r="G167" s="12"/>
      <c r="H167" s="41"/>
      <c r="I167" s="30"/>
      <c r="J167" s="30"/>
      <c r="K167" s="97"/>
      <c r="L167" s="11"/>
      <c r="M167" s="11"/>
      <c r="N167" s="11"/>
      <c r="O167" s="11"/>
      <c r="P167" s="82"/>
    </row>
    <row r="168" spans="2:16" s="9" customFormat="1" x14ac:dyDescent="0.2">
      <c r="B168" s="10"/>
      <c r="C168" s="11"/>
      <c r="D168" s="63"/>
      <c r="E168" s="11"/>
      <c r="F168" s="65"/>
      <c r="G168" s="12"/>
      <c r="H168" s="41"/>
      <c r="I168" s="30"/>
      <c r="J168" s="30"/>
      <c r="K168" s="97"/>
      <c r="L168" s="11"/>
      <c r="M168" s="11"/>
      <c r="N168" s="11"/>
      <c r="O168" s="11"/>
      <c r="P168" s="82"/>
    </row>
    <row r="169" spans="2:16" s="9" customFormat="1" x14ac:dyDescent="0.2">
      <c r="B169" s="10"/>
      <c r="C169" s="11"/>
      <c r="D169" s="63"/>
      <c r="E169" s="11"/>
      <c r="F169" s="65"/>
      <c r="G169" s="12"/>
      <c r="H169" s="41"/>
      <c r="I169" s="30"/>
      <c r="J169" s="30"/>
      <c r="K169" s="97"/>
      <c r="L169" s="11"/>
      <c r="M169" s="11"/>
      <c r="N169" s="11"/>
      <c r="O169" s="11"/>
      <c r="P169" s="82"/>
    </row>
    <row r="170" spans="2:16" s="9" customFormat="1" x14ac:dyDescent="0.2">
      <c r="B170" s="10"/>
      <c r="C170" s="11"/>
      <c r="D170" s="63"/>
      <c r="E170" s="11"/>
      <c r="F170" s="65"/>
      <c r="G170" s="12"/>
      <c r="H170" s="41"/>
      <c r="I170" s="30"/>
      <c r="J170" s="30"/>
      <c r="K170" s="97"/>
      <c r="L170" s="11"/>
      <c r="M170" s="11"/>
      <c r="N170" s="11"/>
      <c r="O170" s="11"/>
      <c r="P170" s="82"/>
    </row>
    <row r="171" spans="2:16" s="9" customFormat="1" x14ac:dyDescent="0.2">
      <c r="B171" s="10"/>
      <c r="C171" s="11"/>
      <c r="D171" s="63"/>
      <c r="E171" s="11"/>
      <c r="F171" s="65"/>
      <c r="G171" s="12"/>
      <c r="H171" s="41"/>
      <c r="I171" s="30"/>
      <c r="J171" s="30"/>
      <c r="K171" s="97"/>
      <c r="L171" s="11"/>
      <c r="M171" s="11"/>
      <c r="N171" s="11"/>
      <c r="O171" s="11"/>
      <c r="P171" s="82"/>
    </row>
    <row r="172" spans="2:16" s="9" customFormat="1" x14ac:dyDescent="0.2">
      <c r="B172" s="10"/>
      <c r="C172" s="11"/>
      <c r="D172" s="63"/>
      <c r="E172" s="11"/>
      <c r="F172" s="65"/>
      <c r="G172" s="12"/>
      <c r="H172" s="41"/>
      <c r="I172" s="30"/>
      <c r="J172" s="30"/>
      <c r="K172" s="97"/>
      <c r="L172" s="11"/>
      <c r="M172" s="11"/>
      <c r="N172" s="11"/>
      <c r="O172" s="11"/>
      <c r="P172" s="82"/>
    </row>
    <row r="173" spans="2:16" s="9" customFormat="1" x14ac:dyDescent="0.2">
      <c r="B173" s="10"/>
      <c r="C173" s="11"/>
      <c r="D173" s="63"/>
      <c r="E173" s="11"/>
      <c r="F173" s="65"/>
      <c r="G173" s="12"/>
      <c r="H173" s="41"/>
      <c r="I173" s="30"/>
      <c r="J173" s="30"/>
      <c r="K173" s="97"/>
      <c r="L173" s="11"/>
      <c r="M173" s="11"/>
      <c r="N173" s="11"/>
      <c r="O173" s="11"/>
      <c r="P173" s="82"/>
    </row>
    <row r="174" spans="2:16" s="9" customFormat="1" x14ac:dyDescent="0.2">
      <c r="B174" s="10"/>
      <c r="C174" s="11"/>
      <c r="D174" s="63"/>
      <c r="E174" s="11"/>
      <c r="F174" s="65"/>
      <c r="G174" s="12"/>
      <c r="H174" s="41"/>
      <c r="I174" s="30"/>
      <c r="J174" s="30"/>
      <c r="K174" s="97"/>
      <c r="L174" s="11"/>
      <c r="M174" s="11"/>
      <c r="N174" s="11"/>
      <c r="O174" s="11"/>
      <c r="P174" s="82"/>
    </row>
    <row r="175" spans="2:16" s="9" customFormat="1" x14ac:dyDescent="0.2">
      <c r="B175" s="10"/>
      <c r="C175" s="11"/>
      <c r="D175" s="63"/>
      <c r="E175" s="11"/>
      <c r="F175" s="65"/>
      <c r="G175" s="12"/>
      <c r="H175" s="41"/>
      <c r="I175" s="30"/>
      <c r="J175" s="30"/>
      <c r="K175" s="97"/>
      <c r="L175" s="11"/>
      <c r="M175" s="11"/>
      <c r="N175" s="11"/>
      <c r="O175" s="11"/>
      <c r="P175" s="82"/>
    </row>
    <row r="176" spans="2:16" s="9" customFormat="1" x14ac:dyDescent="0.2">
      <c r="B176" s="10"/>
      <c r="C176" s="11"/>
      <c r="D176" s="63"/>
      <c r="E176" s="11"/>
      <c r="F176" s="65"/>
      <c r="G176" s="12"/>
      <c r="H176" s="41"/>
      <c r="I176" s="30"/>
      <c r="J176" s="30"/>
      <c r="K176" s="97"/>
      <c r="L176" s="11"/>
      <c r="M176" s="11"/>
      <c r="N176" s="11"/>
      <c r="O176" s="11"/>
      <c r="P176" s="82"/>
    </row>
    <row r="177" spans="2:16" s="9" customFormat="1" x14ac:dyDescent="0.2">
      <c r="B177" s="10"/>
      <c r="C177" s="11"/>
      <c r="D177" s="63"/>
      <c r="E177" s="11"/>
      <c r="F177" s="65"/>
      <c r="G177" s="12"/>
      <c r="H177" s="41"/>
      <c r="I177" s="30"/>
      <c r="J177" s="30"/>
      <c r="K177" s="97"/>
      <c r="L177" s="11"/>
      <c r="M177" s="11"/>
      <c r="N177" s="11"/>
      <c r="O177" s="11"/>
      <c r="P177" s="82"/>
    </row>
    <row r="178" spans="2:16" s="9" customFormat="1" x14ac:dyDescent="0.2">
      <c r="B178" s="10"/>
      <c r="C178" s="11"/>
      <c r="D178" s="63"/>
      <c r="E178" s="11"/>
      <c r="F178" s="65"/>
      <c r="G178" s="12"/>
      <c r="H178" s="41"/>
      <c r="I178" s="30"/>
      <c r="J178" s="30"/>
      <c r="K178" s="97"/>
      <c r="L178" s="11"/>
      <c r="M178" s="11"/>
      <c r="N178" s="11"/>
      <c r="O178" s="11"/>
      <c r="P178" s="82"/>
    </row>
    <row r="179" spans="2:16" s="9" customFormat="1" x14ac:dyDescent="0.2">
      <c r="B179" s="10"/>
      <c r="C179" s="11"/>
      <c r="D179" s="63"/>
      <c r="E179" s="11"/>
      <c r="F179" s="65"/>
      <c r="G179" s="12"/>
      <c r="H179" s="41"/>
      <c r="I179" s="30"/>
      <c r="J179" s="30"/>
      <c r="K179" s="97"/>
      <c r="L179" s="11"/>
      <c r="M179" s="11"/>
      <c r="N179" s="11"/>
      <c r="O179" s="11"/>
      <c r="P179" s="82"/>
    </row>
    <row r="180" spans="2:16" s="9" customFormat="1" x14ac:dyDescent="0.2">
      <c r="B180" s="10"/>
      <c r="C180" s="11"/>
      <c r="D180" s="63"/>
      <c r="E180" s="11"/>
      <c r="F180" s="65"/>
      <c r="G180" s="12"/>
      <c r="H180" s="41"/>
      <c r="I180" s="30"/>
      <c r="J180" s="30"/>
      <c r="K180" s="97"/>
      <c r="L180" s="11"/>
      <c r="M180" s="11"/>
      <c r="N180" s="11"/>
      <c r="O180" s="11"/>
      <c r="P180" s="82"/>
    </row>
    <row r="181" spans="2:16" s="9" customFormat="1" x14ac:dyDescent="0.2">
      <c r="B181" s="10"/>
      <c r="C181" s="11"/>
      <c r="D181" s="63"/>
      <c r="E181" s="11"/>
      <c r="F181" s="65"/>
      <c r="G181" s="12"/>
      <c r="H181" s="41"/>
      <c r="I181" s="30"/>
      <c r="J181" s="30"/>
      <c r="K181" s="97"/>
      <c r="L181" s="11"/>
      <c r="M181" s="11"/>
      <c r="N181" s="11"/>
      <c r="O181" s="11"/>
      <c r="P181" s="82"/>
    </row>
    <row r="182" spans="2:16" s="9" customFormat="1" x14ac:dyDescent="0.2">
      <c r="B182" s="10"/>
      <c r="C182" s="11"/>
      <c r="D182" s="63"/>
      <c r="E182" s="11"/>
      <c r="F182" s="65"/>
      <c r="G182" s="12"/>
      <c r="H182" s="41"/>
      <c r="I182" s="30"/>
      <c r="J182" s="30"/>
      <c r="K182" s="97"/>
      <c r="L182" s="11"/>
      <c r="M182" s="11"/>
      <c r="N182" s="11"/>
      <c r="O182" s="11"/>
      <c r="P182" s="82"/>
    </row>
    <row r="183" spans="2:16" s="9" customFormat="1" x14ac:dyDescent="0.2">
      <c r="B183" s="10"/>
      <c r="C183" s="11"/>
      <c r="D183" s="63"/>
      <c r="E183" s="11"/>
      <c r="F183" s="65"/>
      <c r="G183" s="12"/>
      <c r="H183" s="41"/>
      <c r="I183" s="30"/>
      <c r="J183" s="30"/>
      <c r="K183" s="97"/>
      <c r="L183" s="11"/>
      <c r="M183" s="11"/>
      <c r="N183" s="11"/>
      <c r="O183" s="11"/>
      <c r="P183" s="82"/>
    </row>
    <row r="184" spans="2:16" s="9" customFormat="1" x14ac:dyDescent="0.2">
      <c r="B184" s="10"/>
      <c r="C184" s="11"/>
      <c r="D184" s="63"/>
      <c r="E184" s="11"/>
      <c r="F184" s="65"/>
      <c r="G184" s="12"/>
      <c r="H184" s="41"/>
      <c r="I184" s="30"/>
      <c r="J184" s="30"/>
      <c r="K184" s="97"/>
      <c r="L184" s="11"/>
      <c r="M184" s="11"/>
      <c r="N184" s="11"/>
      <c r="O184" s="11"/>
      <c r="P184" s="82"/>
    </row>
    <row r="185" spans="2:16" s="9" customFormat="1" x14ac:dyDescent="0.2">
      <c r="B185" s="10"/>
      <c r="C185" s="11"/>
      <c r="D185" s="63"/>
      <c r="E185" s="11"/>
      <c r="F185" s="65"/>
      <c r="G185" s="12"/>
      <c r="H185" s="41"/>
      <c r="I185" s="30"/>
      <c r="J185" s="30"/>
      <c r="K185" s="97"/>
      <c r="L185" s="11"/>
      <c r="M185" s="11"/>
      <c r="N185" s="11"/>
      <c r="O185" s="11"/>
      <c r="P185" s="82"/>
    </row>
    <row r="186" spans="2:16" s="9" customFormat="1" x14ac:dyDescent="0.2">
      <c r="B186" s="10"/>
      <c r="C186" s="11"/>
      <c r="D186" s="63"/>
      <c r="E186" s="11"/>
      <c r="F186" s="65"/>
      <c r="G186" s="12"/>
      <c r="H186" s="41"/>
      <c r="I186" s="30"/>
      <c r="J186" s="30"/>
      <c r="K186" s="97"/>
      <c r="L186" s="11"/>
      <c r="M186" s="11"/>
      <c r="N186" s="11"/>
      <c r="O186" s="11"/>
      <c r="P186" s="82"/>
    </row>
    <row r="187" spans="2:16" s="9" customFormat="1" x14ac:dyDescent="0.2">
      <c r="B187" s="10"/>
      <c r="C187" s="11"/>
      <c r="D187" s="63"/>
      <c r="E187" s="11"/>
      <c r="F187" s="65"/>
      <c r="G187" s="12"/>
      <c r="H187" s="41"/>
      <c r="I187" s="30"/>
      <c r="J187" s="30"/>
      <c r="K187" s="97"/>
      <c r="L187" s="11"/>
      <c r="M187" s="11"/>
      <c r="N187" s="11"/>
      <c r="O187" s="11"/>
      <c r="P187" s="82"/>
    </row>
    <row r="188" spans="2:16" s="9" customFormat="1" x14ac:dyDescent="0.2">
      <c r="B188" s="10"/>
      <c r="C188" s="11"/>
      <c r="D188" s="63"/>
      <c r="E188" s="11"/>
      <c r="F188" s="65"/>
      <c r="G188" s="12"/>
      <c r="H188" s="41"/>
      <c r="I188" s="30"/>
      <c r="J188" s="30"/>
      <c r="K188" s="97"/>
      <c r="L188" s="11"/>
      <c r="M188" s="11"/>
      <c r="N188" s="11"/>
      <c r="O188" s="11"/>
      <c r="P188" s="82"/>
    </row>
    <row r="189" spans="2:16" s="9" customFormat="1" x14ac:dyDescent="0.2">
      <c r="B189" s="10"/>
      <c r="C189" s="11"/>
      <c r="D189" s="63"/>
      <c r="E189" s="11"/>
      <c r="F189" s="65"/>
      <c r="G189" s="12"/>
      <c r="H189" s="41"/>
      <c r="I189" s="30"/>
      <c r="J189" s="30"/>
      <c r="K189" s="97"/>
      <c r="L189" s="11"/>
      <c r="M189" s="11"/>
      <c r="N189" s="11"/>
      <c r="O189" s="11"/>
      <c r="P189" s="82"/>
    </row>
    <row r="190" spans="2:16" s="9" customFormat="1" x14ac:dyDescent="0.2">
      <c r="B190" s="10"/>
      <c r="C190" s="11"/>
      <c r="D190" s="63"/>
      <c r="E190" s="11"/>
      <c r="F190" s="65"/>
      <c r="G190" s="12"/>
      <c r="H190" s="41"/>
      <c r="I190" s="30"/>
      <c r="J190" s="30"/>
      <c r="K190" s="97"/>
      <c r="L190" s="11"/>
      <c r="M190" s="11"/>
      <c r="N190" s="11"/>
      <c r="O190" s="11"/>
      <c r="P190" s="82"/>
    </row>
    <row r="191" spans="2:16" s="9" customFormat="1" x14ac:dyDescent="0.2">
      <c r="B191" s="10"/>
      <c r="C191" s="11"/>
      <c r="D191" s="63"/>
      <c r="E191" s="11"/>
      <c r="F191" s="65"/>
      <c r="G191" s="12"/>
      <c r="H191" s="41"/>
      <c r="I191" s="30"/>
      <c r="J191" s="30"/>
      <c r="K191" s="97"/>
      <c r="L191" s="11"/>
      <c r="M191" s="11"/>
      <c r="N191" s="11"/>
      <c r="O191" s="11"/>
      <c r="P191" s="82"/>
    </row>
    <row r="192" spans="2:16" s="9" customFormat="1" x14ac:dyDescent="0.2">
      <c r="B192" s="10"/>
      <c r="C192" s="11"/>
      <c r="D192" s="63"/>
      <c r="E192" s="11"/>
      <c r="F192" s="65"/>
      <c r="G192" s="12"/>
      <c r="H192" s="41"/>
      <c r="I192" s="30"/>
      <c r="J192" s="30"/>
      <c r="K192" s="97"/>
      <c r="L192" s="11"/>
      <c r="M192" s="11"/>
      <c r="N192" s="11"/>
      <c r="O192" s="11"/>
      <c r="P192" s="82"/>
    </row>
    <row r="193" spans="2:16" s="9" customFormat="1" x14ac:dyDescent="0.2">
      <c r="B193" s="10"/>
      <c r="C193" s="11"/>
      <c r="D193" s="63"/>
      <c r="E193" s="11"/>
      <c r="F193" s="65"/>
      <c r="G193" s="12"/>
      <c r="H193" s="41"/>
      <c r="I193" s="30"/>
      <c r="J193" s="30"/>
      <c r="K193" s="97"/>
      <c r="L193" s="11"/>
      <c r="M193" s="11"/>
      <c r="N193" s="11"/>
      <c r="O193" s="11"/>
      <c r="P193" s="82"/>
    </row>
    <row r="194" spans="2:16" s="9" customFormat="1" x14ac:dyDescent="0.2">
      <c r="B194" s="10"/>
      <c r="C194" s="11"/>
      <c r="D194" s="63"/>
      <c r="E194" s="11"/>
      <c r="F194" s="65"/>
      <c r="G194" s="12"/>
      <c r="H194" s="41"/>
      <c r="I194" s="30"/>
      <c r="J194" s="30"/>
      <c r="K194" s="97"/>
      <c r="L194" s="11"/>
      <c r="M194" s="11"/>
      <c r="N194" s="11"/>
      <c r="O194" s="11"/>
      <c r="P194" s="82"/>
    </row>
    <row r="195" spans="2:16" s="9" customFormat="1" x14ac:dyDescent="0.2">
      <c r="B195" s="10"/>
      <c r="C195" s="11"/>
      <c r="D195" s="63"/>
      <c r="E195" s="11"/>
      <c r="F195" s="65"/>
      <c r="G195" s="12"/>
      <c r="H195" s="41"/>
      <c r="I195" s="30"/>
      <c r="J195" s="30"/>
      <c r="K195" s="97"/>
      <c r="L195" s="11"/>
      <c r="M195" s="11"/>
      <c r="N195" s="11"/>
      <c r="O195" s="11"/>
      <c r="P195" s="82"/>
    </row>
    <row r="196" spans="2:16" s="9" customFormat="1" x14ac:dyDescent="0.2">
      <c r="B196" s="10"/>
      <c r="C196" s="11"/>
      <c r="D196" s="63"/>
      <c r="E196" s="11"/>
      <c r="F196" s="65"/>
      <c r="G196" s="12"/>
      <c r="H196" s="41"/>
      <c r="I196" s="30"/>
      <c r="J196" s="30"/>
      <c r="K196" s="97"/>
      <c r="L196" s="11"/>
      <c r="M196" s="11"/>
      <c r="N196" s="11"/>
      <c r="O196" s="11"/>
      <c r="P196" s="82"/>
    </row>
    <row r="197" spans="2:16" s="9" customFormat="1" x14ac:dyDescent="0.2">
      <c r="B197" s="10"/>
      <c r="C197" s="11"/>
      <c r="D197" s="63"/>
      <c r="E197" s="11"/>
      <c r="F197" s="65"/>
      <c r="G197" s="12"/>
      <c r="H197" s="41"/>
      <c r="I197" s="30"/>
      <c r="J197" s="30"/>
      <c r="K197" s="97"/>
      <c r="L197" s="11"/>
      <c r="M197" s="11"/>
      <c r="N197" s="11"/>
      <c r="O197" s="11"/>
      <c r="P197" s="82"/>
    </row>
    <row r="198" spans="2:16" s="9" customFormat="1" x14ac:dyDescent="0.2">
      <c r="B198" s="10"/>
      <c r="C198" s="11"/>
      <c r="D198" s="63"/>
      <c r="E198" s="11"/>
      <c r="F198" s="65"/>
      <c r="G198" s="12"/>
      <c r="H198" s="41"/>
      <c r="I198" s="30"/>
      <c r="J198" s="30"/>
      <c r="K198" s="97"/>
      <c r="L198" s="11"/>
      <c r="M198" s="11"/>
      <c r="N198" s="11"/>
      <c r="O198" s="11"/>
      <c r="P198" s="82"/>
    </row>
    <row r="199" spans="2:16" s="9" customFormat="1" x14ac:dyDescent="0.2">
      <c r="B199" s="10"/>
      <c r="C199" s="11"/>
      <c r="D199" s="63"/>
      <c r="E199" s="11"/>
      <c r="F199" s="65"/>
      <c r="G199" s="12"/>
      <c r="H199" s="41"/>
      <c r="I199" s="30"/>
      <c r="J199" s="30"/>
      <c r="K199" s="97"/>
      <c r="L199" s="11"/>
      <c r="M199" s="11"/>
      <c r="N199" s="11"/>
      <c r="O199" s="11"/>
      <c r="P199" s="82"/>
    </row>
    <row r="200" spans="2:16" s="9" customFormat="1" x14ac:dyDescent="0.2">
      <c r="B200" s="10"/>
      <c r="C200" s="11"/>
      <c r="D200" s="63"/>
      <c r="E200" s="11"/>
      <c r="F200" s="65"/>
      <c r="G200" s="12"/>
      <c r="H200" s="41"/>
      <c r="I200" s="30"/>
      <c r="J200" s="30"/>
      <c r="K200" s="97"/>
      <c r="L200" s="11"/>
      <c r="M200" s="11"/>
      <c r="N200" s="11"/>
      <c r="O200" s="11"/>
      <c r="P200" s="82"/>
    </row>
    <row r="201" spans="2:16" s="9" customFormat="1" x14ac:dyDescent="0.2">
      <c r="B201" s="10"/>
      <c r="C201" s="11"/>
      <c r="D201" s="63"/>
      <c r="E201" s="11"/>
      <c r="F201" s="65"/>
      <c r="G201" s="12"/>
      <c r="H201" s="41"/>
      <c r="I201" s="30"/>
      <c r="J201" s="30"/>
      <c r="K201" s="97"/>
      <c r="L201" s="11"/>
      <c r="M201" s="11"/>
      <c r="N201" s="11"/>
      <c r="O201" s="11"/>
      <c r="P201" s="82"/>
    </row>
    <row r="202" spans="2:16" s="9" customFormat="1" x14ac:dyDescent="0.2">
      <c r="B202" s="10"/>
      <c r="C202" s="11"/>
      <c r="D202" s="63"/>
      <c r="E202" s="11"/>
      <c r="F202" s="65"/>
      <c r="G202" s="12"/>
      <c r="H202" s="41"/>
      <c r="I202" s="30"/>
      <c r="J202" s="30"/>
      <c r="K202" s="97"/>
      <c r="L202" s="11"/>
      <c r="M202" s="11"/>
      <c r="N202" s="11"/>
      <c r="O202" s="11"/>
      <c r="P202" s="82"/>
    </row>
    <row r="203" spans="2:16" s="9" customFormat="1" x14ac:dyDescent="0.2">
      <c r="B203" s="10"/>
      <c r="C203" s="11"/>
      <c r="D203" s="63"/>
      <c r="E203" s="11"/>
      <c r="F203" s="65"/>
      <c r="G203" s="12"/>
      <c r="H203" s="41"/>
      <c r="I203" s="30"/>
      <c r="J203" s="30"/>
      <c r="K203" s="97"/>
      <c r="L203" s="11"/>
      <c r="M203" s="11"/>
      <c r="N203" s="11"/>
      <c r="O203" s="11"/>
      <c r="P203" s="82"/>
    </row>
    <row r="204" spans="2:16" s="9" customFormat="1" x14ac:dyDescent="0.2">
      <c r="B204" s="10"/>
      <c r="C204" s="11"/>
      <c r="D204" s="63"/>
      <c r="E204" s="11"/>
      <c r="F204" s="65"/>
      <c r="G204" s="12"/>
      <c r="H204" s="41"/>
      <c r="I204" s="30"/>
      <c r="J204" s="30"/>
      <c r="K204" s="97"/>
      <c r="L204" s="11"/>
      <c r="M204" s="11"/>
      <c r="N204" s="11"/>
      <c r="O204" s="11"/>
      <c r="P204" s="82"/>
    </row>
    <row r="205" spans="2:16" s="9" customFormat="1" x14ac:dyDescent="0.2">
      <c r="B205" s="10"/>
      <c r="C205" s="11"/>
      <c r="D205" s="63"/>
      <c r="E205" s="11"/>
      <c r="F205" s="65"/>
      <c r="G205" s="12"/>
      <c r="H205" s="41"/>
      <c r="I205" s="30"/>
      <c r="J205" s="30"/>
      <c r="K205" s="97"/>
      <c r="L205" s="11"/>
      <c r="M205" s="11"/>
      <c r="N205" s="11"/>
      <c r="O205" s="11"/>
      <c r="P205" s="82"/>
    </row>
    <row r="206" spans="2:16" s="9" customFormat="1" x14ac:dyDescent="0.2">
      <c r="B206" s="10"/>
      <c r="C206" s="11"/>
      <c r="D206" s="63"/>
      <c r="E206" s="11"/>
      <c r="F206" s="65"/>
      <c r="G206" s="12"/>
      <c r="H206" s="41"/>
      <c r="I206" s="30"/>
      <c r="J206" s="30"/>
      <c r="K206" s="97"/>
      <c r="L206" s="11"/>
      <c r="M206" s="11"/>
      <c r="N206" s="11"/>
      <c r="O206" s="11"/>
      <c r="P206" s="82"/>
    </row>
    <row r="207" spans="2:16" s="9" customFormat="1" x14ac:dyDescent="0.2">
      <c r="B207" s="10"/>
      <c r="C207" s="11"/>
      <c r="D207" s="63"/>
      <c r="E207" s="11"/>
      <c r="F207" s="65"/>
      <c r="G207" s="12"/>
      <c r="H207" s="41"/>
      <c r="I207" s="30"/>
      <c r="J207" s="30"/>
      <c r="K207" s="97"/>
      <c r="L207" s="11"/>
      <c r="M207" s="11"/>
      <c r="N207" s="11"/>
      <c r="O207" s="11"/>
      <c r="P207" s="82"/>
    </row>
    <row r="208" spans="2:16" s="9" customFormat="1" x14ac:dyDescent="0.2">
      <c r="B208" s="10"/>
      <c r="C208" s="11"/>
      <c r="D208" s="63"/>
      <c r="E208" s="11"/>
      <c r="F208" s="65"/>
      <c r="G208" s="12"/>
      <c r="H208" s="41"/>
      <c r="I208" s="30"/>
      <c r="J208" s="30"/>
      <c r="K208" s="97"/>
      <c r="L208" s="11"/>
      <c r="M208" s="11"/>
      <c r="N208" s="11"/>
      <c r="O208" s="11"/>
      <c r="P208" s="82"/>
    </row>
    <row r="209" spans="2:16" s="9" customFormat="1" x14ac:dyDescent="0.2">
      <c r="B209" s="10"/>
      <c r="C209" s="11"/>
      <c r="D209" s="63"/>
      <c r="E209" s="11"/>
      <c r="F209" s="65"/>
      <c r="G209" s="12"/>
      <c r="H209" s="41"/>
      <c r="I209" s="30"/>
      <c r="J209" s="30"/>
      <c r="K209" s="97"/>
      <c r="L209" s="11"/>
      <c r="M209" s="11"/>
      <c r="N209" s="11"/>
      <c r="O209" s="11"/>
      <c r="P209" s="82"/>
    </row>
    <row r="210" spans="2:16" s="9" customFormat="1" x14ac:dyDescent="0.2">
      <c r="B210" s="10"/>
      <c r="C210" s="11"/>
      <c r="D210" s="63"/>
      <c r="E210" s="11"/>
      <c r="F210" s="65"/>
      <c r="G210" s="12"/>
      <c r="H210" s="41"/>
      <c r="I210" s="30"/>
      <c r="J210" s="30"/>
      <c r="K210" s="97"/>
      <c r="L210" s="11"/>
      <c r="M210" s="11"/>
      <c r="N210" s="11"/>
      <c r="O210" s="11"/>
      <c r="P210" s="82"/>
    </row>
    <row r="211" spans="2:16" s="9" customFormat="1" x14ac:dyDescent="0.2">
      <c r="B211" s="10"/>
      <c r="C211" s="11"/>
      <c r="D211" s="63"/>
      <c r="E211" s="11"/>
      <c r="F211" s="65"/>
      <c r="G211" s="12"/>
      <c r="H211" s="41"/>
      <c r="I211" s="30"/>
      <c r="J211" s="30"/>
      <c r="K211" s="97"/>
      <c r="L211" s="11"/>
      <c r="M211" s="11"/>
      <c r="N211" s="11"/>
      <c r="O211" s="11"/>
      <c r="P211" s="82"/>
    </row>
    <row r="212" spans="2:16" s="9" customFormat="1" x14ac:dyDescent="0.2">
      <c r="B212" s="10"/>
      <c r="C212" s="11"/>
      <c r="D212" s="63"/>
      <c r="E212" s="11"/>
      <c r="F212" s="65"/>
      <c r="G212" s="12"/>
      <c r="H212" s="41"/>
      <c r="I212" s="30"/>
      <c r="J212" s="30"/>
      <c r="K212" s="97"/>
      <c r="L212" s="11"/>
      <c r="M212" s="11"/>
      <c r="N212" s="11"/>
      <c r="O212" s="11"/>
      <c r="P212" s="82"/>
    </row>
    <row r="213" spans="2:16" s="9" customFormat="1" x14ac:dyDescent="0.2">
      <c r="B213" s="10"/>
      <c r="C213" s="11"/>
      <c r="D213" s="63"/>
      <c r="E213" s="11"/>
      <c r="F213" s="65"/>
      <c r="G213" s="12"/>
      <c r="H213" s="41"/>
      <c r="I213" s="30"/>
      <c r="J213" s="30"/>
      <c r="K213" s="97"/>
      <c r="L213" s="11"/>
      <c r="M213" s="11"/>
      <c r="N213" s="11"/>
      <c r="O213" s="11"/>
      <c r="P213" s="82"/>
    </row>
    <row r="214" spans="2:16" s="9" customFormat="1" x14ac:dyDescent="0.2">
      <c r="B214" s="10"/>
      <c r="C214" s="11"/>
      <c r="D214" s="63"/>
      <c r="E214" s="11"/>
      <c r="F214" s="65"/>
      <c r="G214" s="12"/>
      <c r="H214" s="41"/>
      <c r="I214" s="30"/>
      <c r="J214" s="30"/>
      <c r="K214" s="97"/>
      <c r="L214" s="11"/>
      <c r="M214" s="11"/>
      <c r="N214" s="11"/>
      <c r="O214" s="11"/>
      <c r="P214" s="82"/>
    </row>
    <row r="215" spans="2:16" s="9" customFormat="1" x14ac:dyDescent="0.2">
      <c r="B215" s="10"/>
      <c r="C215" s="11"/>
      <c r="D215" s="63"/>
      <c r="E215" s="11"/>
      <c r="F215" s="65"/>
      <c r="G215" s="12"/>
      <c r="H215" s="41"/>
      <c r="I215" s="30"/>
      <c r="J215" s="30"/>
      <c r="K215" s="97"/>
      <c r="L215" s="11"/>
      <c r="M215" s="11"/>
      <c r="N215" s="11"/>
      <c r="O215" s="11"/>
      <c r="P215" s="82"/>
    </row>
    <row r="216" spans="2:16" s="9" customFormat="1" x14ac:dyDescent="0.2">
      <c r="B216" s="10"/>
      <c r="C216" s="11"/>
      <c r="D216" s="63"/>
      <c r="E216" s="11"/>
      <c r="F216" s="65"/>
      <c r="G216" s="12"/>
      <c r="H216" s="41"/>
      <c r="I216" s="30"/>
      <c r="J216" s="30"/>
      <c r="K216" s="97"/>
      <c r="L216" s="11"/>
      <c r="M216" s="11"/>
      <c r="N216" s="11"/>
      <c r="O216" s="11"/>
      <c r="P216" s="82"/>
    </row>
    <row r="217" spans="2:16" s="9" customFormat="1" x14ac:dyDescent="0.2">
      <c r="B217" s="10"/>
      <c r="C217" s="11"/>
      <c r="D217" s="63"/>
      <c r="E217" s="11"/>
      <c r="F217" s="65"/>
      <c r="G217" s="12"/>
      <c r="H217" s="41"/>
      <c r="I217" s="30"/>
      <c r="J217" s="30"/>
      <c r="K217" s="97"/>
      <c r="L217" s="11"/>
      <c r="M217" s="11"/>
      <c r="N217" s="11"/>
      <c r="O217" s="11"/>
      <c r="P217" s="82"/>
    </row>
    <row r="218" spans="2:16" s="9" customFormat="1" x14ac:dyDescent="0.2">
      <c r="B218" s="10"/>
      <c r="C218" s="11"/>
      <c r="D218" s="63"/>
      <c r="E218" s="11"/>
      <c r="F218" s="65"/>
      <c r="G218" s="12"/>
      <c r="H218" s="41"/>
      <c r="I218" s="30"/>
      <c r="J218" s="30"/>
      <c r="K218" s="97"/>
      <c r="L218" s="11"/>
      <c r="M218" s="11"/>
      <c r="N218" s="11"/>
      <c r="O218" s="11"/>
      <c r="P218" s="82"/>
    </row>
    <row r="219" spans="2:16" s="9" customFormat="1" x14ac:dyDescent="0.2">
      <c r="B219" s="10"/>
      <c r="C219" s="11"/>
      <c r="D219" s="63"/>
      <c r="E219" s="11"/>
      <c r="F219" s="65"/>
      <c r="G219" s="12"/>
      <c r="H219" s="41"/>
      <c r="I219" s="30"/>
      <c r="J219" s="30"/>
      <c r="K219" s="97"/>
      <c r="L219" s="11"/>
      <c r="M219" s="11"/>
      <c r="N219" s="11"/>
      <c r="O219" s="11"/>
      <c r="P219" s="82"/>
    </row>
    <row r="220" spans="2:16" s="9" customFormat="1" x14ac:dyDescent="0.2">
      <c r="B220" s="10"/>
      <c r="C220" s="11"/>
      <c r="D220" s="63"/>
      <c r="E220" s="11"/>
      <c r="F220" s="65"/>
      <c r="G220" s="12"/>
      <c r="H220" s="41"/>
      <c r="I220" s="30"/>
      <c r="J220" s="30"/>
      <c r="K220" s="97"/>
      <c r="L220" s="11"/>
      <c r="M220" s="11"/>
      <c r="N220" s="11"/>
      <c r="O220" s="11"/>
      <c r="P220" s="82"/>
    </row>
    <row r="221" spans="2:16" s="9" customFormat="1" x14ac:dyDescent="0.2">
      <c r="B221" s="10"/>
      <c r="C221" s="11"/>
      <c r="D221" s="63"/>
      <c r="E221" s="11"/>
      <c r="F221" s="65"/>
      <c r="G221" s="12"/>
      <c r="H221" s="41"/>
      <c r="I221" s="30"/>
      <c r="J221" s="30"/>
      <c r="K221" s="97"/>
      <c r="L221" s="11"/>
      <c r="M221" s="11"/>
      <c r="N221" s="11"/>
      <c r="O221" s="11"/>
      <c r="P221" s="82"/>
    </row>
    <row r="222" spans="2:16" s="9" customFormat="1" x14ac:dyDescent="0.2">
      <c r="B222" s="10"/>
      <c r="C222" s="11"/>
      <c r="D222" s="63"/>
      <c r="E222" s="11"/>
      <c r="F222" s="65"/>
      <c r="G222" s="12"/>
      <c r="H222" s="41"/>
      <c r="I222" s="30"/>
      <c r="J222" s="30"/>
      <c r="K222" s="97"/>
      <c r="L222" s="11"/>
      <c r="M222" s="11"/>
      <c r="N222" s="11"/>
      <c r="O222" s="11"/>
      <c r="P222" s="82"/>
    </row>
    <row r="223" spans="2:16" s="9" customFormat="1" x14ac:dyDescent="0.2">
      <c r="B223" s="10"/>
      <c r="C223" s="11"/>
      <c r="D223" s="63"/>
      <c r="E223" s="11"/>
      <c r="F223" s="65"/>
      <c r="G223" s="12"/>
      <c r="H223" s="41"/>
      <c r="I223" s="30"/>
      <c r="J223" s="30"/>
      <c r="K223" s="97"/>
      <c r="L223" s="11"/>
      <c r="M223" s="11"/>
      <c r="N223" s="11"/>
      <c r="O223" s="11"/>
      <c r="P223" s="82"/>
    </row>
    <row r="224" spans="2:16" s="9" customFormat="1" x14ac:dyDescent="0.2">
      <c r="B224" s="10"/>
      <c r="C224" s="11"/>
      <c r="D224" s="63"/>
      <c r="E224" s="11"/>
      <c r="F224" s="65"/>
      <c r="G224" s="12"/>
      <c r="H224" s="41"/>
      <c r="I224" s="30"/>
      <c r="J224" s="30"/>
      <c r="K224" s="97"/>
      <c r="L224" s="11"/>
      <c r="M224" s="11"/>
      <c r="N224" s="11"/>
      <c r="O224" s="11"/>
      <c r="P224" s="82"/>
    </row>
    <row r="225" spans="2:16" s="9" customFormat="1" x14ac:dyDescent="0.2">
      <c r="B225" s="10"/>
      <c r="C225" s="11"/>
      <c r="D225" s="63"/>
      <c r="E225" s="11"/>
      <c r="F225" s="65"/>
      <c r="G225" s="12"/>
      <c r="H225" s="41"/>
      <c r="I225" s="30"/>
      <c r="J225" s="30"/>
      <c r="K225" s="97"/>
      <c r="L225" s="11"/>
      <c r="M225" s="11"/>
      <c r="N225" s="11"/>
      <c r="O225" s="11"/>
      <c r="P225" s="82"/>
    </row>
    <row r="226" spans="2:16" s="9" customFormat="1" x14ac:dyDescent="0.2">
      <c r="B226" s="10"/>
      <c r="C226" s="11"/>
      <c r="D226" s="63"/>
      <c r="E226" s="11"/>
      <c r="F226" s="65"/>
      <c r="G226" s="12"/>
      <c r="H226" s="41"/>
      <c r="I226" s="30"/>
      <c r="J226" s="30"/>
      <c r="K226" s="97"/>
      <c r="L226" s="11"/>
      <c r="M226" s="11"/>
      <c r="N226" s="11"/>
      <c r="O226" s="11"/>
      <c r="P226" s="82"/>
    </row>
    <row r="227" spans="2:16" s="9" customFormat="1" x14ac:dyDescent="0.2">
      <c r="B227" s="10"/>
      <c r="C227" s="11"/>
      <c r="D227" s="63"/>
      <c r="E227" s="11"/>
      <c r="F227" s="65"/>
      <c r="G227" s="12"/>
      <c r="H227" s="41"/>
      <c r="I227" s="30"/>
      <c r="J227" s="30"/>
      <c r="K227" s="97"/>
      <c r="L227" s="11"/>
      <c r="M227" s="11"/>
      <c r="N227" s="11"/>
      <c r="O227" s="11"/>
      <c r="P227" s="82"/>
    </row>
    <row r="228" spans="2:16" s="9" customFormat="1" x14ac:dyDescent="0.2">
      <c r="B228" s="10"/>
      <c r="C228" s="11"/>
      <c r="D228" s="63"/>
      <c r="E228" s="11"/>
      <c r="F228" s="65"/>
      <c r="G228" s="12"/>
      <c r="H228" s="41"/>
      <c r="I228" s="30"/>
      <c r="J228" s="30"/>
      <c r="K228" s="97"/>
      <c r="L228" s="11"/>
      <c r="M228" s="11"/>
      <c r="N228" s="11"/>
      <c r="O228" s="11"/>
      <c r="P228" s="82"/>
    </row>
    <row r="229" spans="2:16" s="9" customFormat="1" x14ac:dyDescent="0.2">
      <c r="B229" s="10"/>
      <c r="C229" s="11"/>
      <c r="D229" s="63"/>
      <c r="E229" s="11"/>
      <c r="F229" s="65"/>
      <c r="G229" s="12"/>
      <c r="H229" s="41"/>
      <c r="I229" s="30"/>
      <c r="J229" s="30"/>
      <c r="K229" s="97"/>
      <c r="L229" s="11"/>
      <c r="M229" s="11"/>
      <c r="N229" s="11"/>
      <c r="O229" s="11"/>
      <c r="P229" s="82"/>
    </row>
    <row r="230" spans="2:16" s="9" customFormat="1" x14ac:dyDescent="0.2">
      <c r="B230" s="10"/>
      <c r="C230" s="11"/>
      <c r="D230" s="63"/>
      <c r="E230" s="11"/>
      <c r="F230" s="65"/>
      <c r="G230" s="12"/>
      <c r="H230" s="41"/>
      <c r="I230" s="30"/>
      <c r="J230" s="30"/>
      <c r="K230" s="97"/>
      <c r="L230" s="11"/>
      <c r="M230" s="11"/>
      <c r="N230" s="11"/>
      <c r="O230" s="11"/>
      <c r="P230" s="82"/>
    </row>
    <row r="231" spans="2:16" s="9" customFormat="1" x14ac:dyDescent="0.2">
      <c r="B231" s="10"/>
      <c r="C231" s="11"/>
      <c r="D231" s="63"/>
      <c r="E231" s="11"/>
      <c r="F231" s="65"/>
      <c r="G231" s="12"/>
      <c r="H231" s="41"/>
      <c r="I231" s="30"/>
      <c r="J231" s="30"/>
      <c r="K231" s="97"/>
      <c r="L231" s="11"/>
      <c r="M231" s="11"/>
      <c r="N231" s="11"/>
      <c r="O231" s="11"/>
      <c r="P231" s="82"/>
    </row>
    <row r="232" spans="2:16" s="9" customFormat="1" x14ac:dyDescent="0.2">
      <c r="B232" s="10"/>
      <c r="C232" s="11"/>
      <c r="D232" s="63"/>
      <c r="E232" s="11"/>
      <c r="F232" s="65"/>
      <c r="G232" s="12"/>
      <c r="H232" s="41"/>
      <c r="I232" s="30"/>
      <c r="J232" s="30"/>
      <c r="K232" s="97"/>
      <c r="L232" s="11"/>
      <c r="M232" s="11"/>
      <c r="N232" s="11"/>
      <c r="O232" s="11"/>
      <c r="P232" s="82"/>
    </row>
    <row r="233" spans="2:16" s="9" customFormat="1" x14ac:dyDescent="0.2">
      <c r="B233" s="10"/>
      <c r="C233" s="11"/>
      <c r="D233" s="63"/>
      <c r="E233" s="11"/>
      <c r="F233" s="65"/>
      <c r="G233" s="12"/>
      <c r="H233" s="41"/>
      <c r="I233" s="30"/>
      <c r="J233" s="30"/>
      <c r="K233" s="97"/>
      <c r="L233" s="11"/>
      <c r="M233" s="11"/>
      <c r="N233" s="11"/>
      <c r="O233" s="11"/>
      <c r="P233" s="82"/>
    </row>
    <row r="234" spans="2:16" s="9" customFormat="1" x14ac:dyDescent="0.2">
      <c r="B234" s="10"/>
      <c r="C234" s="11"/>
      <c r="D234" s="63"/>
      <c r="E234" s="11"/>
      <c r="F234" s="65"/>
      <c r="G234" s="12"/>
      <c r="H234" s="41"/>
      <c r="I234" s="30"/>
      <c r="J234" s="30"/>
      <c r="K234" s="97"/>
      <c r="L234" s="11"/>
      <c r="M234" s="11"/>
      <c r="N234" s="11"/>
      <c r="O234" s="11"/>
      <c r="P234" s="82"/>
    </row>
    <row r="235" spans="2:16" s="9" customFormat="1" x14ac:dyDescent="0.2">
      <c r="B235" s="10"/>
      <c r="C235" s="11"/>
      <c r="D235" s="63"/>
      <c r="E235" s="11"/>
      <c r="F235" s="65"/>
      <c r="G235" s="12"/>
      <c r="H235" s="41"/>
      <c r="I235" s="30"/>
      <c r="J235" s="30"/>
      <c r="K235" s="97"/>
      <c r="L235" s="11"/>
      <c r="M235" s="11"/>
      <c r="N235" s="11"/>
      <c r="O235" s="11"/>
      <c r="P235" s="82"/>
    </row>
    <row r="236" spans="2:16" s="9" customFormat="1" x14ac:dyDescent="0.2">
      <c r="B236" s="10"/>
      <c r="C236" s="11"/>
      <c r="D236" s="63"/>
      <c r="E236" s="11"/>
      <c r="F236" s="65"/>
      <c r="G236" s="12"/>
      <c r="H236" s="41"/>
      <c r="I236" s="30"/>
      <c r="J236" s="30"/>
      <c r="K236" s="97"/>
      <c r="L236" s="11"/>
      <c r="M236" s="11"/>
      <c r="N236" s="11"/>
      <c r="O236" s="11"/>
      <c r="P236" s="82"/>
    </row>
    <row r="237" spans="2:16" s="9" customFormat="1" x14ac:dyDescent="0.2">
      <c r="B237" s="10"/>
      <c r="C237" s="11"/>
      <c r="D237" s="63"/>
      <c r="E237" s="11"/>
      <c r="F237" s="65"/>
      <c r="G237" s="12"/>
      <c r="H237" s="41"/>
      <c r="I237" s="30"/>
      <c r="J237" s="30"/>
      <c r="K237" s="97"/>
      <c r="L237" s="11"/>
      <c r="M237" s="11"/>
      <c r="N237" s="11"/>
      <c r="O237" s="11"/>
      <c r="P237" s="82"/>
    </row>
    <row r="238" spans="2:16" s="9" customFormat="1" x14ac:dyDescent="0.2">
      <c r="B238" s="10"/>
      <c r="C238" s="11"/>
      <c r="D238" s="63"/>
      <c r="E238" s="11"/>
      <c r="F238" s="65"/>
      <c r="G238" s="12"/>
      <c r="H238" s="41"/>
      <c r="I238" s="30"/>
      <c r="J238" s="30"/>
      <c r="K238" s="97"/>
      <c r="L238" s="11"/>
      <c r="M238" s="11"/>
      <c r="N238" s="11"/>
      <c r="O238" s="11"/>
      <c r="P238" s="82"/>
    </row>
    <row r="239" spans="2:16" s="9" customFormat="1" x14ac:dyDescent="0.2">
      <c r="B239" s="10"/>
      <c r="C239" s="11"/>
      <c r="D239" s="63"/>
      <c r="E239" s="11"/>
      <c r="F239" s="65"/>
      <c r="G239" s="12"/>
      <c r="H239" s="41"/>
      <c r="I239" s="30"/>
      <c r="J239" s="30"/>
      <c r="K239" s="97"/>
      <c r="L239" s="11"/>
      <c r="M239" s="11"/>
      <c r="N239" s="11"/>
      <c r="O239" s="11"/>
      <c r="P239" s="82"/>
    </row>
    <row r="240" spans="2:16" s="9" customFormat="1" x14ac:dyDescent="0.2">
      <c r="B240" s="10"/>
      <c r="C240" s="11"/>
      <c r="D240" s="63"/>
      <c r="E240" s="11"/>
      <c r="F240" s="65"/>
      <c r="G240" s="12"/>
      <c r="H240" s="41"/>
      <c r="I240" s="30"/>
      <c r="J240" s="30"/>
      <c r="K240" s="97"/>
      <c r="L240" s="11"/>
      <c r="M240" s="11"/>
      <c r="N240" s="11"/>
      <c r="O240" s="11"/>
      <c r="P240" s="82"/>
    </row>
    <row r="241" spans="2:16" s="9" customFormat="1" x14ac:dyDescent="0.2">
      <c r="B241" s="10"/>
      <c r="C241" s="11"/>
      <c r="D241" s="63"/>
      <c r="E241" s="11"/>
      <c r="F241" s="65"/>
      <c r="G241" s="12"/>
      <c r="H241" s="41"/>
      <c r="I241" s="30"/>
      <c r="J241" s="30"/>
      <c r="K241" s="97"/>
      <c r="L241" s="11"/>
      <c r="M241" s="11"/>
      <c r="N241" s="11"/>
      <c r="O241" s="11"/>
      <c r="P241" s="82"/>
    </row>
    <row r="242" spans="2:16" s="9" customFormat="1" x14ac:dyDescent="0.2">
      <c r="B242" s="10"/>
      <c r="C242" s="11"/>
      <c r="D242" s="63"/>
      <c r="E242" s="11"/>
      <c r="F242" s="65"/>
      <c r="G242" s="12"/>
      <c r="H242" s="41"/>
      <c r="I242" s="30"/>
      <c r="J242" s="30"/>
      <c r="K242" s="97"/>
      <c r="L242" s="11"/>
      <c r="M242" s="11"/>
      <c r="N242" s="11"/>
      <c r="O242" s="11"/>
      <c r="P242" s="82"/>
    </row>
    <row r="243" spans="2:16" s="9" customFormat="1" x14ac:dyDescent="0.2">
      <c r="B243" s="10"/>
      <c r="C243" s="11"/>
      <c r="D243" s="63"/>
      <c r="E243" s="11"/>
      <c r="F243" s="65"/>
      <c r="G243" s="12"/>
      <c r="H243" s="41"/>
      <c r="I243" s="30"/>
      <c r="J243" s="30"/>
      <c r="K243" s="97"/>
      <c r="L243" s="11"/>
      <c r="M243" s="11"/>
      <c r="N243" s="11"/>
      <c r="O243" s="11"/>
      <c r="P243" s="82"/>
    </row>
    <row r="244" spans="2:16" s="9" customFormat="1" x14ac:dyDescent="0.2">
      <c r="B244" s="10"/>
      <c r="C244" s="11"/>
      <c r="D244" s="63"/>
      <c r="E244" s="11"/>
      <c r="F244" s="65"/>
      <c r="G244" s="12"/>
      <c r="H244" s="41"/>
      <c r="I244" s="30"/>
      <c r="J244" s="30"/>
      <c r="K244" s="97"/>
      <c r="L244" s="11"/>
      <c r="M244" s="11"/>
      <c r="N244" s="11"/>
      <c r="O244" s="11"/>
      <c r="P244" s="82"/>
    </row>
    <row r="245" spans="2:16" s="9" customFormat="1" x14ac:dyDescent="0.2">
      <c r="B245" s="10"/>
      <c r="C245" s="11"/>
      <c r="D245" s="63"/>
      <c r="E245" s="11"/>
      <c r="F245" s="65"/>
      <c r="G245" s="12"/>
      <c r="H245" s="41"/>
      <c r="I245" s="30"/>
      <c r="J245" s="30"/>
      <c r="K245" s="97"/>
      <c r="L245" s="11"/>
      <c r="M245" s="11"/>
      <c r="N245" s="11"/>
      <c r="O245" s="11"/>
      <c r="P245" s="82"/>
    </row>
    <row r="246" spans="2:16" s="9" customFormat="1" x14ac:dyDescent="0.2">
      <c r="B246" s="10"/>
      <c r="C246" s="11"/>
      <c r="D246" s="63"/>
      <c r="E246" s="11"/>
      <c r="F246" s="65"/>
      <c r="G246" s="12"/>
      <c r="H246" s="41"/>
      <c r="I246" s="30"/>
      <c r="J246" s="30"/>
      <c r="K246" s="97"/>
      <c r="L246" s="11"/>
      <c r="M246" s="11"/>
      <c r="N246" s="11"/>
      <c r="O246" s="11"/>
      <c r="P246" s="82"/>
    </row>
    <row r="247" spans="2:16" s="9" customFormat="1" x14ac:dyDescent="0.2">
      <c r="B247" s="10"/>
      <c r="C247" s="11"/>
      <c r="D247" s="63"/>
      <c r="E247" s="11"/>
      <c r="F247" s="65"/>
      <c r="G247" s="12"/>
      <c r="H247" s="41"/>
      <c r="I247" s="30"/>
      <c r="J247" s="30"/>
      <c r="K247" s="97"/>
      <c r="L247" s="11"/>
      <c r="M247" s="11"/>
      <c r="N247" s="11"/>
      <c r="O247" s="11"/>
      <c r="P247" s="82"/>
    </row>
    <row r="248" spans="2:16" s="9" customFormat="1" x14ac:dyDescent="0.2">
      <c r="B248" s="10"/>
      <c r="C248" s="11"/>
      <c r="D248" s="63"/>
      <c r="E248" s="11"/>
      <c r="F248" s="65"/>
      <c r="G248" s="12"/>
      <c r="H248" s="41"/>
      <c r="I248" s="30"/>
      <c r="J248" s="30"/>
      <c r="K248" s="97"/>
      <c r="L248" s="11"/>
      <c r="M248" s="11"/>
      <c r="N248" s="11"/>
      <c r="O248" s="11"/>
      <c r="P248" s="82"/>
    </row>
    <row r="249" spans="2:16" s="9" customFormat="1" x14ac:dyDescent="0.2">
      <c r="B249" s="10"/>
      <c r="C249" s="11"/>
      <c r="D249" s="63"/>
      <c r="E249" s="11"/>
      <c r="F249" s="65"/>
      <c r="G249" s="12"/>
      <c r="H249" s="41"/>
      <c r="I249" s="30"/>
      <c r="J249" s="30"/>
      <c r="K249" s="97"/>
      <c r="L249" s="11"/>
      <c r="M249" s="11"/>
      <c r="N249" s="11"/>
      <c r="O249" s="11"/>
      <c r="P249" s="82"/>
    </row>
    <row r="250" spans="2:16" s="9" customFormat="1" x14ac:dyDescent="0.2">
      <c r="B250" s="10"/>
      <c r="C250" s="11"/>
      <c r="D250" s="63"/>
      <c r="E250" s="11"/>
      <c r="F250" s="65"/>
      <c r="G250" s="12"/>
      <c r="H250" s="41"/>
      <c r="I250" s="30"/>
      <c r="J250" s="30"/>
      <c r="K250" s="97"/>
      <c r="L250" s="11"/>
      <c r="M250" s="11"/>
      <c r="N250" s="11"/>
      <c r="O250" s="11"/>
      <c r="P250" s="82"/>
    </row>
    <row r="251" spans="2:16" s="9" customFormat="1" x14ac:dyDescent="0.2">
      <c r="B251" s="10"/>
      <c r="C251" s="11"/>
      <c r="D251" s="63"/>
      <c r="E251" s="11"/>
      <c r="F251" s="65"/>
      <c r="G251" s="12"/>
      <c r="H251" s="41"/>
      <c r="I251" s="30"/>
      <c r="J251" s="30"/>
      <c r="K251" s="97"/>
      <c r="L251" s="11"/>
      <c r="M251" s="11"/>
      <c r="N251" s="11"/>
      <c r="O251" s="11"/>
      <c r="P251" s="82"/>
    </row>
    <row r="252" spans="2:16" s="9" customFormat="1" x14ac:dyDescent="0.2">
      <c r="B252" s="10"/>
      <c r="C252" s="11"/>
      <c r="D252" s="63"/>
      <c r="E252" s="11"/>
      <c r="F252" s="65"/>
      <c r="G252" s="12"/>
      <c r="H252" s="41"/>
      <c r="I252" s="30"/>
      <c r="J252" s="30"/>
      <c r="K252" s="97"/>
      <c r="L252" s="11"/>
      <c r="M252" s="11"/>
      <c r="N252" s="11"/>
      <c r="O252" s="11"/>
      <c r="P252" s="82"/>
    </row>
    <row r="253" spans="2:16" s="9" customFormat="1" x14ac:dyDescent="0.2">
      <c r="B253" s="10"/>
      <c r="C253" s="11"/>
      <c r="D253" s="63"/>
      <c r="E253" s="11"/>
      <c r="F253" s="65"/>
      <c r="G253" s="12"/>
      <c r="H253" s="41"/>
      <c r="I253" s="30"/>
      <c r="J253" s="30"/>
      <c r="K253" s="97"/>
      <c r="L253" s="11"/>
      <c r="M253" s="11"/>
      <c r="N253" s="11"/>
      <c r="O253" s="11"/>
      <c r="P253" s="82"/>
    </row>
    <row r="254" spans="2:16" s="9" customFormat="1" x14ac:dyDescent="0.2">
      <c r="B254" s="10"/>
      <c r="C254" s="11"/>
      <c r="D254" s="63"/>
      <c r="E254" s="11"/>
      <c r="F254" s="65"/>
      <c r="G254" s="12"/>
      <c r="H254" s="41"/>
      <c r="I254" s="30"/>
      <c r="J254" s="30"/>
      <c r="K254" s="97"/>
      <c r="L254" s="11"/>
      <c r="M254" s="11"/>
      <c r="N254" s="11"/>
      <c r="O254" s="11"/>
      <c r="P254" s="82"/>
    </row>
    <row r="255" spans="2:16" s="9" customFormat="1" x14ac:dyDescent="0.2">
      <c r="B255" s="10"/>
      <c r="C255" s="11"/>
      <c r="D255" s="63"/>
      <c r="E255" s="11"/>
      <c r="F255" s="65"/>
      <c r="G255" s="12"/>
      <c r="H255" s="41"/>
      <c r="I255" s="30"/>
      <c r="J255" s="30"/>
      <c r="K255" s="97"/>
      <c r="L255" s="11"/>
      <c r="M255" s="11"/>
      <c r="N255" s="11"/>
      <c r="O255" s="11"/>
      <c r="P255" s="82"/>
    </row>
    <row r="256" spans="2:16" s="9" customFormat="1" x14ac:dyDescent="0.2">
      <c r="B256" s="10"/>
      <c r="C256" s="11"/>
      <c r="D256" s="63"/>
      <c r="E256" s="11"/>
      <c r="F256" s="65"/>
      <c r="G256" s="12"/>
      <c r="H256" s="41"/>
      <c r="I256" s="30"/>
      <c r="J256" s="30"/>
      <c r="K256" s="97"/>
      <c r="L256" s="11"/>
      <c r="M256" s="11"/>
      <c r="N256" s="11"/>
      <c r="O256" s="11"/>
      <c r="P256" s="82"/>
    </row>
    <row r="257" spans="2:16" s="9" customFormat="1" x14ac:dyDescent="0.2">
      <c r="B257" s="10"/>
      <c r="C257" s="11"/>
      <c r="D257" s="63"/>
      <c r="E257" s="11"/>
      <c r="F257" s="65"/>
      <c r="G257" s="12"/>
      <c r="H257" s="41"/>
      <c r="I257" s="30"/>
      <c r="J257" s="30"/>
      <c r="K257" s="97"/>
      <c r="L257" s="11"/>
      <c r="M257" s="11"/>
      <c r="N257" s="11"/>
      <c r="O257" s="11"/>
      <c r="P257" s="82"/>
    </row>
    <row r="258" spans="2:16" s="9" customFormat="1" x14ac:dyDescent="0.2">
      <c r="B258" s="10"/>
      <c r="C258" s="11"/>
      <c r="D258" s="63"/>
      <c r="E258" s="11"/>
      <c r="F258" s="65"/>
      <c r="G258" s="12"/>
      <c r="H258" s="41"/>
      <c r="I258" s="30"/>
      <c r="J258" s="30"/>
      <c r="K258" s="97"/>
      <c r="L258" s="11"/>
      <c r="M258" s="11"/>
      <c r="N258" s="11"/>
      <c r="O258" s="11"/>
      <c r="P258" s="82"/>
    </row>
    <row r="259" spans="2:16" s="9" customFormat="1" x14ac:dyDescent="0.2">
      <c r="B259" s="10"/>
      <c r="C259" s="11"/>
      <c r="D259" s="63"/>
      <c r="E259" s="11"/>
      <c r="F259" s="65"/>
      <c r="G259" s="12"/>
      <c r="H259" s="41"/>
      <c r="I259" s="30"/>
      <c r="J259" s="30"/>
      <c r="K259" s="97"/>
      <c r="L259" s="11"/>
      <c r="M259" s="11"/>
      <c r="N259" s="11"/>
      <c r="O259" s="11"/>
      <c r="P259" s="82"/>
    </row>
    <row r="260" spans="2:16" s="9" customFormat="1" x14ac:dyDescent="0.2">
      <c r="B260" s="10"/>
      <c r="C260" s="11"/>
      <c r="D260" s="63"/>
      <c r="E260" s="11"/>
      <c r="F260" s="65"/>
      <c r="G260" s="12"/>
      <c r="H260" s="41"/>
      <c r="I260" s="30"/>
      <c r="J260" s="30"/>
      <c r="K260" s="97"/>
      <c r="L260" s="11"/>
      <c r="M260" s="11"/>
      <c r="N260" s="11"/>
      <c r="O260" s="11"/>
      <c r="P260" s="82"/>
    </row>
    <row r="261" spans="2:16" s="9" customFormat="1" x14ac:dyDescent="0.2">
      <c r="B261" s="10"/>
      <c r="C261" s="11"/>
      <c r="D261" s="63"/>
      <c r="E261" s="11"/>
      <c r="F261" s="65"/>
      <c r="G261" s="12"/>
      <c r="H261" s="41"/>
      <c r="I261" s="30"/>
      <c r="J261" s="30"/>
      <c r="K261" s="97"/>
      <c r="L261" s="11"/>
      <c r="M261" s="11"/>
      <c r="N261" s="11"/>
      <c r="O261" s="11"/>
      <c r="P261" s="82"/>
    </row>
    <row r="262" spans="2:16" s="9" customFormat="1" x14ac:dyDescent="0.2">
      <c r="B262" s="10"/>
      <c r="C262" s="11"/>
      <c r="D262" s="63"/>
      <c r="E262" s="11"/>
      <c r="F262" s="65"/>
      <c r="G262" s="12"/>
      <c r="H262" s="41"/>
      <c r="I262" s="30"/>
      <c r="J262" s="30"/>
      <c r="K262" s="97"/>
      <c r="L262" s="11"/>
      <c r="M262" s="11"/>
      <c r="N262" s="11"/>
      <c r="O262" s="11"/>
      <c r="P262" s="82"/>
    </row>
    <row r="263" spans="2:16" s="9" customFormat="1" x14ac:dyDescent="0.2">
      <c r="B263" s="10"/>
      <c r="C263" s="11"/>
      <c r="D263" s="63"/>
      <c r="E263" s="11"/>
      <c r="F263" s="65"/>
      <c r="G263" s="12"/>
      <c r="H263" s="41"/>
      <c r="I263" s="30"/>
      <c r="J263" s="30"/>
      <c r="K263" s="97"/>
      <c r="L263" s="11"/>
      <c r="M263" s="11"/>
      <c r="N263" s="11"/>
      <c r="O263" s="11"/>
      <c r="P263" s="82"/>
    </row>
    <row r="264" spans="2:16" s="9" customFormat="1" x14ac:dyDescent="0.2">
      <c r="B264" s="10"/>
      <c r="C264" s="11"/>
      <c r="D264" s="63"/>
      <c r="E264" s="11"/>
      <c r="F264" s="65"/>
      <c r="G264" s="12"/>
      <c r="H264" s="41"/>
      <c r="I264" s="30"/>
      <c r="J264" s="30"/>
      <c r="K264" s="97"/>
      <c r="L264" s="11"/>
      <c r="M264" s="11"/>
      <c r="N264" s="11"/>
      <c r="O264" s="11"/>
      <c r="P264" s="82"/>
    </row>
    <row r="265" spans="2:16" s="9" customFormat="1" x14ac:dyDescent="0.2">
      <c r="B265" s="10"/>
      <c r="C265" s="11"/>
      <c r="D265" s="63"/>
      <c r="E265" s="11"/>
      <c r="F265" s="65"/>
      <c r="G265" s="12"/>
      <c r="H265" s="41"/>
      <c r="I265" s="30"/>
      <c r="J265" s="30"/>
      <c r="K265" s="97"/>
      <c r="L265" s="11"/>
      <c r="M265" s="11"/>
      <c r="N265" s="11"/>
      <c r="O265" s="11"/>
      <c r="P265" s="82"/>
    </row>
    <row r="266" spans="2:16" s="9" customFormat="1" x14ac:dyDescent="0.2">
      <c r="B266" s="10"/>
      <c r="C266" s="11"/>
      <c r="D266" s="63"/>
      <c r="E266" s="11"/>
      <c r="F266" s="65"/>
      <c r="G266" s="12"/>
      <c r="H266" s="41"/>
      <c r="I266" s="30"/>
      <c r="J266" s="30"/>
      <c r="K266" s="97"/>
      <c r="L266" s="11"/>
      <c r="M266" s="11"/>
      <c r="N266" s="11"/>
      <c r="O266" s="11"/>
      <c r="P266" s="82"/>
    </row>
    <row r="267" spans="2:16" s="9" customFormat="1" x14ac:dyDescent="0.2">
      <c r="B267" s="10"/>
      <c r="C267" s="11"/>
      <c r="D267" s="63"/>
      <c r="E267" s="11"/>
      <c r="F267" s="65"/>
      <c r="G267" s="12"/>
      <c r="H267" s="41"/>
      <c r="I267" s="30"/>
      <c r="J267" s="30"/>
      <c r="K267" s="97"/>
      <c r="L267" s="11"/>
      <c r="M267" s="11"/>
      <c r="N267" s="11"/>
      <c r="O267" s="11"/>
      <c r="P267" s="82"/>
    </row>
    <row r="268" spans="2:16" s="9" customFormat="1" x14ac:dyDescent="0.2">
      <c r="B268" s="10"/>
      <c r="C268" s="11"/>
      <c r="D268" s="63"/>
      <c r="E268" s="11"/>
      <c r="F268" s="65"/>
      <c r="G268" s="12"/>
      <c r="H268" s="41"/>
      <c r="I268" s="30"/>
      <c r="J268" s="30"/>
      <c r="K268" s="97"/>
      <c r="L268" s="11"/>
      <c r="M268" s="11"/>
      <c r="N268" s="11"/>
      <c r="O268" s="11"/>
      <c r="P268" s="82"/>
    </row>
    <row r="269" spans="2:16" s="9" customFormat="1" x14ac:dyDescent="0.2">
      <c r="B269" s="10"/>
      <c r="C269" s="11"/>
      <c r="D269" s="63"/>
      <c r="E269" s="11"/>
      <c r="F269" s="65"/>
      <c r="G269" s="12"/>
      <c r="H269" s="41"/>
      <c r="I269" s="30"/>
      <c r="J269" s="30"/>
      <c r="K269" s="97"/>
      <c r="L269" s="11"/>
      <c r="M269" s="11"/>
      <c r="N269" s="11"/>
      <c r="O269" s="11"/>
      <c r="P269" s="82"/>
    </row>
    <row r="270" spans="2:16" s="9" customFormat="1" x14ac:dyDescent="0.2">
      <c r="B270" s="10"/>
      <c r="C270" s="11"/>
      <c r="D270" s="63"/>
      <c r="E270" s="11"/>
      <c r="F270" s="65"/>
      <c r="G270" s="12"/>
      <c r="H270" s="41"/>
      <c r="I270" s="30"/>
      <c r="J270" s="30"/>
      <c r="K270" s="97"/>
      <c r="L270" s="11"/>
      <c r="M270" s="11"/>
      <c r="N270" s="11"/>
      <c r="O270" s="11"/>
      <c r="P270" s="82"/>
    </row>
    <row r="271" spans="2:16" s="9" customFormat="1" x14ac:dyDescent="0.2">
      <c r="B271" s="10"/>
      <c r="C271" s="11"/>
      <c r="D271" s="63"/>
      <c r="E271" s="11"/>
      <c r="F271" s="65"/>
      <c r="G271" s="12"/>
      <c r="H271" s="41"/>
      <c r="I271" s="30"/>
      <c r="J271" s="30"/>
      <c r="K271" s="97"/>
      <c r="L271" s="11"/>
      <c r="M271" s="11"/>
      <c r="N271" s="11"/>
      <c r="O271" s="11"/>
      <c r="P271" s="82"/>
    </row>
    <row r="272" spans="2:16" s="9" customFormat="1" x14ac:dyDescent="0.2">
      <c r="B272" s="10"/>
      <c r="C272" s="11"/>
      <c r="D272" s="63"/>
      <c r="E272" s="11"/>
      <c r="F272" s="65"/>
      <c r="G272" s="12"/>
      <c r="H272" s="41"/>
      <c r="I272" s="30"/>
      <c r="J272" s="30"/>
      <c r="K272" s="97"/>
      <c r="L272" s="11"/>
      <c r="M272" s="11"/>
      <c r="N272" s="11"/>
      <c r="O272" s="11"/>
      <c r="P272" s="82"/>
    </row>
    <row r="273" spans="2:16" s="9" customFormat="1" x14ac:dyDescent="0.2">
      <c r="B273" s="10"/>
      <c r="C273" s="11"/>
      <c r="D273" s="63"/>
      <c r="E273" s="11"/>
      <c r="F273" s="65"/>
      <c r="G273" s="12"/>
      <c r="H273" s="41"/>
      <c r="I273" s="30"/>
      <c r="J273" s="30"/>
      <c r="K273" s="97"/>
      <c r="L273" s="11"/>
      <c r="M273" s="11"/>
      <c r="N273" s="11"/>
      <c r="O273" s="11"/>
      <c r="P273" s="82"/>
    </row>
    <row r="274" spans="2:16" s="9" customFormat="1" x14ac:dyDescent="0.2">
      <c r="B274" s="10"/>
      <c r="C274" s="11"/>
      <c r="D274" s="63"/>
      <c r="E274" s="11"/>
      <c r="F274" s="65"/>
      <c r="G274" s="12"/>
      <c r="H274" s="41"/>
      <c r="I274" s="30"/>
      <c r="J274" s="30"/>
      <c r="K274" s="97"/>
      <c r="L274" s="11"/>
      <c r="M274" s="11"/>
      <c r="N274" s="11"/>
      <c r="O274" s="11"/>
      <c r="P274" s="82"/>
    </row>
    <row r="275" spans="2:16" s="9" customFormat="1" x14ac:dyDescent="0.2">
      <c r="B275" s="10"/>
      <c r="C275" s="11"/>
      <c r="D275" s="63"/>
      <c r="E275" s="11"/>
      <c r="F275" s="65"/>
      <c r="G275" s="12"/>
      <c r="H275" s="41"/>
      <c r="I275" s="30"/>
      <c r="J275" s="30"/>
      <c r="K275" s="97"/>
      <c r="L275" s="11"/>
      <c r="M275" s="11"/>
      <c r="N275" s="11"/>
      <c r="O275" s="11"/>
      <c r="P275" s="82"/>
    </row>
    <row r="276" spans="2:16" s="9" customFormat="1" x14ac:dyDescent="0.2">
      <c r="B276" s="10"/>
      <c r="C276" s="11"/>
      <c r="D276" s="63"/>
      <c r="E276" s="11"/>
      <c r="F276" s="65"/>
      <c r="G276" s="12"/>
      <c r="H276" s="41"/>
      <c r="I276" s="30"/>
      <c r="J276" s="30"/>
      <c r="K276" s="97"/>
      <c r="L276" s="11"/>
      <c r="M276" s="11"/>
      <c r="N276" s="11"/>
      <c r="O276" s="11"/>
      <c r="P276" s="82"/>
    </row>
    <row r="277" spans="2:16" s="9" customFormat="1" x14ac:dyDescent="0.2">
      <c r="B277" s="10"/>
      <c r="C277" s="11"/>
      <c r="D277" s="63"/>
      <c r="E277" s="11"/>
      <c r="F277" s="65"/>
      <c r="G277" s="12"/>
      <c r="H277" s="41"/>
      <c r="I277" s="30"/>
      <c r="J277" s="30"/>
      <c r="K277" s="97"/>
      <c r="L277" s="11"/>
      <c r="M277" s="11"/>
      <c r="N277" s="11"/>
      <c r="O277" s="11"/>
      <c r="P277" s="82"/>
    </row>
    <row r="278" spans="2:16" s="9" customFormat="1" x14ac:dyDescent="0.2">
      <c r="B278" s="10"/>
      <c r="C278" s="11"/>
      <c r="D278" s="63"/>
      <c r="E278" s="11"/>
      <c r="F278" s="65"/>
      <c r="G278" s="12"/>
      <c r="H278" s="41"/>
      <c r="I278" s="30"/>
      <c r="J278" s="30"/>
      <c r="K278" s="97"/>
      <c r="L278" s="11"/>
      <c r="M278" s="11"/>
      <c r="N278" s="11"/>
      <c r="O278" s="11"/>
      <c r="P278" s="82"/>
    </row>
    <row r="279" spans="2:16" s="9" customFormat="1" x14ac:dyDescent="0.2">
      <c r="B279" s="10"/>
      <c r="C279" s="11"/>
      <c r="D279" s="63"/>
      <c r="E279" s="11"/>
      <c r="F279" s="65"/>
      <c r="G279" s="12"/>
      <c r="H279" s="41"/>
      <c r="I279" s="30"/>
      <c r="J279" s="30"/>
      <c r="K279" s="97"/>
      <c r="L279" s="11"/>
      <c r="M279" s="11"/>
      <c r="N279" s="11"/>
      <c r="O279" s="11"/>
      <c r="P279" s="82"/>
    </row>
    <row r="280" spans="2:16" s="9" customFormat="1" x14ac:dyDescent="0.2">
      <c r="B280" s="10"/>
      <c r="C280" s="11"/>
      <c r="D280" s="63"/>
      <c r="E280" s="11"/>
      <c r="F280" s="65"/>
      <c r="G280" s="12"/>
      <c r="H280" s="41"/>
      <c r="I280" s="30"/>
      <c r="J280" s="30"/>
      <c r="K280" s="97"/>
      <c r="L280" s="11"/>
      <c r="M280" s="11"/>
      <c r="N280" s="11"/>
      <c r="O280" s="11"/>
      <c r="P280" s="82"/>
    </row>
    <row r="281" spans="2:16" s="9" customFormat="1" x14ac:dyDescent="0.2">
      <c r="B281" s="10"/>
      <c r="C281" s="11"/>
      <c r="D281" s="63"/>
      <c r="E281" s="11"/>
      <c r="F281" s="65"/>
      <c r="G281" s="12"/>
      <c r="H281" s="41"/>
      <c r="I281" s="30"/>
      <c r="J281" s="30"/>
      <c r="K281" s="97"/>
      <c r="L281" s="11"/>
      <c r="M281" s="11"/>
      <c r="N281" s="11"/>
      <c r="O281" s="11"/>
      <c r="P281" s="82"/>
    </row>
    <row r="282" spans="2:16" s="9" customFormat="1" x14ac:dyDescent="0.2">
      <c r="B282" s="10"/>
      <c r="C282" s="11"/>
      <c r="D282" s="63"/>
      <c r="E282" s="11"/>
      <c r="F282" s="65"/>
      <c r="G282" s="12"/>
      <c r="H282" s="41"/>
      <c r="I282" s="30"/>
      <c r="J282" s="30"/>
      <c r="K282" s="97"/>
      <c r="L282" s="11"/>
      <c r="M282" s="11"/>
      <c r="N282" s="11"/>
      <c r="O282" s="11"/>
      <c r="P282" s="82"/>
    </row>
    <row r="283" spans="2:16" s="9" customFormat="1" x14ac:dyDescent="0.2">
      <c r="B283" s="10"/>
      <c r="C283" s="11"/>
      <c r="D283" s="63"/>
      <c r="E283" s="11"/>
      <c r="F283" s="65"/>
      <c r="G283" s="12"/>
      <c r="H283" s="41"/>
      <c r="I283" s="30"/>
      <c r="J283" s="30"/>
      <c r="K283" s="97"/>
      <c r="L283" s="11"/>
      <c r="M283" s="11"/>
      <c r="N283" s="11"/>
      <c r="O283" s="11"/>
      <c r="P283" s="82"/>
    </row>
    <row r="284" spans="2:16" s="9" customFormat="1" x14ac:dyDescent="0.2">
      <c r="B284" s="10"/>
      <c r="C284" s="11"/>
      <c r="D284" s="63"/>
      <c r="E284" s="11"/>
      <c r="F284" s="65"/>
      <c r="G284" s="12"/>
      <c r="H284" s="41"/>
      <c r="I284" s="30"/>
      <c r="J284" s="30"/>
      <c r="K284" s="97"/>
      <c r="L284" s="11"/>
      <c r="M284" s="11"/>
      <c r="N284" s="11"/>
      <c r="O284" s="11"/>
      <c r="P284" s="82"/>
    </row>
    <row r="285" spans="2:16" s="9" customFormat="1" x14ac:dyDescent="0.2">
      <c r="B285" s="10"/>
      <c r="C285" s="11"/>
      <c r="D285" s="63"/>
      <c r="E285" s="11"/>
      <c r="F285" s="65"/>
      <c r="G285" s="12"/>
      <c r="H285" s="41"/>
      <c r="I285" s="30"/>
      <c r="J285" s="30"/>
      <c r="K285" s="97"/>
      <c r="L285" s="11"/>
      <c r="M285" s="11"/>
      <c r="N285" s="11"/>
      <c r="O285" s="11"/>
      <c r="P285" s="82"/>
    </row>
    <row r="286" spans="2:16" s="9" customFormat="1" x14ac:dyDescent="0.2">
      <c r="B286" s="10"/>
      <c r="C286" s="11"/>
      <c r="D286" s="63"/>
      <c r="E286" s="11"/>
      <c r="F286" s="65"/>
      <c r="G286" s="12"/>
      <c r="H286" s="41"/>
      <c r="I286" s="30"/>
      <c r="J286" s="30"/>
      <c r="K286" s="97"/>
      <c r="L286" s="11"/>
      <c r="M286" s="11"/>
      <c r="N286" s="11"/>
      <c r="O286" s="11"/>
      <c r="P286" s="82"/>
    </row>
    <row r="287" spans="2:16" s="9" customFormat="1" x14ac:dyDescent="0.2">
      <c r="B287" s="10"/>
      <c r="C287" s="11"/>
      <c r="D287" s="63"/>
      <c r="E287" s="11"/>
      <c r="F287" s="65"/>
      <c r="G287" s="12"/>
      <c r="H287" s="41"/>
      <c r="I287" s="30"/>
      <c r="J287" s="30"/>
      <c r="K287" s="97"/>
      <c r="L287" s="11"/>
      <c r="M287" s="11"/>
      <c r="N287" s="11"/>
      <c r="O287" s="11"/>
      <c r="P287" s="82"/>
    </row>
    <row r="288" spans="2:16" s="9" customFormat="1" x14ac:dyDescent="0.2">
      <c r="B288" s="10"/>
      <c r="C288" s="11"/>
      <c r="D288" s="63"/>
      <c r="E288" s="11"/>
      <c r="F288" s="65"/>
      <c r="G288" s="12"/>
      <c r="H288" s="41"/>
      <c r="I288" s="30"/>
      <c r="J288" s="30"/>
      <c r="K288" s="97"/>
      <c r="L288" s="11"/>
      <c r="M288" s="11"/>
      <c r="N288" s="11"/>
      <c r="O288" s="11"/>
      <c r="P288" s="82"/>
    </row>
    <row r="289" spans="2:16" s="9" customFormat="1" x14ac:dyDescent="0.2">
      <c r="B289" s="10"/>
      <c r="C289" s="11"/>
      <c r="D289" s="63"/>
      <c r="E289" s="11"/>
      <c r="F289" s="65"/>
      <c r="G289" s="12"/>
      <c r="H289" s="41"/>
      <c r="I289" s="30"/>
      <c r="J289" s="30"/>
      <c r="K289" s="97"/>
      <c r="L289" s="11"/>
      <c r="M289" s="11"/>
      <c r="N289" s="11"/>
      <c r="O289" s="11"/>
      <c r="P289" s="82"/>
    </row>
    <row r="290" spans="2:16" s="9" customFormat="1" x14ac:dyDescent="0.2">
      <c r="B290" s="10"/>
      <c r="C290" s="11"/>
      <c r="D290" s="63"/>
      <c r="E290" s="11"/>
      <c r="F290" s="65"/>
      <c r="G290" s="12"/>
      <c r="H290" s="41"/>
      <c r="I290" s="30"/>
      <c r="J290" s="30"/>
      <c r="K290" s="97"/>
      <c r="L290" s="11"/>
      <c r="M290" s="11"/>
      <c r="N290" s="11"/>
      <c r="O290" s="11"/>
      <c r="P290" s="82"/>
    </row>
    <row r="291" spans="2:16" s="9" customFormat="1" x14ac:dyDescent="0.2">
      <c r="B291" s="10"/>
      <c r="C291" s="11"/>
      <c r="D291" s="63"/>
      <c r="E291" s="11"/>
      <c r="F291" s="65"/>
      <c r="G291" s="12"/>
      <c r="H291" s="41"/>
      <c r="I291" s="30"/>
      <c r="J291" s="30"/>
      <c r="K291" s="97"/>
      <c r="L291" s="11"/>
      <c r="M291" s="11"/>
      <c r="N291" s="11"/>
      <c r="O291" s="11"/>
      <c r="P291" s="82"/>
    </row>
    <row r="292" spans="2:16" s="9" customFormat="1" x14ac:dyDescent="0.2">
      <c r="B292" s="10"/>
      <c r="C292" s="11"/>
      <c r="D292" s="63"/>
      <c r="E292" s="11"/>
      <c r="F292" s="65"/>
      <c r="G292" s="12"/>
      <c r="H292" s="41"/>
      <c r="I292" s="30"/>
      <c r="J292" s="30"/>
      <c r="K292" s="97"/>
      <c r="L292" s="11"/>
      <c r="M292" s="11"/>
      <c r="N292" s="11"/>
      <c r="O292" s="11"/>
      <c r="P292" s="82"/>
    </row>
    <row r="293" spans="2:16" s="9" customFormat="1" x14ac:dyDescent="0.2">
      <c r="B293" s="10"/>
      <c r="C293" s="11"/>
      <c r="D293" s="63"/>
      <c r="E293" s="11"/>
      <c r="F293" s="65"/>
      <c r="G293" s="12"/>
      <c r="H293" s="41"/>
      <c r="I293" s="30"/>
      <c r="J293" s="30"/>
      <c r="K293" s="97"/>
      <c r="L293" s="11"/>
      <c r="M293" s="11"/>
      <c r="N293" s="11"/>
      <c r="O293" s="11"/>
      <c r="P293" s="82"/>
    </row>
    <row r="294" spans="2:16" s="9" customFormat="1" x14ac:dyDescent="0.2">
      <c r="B294" s="10"/>
      <c r="C294" s="11"/>
      <c r="D294" s="63"/>
      <c r="E294" s="11"/>
      <c r="F294" s="65"/>
      <c r="G294" s="12"/>
      <c r="H294" s="41"/>
      <c r="I294" s="30"/>
      <c r="J294" s="30"/>
      <c r="K294" s="97"/>
      <c r="L294" s="11"/>
      <c r="M294" s="11"/>
      <c r="N294" s="11"/>
      <c r="O294" s="11"/>
      <c r="P294" s="82"/>
    </row>
    <row r="295" spans="2:16" s="9" customFormat="1" x14ac:dyDescent="0.2">
      <c r="B295" s="10"/>
      <c r="C295" s="11"/>
      <c r="D295" s="63"/>
      <c r="E295" s="11"/>
      <c r="F295" s="65"/>
      <c r="G295" s="12"/>
      <c r="H295" s="41"/>
      <c r="I295" s="30"/>
      <c r="J295" s="30"/>
      <c r="K295" s="97"/>
      <c r="L295" s="11"/>
      <c r="M295" s="11"/>
      <c r="N295" s="11"/>
      <c r="O295" s="11"/>
      <c r="P295" s="82"/>
    </row>
    <row r="296" spans="2:16" s="9" customFormat="1" x14ac:dyDescent="0.2">
      <c r="B296" s="10"/>
      <c r="C296" s="11"/>
      <c r="D296" s="63"/>
      <c r="E296" s="11"/>
      <c r="F296" s="65"/>
      <c r="G296" s="12"/>
      <c r="H296" s="41"/>
      <c r="I296" s="30"/>
      <c r="J296" s="30"/>
      <c r="K296" s="97"/>
      <c r="L296" s="11"/>
      <c r="M296" s="11"/>
      <c r="N296" s="11"/>
      <c r="O296" s="11"/>
      <c r="P296" s="82"/>
    </row>
    <row r="297" spans="2:16" s="9" customFormat="1" x14ac:dyDescent="0.2">
      <c r="B297" s="10"/>
      <c r="C297" s="11"/>
      <c r="D297" s="63"/>
      <c r="E297" s="11"/>
      <c r="F297" s="65"/>
      <c r="G297" s="12"/>
      <c r="H297" s="41"/>
      <c r="I297" s="30"/>
      <c r="J297" s="30"/>
      <c r="K297" s="97"/>
      <c r="L297" s="11"/>
      <c r="M297" s="11"/>
      <c r="N297" s="11"/>
      <c r="O297" s="11"/>
      <c r="P297" s="82"/>
    </row>
    <row r="298" spans="2:16" s="9" customFormat="1" x14ac:dyDescent="0.2">
      <c r="B298" s="10"/>
      <c r="C298" s="11"/>
      <c r="D298" s="63"/>
      <c r="E298" s="11"/>
      <c r="F298" s="65"/>
      <c r="G298" s="12"/>
      <c r="H298" s="41"/>
      <c r="I298" s="30"/>
      <c r="J298" s="30"/>
      <c r="K298" s="97"/>
      <c r="L298" s="11"/>
      <c r="M298" s="11"/>
      <c r="N298" s="11"/>
      <c r="O298" s="11"/>
      <c r="P298" s="82"/>
    </row>
    <row r="299" spans="2:16" s="9" customFormat="1" x14ac:dyDescent="0.2">
      <c r="B299" s="10"/>
      <c r="C299" s="11"/>
      <c r="D299" s="63"/>
      <c r="E299" s="11"/>
      <c r="F299" s="65"/>
      <c r="G299" s="12"/>
      <c r="H299" s="41"/>
      <c r="I299" s="30"/>
      <c r="J299" s="30"/>
      <c r="K299" s="97"/>
      <c r="L299" s="11"/>
      <c r="M299" s="11"/>
      <c r="N299" s="11"/>
      <c r="O299" s="11"/>
      <c r="P299" s="82"/>
    </row>
    <row r="300" spans="2:16" s="9" customFormat="1" x14ac:dyDescent="0.2">
      <c r="B300" s="10"/>
      <c r="C300" s="11"/>
      <c r="D300" s="63"/>
      <c r="E300" s="11"/>
      <c r="F300" s="65"/>
      <c r="G300" s="12"/>
      <c r="H300" s="41"/>
      <c r="I300" s="30"/>
      <c r="J300" s="30"/>
      <c r="K300" s="97"/>
      <c r="L300" s="11"/>
      <c r="M300" s="11"/>
      <c r="N300" s="11"/>
      <c r="O300" s="11"/>
      <c r="P300" s="82"/>
    </row>
    <row r="301" spans="2:16" s="9" customFormat="1" x14ac:dyDescent="0.2">
      <c r="B301" s="10"/>
      <c r="C301" s="11"/>
      <c r="D301" s="63"/>
      <c r="E301" s="11"/>
      <c r="F301" s="65"/>
      <c r="G301" s="12"/>
      <c r="H301" s="41"/>
      <c r="I301" s="30"/>
      <c r="J301" s="30"/>
      <c r="K301" s="97"/>
      <c r="L301" s="11"/>
      <c r="M301" s="11"/>
      <c r="N301" s="11"/>
      <c r="O301" s="11"/>
      <c r="P301" s="82"/>
    </row>
    <row r="302" spans="2:16" s="9" customFormat="1" x14ac:dyDescent="0.2">
      <c r="B302" s="10"/>
      <c r="C302" s="11"/>
      <c r="D302" s="63"/>
      <c r="E302" s="11"/>
      <c r="F302" s="65"/>
      <c r="G302" s="12"/>
      <c r="H302" s="41"/>
      <c r="I302" s="30"/>
      <c r="J302" s="30"/>
      <c r="K302" s="97"/>
      <c r="L302" s="11"/>
      <c r="M302" s="11"/>
      <c r="N302" s="11"/>
      <c r="O302" s="11"/>
      <c r="P302" s="82"/>
    </row>
    <row r="303" spans="2:16" s="9" customFormat="1" x14ac:dyDescent="0.2">
      <c r="B303" s="10"/>
      <c r="C303" s="11"/>
      <c r="D303" s="63"/>
      <c r="E303" s="11"/>
      <c r="F303" s="65"/>
      <c r="G303" s="12"/>
      <c r="H303" s="41"/>
      <c r="I303" s="30"/>
      <c r="J303" s="30"/>
      <c r="K303" s="97"/>
      <c r="L303" s="11"/>
      <c r="M303" s="11"/>
      <c r="N303" s="11"/>
      <c r="O303" s="11"/>
      <c r="P303" s="82"/>
    </row>
    <row r="304" spans="2:16" s="9" customFormat="1" x14ac:dyDescent="0.2">
      <c r="B304" s="10"/>
      <c r="C304" s="11"/>
      <c r="D304" s="63"/>
      <c r="E304" s="11"/>
      <c r="F304" s="65"/>
      <c r="G304" s="12"/>
      <c r="H304" s="41"/>
      <c r="I304" s="30"/>
      <c r="J304" s="30"/>
      <c r="K304" s="97"/>
      <c r="L304" s="11"/>
      <c r="M304" s="11"/>
      <c r="N304" s="11"/>
      <c r="O304" s="11"/>
      <c r="P304" s="82"/>
    </row>
    <row r="305" spans="2:16" s="9" customFormat="1" x14ac:dyDescent="0.2">
      <c r="B305" s="10"/>
      <c r="C305" s="11"/>
      <c r="D305" s="63"/>
      <c r="E305" s="11"/>
      <c r="F305" s="65"/>
      <c r="G305" s="12"/>
      <c r="H305" s="41"/>
      <c r="I305" s="30"/>
      <c r="J305" s="30"/>
      <c r="K305" s="97"/>
      <c r="L305" s="11"/>
      <c r="M305" s="11"/>
      <c r="N305" s="11"/>
      <c r="O305" s="11"/>
      <c r="P305" s="82"/>
    </row>
    <row r="306" spans="2:16" s="9" customFormat="1" x14ac:dyDescent="0.2">
      <c r="B306" s="10"/>
      <c r="C306" s="11"/>
      <c r="D306" s="63"/>
      <c r="E306" s="11"/>
      <c r="F306" s="65"/>
      <c r="G306" s="12"/>
      <c r="H306" s="41"/>
      <c r="I306" s="30"/>
      <c r="J306" s="30"/>
      <c r="K306" s="97"/>
      <c r="L306" s="11"/>
      <c r="M306" s="11"/>
      <c r="N306" s="11"/>
      <c r="O306" s="11"/>
      <c r="P306" s="82"/>
    </row>
    <row r="307" spans="2:16" s="9" customFormat="1" x14ac:dyDescent="0.2">
      <c r="B307" s="10"/>
      <c r="C307" s="11"/>
      <c r="D307" s="63"/>
      <c r="E307" s="11"/>
      <c r="F307" s="65"/>
      <c r="G307" s="12"/>
      <c r="H307" s="41"/>
      <c r="I307" s="30"/>
      <c r="J307" s="30"/>
      <c r="K307" s="97"/>
      <c r="L307" s="11"/>
      <c r="M307" s="11"/>
      <c r="N307" s="11"/>
      <c r="O307" s="11"/>
      <c r="P307" s="82"/>
    </row>
    <row r="308" spans="2:16" s="9" customFormat="1" x14ac:dyDescent="0.2">
      <c r="B308" s="10"/>
      <c r="C308" s="11"/>
      <c r="D308" s="63"/>
      <c r="E308" s="11"/>
      <c r="F308" s="65"/>
      <c r="G308" s="12"/>
      <c r="H308" s="41"/>
      <c r="I308" s="30"/>
      <c r="J308" s="30"/>
      <c r="K308" s="97"/>
      <c r="L308" s="11"/>
      <c r="M308" s="11"/>
      <c r="N308" s="11"/>
      <c r="O308" s="11"/>
      <c r="P308" s="82"/>
    </row>
    <row r="309" spans="2:16" s="9" customFormat="1" x14ac:dyDescent="0.2">
      <c r="B309" s="10"/>
      <c r="C309" s="11"/>
      <c r="D309" s="63"/>
      <c r="E309" s="11"/>
      <c r="F309" s="65"/>
      <c r="G309" s="12"/>
      <c r="H309" s="41"/>
      <c r="I309" s="30"/>
      <c r="J309" s="30"/>
      <c r="K309" s="97"/>
      <c r="L309" s="11"/>
      <c r="M309" s="11"/>
      <c r="N309" s="11"/>
      <c r="O309" s="11"/>
      <c r="P309" s="82"/>
    </row>
    <row r="310" spans="2:16" s="9" customFormat="1" x14ac:dyDescent="0.2">
      <c r="B310" s="10"/>
      <c r="C310" s="11"/>
      <c r="D310" s="63"/>
      <c r="E310" s="11"/>
      <c r="F310" s="65"/>
      <c r="G310" s="12"/>
      <c r="H310" s="41"/>
      <c r="I310" s="30"/>
      <c r="J310" s="30"/>
      <c r="K310" s="97"/>
      <c r="L310" s="11"/>
      <c r="M310" s="11"/>
      <c r="N310" s="11"/>
      <c r="O310" s="11"/>
      <c r="P310" s="82"/>
    </row>
    <row r="311" spans="2:16" s="9" customFormat="1" x14ac:dyDescent="0.2">
      <c r="B311" s="10"/>
      <c r="C311" s="11"/>
      <c r="D311" s="63"/>
      <c r="E311" s="11"/>
      <c r="F311" s="65"/>
      <c r="G311" s="12"/>
      <c r="H311" s="41"/>
      <c r="I311" s="30"/>
      <c r="J311" s="30"/>
      <c r="K311" s="97"/>
      <c r="L311" s="11"/>
      <c r="M311" s="11"/>
      <c r="N311" s="11"/>
      <c r="O311" s="11"/>
      <c r="P311" s="82"/>
    </row>
    <row r="312" spans="2:16" s="9" customFormat="1" x14ac:dyDescent="0.2">
      <c r="B312" s="10"/>
      <c r="C312" s="11"/>
      <c r="D312" s="63"/>
      <c r="E312" s="11"/>
      <c r="F312" s="65"/>
      <c r="G312" s="12"/>
      <c r="H312" s="41"/>
      <c r="I312" s="30"/>
      <c r="J312" s="30"/>
      <c r="K312" s="97"/>
      <c r="L312" s="11"/>
      <c r="M312" s="11"/>
      <c r="N312" s="11"/>
      <c r="O312" s="11"/>
      <c r="P312" s="82"/>
    </row>
    <row r="313" spans="2:16" s="9" customFormat="1" x14ac:dyDescent="0.2">
      <c r="B313" s="10"/>
      <c r="C313" s="11"/>
      <c r="D313" s="63"/>
      <c r="E313" s="11"/>
      <c r="F313" s="65"/>
      <c r="G313" s="12"/>
      <c r="H313" s="41"/>
      <c r="I313" s="30"/>
      <c r="J313" s="30"/>
      <c r="K313" s="97"/>
      <c r="L313" s="11"/>
      <c r="M313" s="11"/>
      <c r="N313" s="11"/>
      <c r="O313" s="11"/>
      <c r="P313" s="82"/>
    </row>
    <row r="314" spans="2:16" s="9" customFormat="1" x14ac:dyDescent="0.2">
      <c r="B314" s="10"/>
      <c r="C314" s="11"/>
      <c r="D314" s="63"/>
      <c r="E314" s="11"/>
      <c r="F314" s="65"/>
      <c r="G314" s="12"/>
      <c r="H314" s="41"/>
      <c r="I314" s="30"/>
      <c r="J314" s="30"/>
      <c r="K314" s="97"/>
      <c r="L314" s="11"/>
      <c r="M314" s="11"/>
      <c r="N314" s="11"/>
      <c r="O314" s="11"/>
      <c r="P314" s="82"/>
    </row>
    <row r="315" spans="2:16" s="9" customFormat="1" x14ac:dyDescent="0.2">
      <c r="B315" s="10"/>
      <c r="C315" s="11"/>
      <c r="D315" s="63"/>
      <c r="E315" s="11"/>
      <c r="F315" s="65"/>
      <c r="G315" s="12"/>
      <c r="H315" s="41"/>
      <c r="I315" s="30"/>
      <c r="J315" s="30"/>
      <c r="K315" s="97"/>
      <c r="L315" s="11"/>
      <c r="M315" s="11"/>
      <c r="N315" s="11"/>
      <c r="O315" s="11"/>
      <c r="P315" s="82"/>
    </row>
    <row r="316" spans="2:16" s="9" customFormat="1" x14ac:dyDescent="0.2">
      <c r="B316" s="10"/>
      <c r="C316" s="11"/>
      <c r="D316" s="63"/>
      <c r="E316" s="11"/>
      <c r="F316" s="65"/>
      <c r="G316" s="12"/>
      <c r="H316" s="41"/>
      <c r="I316" s="30"/>
      <c r="J316" s="30"/>
      <c r="K316" s="97"/>
      <c r="L316" s="11"/>
      <c r="M316" s="11"/>
      <c r="N316" s="11"/>
      <c r="O316" s="11"/>
      <c r="P316" s="82"/>
    </row>
    <row r="317" spans="2:16" s="9" customFormat="1" x14ac:dyDescent="0.2">
      <c r="B317" s="10"/>
      <c r="C317" s="11"/>
      <c r="D317" s="63"/>
      <c r="E317" s="11"/>
      <c r="F317" s="65"/>
      <c r="G317" s="12"/>
      <c r="H317" s="41"/>
      <c r="I317" s="30"/>
      <c r="J317" s="30"/>
      <c r="K317" s="97"/>
      <c r="L317" s="11"/>
      <c r="M317" s="11"/>
      <c r="N317" s="11"/>
      <c r="O317" s="11"/>
      <c r="P317" s="82"/>
    </row>
    <row r="318" spans="2:16" s="9" customFormat="1" x14ac:dyDescent="0.2">
      <c r="B318" s="10"/>
      <c r="C318" s="11"/>
      <c r="D318" s="63"/>
      <c r="E318" s="11"/>
      <c r="F318" s="65"/>
      <c r="G318" s="12"/>
      <c r="H318" s="41"/>
      <c r="I318" s="30"/>
      <c r="J318" s="30"/>
      <c r="K318" s="97"/>
      <c r="L318" s="11"/>
      <c r="M318" s="11"/>
      <c r="N318" s="11"/>
      <c r="O318" s="11"/>
      <c r="P318" s="82"/>
    </row>
    <row r="319" spans="2:16" s="9" customFormat="1" x14ac:dyDescent="0.2">
      <c r="B319" s="10"/>
      <c r="C319" s="11"/>
      <c r="D319" s="63"/>
      <c r="E319" s="11"/>
      <c r="F319" s="65"/>
      <c r="G319" s="12"/>
      <c r="H319" s="41"/>
      <c r="I319" s="30"/>
      <c r="J319" s="30"/>
      <c r="K319" s="97"/>
      <c r="L319" s="11"/>
      <c r="M319" s="11"/>
      <c r="N319" s="11"/>
      <c r="O319" s="11"/>
      <c r="P319" s="82"/>
    </row>
    <row r="320" spans="2:16" s="9" customFormat="1" x14ac:dyDescent="0.2">
      <c r="B320" s="10"/>
      <c r="C320" s="11"/>
      <c r="D320" s="63"/>
      <c r="E320" s="11"/>
      <c r="F320" s="65"/>
      <c r="G320" s="12"/>
      <c r="H320" s="41"/>
      <c r="I320" s="30"/>
      <c r="J320" s="30"/>
      <c r="K320" s="97"/>
      <c r="L320" s="11"/>
      <c r="M320" s="11"/>
      <c r="N320" s="11"/>
      <c r="O320" s="11"/>
      <c r="P320" s="82"/>
    </row>
    <row r="321" spans="2:16" s="9" customFormat="1" x14ac:dyDescent="0.2">
      <c r="B321" s="10"/>
      <c r="C321" s="11"/>
      <c r="D321" s="63"/>
      <c r="E321" s="11"/>
      <c r="F321" s="65"/>
      <c r="G321" s="12"/>
      <c r="H321" s="41"/>
      <c r="I321" s="30"/>
      <c r="J321" s="30"/>
      <c r="K321" s="97"/>
      <c r="L321" s="11"/>
      <c r="M321" s="11"/>
      <c r="N321" s="11"/>
      <c r="O321" s="11"/>
      <c r="P321" s="82"/>
    </row>
    <row r="322" spans="2:16" s="9" customFormat="1" x14ac:dyDescent="0.2">
      <c r="B322" s="10"/>
      <c r="C322" s="11"/>
      <c r="D322" s="63"/>
      <c r="E322" s="11"/>
      <c r="F322" s="65"/>
      <c r="G322" s="12"/>
      <c r="H322" s="41"/>
      <c r="I322" s="30"/>
      <c r="J322" s="30"/>
      <c r="K322" s="97"/>
      <c r="L322" s="11"/>
      <c r="M322" s="11"/>
      <c r="N322" s="11"/>
      <c r="O322" s="11"/>
      <c r="P322" s="82"/>
    </row>
    <row r="323" spans="2:16" s="9" customFormat="1" x14ac:dyDescent="0.2">
      <c r="B323" s="10"/>
      <c r="C323" s="11"/>
      <c r="D323" s="63"/>
      <c r="E323" s="11"/>
      <c r="F323" s="65"/>
      <c r="G323" s="12"/>
      <c r="H323" s="41"/>
      <c r="I323" s="30"/>
      <c r="J323" s="30"/>
      <c r="K323" s="97"/>
      <c r="L323" s="11"/>
      <c r="M323" s="11"/>
      <c r="N323" s="11"/>
      <c r="O323" s="11"/>
      <c r="P323" s="82"/>
    </row>
    <row r="324" spans="2:16" s="9" customFormat="1" x14ac:dyDescent="0.2">
      <c r="B324" s="10"/>
      <c r="C324" s="11"/>
      <c r="D324" s="63"/>
      <c r="E324" s="11"/>
      <c r="F324" s="65"/>
      <c r="G324" s="12"/>
      <c r="H324" s="41"/>
      <c r="I324" s="30"/>
      <c r="J324" s="30"/>
      <c r="K324" s="97"/>
      <c r="L324" s="11"/>
      <c r="M324" s="11"/>
      <c r="N324" s="11"/>
      <c r="O324" s="11"/>
      <c r="P324" s="82"/>
    </row>
    <row r="325" spans="2:16" s="9" customFormat="1" x14ac:dyDescent="0.2">
      <c r="B325" s="10"/>
      <c r="C325" s="11"/>
      <c r="D325" s="63"/>
      <c r="E325" s="11"/>
      <c r="F325" s="65"/>
      <c r="G325" s="12"/>
      <c r="H325" s="41"/>
      <c r="I325" s="30"/>
      <c r="J325" s="30"/>
      <c r="K325" s="97"/>
      <c r="L325" s="11"/>
      <c r="M325" s="11"/>
      <c r="N325" s="11"/>
      <c r="O325" s="11"/>
      <c r="P325" s="82"/>
    </row>
    <row r="326" spans="2:16" s="9" customFormat="1" x14ac:dyDescent="0.2">
      <c r="B326" s="10"/>
      <c r="C326" s="11"/>
      <c r="D326" s="63"/>
      <c r="E326" s="11"/>
      <c r="F326" s="65"/>
      <c r="G326" s="12"/>
      <c r="H326" s="41"/>
      <c r="I326" s="30"/>
      <c r="J326" s="30"/>
      <c r="K326" s="97"/>
      <c r="L326" s="11"/>
      <c r="M326" s="11"/>
      <c r="N326" s="11"/>
      <c r="O326" s="11"/>
      <c r="P326" s="82"/>
    </row>
    <row r="327" spans="2:16" s="9" customFormat="1" x14ac:dyDescent="0.2">
      <c r="B327" s="10"/>
      <c r="C327" s="11"/>
      <c r="D327" s="63"/>
      <c r="E327" s="11"/>
      <c r="F327" s="65"/>
      <c r="G327" s="12"/>
      <c r="H327" s="41"/>
      <c r="I327" s="30"/>
      <c r="J327" s="30"/>
      <c r="K327" s="97"/>
      <c r="L327" s="11"/>
      <c r="M327" s="11"/>
      <c r="N327" s="11"/>
      <c r="O327" s="11"/>
      <c r="P327" s="82"/>
    </row>
    <row r="328" spans="2:16" s="9" customFormat="1" x14ac:dyDescent="0.2">
      <c r="B328" s="10"/>
      <c r="C328" s="11"/>
      <c r="D328" s="63"/>
      <c r="E328" s="11"/>
      <c r="F328" s="65"/>
      <c r="G328" s="12"/>
      <c r="H328" s="41"/>
      <c r="I328" s="30"/>
      <c r="J328" s="30"/>
      <c r="K328" s="97"/>
      <c r="L328" s="11"/>
      <c r="M328" s="11"/>
      <c r="N328" s="11"/>
      <c r="O328" s="11"/>
      <c r="P328" s="82"/>
    </row>
    <row r="329" spans="2:16" s="9" customFormat="1" x14ac:dyDescent="0.2">
      <c r="B329" s="10"/>
      <c r="C329" s="11"/>
      <c r="D329" s="63"/>
      <c r="E329" s="11"/>
      <c r="F329" s="65"/>
      <c r="G329" s="12"/>
      <c r="H329" s="41"/>
      <c r="I329" s="30"/>
      <c r="J329" s="30"/>
      <c r="K329" s="97"/>
      <c r="L329" s="11"/>
      <c r="M329" s="11"/>
      <c r="N329" s="11"/>
      <c r="O329" s="11"/>
      <c r="P329" s="82"/>
    </row>
    <row r="330" spans="2:16" s="9" customFormat="1" x14ac:dyDescent="0.2">
      <c r="B330" s="10"/>
      <c r="C330" s="11"/>
      <c r="D330" s="63"/>
      <c r="E330" s="11"/>
      <c r="F330" s="65"/>
      <c r="G330" s="12"/>
      <c r="H330" s="41"/>
      <c r="I330" s="30"/>
      <c r="J330" s="30"/>
      <c r="K330" s="97"/>
      <c r="L330" s="11"/>
      <c r="M330" s="11"/>
      <c r="N330" s="11"/>
      <c r="O330" s="11"/>
      <c r="P330" s="82"/>
    </row>
    <row r="331" spans="2:16" s="9" customFormat="1" x14ac:dyDescent="0.2">
      <c r="B331" s="10"/>
      <c r="C331" s="11"/>
      <c r="D331" s="63"/>
      <c r="E331" s="11"/>
      <c r="F331" s="65"/>
      <c r="G331" s="12"/>
      <c r="H331" s="41"/>
      <c r="I331" s="30"/>
      <c r="J331" s="30"/>
      <c r="K331" s="97"/>
      <c r="L331" s="11"/>
      <c r="M331" s="11"/>
      <c r="N331" s="11"/>
      <c r="O331" s="11"/>
      <c r="P331" s="82"/>
    </row>
    <row r="332" spans="2:16" s="9" customFormat="1" x14ac:dyDescent="0.2">
      <c r="B332" s="10"/>
      <c r="C332" s="11"/>
      <c r="D332" s="63"/>
      <c r="E332" s="11"/>
      <c r="F332" s="65"/>
      <c r="G332" s="12"/>
      <c r="H332" s="41"/>
      <c r="I332" s="30"/>
      <c r="J332" s="30"/>
      <c r="K332" s="97"/>
      <c r="L332" s="11"/>
      <c r="M332" s="11"/>
      <c r="N332" s="11"/>
      <c r="O332" s="11"/>
      <c r="P332" s="82"/>
    </row>
    <row r="333" spans="2:16" s="9" customFormat="1" x14ac:dyDescent="0.2">
      <c r="B333" s="10"/>
      <c r="C333" s="11"/>
      <c r="D333" s="63"/>
      <c r="E333" s="11"/>
      <c r="F333" s="65"/>
      <c r="G333" s="12"/>
      <c r="H333" s="41"/>
      <c r="I333" s="30"/>
      <c r="J333" s="30"/>
      <c r="K333" s="97"/>
      <c r="L333" s="11"/>
      <c r="M333" s="11"/>
      <c r="N333" s="11"/>
      <c r="O333" s="11"/>
      <c r="P333" s="82"/>
    </row>
    <row r="334" spans="2:16" s="9" customFormat="1" x14ac:dyDescent="0.2">
      <c r="B334" s="10"/>
      <c r="C334" s="11"/>
      <c r="D334" s="63"/>
      <c r="E334" s="11"/>
      <c r="F334" s="65"/>
      <c r="G334" s="12"/>
      <c r="H334" s="41"/>
      <c r="I334" s="30"/>
      <c r="J334" s="30"/>
      <c r="K334" s="97"/>
      <c r="L334" s="11"/>
      <c r="M334" s="11"/>
      <c r="N334" s="11"/>
      <c r="O334" s="11"/>
      <c r="P334" s="82"/>
    </row>
    <row r="335" spans="2:16" s="9" customFormat="1" x14ac:dyDescent="0.2">
      <c r="B335" s="10"/>
      <c r="C335" s="11"/>
      <c r="D335" s="63"/>
      <c r="E335" s="11"/>
      <c r="F335" s="65"/>
      <c r="G335" s="12"/>
      <c r="H335" s="41"/>
      <c r="I335" s="30"/>
      <c r="J335" s="30"/>
      <c r="K335" s="97"/>
      <c r="L335" s="11"/>
      <c r="M335" s="11"/>
      <c r="N335" s="11"/>
      <c r="O335" s="11"/>
      <c r="P335" s="82"/>
    </row>
    <row r="336" spans="2:16" s="9" customFormat="1" x14ac:dyDescent="0.2">
      <c r="B336" s="10"/>
      <c r="C336" s="11"/>
      <c r="D336" s="63"/>
      <c r="E336" s="11"/>
      <c r="F336" s="65"/>
      <c r="G336" s="12"/>
      <c r="H336" s="41"/>
      <c r="I336" s="30"/>
      <c r="J336" s="30"/>
      <c r="K336" s="97"/>
      <c r="L336" s="11"/>
      <c r="M336" s="11"/>
      <c r="N336" s="11"/>
      <c r="O336" s="11"/>
      <c r="P336" s="82"/>
    </row>
    <row r="337" spans="2:16" s="9" customFormat="1" x14ac:dyDescent="0.2">
      <c r="B337" s="10"/>
      <c r="C337" s="11"/>
      <c r="D337" s="63"/>
      <c r="E337" s="11"/>
      <c r="F337" s="65"/>
      <c r="G337" s="12"/>
      <c r="H337" s="41"/>
      <c r="I337" s="30"/>
      <c r="J337" s="30"/>
      <c r="K337" s="97"/>
      <c r="L337" s="11"/>
      <c r="M337" s="11"/>
      <c r="N337" s="11"/>
      <c r="O337" s="11"/>
      <c r="P337" s="82"/>
    </row>
    <row r="338" spans="2:16" s="9" customFormat="1" x14ac:dyDescent="0.2">
      <c r="B338" s="10"/>
      <c r="C338" s="11"/>
      <c r="D338" s="63"/>
      <c r="E338" s="11"/>
      <c r="F338" s="65"/>
      <c r="G338" s="12"/>
      <c r="H338" s="41"/>
      <c r="I338" s="30"/>
      <c r="J338" s="30"/>
      <c r="K338" s="97"/>
      <c r="L338" s="11"/>
      <c r="M338" s="11"/>
      <c r="N338" s="11"/>
      <c r="O338" s="11"/>
      <c r="P338" s="82"/>
    </row>
    <row r="339" spans="2:16" s="9" customFormat="1" x14ac:dyDescent="0.2">
      <c r="B339" s="10"/>
      <c r="C339" s="11"/>
      <c r="D339" s="63"/>
      <c r="E339" s="11"/>
      <c r="F339" s="65"/>
      <c r="G339" s="12"/>
      <c r="H339" s="41"/>
      <c r="I339" s="30"/>
      <c r="J339" s="30"/>
      <c r="K339" s="97"/>
      <c r="L339" s="11"/>
      <c r="M339" s="11"/>
      <c r="N339" s="11"/>
      <c r="O339" s="11"/>
      <c r="P339" s="82"/>
    </row>
    <row r="340" spans="2:16" s="9" customFormat="1" x14ac:dyDescent="0.2">
      <c r="B340" s="10"/>
      <c r="C340" s="11"/>
      <c r="D340" s="63"/>
      <c r="E340" s="11"/>
      <c r="F340" s="65"/>
      <c r="G340" s="12"/>
      <c r="H340" s="41"/>
      <c r="I340" s="30"/>
      <c r="J340" s="30"/>
      <c r="K340" s="97"/>
      <c r="L340" s="11"/>
      <c r="M340" s="11"/>
      <c r="N340" s="11"/>
      <c r="O340" s="11"/>
      <c r="P340" s="82"/>
    </row>
    <row r="341" spans="2:16" s="9" customFormat="1" x14ac:dyDescent="0.2">
      <c r="B341" s="10"/>
      <c r="C341" s="11"/>
      <c r="D341" s="63"/>
      <c r="E341" s="11"/>
      <c r="F341" s="65"/>
      <c r="G341" s="12"/>
      <c r="H341" s="41"/>
      <c r="I341" s="30"/>
      <c r="J341" s="30"/>
      <c r="K341" s="97"/>
      <c r="L341" s="11"/>
      <c r="M341" s="11"/>
      <c r="N341" s="11"/>
      <c r="O341" s="11"/>
      <c r="P341" s="82"/>
    </row>
    <row r="342" spans="2:16" s="9" customFormat="1" x14ac:dyDescent="0.2">
      <c r="B342" s="10"/>
      <c r="C342" s="11"/>
      <c r="D342" s="63"/>
      <c r="E342" s="11"/>
      <c r="F342" s="65"/>
      <c r="G342" s="12"/>
      <c r="H342" s="41"/>
      <c r="I342" s="30"/>
      <c r="J342" s="30"/>
      <c r="K342" s="97"/>
      <c r="L342" s="11"/>
      <c r="M342" s="11"/>
      <c r="N342" s="11"/>
      <c r="O342" s="11"/>
      <c r="P342" s="82"/>
    </row>
    <row r="343" spans="2:16" s="9" customFormat="1" x14ac:dyDescent="0.2">
      <c r="B343" s="10"/>
      <c r="C343" s="11"/>
      <c r="D343" s="63"/>
      <c r="E343" s="11"/>
      <c r="F343" s="65"/>
      <c r="G343" s="12"/>
      <c r="H343" s="41"/>
      <c r="I343" s="30"/>
      <c r="J343" s="30"/>
      <c r="K343" s="97"/>
      <c r="L343" s="11"/>
      <c r="M343" s="11"/>
      <c r="N343" s="11"/>
      <c r="O343" s="11"/>
      <c r="P343" s="82"/>
    </row>
    <row r="344" spans="2:16" s="9" customFormat="1" x14ac:dyDescent="0.2">
      <c r="B344" s="10"/>
      <c r="C344" s="11"/>
      <c r="D344" s="63"/>
      <c r="E344" s="11"/>
      <c r="F344" s="65"/>
      <c r="G344" s="12"/>
      <c r="H344" s="41"/>
      <c r="I344" s="30"/>
      <c r="J344" s="30"/>
      <c r="K344" s="97"/>
      <c r="L344" s="11"/>
      <c r="M344" s="11"/>
      <c r="N344" s="11"/>
      <c r="O344" s="11"/>
      <c r="P344" s="82"/>
    </row>
    <row r="345" spans="2:16" s="9" customFormat="1" x14ac:dyDescent="0.2">
      <c r="B345" s="10"/>
      <c r="C345" s="11"/>
      <c r="D345" s="63"/>
      <c r="E345" s="11"/>
      <c r="F345" s="65"/>
      <c r="G345" s="12"/>
      <c r="H345" s="41"/>
      <c r="I345" s="30"/>
      <c r="J345" s="30"/>
      <c r="K345" s="97"/>
      <c r="L345" s="11"/>
      <c r="M345" s="11"/>
      <c r="N345" s="11"/>
      <c r="O345" s="11"/>
      <c r="P345" s="82"/>
    </row>
    <row r="346" spans="2:16" s="9" customFormat="1" x14ac:dyDescent="0.2">
      <c r="B346" s="10"/>
      <c r="C346" s="11"/>
      <c r="D346" s="63"/>
      <c r="E346" s="11"/>
      <c r="F346" s="65"/>
      <c r="G346" s="12"/>
      <c r="H346" s="41"/>
      <c r="I346" s="30"/>
      <c r="J346" s="30"/>
      <c r="K346" s="97"/>
      <c r="L346" s="11"/>
      <c r="M346" s="11"/>
      <c r="N346" s="11"/>
      <c r="O346" s="11"/>
      <c r="P346" s="82"/>
    </row>
    <row r="347" spans="2:16" s="9" customFormat="1" x14ac:dyDescent="0.2">
      <c r="B347" s="10"/>
      <c r="C347" s="11"/>
      <c r="D347" s="63"/>
      <c r="E347" s="11"/>
      <c r="F347" s="65"/>
      <c r="G347" s="12"/>
      <c r="H347" s="41"/>
      <c r="I347" s="30"/>
      <c r="J347" s="30"/>
      <c r="K347" s="97"/>
      <c r="L347" s="11"/>
      <c r="M347" s="11"/>
      <c r="N347" s="11"/>
      <c r="O347" s="11"/>
      <c r="P347" s="82"/>
    </row>
    <row r="348" spans="2:16" s="9" customFormat="1" x14ac:dyDescent="0.2">
      <c r="B348" s="10"/>
      <c r="C348" s="11"/>
      <c r="D348" s="63"/>
      <c r="E348" s="11"/>
      <c r="F348" s="65"/>
      <c r="G348" s="12"/>
      <c r="H348" s="41"/>
      <c r="I348" s="30"/>
      <c r="J348" s="30"/>
      <c r="K348" s="97"/>
      <c r="L348" s="11"/>
      <c r="M348" s="11"/>
      <c r="N348" s="11"/>
      <c r="O348" s="11"/>
      <c r="P348" s="82"/>
    </row>
    <row r="349" spans="2:16" s="9" customFormat="1" x14ac:dyDescent="0.2">
      <c r="B349" s="10"/>
      <c r="C349" s="11"/>
      <c r="D349" s="63"/>
      <c r="E349" s="11"/>
      <c r="F349" s="65"/>
      <c r="G349" s="12"/>
      <c r="H349" s="41"/>
      <c r="I349" s="30"/>
      <c r="J349" s="30"/>
      <c r="K349" s="97"/>
      <c r="L349" s="11"/>
      <c r="M349" s="11"/>
      <c r="N349" s="11"/>
      <c r="O349" s="11"/>
      <c r="P349" s="82"/>
    </row>
    <row r="350" spans="2:16" s="9" customFormat="1" x14ac:dyDescent="0.2">
      <c r="B350" s="10"/>
      <c r="C350" s="11"/>
      <c r="D350" s="63"/>
      <c r="E350" s="11"/>
      <c r="F350" s="65"/>
      <c r="G350" s="12"/>
      <c r="H350" s="41"/>
      <c r="I350" s="30"/>
      <c r="J350" s="30"/>
      <c r="K350" s="97"/>
      <c r="L350" s="11"/>
      <c r="M350" s="11"/>
      <c r="N350" s="11"/>
      <c r="O350" s="11"/>
      <c r="P350" s="82"/>
    </row>
    <row r="351" spans="2:16" s="9" customFormat="1" x14ac:dyDescent="0.2">
      <c r="B351" s="10"/>
      <c r="C351" s="11"/>
      <c r="D351" s="63"/>
      <c r="E351" s="11"/>
      <c r="F351" s="65"/>
      <c r="G351" s="12"/>
      <c r="H351" s="41"/>
      <c r="I351" s="30"/>
      <c r="J351" s="30"/>
      <c r="K351" s="97"/>
      <c r="L351" s="11"/>
      <c r="M351" s="11"/>
      <c r="N351" s="11"/>
      <c r="O351" s="11"/>
      <c r="P351" s="82"/>
    </row>
    <row r="352" spans="2:16" s="9" customFormat="1" x14ac:dyDescent="0.2">
      <c r="B352" s="10"/>
      <c r="C352" s="11"/>
      <c r="D352" s="63"/>
      <c r="E352" s="11"/>
      <c r="F352" s="65"/>
      <c r="G352" s="12"/>
      <c r="H352" s="41"/>
      <c r="I352" s="30"/>
      <c r="J352" s="30"/>
      <c r="K352" s="97"/>
      <c r="L352" s="11"/>
      <c r="M352" s="11"/>
      <c r="N352" s="11"/>
      <c r="O352" s="11"/>
      <c r="P352" s="82"/>
    </row>
    <row r="353" spans="2:16" s="9" customFormat="1" x14ac:dyDescent="0.2">
      <c r="B353" s="10"/>
      <c r="C353" s="11"/>
      <c r="D353" s="63"/>
      <c r="E353" s="11"/>
      <c r="F353" s="65"/>
      <c r="G353" s="12"/>
      <c r="H353" s="41"/>
      <c r="I353" s="30"/>
      <c r="J353" s="30"/>
      <c r="K353" s="97"/>
      <c r="L353" s="11"/>
      <c r="M353" s="11"/>
      <c r="N353" s="11"/>
      <c r="O353" s="11"/>
      <c r="P353" s="82"/>
    </row>
    <row r="354" spans="2:16" s="9" customFormat="1" x14ac:dyDescent="0.2">
      <c r="B354" s="10"/>
      <c r="C354" s="11"/>
      <c r="D354" s="63"/>
      <c r="E354" s="11"/>
      <c r="F354" s="65"/>
      <c r="G354" s="12"/>
      <c r="H354" s="41"/>
      <c r="I354" s="30"/>
      <c r="J354" s="30"/>
      <c r="K354" s="97"/>
      <c r="L354" s="11"/>
      <c r="M354" s="11"/>
      <c r="N354" s="11"/>
      <c r="O354" s="11"/>
      <c r="P354" s="82"/>
    </row>
    <row r="355" spans="2:16" s="9" customFormat="1" x14ac:dyDescent="0.2">
      <c r="B355" s="10"/>
      <c r="C355" s="11"/>
      <c r="D355" s="63"/>
      <c r="E355" s="11"/>
      <c r="F355" s="65"/>
      <c r="G355" s="12"/>
      <c r="H355" s="41"/>
      <c r="I355" s="30"/>
      <c r="J355" s="30"/>
      <c r="K355" s="97"/>
      <c r="L355" s="11"/>
      <c r="M355" s="11"/>
      <c r="N355" s="11"/>
      <c r="O355" s="11"/>
      <c r="P355" s="82"/>
    </row>
    <row r="356" spans="2:16" s="9" customFormat="1" x14ac:dyDescent="0.2">
      <c r="B356" s="10"/>
      <c r="C356" s="11"/>
      <c r="D356" s="63"/>
      <c r="E356" s="11"/>
      <c r="F356" s="65"/>
      <c r="G356" s="12"/>
      <c r="H356" s="41"/>
      <c r="I356" s="30"/>
      <c r="J356" s="30"/>
      <c r="K356" s="97"/>
      <c r="L356" s="11"/>
      <c r="M356" s="11"/>
      <c r="N356" s="11"/>
      <c r="O356" s="11"/>
      <c r="P356" s="82"/>
    </row>
    <row r="357" spans="2:16" s="9" customFormat="1" x14ac:dyDescent="0.2">
      <c r="B357" s="10"/>
      <c r="C357" s="11"/>
      <c r="D357" s="63"/>
      <c r="E357" s="11"/>
      <c r="F357" s="65"/>
      <c r="G357" s="12"/>
      <c r="H357" s="41"/>
      <c r="I357" s="30"/>
      <c r="J357" s="30"/>
      <c r="K357" s="97"/>
      <c r="L357" s="11"/>
      <c r="M357" s="11"/>
      <c r="N357" s="11"/>
      <c r="O357" s="11"/>
      <c r="P357" s="82"/>
    </row>
    <row r="358" spans="2:16" s="9" customFormat="1" x14ac:dyDescent="0.2">
      <c r="B358" s="10"/>
      <c r="C358" s="11"/>
      <c r="D358" s="63"/>
      <c r="E358" s="11"/>
      <c r="F358" s="65"/>
      <c r="G358" s="12"/>
      <c r="H358" s="41"/>
      <c r="I358" s="30"/>
      <c r="J358" s="30"/>
      <c r="K358" s="97"/>
      <c r="L358" s="11"/>
      <c r="M358" s="11"/>
      <c r="N358" s="11"/>
      <c r="O358" s="11"/>
      <c r="P358" s="82"/>
    </row>
    <row r="359" spans="2:16" s="9" customFormat="1" x14ac:dyDescent="0.2">
      <c r="B359" s="10"/>
      <c r="C359" s="11"/>
      <c r="D359" s="63"/>
      <c r="E359" s="11"/>
      <c r="F359" s="65"/>
      <c r="G359" s="12"/>
      <c r="H359" s="41"/>
      <c r="I359" s="30"/>
      <c r="J359" s="30"/>
      <c r="K359" s="97"/>
      <c r="L359" s="11"/>
      <c r="M359" s="11"/>
      <c r="N359" s="11"/>
      <c r="O359" s="11"/>
      <c r="P359" s="82"/>
    </row>
    <row r="360" spans="2:16" s="9" customFormat="1" x14ac:dyDescent="0.2">
      <c r="B360" s="10"/>
      <c r="C360" s="11"/>
      <c r="D360" s="63"/>
      <c r="E360" s="11"/>
      <c r="F360" s="65"/>
      <c r="G360" s="12"/>
      <c r="H360" s="41"/>
      <c r="I360" s="30"/>
      <c r="J360" s="30"/>
      <c r="K360" s="97"/>
      <c r="L360" s="11"/>
      <c r="M360" s="11"/>
      <c r="N360" s="11"/>
      <c r="O360" s="11"/>
      <c r="P360" s="82"/>
    </row>
    <row r="361" spans="2:16" s="9" customFormat="1" x14ac:dyDescent="0.2">
      <c r="B361" s="10"/>
      <c r="C361" s="11"/>
      <c r="D361" s="63"/>
      <c r="E361" s="11"/>
      <c r="F361" s="65"/>
      <c r="G361" s="12"/>
      <c r="H361" s="41"/>
      <c r="I361" s="30"/>
      <c r="J361" s="30"/>
      <c r="K361" s="97"/>
      <c r="L361" s="11"/>
      <c r="M361" s="11"/>
      <c r="N361" s="11"/>
      <c r="O361" s="11"/>
      <c r="P361" s="82"/>
    </row>
    <row r="362" spans="2:16" s="9" customFormat="1" x14ac:dyDescent="0.2">
      <c r="B362" s="10"/>
      <c r="C362" s="11"/>
      <c r="D362" s="63"/>
      <c r="E362" s="11"/>
      <c r="F362" s="65"/>
      <c r="G362" s="12"/>
      <c r="H362" s="41"/>
      <c r="I362" s="30"/>
      <c r="J362" s="30"/>
      <c r="K362" s="97"/>
      <c r="L362" s="11"/>
      <c r="M362" s="11"/>
      <c r="N362" s="11"/>
      <c r="O362" s="11"/>
      <c r="P362" s="82"/>
    </row>
    <row r="363" spans="2:16" s="9" customFormat="1" x14ac:dyDescent="0.2">
      <c r="B363" s="10"/>
      <c r="C363" s="11"/>
      <c r="D363" s="63"/>
      <c r="E363" s="11"/>
      <c r="F363" s="65"/>
      <c r="G363" s="12"/>
      <c r="H363" s="41"/>
      <c r="I363" s="30"/>
      <c r="J363" s="30"/>
      <c r="K363" s="97"/>
      <c r="L363" s="11"/>
      <c r="M363" s="11"/>
      <c r="N363" s="11"/>
      <c r="O363" s="11"/>
      <c r="P363" s="82"/>
    </row>
    <row r="364" spans="2:16" s="9" customFormat="1" x14ac:dyDescent="0.2">
      <c r="B364" s="10"/>
      <c r="C364" s="11"/>
      <c r="D364" s="63"/>
      <c r="E364" s="11"/>
      <c r="F364" s="65"/>
      <c r="G364" s="12"/>
      <c r="H364" s="41"/>
      <c r="I364" s="30"/>
      <c r="J364" s="30"/>
      <c r="K364" s="97"/>
      <c r="L364" s="11"/>
      <c r="M364" s="11"/>
      <c r="N364" s="11"/>
      <c r="O364" s="11"/>
      <c r="P364" s="82"/>
    </row>
    <row r="365" spans="2:16" s="9" customFormat="1" x14ac:dyDescent="0.2">
      <c r="B365" s="10"/>
      <c r="C365" s="11"/>
      <c r="D365" s="63"/>
      <c r="E365" s="11"/>
      <c r="F365" s="65"/>
      <c r="G365" s="12"/>
      <c r="H365" s="41"/>
      <c r="I365" s="30"/>
      <c r="J365" s="30"/>
      <c r="K365" s="97"/>
      <c r="L365" s="11"/>
      <c r="M365" s="11"/>
      <c r="N365" s="11"/>
      <c r="O365" s="11"/>
      <c r="P365" s="82"/>
    </row>
    <row r="366" spans="2:16" s="9" customFormat="1" x14ac:dyDescent="0.2">
      <c r="B366" s="10"/>
      <c r="C366" s="11"/>
      <c r="D366" s="63"/>
      <c r="E366" s="11"/>
      <c r="F366" s="65"/>
      <c r="G366" s="12"/>
      <c r="H366" s="41"/>
      <c r="I366" s="30"/>
      <c r="J366" s="30"/>
      <c r="K366" s="97"/>
      <c r="L366" s="11"/>
      <c r="M366" s="11"/>
      <c r="N366" s="11"/>
      <c r="O366" s="11"/>
      <c r="P366" s="82"/>
    </row>
    <row r="367" spans="2:16" s="9" customFormat="1" x14ac:dyDescent="0.2">
      <c r="B367" s="10"/>
      <c r="C367" s="11"/>
      <c r="D367" s="63"/>
      <c r="E367" s="11"/>
      <c r="F367" s="65"/>
      <c r="G367" s="12"/>
      <c r="H367" s="41"/>
      <c r="I367" s="30"/>
      <c r="J367" s="30"/>
      <c r="K367" s="97"/>
      <c r="L367" s="11"/>
      <c r="M367" s="11"/>
      <c r="N367" s="11"/>
      <c r="O367" s="11"/>
      <c r="P367" s="82"/>
    </row>
    <row r="368" spans="2:16" s="9" customFormat="1" x14ac:dyDescent="0.2">
      <c r="B368" s="10"/>
      <c r="C368" s="11"/>
      <c r="D368" s="63"/>
      <c r="E368" s="11"/>
      <c r="F368" s="65"/>
      <c r="G368" s="12"/>
      <c r="H368" s="41"/>
      <c r="I368" s="30"/>
      <c r="J368" s="30"/>
      <c r="K368" s="97"/>
      <c r="L368" s="11"/>
      <c r="M368" s="11"/>
      <c r="N368" s="11"/>
      <c r="O368" s="11"/>
      <c r="P368" s="82"/>
    </row>
    <row r="369" spans="2:16" s="9" customFormat="1" x14ac:dyDescent="0.2">
      <c r="B369" s="10"/>
      <c r="C369" s="11"/>
      <c r="D369" s="63"/>
      <c r="E369" s="11"/>
      <c r="F369" s="65"/>
      <c r="G369" s="12"/>
      <c r="H369" s="41"/>
      <c r="I369" s="30"/>
      <c r="J369" s="30"/>
      <c r="K369" s="97"/>
      <c r="L369" s="11"/>
      <c r="M369" s="11"/>
      <c r="N369" s="11"/>
      <c r="O369" s="11"/>
      <c r="P369" s="82"/>
    </row>
    <row r="370" spans="2:16" s="9" customFormat="1" x14ac:dyDescent="0.2">
      <c r="B370" s="10"/>
      <c r="C370" s="11"/>
      <c r="D370" s="63"/>
      <c r="E370" s="11"/>
      <c r="F370" s="65"/>
      <c r="G370" s="12"/>
      <c r="H370" s="41"/>
      <c r="I370" s="30"/>
      <c r="J370" s="30"/>
      <c r="K370" s="97"/>
      <c r="L370" s="11"/>
      <c r="M370" s="11"/>
      <c r="N370" s="11"/>
      <c r="O370" s="11"/>
      <c r="P370" s="82"/>
    </row>
    <row r="371" spans="2:16" s="9" customFormat="1" x14ac:dyDescent="0.2">
      <c r="B371" s="10"/>
      <c r="C371" s="11"/>
      <c r="D371" s="63"/>
      <c r="E371" s="11"/>
      <c r="F371" s="65"/>
      <c r="G371" s="12"/>
      <c r="H371" s="41"/>
      <c r="I371" s="30"/>
      <c r="J371" s="30"/>
      <c r="K371" s="97"/>
      <c r="L371" s="11"/>
      <c r="M371" s="11"/>
      <c r="N371" s="11"/>
      <c r="O371" s="11"/>
      <c r="P371" s="82"/>
    </row>
    <row r="372" spans="2:16" s="9" customFormat="1" x14ac:dyDescent="0.2">
      <c r="B372" s="10"/>
      <c r="C372" s="11"/>
      <c r="D372" s="63"/>
      <c r="E372" s="11"/>
      <c r="F372" s="65"/>
      <c r="G372" s="12"/>
      <c r="H372" s="41"/>
      <c r="I372" s="30"/>
      <c r="J372" s="30"/>
      <c r="K372" s="97"/>
      <c r="L372" s="11"/>
      <c r="M372" s="11"/>
      <c r="N372" s="11"/>
      <c r="O372" s="11"/>
      <c r="P372" s="82"/>
    </row>
    <row r="373" spans="2:16" s="9" customFormat="1" x14ac:dyDescent="0.2">
      <c r="B373" s="10"/>
      <c r="C373" s="11"/>
      <c r="D373" s="63"/>
      <c r="E373" s="11"/>
      <c r="F373" s="65"/>
      <c r="G373" s="12"/>
      <c r="H373" s="41"/>
      <c r="I373" s="30"/>
      <c r="J373" s="30"/>
      <c r="K373" s="97"/>
      <c r="L373" s="11"/>
      <c r="M373" s="11"/>
      <c r="N373" s="11"/>
      <c r="O373" s="11"/>
      <c r="P373" s="82"/>
    </row>
    <row r="374" spans="2:16" s="9" customFormat="1" x14ac:dyDescent="0.2">
      <c r="B374" s="10"/>
      <c r="C374" s="11"/>
      <c r="D374" s="63"/>
      <c r="E374" s="11"/>
      <c r="F374" s="65"/>
      <c r="G374" s="12"/>
      <c r="H374" s="41"/>
      <c r="I374" s="30"/>
      <c r="J374" s="30"/>
      <c r="K374" s="97"/>
      <c r="L374" s="11"/>
      <c r="M374" s="11"/>
      <c r="N374" s="11"/>
      <c r="O374" s="11"/>
      <c r="P374" s="82"/>
    </row>
    <row r="375" spans="2:16" s="9" customFormat="1" x14ac:dyDescent="0.2">
      <c r="B375" s="10"/>
      <c r="C375" s="11"/>
      <c r="D375" s="63"/>
      <c r="E375" s="11"/>
      <c r="F375" s="65"/>
      <c r="G375" s="12"/>
      <c r="H375" s="41"/>
      <c r="I375" s="30"/>
      <c r="J375" s="30"/>
      <c r="K375" s="97"/>
      <c r="L375" s="11"/>
      <c r="M375" s="11"/>
      <c r="N375" s="11"/>
      <c r="O375" s="11"/>
      <c r="P375" s="82"/>
    </row>
    <row r="376" spans="2:16" s="9" customFormat="1" x14ac:dyDescent="0.2">
      <c r="B376" s="10"/>
      <c r="C376" s="11"/>
      <c r="D376" s="63"/>
      <c r="E376" s="11"/>
      <c r="F376" s="65"/>
      <c r="G376" s="12"/>
      <c r="H376" s="41"/>
      <c r="I376" s="30"/>
      <c r="J376" s="30"/>
      <c r="K376" s="97"/>
      <c r="L376" s="11"/>
      <c r="M376" s="11"/>
      <c r="N376" s="11"/>
      <c r="O376" s="11"/>
      <c r="P376" s="82"/>
    </row>
    <row r="377" spans="2:16" s="9" customFormat="1" x14ac:dyDescent="0.2">
      <c r="B377" s="10"/>
      <c r="C377" s="11"/>
      <c r="D377" s="63"/>
      <c r="E377" s="11"/>
      <c r="F377" s="65"/>
      <c r="G377" s="12"/>
      <c r="H377" s="41"/>
      <c r="I377" s="30"/>
      <c r="J377" s="30"/>
      <c r="K377" s="97"/>
      <c r="L377" s="11"/>
      <c r="M377" s="11"/>
      <c r="N377" s="11"/>
      <c r="O377" s="11"/>
      <c r="P377" s="82"/>
    </row>
    <row r="378" spans="2:16" s="9" customFormat="1" x14ac:dyDescent="0.2">
      <c r="B378" s="10"/>
      <c r="C378" s="11"/>
      <c r="D378" s="63"/>
      <c r="E378" s="11"/>
      <c r="F378" s="65"/>
      <c r="G378" s="12"/>
      <c r="H378" s="41"/>
      <c r="I378" s="30"/>
      <c r="J378" s="30"/>
      <c r="K378" s="97"/>
      <c r="L378" s="11"/>
      <c r="M378" s="11"/>
      <c r="N378" s="11"/>
      <c r="O378" s="11"/>
      <c r="P378" s="82"/>
    </row>
    <row r="379" spans="2:16" s="9" customFormat="1" x14ac:dyDescent="0.2">
      <c r="B379" s="10"/>
      <c r="C379" s="11"/>
      <c r="D379" s="63"/>
      <c r="E379" s="11"/>
      <c r="F379" s="65"/>
      <c r="G379" s="12"/>
      <c r="H379" s="41"/>
      <c r="I379" s="30"/>
      <c r="J379" s="30"/>
      <c r="K379" s="97"/>
      <c r="L379" s="11"/>
      <c r="M379" s="11"/>
      <c r="N379" s="11"/>
      <c r="O379" s="11"/>
      <c r="P379" s="82"/>
    </row>
    <row r="380" spans="2:16" s="9" customFormat="1" x14ac:dyDescent="0.2">
      <c r="B380" s="10"/>
      <c r="C380" s="11"/>
      <c r="D380" s="63"/>
      <c r="E380" s="11"/>
      <c r="F380" s="65"/>
      <c r="G380" s="12"/>
      <c r="H380" s="41"/>
      <c r="I380" s="30"/>
      <c r="J380" s="30"/>
      <c r="K380" s="97"/>
      <c r="L380" s="11"/>
      <c r="M380" s="11"/>
      <c r="N380" s="11"/>
      <c r="O380" s="11"/>
      <c r="P380" s="82"/>
    </row>
    <row r="381" spans="2:16" s="9" customFormat="1" x14ac:dyDescent="0.2">
      <c r="B381" s="10"/>
      <c r="C381" s="11"/>
      <c r="D381" s="63"/>
      <c r="E381" s="11"/>
      <c r="F381" s="65"/>
      <c r="G381" s="12"/>
      <c r="H381" s="41"/>
      <c r="I381" s="30"/>
      <c r="J381" s="30"/>
      <c r="K381" s="97"/>
      <c r="L381" s="11"/>
      <c r="M381" s="11"/>
      <c r="N381" s="11"/>
      <c r="O381" s="11"/>
      <c r="P381" s="82"/>
    </row>
    <row r="382" spans="2:16" s="9" customFormat="1" x14ac:dyDescent="0.2">
      <c r="B382" s="10"/>
      <c r="C382" s="11"/>
      <c r="D382" s="63"/>
      <c r="E382" s="11"/>
      <c r="F382" s="65"/>
      <c r="G382" s="12"/>
      <c r="H382" s="41"/>
      <c r="I382" s="30"/>
      <c r="J382" s="30"/>
      <c r="K382" s="97"/>
      <c r="L382" s="11"/>
      <c r="M382" s="11"/>
      <c r="N382" s="11"/>
      <c r="O382" s="11"/>
      <c r="P382" s="82"/>
    </row>
    <row r="383" spans="2:16" s="9" customFormat="1" x14ac:dyDescent="0.2">
      <c r="B383" s="10"/>
      <c r="C383" s="11"/>
      <c r="D383" s="63"/>
      <c r="E383" s="11"/>
      <c r="F383" s="65"/>
      <c r="G383" s="12"/>
      <c r="H383" s="41"/>
      <c r="I383" s="30"/>
      <c r="J383" s="30"/>
      <c r="K383" s="97"/>
      <c r="L383" s="11"/>
      <c r="M383" s="11"/>
      <c r="N383" s="11"/>
      <c r="O383" s="11"/>
      <c r="P383" s="82"/>
    </row>
    <row r="384" spans="2:16" s="9" customFormat="1" x14ac:dyDescent="0.2">
      <c r="B384" s="10"/>
      <c r="C384" s="11"/>
      <c r="D384" s="63"/>
      <c r="E384" s="11"/>
      <c r="F384" s="65"/>
      <c r="G384" s="12"/>
      <c r="H384" s="41"/>
      <c r="I384" s="30"/>
      <c r="J384" s="30"/>
      <c r="K384" s="97"/>
      <c r="L384" s="11"/>
      <c r="M384" s="11"/>
      <c r="N384" s="11"/>
      <c r="O384" s="11"/>
      <c r="P384" s="82"/>
    </row>
    <row r="385" spans="2:16" s="9" customFormat="1" x14ac:dyDescent="0.2">
      <c r="B385" s="10"/>
      <c r="C385" s="11"/>
      <c r="D385" s="63"/>
      <c r="E385" s="11"/>
      <c r="F385" s="65"/>
      <c r="G385" s="12"/>
      <c r="H385" s="41"/>
      <c r="I385" s="30"/>
      <c r="J385" s="30"/>
      <c r="K385" s="97"/>
      <c r="L385" s="11"/>
      <c r="M385" s="11"/>
      <c r="N385" s="11"/>
      <c r="O385" s="11"/>
      <c r="P385" s="82"/>
    </row>
    <row r="386" spans="2:16" s="9" customFormat="1" x14ac:dyDescent="0.2">
      <c r="B386" s="10"/>
      <c r="C386" s="11"/>
      <c r="D386" s="63"/>
      <c r="E386" s="11"/>
      <c r="F386" s="65"/>
      <c r="G386" s="12"/>
      <c r="H386" s="41"/>
      <c r="I386" s="30"/>
      <c r="J386" s="30"/>
      <c r="K386" s="97"/>
      <c r="L386" s="11"/>
      <c r="M386" s="11"/>
      <c r="N386" s="11"/>
      <c r="O386" s="11"/>
      <c r="P386" s="82"/>
    </row>
    <row r="387" spans="2:16" s="9" customFormat="1" x14ac:dyDescent="0.2">
      <c r="B387" s="10"/>
      <c r="C387" s="11"/>
      <c r="D387" s="63"/>
      <c r="E387" s="11"/>
      <c r="F387" s="65"/>
      <c r="G387" s="12"/>
      <c r="H387" s="41"/>
      <c r="I387" s="30"/>
      <c r="J387" s="30"/>
      <c r="K387" s="97"/>
      <c r="L387" s="11"/>
      <c r="M387" s="11"/>
      <c r="N387" s="11"/>
      <c r="O387" s="11"/>
      <c r="P387" s="82"/>
    </row>
    <row r="388" spans="2:16" s="9" customFormat="1" x14ac:dyDescent="0.2">
      <c r="B388" s="10"/>
      <c r="C388" s="11"/>
      <c r="D388" s="63"/>
      <c r="E388" s="11"/>
      <c r="F388" s="65"/>
      <c r="G388" s="12"/>
      <c r="H388" s="41"/>
      <c r="I388" s="30"/>
      <c r="J388" s="30"/>
      <c r="K388" s="97"/>
      <c r="L388" s="11"/>
      <c r="M388" s="11"/>
      <c r="N388" s="11"/>
      <c r="O388" s="11"/>
      <c r="P388" s="82"/>
    </row>
    <row r="389" spans="2:16" s="9" customFormat="1" x14ac:dyDescent="0.2">
      <c r="B389" s="10"/>
      <c r="C389" s="11"/>
      <c r="D389" s="63"/>
      <c r="E389" s="11"/>
      <c r="F389" s="65"/>
      <c r="G389" s="12"/>
      <c r="H389" s="41"/>
      <c r="I389" s="30"/>
      <c r="J389" s="30"/>
      <c r="K389" s="97"/>
      <c r="L389" s="11"/>
      <c r="M389" s="11"/>
      <c r="N389" s="11"/>
      <c r="O389" s="11"/>
      <c r="P389" s="82"/>
    </row>
    <row r="390" spans="2:16" s="9" customFormat="1" x14ac:dyDescent="0.2">
      <c r="B390" s="10"/>
      <c r="C390" s="11"/>
      <c r="D390" s="63"/>
      <c r="E390" s="11"/>
      <c r="F390" s="65"/>
      <c r="G390" s="12"/>
      <c r="H390" s="41"/>
      <c r="I390" s="30"/>
      <c r="J390" s="30"/>
      <c r="K390" s="97"/>
      <c r="L390" s="11"/>
      <c r="M390" s="11"/>
      <c r="N390" s="11"/>
      <c r="O390" s="11"/>
      <c r="P390" s="82"/>
    </row>
    <row r="391" spans="2:16" s="9" customFormat="1" x14ac:dyDescent="0.2">
      <c r="B391" s="10"/>
      <c r="C391" s="11"/>
      <c r="D391" s="63"/>
      <c r="E391" s="11"/>
      <c r="F391" s="65"/>
      <c r="G391" s="12"/>
      <c r="H391" s="41"/>
      <c r="I391" s="30"/>
      <c r="J391" s="30"/>
      <c r="K391" s="97"/>
      <c r="L391" s="11"/>
      <c r="M391" s="11"/>
      <c r="N391" s="11"/>
      <c r="O391" s="11"/>
      <c r="P391" s="82"/>
    </row>
    <row r="392" spans="2:16" s="9" customFormat="1" x14ac:dyDescent="0.2">
      <c r="B392" s="10"/>
      <c r="C392" s="11"/>
      <c r="D392" s="63"/>
      <c r="E392" s="11"/>
      <c r="F392" s="65"/>
      <c r="G392" s="12"/>
      <c r="H392" s="41"/>
      <c r="I392" s="30"/>
      <c r="J392" s="30"/>
      <c r="K392" s="97"/>
      <c r="L392" s="11"/>
      <c r="M392" s="11"/>
      <c r="N392" s="11"/>
      <c r="O392" s="11"/>
      <c r="P392" s="82"/>
    </row>
    <row r="393" spans="2:16" s="9" customFormat="1" x14ac:dyDescent="0.2">
      <c r="B393" s="10"/>
      <c r="C393" s="11"/>
      <c r="D393" s="63"/>
      <c r="E393" s="11"/>
      <c r="F393" s="65"/>
      <c r="G393" s="12"/>
      <c r="H393" s="41"/>
      <c r="I393" s="30"/>
      <c r="J393" s="30"/>
      <c r="K393" s="97"/>
      <c r="L393" s="11"/>
      <c r="M393" s="11"/>
      <c r="N393" s="11"/>
      <c r="O393" s="11"/>
      <c r="P393" s="82"/>
    </row>
    <row r="394" spans="2:16" s="9" customFormat="1" x14ac:dyDescent="0.2">
      <c r="B394" s="10"/>
      <c r="C394" s="11"/>
      <c r="D394" s="63"/>
      <c r="E394" s="11"/>
      <c r="F394" s="65"/>
      <c r="G394" s="12"/>
      <c r="H394" s="41"/>
      <c r="I394" s="30"/>
      <c r="J394" s="30"/>
      <c r="K394" s="97"/>
      <c r="L394" s="11"/>
      <c r="M394" s="11"/>
      <c r="N394" s="11"/>
      <c r="O394" s="11"/>
      <c r="P394" s="82"/>
    </row>
    <row r="395" spans="2:16" s="9" customFormat="1" x14ac:dyDescent="0.2">
      <c r="B395" s="10"/>
      <c r="C395" s="11"/>
      <c r="D395" s="63"/>
      <c r="E395" s="11"/>
      <c r="F395" s="65"/>
      <c r="G395" s="12"/>
      <c r="H395" s="41"/>
      <c r="I395" s="30"/>
      <c r="J395" s="30"/>
      <c r="K395" s="97"/>
      <c r="L395" s="11"/>
      <c r="M395" s="11"/>
      <c r="N395" s="11"/>
      <c r="O395" s="11"/>
      <c r="P395" s="82"/>
    </row>
    <row r="396" spans="2:16" s="9" customFormat="1" x14ac:dyDescent="0.2">
      <c r="B396" s="10"/>
      <c r="C396" s="11"/>
      <c r="D396" s="63"/>
      <c r="E396" s="11"/>
      <c r="F396" s="65"/>
      <c r="G396" s="12"/>
      <c r="H396" s="41"/>
      <c r="I396" s="30"/>
      <c r="J396" s="30"/>
      <c r="K396" s="97"/>
      <c r="L396" s="11"/>
      <c r="M396" s="11"/>
      <c r="N396" s="11"/>
      <c r="O396" s="11"/>
      <c r="P396" s="82"/>
    </row>
    <row r="397" spans="2:16" s="9" customFormat="1" x14ac:dyDescent="0.2">
      <c r="B397" s="10"/>
      <c r="C397" s="11"/>
      <c r="D397" s="63"/>
      <c r="E397" s="11"/>
      <c r="F397" s="65"/>
      <c r="G397" s="12"/>
      <c r="H397" s="41"/>
      <c r="I397" s="30"/>
      <c r="J397" s="30"/>
      <c r="K397" s="97"/>
      <c r="L397" s="11"/>
      <c r="M397" s="11"/>
      <c r="N397" s="11"/>
      <c r="O397" s="11"/>
      <c r="P397" s="82"/>
    </row>
    <row r="398" spans="2:16" s="9" customFormat="1" x14ac:dyDescent="0.2">
      <c r="B398" s="10"/>
      <c r="C398" s="11"/>
      <c r="D398" s="63"/>
      <c r="E398" s="11"/>
      <c r="F398" s="65"/>
      <c r="G398" s="12"/>
      <c r="H398" s="41"/>
      <c r="I398" s="30"/>
      <c r="J398" s="30"/>
      <c r="K398" s="97"/>
      <c r="L398" s="11"/>
      <c r="M398" s="11"/>
      <c r="N398" s="11"/>
      <c r="O398" s="11"/>
      <c r="P398" s="82"/>
    </row>
    <row r="399" spans="2:16" s="9" customFormat="1" x14ac:dyDescent="0.2">
      <c r="B399" s="10"/>
      <c r="C399" s="11"/>
      <c r="D399" s="63"/>
      <c r="E399" s="11"/>
      <c r="F399" s="65"/>
      <c r="G399" s="12"/>
      <c r="H399" s="41"/>
      <c r="I399" s="30"/>
      <c r="J399" s="30"/>
      <c r="K399" s="97"/>
      <c r="L399" s="11"/>
      <c r="M399" s="11"/>
      <c r="N399" s="11"/>
      <c r="O399" s="11"/>
      <c r="P399" s="82"/>
    </row>
    <row r="400" spans="2:16" s="9" customFormat="1" x14ac:dyDescent="0.2">
      <c r="B400" s="10"/>
      <c r="C400" s="11"/>
      <c r="D400" s="63"/>
      <c r="E400" s="11"/>
      <c r="F400" s="65"/>
      <c r="G400" s="12"/>
      <c r="H400" s="41"/>
      <c r="I400" s="30"/>
      <c r="J400" s="30"/>
      <c r="K400" s="97"/>
      <c r="L400" s="11"/>
      <c r="M400" s="11"/>
      <c r="N400" s="11"/>
      <c r="O400" s="11"/>
      <c r="P400" s="82"/>
    </row>
    <row r="401" spans="2:16" s="9" customFormat="1" x14ac:dyDescent="0.2">
      <c r="B401" s="10"/>
      <c r="C401" s="11"/>
      <c r="D401" s="63"/>
      <c r="E401" s="11"/>
      <c r="F401" s="65"/>
      <c r="G401" s="12"/>
      <c r="H401" s="41"/>
      <c r="I401" s="30"/>
      <c r="J401" s="30"/>
      <c r="K401" s="97"/>
      <c r="L401" s="11"/>
      <c r="M401" s="11"/>
      <c r="N401" s="11"/>
      <c r="O401" s="11"/>
      <c r="P401" s="82"/>
    </row>
    <row r="402" spans="2:16" s="9" customFormat="1" x14ac:dyDescent="0.2">
      <c r="B402" s="10"/>
      <c r="C402" s="11"/>
      <c r="D402" s="63"/>
      <c r="E402" s="11"/>
      <c r="F402" s="65"/>
      <c r="G402" s="12"/>
      <c r="H402" s="41"/>
      <c r="I402" s="30"/>
      <c r="J402" s="30"/>
      <c r="K402" s="97"/>
      <c r="L402" s="11"/>
      <c r="M402" s="11"/>
      <c r="N402" s="11"/>
      <c r="O402" s="11"/>
      <c r="P402" s="82"/>
    </row>
    <row r="403" spans="2:16" s="9" customFormat="1" x14ac:dyDescent="0.2">
      <c r="B403" s="10"/>
      <c r="C403" s="11"/>
      <c r="D403" s="63"/>
      <c r="E403" s="11"/>
      <c r="F403" s="65"/>
      <c r="G403" s="12"/>
      <c r="H403" s="41"/>
      <c r="I403" s="30"/>
      <c r="J403" s="30"/>
      <c r="K403" s="97"/>
      <c r="L403" s="11"/>
      <c r="M403" s="11"/>
      <c r="N403" s="11"/>
      <c r="O403" s="11"/>
      <c r="P403" s="82"/>
    </row>
    <row r="404" spans="2:16" s="9" customFormat="1" x14ac:dyDescent="0.2">
      <c r="B404" s="10"/>
      <c r="C404" s="11"/>
      <c r="D404" s="63"/>
      <c r="E404" s="11"/>
      <c r="F404" s="65"/>
      <c r="G404" s="12"/>
      <c r="H404" s="41"/>
      <c r="I404" s="30"/>
      <c r="J404" s="30"/>
      <c r="K404" s="97"/>
      <c r="L404" s="11"/>
      <c r="M404" s="11"/>
      <c r="N404" s="11"/>
      <c r="O404" s="11"/>
      <c r="P404" s="82"/>
    </row>
    <row r="405" spans="2:16" s="9" customFormat="1" x14ac:dyDescent="0.2">
      <c r="B405" s="10"/>
      <c r="C405" s="11"/>
      <c r="D405" s="63"/>
      <c r="E405" s="11"/>
      <c r="F405" s="65"/>
      <c r="G405" s="12"/>
      <c r="H405" s="41"/>
      <c r="I405" s="30"/>
      <c r="J405" s="30"/>
      <c r="K405" s="97"/>
      <c r="L405" s="11"/>
      <c r="M405" s="11"/>
      <c r="N405" s="11"/>
      <c r="O405" s="11"/>
      <c r="P405" s="82"/>
    </row>
    <row r="406" spans="2:16" s="9" customFormat="1" x14ac:dyDescent="0.2">
      <c r="B406" s="10"/>
      <c r="C406" s="11"/>
      <c r="D406" s="63"/>
      <c r="E406" s="11"/>
      <c r="F406" s="65"/>
      <c r="G406" s="12"/>
      <c r="H406" s="41"/>
      <c r="I406" s="30"/>
      <c r="J406" s="30"/>
      <c r="K406" s="97"/>
      <c r="L406" s="11"/>
      <c r="M406" s="11"/>
      <c r="N406" s="11"/>
      <c r="O406" s="11"/>
      <c r="P406" s="82"/>
    </row>
    <row r="407" spans="2:16" s="9" customFormat="1" x14ac:dyDescent="0.2">
      <c r="B407" s="10"/>
      <c r="C407" s="11"/>
      <c r="D407" s="63"/>
      <c r="E407" s="11"/>
      <c r="F407" s="65"/>
      <c r="G407" s="12"/>
      <c r="H407" s="41"/>
      <c r="I407" s="30"/>
      <c r="J407" s="30"/>
      <c r="K407" s="97"/>
      <c r="L407" s="11"/>
      <c r="M407" s="11"/>
      <c r="N407" s="11"/>
      <c r="O407" s="11"/>
      <c r="P407" s="82"/>
    </row>
    <row r="408" spans="2:16" s="9" customFormat="1" x14ac:dyDescent="0.2">
      <c r="B408" s="10"/>
      <c r="C408" s="11"/>
      <c r="D408" s="63"/>
      <c r="E408" s="11"/>
      <c r="F408" s="65"/>
      <c r="G408" s="12"/>
      <c r="H408" s="41"/>
      <c r="I408" s="30"/>
      <c r="J408" s="30"/>
      <c r="K408" s="97"/>
      <c r="L408" s="11"/>
      <c r="M408" s="11"/>
      <c r="N408" s="11"/>
      <c r="O408" s="11"/>
      <c r="P408" s="82"/>
    </row>
    <row r="409" spans="2:16" s="9" customFormat="1" x14ac:dyDescent="0.2">
      <c r="B409" s="10"/>
      <c r="C409" s="11"/>
      <c r="D409" s="63"/>
      <c r="E409" s="11"/>
      <c r="F409" s="65"/>
      <c r="G409" s="12"/>
      <c r="H409" s="41"/>
      <c r="I409" s="30"/>
      <c r="J409" s="30"/>
      <c r="K409" s="97"/>
      <c r="L409" s="11"/>
      <c r="M409" s="11"/>
      <c r="N409" s="11"/>
      <c r="O409" s="11"/>
      <c r="P409" s="82"/>
    </row>
    <row r="410" spans="2:16" s="9" customFormat="1" x14ac:dyDescent="0.2">
      <c r="B410" s="10"/>
      <c r="C410" s="11"/>
      <c r="D410" s="63"/>
      <c r="E410" s="11"/>
      <c r="F410" s="65"/>
      <c r="G410" s="12"/>
      <c r="H410" s="41"/>
      <c r="I410" s="30"/>
      <c r="J410" s="30"/>
      <c r="K410" s="97"/>
      <c r="L410" s="11"/>
      <c r="M410" s="11"/>
      <c r="N410" s="11"/>
      <c r="O410" s="11"/>
      <c r="P410" s="82"/>
    </row>
    <row r="411" spans="2:16" s="9" customFormat="1" x14ac:dyDescent="0.2">
      <c r="B411" s="10"/>
      <c r="C411" s="11"/>
      <c r="D411" s="63"/>
      <c r="E411" s="11"/>
      <c r="F411" s="65"/>
      <c r="G411" s="12"/>
      <c r="H411" s="41"/>
      <c r="I411" s="30"/>
      <c r="J411" s="30"/>
      <c r="K411" s="97"/>
      <c r="L411" s="11"/>
      <c r="M411" s="11"/>
      <c r="N411" s="11"/>
      <c r="O411" s="11"/>
      <c r="P411" s="82"/>
    </row>
    <row r="412" spans="2:16" s="9" customFormat="1" x14ac:dyDescent="0.2">
      <c r="B412" s="10"/>
      <c r="C412" s="11"/>
      <c r="D412" s="63"/>
      <c r="E412" s="11"/>
      <c r="F412" s="65"/>
      <c r="G412" s="12"/>
      <c r="H412" s="41"/>
      <c r="I412" s="30"/>
      <c r="J412" s="30"/>
      <c r="K412" s="97"/>
      <c r="L412" s="11"/>
      <c r="M412" s="11"/>
      <c r="N412" s="11"/>
      <c r="O412" s="11"/>
      <c r="P412" s="82"/>
    </row>
    <row r="413" spans="2:16" s="9" customFormat="1" x14ac:dyDescent="0.2">
      <c r="B413" s="10"/>
      <c r="C413" s="11"/>
      <c r="D413" s="63"/>
      <c r="E413" s="11"/>
      <c r="F413" s="65"/>
      <c r="G413" s="12"/>
      <c r="H413" s="41"/>
      <c r="I413" s="30"/>
      <c r="J413" s="30"/>
      <c r="K413" s="97"/>
      <c r="L413" s="11"/>
      <c r="M413" s="11"/>
      <c r="N413" s="11"/>
      <c r="O413" s="11"/>
      <c r="P413" s="82"/>
    </row>
    <row r="414" spans="2:16" s="9" customFormat="1" x14ac:dyDescent="0.2">
      <c r="B414" s="10"/>
      <c r="C414" s="11"/>
      <c r="D414" s="63"/>
      <c r="E414" s="11"/>
      <c r="F414" s="65"/>
      <c r="G414" s="12"/>
      <c r="H414" s="41"/>
      <c r="I414" s="30"/>
      <c r="J414" s="30"/>
      <c r="K414" s="97"/>
      <c r="L414" s="11"/>
      <c r="M414" s="11"/>
      <c r="N414" s="11"/>
      <c r="O414" s="11"/>
      <c r="P414" s="82"/>
    </row>
    <row r="415" spans="2:16" s="9" customFormat="1" x14ac:dyDescent="0.2">
      <c r="B415" s="10"/>
      <c r="C415" s="11"/>
      <c r="D415" s="63"/>
      <c r="E415" s="11"/>
      <c r="F415" s="65"/>
      <c r="G415" s="12"/>
      <c r="H415" s="41"/>
      <c r="I415" s="30"/>
      <c r="J415" s="30"/>
      <c r="K415" s="97"/>
      <c r="L415" s="11"/>
      <c r="M415" s="11"/>
      <c r="N415" s="11"/>
      <c r="O415" s="11"/>
      <c r="P415" s="82"/>
    </row>
    <row r="416" spans="2:16" s="9" customFormat="1" x14ac:dyDescent="0.2">
      <c r="B416" s="10"/>
      <c r="C416" s="11"/>
      <c r="D416" s="63"/>
      <c r="E416" s="11"/>
      <c r="F416" s="65"/>
      <c r="G416" s="12"/>
      <c r="H416" s="41"/>
      <c r="I416" s="30"/>
      <c r="J416" s="30"/>
      <c r="K416" s="97"/>
      <c r="L416" s="11"/>
      <c r="M416" s="11"/>
      <c r="N416" s="11"/>
      <c r="O416" s="11"/>
      <c r="P416" s="82"/>
    </row>
    <row r="417" spans="2:16" s="9" customFormat="1" x14ac:dyDescent="0.2">
      <c r="B417" s="10"/>
      <c r="C417" s="11"/>
      <c r="D417" s="63"/>
      <c r="E417" s="11"/>
      <c r="F417" s="65"/>
      <c r="G417" s="12"/>
      <c r="H417" s="41"/>
      <c r="I417" s="30"/>
      <c r="J417" s="30"/>
      <c r="K417" s="97"/>
      <c r="L417" s="11"/>
      <c r="M417" s="11"/>
      <c r="N417" s="11"/>
      <c r="O417" s="11"/>
      <c r="P417" s="82"/>
    </row>
    <row r="418" spans="2:16" s="9" customFormat="1" x14ac:dyDescent="0.2">
      <c r="B418" s="10"/>
      <c r="C418" s="11"/>
      <c r="D418" s="63"/>
      <c r="E418" s="11"/>
      <c r="F418" s="65"/>
      <c r="G418" s="12"/>
      <c r="H418" s="41"/>
      <c r="I418" s="30"/>
      <c r="J418" s="30"/>
      <c r="K418" s="97"/>
      <c r="L418" s="11"/>
      <c r="M418" s="11"/>
      <c r="N418" s="11"/>
      <c r="O418" s="11"/>
      <c r="P418" s="82"/>
    </row>
    <row r="419" spans="2:16" s="9" customFormat="1" x14ac:dyDescent="0.2">
      <c r="B419" s="10"/>
      <c r="C419" s="11"/>
      <c r="D419" s="63"/>
      <c r="E419" s="11"/>
      <c r="F419" s="65"/>
      <c r="G419" s="12"/>
      <c r="H419" s="41"/>
      <c r="I419" s="30"/>
      <c r="J419" s="30"/>
      <c r="K419" s="97"/>
      <c r="L419" s="11"/>
      <c r="M419" s="11"/>
      <c r="N419" s="11"/>
      <c r="O419" s="11"/>
      <c r="P419" s="82"/>
    </row>
    <row r="420" spans="2:16" s="9" customFormat="1" x14ac:dyDescent="0.2">
      <c r="B420" s="10"/>
      <c r="C420" s="11"/>
      <c r="D420" s="63"/>
      <c r="E420" s="11"/>
      <c r="F420" s="65"/>
      <c r="G420" s="12"/>
      <c r="H420" s="41"/>
      <c r="I420" s="30"/>
      <c r="J420" s="30"/>
      <c r="K420" s="97"/>
      <c r="L420" s="11"/>
      <c r="M420" s="11"/>
      <c r="N420" s="11"/>
      <c r="O420" s="11"/>
      <c r="P420" s="82"/>
    </row>
    <row r="421" spans="2:16" s="9" customFormat="1" x14ac:dyDescent="0.2">
      <c r="B421" s="10"/>
      <c r="C421" s="11"/>
      <c r="D421" s="63"/>
      <c r="E421" s="11"/>
      <c r="F421" s="65"/>
      <c r="G421" s="12"/>
      <c r="H421" s="41"/>
      <c r="I421" s="30"/>
      <c r="J421" s="30"/>
      <c r="K421" s="97"/>
      <c r="L421" s="11"/>
      <c r="M421" s="11"/>
      <c r="N421" s="11"/>
      <c r="O421" s="11"/>
      <c r="P421" s="82"/>
    </row>
    <row r="422" spans="2:16" s="9" customFormat="1" x14ac:dyDescent="0.2">
      <c r="B422" s="10"/>
      <c r="C422" s="11"/>
      <c r="D422" s="63"/>
      <c r="E422" s="11"/>
      <c r="F422" s="65"/>
      <c r="G422" s="12"/>
      <c r="H422" s="41"/>
      <c r="I422" s="30"/>
      <c r="J422" s="30"/>
      <c r="K422" s="97"/>
      <c r="L422" s="11"/>
      <c r="M422" s="11"/>
      <c r="N422" s="11"/>
      <c r="O422" s="11"/>
      <c r="P422" s="82"/>
    </row>
    <row r="423" spans="2:16" s="9" customFormat="1" x14ac:dyDescent="0.2">
      <c r="B423" s="10"/>
      <c r="C423" s="11"/>
      <c r="D423" s="63"/>
      <c r="E423" s="11"/>
      <c r="F423" s="65"/>
      <c r="G423" s="12"/>
      <c r="H423" s="41"/>
      <c r="I423" s="30"/>
      <c r="J423" s="30"/>
      <c r="K423" s="97"/>
      <c r="L423" s="11"/>
      <c r="M423" s="11"/>
      <c r="N423" s="11"/>
      <c r="O423" s="11"/>
      <c r="P423" s="82"/>
    </row>
    <row r="424" spans="2:16" s="9" customFormat="1" x14ac:dyDescent="0.2">
      <c r="B424" s="10"/>
      <c r="C424" s="11"/>
      <c r="D424" s="63"/>
      <c r="E424" s="11"/>
      <c r="F424" s="65"/>
      <c r="G424" s="12"/>
      <c r="H424" s="41"/>
      <c r="I424" s="30"/>
      <c r="J424" s="30"/>
      <c r="K424" s="97"/>
      <c r="L424" s="11"/>
      <c r="M424" s="11"/>
      <c r="N424" s="11"/>
      <c r="O424" s="11"/>
      <c r="P424" s="82"/>
    </row>
    <row r="425" spans="2:16" s="9" customFormat="1" x14ac:dyDescent="0.2">
      <c r="B425" s="10"/>
      <c r="C425" s="11"/>
      <c r="D425" s="63"/>
      <c r="E425" s="11"/>
      <c r="F425" s="65"/>
      <c r="G425" s="12"/>
      <c r="H425" s="41"/>
      <c r="I425" s="30"/>
      <c r="J425" s="30"/>
      <c r="K425" s="97"/>
      <c r="L425" s="11"/>
      <c r="M425" s="11"/>
      <c r="N425" s="11"/>
      <c r="O425" s="11"/>
      <c r="P425" s="82"/>
    </row>
    <row r="426" spans="2:16" s="9" customFormat="1" x14ac:dyDescent="0.2">
      <c r="B426" s="10"/>
      <c r="C426" s="11"/>
      <c r="D426" s="63"/>
      <c r="E426" s="11"/>
      <c r="F426" s="65"/>
      <c r="G426" s="12"/>
      <c r="H426" s="41"/>
      <c r="I426" s="30"/>
      <c r="J426" s="30"/>
      <c r="K426" s="97"/>
      <c r="L426" s="11"/>
      <c r="M426" s="11"/>
      <c r="N426" s="11"/>
      <c r="O426" s="11"/>
      <c r="P426" s="82"/>
    </row>
    <row r="427" spans="2:16" s="9" customFormat="1" x14ac:dyDescent="0.2">
      <c r="B427" s="10"/>
      <c r="C427" s="11"/>
      <c r="D427" s="63"/>
      <c r="E427" s="11"/>
      <c r="F427" s="65"/>
      <c r="G427" s="12"/>
      <c r="H427" s="41"/>
      <c r="I427" s="30"/>
      <c r="J427" s="30"/>
      <c r="K427" s="97"/>
      <c r="L427" s="11"/>
      <c r="M427" s="11"/>
      <c r="N427" s="11"/>
      <c r="O427" s="11"/>
      <c r="P427" s="82"/>
    </row>
    <row r="428" spans="2:16" s="9" customFormat="1" x14ac:dyDescent="0.2">
      <c r="B428" s="10"/>
      <c r="C428" s="11"/>
      <c r="D428" s="63"/>
      <c r="E428" s="11"/>
      <c r="F428" s="65"/>
      <c r="G428" s="12"/>
      <c r="H428" s="41"/>
      <c r="I428" s="30"/>
      <c r="J428" s="30"/>
      <c r="K428" s="97"/>
      <c r="L428" s="11"/>
      <c r="M428" s="11"/>
      <c r="N428" s="11"/>
      <c r="O428" s="11"/>
      <c r="P428" s="82"/>
    </row>
    <row r="429" spans="2:16" s="9" customFormat="1" x14ac:dyDescent="0.2">
      <c r="B429" s="10"/>
      <c r="C429" s="11"/>
      <c r="D429" s="63"/>
      <c r="E429" s="11"/>
      <c r="F429" s="65"/>
      <c r="G429" s="12"/>
      <c r="H429" s="41"/>
      <c r="I429" s="30"/>
      <c r="J429" s="30"/>
      <c r="K429" s="97"/>
      <c r="L429" s="11"/>
      <c r="M429" s="11"/>
      <c r="N429" s="11"/>
      <c r="O429" s="11"/>
      <c r="P429" s="82"/>
    </row>
    <row r="430" spans="2:16" s="9" customFormat="1" x14ac:dyDescent="0.2">
      <c r="B430" s="10"/>
      <c r="C430" s="11"/>
      <c r="D430" s="63"/>
      <c r="E430" s="11"/>
      <c r="F430" s="65"/>
      <c r="G430" s="12"/>
      <c r="H430" s="41"/>
      <c r="I430" s="30"/>
      <c r="J430" s="30"/>
      <c r="K430" s="97"/>
      <c r="L430" s="11"/>
      <c r="M430" s="11"/>
      <c r="N430" s="11"/>
      <c r="O430" s="11"/>
      <c r="P430" s="82"/>
    </row>
    <row r="431" spans="2:16" s="9" customFormat="1" x14ac:dyDescent="0.2">
      <c r="B431" s="10"/>
      <c r="C431" s="11"/>
      <c r="D431" s="63"/>
      <c r="E431" s="11"/>
      <c r="F431" s="65"/>
      <c r="G431" s="12"/>
      <c r="H431" s="41"/>
      <c r="I431" s="30"/>
      <c r="J431" s="30"/>
      <c r="K431" s="97"/>
      <c r="L431" s="11"/>
      <c r="M431" s="11"/>
      <c r="N431" s="11"/>
      <c r="O431" s="11"/>
      <c r="P431" s="82"/>
    </row>
    <row r="432" spans="2:16" s="9" customFormat="1" x14ac:dyDescent="0.2">
      <c r="B432" s="10"/>
      <c r="C432" s="11"/>
      <c r="D432" s="63"/>
      <c r="E432" s="11"/>
      <c r="F432" s="65"/>
      <c r="G432" s="12"/>
      <c r="H432" s="41"/>
      <c r="I432" s="30"/>
      <c r="J432" s="30"/>
      <c r="K432" s="97"/>
      <c r="L432" s="11"/>
      <c r="M432" s="11"/>
      <c r="N432" s="11"/>
      <c r="O432" s="11"/>
      <c r="P432" s="82"/>
    </row>
    <row r="433" spans="2:16" s="9" customFormat="1" x14ac:dyDescent="0.2">
      <c r="B433" s="10"/>
      <c r="C433" s="11"/>
      <c r="D433" s="63"/>
      <c r="E433" s="11"/>
      <c r="F433" s="65"/>
      <c r="G433" s="12"/>
      <c r="H433" s="41"/>
      <c r="I433" s="30"/>
      <c r="J433" s="30"/>
      <c r="K433" s="97"/>
      <c r="L433" s="11"/>
      <c r="M433" s="11"/>
      <c r="N433" s="11"/>
      <c r="O433" s="11"/>
      <c r="P433" s="82"/>
    </row>
    <row r="434" spans="2:16" s="9" customFormat="1" x14ac:dyDescent="0.2">
      <c r="B434" s="10"/>
      <c r="C434" s="11"/>
      <c r="D434" s="63"/>
      <c r="E434" s="11"/>
      <c r="F434" s="65"/>
      <c r="G434" s="12"/>
      <c r="H434" s="41"/>
      <c r="I434" s="30"/>
      <c r="J434" s="30"/>
      <c r="K434" s="97"/>
      <c r="L434" s="11"/>
      <c r="M434" s="11"/>
      <c r="N434" s="11"/>
      <c r="O434" s="11"/>
      <c r="P434" s="82"/>
    </row>
    <row r="435" spans="2:16" s="9" customFormat="1" x14ac:dyDescent="0.2">
      <c r="B435" s="10"/>
      <c r="C435" s="11"/>
      <c r="D435" s="63"/>
      <c r="E435" s="11"/>
      <c r="F435" s="65"/>
      <c r="G435" s="12"/>
      <c r="H435" s="41"/>
      <c r="I435" s="30"/>
      <c r="J435" s="30"/>
      <c r="K435" s="97"/>
      <c r="L435" s="11"/>
      <c r="M435" s="11"/>
      <c r="N435" s="11"/>
      <c r="O435" s="11"/>
      <c r="P435" s="82"/>
    </row>
    <row r="436" spans="2:16" s="9" customFormat="1" x14ac:dyDescent="0.2">
      <c r="B436" s="10"/>
      <c r="C436" s="11"/>
      <c r="D436" s="63"/>
      <c r="E436" s="11"/>
      <c r="F436" s="65"/>
      <c r="G436" s="12"/>
      <c r="H436" s="41"/>
      <c r="I436" s="30"/>
      <c r="J436" s="30"/>
      <c r="K436" s="97"/>
      <c r="L436" s="11"/>
      <c r="M436" s="11"/>
      <c r="N436" s="11"/>
      <c r="O436" s="11"/>
      <c r="P436" s="82"/>
    </row>
    <row r="437" spans="2:16" s="9" customFormat="1" x14ac:dyDescent="0.2">
      <c r="B437" s="10"/>
      <c r="C437" s="11"/>
      <c r="D437" s="63"/>
      <c r="E437" s="11"/>
      <c r="F437" s="65"/>
      <c r="G437" s="12"/>
      <c r="H437" s="41"/>
      <c r="I437" s="30"/>
      <c r="J437" s="30"/>
      <c r="K437" s="97"/>
      <c r="L437" s="11"/>
      <c r="M437" s="11"/>
      <c r="N437" s="11"/>
      <c r="O437" s="11"/>
      <c r="P437" s="82"/>
    </row>
    <row r="438" spans="2:16" s="9" customFormat="1" x14ac:dyDescent="0.2">
      <c r="B438" s="10"/>
      <c r="C438" s="11"/>
      <c r="D438" s="63"/>
      <c r="E438" s="11"/>
      <c r="F438" s="65"/>
      <c r="G438" s="12"/>
      <c r="H438" s="41"/>
      <c r="I438" s="30"/>
      <c r="J438" s="30"/>
      <c r="K438" s="97"/>
      <c r="L438" s="11"/>
      <c r="M438" s="11"/>
      <c r="N438" s="11"/>
      <c r="O438" s="11"/>
      <c r="P438" s="82"/>
    </row>
    <row r="439" spans="2:16" s="9" customFormat="1" x14ac:dyDescent="0.2">
      <c r="B439" s="10"/>
      <c r="C439" s="11"/>
      <c r="D439" s="63"/>
      <c r="E439" s="11"/>
      <c r="F439" s="65"/>
      <c r="G439" s="12"/>
      <c r="H439" s="41"/>
      <c r="I439" s="30"/>
      <c r="J439" s="30"/>
      <c r="K439" s="97"/>
      <c r="L439" s="11"/>
      <c r="M439" s="11"/>
      <c r="N439" s="11"/>
      <c r="O439" s="11"/>
      <c r="P439" s="82"/>
    </row>
    <row r="440" spans="2:16" s="9" customFormat="1" x14ac:dyDescent="0.2">
      <c r="B440" s="10"/>
      <c r="C440" s="11"/>
      <c r="D440" s="63"/>
      <c r="E440" s="11"/>
      <c r="F440" s="65"/>
      <c r="G440" s="12"/>
      <c r="H440" s="41"/>
      <c r="I440" s="30"/>
      <c r="J440" s="30"/>
      <c r="K440" s="97"/>
      <c r="L440" s="11"/>
      <c r="M440" s="11"/>
      <c r="N440" s="11"/>
      <c r="O440" s="11"/>
      <c r="P440" s="82"/>
    </row>
    <row r="441" spans="2:16" s="9" customFormat="1" x14ac:dyDescent="0.2">
      <c r="B441" s="10"/>
      <c r="C441" s="11"/>
      <c r="D441" s="63"/>
      <c r="E441" s="11"/>
      <c r="F441" s="65"/>
      <c r="G441" s="12"/>
      <c r="H441" s="41"/>
      <c r="I441" s="30"/>
      <c r="J441" s="30"/>
      <c r="K441" s="97"/>
      <c r="L441" s="11"/>
      <c r="M441" s="11"/>
      <c r="N441" s="11"/>
      <c r="O441" s="11"/>
      <c r="P441" s="82"/>
    </row>
    <row r="442" spans="2:16" s="9" customFormat="1" x14ac:dyDescent="0.2">
      <c r="B442" s="10"/>
      <c r="C442" s="11"/>
      <c r="D442" s="63"/>
      <c r="E442" s="11"/>
      <c r="F442" s="65"/>
      <c r="G442" s="12"/>
      <c r="H442" s="41"/>
      <c r="I442" s="30"/>
      <c r="J442" s="30"/>
      <c r="K442" s="97"/>
      <c r="L442" s="11"/>
      <c r="M442" s="11"/>
      <c r="N442" s="11"/>
      <c r="O442" s="11"/>
      <c r="P442" s="82"/>
    </row>
    <row r="443" spans="2:16" s="9" customFormat="1" x14ac:dyDescent="0.2">
      <c r="B443" s="10"/>
      <c r="C443" s="11"/>
      <c r="D443" s="63"/>
      <c r="E443" s="11"/>
      <c r="F443" s="65"/>
      <c r="G443" s="12"/>
      <c r="H443" s="41"/>
      <c r="I443" s="30"/>
      <c r="J443" s="30"/>
      <c r="K443" s="97"/>
      <c r="L443" s="11"/>
      <c r="M443" s="11"/>
      <c r="N443" s="11"/>
      <c r="O443" s="11"/>
      <c r="P443" s="82"/>
    </row>
    <row r="444" spans="2:16" s="9" customFormat="1" x14ac:dyDescent="0.2">
      <c r="B444" s="10"/>
      <c r="C444" s="11"/>
      <c r="D444" s="63"/>
      <c r="E444" s="11"/>
      <c r="F444" s="65"/>
      <c r="G444" s="12"/>
      <c r="H444" s="41"/>
      <c r="I444" s="30"/>
      <c r="J444" s="30"/>
      <c r="K444" s="97"/>
      <c r="L444" s="11"/>
      <c r="M444" s="11"/>
      <c r="N444" s="11"/>
      <c r="O444" s="11"/>
      <c r="P444" s="82"/>
    </row>
    <row r="445" spans="2:16" s="9" customFormat="1" x14ac:dyDescent="0.2">
      <c r="B445" s="10"/>
      <c r="C445" s="11"/>
      <c r="D445" s="63"/>
      <c r="E445" s="11"/>
      <c r="F445" s="65"/>
      <c r="G445" s="12"/>
      <c r="H445" s="41"/>
      <c r="I445" s="30"/>
      <c r="J445" s="30"/>
      <c r="K445" s="97"/>
      <c r="L445" s="11"/>
      <c r="M445" s="11"/>
      <c r="N445" s="11"/>
      <c r="O445" s="11"/>
      <c r="P445" s="82"/>
    </row>
    <row r="446" spans="2:16" s="9" customFormat="1" x14ac:dyDescent="0.2">
      <c r="B446" s="10"/>
      <c r="C446" s="11"/>
      <c r="D446" s="63"/>
      <c r="E446" s="11"/>
      <c r="F446" s="65"/>
      <c r="G446" s="12"/>
      <c r="H446" s="41"/>
      <c r="I446" s="30"/>
      <c r="J446" s="30"/>
      <c r="K446" s="97"/>
      <c r="L446" s="11"/>
      <c r="M446" s="11"/>
      <c r="N446" s="11"/>
      <c r="O446" s="11"/>
      <c r="P446" s="82"/>
    </row>
    <row r="447" spans="2:16" s="9" customFormat="1" x14ac:dyDescent="0.2">
      <c r="B447" s="10"/>
      <c r="C447" s="11"/>
      <c r="D447" s="63"/>
      <c r="E447" s="11"/>
      <c r="F447" s="65"/>
      <c r="G447" s="12"/>
      <c r="H447" s="41"/>
      <c r="I447" s="30"/>
      <c r="J447" s="30"/>
      <c r="K447" s="97"/>
      <c r="L447" s="11"/>
      <c r="M447" s="11"/>
      <c r="N447" s="11"/>
      <c r="O447" s="11"/>
      <c r="P447" s="82"/>
    </row>
    <row r="448" spans="2:16" s="9" customFormat="1" x14ac:dyDescent="0.2">
      <c r="B448" s="10"/>
      <c r="C448" s="11"/>
      <c r="D448" s="63"/>
      <c r="E448" s="11"/>
      <c r="F448" s="65"/>
      <c r="G448" s="12"/>
      <c r="H448" s="41"/>
      <c r="I448" s="30"/>
      <c r="J448" s="30"/>
      <c r="K448" s="97"/>
      <c r="L448" s="11"/>
      <c r="M448" s="11"/>
      <c r="N448" s="11"/>
      <c r="O448" s="11"/>
      <c r="P448" s="82"/>
    </row>
    <row r="449" spans="2:16" s="9" customFormat="1" x14ac:dyDescent="0.2">
      <c r="B449" s="10"/>
      <c r="C449" s="11"/>
      <c r="D449" s="63"/>
      <c r="E449" s="11"/>
      <c r="F449" s="65"/>
      <c r="G449" s="12"/>
      <c r="H449" s="41"/>
      <c r="I449" s="30"/>
      <c r="J449" s="30"/>
      <c r="K449" s="97"/>
      <c r="L449" s="11"/>
      <c r="M449" s="11"/>
      <c r="N449" s="11"/>
      <c r="O449" s="11"/>
      <c r="P449" s="82"/>
    </row>
    <row r="450" spans="2:16" s="9" customFormat="1" x14ac:dyDescent="0.2">
      <c r="B450" s="10"/>
      <c r="C450" s="11"/>
      <c r="D450" s="63"/>
      <c r="E450" s="11"/>
      <c r="F450" s="65"/>
      <c r="G450" s="12"/>
      <c r="H450" s="41"/>
      <c r="I450" s="30"/>
      <c r="J450" s="30"/>
      <c r="K450" s="97"/>
      <c r="L450" s="11"/>
      <c r="M450" s="11"/>
      <c r="N450" s="11"/>
      <c r="O450" s="11"/>
      <c r="P450" s="82"/>
    </row>
    <row r="451" spans="2:16" s="9" customFormat="1" x14ac:dyDescent="0.2">
      <c r="B451" s="10"/>
      <c r="C451" s="11"/>
      <c r="D451" s="63"/>
      <c r="E451" s="11"/>
      <c r="F451" s="65"/>
      <c r="G451" s="12"/>
      <c r="H451" s="41"/>
      <c r="I451" s="30"/>
      <c r="J451" s="30"/>
      <c r="K451" s="97"/>
      <c r="L451" s="11"/>
      <c r="M451" s="11"/>
      <c r="N451" s="11"/>
      <c r="O451" s="11"/>
      <c r="P451" s="82"/>
    </row>
    <row r="452" spans="2:16" s="9" customFormat="1" x14ac:dyDescent="0.2">
      <c r="B452" s="10"/>
      <c r="C452" s="11"/>
      <c r="D452" s="63"/>
      <c r="E452" s="11"/>
      <c r="F452" s="65"/>
      <c r="G452" s="12"/>
      <c r="H452" s="41"/>
      <c r="I452" s="30"/>
      <c r="J452" s="30"/>
      <c r="K452" s="97"/>
      <c r="L452" s="11"/>
      <c r="M452" s="11"/>
      <c r="N452" s="11"/>
      <c r="O452" s="11"/>
      <c r="P452" s="82"/>
    </row>
    <row r="453" spans="2:16" s="9" customFormat="1" x14ac:dyDescent="0.2">
      <c r="B453" s="10"/>
      <c r="C453" s="11"/>
      <c r="D453" s="63"/>
      <c r="E453" s="11"/>
      <c r="F453" s="65"/>
      <c r="G453" s="12"/>
      <c r="H453" s="41"/>
      <c r="I453" s="30"/>
      <c r="J453" s="30"/>
      <c r="K453" s="97"/>
      <c r="L453" s="11"/>
      <c r="M453" s="11"/>
      <c r="N453" s="11"/>
      <c r="O453" s="11"/>
      <c r="P453" s="82"/>
    </row>
    <row r="454" spans="2:16" s="9" customFormat="1" x14ac:dyDescent="0.2">
      <c r="B454" s="10"/>
      <c r="C454" s="11"/>
      <c r="D454" s="63"/>
      <c r="E454" s="11"/>
      <c r="F454" s="65"/>
      <c r="G454" s="12"/>
      <c r="H454" s="41"/>
      <c r="I454" s="30"/>
      <c r="J454" s="30"/>
      <c r="K454" s="97"/>
      <c r="L454" s="11"/>
      <c r="M454" s="11"/>
      <c r="N454" s="11"/>
      <c r="O454" s="11"/>
      <c r="P454" s="82"/>
    </row>
    <row r="455" spans="2:16" s="9" customFormat="1" x14ac:dyDescent="0.2">
      <c r="B455" s="10"/>
      <c r="C455" s="11"/>
      <c r="D455" s="63"/>
      <c r="E455" s="11"/>
      <c r="F455" s="65"/>
      <c r="G455" s="12"/>
      <c r="H455" s="41"/>
      <c r="I455" s="30"/>
      <c r="J455" s="30"/>
      <c r="K455" s="97"/>
      <c r="L455" s="11"/>
      <c r="M455" s="11"/>
      <c r="N455" s="11"/>
      <c r="O455" s="11"/>
      <c r="P455" s="82"/>
    </row>
    <row r="456" spans="2:16" s="9" customFormat="1" x14ac:dyDescent="0.2">
      <c r="B456" s="10"/>
      <c r="C456" s="11"/>
      <c r="D456" s="63"/>
      <c r="E456" s="11"/>
      <c r="F456" s="65"/>
      <c r="G456" s="12"/>
      <c r="H456" s="41"/>
      <c r="I456" s="30"/>
      <c r="J456" s="30"/>
      <c r="K456" s="97"/>
      <c r="L456" s="11"/>
      <c r="M456" s="11"/>
      <c r="N456" s="11"/>
      <c r="O456" s="11"/>
      <c r="P456" s="82"/>
    </row>
    <row r="457" spans="2:16" s="9" customFormat="1" x14ac:dyDescent="0.2">
      <c r="B457" s="10"/>
      <c r="C457" s="11"/>
      <c r="D457" s="63"/>
      <c r="E457" s="11"/>
      <c r="F457" s="65"/>
      <c r="G457" s="12"/>
      <c r="H457" s="41"/>
      <c r="I457" s="30"/>
      <c r="J457" s="30"/>
      <c r="K457" s="97"/>
      <c r="L457" s="11"/>
      <c r="M457" s="11"/>
      <c r="N457" s="11"/>
      <c r="O457" s="11"/>
      <c r="P457" s="82"/>
    </row>
    <row r="458" spans="2:16" s="9" customFormat="1" x14ac:dyDescent="0.2">
      <c r="B458" s="10"/>
      <c r="C458" s="11"/>
      <c r="D458" s="63"/>
      <c r="E458" s="11"/>
      <c r="F458" s="65"/>
      <c r="G458" s="12"/>
      <c r="H458" s="41"/>
      <c r="I458" s="30"/>
      <c r="J458" s="30"/>
      <c r="K458" s="97"/>
      <c r="L458" s="11"/>
      <c r="M458" s="11"/>
      <c r="N458" s="11"/>
      <c r="O458" s="11"/>
      <c r="P458" s="82"/>
    </row>
    <row r="459" spans="2:16" s="9" customFormat="1" x14ac:dyDescent="0.2">
      <c r="B459" s="10"/>
      <c r="C459" s="11"/>
      <c r="D459" s="63"/>
      <c r="E459" s="11"/>
      <c r="F459" s="65"/>
      <c r="G459" s="12"/>
      <c r="H459" s="41"/>
      <c r="I459" s="30"/>
      <c r="J459" s="30"/>
      <c r="K459" s="97"/>
      <c r="L459" s="11"/>
      <c r="M459" s="11"/>
      <c r="N459" s="11"/>
      <c r="O459" s="11"/>
      <c r="P459" s="82"/>
    </row>
    <row r="460" spans="2:16" s="9" customFormat="1" x14ac:dyDescent="0.2">
      <c r="B460" s="10"/>
      <c r="C460" s="11"/>
      <c r="D460" s="63"/>
      <c r="E460" s="11"/>
      <c r="F460" s="65"/>
      <c r="G460" s="12"/>
      <c r="H460" s="41"/>
      <c r="I460" s="30"/>
      <c r="J460" s="30"/>
      <c r="K460" s="97"/>
      <c r="L460" s="11"/>
      <c r="M460" s="11"/>
      <c r="N460" s="11"/>
      <c r="O460" s="11"/>
      <c r="P460" s="82"/>
    </row>
    <row r="461" spans="2:16" s="9" customFormat="1" x14ac:dyDescent="0.2">
      <c r="B461" s="10"/>
      <c r="C461" s="11"/>
      <c r="D461" s="63"/>
      <c r="E461" s="11"/>
      <c r="F461" s="65"/>
      <c r="G461" s="12"/>
      <c r="H461" s="41"/>
      <c r="I461" s="30"/>
      <c r="J461" s="30"/>
      <c r="K461" s="97"/>
      <c r="L461" s="11"/>
      <c r="M461" s="11"/>
      <c r="N461" s="11"/>
      <c r="O461" s="11"/>
      <c r="P461" s="82"/>
    </row>
    <row r="462" spans="2:16" s="9" customFormat="1" x14ac:dyDescent="0.2">
      <c r="B462" s="10"/>
      <c r="C462" s="11"/>
      <c r="D462" s="63"/>
      <c r="E462" s="11"/>
      <c r="F462" s="65"/>
      <c r="G462" s="12"/>
      <c r="H462" s="41"/>
      <c r="I462" s="30"/>
      <c r="J462" s="30"/>
      <c r="K462" s="97"/>
      <c r="L462" s="11"/>
      <c r="M462" s="11"/>
      <c r="N462" s="11"/>
      <c r="O462" s="11"/>
      <c r="P462" s="82"/>
    </row>
    <row r="463" spans="2:16" s="9" customFormat="1" x14ac:dyDescent="0.2">
      <c r="B463" s="10"/>
      <c r="C463" s="11"/>
      <c r="D463" s="63"/>
      <c r="E463" s="11"/>
      <c r="F463" s="65"/>
      <c r="G463" s="12"/>
      <c r="H463" s="41"/>
      <c r="I463" s="30"/>
      <c r="J463" s="30"/>
      <c r="K463" s="97"/>
      <c r="L463" s="11"/>
      <c r="M463" s="11"/>
      <c r="N463" s="11"/>
      <c r="O463" s="11"/>
      <c r="P463" s="82"/>
    </row>
    <row r="464" spans="2:16" s="9" customFormat="1" x14ac:dyDescent="0.2">
      <c r="B464" s="10"/>
      <c r="C464" s="11"/>
      <c r="D464" s="63"/>
      <c r="E464" s="11"/>
      <c r="F464" s="65"/>
      <c r="G464" s="12"/>
      <c r="H464" s="41"/>
      <c r="I464" s="30"/>
      <c r="J464" s="30"/>
      <c r="K464" s="97"/>
      <c r="L464" s="11"/>
      <c r="M464" s="11"/>
      <c r="N464" s="11"/>
      <c r="O464" s="11"/>
      <c r="P464" s="82"/>
    </row>
    <row r="465" spans="2:16" s="9" customFormat="1" x14ac:dyDescent="0.2">
      <c r="B465" s="10"/>
      <c r="C465" s="11"/>
      <c r="D465" s="63"/>
      <c r="E465" s="11"/>
      <c r="F465" s="65"/>
      <c r="G465" s="12"/>
      <c r="H465" s="41"/>
      <c r="I465" s="30"/>
      <c r="J465" s="30"/>
      <c r="K465" s="97"/>
      <c r="L465" s="11"/>
      <c r="M465" s="11"/>
      <c r="N465" s="11"/>
      <c r="O465" s="11"/>
      <c r="P465" s="82"/>
    </row>
    <row r="466" spans="2:16" s="9" customFormat="1" x14ac:dyDescent="0.2">
      <c r="B466" s="10"/>
      <c r="C466" s="11"/>
      <c r="D466" s="63"/>
      <c r="E466" s="11"/>
      <c r="F466" s="65"/>
      <c r="G466" s="12"/>
      <c r="H466" s="41"/>
      <c r="I466" s="30"/>
      <c r="J466" s="30"/>
      <c r="K466" s="97"/>
      <c r="L466" s="11"/>
      <c r="M466" s="11"/>
      <c r="N466" s="11"/>
      <c r="O466" s="11"/>
      <c r="P466" s="82"/>
    </row>
    <row r="467" spans="2:16" s="9" customFormat="1" x14ac:dyDescent="0.2">
      <c r="B467" s="10"/>
      <c r="C467" s="11"/>
      <c r="D467" s="63"/>
      <c r="E467" s="11"/>
      <c r="F467" s="65"/>
      <c r="G467" s="12"/>
      <c r="H467" s="41"/>
      <c r="I467" s="30"/>
      <c r="J467" s="30"/>
      <c r="K467" s="97"/>
      <c r="L467" s="11"/>
      <c r="M467" s="11"/>
      <c r="N467" s="11"/>
      <c r="O467" s="11"/>
      <c r="P467" s="82"/>
    </row>
    <row r="468" spans="2:16" s="9" customFormat="1" x14ac:dyDescent="0.2">
      <c r="B468" s="10"/>
      <c r="C468" s="11"/>
      <c r="D468" s="63"/>
      <c r="E468" s="11"/>
      <c r="F468" s="65"/>
      <c r="G468" s="12"/>
      <c r="H468" s="41"/>
      <c r="I468" s="30"/>
      <c r="J468" s="30"/>
      <c r="K468" s="97"/>
      <c r="L468" s="11"/>
      <c r="M468" s="11"/>
      <c r="N468" s="11"/>
      <c r="O468" s="11"/>
      <c r="P468" s="82"/>
    </row>
    <row r="469" spans="2:16" s="9" customFormat="1" x14ac:dyDescent="0.2">
      <c r="B469" s="10"/>
      <c r="C469" s="11"/>
      <c r="D469" s="63"/>
      <c r="E469" s="11"/>
      <c r="F469" s="65"/>
      <c r="G469" s="12"/>
      <c r="H469" s="41"/>
      <c r="I469" s="30"/>
      <c r="J469" s="30"/>
      <c r="K469" s="97"/>
      <c r="L469" s="11"/>
      <c r="M469" s="11"/>
      <c r="N469" s="11"/>
      <c r="O469" s="11"/>
      <c r="P469" s="82"/>
    </row>
    <row r="470" spans="2:16" s="9" customFormat="1" x14ac:dyDescent="0.2">
      <c r="B470" s="10"/>
      <c r="C470" s="11"/>
      <c r="D470" s="63"/>
      <c r="E470" s="11"/>
      <c r="F470" s="65"/>
      <c r="G470" s="12"/>
      <c r="H470" s="41"/>
      <c r="I470" s="30"/>
      <c r="J470" s="30"/>
      <c r="K470" s="97"/>
      <c r="L470" s="11"/>
      <c r="M470" s="11"/>
      <c r="N470" s="11"/>
      <c r="O470" s="11"/>
      <c r="P470" s="82"/>
    </row>
    <row r="471" spans="2:16" s="9" customFormat="1" x14ac:dyDescent="0.2">
      <c r="B471" s="10"/>
      <c r="C471" s="11"/>
      <c r="D471" s="63"/>
      <c r="E471" s="11"/>
      <c r="F471" s="65"/>
      <c r="G471" s="12"/>
      <c r="H471" s="41"/>
      <c r="I471" s="30"/>
      <c r="J471" s="30"/>
      <c r="K471" s="97"/>
      <c r="L471" s="11"/>
      <c r="M471" s="11"/>
      <c r="N471" s="11"/>
      <c r="O471" s="11"/>
      <c r="P471" s="82"/>
    </row>
    <row r="472" spans="2:16" s="9" customFormat="1" x14ac:dyDescent="0.2">
      <c r="B472" s="10"/>
      <c r="C472" s="11"/>
      <c r="D472" s="63"/>
      <c r="E472" s="11"/>
      <c r="F472" s="65"/>
      <c r="G472" s="12"/>
      <c r="H472" s="41"/>
      <c r="I472" s="30"/>
      <c r="J472" s="30"/>
      <c r="K472" s="97"/>
      <c r="L472" s="11"/>
      <c r="M472" s="11"/>
      <c r="N472" s="11"/>
      <c r="O472" s="11"/>
      <c r="P472" s="82"/>
    </row>
    <row r="473" spans="2:16" s="9" customFormat="1" x14ac:dyDescent="0.2">
      <c r="B473" s="10"/>
      <c r="C473" s="11"/>
      <c r="D473" s="63"/>
      <c r="E473" s="11"/>
      <c r="F473" s="65"/>
      <c r="G473" s="12"/>
      <c r="H473" s="41"/>
      <c r="I473" s="30"/>
      <c r="J473" s="30"/>
      <c r="K473" s="97"/>
      <c r="L473" s="11"/>
      <c r="M473" s="11"/>
      <c r="N473" s="11"/>
      <c r="O473" s="11"/>
      <c r="P473" s="82"/>
    </row>
    <row r="474" spans="2:16" s="9" customFormat="1" x14ac:dyDescent="0.2">
      <c r="B474" s="10"/>
      <c r="C474" s="11"/>
      <c r="D474" s="63"/>
      <c r="E474" s="11"/>
      <c r="F474" s="65"/>
      <c r="G474" s="12"/>
      <c r="H474" s="41"/>
      <c r="I474" s="30"/>
      <c r="J474" s="30"/>
      <c r="K474" s="97"/>
      <c r="L474" s="11"/>
      <c r="M474" s="11"/>
      <c r="N474" s="11"/>
      <c r="O474" s="11"/>
      <c r="P474" s="82"/>
    </row>
    <row r="475" spans="2:16" s="9" customFormat="1" x14ac:dyDescent="0.2">
      <c r="B475" s="10"/>
      <c r="C475" s="11"/>
      <c r="D475" s="63"/>
      <c r="E475" s="11"/>
      <c r="F475" s="65"/>
      <c r="G475" s="12"/>
      <c r="H475" s="41"/>
      <c r="I475" s="30"/>
      <c r="J475" s="30"/>
      <c r="K475" s="97"/>
      <c r="L475" s="11"/>
      <c r="M475" s="11"/>
      <c r="N475" s="11"/>
      <c r="O475" s="11"/>
      <c r="P475" s="82"/>
    </row>
    <row r="476" spans="2:16" s="9" customFormat="1" x14ac:dyDescent="0.2">
      <c r="B476" s="10"/>
      <c r="C476" s="11"/>
      <c r="D476" s="63"/>
      <c r="E476" s="11"/>
      <c r="F476" s="65"/>
      <c r="G476" s="12"/>
      <c r="H476" s="41"/>
      <c r="I476" s="30"/>
      <c r="J476" s="30"/>
      <c r="K476" s="97"/>
      <c r="L476" s="11"/>
      <c r="M476" s="11"/>
      <c r="N476" s="11"/>
      <c r="O476" s="11"/>
      <c r="P476" s="82"/>
    </row>
    <row r="477" spans="2:16" s="9" customFormat="1" x14ac:dyDescent="0.2">
      <c r="B477" s="10"/>
      <c r="C477" s="11"/>
      <c r="D477" s="63"/>
      <c r="E477" s="11"/>
      <c r="F477" s="65"/>
      <c r="G477" s="12"/>
      <c r="H477" s="41"/>
      <c r="I477" s="30"/>
      <c r="J477" s="30"/>
      <c r="K477" s="97"/>
      <c r="L477" s="11"/>
      <c r="M477" s="11"/>
      <c r="N477" s="11"/>
      <c r="O477" s="11"/>
      <c r="P477" s="82"/>
    </row>
    <row r="478" spans="2:16" s="9" customFormat="1" x14ac:dyDescent="0.2">
      <c r="B478" s="10"/>
      <c r="C478" s="11"/>
      <c r="D478" s="63"/>
      <c r="E478" s="11"/>
      <c r="F478" s="65"/>
      <c r="G478" s="12"/>
      <c r="H478" s="41"/>
      <c r="I478" s="30"/>
      <c r="J478" s="30"/>
      <c r="K478" s="97"/>
      <c r="L478" s="11"/>
      <c r="M478" s="11"/>
      <c r="N478" s="11"/>
      <c r="O478" s="11"/>
      <c r="P478" s="82"/>
    </row>
    <row r="479" spans="2:16" s="9" customFormat="1" x14ac:dyDescent="0.2">
      <c r="B479" s="10"/>
      <c r="C479" s="11"/>
      <c r="D479" s="63"/>
      <c r="E479" s="11"/>
      <c r="F479" s="65"/>
      <c r="G479" s="12"/>
      <c r="H479" s="41"/>
      <c r="I479" s="30"/>
      <c r="J479" s="30"/>
      <c r="K479" s="97"/>
      <c r="L479" s="11"/>
      <c r="M479" s="11"/>
      <c r="N479" s="11"/>
      <c r="O479" s="11"/>
      <c r="P479" s="82"/>
    </row>
    <row r="480" spans="2:16" s="9" customFormat="1" x14ac:dyDescent="0.2">
      <c r="B480" s="10"/>
      <c r="C480" s="11"/>
      <c r="D480" s="63"/>
      <c r="E480" s="11"/>
      <c r="F480" s="65"/>
      <c r="G480" s="12"/>
      <c r="H480" s="41"/>
      <c r="I480" s="30"/>
      <c r="J480" s="30"/>
      <c r="K480" s="97"/>
      <c r="L480" s="11"/>
      <c r="M480" s="11"/>
      <c r="N480" s="11"/>
      <c r="O480" s="11"/>
      <c r="P480" s="82"/>
    </row>
    <row r="481" spans="2:16" s="9" customFormat="1" x14ac:dyDescent="0.2">
      <c r="B481" s="10"/>
      <c r="C481" s="11"/>
      <c r="D481" s="63"/>
      <c r="E481" s="11"/>
      <c r="F481" s="65"/>
      <c r="G481" s="12"/>
      <c r="H481" s="41"/>
      <c r="I481" s="30"/>
      <c r="J481" s="30"/>
      <c r="K481" s="97"/>
      <c r="L481" s="11"/>
      <c r="M481" s="11"/>
      <c r="N481" s="11"/>
      <c r="O481" s="11"/>
      <c r="P481" s="82"/>
    </row>
    <row r="482" spans="2:16" s="9" customFormat="1" x14ac:dyDescent="0.2">
      <c r="B482" s="10"/>
      <c r="C482" s="11"/>
      <c r="D482" s="63"/>
      <c r="E482" s="11"/>
      <c r="F482" s="65"/>
      <c r="G482" s="12"/>
      <c r="H482" s="41"/>
      <c r="I482" s="30"/>
      <c r="J482" s="30"/>
      <c r="K482" s="97"/>
      <c r="L482" s="11"/>
      <c r="M482" s="11"/>
      <c r="N482" s="11"/>
      <c r="O482" s="11"/>
      <c r="P482" s="82"/>
    </row>
    <row r="483" spans="2:16" s="9" customFormat="1" x14ac:dyDescent="0.2">
      <c r="B483" s="10"/>
      <c r="C483" s="11"/>
      <c r="D483" s="63"/>
      <c r="E483" s="11"/>
      <c r="F483" s="65"/>
      <c r="G483" s="12"/>
      <c r="H483" s="41"/>
      <c r="I483" s="30"/>
      <c r="J483" s="30"/>
      <c r="K483" s="97"/>
      <c r="L483" s="11"/>
      <c r="M483" s="11"/>
      <c r="N483" s="11"/>
      <c r="O483" s="11"/>
      <c r="P483" s="82"/>
    </row>
    <row r="484" spans="2:16" s="9" customFormat="1" x14ac:dyDescent="0.2">
      <c r="B484" s="10"/>
      <c r="C484" s="11"/>
      <c r="D484" s="63"/>
      <c r="E484" s="11"/>
      <c r="F484" s="65"/>
      <c r="G484" s="12"/>
      <c r="H484" s="41"/>
      <c r="I484" s="30"/>
      <c r="J484" s="30"/>
      <c r="K484" s="97"/>
      <c r="L484" s="11"/>
      <c r="M484" s="11"/>
      <c r="N484" s="11"/>
      <c r="O484" s="11"/>
      <c r="P484" s="82"/>
    </row>
    <row r="485" spans="2:16" s="9" customFormat="1" x14ac:dyDescent="0.2">
      <c r="B485" s="10"/>
      <c r="C485" s="11"/>
      <c r="D485" s="63"/>
      <c r="E485" s="11"/>
      <c r="F485" s="65"/>
      <c r="G485" s="12"/>
      <c r="H485" s="41"/>
      <c r="I485" s="30"/>
      <c r="J485" s="30"/>
      <c r="K485" s="97"/>
      <c r="L485" s="11"/>
      <c r="M485" s="11"/>
      <c r="N485" s="11"/>
      <c r="O485" s="11"/>
      <c r="P485" s="82"/>
    </row>
    <row r="486" spans="2:16" s="9" customFormat="1" x14ac:dyDescent="0.2">
      <c r="B486" s="10"/>
      <c r="C486" s="11"/>
      <c r="D486" s="63"/>
      <c r="E486" s="11"/>
      <c r="F486" s="65"/>
      <c r="G486" s="12"/>
      <c r="H486" s="41"/>
      <c r="I486" s="30"/>
      <c r="J486" s="30"/>
      <c r="K486" s="97"/>
      <c r="L486" s="11"/>
      <c r="M486" s="11"/>
      <c r="N486" s="11"/>
      <c r="O486" s="11"/>
      <c r="P486" s="82"/>
    </row>
    <row r="487" spans="2:16" s="9" customFormat="1" x14ac:dyDescent="0.2">
      <c r="B487" s="10"/>
      <c r="C487" s="11"/>
      <c r="D487" s="63"/>
      <c r="E487" s="11"/>
      <c r="F487" s="65"/>
      <c r="G487" s="12"/>
      <c r="H487" s="41"/>
      <c r="I487" s="30"/>
      <c r="J487" s="30"/>
      <c r="K487" s="97"/>
      <c r="L487" s="11"/>
      <c r="M487" s="11"/>
      <c r="N487" s="11"/>
      <c r="O487" s="11"/>
      <c r="P487" s="82"/>
    </row>
    <row r="488" spans="2:16" s="9" customFormat="1" x14ac:dyDescent="0.2">
      <c r="B488" s="10"/>
      <c r="C488" s="11"/>
      <c r="D488" s="63"/>
      <c r="E488" s="11"/>
      <c r="F488" s="65"/>
      <c r="G488" s="12"/>
      <c r="H488" s="41"/>
      <c r="I488" s="30"/>
      <c r="J488" s="30"/>
      <c r="K488" s="97"/>
      <c r="L488" s="11"/>
      <c r="M488" s="11"/>
      <c r="N488" s="11"/>
      <c r="O488" s="11"/>
      <c r="P488" s="82"/>
    </row>
    <row r="489" spans="2:16" s="9" customFormat="1" x14ac:dyDescent="0.2">
      <c r="B489" s="10"/>
      <c r="C489" s="11"/>
      <c r="D489" s="63"/>
      <c r="E489" s="11"/>
      <c r="F489" s="65"/>
      <c r="G489" s="12"/>
      <c r="H489" s="41"/>
      <c r="I489" s="30"/>
      <c r="J489" s="30"/>
      <c r="K489" s="97"/>
      <c r="L489" s="11"/>
      <c r="M489" s="11"/>
      <c r="N489" s="11"/>
      <c r="O489" s="11"/>
      <c r="P489" s="82"/>
    </row>
    <row r="490" spans="2:16" s="9" customFormat="1" x14ac:dyDescent="0.2">
      <c r="B490" s="10"/>
      <c r="C490" s="11"/>
      <c r="D490" s="63"/>
      <c r="E490" s="11"/>
      <c r="F490" s="65"/>
      <c r="G490" s="12"/>
      <c r="H490" s="41"/>
      <c r="I490" s="30"/>
      <c r="J490" s="30"/>
      <c r="K490" s="97"/>
      <c r="L490" s="11"/>
      <c r="M490" s="11"/>
      <c r="N490" s="11"/>
      <c r="O490" s="11"/>
      <c r="P490" s="82"/>
    </row>
    <row r="491" spans="2:16" s="9" customFormat="1" x14ac:dyDescent="0.2">
      <c r="B491" s="10"/>
      <c r="C491" s="11"/>
      <c r="D491" s="63"/>
      <c r="E491" s="11"/>
      <c r="F491" s="65"/>
      <c r="G491" s="12"/>
      <c r="H491" s="41"/>
      <c r="I491" s="30"/>
      <c r="J491" s="30"/>
      <c r="K491" s="97"/>
      <c r="L491" s="11"/>
      <c r="M491" s="11"/>
      <c r="N491" s="11"/>
      <c r="O491" s="11"/>
      <c r="P491" s="82"/>
    </row>
    <row r="492" spans="2:16" s="9" customFormat="1" x14ac:dyDescent="0.2">
      <c r="B492" s="10"/>
      <c r="C492" s="11"/>
      <c r="D492" s="63"/>
      <c r="E492" s="11"/>
      <c r="F492" s="65"/>
      <c r="G492" s="12"/>
      <c r="H492" s="41"/>
      <c r="I492" s="30"/>
      <c r="J492" s="30"/>
      <c r="K492" s="97"/>
      <c r="L492" s="11"/>
      <c r="M492" s="11"/>
      <c r="N492" s="11"/>
      <c r="O492" s="11"/>
      <c r="P492" s="82"/>
    </row>
    <row r="493" spans="2:16" s="9" customFormat="1" x14ac:dyDescent="0.2">
      <c r="B493" s="10"/>
      <c r="C493" s="11"/>
      <c r="D493" s="63"/>
      <c r="E493" s="11"/>
      <c r="F493" s="65"/>
      <c r="G493" s="12"/>
      <c r="H493" s="41"/>
      <c r="I493" s="30"/>
      <c r="J493" s="30"/>
      <c r="K493" s="97"/>
      <c r="L493" s="11"/>
      <c r="M493" s="11"/>
      <c r="N493" s="11"/>
      <c r="O493" s="11"/>
      <c r="P493" s="82"/>
    </row>
    <row r="494" spans="2:16" s="9" customFormat="1" x14ac:dyDescent="0.2">
      <c r="B494" s="10"/>
      <c r="C494" s="11"/>
      <c r="D494" s="63"/>
      <c r="E494" s="11"/>
      <c r="F494" s="65"/>
      <c r="G494" s="12"/>
      <c r="H494" s="41"/>
      <c r="I494" s="30"/>
      <c r="J494" s="30"/>
      <c r="K494" s="97"/>
      <c r="L494" s="11"/>
      <c r="M494" s="11"/>
      <c r="N494" s="11"/>
      <c r="O494" s="11"/>
      <c r="P494" s="82"/>
    </row>
    <row r="495" spans="2:16" s="9" customFormat="1" x14ac:dyDescent="0.2">
      <c r="B495" s="10"/>
      <c r="C495" s="11"/>
      <c r="D495" s="63"/>
      <c r="E495" s="11"/>
      <c r="F495" s="65"/>
      <c r="G495" s="12"/>
      <c r="H495" s="41"/>
      <c r="I495" s="30"/>
      <c r="J495" s="30"/>
      <c r="K495" s="97"/>
      <c r="L495" s="11"/>
      <c r="M495" s="11"/>
      <c r="N495" s="11"/>
      <c r="O495" s="11"/>
      <c r="P495" s="82"/>
    </row>
    <row r="496" spans="2:16" s="9" customFormat="1" x14ac:dyDescent="0.2">
      <c r="B496" s="10"/>
      <c r="C496" s="11"/>
      <c r="D496" s="63"/>
      <c r="E496" s="11"/>
      <c r="F496" s="65"/>
      <c r="G496" s="12"/>
      <c r="H496" s="41"/>
      <c r="I496" s="30"/>
      <c r="J496" s="30"/>
      <c r="K496" s="97"/>
      <c r="L496" s="11"/>
      <c r="M496" s="11"/>
      <c r="N496" s="11"/>
      <c r="O496" s="11"/>
      <c r="P496" s="82"/>
    </row>
    <row r="497" spans="2:16" s="9" customFormat="1" x14ac:dyDescent="0.2">
      <c r="B497" s="10"/>
      <c r="C497" s="11"/>
      <c r="D497" s="63"/>
      <c r="E497" s="11"/>
      <c r="F497" s="65"/>
      <c r="G497" s="12"/>
      <c r="H497" s="41"/>
      <c r="I497" s="30"/>
      <c r="J497" s="30"/>
      <c r="K497" s="97"/>
      <c r="L497" s="11"/>
      <c r="M497" s="11"/>
      <c r="N497" s="11"/>
      <c r="O497" s="11"/>
      <c r="P497" s="82"/>
    </row>
    <row r="498" spans="2:16" s="9" customFormat="1" x14ac:dyDescent="0.2">
      <c r="B498" s="10"/>
      <c r="C498" s="11"/>
      <c r="D498" s="63"/>
      <c r="E498" s="11"/>
      <c r="F498" s="65"/>
      <c r="G498" s="12"/>
      <c r="H498" s="41"/>
      <c r="I498" s="30"/>
      <c r="J498" s="30"/>
      <c r="K498" s="97"/>
      <c r="L498" s="11"/>
      <c r="M498" s="11"/>
      <c r="N498" s="11"/>
      <c r="O498" s="11"/>
      <c r="P498" s="82"/>
    </row>
    <row r="499" spans="2:16" s="9" customFormat="1" x14ac:dyDescent="0.2">
      <c r="B499" s="10"/>
      <c r="C499" s="11"/>
      <c r="D499" s="63"/>
      <c r="E499" s="11"/>
      <c r="F499" s="65"/>
      <c r="G499" s="12"/>
      <c r="H499" s="41"/>
      <c r="I499" s="30"/>
      <c r="J499" s="30"/>
      <c r="K499" s="97"/>
      <c r="L499" s="11"/>
      <c r="M499" s="11"/>
      <c r="N499" s="11"/>
      <c r="O499" s="11"/>
      <c r="P499" s="82"/>
    </row>
    <row r="500" spans="2:16" s="9" customFormat="1" x14ac:dyDescent="0.2">
      <c r="B500" s="10"/>
      <c r="C500" s="11"/>
      <c r="D500" s="63"/>
      <c r="E500" s="11"/>
      <c r="F500" s="65"/>
      <c r="G500" s="12"/>
      <c r="H500" s="41"/>
      <c r="I500" s="30"/>
      <c r="J500" s="30"/>
      <c r="K500" s="97"/>
      <c r="L500" s="11"/>
      <c r="M500" s="11"/>
      <c r="N500" s="11"/>
      <c r="O500" s="11"/>
      <c r="P500" s="82"/>
    </row>
    <row r="501" spans="2:16" s="9" customFormat="1" x14ac:dyDescent="0.2">
      <c r="B501" s="10"/>
      <c r="C501" s="11"/>
      <c r="D501" s="63"/>
      <c r="E501" s="11"/>
      <c r="F501" s="65"/>
      <c r="G501" s="12"/>
      <c r="H501" s="41"/>
      <c r="I501" s="30"/>
      <c r="J501" s="30"/>
      <c r="K501" s="97"/>
      <c r="L501" s="11"/>
      <c r="M501" s="11"/>
      <c r="N501" s="11"/>
      <c r="O501" s="11"/>
      <c r="P501" s="82"/>
    </row>
    <row r="502" spans="2:16" s="9" customFormat="1" x14ac:dyDescent="0.2">
      <c r="B502" s="10"/>
      <c r="C502" s="11"/>
      <c r="D502" s="63"/>
      <c r="E502" s="11"/>
      <c r="F502" s="65"/>
      <c r="G502" s="12"/>
      <c r="H502" s="41"/>
      <c r="I502" s="30"/>
      <c r="J502" s="30"/>
      <c r="K502" s="97"/>
      <c r="L502" s="11"/>
      <c r="M502" s="11"/>
      <c r="N502" s="11"/>
      <c r="O502" s="11"/>
      <c r="P502" s="82"/>
    </row>
    <row r="503" spans="2:16" s="9" customFormat="1" x14ac:dyDescent="0.2">
      <c r="B503" s="10"/>
      <c r="C503" s="11"/>
      <c r="D503" s="63"/>
      <c r="E503" s="11"/>
      <c r="F503" s="65"/>
      <c r="G503" s="12"/>
      <c r="H503" s="41"/>
      <c r="I503" s="30"/>
      <c r="J503" s="30"/>
      <c r="K503" s="97"/>
      <c r="L503" s="11"/>
      <c r="M503" s="11"/>
      <c r="N503" s="11"/>
      <c r="O503" s="11"/>
      <c r="P503" s="82"/>
    </row>
    <row r="504" spans="2:16" s="9" customFormat="1" x14ac:dyDescent="0.2">
      <c r="B504" s="10"/>
      <c r="C504" s="11"/>
      <c r="D504" s="63"/>
      <c r="E504" s="11"/>
      <c r="F504" s="65"/>
      <c r="G504" s="12"/>
      <c r="H504" s="41"/>
      <c r="I504" s="30"/>
      <c r="J504" s="30"/>
      <c r="K504" s="97"/>
      <c r="L504" s="11"/>
      <c r="M504" s="11"/>
      <c r="N504" s="11"/>
      <c r="O504" s="11"/>
      <c r="P504" s="82"/>
    </row>
    <row r="505" spans="2:16" s="9" customFormat="1" x14ac:dyDescent="0.2">
      <c r="B505" s="10"/>
      <c r="C505" s="11"/>
      <c r="D505" s="63"/>
      <c r="E505" s="11"/>
      <c r="F505" s="65"/>
      <c r="G505" s="12"/>
      <c r="H505" s="41"/>
      <c r="I505" s="30"/>
      <c r="J505" s="30"/>
      <c r="K505" s="97"/>
      <c r="L505" s="11"/>
      <c r="M505" s="11"/>
      <c r="N505" s="11"/>
      <c r="O505" s="11"/>
      <c r="P505" s="82"/>
    </row>
    <row r="506" spans="2:16" s="9" customFormat="1" x14ac:dyDescent="0.2">
      <c r="B506" s="10"/>
      <c r="C506" s="11"/>
      <c r="D506" s="63"/>
      <c r="E506" s="11"/>
      <c r="F506" s="65"/>
      <c r="G506" s="12"/>
      <c r="H506" s="41"/>
      <c r="I506" s="30"/>
      <c r="J506" s="30"/>
      <c r="K506" s="97"/>
      <c r="L506" s="11"/>
      <c r="M506" s="11"/>
      <c r="N506" s="11"/>
      <c r="O506" s="11"/>
      <c r="P506" s="82"/>
    </row>
    <row r="507" spans="2:16" s="9" customFormat="1" x14ac:dyDescent="0.2">
      <c r="B507" s="10"/>
      <c r="C507" s="11"/>
      <c r="D507" s="63"/>
      <c r="E507" s="11"/>
      <c r="F507" s="65"/>
      <c r="G507" s="12"/>
      <c r="H507" s="41"/>
      <c r="I507" s="30"/>
      <c r="J507" s="30"/>
      <c r="K507" s="97"/>
      <c r="L507" s="11"/>
      <c r="M507" s="11"/>
      <c r="N507" s="11"/>
      <c r="O507" s="11"/>
      <c r="P507" s="82"/>
    </row>
    <row r="508" spans="2:16" s="9" customFormat="1" x14ac:dyDescent="0.2">
      <c r="B508" s="10"/>
      <c r="C508" s="11"/>
      <c r="D508" s="63"/>
      <c r="E508" s="11"/>
      <c r="F508" s="65"/>
      <c r="G508" s="12"/>
      <c r="H508" s="41"/>
      <c r="I508" s="30"/>
      <c r="J508" s="30"/>
      <c r="K508" s="97"/>
      <c r="L508" s="11"/>
      <c r="M508" s="11"/>
      <c r="N508" s="11"/>
      <c r="O508" s="11"/>
      <c r="P508" s="82"/>
    </row>
    <row r="509" spans="2:16" s="9" customFormat="1" x14ac:dyDescent="0.2">
      <c r="B509" s="10"/>
      <c r="C509" s="11"/>
      <c r="D509" s="63"/>
      <c r="E509" s="11"/>
      <c r="F509" s="65"/>
      <c r="G509" s="12"/>
      <c r="H509" s="41"/>
      <c r="I509" s="30"/>
      <c r="J509" s="30"/>
      <c r="K509" s="97"/>
      <c r="L509" s="11"/>
      <c r="M509" s="11"/>
      <c r="N509" s="11"/>
      <c r="O509" s="11"/>
      <c r="P509" s="82"/>
    </row>
    <row r="510" spans="2:16" s="9" customFormat="1" x14ac:dyDescent="0.2">
      <c r="B510" s="10"/>
      <c r="C510" s="11"/>
      <c r="D510" s="63"/>
      <c r="E510" s="11"/>
      <c r="F510" s="65"/>
      <c r="G510" s="12"/>
      <c r="H510" s="41"/>
      <c r="I510" s="30"/>
      <c r="J510" s="30"/>
      <c r="K510" s="97"/>
      <c r="L510" s="11"/>
      <c r="M510" s="11"/>
      <c r="N510" s="11"/>
      <c r="O510" s="11"/>
      <c r="P510" s="82"/>
    </row>
    <row r="511" spans="2:16" s="9" customFormat="1" x14ac:dyDescent="0.2">
      <c r="B511" s="10"/>
      <c r="C511" s="11"/>
      <c r="D511" s="63"/>
      <c r="E511" s="11"/>
      <c r="F511" s="65"/>
      <c r="G511" s="12"/>
      <c r="H511" s="41"/>
      <c r="I511" s="30"/>
      <c r="J511" s="30"/>
      <c r="K511" s="97"/>
      <c r="L511" s="11"/>
      <c r="M511" s="11"/>
      <c r="N511" s="11"/>
      <c r="O511" s="11"/>
      <c r="P511" s="82"/>
    </row>
    <row r="512" spans="2:16" s="9" customFormat="1" x14ac:dyDescent="0.2">
      <c r="B512" s="10"/>
      <c r="C512" s="11"/>
      <c r="D512" s="63"/>
      <c r="E512" s="11"/>
      <c r="F512" s="65"/>
      <c r="G512" s="12"/>
      <c r="H512" s="41"/>
      <c r="I512" s="30"/>
      <c r="J512" s="30"/>
      <c r="K512" s="97"/>
      <c r="L512" s="11"/>
      <c r="M512" s="11"/>
      <c r="N512" s="11"/>
      <c r="O512" s="11"/>
      <c r="P512" s="82"/>
    </row>
    <row r="513" spans="2:16" s="9" customFormat="1" x14ac:dyDescent="0.2">
      <c r="B513" s="10"/>
      <c r="C513" s="11"/>
      <c r="D513" s="63"/>
      <c r="E513" s="11"/>
      <c r="F513" s="65"/>
      <c r="G513" s="12"/>
      <c r="H513" s="41"/>
      <c r="I513" s="30"/>
      <c r="J513" s="30"/>
      <c r="K513" s="97"/>
      <c r="L513" s="11"/>
      <c r="M513" s="11"/>
      <c r="N513" s="11"/>
      <c r="O513" s="11"/>
      <c r="P513" s="82"/>
    </row>
    <row r="514" spans="2:16" s="9" customFormat="1" x14ac:dyDescent="0.2">
      <c r="B514" s="10"/>
      <c r="C514" s="11"/>
      <c r="D514" s="63"/>
      <c r="E514" s="11"/>
      <c r="F514" s="65"/>
      <c r="G514" s="12"/>
      <c r="H514" s="41"/>
      <c r="I514" s="30"/>
      <c r="J514" s="30"/>
      <c r="K514" s="97"/>
      <c r="L514" s="11"/>
      <c r="M514" s="11"/>
      <c r="N514" s="11"/>
      <c r="O514" s="11"/>
      <c r="P514" s="82"/>
    </row>
    <row r="515" spans="2:16" s="9" customFormat="1" x14ac:dyDescent="0.2">
      <c r="B515" s="10"/>
      <c r="C515" s="11"/>
      <c r="D515" s="63"/>
      <c r="E515" s="11"/>
      <c r="F515" s="65"/>
      <c r="G515" s="12"/>
      <c r="H515" s="41"/>
      <c r="I515" s="30"/>
      <c r="J515" s="30"/>
      <c r="K515" s="97"/>
      <c r="L515" s="11"/>
      <c r="M515" s="11"/>
      <c r="N515" s="11"/>
      <c r="O515" s="11"/>
      <c r="P515" s="82"/>
    </row>
    <row r="516" spans="2:16" s="9" customFormat="1" x14ac:dyDescent="0.2">
      <c r="B516" s="10"/>
      <c r="C516" s="11"/>
      <c r="D516" s="63"/>
      <c r="E516" s="11"/>
      <c r="F516" s="65"/>
      <c r="G516" s="12"/>
      <c r="H516" s="41"/>
      <c r="I516" s="30"/>
      <c r="J516" s="30"/>
      <c r="K516" s="97"/>
      <c r="L516" s="11"/>
      <c r="M516" s="11"/>
      <c r="N516" s="11"/>
      <c r="O516" s="11"/>
      <c r="P516" s="82"/>
    </row>
    <row r="517" spans="2:16" s="9" customFormat="1" x14ac:dyDescent="0.2">
      <c r="B517" s="10"/>
      <c r="C517" s="11"/>
      <c r="D517" s="63"/>
      <c r="E517" s="11"/>
      <c r="F517" s="65"/>
      <c r="G517" s="12"/>
      <c r="H517" s="41"/>
      <c r="I517" s="30"/>
      <c r="J517" s="30"/>
      <c r="K517" s="97"/>
      <c r="L517" s="11"/>
      <c r="M517" s="11"/>
      <c r="N517" s="11"/>
      <c r="O517" s="11"/>
      <c r="P517" s="82"/>
    </row>
    <row r="518" spans="2:16" s="9" customFormat="1" x14ac:dyDescent="0.2">
      <c r="B518" s="10"/>
      <c r="C518" s="11"/>
      <c r="D518" s="63"/>
      <c r="E518" s="11"/>
      <c r="F518" s="65"/>
      <c r="G518" s="12"/>
      <c r="H518" s="41"/>
      <c r="I518" s="30"/>
      <c r="J518" s="30"/>
      <c r="K518" s="97"/>
      <c r="L518" s="11"/>
      <c r="M518" s="11"/>
      <c r="N518" s="11"/>
      <c r="O518" s="11"/>
      <c r="P518" s="82"/>
    </row>
    <row r="519" spans="2:16" s="9" customFormat="1" x14ac:dyDescent="0.2">
      <c r="B519" s="10"/>
      <c r="C519" s="11"/>
      <c r="D519" s="63"/>
      <c r="E519" s="11"/>
      <c r="F519" s="65"/>
      <c r="G519" s="12"/>
      <c r="H519" s="41"/>
      <c r="I519" s="30"/>
      <c r="J519" s="30"/>
      <c r="K519" s="97"/>
      <c r="L519" s="11"/>
      <c r="M519" s="11"/>
      <c r="N519" s="11"/>
      <c r="O519" s="11"/>
      <c r="P519" s="82"/>
    </row>
    <row r="520" spans="2:16" s="9" customFormat="1" x14ac:dyDescent="0.2">
      <c r="B520" s="10"/>
      <c r="C520" s="11"/>
      <c r="D520" s="63"/>
      <c r="E520" s="11"/>
      <c r="F520" s="65"/>
      <c r="G520" s="12"/>
      <c r="H520" s="41"/>
      <c r="I520" s="30"/>
      <c r="J520" s="30"/>
      <c r="K520" s="97"/>
      <c r="L520" s="11"/>
      <c r="M520" s="11"/>
      <c r="N520" s="11"/>
      <c r="O520" s="11"/>
      <c r="P520" s="82"/>
    </row>
    <row r="521" spans="2:16" s="9" customFormat="1" x14ac:dyDescent="0.2">
      <c r="B521" s="10"/>
      <c r="C521" s="11"/>
      <c r="D521" s="63"/>
      <c r="E521" s="11"/>
      <c r="F521" s="65"/>
      <c r="G521" s="12"/>
      <c r="H521" s="41"/>
      <c r="I521" s="30"/>
      <c r="J521" s="30"/>
      <c r="K521" s="97"/>
      <c r="L521" s="11"/>
      <c r="M521" s="11"/>
      <c r="N521" s="11"/>
      <c r="O521" s="11"/>
      <c r="P521" s="82"/>
    </row>
    <row r="522" spans="2:16" s="9" customFormat="1" x14ac:dyDescent="0.2">
      <c r="B522" s="10"/>
      <c r="C522" s="11"/>
      <c r="D522" s="63"/>
      <c r="E522" s="11"/>
      <c r="F522" s="65"/>
      <c r="G522" s="12"/>
      <c r="H522" s="41"/>
      <c r="I522" s="30"/>
      <c r="J522" s="30"/>
      <c r="K522" s="97"/>
      <c r="L522" s="11"/>
      <c r="M522" s="11"/>
      <c r="N522" s="11"/>
      <c r="O522" s="11"/>
      <c r="P522" s="82"/>
    </row>
    <row r="523" spans="2:16" s="9" customFormat="1" x14ac:dyDescent="0.2">
      <c r="B523" s="10"/>
      <c r="C523" s="11"/>
      <c r="D523" s="63"/>
      <c r="E523" s="11"/>
      <c r="F523" s="65"/>
      <c r="G523" s="12"/>
      <c r="H523" s="41"/>
      <c r="I523" s="30"/>
      <c r="J523" s="30"/>
      <c r="K523" s="97"/>
      <c r="L523" s="11"/>
      <c r="M523" s="11"/>
      <c r="N523" s="11"/>
      <c r="O523" s="11"/>
      <c r="P523" s="82"/>
    </row>
    <row r="524" spans="2:16" s="9" customFormat="1" x14ac:dyDescent="0.2">
      <c r="B524" s="10"/>
      <c r="C524" s="11"/>
      <c r="D524" s="63"/>
      <c r="E524" s="11"/>
      <c r="F524" s="65"/>
      <c r="G524" s="12"/>
      <c r="H524" s="41"/>
      <c r="I524" s="30"/>
      <c r="J524" s="30"/>
      <c r="K524" s="97"/>
      <c r="L524" s="11"/>
      <c r="M524" s="11"/>
      <c r="N524" s="11"/>
      <c r="O524" s="11"/>
      <c r="P524" s="82"/>
    </row>
    <row r="525" spans="2:16" s="9" customFormat="1" x14ac:dyDescent="0.2">
      <c r="B525" s="10"/>
      <c r="C525" s="11"/>
      <c r="D525" s="63"/>
      <c r="E525" s="11"/>
      <c r="F525" s="65"/>
      <c r="G525" s="12"/>
      <c r="H525" s="41"/>
      <c r="I525" s="30"/>
      <c r="J525" s="30"/>
      <c r="K525" s="97"/>
      <c r="L525" s="11"/>
      <c r="M525" s="11"/>
      <c r="N525" s="11"/>
      <c r="O525" s="11"/>
      <c r="P525" s="82"/>
    </row>
    <row r="526" spans="2:16" s="9" customFormat="1" x14ac:dyDescent="0.2">
      <c r="B526" s="10"/>
      <c r="C526" s="11"/>
      <c r="D526" s="63"/>
      <c r="E526" s="11"/>
      <c r="F526" s="65"/>
      <c r="G526" s="12"/>
      <c r="H526" s="41"/>
      <c r="I526" s="30"/>
      <c r="J526" s="30"/>
      <c r="K526" s="97"/>
      <c r="L526" s="11"/>
      <c r="M526" s="11"/>
      <c r="N526" s="11"/>
      <c r="O526" s="11"/>
      <c r="P526" s="82"/>
    </row>
    <row r="527" spans="2:16" s="9" customFormat="1" x14ac:dyDescent="0.2">
      <c r="B527" s="10"/>
      <c r="C527" s="11"/>
      <c r="D527" s="63"/>
      <c r="E527" s="11"/>
      <c r="F527" s="65"/>
      <c r="G527" s="12"/>
      <c r="H527" s="41"/>
      <c r="I527" s="30"/>
      <c r="J527" s="30"/>
      <c r="K527" s="97"/>
      <c r="L527" s="11"/>
      <c r="M527" s="11"/>
      <c r="N527" s="11"/>
      <c r="O527" s="11"/>
      <c r="P527" s="82"/>
    </row>
    <row r="528" spans="2:16" s="9" customFormat="1" x14ac:dyDescent="0.2">
      <c r="B528" s="10"/>
      <c r="C528" s="11"/>
      <c r="D528" s="63"/>
      <c r="E528" s="11"/>
      <c r="F528" s="65"/>
      <c r="G528" s="12"/>
      <c r="H528" s="41"/>
      <c r="I528" s="30"/>
      <c r="J528" s="30"/>
      <c r="K528" s="97"/>
      <c r="L528" s="11"/>
      <c r="M528" s="11"/>
      <c r="N528" s="11"/>
      <c r="O528" s="11"/>
      <c r="P528" s="82"/>
    </row>
    <row r="529" spans="2:16" s="9" customFormat="1" x14ac:dyDescent="0.2">
      <c r="B529" s="10"/>
      <c r="C529" s="11"/>
      <c r="D529" s="63"/>
      <c r="E529" s="11"/>
      <c r="F529" s="65"/>
      <c r="G529" s="12"/>
      <c r="H529" s="41"/>
      <c r="I529" s="30"/>
      <c r="J529" s="30"/>
      <c r="K529" s="97"/>
      <c r="L529" s="11"/>
      <c r="M529" s="11"/>
      <c r="N529" s="11"/>
      <c r="O529" s="11"/>
      <c r="P529" s="82"/>
    </row>
    <row r="530" spans="2:16" s="9" customFormat="1" x14ac:dyDescent="0.2">
      <c r="B530" s="10"/>
      <c r="C530" s="11"/>
      <c r="D530" s="63"/>
      <c r="E530" s="11"/>
      <c r="F530" s="65"/>
      <c r="G530" s="12"/>
      <c r="H530" s="41"/>
      <c r="I530" s="30"/>
      <c r="J530" s="30"/>
      <c r="K530" s="97"/>
      <c r="L530" s="11"/>
      <c r="M530" s="11"/>
      <c r="N530" s="11"/>
      <c r="O530" s="11"/>
      <c r="P530" s="82"/>
    </row>
    <row r="531" spans="2:16" s="9" customFormat="1" x14ac:dyDescent="0.2">
      <c r="B531" s="10"/>
      <c r="C531" s="11"/>
      <c r="D531" s="63"/>
      <c r="E531" s="11"/>
      <c r="F531" s="65"/>
      <c r="G531" s="12"/>
      <c r="H531" s="41"/>
      <c r="I531" s="30"/>
      <c r="J531" s="30"/>
      <c r="K531" s="97"/>
      <c r="L531" s="11"/>
      <c r="M531" s="11"/>
      <c r="N531" s="11"/>
      <c r="O531" s="11"/>
      <c r="P531" s="82"/>
    </row>
    <row r="532" spans="2:16" s="9" customFormat="1" x14ac:dyDescent="0.2">
      <c r="B532" s="10"/>
      <c r="C532" s="11"/>
      <c r="D532" s="63"/>
      <c r="E532" s="11"/>
      <c r="F532" s="65"/>
      <c r="G532" s="12"/>
      <c r="H532" s="41"/>
      <c r="I532" s="30"/>
      <c r="J532" s="30"/>
      <c r="K532" s="97"/>
      <c r="L532" s="11"/>
      <c r="M532" s="11"/>
      <c r="N532" s="11"/>
      <c r="O532" s="11"/>
      <c r="P532" s="82"/>
    </row>
    <row r="533" spans="2:16" s="9" customFormat="1" x14ac:dyDescent="0.2">
      <c r="B533" s="10"/>
      <c r="C533" s="11"/>
      <c r="D533" s="63"/>
      <c r="E533" s="11"/>
      <c r="F533" s="65"/>
      <c r="G533" s="12"/>
      <c r="H533" s="41"/>
      <c r="I533" s="30"/>
      <c r="J533" s="30"/>
      <c r="K533" s="97"/>
      <c r="L533" s="11"/>
      <c r="M533" s="11"/>
      <c r="N533" s="11"/>
      <c r="O533" s="11"/>
      <c r="P533" s="82"/>
    </row>
    <row r="534" spans="2:16" s="9" customFormat="1" x14ac:dyDescent="0.2">
      <c r="B534" s="10"/>
      <c r="C534" s="11"/>
      <c r="D534" s="63"/>
      <c r="E534" s="11"/>
      <c r="F534" s="65"/>
      <c r="G534" s="12"/>
      <c r="H534" s="41"/>
      <c r="I534" s="30"/>
      <c r="J534" s="30"/>
      <c r="K534" s="97"/>
      <c r="L534" s="11"/>
      <c r="M534" s="11"/>
      <c r="N534" s="11"/>
      <c r="O534" s="11"/>
      <c r="P534" s="82"/>
    </row>
    <row r="535" spans="2:16" s="9" customFormat="1" x14ac:dyDescent="0.2">
      <c r="B535" s="10"/>
      <c r="C535" s="11"/>
      <c r="D535" s="63"/>
      <c r="E535" s="11"/>
      <c r="F535" s="65"/>
      <c r="G535" s="12"/>
      <c r="H535" s="41"/>
      <c r="I535" s="30"/>
      <c r="J535" s="30"/>
      <c r="K535" s="97"/>
      <c r="L535" s="11"/>
      <c r="M535" s="11"/>
      <c r="N535" s="11"/>
      <c r="O535" s="11"/>
      <c r="P535" s="82"/>
    </row>
    <row r="536" spans="2:16" s="9" customFormat="1" x14ac:dyDescent="0.2">
      <c r="B536" s="10"/>
      <c r="C536" s="11"/>
      <c r="D536" s="63"/>
      <c r="E536" s="11"/>
      <c r="F536" s="65"/>
      <c r="G536" s="12"/>
      <c r="H536" s="41"/>
      <c r="I536" s="30"/>
      <c r="J536" s="30"/>
      <c r="K536" s="97"/>
      <c r="L536" s="11"/>
      <c r="M536" s="11"/>
      <c r="N536" s="11"/>
      <c r="O536" s="11"/>
      <c r="P536" s="82"/>
    </row>
    <row r="537" spans="2:16" s="9" customFormat="1" x14ac:dyDescent="0.2">
      <c r="B537" s="10"/>
      <c r="C537" s="11"/>
      <c r="D537" s="63"/>
      <c r="E537" s="11"/>
      <c r="F537" s="65"/>
      <c r="G537" s="12"/>
      <c r="H537" s="41"/>
      <c r="I537" s="30"/>
      <c r="J537" s="30"/>
      <c r="K537" s="97"/>
      <c r="L537" s="11"/>
      <c r="M537" s="11"/>
      <c r="N537" s="11"/>
      <c r="O537" s="11"/>
      <c r="P537" s="82"/>
    </row>
    <row r="538" spans="2:16" s="9" customFormat="1" x14ac:dyDescent="0.2">
      <c r="B538" s="10"/>
      <c r="C538" s="11"/>
      <c r="D538" s="63"/>
      <c r="E538" s="11"/>
      <c r="F538" s="65"/>
      <c r="G538" s="12"/>
      <c r="H538" s="41"/>
      <c r="I538" s="30"/>
      <c r="J538" s="30"/>
      <c r="K538" s="97"/>
      <c r="L538" s="11"/>
      <c r="M538" s="11"/>
      <c r="N538" s="11"/>
      <c r="O538" s="11"/>
      <c r="P538" s="82"/>
    </row>
    <row r="539" spans="2:16" s="9" customFormat="1" x14ac:dyDescent="0.2">
      <c r="B539" s="10"/>
      <c r="C539" s="11"/>
      <c r="D539" s="63"/>
      <c r="E539" s="11"/>
      <c r="F539" s="65"/>
      <c r="G539" s="12"/>
      <c r="H539" s="41"/>
      <c r="I539" s="30"/>
      <c r="J539" s="30"/>
      <c r="K539" s="97"/>
      <c r="L539" s="11"/>
      <c r="M539" s="11"/>
      <c r="N539" s="11"/>
      <c r="O539" s="11"/>
      <c r="P539" s="82"/>
    </row>
    <row r="540" spans="2:16" s="9" customFormat="1" x14ac:dyDescent="0.2">
      <c r="B540" s="10"/>
      <c r="C540" s="11"/>
      <c r="D540" s="63"/>
      <c r="E540" s="11"/>
      <c r="F540" s="65"/>
      <c r="G540" s="12"/>
      <c r="H540" s="41"/>
      <c r="I540" s="30"/>
      <c r="J540" s="30"/>
      <c r="K540" s="97"/>
      <c r="L540" s="11"/>
      <c r="M540" s="11"/>
      <c r="N540" s="11"/>
      <c r="O540" s="11"/>
      <c r="P540" s="82"/>
    </row>
    <row r="541" spans="2:16" s="9" customFormat="1" x14ac:dyDescent="0.2">
      <c r="B541" s="10"/>
      <c r="C541" s="11"/>
      <c r="D541" s="63"/>
      <c r="E541" s="11"/>
      <c r="F541" s="65"/>
      <c r="G541" s="12"/>
      <c r="H541" s="41"/>
      <c r="I541" s="30"/>
      <c r="J541" s="30"/>
      <c r="K541" s="97"/>
      <c r="L541" s="11"/>
      <c r="M541" s="11"/>
      <c r="N541" s="11"/>
      <c r="O541" s="11"/>
      <c r="P541" s="82"/>
    </row>
    <row r="542" spans="2:16" s="9" customFormat="1" x14ac:dyDescent="0.2">
      <c r="B542" s="10"/>
      <c r="C542" s="11"/>
      <c r="D542" s="63"/>
      <c r="E542" s="11"/>
      <c r="F542" s="65"/>
      <c r="G542" s="12"/>
      <c r="H542" s="41"/>
      <c r="I542" s="30"/>
      <c r="J542" s="30"/>
      <c r="K542" s="97"/>
      <c r="L542" s="11"/>
      <c r="M542" s="11"/>
      <c r="N542" s="11"/>
      <c r="O542" s="11"/>
      <c r="P542" s="82"/>
    </row>
    <row r="543" spans="2:16" s="9" customFormat="1" x14ac:dyDescent="0.2">
      <c r="B543" s="10"/>
      <c r="C543" s="11"/>
      <c r="D543" s="63"/>
      <c r="E543" s="11"/>
      <c r="F543" s="65"/>
      <c r="G543" s="12"/>
      <c r="H543" s="41"/>
      <c r="I543" s="30"/>
      <c r="J543" s="30"/>
      <c r="K543" s="97"/>
      <c r="L543" s="11"/>
      <c r="M543" s="11"/>
      <c r="N543" s="11"/>
      <c r="O543" s="11"/>
      <c r="P543" s="82"/>
    </row>
    <row r="544" spans="2:16" s="9" customFormat="1" x14ac:dyDescent="0.2">
      <c r="B544" s="10"/>
      <c r="C544" s="11"/>
      <c r="D544" s="63"/>
      <c r="E544" s="11"/>
      <c r="F544" s="65"/>
      <c r="G544" s="12"/>
      <c r="H544" s="41"/>
      <c r="I544" s="30"/>
      <c r="J544" s="30"/>
      <c r="K544" s="97"/>
      <c r="L544" s="11"/>
      <c r="M544" s="11"/>
      <c r="N544" s="11"/>
      <c r="O544" s="11"/>
      <c r="P544" s="82"/>
    </row>
    <row r="545" spans="2:16" s="9" customFormat="1" x14ac:dyDescent="0.2">
      <c r="B545" s="10"/>
      <c r="C545" s="11"/>
      <c r="D545" s="63"/>
      <c r="E545" s="11"/>
      <c r="F545" s="65"/>
      <c r="G545" s="12"/>
      <c r="H545" s="41"/>
      <c r="I545" s="30"/>
      <c r="J545" s="30"/>
      <c r="K545" s="97"/>
      <c r="L545" s="11"/>
      <c r="M545" s="11"/>
      <c r="N545" s="11"/>
      <c r="O545" s="11"/>
      <c r="P545" s="82"/>
    </row>
    <row r="546" spans="2:16" s="9" customFormat="1" x14ac:dyDescent="0.2">
      <c r="B546" s="10"/>
      <c r="C546" s="11"/>
      <c r="D546" s="63"/>
      <c r="E546" s="11"/>
      <c r="F546" s="65"/>
      <c r="G546" s="12"/>
      <c r="H546" s="41"/>
      <c r="I546" s="30"/>
      <c r="J546" s="30"/>
      <c r="K546" s="97"/>
      <c r="L546" s="11"/>
      <c r="M546" s="11"/>
      <c r="N546" s="11"/>
      <c r="O546" s="11"/>
      <c r="P546" s="82"/>
    </row>
    <row r="547" spans="2:16" s="9" customFormat="1" x14ac:dyDescent="0.2">
      <c r="B547" s="10"/>
      <c r="C547" s="11"/>
      <c r="D547" s="63"/>
      <c r="E547" s="11"/>
      <c r="F547" s="65"/>
      <c r="G547" s="12"/>
      <c r="H547" s="41"/>
      <c r="I547" s="30"/>
      <c r="J547" s="30"/>
      <c r="K547" s="97"/>
      <c r="L547" s="11"/>
      <c r="M547" s="11"/>
      <c r="N547" s="11"/>
      <c r="O547" s="11"/>
      <c r="P547" s="82"/>
    </row>
    <row r="548" spans="2:16" s="9" customFormat="1" x14ac:dyDescent="0.2">
      <c r="B548" s="10"/>
      <c r="C548" s="11"/>
      <c r="D548" s="63"/>
      <c r="E548" s="11"/>
      <c r="F548" s="65"/>
      <c r="G548" s="12"/>
      <c r="H548" s="41"/>
      <c r="I548" s="30"/>
      <c r="J548" s="30"/>
      <c r="K548" s="97"/>
      <c r="L548" s="11"/>
      <c r="M548" s="11"/>
      <c r="N548" s="11"/>
      <c r="O548" s="11"/>
      <c r="P548" s="82"/>
    </row>
    <row r="549" spans="2:16" s="9" customFormat="1" x14ac:dyDescent="0.2">
      <c r="B549" s="10"/>
      <c r="C549" s="11"/>
      <c r="D549" s="63"/>
      <c r="E549" s="11"/>
      <c r="F549" s="65"/>
      <c r="G549" s="12"/>
      <c r="H549" s="41"/>
      <c r="I549" s="30"/>
      <c r="J549" s="30"/>
      <c r="K549" s="97"/>
      <c r="L549" s="11"/>
      <c r="M549" s="11"/>
      <c r="N549" s="11"/>
      <c r="O549" s="11"/>
      <c r="P549" s="82"/>
    </row>
    <row r="550" spans="2:16" s="9" customFormat="1" x14ac:dyDescent="0.2">
      <c r="B550" s="10"/>
      <c r="C550" s="11"/>
      <c r="D550" s="63"/>
      <c r="E550" s="11"/>
      <c r="F550" s="65"/>
      <c r="G550" s="12"/>
      <c r="H550" s="41"/>
      <c r="I550" s="30"/>
      <c r="J550" s="30"/>
      <c r="K550" s="97"/>
      <c r="L550" s="11"/>
      <c r="M550" s="11"/>
      <c r="N550" s="11"/>
      <c r="O550" s="11"/>
      <c r="P550" s="82"/>
    </row>
    <row r="551" spans="2:16" s="9" customFormat="1" x14ac:dyDescent="0.2">
      <c r="B551" s="10"/>
      <c r="C551" s="11"/>
      <c r="D551" s="63"/>
      <c r="E551" s="11"/>
      <c r="F551" s="65"/>
      <c r="G551" s="12"/>
      <c r="H551" s="41"/>
      <c r="I551" s="30"/>
      <c r="J551" s="30"/>
      <c r="K551" s="97"/>
      <c r="L551" s="11"/>
      <c r="M551" s="11"/>
      <c r="N551" s="11"/>
      <c r="O551" s="11"/>
      <c r="P551" s="82"/>
    </row>
    <row r="552" spans="2:16" s="9" customFormat="1" x14ac:dyDescent="0.2">
      <c r="B552" s="10"/>
      <c r="C552" s="11"/>
      <c r="D552" s="63"/>
      <c r="E552" s="11"/>
      <c r="F552" s="65"/>
      <c r="G552" s="12"/>
      <c r="H552" s="41"/>
      <c r="I552" s="30"/>
      <c r="J552" s="30"/>
      <c r="K552" s="97"/>
      <c r="L552" s="11"/>
      <c r="M552" s="11"/>
      <c r="N552" s="11"/>
      <c r="O552" s="11"/>
      <c r="P552" s="82"/>
    </row>
    <row r="553" spans="2:16" s="9" customFormat="1" x14ac:dyDescent="0.2">
      <c r="B553" s="10"/>
      <c r="C553" s="11"/>
      <c r="D553" s="63"/>
      <c r="E553" s="11"/>
      <c r="F553" s="65"/>
      <c r="G553" s="12"/>
      <c r="H553" s="41"/>
      <c r="I553" s="30"/>
      <c r="J553" s="30"/>
      <c r="K553" s="97"/>
      <c r="L553" s="11"/>
      <c r="M553" s="11"/>
      <c r="N553" s="11"/>
      <c r="O553" s="11"/>
      <c r="P553" s="82"/>
    </row>
    <row r="554" spans="2:16" s="9" customFormat="1" x14ac:dyDescent="0.2">
      <c r="B554" s="10"/>
      <c r="C554" s="11"/>
      <c r="D554" s="63"/>
      <c r="E554" s="11"/>
      <c r="F554" s="65"/>
      <c r="G554" s="12"/>
      <c r="H554" s="41"/>
      <c r="I554" s="30"/>
      <c r="J554" s="30"/>
      <c r="K554" s="97"/>
      <c r="L554" s="11"/>
      <c r="M554" s="11"/>
      <c r="N554" s="11"/>
      <c r="O554" s="11"/>
      <c r="P554" s="82"/>
    </row>
    <row r="555" spans="2:16" s="9" customFormat="1" x14ac:dyDescent="0.2">
      <c r="B555" s="10"/>
      <c r="C555" s="11"/>
      <c r="D555" s="63"/>
      <c r="E555" s="11"/>
      <c r="F555" s="65"/>
      <c r="G555" s="12"/>
      <c r="H555" s="41"/>
      <c r="I555" s="30"/>
      <c r="J555" s="30"/>
      <c r="K555" s="97"/>
      <c r="L555" s="11"/>
      <c r="M555" s="11"/>
      <c r="N555" s="11"/>
      <c r="O555" s="11"/>
      <c r="P555" s="82"/>
    </row>
    <row r="556" spans="2:16" s="9" customFormat="1" x14ac:dyDescent="0.2">
      <c r="B556" s="10"/>
      <c r="C556" s="11"/>
      <c r="D556" s="63"/>
      <c r="E556" s="11"/>
      <c r="F556" s="65"/>
      <c r="G556" s="12"/>
      <c r="H556" s="41"/>
      <c r="I556" s="30"/>
      <c r="J556" s="30"/>
      <c r="K556" s="97"/>
      <c r="L556" s="11"/>
      <c r="M556" s="11"/>
      <c r="N556" s="11"/>
      <c r="O556" s="11"/>
      <c r="P556" s="82"/>
    </row>
    <row r="557" spans="2:16" s="9" customFormat="1" x14ac:dyDescent="0.2">
      <c r="B557" s="10"/>
      <c r="C557" s="11"/>
      <c r="D557" s="63"/>
      <c r="E557" s="11"/>
      <c r="F557" s="65"/>
      <c r="G557" s="12"/>
      <c r="H557" s="41"/>
      <c r="I557" s="30"/>
      <c r="J557" s="30"/>
      <c r="K557" s="97"/>
      <c r="L557" s="11"/>
      <c r="M557" s="11"/>
      <c r="N557" s="11"/>
      <c r="O557" s="11"/>
      <c r="P557" s="82"/>
    </row>
    <row r="558" spans="2:16" s="9" customFormat="1" x14ac:dyDescent="0.2">
      <c r="B558" s="10"/>
      <c r="C558" s="11"/>
      <c r="D558" s="63"/>
      <c r="E558" s="11"/>
      <c r="F558" s="65"/>
      <c r="G558" s="12"/>
      <c r="H558" s="41"/>
      <c r="I558" s="30"/>
      <c r="J558" s="30"/>
      <c r="K558" s="97"/>
      <c r="L558" s="11"/>
      <c r="M558" s="11"/>
      <c r="N558" s="11"/>
      <c r="O558" s="11"/>
      <c r="P558" s="82"/>
    </row>
    <row r="559" spans="2:16" s="9" customFormat="1" x14ac:dyDescent="0.2">
      <c r="B559" s="10"/>
      <c r="C559" s="11"/>
      <c r="D559" s="63"/>
      <c r="E559" s="11"/>
      <c r="F559" s="65"/>
      <c r="G559" s="12"/>
      <c r="H559" s="41"/>
      <c r="I559" s="30"/>
      <c r="J559" s="30"/>
      <c r="K559" s="97"/>
      <c r="L559" s="11"/>
      <c r="M559" s="11"/>
      <c r="N559" s="11"/>
      <c r="O559" s="11"/>
      <c r="P559" s="82"/>
    </row>
    <row r="560" spans="2:16" s="9" customFormat="1" x14ac:dyDescent="0.2">
      <c r="B560" s="10"/>
      <c r="C560" s="11"/>
      <c r="D560" s="63"/>
      <c r="E560" s="11"/>
      <c r="F560" s="65"/>
      <c r="G560" s="12"/>
      <c r="H560" s="41"/>
      <c r="I560" s="30"/>
      <c r="J560" s="30"/>
      <c r="K560" s="97"/>
      <c r="L560" s="11"/>
      <c r="M560" s="11"/>
      <c r="N560" s="11"/>
      <c r="O560" s="11"/>
      <c r="P560" s="82"/>
    </row>
    <row r="561" spans="2:16" s="9" customFormat="1" x14ac:dyDescent="0.2">
      <c r="B561" s="10"/>
      <c r="C561" s="11"/>
      <c r="D561" s="63"/>
      <c r="E561" s="11"/>
      <c r="F561" s="65"/>
      <c r="G561" s="12"/>
      <c r="H561" s="41"/>
      <c r="I561" s="30"/>
      <c r="J561" s="30"/>
      <c r="K561" s="97"/>
      <c r="L561" s="11"/>
      <c r="M561" s="11"/>
      <c r="N561" s="11"/>
      <c r="O561" s="11"/>
      <c r="P561" s="82"/>
    </row>
    <row r="562" spans="2:16" s="9" customFormat="1" x14ac:dyDescent="0.2">
      <c r="B562" s="10"/>
      <c r="C562" s="11"/>
      <c r="D562" s="63"/>
      <c r="E562" s="11"/>
      <c r="F562" s="65"/>
      <c r="G562" s="12"/>
      <c r="H562" s="41"/>
      <c r="I562" s="30"/>
      <c r="J562" s="30"/>
      <c r="K562" s="97"/>
      <c r="L562" s="11"/>
      <c r="M562" s="11"/>
      <c r="N562" s="11"/>
      <c r="O562" s="11"/>
      <c r="P562" s="82"/>
    </row>
    <row r="563" spans="2:16" s="9" customFormat="1" x14ac:dyDescent="0.2">
      <c r="B563" s="10"/>
      <c r="C563" s="11"/>
      <c r="D563" s="63"/>
      <c r="E563" s="11"/>
      <c r="F563" s="65"/>
      <c r="G563" s="12"/>
      <c r="H563" s="41"/>
      <c r="I563" s="30"/>
      <c r="J563" s="30"/>
      <c r="K563" s="97"/>
      <c r="L563" s="11"/>
      <c r="M563" s="11"/>
      <c r="N563" s="11"/>
      <c r="O563" s="11"/>
      <c r="P563" s="82"/>
    </row>
    <row r="564" spans="2:16" s="9" customFormat="1" x14ac:dyDescent="0.2">
      <c r="B564" s="10"/>
      <c r="C564" s="11"/>
      <c r="D564" s="63"/>
      <c r="E564" s="11"/>
      <c r="F564" s="65"/>
      <c r="G564" s="12"/>
      <c r="H564" s="41"/>
      <c r="I564" s="30"/>
      <c r="J564" s="30"/>
      <c r="K564" s="97"/>
      <c r="L564" s="11"/>
      <c r="M564" s="11"/>
      <c r="N564" s="11"/>
      <c r="O564" s="11"/>
      <c r="P564" s="82"/>
    </row>
    <row r="565" spans="2:16" s="9" customFormat="1" x14ac:dyDescent="0.2">
      <c r="B565" s="10"/>
      <c r="C565" s="11"/>
      <c r="D565" s="63"/>
      <c r="E565" s="11"/>
      <c r="F565" s="65"/>
      <c r="G565" s="12"/>
      <c r="H565" s="41"/>
      <c r="I565" s="30"/>
      <c r="J565" s="30"/>
      <c r="K565" s="97"/>
      <c r="L565" s="11"/>
      <c r="M565" s="11"/>
      <c r="N565" s="11"/>
      <c r="O565" s="11"/>
      <c r="P565" s="82"/>
    </row>
    <row r="566" spans="2:16" s="9" customFormat="1" x14ac:dyDescent="0.2">
      <c r="B566" s="10"/>
      <c r="C566" s="11"/>
      <c r="D566" s="63"/>
      <c r="E566" s="11"/>
      <c r="F566" s="65"/>
      <c r="G566" s="12"/>
      <c r="H566" s="41"/>
      <c r="I566" s="30"/>
      <c r="J566" s="30"/>
      <c r="K566" s="97"/>
      <c r="L566" s="11"/>
      <c r="M566" s="11"/>
      <c r="N566" s="11"/>
      <c r="O566" s="11"/>
      <c r="P566" s="82"/>
    </row>
    <row r="567" spans="2:16" s="9" customFormat="1" x14ac:dyDescent="0.2">
      <c r="B567" s="10"/>
      <c r="C567" s="11"/>
      <c r="D567" s="63"/>
      <c r="E567" s="11"/>
      <c r="F567" s="65"/>
      <c r="G567" s="12"/>
      <c r="H567" s="41"/>
      <c r="I567" s="30"/>
      <c r="J567" s="30"/>
      <c r="K567" s="97"/>
      <c r="L567" s="11"/>
      <c r="M567" s="11"/>
      <c r="N567" s="11"/>
      <c r="O567" s="11"/>
      <c r="P567" s="82"/>
    </row>
    <row r="568" spans="2:16" s="9" customFormat="1" x14ac:dyDescent="0.2">
      <c r="B568" s="10"/>
      <c r="C568" s="11"/>
      <c r="D568" s="63"/>
      <c r="E568" s="11"/>
      <c r="F568" s="65"/>
      <c r="G568" s="12"/>
      <c r="H568" s="41"/>
      <c r="I568" s="30"/>
      <c r="J568" s="30"/>
      <c r="K568" s="97"/>
      <c r="L568" s="11"/>
      <c r="M568" s="11"/>
      <c r="N568" s="11"/>
      <c r="O568" s="11"/>
      <c r="P568" s="82"/>
    </row>
    <row r="569" spans="2:16" s="9" customFormat="1" x14ac:dyDescent="0.2">
      <c r="B569" s="10"/>
      <c r="C569" s="11"/>
      <c r="D569" s="63"/>
      <c r="E569" s="11"/>
      <c r="F569" s="65"/>
      <c r="G569" s="12"/>
      <c r="H569" s="41"/>
      <c r="I569" s="30"/>
      <c r="J569" s="30"/>
      <c r="K569" s="97"/>
      <c r="L569" s="11"/>
      <c r="M569" s="11"/>
      <c r="N569" s="11"/>
      <c r="O569" s="11"/>
      <c r="P569" s="82"/>
    </row>
    <row r="570" spans="2:16" s="9" customFormat="1" x14ac:dyDescent="0.2">
      <c r="B570" s="10"/>
      <c r="C570" s="11"/>
      <c r="D570" s="63"/>
      <c r="E570" s="11"/>
      <c r="F570" s="65"/>
      <c r="G570" s="12"/>
      <c r="H570" s="41"/>
      <c r="I570" s="30"/>
      <c r="J570" s="30"/>
      <c r="K570" s="97"/>
      <c r="L570" s="11"/>
      <c r="M570" s="11"/>
      <c r="N570" s="11"/>
      <c r="O570" s="11"/>
      <c r="P570" s="82"/>
    </row>
    <row r="571" spans="2:16" s="9" customFormat="1" x14ac:dyDescent="0.2">
      <c r="B571" s="10"/>
      <c r="C571" s="11"/>
      <c r="D571" s="63"/>
      <c r="E571" s="11"/>
      <c r="F571" s="65"/>
      <c r="G571" s="12"/>
      <c r="H571" s="41"/>
      <c r="I571" s="30"/>
      <c r="J571" s="30"/>
      <c r="K571" s="97"/>
      <c r="L571" s="11"/>
      <c r="M571" s="11"/>
      <c r="N571" s="11"/>
      <c r="O571" s="11"/>
      <c r="P571" s="82"/>
    </row>
    <row r="572" spans="2:16" s="9" customFormat="1" x14ac:dyDescent="0.2">
      <c r="B572" s="10"/>
      <c r="C572" s="11"/>
      <c r="D572" s="63"/>
      <c r="E572" s="11"/>
      <c r="F572" s="65"/>
      <c r="G572" s="12"/>
      <c r="H572" s="41"/>
      <c r="I572" s="30"/>
      <c r="J572" s="30"/>
      <c r="K572" s="97"/>
      <c r="L572" s="11"/>
      <c r="M572" s="11"/>
      <c r="N572" s="11"/>
      <c r="O572" s="11"/>
      <c r="P572" s="82"/>
    </row>
    <row r="573" spans="2:16" s="9" customFormat="1" x14ac:dyDescent="0.2">
      <c r="B573" s="10"/>
      <c r="C573" s="11"/>
      <c r="D573" s="63"/>
      <c r="E573" s="11"/>
      <c r="F573" s="65"/>
      <c r="G573" s="12"/>
      <c r="H573" s="41"/>
      <c r="I573" s="30"/>
      <c r="J573" s="30"/>
      <c r="K573" s="97"/>
      <c r="L573" s="11"/>
      <c r="M573" s="11"/>
      <c r="N573" s="11"/>
      <c r="O573" s="11"/>
      <c r="P573" s="82"/>
    </row>
    <row r="574" spans="2:16" s="9" customFormat="1" x14ac:dyDescent="0.2">
      <c r="B574" s="10"/>
      <c r="C574" s="11"/>
      <c r="D574" s="63"/>
      <c r="E574" s="11"/>
      <c r="F574" s="65"/>
      <c r="G574" s="12"/>
      <c r="H574" s="41"/>
      <c r="I574" s="30"/>
      <c r="J574" s="30"/>
      <c r="K574" s="97"/>
      <c r="L574" s="11"/>
      <c r="M574" s="11"/>
      <c r="N574" s="11"/>
      <c r="O574" s="11"/>
      <c r="P574" s="82"/>
    </row>
    <row r="575" spans="2:16" s="9" customFormat="1" x14ac:dyDescent="0.2">
      <c r="B575" s="10"/>
      <c r="C575" s="11"/>
      <c r="D575" s="63"/>
      <c r="E575" s="11"/>
      <c r="F575" s="65"/>
      <c r="G575" s="12"/>
      <c r="H575" s="41"/>
      <c r="I575" s="30"/>
      <c r="J575" s="30"/>
      <c r="K575" s="97"/>
      <c r="L575" s="11"/>
      <c r="M575" s="11"/>
      <c r="N575" s="11"/>
      <c r="O575" s="11"/>
      <c r="P575" s="82"/>
    </row>
    <row r="576" spans="2:16" s="9" customFormat="1" x14ac:dyDescent="0.2">
      <c r="B576" s="10"/>
      <c r="C576" s="11"/>
      <c r="D576" s="63"/>
      <c r="E576" s="11"/>
      <c r="F576" s="65"/>
      <c r="G576" s="12"/>
      <c r="H576" s="41"/>
      <c r="I576" s="30"/>
      <c r="J576" s="30"/>
      <c r="K576" s="97"/>
      <c r="L576" s="11"/>
      <c r="M576" s="11"/>
      <c r="N576" s="11"/>
      <c r="O576" s="11"/>
      <c r="P576" s="82"/>
    </row>
    <row r="577" spans="2:16" s="9" customFormat="1" x14ac:dyDescent="0.2">
      <c r="B577" s="10"/>
      <c r="C577" s="11"/>
      <c r="D577" s="63"/>
      <c r="E577" s="11"/>
      <c r="F577" s="65"/>
      <c r="G577" s="12"/>
      <c r="H577" s="41"/>
      <c r="I577" s="30"/>
      <c r="J577" s="30"/>
      <c r="K577" s="97"/>
      <c r="L577" s="11"/>
      <c r="M577" s="11"/>
      <c r="N577" s="11"/>
      <c r="O577" s="11"/>
      <c r="P577" s="82"/>
    </row>
    <row r="578" spans="2:16" s="9" customFormat="1" x14ac:dyDescent="0.2">
      <c r="B578" s="10"/>
      <c r="C578" s="11"/>
      <c r="D578" s="63"/>
      <c r="E578" s="11"/>
      <c r="F578" s="65"/>
      <c r="G578" s="12"/>
      <c r="H578" s="41"/>
      <c r="I578" s="30"/>
      <c r="J578" s="30"/>
      <c r="K578" s="97"/>
      <c r="L578" s="11"/>
      <c r="M578" s="11"/>
      <c r="N578" s="11"/>
      <c r="O578" s="11"/>
      <c r="P578" s="82"/>
    </row>
    <row r="579" spans="2:16" s="9" customFormat="1" x14ac:dyDescent="0.2">
      <c r="B579" s="10"/>
      <c r="C579" s="11"/>
      <c r="D579" s="63"/>
      <c r="E579" s="11"/>
      <c r="F579" s="65"/>
      <c r="G579" s="12"/>
      <c r="H579" s="41"/>
      <c r="I579" s="30"/>
      <c r="J579" s="30"/>
      <c r="K579" s="97"/>
      <c r="L579" s="11"/>
      <c r="M579" s="11"/>
      <c r="N579" s="11"/>
      <c r="O579" s="11"/>
      <c r="P579" s="82"/>
    </row>
    <row r="580" spans="2:16" s="9" customFormat="1" x14ac:dyDescent="0.2">
      <c r="B580" s="10"/>
      <c r="C580" s="11"/>
      <c r="D580" s="63"/>
      <c r="E580" s="11"/>
      <c r="F580" s="65"/>
      <c r="G580" s="12"/>
      <c r="H580" s="41"/>
      <c r="I580" s="30"/>
      <c r="J580" s="30"/>
      <c r="K580" s="97"/>
      <c r="L580" s="11"/>
      <c r="M580" s="11"/>
      <c r="N580" s="11"/>
      <c r="O580" s="11"/>
      <c r="P580" s="82"/>
    </row>
    <row r="581" spans="2:16" s="9" customFormat="1" x14ac:dyDescent="0.2">
      <c r="B581" s="10"/>
      <c r="C581" s="11"/>
      <c r="D581" s="63"/>
      <c r="E581" s="11"/>
      <c r="F581" s="65"/>
      <c r="G581" s="12"/>
      <c r="H581" s="41"/>
      <c r="I581" s="30"/>
      <c r="J581" s="30"/>
      <c r="K581" s="97"/>
      <c r="L581" s="11"/>
      <c r="M581" s="11"/>
      <c r="N581" s="11"/>
      <c r="O581" s="11"/>
      <c r="P581" s="82"/>
    </row>
    <row r="582" spans="2:16" s="9" customFormat="1" x14ac:dyDescent="0.2">
      <c r="B582" s="10"/>
      <c r="C582" s="11"/>
      <c r="D582" s="63"/>
      <c r="E582" s="11"/>
      <c r="F582" s="65"/>
      <c r="G582" s="12"/>
      <c r="H582" s="41"/>
      <c r="I582" s="30"/>
      <c r="J582" s="30"/>
      <c r="K582" s="97"/>
      <c r="L582" s="11"/>
      <c r="M582" s="11"/>
      <c r="N582" s="11"/>
      <c r="O582" s="11"/>
      <c r="P582" s="82"/>
    </row>
    <row r="583" spans="2:16" s="9" customFormat="1" x14ac:dyDescent="0.2">
      <c r="B583" s="10"/>
      <c r="C583" s="11"/>
      <c r="D583" s="63"/>
      <c r="E583" s="11"/>
      <c r="F583" s="65"/>
      <c r="G583" s="12"/>
      <c r="H583" s="41"/>
      <c r="I583" s="30"/>
      <c r="J583" s="30"/>
      <c r="K583" s="97"/>
      <c r="L583" s="11"/>
      <c r="M583" s="11"/>
      <c r="N583" s="11"/>
      <c r="O583" s="11"/>
      <c r="P583" s="82"/>
    </row>
    <row r="584" spans="2:16" s="9" customFormat="1" x14ac:dyDescent="0.2">
      <c r="B584" s="10"/>
      <c r="C584" s="11"/>
      <c r="D584" s="63"/>
      <c r="E584" s="11"/>
      <c r="F584" s="65"/>
      <c r="G584" s="12"/>
      <c r="H584" s="41"/>
      <c r="I584" s="30"/>
      <c r="J584" s="30"/>
      <c r="K584" s="97"/>
      <c r="L584" s="11"/>
      <c r="M584" s="11"/>
      <c r="N584" s="11"/>
      <c r="O584" s="11"/>
      <c r="P584" s="82"/>
    </row>
    <row r="585" spans="2:16" s="9" customFormat="1" x14ac:dyDescent="0.2">
      <c r="B585" s="10"/>
      <c r="C585" s="11"/>
      <c r="D585" s="63"/>
      <c r="E585" s="11"/>
      <c r="F585" s="65"/>
      <c r="G585" s="12"/>
      <c r="H585" s="41"/>
      <c r="I585" s="30"/>
      <c r="J585" s="30"/>
      <c r="K585" s="97"/>
      <c r="L585" s="11"/>
      <c r="M585" s="11"/>
      <c r="N585" s="11"/>
      <c r="O585" s="11"/>
      <c r="P585" s="82"/>
    </row>
    <row r="586" spans="2:16" s="9" customFormat="1" x14ac:dyDescent="0.2">
      <c r="B586" s="10"/>
      <c r="C586" s="11"/>
      <c r="D586" s="63"/>
      <c r="E586" s="11"/>
      <c r="F586" s="65"/>
      <c r="G586" s="12"/>
      <c r="H586" s="41"/>
      <c r="I586" s="30"/>
      <c r="J586" s="30"/>
      <c r="K586" s="97"/>
      <c r="L586" s="11"/>
      <c r="M586" s="11"/>
      <c r="N586" s="11"/>
      <c r="O586" s="11"/>
      <c r="P586" s="82"/>
    </row>
    <row r="587" spans="2:16" s="9" customFormat="1" x14ac:dyDescent="0.2">
      <c r="B587" s="10"/>
      <c r="C587" s="11"/>
      <c r="D587" s="63"/>
      <c r="E587" s="11"/>
      <c r="F587" s="65"/>
      <c r="G587" s="12"/>
      <c r="H587" s="41"/>
      <c r="I587" s="30"/>
      <c r="J587" s="30"/>
      <c r="K587" s="97"/>
      <c r="L587" s="11"/>
      <c r="M587" s="11"/>
      <c r="N587" s="11"/>
      <c r="O587" s="11"/>
      <c r="P587" s="82"/>
    </row>
    <row r="588" spans="2:16" s="9" customFormat="1" x14ac:dyDescent="0.2">
      <c r="B588" s="10"/>
      <c r="C588" s="11"/>
      <c r="D588" s="63"/>
      <c r="E588" s="11"/>
      <c r="F588" s="65"/>
      <c r="G588" s="12"/>
      <c r="H588" s="41"/>
      <c r="I588" s="30"/>
      <c r="J588" s="30"/>
      <c r="K588" s="97"/>
      <c r="L588" s="11"/>
      <c r="M588" s="11"/>
      <c r="N588" s="11"/>
      <c r="O588" s="11"/>
      <c r="P588" s="82"/>
    </row>
    <row r="589" spans="2:16" s="9" customFormat="1" x14ac:dyDescent="0.2">
      <c r="B589" s="10"/>
      <c r="C589" s="11"/>
      <c r="D589" s="63"/>
      <c r="E589" s="11"/>
      <c r="F589" s="65"/>
      <c r="G589" s="12"/>
      <c r="H589" s="41"/>
      <c r="I589" s="30"/>
      <c r="J589" s="30"/>
      <c r="K589" s="97"/>
      <c r="L589" s="11"/>
      <c r="M589" s="11"/>
      <c r="N589" s="11"/>
      <c r="O589" s="11"/>
      <c r="P589" s="82"/>
    </row>
    <row r="590" spans="2:16" s="9" customFormat="1" x14ac:dyDescent="0.2">
      <c r="B590" s="10"/>
      <c r="C590" s="11"/>
      <c r="D590" s="63"/>
      <c r="E590" s="11"/>
      <c r="F590" s="65"/>
      <c r="G590" s="12"/>
      <c r="H590" s="41"/>
      <c r="I590" s="30"/>
      <c r="J590" s="30"/>
      <c r="K590" s="97"/>
      <c r="L590" s="11"/>
      <c r="M590" s="11"/>
      <c r="N590" s="11"/>
      <c r="O590" s="11"/>
      <c r="P590" s="82"/>
    </row>
    <row r="591" spans="2:16" s="9" customFormat="1" x14ac:dyDescent="0.2">
      <c r="B591" s="10"/>
      <c r="C591" s="11"/>
      <c r="D591" s="63"/>
      <c r="E591" s="11"/>
      <c r="F591" s="65"/>
      <c r="G591" s="12"/>
      <c r="H591" s="41"/>
      <c r="I591" s="30"/>
      <c r="J591" s="30"/>
      <c r="K591" s="97"/>
      <c r="L591" s="11"/>
      <c r="M591" s="11"/>
      <c r="N591" s="11"/>
      <c r="O591" s="11"/>
      <c r="P591" s="82"/>
    </row>
    <row r="592" spans="2:16" s="9" customFormat="1" x14ac:dyDescent="0.2">
      <c r="B592" s="10"/>
      <c r="C592" s="11"/>
      <c r="D592" s="63"/>
      <c r="E592" s="11"/>
      <c r="F592" s="65"/>
      <c r="G592" s="12"/>
      <c r="H592" s="41"/>
      <c r="I592" s="30"/>
      <c r="J592" s="30"/>
      <c r="K592" s="97"/>
      <c r="L592" s="11"/>
      <c r="M592" s="11"/>
      <c r="N592" s="11"/>
      <c r="O592" s="11"/>
      <c r="P592" s="82"/>
    </row>
    <row r="593" spans="2:16" s="9" customFormat="1" x14ac:dyDescent="0.2">
      <c r="B593" s="10"/>
      <c r="C593" s="11"/>
      <c r="D593" s="63"/>
      <c r="E593" s="11"/>
      <c r="F593" s="65"/>
      <c r="G593" s="12"/>
      <c r="H593" s="41"/>
      <c r="I593" s="30"/>
      <c r="J593" s="30"/>
      <c r="K593" s="97"/>
      <c r="L593" s="11"/>
      <c r="M593" s="11"/>
      <c r="N593" s="11"/>
      <c r="O593" s="11"/>
      <c r="P593" s="82"/>
    </row>
    <row r="594" spans="2:16" s="9" customFormat="1" x14ac:dyDescent="0.2">
      <c r="B594" s="10"/>
      <c r="C594" s="11"/>
      <c r="D594" s="63"/>
      <c r="E594" s="11"/>
      <c r="F594" s="65"/>
      <c r="G594" s="12"/>
      <c r="H594" s="41"/>
      <c r="I594" s="30"/>
      <c r="J594" s="30"/>
      <c r="K594" s="97"/>
      <c r="L594" s="11"/>
      <c r="M594" s="11"/>
      <c r="N594" s="11"/>
      <c r="O594" s="11"/>
      <c r="P594" s="82"/>
    </row>
    <row r="595" spans="2:16" s="9" customFormat="1" x14ac:dyDescent="0.2">
      <c r="B595" s="10"/>
      <c r="C595" s="11"/>
      <c r="D595" s="63"/>
      <c r="E595" s="11"/>
      <c r="F595" s="65"/>
      <c r="G595" s="12"/>
      <c r="H595" s="41"/>
      <c r="I595" s="30"/>
      <c r="J595" s="30"/>
      <c r="K595" s="97"/>
      <c r="L595" s="11"/>
      <c r="M595" s="11"/>
      <c r="N595" s="11"/>
      <c r="O595" s="11"/>
      <c r="P595" s="82"/>
    </row>
    <row r="596" spans="2:16" s="9" customFormat="1" x14ac:dyDescent="0.2">
      <c r="B596" s="10"/>
      <c r="C596" s="11"/>
      <c r="D596" s="63"/>
      <c r="E596" s="11"/>
      <c r="F596" s="65"/>
      <c r="G596" s="12"/>
      <c r="H596" s="41"/>
      <c r="I596" s="30"/>
      <c r="J596" s="30"/>
      <c r="K596" s="97"/>
      <c r="L596" s="11"/>
      <c r="M596" s="11"/>
      <c r="N596" s="11"/>
      <c r="O596" s="11"/>
      <c r="P596" s="82"/>
    </row>
    <row r="597" spans="2:16" s="9" customFormat="1" x14ac:dyDescent="0.2">
      <c r="B597" s="10"/>
      <c r="C597" s="11"/>
      <c r="D597" s="63"/>
      <c r="E597" s="11"/>
      <c r="F597" s="65"/>
      <c r="G597" s="12"/>
      <c r="H597" s="41"/>
      <c r="I597" s="30"/>
      <c r="J597" s="30"/>
      <c r="K597" s="97"/>
      <c r="L597" s="11"/>
      <c r="M597" s="11"/>
      <c r="N597" s="11"/>
      <c r="O597" s="11"/>
      <c r="P597" s="82"/>
    </row>
    <row r="598" spans="2:16" s="9" customFormat="1" x14ac:dyDescent="0.2">
      <c r="B598" s="10"/>
      <c r="C598" s="11"/>
      <c r="D598" s="63"/>
      <c r="E598" s="11"/>
      <c r="F598" s="65"/>
      <c r="G598" s="12"/>
      <c r="H598" s="41"/>
      <c r="I598" s="30"/>
      <c r="J598" s="30"/>
      <c r="K598" s="97"/>
      <c r="L598" s="11"/>
      <c r="M598" s="11"/>
      <c r="N598" s="11"/>
      <c r="O598" s="11"/>
      <c r="P598" s="82"/>
    </row>
    <row r="599" spans="2:16" s="9" customFormat="1" x14ac:dyDescent="0.2">
      <c r="B599" s="10"/>
      <c r="C599" s="11"/>
      <c r="D599" s="63"/>
      <c r="E599" s="11"/>
      <c r="F599" s="65"/>
      <c r="G599" s="12"/>
      <c r="H599" s="41"/>
      <c r="I599" s="30"/>
      <c r="J599" s="30"/>
      <c r="K599" s="97"/>
      <c r="L599" s="11"/>
      <c r="M599" s="11"/>
      <c r="N599" s="11"/>
      <c r="O599" s="11"/>
      <c r="P599" s="82"/>
    </row>
    <row r="600" spans="2:16" s="9" customFormat="1" x14ac:dyDescent="0.2">
      <c r="B600" s="10"/>
      <c r="C600" s="11"/>
      <c r="D600" s="63"/>
      <c r="E600" s="11"/>
      <c r="F600" s="65"/>
      <c r="G600" s="12"/>
      <c r="H600" s="41"/>
      <c r="I600" s="30"/>
      <c r="J600" s="30"/>
      <c r="K600" s="97"/>
      <c r="L600" s="11"/>
      <c r="M600" s="11"/>
      <c r="N600" s="11"/>
      <c r="O600" s="11"/>
      <c r="P600" s="82"/>
    </row>
    <row r="601" spans="2:16" s="9" customFormat="1" x14ac:dyDescent="0.2">
      <c r="B601" s="10"/>
      <c r="C601" s="11"/>
      <c r="D601" s="63"/>
      <c r="E601" s="11"/>
      <c r="F601" s="65"/>
      <c r="G601" s="12"/>
      <c r="H601" s="41"/>
      <c r="I601" s="30"/>
      <c r="J601" s="30"/>
      <c r="K601" s="97"/>
      <c r="L601" s="11"/>
      <c r="M601" s="11"/>
      <c r="N601" s="11"/>
      <c r="O601" s="11"/>
      <c r="P601" s="82"/>
    </row>
    <row r="602" spans="2:16" s="9" customFormat="1" x14ac:dyDescent="0.2">
      <c r="B602" s="10"/>
      <c r="C602" s="11"/>
      <c r="D602" s="63"/>
      <c r="E602" s="11"/>
      <c r="F602" s="65"/>
      <c r="G602" s="12"/>
      <c r="H602" s="41"/>
      <c r="I602" s="30"/>
      <c r="J602" s="30"/>
      <c r="K602" s="97"/>
      <c r="L602" s="11"/>
      <c r="M602" s="11"/>
      <c r="N602" s="11"/>
      <c r="O602" s="11"/>
      <c r="P602" s="82"/>
    </row>
    <row r="603" spans="2:16" s="9" customFormat="1" x14ac:dyDescent="0.2">
      <c r="B603" s="10"/>
      <c r="C603" s="11"/>
      <c r="D603" s="63"/>
      <c r="E603" s="11"/>
      <c r="F603" s="65"/>
      <c r="G603" s="12"/>
      <c r="H603" s="41"/>
      <c r="I603" s="30"/>
      <c r="J603" s="30"/>
      <c r="K603" s="97"/>
      <c r="L603" s="11"/>
      <c r="M603" s="11"/>
      <c r="N603" s="11"/>
      <c r="O603" s="11"/>
      <c r="P603" s="82"/>
    </row>
    <row r="604" spans="2:16" s="9" customFormat="1" x14ac:dyDescent="0.2">
      <c r="B604" s="10"/>
      <c r="C604" s="11"/>
      <c r="D604" s="63"/>
      <c r="E604" s="11"/>
      <c r="F604" s="65"/>
      <c r="G604" s="12"/>
      <c r="H604" s="41"/>
      <c r="I604" s="30"/>
      <c r="J604" s="30"/>
      <c r="K604" s="97"/>
      <c r="L604" s="11"/>
      <c r="M604" s="11"/>
      <c r="N604" s="11"/>
      <c r="O604" s="11"/>
      <c r="P604" s="82"/>
    </row>
    <row r="605" spans="2:16" s="9" customFormat="1" x14ac:dyDescent="0.2">
      <c r="B605" s="10"/>
      <c r="C605" s="11"/>
      <c r="D605" s="63"/>
      <c r="E605" s="11"/>
      <c r="F605" s="65"/>
      <c r="G605" s="12"/>
      <c r="H605" s="41"/>
      <c r="I605" s="30"/>
      <c r="J605" s="30"/>
      <c r="K605" s="97"/>
      <c r="L605" s="11"/>
      <c r="M605" s="11"/>
      <c r="N605" s="11"/>
      <c r="O605" s="11"/>
      <c r="P605" s="82"/>
    </row>
    <row r="606" spans="2:16" s="9" customFormat="1" x14ac:dyDescent="0.2">
      <c r="B606" s="10"/>
      <c r="C606" s="11"/>
      <c r="D606" s="63"/>
      <c r="E606" s="11"/>
      <c r="F606" s="65"/>
      <c r="G606" s="12"/>
      <c r="H606" s="41"/>
      <c r="I606" s="30"/>
      <c r="J606" s="30"/>
      <c r="K606" s="97"/>
      <c r="L606" s="11"/>
      <c r="M606" s="11"/>
      <c r="N606" s="11"/>
      <c r="O606" s="11"/>
      <c r="P606" s="82"/>
    </row>
    <row r="607" spans="2:16" s="9" customFormat="1" x14ac:dyDescent="0.2">
      <c r="B607" s="10"/>
      <c r="C607" s="11"/>
      <c r="D607" s="63"/>
      <c r="E607" s="11"/>
      <c r="F607" s="65"/>
      <c r="G607" s="12"/>
      <c r="H607" s="41"/>
      <c r="I607" s="30"/>
      <c r="J607" s="30"/>
      <c r="K607" s="97"/>
      <c r="L607" s="11"/>
      <c r="M607" s="11"/>
      <c r="N607" s="11"/>
      <c r="O607" s="11"/>
      <c r="P607" s="82"/>
    </row>
    <row r="608" spans="2:16" s="9" customFormat="1" x14ac:dyDescent="0.2">
      <c r="B608" s="10"/>
      <c r="C608" s="11"/>
      <c r="D608" s="63"/>
      <c r="E608" s="11"/>
      <c r="F608" s="65"/>
      <c r="G608" s="12"/>
      <c r="H608" s="41"/>
      <c r="I608" s="30"/>
      <c r="J608" s="30"/>
      <c r="K608" s="97"/>
      <c r="L608" s="11"/>
      <c r="M608" s="11"/>
      <c r="N608" s="11"/>
      <c r="O608" s="11"/>
      <c r="P608" s="82"/>
    </row>
    <row r="609" spans="2:16" s="9" customFormat="1" x14ac:dyDescent="0.2">
      <c r="B609" s="10"/>
      <c r="C609" s="11"/>
      <c r="D609" s="63"/>
      <c r="E609" s="11"/>
      <c r="F609" s="65"/>
      <c r="G609" s="12"/>
      <c r="H609" s="41"/>
      <c r="I609" s="30"/>
      <c r="J609" s="30"/>
      <c r="K609" s="97"/>
      <c r="L609" s="11"/>
      <c r="M609" s="11"/>
      <c r="N609" s="11"/>
      <c r="O609" s="11"/>
      <c r="P609" s="82"/>
    </row>
    <row r="610" spans="2:16" s="9" customFormat="1" x14ac:dyDescent="0.2">
      <c r="B610" s="10"/>
      <c r="C610" s="11"/>
      <c r="D610" s="63"/>
      <c r="E610" s="11"/>
      <c r="F610" s="65"/>
      <c r="G610" s="12"/>
      <c r="H610" s="41"/>
      <c r="I610" s="30"/>
      <c r="J610" s="30"/>
      <c r="K610" s="97"/>
      <c r="L610" s="11"/>
      <c r="M610" s="11"/>
      <c r="N610" s="11"/>
      <c r="O610" s="11"/>
      <c r="P610" s="82"/>
    </row>
    <row r="611" spans="2:16" s="9" customFormat="1" x14ac:dyDescent="0.2">
      <c r="B611" s="10"/>
      <c r="C611" s="11"/>
      <c r="D611" s="63"/>
      <c r="E611" s="11"/>
      <c r="F611" s="65"/>
      <c r="G611" s="12"/>
      <c r="H611" s="41"/>
      <c r="I611" s="30"/>
      <c r="J611" s="30"/>
      <c r="K611" s="97"/>
      <c r="L611" s="11"/>
      <c r="M611" s="11"/>
      <c r="N611" s="11"/>
      <c r="O611" s="11"/>
      <c r="P611" s="82"/>
    </row>
    <row r="612" spans="2:16" s="9" customFormat="1" x14ac:dyDescent="0.2">
      <c r="B612" s="10"/>
      <c r="C612" s="11"/>
      <c r="D612" s="63"/>
      <c r="E612" s="11"/>
      <c r="F612" s="65"/>
      <c r="G612" s="12"/>
      <c r="H612" s="41"/>
      <c r="I612" s="30"/>
      <c r="J612" s="30"/>
      <c r="K612" s="97"/>
      <c r="L612" s="11"/>
      <c r="M612" s="11"/>
      <c r="N612" s="11"/>
      <c r="O612" s="11"/>
      <c r="P612" s="82"/>
    </row>
    <row r="613" spans="2:16" s="9" customFormat="1" x14ac:dyDescent="0.2">
      <c r="B613" s="10"/>
      <c r="C613" s="11"/>
      <c r="D613" s="63"/>
      <c r="E613" s="11"/>
      <c r="F613" s="65"/>
      <c r="G613" s="12"/>
      <c r="H613" s="41"/>
      <c r="I613" s="30"/>
      <c r="J613" s="30"/>
      <c r="K613" s="97"/>
      <c r="L613" s="11"/>
      <c r="M613" s="11"/>
      <c r="N613" s="11"/>
      <c r="O613" s="11"/>
      <c r="P613" s="82"/>
    </row>
    <row r="614" spans="2:16" s="9" customFormat="1" x14ac:dyDescent="0.2">
      <c r="B614" s="10"/>
      <c r="C614" s="11"/>
      <c r="D614" s="63"/>
      <c r="E614" s="11"/>
      <c r="F614" s="65"/>
      <c r="G614" s="12"/>
      <c r="H614" s="41"/>
      <c r="I614" s="30"/>
      <c r="J614" s="30"/>
      <c r="K614" s="97"/>
      <c r="L614" s="11"/>
      <c r="M614" s="11"/>
      <c r="N614" s="11"/>
      <c r="O614" s="11"/>
      <c r="P614" s="82"/>
    </row>
    <row r="615" spans="2:16" s="9" customFormat="1" x14ac:dyDescent="0.2">
      <c r="B615" s="10"/>
      <c r="C615" s="11"/>
      <c r="D615" s="63"/>
      <c r="E615" s="11"/>
      <c r="F615" s="65"/>
      <c r="G615" s="12"/>
      <c r="H615" s="41"/>
      <c r="I615" s="30"/>
      <c r="J615" s="30"/>
      <c r="K615" s="97"/>
      <c r="L615" s="11"/>
      <c r="M615" s="11"/>
      <c r="N615" s="11"/>
      <c r="O615" s="11"/>
      <c r="P615" s="82"/>
    </row>
    <row r="616" spans="2:16" s="9" customFormat="1" x14ac:dyDescent="0.2">
      <c r="B616" s="10"/>
      <c r="C616" s="11"/>
      <c r="D616" s="63"/>
      <c r="E616" s="11"/>
      <c r="F616" s="65"/>
      <c r="G616" s="12"/>
      <c r="H616" s="41"/>
      <c r="I616" s="30"/>
      <c r="J616" s="30"/>
      <c r="K616" s="97"/>
      <c r="L616" s="11"/>
      <c r="M616" s="11"/>
      <c r="N616" s="11"/>
      <c r="O616" s="11"/>
      <c r="P616" s="82"/>
    </row>
    <row r="617" spans="2:16" s="9" customFormat="1" x14ac:dyDescent="0.2">
      <c r="B617" s="10"/>
      <c r="C617" s="11"/>
      <c r="D617" s="63"/>
      <c r="E617" s="11"/>
      <c r="F617" s="65"/>
      <c r="G617" s="12"/>
      <c r="H617" s="41"/>
      <c r="I617" s="30"/>
      <c r="J617" s="30"/>
      <c r="K617" s="97"/>
      <c r="L617" s="11"/>
      <c r="M617" s="11"/>
      <c r="N617" s="11"/>
      <c r="O617" s="11"/>
      <c r="P617" s="82"/>
    </row>
    <row r="618" spans="2:16" s="9" customFormat="1" x14ac:dyDescent="0.2">
      <c r="B618" s="10"/>
      <c r="C618" s="11"/>
      <c r="D618" s="63"/>
      <c r="E618" s="11"/>
      <c r="F618" s="65"/>
      <c r="G618" s="12"/>
      <c r="H618" s="41"/>
      <c r="I618" s="30"/>
      <c r="J618" s="30"/>
      <c r="K618" s="97"/>
      <c r="L618" s="11"/>
      <c r="M618" s="11"/>
      <c r="N618" s="11"/>
      <c r="O618" s="11"/>
      <c r="P618" s="82"/>
    </row>
    <row r="619" spans="2:16" s="9" customFormat="1" x14ac:dyDescent="0.2">
      <c r="B619" s="10"/>
      <c r="C619" s="11"/>
      <c r="D619" s="63"/>
      <c r="E619" s="11"/>
      <c r="F619" s="65"/>
      <c r="G619" s="12"/>
      <c r="H619" s="41"/>
      <c r="I619" s="30"/>
      <c r="J619" s="30"/>
      <c r="K619" s="97"/>
      <c r="L619" s="11"/>
      <c r="M619" s="11"/>
      <c r="N619" s="11"/>
      <c r="O619" s="11"/>
      <c r="P619" s="82"/>
    </row>
    <row r="620" spans="2:16" s="9" customFormat="1" x14ac:dyDescent="0.2">
      <c r="B620" s="10"/>
      <c r="C620" s="11"/>
      <c r="D620" s="63"/>
      <c r="E620" s="11"/>
      <c r="F620" s="65"/>
      <c r="G620" s="12"/>
      <c r="H620" s="41"/>
      <c r="I620" s="30"/>
      <c r="J620" s="30"/>
      <c r="K620" s="97"/>
      <c r="L620" s="11"/>
      <c r="M620" s="11"/>
      <c r="N620" s="11"/>
      <c r="O620" s="11"/>
      <c r="P620" s="82"/>
    </row>
    <row r="621" spans="2:16" s="9" customFormat="1" x14ac:dyDescent="0.2">
      <c r="B621" s="10"/>
      <c r="C621" s="11"/>
      <c r="D621" s="63"/>
      <c r="E621" s="11"/>
      <c r="F621" s="65"/>
      <c r="G621" s="12"/>
      <c r="H621" s="41"/>
      <c r="I621" s="30"/>
      <c r="J621" s="30"/>
      <c r="K621" s="97"/>
      <c r="L621" s="11"/>
      <c r="M621" s="11"/>
      <c r="N621" s="11"/>
      <c r="O621" s="11"/>
      <c r="P621" s="82"/>
    </row>
    <row r="622" spans="2:16" s="9" customFormat="1" x14ac:dyDescent="0.2">
      <c r="B622" s="10"/>
      <c r="C622" s="11"/>
      <c r="D622" s="63"/>
      <c r="E622" s="11"/>
      <c r="F622" s="65"/>
      <c r="G622" s="12"/>
      <c r="H622" s="41"/>
      <c r="I622" s="30"/>
      <c r="J622" s="30"/>
      <c r="K622" s="97"/>
      <c r="L622" s="11"/>
      <c r="M622" s="11"/>
      <c r="N622" s="11"/>
      <c r="O622" s="11"/>
      <c r="P622" s="82"/>
    </row>
    <row r="623" spans="2:16" s="9" customFormat="1" x14ac:dyDescent="0.2">
      <c r="B623" s="10"/>
      <c r="C623" s="11"/>
      <c r="D623" s="63"/>
      <c r="E623" s="11"/>
      <c r="F623" s="65"/>
      <c r="G623" s="12"/>
      <c r="H623" s="41"/>
      <c r="I623" s="30"/>
      <c r="J623" s="30"/>
      <c r="K623" s="97"/>
      <c r="L623" s="11"/>
      <c r="M623" s="11"/>
      <c r="N623" s="11"/>
      <c r="O623" s="11"/>
      <c r="P623" s="82"/>
    </row>
    <row r="624" spans="2:16" s="9" customFormat="1" x14ac:dyDescent="0.2">
      <c r="B624" s="10"/>
      <c r="C624" s="11"/>
      <c r="D624" s="63"/>
      <c r="E624" s="11"/>
      <c r="F624" s="65"/>
      <c r="G624" s="12"/>
      <c r="H624" s="41"/>
      <c r="I624" s="30"/>
      <c r="J624" s="30"/>
      <c r="K624" s="97"/>
      <c r="L624" s="11"/>
      <c r="M624" s="11"/>
      <c r="N624" s="11"/>
      <c r="O624" s="11"/>
      <c r="P624" s="82"/>
    </row>
    <row r="625" spans="2:16" s="9" customFormat="1" x14ac:dyDescent="0.2">
      <c r="B625" s="10"/>
      <c r="C625" s="11"/>
      <c r="D625" s="63"/>
      <c r="E625" s="11"/>
      <c r="F625" s="65"/>
      <c r="G625" s="12"/>
      <c r="H625" s="41"/>
      <c r="I625" s="30"/>
      <c r="J625" s="30"/>
      <c r="K625" s="97"/>
      <c r="L625" s="11"/>
      <c r="M625" s="11"/>
      <c r="N625" s="11"/>
      <c r="O625" s="11"/>
      <c r="P625" s="82"/>
    </row>
    <row r="626" spans="2:16" s="9" customFormat="1" x14ac:dyDescent="0.2">
      <c r="B626" s="10"/>
      <c r="C626" s="11"/>
      <c r="D626" s="63"/>
      <c r="E626" s="11"/>
      <c r="F626" s="65"/>
      <c r="G626" s="12"/>
      <c r="H626" s="41"/>
      <c r="I626" s="30"/>
      <c r="J626" s="30"/>
      <c r="K626" s="97"/>
      <c r="L626" s="11"/>
      <c r="M626" s="11"/>
      <c r="N626" s="11"/>
      <c r="O626" s="11"/>
      <c r="P626" s="82"/>
    </row>
    <row r="627" spans="2:16" s="9" customFormat="1" x14ac:dyDescent="0.2">
      <c r="B627" s="10"/>
      <c r="C627" s="11"/>
      <c r="D627" s="63"/>
      <c r="E627" s="11"/>
      <c r="F627" s="65"/>
      <c r="G627" s="12"/>
      <c r="H627" s="41"/>
      <c r="I627" s="30"/>
      <c r="J627" s="30"/>
      <c r="K627" s="97"/>
      <c r="L627" s="11"/>
      <c r="M627" s="11"/>
      <c r="N627" s="11"/>
      <c r="O627" s="11"/>
      <c r="P627" s="82"/>
    </row>
    <row r="628" spans="2:16" s="9" customFormat="1" x14ac:dyDescent="0.2">
      <c r="B628" s="10"/>
      <c r="C628" s="11"/>
      <c r="D628" s="63"/>
      <c r="E628" s="11"/>
      <c r="F628" s="65"/>
      <c r="G628" s="12"/>
      <c r="H628" s="41"/>
      <c r="I628" s="30"/>
      <c r="J628" s="30"/>
      <c r="K628" s="97"/>
      <c r="L628" s="11"/>
      <c r="M628" s="11"/>
      <c r="N628" s="11"/>
      <c r="O628" s="11"/>
      <c r="P628" s="82"/>
    </row>
    <row r="629" spans="2:16" s="9" customFormat="1" x14ac:dyDescent="0.2">
      <c r="B629" s="10"/>
      <c r="C629" s="11"/>
      <c r="D629" s="63"/>
      <c r="E629" s="11"/>
      <c r="F629" s="65"/>
      <c r="G629" s="12"/>
      <c r="H629" s="41"/>
      <c r="I629" s="30"/>
      <c r="J629" s="30"/>
      <c r="K629" s="97"/>
      <c r="L629" s="11"/>
      <c r="M629" s="11"/>
      <c r="N629" s="11"/>
      <c r="O629" s="11"/>
      <c r="P629" s="82"/>
    </row>
    <row r="630" spans="2:16" s="9" customFormat="1" x14ac:dyDescent="0.2">
      <c r="B630" s="10"/>
      <c r="C630" s="11"/>
      <c r="D630" s="63"/>
      <c r="E630" s="11"/>
      <c r="F630" s="65"/>
      <c r="G630" s="12"/>
      <c r="H630" s="41"/>
      <c r="I630" s="30"/>
      <c r="J630" s="30"/>
      <c r="K630" s="97"/>
      <c r="L630" s="11"/>
      <c r="M630" s="11"/>
      <c r="N630" s="11"/>
      <c r="O630" s="11"/>
      <c r="P630" s="82"/>
    </row>
    <row r="631" spans="2:16" s="9" customFormat="1" x14ac:dyDescent="0.2">
      <c r="B631" s="10"/>
      <c r="C631" s="11"/>
      <c r="D631" s="63"/>
      <c r="E631" s="11"/>
      <c r="F631" s="65"/>
      <c r="G631" s="12"/>
      <c r="H631" s="41"/>
      <c r="I631" s="30"/>
      <c r="J631" s="30"/>
      <c r="K631" s="97"/>
      <c r="L631" s="11"/>
      <c r="M631" s="11"/>
      <c r="N631" s="11"/>
      <c r="O631" s="11"/>
      <c r="P631" s="82"/>
    </row>
    <row r="632" spans="2:16" s="9" customFormat="1" x14ac:dyDescent="0.2">
      <c r="B632" s="10"/>
      <c r="C632" s="11"/>
      <c r="D632" s="63"/>
      <c r="E632" s="11"/>
      <c r="F632" s="65"/>
      <c r="G632" s="12"/>
      <c r="H632" s="41"/>
      <c r="I632" s="30"/>
      <c r="J632" s="30"/>
      <c r="K632" s="97"/>
      <c r="L632" s="11"/>
      <c r="M632" s="11"/>
      <c r="N632" s="11"/>
      <c r="O632" s="11"/>
      <c r="P632" s="82"/>
    </row>
    <row r="633" spans="2:16" s="9" customFormat="1" x14ac:dyDescent="0.2">
      <c r="B633" s="10"/>
      <c r="C633" s="11"/>
      <c r="D633" s="63"/>
      <c r="E633" s="11"/>
      <c r="F633" s="65"/>
      <c r="G633" s="12"/>
      <c r="H633" s="41"/>
      <c r="I633" s="30"/>
      <c r="J633" s="30"/>
      <c r="K633" s="97"/>
      <c r="L633" s="11"/>
      <c r="M633" s="11"/>
      <c r="N633" s="11"/>
      <c r="O633" s="11"/>
      <c r="P633" s="82"/>
    </row>
    <row r="634" spans="2:16" s="9" customFormat="1" x14ac:dyDescent="0.2">
      <c r="B634" s="10"/>
      <c r="C634" s="11"/>
      <c r="D634" s="63"/>
      <c r="E634" s="11"/>
      <c r="F634" s="65"/>
      <c r="G634" s="12"/>
      <c r="H634" s="41"/>
      <c r="I634" s="30"/>
      <c r="J634" s="30"/>
      <c r="K634" s="97"/>
      <c r="L634" s="11"/>
      <c r="M634" s="11"/>
      <c r="N634" s="11"/>
      <c r="O634" s="11"/>
      <c r="P634" s="82"/>
    </row>
    <row r="635" spans="2:16" s="9" customFormat="1" x14ac:dyDescent="0.2">
      <c r="B635" s="10"/>
      <c r="C635" s="11"/>
      <c r="D635" s="63"/>
      <c r="E635" s="11"/>
      <c r="F635" s="65"/>
      <c r="G635" s="12"/>
      <c r="H635" s="41"/>
      <c r="I635" s="30"/>
      <c r="J635" s="30"/>
      <c r="K635" s="97"/>
      <c r="L635" s="11"/>
      <c r="M635" s="11"/>
      <c r="N635" s="11"/>
      <c r="O635" s="11"/>
      <c r="P635" s="82"/>
    </row>
    <row r="636" spans="2:16" s="9" customFormat="1" x14ac:dyDescent="0.2">
      <c r="B636" s="10"/>
      <c r="C636" s="11"/>
      <c r="D636" s="63"/>
      <c r="E636" s="11"/>
      <c r="F636" s="65"/>
      <c r="G636" s="12"/>
      <c r="H636" s="41"/>
      <c r="I636" s="30"/>
      <c r="J636" s="30"/>
      <c r="K636" s="97"/>
      <c r="L636" s="11"/>
      <c r="M636" s="11"/>
      <c r="N636" s="11"/>
      <c r="O636" s="11"/>
      <c r="P636" s="82"/>
    </row>
    <row r="637" spans="2:16" s="9" customFormat="1" x14ac:dyDescent="0.2">
      <c r="B637" s="10"/>
      <c r="C637" s="11"/>
      <c r="D637" s="63"/>
      <c r="E637" s="11"/>
      <c r="F637" s="65"/>
      <c r="G637" s="12"/>
      <c r="H637" s="41"/>
      <c r="I637" s="30"/>
      <c r="J637" s="30"/>
      <c r="K637" s="97"/>
      <c r="L637" s="11"/>
      <c r="M637" s="11"/>
      <c r="N637" s="11"/>
      <c r="O637" s="11"/>
      <c r="P637" s="82"/>
    </row>
    <row r="638" spans="2:16" s="9" customFormat="1" x14ac:dyDescent="0.2">
      <c r="B638" s="10"/>
      <c r="C638" s="11"/>
      <c r="D638" s="63"/>
      <c r="E638" s="11"/>
      <c r="F638" s="65"/>
      <c r="G638" s="12"/>
      <c r="H638" s="41"/>
      <c r="I638" s="30"/>
      <c r="J638" s="30"/>
      <c r="K638" s="97"/>
      <c r="L638" s="11"/>
      <c r="M638" s="11"/>
      <c r="N638" s="11"/>
      <c r="O638" s="11"/>
      <c r="P638" s="82"/>
    </row>
    <row r="639" spans="2:16" s="9" customFormat="1" x14ac:dyDescent="0.2">
      <c r="B639" s="10"/>
      <c r="C639" s="11"/>
      <c r="D639" s="63"/>
      <c r="E639" s="11"/>
      <c r="F639" s="65"/>
      <c r="G639" s="12"/>
      <c r="H639" s="41"/>
      <c r="I639" s="30"/>
      <c r="J639" s="30"/>
      <c r="K639" s="97"/>
      <c r="L639" s="11"/>
      <c r="M639" s="11"/>
      <c r="N639" s="11"/>
      <c r="O639" s="11"/>
      <c r="P639" s="82"/>
    </row>
    <row r="640" spans="2:16" s="9" customFormat="1" x14ac:dyDescent="0.2">
      <c r="B640" s="10"/>
      <c r="C640" s="11"/>
      <c r="D640" s="63"/>
      <c r="E640" s="11"/>
      <c r="F640" s="65"/>
      <c r="G640" s="12"/>
      <c r="H640" s="41"/>
      <c r="I640" s="30"/>
      <c r="J640" s="30"/>
      <c r="K640" s="97"/>
      <c r="L640" s="11"/>
      <c r="M640" s="11"/>
      <c r="N640" s="11"/>
      <c r="O640" s="11"/>
      <c r="P640" s="82"/>
    </row>
    <row r="641" spans="2:16" s="9" customFormat="1" x14ac:dyDescent="0.2">
      <c r="B641" s="10"/>
      <c r="C641" s="11"/>
      <c r="D641" s="63"/>
      <c r="E641" s="11"/>
      <c r="F641" s="65"/>
      <c r="G641" s="12"/>
      <c r="H641" s="41"/>
      <c r="I641" s="30"/>
      <c r="J641" s="30"/>
      <c r="K641" s="97"/>
      <c r="L641" s="11"/>
      <c r="M641" s="11"/>
      <c r="N641" s="11"/>
      <c r="O641" s="11"/>
      <c r="P641" s="82"/>
    </row>
    <row r="642" spans="2:16" s="9" customFormat="1" x14ac:dyDescent="0.2">
      <c r="B642" s="10"/>
      <c r="C642" s="11"/>
      <c r="D642" s="63"/>
      <c r="E642" s="11"/>
      <c r="F642" s="65"/>
      <c r="G642" s="12"/>
      <c r="H642" s="41"/>
      <c r="I642" s="30"/>
      <c r="J642" s="30"/>
      <c r="K642" s="97"/>
      <c r="L642" s="11"/>
      <c r="M642" s="11"/>
      <c r="N642" s="11"/>
      <c r="O642" s="11"/>
      <c r="P642" s="82"/>
    </row>
    <row r="643" spans="2:16" s="9" customFormat="1" x14ac:dyDescent="0.2">
      <c r="B643" s="10"/>
      <c r="C643" s="11"/>
      <c r="D643" s="63"/>
      <c r="E643" s="11"/>
      <c r="F643" s="65"/>
      <c r="G643" s="12"/>
      <c r="H643" s="41"/>
      <c r="I643" s="30"/>
      <c r="J643" s="30"/>
      <c r="K643" s="97"/>
      <c r="L643" s="11"/>
      <c r="M643" s="11"/>
      <c r="N643" s="11"/>
      <c r="O643" s="11"/>
      <c r="P643" s="82"/>
    </row>
    <row r="644" spans="2:16" s="9" customFormat="1" x14ac:dyDescent="0.2">
      <c r="B644" s="10"/>
      <c r="C644" s="11"/>
      <c r="D644" s="63"/>
      <c r="E644" s="11"/>
      <c r="F644" s="65"/>
      <c r="G644" s="12"/>
      <c r="H644" s="41"/>
      <c r="I644" s="30"/>
      <c r="J644" s="30"/>
      <c r="K644" s="97"/>
      <c r="L644" s="11"/>
      <c r="M644" s="11"/>
      <c r="N644" s="11"/>
      <c r="O644" s="11"/>
      <c r="P644" s="82"/>
    </row>
    <row r="645" spans="2:16" s="9" customFormat="1" x14ac:dyDescent="0.2">
      <c r="B645" s="10"/>
      <c r="C645" s="11"/>
      <c r="D645" s="63"/>
      <c r="E645" s="11"/>
      <c r="F645" s="65"/>
      <c r="G645" s="12"/>
      <c r="H645" s="41"/>
      <c r="I645" s="30"/>
      <c r="J645" s="30"/>
      <c r="K645" s="97"/>
      <c r="L645" s="11"/>
      <c r="M645" s="11"/>
      <c r="N645" s="11"/>
      <c r="O645" s="11"/>
      <c r="P645" s="82"/>
    </row>
    <row r="646" spans="2:16" s="9" customFormat="1" x14ac:dyDescent="0.2">
      <c r="B646" s="10"/>
      <c r="C646" s="11"/>
      <c r="D646" s="63"/>
      <c r="E646" s="11"/>
      <c r="F646" s="65"/>
      <c r="G646" s="12"/>
      <c r="H646" s="41"/>
      <c r="I646" s="30"/>
      <c r="J646" s="30"/>
      <c r="K646" s="97"/>
      <c r="L646" s="11"/>
      <c r="M646" s="11"/>
      <c r="N646" s="11"/>
      <c r="O646" s="11"/>
      <c r="P646" s="82"/>
    </row>
    <row r="647" spans="2:16" s="9" customFormat="1" x14ac:dyDescent="0.2">
      <c r="B647" s="10"/>
      <c r="C647" s="11"/>
      <c r="D647" s="63"/>
      <c r="E647" s="11"/>
      <c r="F647" s="65"/>
      <c r="G647" s="12"/>
      <c r="H647" s="41"/>
      <c r="I647" s="30"/>
      <c r="J647" s="30"/>
      <c r="K647" s="97"/>
      <c r="L647" s="11"/>
      <c r="M647" s="11"/>
      <c r="N647" s="11"/>
      <c r="O647" s="11"/>
      <c r="P647" s="82"/>
    </row>
    <row r="648" spans="2:16" s="9" customFormat="1" x14ac:dyDescent="0.2">
      <c r="B648" s="10"/>
      <c r="C648" s="11"/>
      <c r="D648" s="63"/>
      <c r="E648" s="11"/>
      <c r="F648" s="65"/>
      <c r="G648" s="12"/>
      <c r="H648" s="41"/>
      <c r="I648" s="30"/>
      <c r="J648" s="30"/>
      <c r="K648" s="97"/>
      <c r="L648" s="11"/>
      <c r="M648" s="11"/>
      <c r="N648" s="11"/>
      <c r="O648" s="11"/>
      <c r="P648" s="82"/>
    </row>
    <row r="649" spans="2:16" s="9" customFormat="1" x14ac:dyDescent="0.2">
      <c r="B649" s="10"/>
      <c r="C649" s="11"/>
      <c r="D649" s="63"/>
      <c r="E649" s="11"/>
      <c r="F649" s="65"/>
      <c r="G649" s="12"/>
      <c r="H649" s="41"/>
      <c r="I649" s="30"/>
      <c r="J649" s="30"/>
      <c r="K649" s="97"/>
      <c r="L649" s="11"/>
      <c r="M649" s="11"/>
      <c r="N649" s="11"/>
      <c r="O649" s="11"/>
      <c r="P649" s="82"/>
    </row>
    <row r="650" spans="2:16" s="9" customFormat="1" x14ac:dyDescent="0.2">
      <c r="B650" s="10"/>
      <c r="C650" s="11"/>
      <c r="D650" s="63"/>
      <c r="E650" s="11"/>
      <c r="F650" s="65"/>
      <c r="G650" s="12"/>
      <c r="H650" s="41"/>
      <c r="I650" s="30"/>
      <c r="J650" s="30"/>
      <c r="K650" s="97"/>
      <c r="L650" s="11"/>
      <c r="M650" s="11"/>
      <c r="N650" s="11"/>
      <c r="O650" s="11"/>
      <c r="P650" s="82"/>
    </row>
    <row r="651" spans="2:16" s="9" customFormat="1" x14ac:dyDescent="0.2">
      <c r="B651" s="10"/>
      <c r="C651" s="11"/>
      <c r="D651" s="63"/>
      <c r="E651" s="11"/>
      <c r="F651" s="65"/>
      <c r="G651" s="12"/>
      <c r="H651" s="41"/>
      <c r="I651" s="30"/>
      <c r="J651" s="30"/>
      <c r="K651" s="97"/>
      <c r="L651" s="11"/>
      <c r="M651" s="11"/>
      <c r="N651" s="11"/>
      <c r="O651" s="11"/>
      <c r="P651" s="82"/>
    </row>
    <row r="652" spans="2:16" s="9" customFormat="1" x14ac:dyDescent="0.2">
      <c r="B652" s="10"/>
      <c r="C652" s="11"/>
      <c r="D652" s="63"/>
      <c r="E652" s="11"/>
      <c r="F652" s="65"/>
      <c r="G652" s="12"/>
      <c r="H652" s="41"/>
      <c r="I652" s="30"/>
      <c r="J652" s="30"/>
      <c r="K652" s="97"/>
      <c r="L652" s="11"/>
      <c r="M652" s="11"/>
      <c r="N652" s="11"/>
      <c r="O652" s="11"/>
      <c r="P652" s="82"/>
    </row>
    <row r="653" spans="2:16" s="9" customFormat="1" x14ac:dyDescent="0.2">
      <c r="B653" s="10"/>
      <c r="C653" s="11"/>
      <c r="D653" s="63"/>
      <c r="E653" s="11"/>
      <c r="F653" s="65"/>
      <c r="G653" s="12"/>
      <c r="H653" s="41"/>
      <c r="I653" s="30"/>
      <c r="J653" s="30"/>
      <c r="K653" s="97"/>
      <c r="L653" s="11"/>
      <c r="M653" s="11"/>
      <c r="N653" s="11"/>
      <c r="O653" s="11"/>
      <c r="P653" s="82"/>
    </row>
    <row r="654" spans="2:16" s="9" customFormat="1" x14ac:dyDescent="0.2">
      <c r="B654" s="10"/>
      <c r="C654" s="11"/>
      <c r="D654" s="63"/>
      <c r="E654" s="11"/>
      <c r="F654" s="65"/>
      <c r="G654" s="12"/>
      <c r="H654" s="41"/>
      <c r="I654" s="30"/>
      <c r="J654" s="30"/>
      <c r="K654" s="97"/>
      <c r="L654" s="11"/>
      <c r="M654" s="11"/>
      <c r="N654" s="11"/>
      <c r="O654" s="11"/>
      <c r="P654" s="82"/>
    </row>
    <row r="655" spans="2:16" s="9" customFormat="1" x14ac:dyDescent="0.2">
      <c r="B655" s="10"/>
      <c r="C655" s="11"/>
      <c r="D655" s="63"/>
      <c r="E655" s="11"/>
      <c r="F655" s="65"/>
      <c r="G655" s="12"/>
      <c r="H655" s="41"/>
      <c r="I655" s="30"/>
      <c r="J655" s="30"/>
      <c r="K655" s="97"/>
      <c r="L655" s="11"/>
      <c r="M655" s="11"/>
      <c r="N655" s="11"/>
      <c r="O655" s="11"/>
      <c r="P655" s="82"/>
    </row>
    <row r="656" spans="2:16" s="9" customFormat="1" x14ac:dyDescent="0.2">
      <c r="B656" s="10"/>
      <c r="C656" s="11"/>
      <c r="D656" s="63"/>
      <c r="E656" s="11"/>
      <c r="F656" s="65"/>
      <c r="G656" s="12"/>
      <c r="H656" s="41"/>
      <c r="I656" s="30"/>
      <c r="J656" s="30"/>
      <c r="K656" s="97"/>
      <c r="L656" s="11"/>
      <c r="M656" s="11"/>
      <c r="N656" s="11"/>
      <c r="O656" s="11"/>
      <c r="P656" s="82"/>
    </row>
    <row r="657" spans="2:16" s="9" customFormat="1" x14ac:dyDescent="0.2">
      <c r="B657" s="10"/>
      <c r="C657" s="11"/>
      <c r="D657" s="63"/>
      <c r="E657" s="11"/>
      <c r="F657" s="65"/>
      <c r="G657" s="12"/>
      <c r="H657" s="41"/>
      <c r="I657" s="30"/>
      <c r="J657" s="30"/>
      <c r="K657" s="97"/>
      <c r="L657" s="11"/>
      <c r="M657" s="11"/>
      <c r="N657" s="11"/>
      <c r="O657" s="11"/>
      <c r="P657" s="82"/>
    </row>
    <row r="658" spans="2:16" s="9" customFormat="1" x14ac:dyDescent="0.2">
      <c r="B658" s="10"/>
      <c r="C658" s="11"/>
      <c r="D658" s="63"/>
      <c r="E658" s="11"/>
      <c r="F658" s="65"/>
      <c r="G658" s="12"/>
      <c r="H658" s="41"/>
      <c r="I658" s="30"/>
      <c r="J658" s="30"/>
      <c r="K658" s="97"/>
      <c r="L658" s="11"/>
      <c r="M658" s="11"/>
      <c r="N658" s="11"/>
      <c r="O658" s="11"/>
      <c r="P658" s="82"/>
    </row>
    <row r="659" spans="2:16" s="9" customFormat="1" x14ac:dyDescent="0.2">
      <c r="B659" s="10"/>
      <c r="C659" s="11"/>
      <c r="D659" s="63"/>
      <c r="E659" s="11"/>
      <c r="F659" s="65"/>
      <c r="G659" s="12"/>
      <c r="H659" s="41"/>
      <c r="I659" s="30"/>
      <c r="J659" s="30"/>
      <c r="K659" s="97"/>
      <c r="L659" s="11"/>
      <c r="M659" s="11"/>
      <c r="N659" s="11"/>
      <c r="O659" s="11"/>
      <c r="P659" s="82"/>
    </row>
    <row r="660" spans="2:16" s="9" customFormat="1" x14ac:dyDescent="0.2">
      <c r="B660" s="10"/>
      <c r="C660" s="11"/>
      <c r="D660" s="63"/>
      <c r="E660" s="11"/>
      <c r="F660" s="65"/>
      <c r="G660" s="12"/>
      <c r="H660" s="41"/>
      <c r="I660" s="30"/>
      <c r="J660" s="30"/>
      <c r="K660" s="97"/>
      <c r="L660" s="11"/>
      <c r="M660" s="11"/>
      <c r="N660" s="11"/>
      <c r="O660" s="11"/>
      <c r="P660" s="82"/>
    </row>
    <row r="661" spans="2:16" s="9" customFormat="1" x14ac:dyDescent="0.2">
      <c r="B661" s="10"/>
      <c r="C661" s="11"/>
      <c r="D661" s="63"/>
      <c r="E661" s="11"/>
      <c r="F661" s="65"/>
      <c r="G661" s="12"/>
      <c r="H661" s="41"/>
      <c r="I661" s="30"/>
      <c r="J661" s="30"/>
      <c r="K661" s="97"/>
      <c r="L661" s="11"/>
      <c r="M661" s="11"/>
      <c r="N661" s="11"/>
      <c r="O661" s="11"/>
      <c r="P661" s="82"/>
    </row>
    <row r="662" spans="2:16" s="9" customFormat="1" x14ac:dyDescent="0.2">
      <c r="B662" s="10"/>
      <c r="C662" s="11"/>
      <c r="D662" s="63"/>
      <c r="E662" s="11"/>
      <c r="F662" s="65"/>
      <c r="G662" s="12"/>
      <c r="H662" s="41"/>
      <c r="I662" s="30"/>
      <c r="J662" s="30"/>
      <c r="K662" s="97"/>
      <c r="L662" s="11"/>
      <c r="M662" s="11"/>
      <c r="N662" s="11"/>
      <c r="O662" s="11"/>
      <c r="P662" s="82"/>
    </row>
    <row r="663" spans="2:16" s="9" customFormat="1" x14ac:dyDescent="0.2">
      <c r="B663" s="10"/>
      <c r="C663" s="11"/>
      <c r="D663" s="63"/>
      <c r="E663" s="11"/>
      <c r="F663" s="65"/>
      <c r="G663" s="12"/>
      <c r="H663" s="41"/>
      <c r="I663" s="30"/>
      <c r="J663" s="30"/>
      <c r="K663" s="97"/>
      <c r="L663" s="11"/>
      <c r="M663" s="11"/>
      <c r="N663" s="11"/>
      <c r="O663" s="11"/>
      <c r="P663" s="82"/>
    </row>
    <row r="664" spans="2:16" s="9" customFormat="1" x14ac:dyDescent="0.2">
      <c r="B664" s="10"/>
      <c r="C664" s="11"/>
      <c r="D664" s="63"/>
      <c r="E664" s="11"/>
      <c r="F664" s="65"/>
      <c r="G664" s="12"/>
      <c r="H664" s="41"/>
      <c r="I664" s="30"/>
      <c r="J664" s="30"/>
      <c r="K664" s="97"/>
      <c r="L664" s="11"/>
      <c r="M664" s="11"/>
      <c r="N664" s="11"/>
      <c r="O664" s="11"/>
      <c r="P664" s="82"/>
    </row>
    <row r="665" spans="2:16" s="9" customFormat="1" x14ac:dyDescent="0.2">
      <c r="B665" s="10"/>
      <c r="C665" s="11"/>
      <c r="D665" s="63"/>
      <c r="E665" s="11"/>
      <c r="F665" s="65"/>
      <c r="G665" s="12"/>
      <c r="H665" s="41"/>
      <c r="I665" s="30"/>
      <c r="J665" s="30"/>
      <c r="K665" s="97"/>
      <c r="L665" s="11"/>
      <c r="M665" s="11"/>
      <c r="N665" s="11"/>
      <c r="O665" s="11"/>
      <c r="P665" s="82"/>
    </row>
    <row r="666" spans="2:16" s="9" customFormat="1" x14ac:dyDescent="0.2">
      <c r="B666" s="10"/>
      <c r="C666" s="11"/>
      <c r="D666" s="63"/>
      <c r="E666" s="11"/>
      <c r="F666" s="65"/>
      <c r="G666" s="12"/>
      <c r="H666" s="41"/>
      <c r="I666" s="30"/>
      <c r="J666" s="30"/>
      <c r="K666" s="97"/>
      <c r="L666" s="11"/>
      <c r="M666" s="11"/>
      <c r="N666" s="11"/>
      <c r="O666" s="11"/>
      <c r="P666" s="82"/>
    </row>
    <row r="667" spans="2:16" s="9" customFormat="1" x14ac:dyDescent="0.2">
      <c r="B667" s="10"/>
      <c r="C667" s="11"/>
      <c r="D667" s="63"/>
      <c r="E667" s="11"/>
      <c r="F667" s="65"/>
      <c r="G667" s="12"/>
      <c r="H667" s="41"/>
      <c r="I667" s="30"/>
      <c r="J667" s="30"/>
      <c r="K667" s="97"/>
      <c r="L667" s="11"/>
      <c r="M667" s="11"/>
      <c r="N667" s="11"/>
      <c r="O667" s="11"/>
      <c r="P667" s="82"/>
    </row>
    <row r="668" spans="2:16" s="9" customFormat="1" x14ac:dyDescent="0.2">
      <c r="B668" s="10"/>
      <c r="C668" s="11"/>
      <c r="D668" s="63"/>
      <c r="E668" s="11"/>
      <c r="F668" s="65"/>
      <c r="G668" s="12"/>
      <c r="H668" s="41"/>
      <c r="I668" s="30"/>
      <c r="J668" s="30"/>
      <c r="K668" s="97"/>
      <c r="L668" s="11"/>
      <c r="M668" s="11"/>
      <c r="N668" s="11"/>
      <c r="O668" s="11"/>
      <c r="P668" s="82"/>
    </row>
    <row r="669" spans="2:16" s="9" customFormat="1" x14ac:dyDescent="0.2">
      <c r="B669" s="10"/>
      <c r="C669" s="11"/>
      <c r="D669" s="63"/>
      <c r="E669" s="11"/>
      <c r="F669" s="65"/>
      <c r="G669" s="12"/>
      <c r="H669" s="41"/>
      <c r="I669" s="30"/>
      <c r="J669" s="30"/>
      <c r="K669" s="97"/>
      <c r="L669" s="11"/>
      <c r="M669" s="11"/>
      <c r="N669" s="11"/>
      <c r="O669" s="11"/>
      <c r="P669" s="82"/>
    </row>
    <row r="670" spans="2:16" s="9" customFormat="1" x14ac:dyDescent="0.2">
      <c r="B670" s="10"/>
      <c r="C670" s="11"/>
      <c r="D670" s="63"/>
      <c r="E670" s="11"/>
      <c r="F670" s="65"/>
      <c r="G670" s="12"/>
      <c r="H670" s="41"/>
      <c r="I670" s="30"/>
      <c r="J670" s="30"/>
      <c r="K670" s="97"/>
      <c r="L670" s="11"/>
      <c r="M670" s="11"/>
      <c r="N670" s="11"/>
      <c r="O670" s="11"/>
      <c r="P670" s="82"/>
    </row>
    <row r="671" spans="2:16" s="9" customFormat="1" x14ac:dyDescent="0.2">
      <c r="B671" s="10"/>
      <c r="C671" s="11"/>
      <c r="D671" s="63"/>
      <c r="E671" s="11"/>
      <c r="F671" s="65"/>
      <c r="G671" s="12"/>
      <c r="H671" s="41"/>
      <c r="I671" s="30"/>
      <c r="J671" s="30"/>
      <c r="K671" s="97"/>
      <c r="L671" s="11"/>
      <c r="M671" s="11"/>
      <c r="N671" s="11"/>
      <c r="O671" s="11"/>
      <c r="P671" s="82"/>
    </row>
    <row r="672" spans="2:16" s="9" customFormat="1" x14ac:dyDescent="0.2">
      <c r="B672" s="10"/>
      <c r="C672" s="11"/>
      <c r="D672" s="63"/>
      <c r="E672" s="11"/>
      <c r="F672" s="65"/>
      <c r="G672" s="12"/>
      <c r="H672" s="41"/>
      <c r="I672" s="30"/>
      <c r="J672" s="30"/>
      <c r="K672" s="97"/>
      <c r="L672" s="11"/>
      <c r="M672" s="11"/>
      <c r="N672" s="11"/>
      <c r="O672" s="11"/>
      <c r="P672" s="82"/>
    </row>
    <row r="673" spans="2:16" s="9" customFormat="1" x14ac:dyDescent="0.2">
      <c r="B673" s="10"/>
      <c r="C673" s="11"/>
      <c r="D673" s="63"/>
      <c r="E673" s="11"/>
      <c r="F673" s="65"/>
      <c r="G673" s="12"/>
      <c r="H673" s="41"/>
      <c r="I673" s="30"/>
      <c r="J673" s="30"/>
      <c r="K673" s="97"/>
      <c r="L673" s="11"/>
      <c r="M673" s="11"/>
      <c r="N673" s="11"/>
      <c r="O673" s="11"/>
      <c r="P673" s="82"/>
    </row>
    <row r="674" spans="2:16" s="9" customFormat="1" x14ac:dyDescent="0.2">
      <c r="B674" s="10"/>
      <c r="C674" s="11"/>
      <c r="D674" s="63"/>
      <c r="E674" s="11"/>
      <c r="F674" s="65"/>
      <c r="G674" s="12"/>
      <c r="H674" s="41"/>
      <c r="I674" s="30"/>
      <c r="J674" s="30"/>
      <c r="K674" s="97"/>
      <c r="L674" s="11"/>
      <c r="M674" s="11"/>
      <c r="N674" s="11"/>
      <c r="O674" s="11"/>
      <c r="P674" s="82"/>
    </row>
    <row r="675" spans="2:16" s="9" customFormat="1" x14ac:dyDescent="0.2">
      <c r="B675" s="10"/>
      <c r="C675" s="11"/>
      <c r="D675" s="63"/>
      <c r="E675" s="11"/>
      <c r="F675" s="65"/>
      <c r="G675" s="12"/>
      <c r="H675" s="41"/>
      <c r="I675" s="30"/>
      <c r="J675" s="30"/>
      <c r="K675" s="97"/>
      <c r="L675" s="11"/>
      <c r="M675" s="11"/>
      <c r="N675" s="11"/>
      <c r="O675" s="11"/>
      <c r="P675" s="82"/>
    </row>
    <row r="676" spans="2:16" s="9" customFormat="1" x14ac:dyDescent="0.2">
      <c r="B676" s="10"/>
      <c r="C676" s="11"/>
      <c r="D676" s="63"/>
      <c r="E676" s="11"/>
      <c r="F676" s="65"/>
      <c r="G676" s="12"/>
      <c r="H676" s="41"/>
      <c r="I676" s="30"/>
      <c r="J676" s="30"/>
      <c r="K676" s="97"/>
      <c r="L676" s="11"/>
      <c r="M676" s="11"/>
      <c r="N676" s="11"/>
      <c r="O676" s="11"/>
      <c r="P676" s="82"/>
    </row>
    <row r="677" spans="2:16" s="9" customFormat="1" x14ac:dyDescent="0.2">
      <c r="B677" s="10"/>
      <c r="C677" s="11"/>
      <c r="D677" s="63"/>
      <c r="E677" s="11"/>
      <c r="F677" s="65"/>
      <c r="G677" s="12"/>
      <c r="H677" s="41"/>
      <c r="I677" s="30"/>
      <c r="J677" s="30"/>
      <c r="K677" s="97"/>
      <c r="L677" s="11"/>
      <c r="M677" s="11"/>
      <c r="N677" s="11"/>
      <c r="O677" s="11"/>
      <c r="P677" s="82"/>
    </row>
    <row r="678" spans="2:16" s="9" customFormat="1" x14ac:dyDescent="0.2">
      <c r="B678" s="10"/>
      <c r="C678" s="11"/>
      <c r="D678" s="63"/>
      <c r="E678" s="11"/>
      <c r="F678" s="65"/>
      <c r="G678" s="12"/>
      <c r="H678" s="41"/>
      <c r="I678" s="30"/>
      <c r="J678" s="30"/>
      <c r="K678" s="97"/>
      <c r="L678" s="11"/>
      <c r="M678" s="11"/>
      <c r="N678" s="11"/>
      <c r="O678" s="11"/>
      <c r="P678" s="82"/>
    </row>
    <row r="679" spans="2:16" s="9" customFormat="1" x14ac:dyDescent="0.2">
      <c r="B679" s="10"/>
      <c r="C679" s="11"/>
      <c r="D679" s="63"/>
      <c r="E679" s="11"/>
      <c r="F679" s="65"/>
      <c r="G679" s="12"/>
      <c r="H679" s="41"/>
      <c r="I679" s="30"/>
      <c r="J679" s="30"/>
      <c r="K679" s="97"/>
      <c r="L679" s="11"/>
      <c r="M679" s="11"/>
      <c r="N679" s="11"/>
      <c r="O679" s="11"/>
      <c r="P679" s="82"/>
    </row>
    <row r="680" spans="2:16" s="9" customFormat="1" x14ac:dyDescent="0.2">
      <c r="B680" s="10"/>
      <c r="C680" s="11"/>
      <c r="D680" s="63"/>
      <c r="E680" s="11"/>
      <c r="F680" s="65"/>
      <c r="G680" s="12"/>
      <c r="H680" s="41"/>
      <c r="I680" s="30"/>
      <c r="J680" s="30"/>
      <c r="K680" s="97"/>
      <c r="L680" s="11"/>
      <c r="M680" s="11"/>
      <c r="N680" s="11"/>
      <c r="O680" s="11"/>
      <c r="P680" s="82"/>
    </row>
    <row r="681" spans="2:16" s="9" customFormat="1" x14ac:dyDescent="0.2">
      <c r="B681" s="10"/>
      <c r="C681" s="11"/>
      <c r="D681" s="63"/>
      <c r="E681" s="11"/>
      <c r="F681" s="65"/>
      <c r="G681" s="12"/>
      <c r="H681" s="41"/>
      <c r="I681" s="30"/>
      <c r="J681" s="30"/>
      <c r="K681" s="97"/>
      <c r="L681" s="11"/>
      <c r="M681" s="11"/>
      <c r="N681" s="11"/>
      <c r="O681" s="11"/>
      <c r="P681" s="82"/>
    </row>
    <row r="682" spans="2:16" s="9" customFormat="1" x14ac:dyDescent="0.2">
      <c r="B682" s="10"/>
      <c r="C682" s="11"/>
      <c r="D682" s="63"/>
      <c r="E682" s="11"/>
      <c r="F682" s="65"/>
      <c r="G682" s="12"/>
      <c r="H682" s="41"/>
      <c r="I682" s="30"/>
      <c r="J682" s="30"/>
      <c r="K682" s="97"/>
      <c r="L682" s="11"/>
      <c r="M682" s="11"/>
      <c r="N682" s="11"/>
      <c r="O682" s="11"/>
      <c r="P682" s="82"/>
    </row>
    <row r="683" spans="2:16" s="9" customFormat="1" x14ac:dyDescent="0.2">
      <c r="B683" s="10"/>
      <c r="C683" s="11"/>
      <c r="D683" s="63"/>
      <c r="E683" s="11"/>
      <c r="F683" s="65"/>
      <c r="G683" s="12"/>
      <c r="H683" s="41"/>
      <c r="I683" s="30"/>
      <c r="J683" s="30"/>
      <c r="K683" s="97"/>
      <c r="L683" s="11"/>
      <c r="M683" s="11"/>
      <c r="N683" s="11"/>
      <c r="O683" s="11"/>
      <c r="P683" s="82"/>
    </row>
    <row r="684" spans="2:16" s="9" customFormat="1" x14ac:dyDescent="0.2">
      <c r="B684" s="10"/>
      <c r="C684" s="11"/>
      <c r="D684" s="63"/>
      <c r="E684" s="11"/>
      <c r="F684" s="65"/>
      <c r="G684" s="12"/>
      <c r="H684" s="41"/>
      <c r="I684" s="30"/>
      <c r="J684" s="30"/>
      <c r="K684" s="97"/>
      <c r="L684" s="11"/>
      <c r="M684" s="11"/>
      <c r="N684" s="11"/>
      <c r="O684" s="11"/>
      <c r="P684" s="82"/>
    </row>
    <row r="685" spans="2:16" s="9" customFormat="1" x14ac:dyDescent="0.2">
      <c r="B685" s="10"/>
      <c r="C685" s="11"/>
      <c r="D685" s="63"/>
      <c r="E685" s="11"/>
      <c r="F685" s="65"/>
      <c r="G685" s="12"/>
      <c r="H685" s="41"/>
      <c r="I685" s="30"/>
      <c r="J685" s="30"/>
      <c r="K685" s="97"/>
      <c r="L685" s="11"/>
      <c r="M685" s="11"/>
      <c r="N685" s="11"/>
      <c r="O685" s="11"/>
      <c r="P685" s="82"/>
    </row>
    <row r="686" spans="2:16" s="9" customFormat="1" x14ac:dyDescent="0.2">
      <c r="B686" s="10"/>
      <c r="C686" s="11"/>
      <c r="D686" s="63"/>
      <c r="E686" s="11"/>
      <c r="F686" s="65"/>
      <c r="G686" s="12"/>
      <c r="H686" s="41"/>
      <c r="I686" s="30"/>
      <c r="J686" s="30"/>
      <c r="K686" s="97"/>
      <c r="L686" s="11"/>
      <c r="M686" s="11"/>
      <c r="N686" s="11"/>
      <c r="O686" s="11"/>
      <c r="P686" s="82"/>
    </row>
    <row r="687" spans="2:16" s="9" customFormat="1" x14ac:dyDescent="0.2">
      <c r="B687" s="10"/>
      <c r="C687" s="11"/>
      <c r="D687" s="63"/>
      <c r="E687" s="11"/>
      <c r="F687" s="65"/>
      <c r="G687" s="12"/>
      <c r="H687" s="41"/>
      <c r="I687" s="30"/>
      <c r="J687" s="30"/>
      <c r="K687" s="97"/>
      <c r="L687" s="11"/>
      <c r="M687" s="11"/>
      <c r="N687" s="11"/>
      <c r="O687" s="11"/>
      <c r="P687" s="82"/>
    </row>
    <row r="688" spans="2:16" s="9" customFormat="1" x14ac:dyDescent="0.2">
      <c r="B688" s="10"/>
      <c r="C688" s="11"/>
      <c r="D688" s="63"/>
      <c r="E688" s="11"/>
      <c r="F688" s="65"/>
      <c r="G688" s="12"/>
      <c r="H688" s="41"/>
      <c r="I688" s="30"/>
      <c r="J688" s="30"/>
      <c r="K688" s="97"/>
      <c r="L688" s="11"/>
      <c r="M688" s="11"/>
      <c r="N688" s="11"/>
      <c r="O688" s="11"/>
      <c r="P688" s="82"/>
    </row>
    <row r="689" spans="2:16" s="9" customFormat="1" x14ac:dyDescent="0.2">
      <c r="B689" s="10"/>
      <c r="C689" s="11"/>
      <c r="D689" s="63"/>
      <c r="E689" s="11"/>
      <c r="F689" s="65"/>
      <c r="G689" s="12"/>
      <c r="H689" s="41"/>
      <c r="I689" s="30"/>
      <c r="J689" s="30"/>
      <c r="K689" s="97"/>
      <c r="L689" s="11"/>
      <c r="M689" s="11"/>
      <c r="N689" s="11"/>
      <c r="O689" s="11"/>
      <c r="P689" s="82"/>
    </row>
    <row r="690" spans="2:16" s="9" customFormat="1" x14ac:dyDescent="0.2">
      <c r="B690" s="10"/>
      <c r="C690" s="11"/>
      <c r="D690" s="63"/>
      <c r="E690" s="11"/>
      <c r="F690" s="65"/>
      <c r="G690" s="12"/>
      <c r="H690" s="41"/>
      <c r="I690" s="30"/>
      <c r="J690" s="30"/>
      <c r="K690" s="97"/>
      <c r="L690" s="11"/>
      <c r="M690" s="11"/>
      <c r="N690" s="11"/>
      <c r="O690" s="11"/>
      <c r="P690" s="82"/>
    </row>
    <row r="691" spans="2:16" s="9" customFormat="1" x14ac:dyDescent="0.2">
      <c r="B691" s="10"/>
      <c r="C691" s="11"/>
      <c r="D691" s="63"/>
      <c r="E691" s="11"/>
      <c r="F691" s="65"/>
      <c r="G691" s="12"/>
      <c r="H691" s="41"/>
      <c r="I691" s="30"/>
      <c r="J691" s="30"/>
      <c r="K691" s="97"/>
      <c r="L691" s="11"/>
      <c r="M691" s="11"/>
      <c r="N691" s="11"/>
      <c r="O691" s="11"/>
      <c r="P691" s="82"/>
    </row>
    <row r="692" spans="2:16" s="9" customFormat="1" x14ac:dyDescent="0.2">
      <c r="B692" s="10"/>
      <c r="C692" s="11"/>
      <c r="D692" s="63"/>
      <c r="E692" s="11"/>
      <c r="F692" s="65"/>
      <c r="G692" s="12"/>
      <c r="H692" s="41"/>
      <c r="I692" s="30"/>
      <c r="J692" s="30"/>
      <c r="K692" s="97"/>
      <c r="L692" s="11"/>
      <c r="M692" s="11"/>
      <c r="N692" s="11"/>
      <c r="O692" s="11"/>
      <c r="P692" s="82"/>
    </row>
    <row r="693" spans="2:16" s="9" customFormat="1" x14ac:dyDescent="0.2">
      <c r="B693" s="10"/>
      <c r="C693" s="11"/>
      <c r="D693" s="63"/>
      <c r="E693" s="11"/>
      <c r="F693" s="65"/>
      <c r="G693" s="12"/>
      <c r="H693" s="41"/>
      <c r="I693" s="30"/>
      <c r="J693" s="30"/>
      <c r="K693" s="97"/>
      <c r="L693" s="11"/>
      <c r="M693" s="11"/>
      <c r="N693" s="11"/>
      <c r="O693" s="11"/>
      <c r="P693" s="82"/>
    </row>
    <row r="694" spans="2:16" s="9" customFormat="1" x14ac:dyDescent="0.2">
      <c r="B694" s="10"/>
      <c r="C694" s="11"/>
      <c r="D694" s="63"/>
      <c r="E694" s="11"/>
      <c r="F694" s="65"/>
      <c r="G694" s="12"/>
      <c r="H694" s="41"/>
      <c r="I694" s="30"/>
      <c r="J694" s="30"/>
      <c r="K694" s="97"/>
      <c r="L694" s="11"/>
      <c r="M694" s="11"/>
      <c r="N694" s="11"/>
      <c r="O694" s="11"/>
      <c r="P694" s="82"/>
    </row>
    <row r="695" spans="2:16" s="9" customFormat="1" x14ac:dyDescent="0.2">
      <c r="B695" s="10"/>
      <c r="C695" s="11"/>
      <c r="D695" s="63"/>
      <c r="E695" s="11"/>
      <c r="F695" s="65"/>
      <c r="G695" s="12"/>
      <c r="H695" s="41"/>
      <c r="I695" s="30"/>
      <c r="J695" s="30"/>
      <c r="K695" s="97"/>
      <c r="L695" s="11"/>
      <c r="M695" s="11"/>
      <c r="N695" s="11"/>
      <c r="O695" s="11"/>
      <c r="P695" s="82"/>
    </row>
    <row r="696" spans="2:16" s="9" customFormat="1" x14ac:dyDescent="0.2">
      <c r="B696" s="10"/>
      <c r="C696" s="11"/>
      <c r="D696" s="63"/>
      <c r="E696" s="11"/>
      <c r="F696" s="65"/>
      <c r="G696" s="12"/>
      <c r="H696" s="41"/>
      <c r="I696" s="30"/>
      <c r="J696" s="30"/>
      <c r="K696" s="97"/>
      <c r="L696" s="11"/>
      <c r="M696" s="11"/>
      <c r="N696" s="11"/>
      <c r="O696" s="11"/>
      <c r="P696" s="82"/>
    </row>
    <row r="697" spans="2:16" s="9" customFormat="1" x14ac:dyDescent="0.2">
      <c r="B697" s="10"/>
      <c r="C697" s="11"/>
      <c r="D697" s="63"/>
      <c r="E697" s="11"/>
      <c r="F697" s="65"/>
      <c r="G697" s="12"/>
      <c r="H697" s="41"/>
      <c r="I697" s="30"/>
      <c r="J697" s="30"/>
      <c r="K697" s="97"/>
      <c r="L697" s="11"/>
      <c r="M697" s="11"/>
      <c r="N697" s="11"/>
      <c r="O697" s="11"/>
      <c r="P697" s="82"/>
    </row>
    <row r="698" spans="2:16" s="9" customFormat="1" x14ac:dyDescent="0.2">
      <c r="B698" s="10"/>
      <c r="C698" s="11"/>
      <c r="D698" s="63"/>
      <c r="E698" s="11"/>
      <c r="F698" s="65"/>
      <c r="G698" s="12"/>
      <c r="H698" s="41"/>
      <c r="I698" s="30"/>
      <c r="J698" s="30"/>
      <c r="K698" s="97"/>
      <c r="L698" s="11"/>
      <c r="M698" s="11"/>
      <c r="N698" s="11"/>
      <c r="O698" s="11"/>
      <c r="P698" s="82"/>
    </row>
    <row r="699" spans="2:16" s="9" customFormat="1" x14ac:dyDescent="0.2">
      <c r="B699" s="10"/>
      <c r="C699" s="11"/>
      <c r="D699" s="63"/>
      <c r="E699" s="11"/>
      <c r="F699" s="65"/>
      <c r="G699" s="12"/>
      <c r="H699" s="41"/>
      <c r="I699" s="30"/>
      <c r="J699" s="30"/>
      <c r="K699" s="97"/>
      <c r="L699" s="11"/>
      <c r="M699" s="11"/>
      <c r="N699" s="11"/>
      <c r="O699" s="11"/>
      <c r="P699" s="82"/>
    </row>
    <row r="700" spans="2:16" s="9" customFormat="1" x14ac:dyDescent="0.2">
      <c r="B700" s="10"/>
      <c r="C700" s="11"/>
      <c r="D700" s="63"/>
      <c r="E700" s="11"/>
      <c r="F700" s="65"/>
      <c r="G700" s="12"/>
      <c r="H700" s="41"/>
      <c r="I700" s="30"/>
      <c r="J700" s="30"/>
      <c r="K700" s="97"/>
      <c r="L700" s="11"/>
      <c r="M700" s="11"/>
      <c r="N700" s="11"/>
      <c r="O700" s="11"/>
      <c r="P700" s="82"/>
    </row>
    <row r="701" spans="2:16" s="9" customFormat="1" x14ac:dyDescent="0.2">
      <c r="B701" s="10"/>
      <c r="C701" s="11"/>
      <c r="D701" s="63"/>
      <c r="E701" s="11"/>
      <c r="F701" s="65"/>
      <c r="G701" s="12"/>
      <c r="H701" s="41"/>
      <c r="I701" s="30"/>
      <c r="J701" s="30"/>
      <c r="K701" s="97"/>
      <c r="L701" s="11"/>
      <c r="M701" s="11"/>
      <c r="N701" s="11"/>
      <c r="O701" s="11"/>
      <c r="P701" s="82"/>
    </row>
    <row r="702" spans="2:16" s="9" customFormat="1" x14ac:dyDescent="0.2">
      <c r="B702" s="10"/>
      <c r="C702" s="11"/>
      <c r="D702" s="63"/>
      <c r="E702" s="11"/>
      <c r="F702" s="65"/>
      <c r="G702" s="12"/>
      <c r="H702" s="41"/>
      <c r="I702" s="30"/>
      <c r="J702" s="30"/>
      <c r="K702" s="97"/>
      <c r="L702" s="11"/>
      <c r="M702" s="11"/>
      <c r="N702" s="11"/>
      <c r="O702" s="11"/>
      <c r="P702" s="82"/>
    </row>
    <row r="703" spans="2:16" s="9" customFormat="1" x14ac:dyDescent="0.2">
      <c r="B703" s="10"/>
      <c r="C703" s="11"/>
      <c r="D703" s="63"/>
      <c r="E703" s="11"/>
      <c r="F703" s="65"/>
      <c r="G703" s="12"/>
      <c r="H703" s="41"/>
      <c r="I703" s="30"/>
      <c r="J703" s="30"/>
      <c r="K703" s="97"/>
      <c r="L703" s="11"/>
      <c r="M703" s="11"/>
      <c r="N703" s="11"/>
      <c r="O703" s="11"/>
      <c r="P703" s="82"/>
    </row>
    <row r="704" spans="2:16" s="9" customFormat="1" x14ac:dyDescent="0.2">
      <c r="B704" s="10"/>
      <c r="C704" s="11"/>
      <c r="D704" s="63"/>
      <c r="E704" s="11"/>
      <c r="F704" s="65"/>
      <c r="G704" s="12"/>
      <c r="H704" s="41"/>
      <c r="I704" s="30"/>
      <c r="J704" s="30"/>
      <c r="K704" s="97"/>
      <c r="L704" s="11"/>
      <c r="M704" s="11"/>
      <c r="N704" s="11"/>
      <c r="O704" s="11"/>
      <c r="P704" s="82"/>
    </row>
    <row r="705" spans="2:16" s="9" customFormat="1" x14ac:dyDescent="0.2">
      <c r="B705" s="10"/>
      <c r="C705" s="11"/>
      <c r="D705" s="63"/>
      <c r="E705" s="11"/>
      <c r="F705" s="65"/>
      <c r="G705" s="12"/>
      <c r="H705" s="41"/>
      <c r="I705" s="30"/>
      <c r="J705" s="30"/>
      <c r="K705" s="97"/>
      <c r="L705" s="11"/>
      <c r="M705" s="11"/>
      <c r="N705" s="11"/>
      <c r="O705" s="11"/>
      <c r="P705" s="82"/>
    </row>
    <row r="706" spans="2:16" s="9" customFormat="1" x14ac:dyDescent="0.2">
      <c r="B706" s="10"/>
      <c r="C706" s="11"/>
      <c r="D706" s="63"/>
      <c r="E706" s="11"/>
      <c r="F706" s="65"/>
      <c r="G706" s="12"/>
      <c r="H706" s="41"/>
      <c r="I706" s="30"/>
      <c r="J706" s="30"/>
      <c r="K706" s="97"/>
      <c r="L706" s="11"/>
      <c r="M706" s="11"/>
      <c r="N706" s="11"/>
      <c r="O706" s="11"/>
      <c r="P706" s="82"/>
    </row>
    <row r="707" spans="2:16" s="9" customFormat="1" x14ac:dyDescent="0.2">
      <c r="B707" s="10"/>
      <c r="C707" s="11"/>
      <c r="D707" s="63"/>
      <c r="E707" s="11"/>
      <c r="F707" s="65"/>
      <c r="G707" s="12"/>
      <c r="H707" s="41"/>
      <c r="I707" s="30"/>
      <c r="J707" s="30"/>
      <c r="K707" s="97"/>
      <c r="L707" s="11"/>
      <c r="M707" s="11"/>
      <c r="N707" s="11"/>
      <c r="O707" s="11"/>
      <c r="P707" s="82"/>
    </row>
    <row r="708" spans="2:16" s="9" customFormat="1" x14ac:dyDescent="0.2">
      <c r="B708" s="10"/>
      <c r="C708" s="11"/>
      <c r="D708" s="63"/>
      <c r="E708" s="11"/>
      <c r="F708" s="65"/>
      <c r="G708" s="12"/>
      <c r="H708" s="41"/>
      <c r="I708" s="30"/>
      <c r="J708" s="30"/>
      <c r="K708" s="97"/>
      <c r="L708" s="11"/>
      <c r="M708" s="11"/>
      <c r="N708" s="11"/>
      <c r="O708" s="11"/>
      <c r="P708" s="82"/>
    </row>
    <row r="709" spans="2:16" s="9" customFormat="1" x14ac:dyDescent="0.2">
      <c r="B709" s="10"/>
      <c r="C709" s="11"/>
      <c r="D709" s="63"/>
      <c r="E709" s="11"/>
      <c r="F709" s="65"/>
      <c r="G709" s="12"/>
      <c r="H709" s="41"/>
      <c r="I709" s="30"/>
      <c r="J709" s="30"/>
      <c r="K709" s="97"/>
      <c r="L709" s="11"/>
      <c r="M709" s="11"/>
      <c r="N709" s="11"/>
      <c r="O709" s="11"/>
      <c r="P709" s="82"/>
    </row>
    <row r="710" spans="2:16" s="9" customFormat="1" x14ac:dyDescent="0.2">
      <c r="B710" s="10"/>
      <c r="C710" s="11"/>
      <c r="D710" s="63"/>
      <c r="E710" s="11"/>
      <c r="F710" s="65"/>
      <c r="G710" s="12"/>
      <c r="H710" s="41"/>
      <c r="I710" s="30"/>
      <c r="J710" s="30"/>
      <c r="K710" s="97"/>
      <c r="L710" s="11"/>
      <c r="M710" s="11"/>
      <c r="N710" s="11"/>
      <c r="O710" s="11"/>
      <c r="P710" s="82"/>
    </row>
    <row r="711" spans="2:16" s="9" customFormat="1" x14ac:dyDescent="0.2">
      <c r="B711" s="10"/>
      <c r="C711" s="11"/>
      <c r="D711" s="63"/>
      <c r="E711" s="11"/>
      <c r="F711" s="65"/>
      <c r="G711" s="12"/>
      <c r="H711" s="41"/>
      <c r="I711" s="30"/>
      <c r="J711" s="30"/>
      <c r="K711" s="97"/>
      <c r="L711" s="11"/>
      <c r="M711" s="11"/>
      <c r="N711" s="11"/>
      <c r="O711" s="11"/>
      <c r="P711" s="82"/>
    </row>
    <row r="712" spans="2:16" s="9" customFormat="1" x14ac:dyDescent="0.2">
      <c r="B712" s="10"/>
      <c r="C712" s="11"/>
      <c r="D712" s="63"/>
      <c r="E712" s="11"/>
      <c r="F712" s="65"/>
      <c r="G712" s="12"/>
      <c r="H712" s="41"/>
      <c r="I712" s="30"/>
      <c r="J712" s="30"/>
      <c r="K712" s="97"/>
      <c r="L712" s="11"/>
      <c r="M712" s="11"/>
      <c r="N712" s="11"/>
      <c r="O712" s="11"/>
      <c r="P712" s="82"/>
    </row>
    <row r="713" spans="2:16" s="9" customFormat="1" x14ac:dyDescent="0.2">
      <c r="B713" s="10"/>
      <c r="C713" s="11"/>
      <c r="D713" s="63"/>
      <c r="E713" s="11"/>
      <c r="F713" s="65"/>
      <c r="G713" s="12"/>
      <c r="H713" s="41"/>
      <c r="I713" s="30"/>
      <c r="J713" s="30"/>
      <c r="K713" s="97"/>
      <c r="L713" s="11"/>
      <c r="M713" s="11"/>
      <c r="N713" s="11"/>
      <c r="O713" s="11"/>
      <c r="P713" s="82"/>
    </row>
    <row r="714" spans="2:16" s="9" customFormat="1" x14ac:dyDescent="0.2">
      <c r="B714" s="10"/>
      <c r="C714" s="11"/>
      <c r="D714" s="63"/>
      <c r="E714" s="11"/>
      <c r="F714" s="65"/>
      <c r="G714" s="12"/>
      <c r="H714" s="41"/>
      <c r="I714" s="30"/>
      <c r="J714" s="30"/>
      <c r="K714" s="97"/>
      <c r="L714" s="11"/>
      <c r="M714" s="11"/>
      <c r="N714" s="11"/>
      <c r="O714" s="11"/>
      <c r="P714" s="82"/>
    </row>
    <row r="715" spans="2:16" s="9" customFormat="1" x14ac:dyDescent="0.2">
      <c r="B715" s="10"/>
      <c r="C715" s="11"/>
      <c r="D715" s="63"/>
      <c r="E715" s="11"/>
      <c r="F715" s="65"/>
      <c r="G715" s="12"/>
      <c r="H715" s="41"/>
      <c r="I715" s="30"/>
      <c r="J715" s="30"/>
      <c r="K715" s="97"/>
      <c r="L715" s="11"/>
      <c r="M715" s="11"/>
      <c r="N715" s="11"/>
      <c r="O715" s="11"/>
      <c r="P715" s="82"/>
    </row>
    <row r="716" spans="2:16" s="9" customFormat="1" x14ac:dyDescent="0.2">
      <c r="B716" s="10"/>
      <c r="C716" s="11"/>
      <c r="D716" s="63"/>
      <c r="E716" s="11"/>
      <c r="F716" s="65"/>
      <c r="G716" s="12"/>
      <c r="H716" s="41"/>
      <c r="I716" s="30"/>
      <c r="J716" s="30"/>
      <c r="K716" s="97"/>
      <c r="L716" s="11"/>
      <c r="M716" s="11"/>
      <c r="N716" s="11"/>
      <c r="O716" s="11"/>
      <c r="P716" s="82"/>
    </row>
    <row r="717" spans="2:16" s="9" customFormat="1" x14ac:dyDescent="0.2">
      <c r="B717" s="10"/>
      <c r="C717" s="11"/>
      <c r="D717" s="63"/>
      <c r="E717" s="11"/>
      <c r="F717" s="65"/>
      <c r="G717" s="12"/>
      <c r="H717" s="41"/>
      <c r="I717" s="30"/>
      <c r="J717" s="30"/>
      <c r="K717" s="97"/>
      <c r="L717" s="11"/>
      <c r="M717" s="11"/>
      <c r="N717" s="11"/>
      <c r="O717" s="11"/>
      <c r="P717" s="82"/>
    </row>
    <row r="718" spans="2:16" s="9" customFormat="1" x14ac:dyDescent="0.2">
      <c r="B718" s="10"/>
      <c r="C718" s="11"/>
      <c r="D718" s="63"/>
      <c r="E718" s="11"/>
      <c r="F718" s="65"/>
      <c r="G718" s="12"/>
      <c r="H718" s="41"/>
      <c r="I718" s="30"/>
      <c r="J718" s="30"/>
      <c r="K718" s="97"/>
      <c r="L718" s="11"/>
      <c r="M718" s="11"/>
      <c r="N718" s="11"/>
      <c r="O718" s="11"/>
      <c r="P718" s="82"/>
    </row>
    <row r="719" spans="2:16" s="9" customFormat="1" x14ac:dyDescent="0.2">
      <c r="B719" s="10"/>
      <c r="C719" s="11"/>
      <c r="D719" s="63"/>
      <c r="E719" s="11"/>
      <c r="F719" s="65"/>
      <c r="G719" s="12"/>
      <c r="H719" s="41"/>
      <c r="I719" s="30"/>
      <c r="J719" s="30"/>
      <c r="K719" s="97"/>
      <c r="L719" s="11"/>
      <c r="M719" s="11"/>
      <c r="N719" s="11"/>
      <c r="O719" s="11"/>
      <c r="P719" s="82"/>
    </row>
    <row r="720" spans="2:16" s="9" customFormat="1" x14ac:dyDescent="0.2">
      <c r="B720" s="10"/>
      <c r="C720" s="11"/>
      <c r="D720" s="63"/>
      <c r="E720" s="11"/>
      <c r="F720" s="65"/>
      <c r="G720" s="12"/>
      <c r="H720" s="41"/>
      <c r="I720" s="30"/>
      <c r="J720" s="30"/>
      <c r="K720" s="97"/>
      <c r="L720" s="11"/>
      <c r="M720" s="11"/>
      <c r="N720" s="11"/>
      <c r="O720" s="11"/>
      <c r="P720" s="82"/>
    </row>
    <row r="721" spans="2:16" s="9" customFormat="1" x14ac:dyDescent="0.2">
      <c r="B721" s="10"/>
      <c r="C721" s="11"/>
      <c r="D721" s="63"/>
      <c r="E721" s="11"/>
      <c r="F721" s="65"/>
      <c r="G721" s="12"/>
      <c r="H721" s="41"/>
      <c r="I721" s="30"/>
      <c r="J721" s="30"/>
      <c r="K721" s="97"/>
      <c r="L721" s="11"/>
      <c r="M721" s="11"/>
      <c r="N721" s="11"/>
      <c r="O721" s="11"/>
      <c r="P721" s="82"/>
    </row>
    <row r="722" spans="2:16" s="9" customFormat="1" x14ac:dyDescent="0.2">
      <c r="B722" s="10"/>
      <c r="C722" s="11"/>
      <c r="D722" s="63"/>
      <c r="E722" s="11"/>
      <c r="F722" s="65"/>
      <c r="G722" s="12"/>
      <c r="H722" s="41"/>
      <c r="I722" s="30"/>
      <c r="J722" s="30"/>
      <c r="K722" s="97"/>
      <c r="L722" s="11"/>
      <c r="M722" s="11"/>
      <c r="N722" s="11"/>
      <c r="O722" s="11"/>
      <c r="P722" s="82"/>
    </row>
    <row r="723" spans="2:16" s="9" customFormat="1" x14ac:dyDescent="0.2">
      <c r="B723" s="10"/>
      <c r="C723" s="11"/>
      <c r="D723" s="63"/>
      <c r="E723" s="11"/>
      <c r="F723" s="65"/>
      <c r="G723" s="12"/>
      <c r="H723" s="41"/>
      <c r="I723" s="30"/>
      <c r="J723" s="30"/>
      <c r="K723" s="97"/>
      <c r="L723" s="11"/>
      <c r="M723" s="11"/>
      <c r="N723" s="11"/>
      <c r="O723" s="11"/>
      <c r="P723" s="82"/>
    </row>
    <row r="724" spans="2:16" s="9" customFormat="1" x14ac:dyDescent="0.2">
      <c r="B724" s="10"/>
      <c r="C724" s="11"/>
      <c r="D724" s="63"/>
      <c r="E724" s="11"/>
      <c r="F724" s="65"/>
      <c r="G724" s="12"/>
      <c r="H724" s="41"/>
      <c r="I724" s="30"/>
      <c r="J724" s="30"/>
      <c r="K724" s="97"/>
      <c r="L724" s="11"/>
      <c r="M724" s="11"/>
      <c r="N724" s="11"/>
      <c r="O724" s="11"/>
      <c r="P724" s="82"/>
    </row>
    <row r="725" spans="2:16" s="9" customFormat="1" x14ac:dyDescent="0.2">
      <c r="B725" s="10"/>
      <c r="C725" s="11"/>
      <c r="D725" s="63"/>
      <c r="E725" s="11"/>
      <c r="F725" s="65"/>
      <c r="G725" s="12"/>
      <c r="H725" s="41"/>
      <c r="I725" s="30"/>
      <c r="J725" s="30"/>
      <c r="K725" s="97"/>
      <c r="L725" s="11"/>
      <c r="M725" s="11"/>
      <c r="N725" s="11"/>
      <c r="O725" s="11"/>
      <c r="P725" s="82"/>
    </row>
    <row r="726" spans="2:16" s="9" customFormat="1" x14ac:dyDescent="0.2">
      <c r="B726" s="10"/>
      <c r="C726" s="11"/>
      <c r="D726" s="63"/>
      <c r="E726" s="11"/>
      <c r="F726" s="65"/>
      <c r="G726" s="12"/>
      <c r="H726" s="41"/>
      <c r="I726" s="30"/>
      <c r="J726" s="30"/>
      <c r="K726" s="97"/>
      <c r="L726" s="11"/>
      <c r="M726" s="11"/>
      <c r="N726" s="11"/>
      <c r="O726" s="11"/>
      <c r="P726" s="82"/>
    </row>
    <row r="727" spans="2:16" s="9" customFormat="1" x14ac:dyDescent="0.2">
      <c r="B727" s="10"/>
      <c r="C727" s="11"/>
      <c r="D727" s="63"/>
      <c r="E727" s="11"/>
      <c r="F727" s="65"/>
      <c r="G727" s="12"/>
      <c r="H727" s="41"/>
      <c r="I727" s="30"/>
      <c r="J727" s="30"/>
      <c r="K727" s="97"/>
      <c r="L727" s="11"/>
      <c r="M727" s="11"/>
      <c r="N727" s="11"/>
      <c r="O727" s="11"/>
      <c r="P727" s="82"/>
    </row>
    <row r="728" spans="2:16" s="9" customFormat="1" x14ac:dyDescent="0.2">
      <c r="B728" s="10"/>
      <c r="C728" s="11"/>
      <c r="D728" s="63"/>
      <c r="E728" s="11"/>
      <c r="F728" s="65"/>
      <c r="G728" s="12"/>
      <c r="H728" s="41"/>
      <c r="I728" s="30"/>
      <c r="J728" s="30"/>
      <c r="K728" s="97"/>
      <c r="L728" s="11"/>
      <c r="M728" s="11"/>
      <c r="N728" s="11"/>
      <c r="O728" s="11"/>
      <c r="P728" s="82"/>
    </row>
    <row r="729" spans="2:16" s="9" customFormat="1" x14ac:dyDescent="0.2">
      <c r="B729" s="10"/>
      <c r="C729" s="11"/>
      <c r="D729" s="63"/>
      <c r="E729" s="11"/>
      <c r="F729" s="65"/>
      <c r="G729" s="12"/>
      <c r="H729" s="41"/>
      <c r="I729" s="30"/>
      <c r="J729" s="30"/>
      <c r="K729" s="97"/>
      <c r="L729" s="11"/>
      <c r="M729" s="11"/>
      <c r="N729" s="11"/>
      <c r="O729" s="11"/>
      <c r="P729" s="82"/>
    </row>
    <row r="730" spans="2:16" s="9" customFormat="1" x14ac:dyDescent="0.2">
      <c r="B730" s="10"/>
      <c r="C730" s="11"/>
      <c r="D730" s="63"/>
      <c r="E730" s="11"/>
      <c r="F730" s="65"/>
      <c r="G730" s="12"/>
      <c r="H730" s="41"/>
      <c r="I730" s="30"/>
      <c r="J730" s="30"/>
      <c r="K730" s="97"/>
      <c r="L730" s="11"/>
      <c r="M730" s="11"/>
      <c r="N730" s="11"/>
      <c r="O730" s="11"/>
      <c r="P730" s="82"/>
    </row>
    <row r="731" spans="2:16" s="9" customFormat="1" x14ac:dyDescent="0.2">
      <c r="B731" s="10"/>
      <c r="C731" s="11"/>
      <c r="D731" s="63"/>
      <c r="E731" s="11"/>
      <c r="F731" s="65"/>
      <c r="G731" s="12"/>
      <c r="H731" s="41"/>
      <c r="I731" s="30"/>
      <c r="J731" s="30"/>
      <c r="K731" s="97"/>
      <c r="L731" s="11"/>
      <c r="M731" s="11"/>
      <c r="N731" s="11"/>
      <c r="O731" s="11"/>
      <c r="P731" s="82"/>
    </row>
    <row r="732" spans="2:16" s="9" customFormat="1" x14ac:dyDescent="0.2">
      <c r="B732" s="10"/>
      <c r="C732" s="11"/>
      <c r="D732" s="63"/>
      <c r="E732" s="11"/>
      <c r="F732" s="65"/>
      <c r="G732" s="12"/>
      <c r="H732" s="41"/>
      <c r="I732" s="30"/>
      <c r="J732" s="30"/>
      <c r="K732" s="97"/>
      <c r="L732" s="11"/>
      <c r="M732" s="11"/>
      <c r="N732" s="11"/>
      <c r="O732" s="11"/>
      <c r="P732" s="82"/>
    </row>
    <row r="733" spans="2:16" s="9" customFormat="1" x14ac:dyDescent="0.2">
      <c r="B733" s="10"/>
      <c r="C733" s="11"/>
      <c r="D733" s="63"/>
      <c r="E733" s="11"/>
      <c r="F733" s="65"/>
      <c r="G733" s="12"/>
      <c r="H733" s="41"/>
      <c r="I733" s="30"/>
      <c r="J733" s="30"/>
      <c r="K733" s="97"/>
      <c r="L733" s="11"/>
      <c r="M733" s="11"/>
      <c r="N733" s="11"/>
      <c r="O733" s="11"/>
      <c r="P733" s="82"/>
    </row>
    <row r="734" spans="2:16" s="9" customFormat="1" x14ac:dyDescent="0.2">
      <c r="B734" s="10"/>
      <c r="C734" s="11"/>
      <c r="D734" s="63"/>
      <c r="E734" s="11"/>
      <c r="F734" s="65"/>
      <c r="G734" s="12"/>
      <c r="H734" s="41"/>
      <c r="I734" s="30"/>
      <c r="J734" s="30"/>
      <c r="K734" s="97"/>
      <c r="L734" s="11"/>
      <c r="M734" s="11"/>
      <c r="N734" s="11"/>
      <c r="O734" s="11"/>
      <c r="P734" s="82"/>
    </row>
    <row r="735" spans="2:16" s="9" customFormat="1" x14ac:dyDescent="0.2">
      <c r="B735" s="10"/>
      <c r="C735" s="11"/>
      <c r="D735" s="63"/>
      <c r="E735" s="11"/>
      <c r="F735" s="65"/>
      <c r="G735" s="12"/>
      <c r="H735" s="41"/>
      <c r="I735" s="30"/>
      <c r="J735" s="30"/>
      <c r="K735" s="97"/>
      <c r="L735" s="11"/>
      <c r="M735" s="11"/>
      <c r="N735" s="11"/>
      <c r="O735" s="11"/>
      <c r="P735" s="82"/>
    </row>
    <row r="736" spans="2:16" s="9" customFormat="1" x14ac:dyDescent="0.2">
      <c r="B736" s="10"/>
      <c r="C736" s="11"/>
      <c r="D736" s="63"/>
      <c r="E736" s="11"/>
      <c r="F736" s="65"/>
      <c r="G736" s="12"/>
      <c r="H736" s="41"/>
      <c r="I736" s="30"/>
      <c r="J736" s="30"/>
      <c r="K736" s="97"/>
      <c r="L736" s="11"/>
      <c r="M736" s="11"/>
      <c r="N736" s="11"/>
      <c r="O736" s="11"/>
      <c r="P736" s="82"/>
    </row>
    <row r="737" spans="2:16" s="9" customFormat="1" x14ac:dyDescent="0.2">
      <c r="B737" s="10"/>
      <c r="C737" s="11"/>
      <c r="D737" s="63"/>
      <c r="E737" s="11"/>
      <c r="F737" s="65"/>
      <c r="G737" s="12"/>
      <c r="H737" s="41"/>
      <c r="I737" s="30"/>
      <c r="J737" s="30"/>
      <c r="K737" s="97"/>
      <c r="L737" s="11"/>
      <c r="M737" s="11"/>
      <c r="N737" s="11"/>
      <c r="O737" s="11"/>
      <c r="P737" s="82"/>
    </row>
    <row r="738" spans="2:16" s="9" customFormat="1" x14ac:dyDescent="0.2">
      <c r="B738" s="10"/>
      <c r="C738" s="11"/>
      <c r="D738" s="63"/>
      <c r="E738" s="11"/>
      <c r="F738" s="65"/>
      <c r="G738" s="12"/>
      <c r="H738" s="41"/>
      <c r="I738" s="30"/>
      <c r="J738" s="30"/>
      <c r="K738" s="97"/>
      <c r="L738" s="11"/>
      <c r="M738" s="11"/>
      <c r="N738" s="11"/>
      <c r="O738" s="11"/>
      <c r="P738" s="82"/>
    </row>
    <row r="739" spans="2:16" s="9" customFormat="1" x14ac:dyDescent="0.2">
      <c r="B739" s="10"/>
      <c r="C739" s="11"/>
      <c r="D739" s="63"/>
      <c r="E739" s="11"/>
      <c r="F739" s="65"/>
      <c r="G739" s="12"/>
      <c r="H739" s="41"/>
      <c r="I739" s="30"/>
      <c r="J739" s="30"/>
      <c r="K739" s="97"/>
      <c r="L739" s="11"/>
      <c r="M739" s="11"/>
      <c r="N739" s="11"/>
      <c r="O739" s="11"/>
      <c r="P739" s="82"/>
    </row>
    <row r="740" spans="2:16" s="9" customFormat="1" x14ac:dyDescent="0.2">
      <c r="B740" s="10"/>
      <c r="C740" s="11"/>
      <c r="D740" s="63"/>
      <c r="E740" s="11"/>
      <c r="F740" s="65"/>
      <c r="G740" s="12"/>
      <c r="H740" s="41"/>
      <c r="I740" s="30"/>
      <c r="J740" s="30"/>
      <c r="K740" s="97"/>
      <c r="L740" s="11"/>
      <c r="M740" s="11"/>
      <c r="N740" s="11"/>
      <c r="O740" s="11"/>
      <c r="P740" s="82"/>
    </row>
    <row r="741" spans="2:16" s="9" customFormat="1" x14ac:dyDescent="0.2">
      <c r="B741" s="10"/>
      <c r="C741" s="11"/>
      <c r="D741" s="63"/>
      <c r="E741" s="11"/>
      <c r="F741" s="65"/>
      <c r="G741" s="12"/>
      <c r="H741" s="41"/>
      <c r="I741" s="30"/>
      <c r="J741" s="30"/>
      <c r="K741" s="97"/>
      <c r="L741" s="11"/>
      <c r="M741" s="11"/>
      <c r="N741" s="11"/>
      <c r="O741" s="11"/>
      <c r="P741" s="82"/>
    </row>
    <row r="742" spans="2:16" s="9" customFormat="1" x14ac:dyDescent="0.2">
      <c r="B742" s="10"/>
      <c r="C742" s="11"/>
      <c r="D742" s="63"/>
      <c r="E742" s="11"/>
      <c r="F742" s="65"/>
      <c r="G742" s="12"/>
      <c r="H742" s="41"/>
      <c r="I742" s="30"/>
      <c r="J742" s="30"/>
      <c r="K742" s="97"/>
      <c r="L742" s="11"/>
      <c r="M742" s="11"/>
      <c r="N742" s="11"/>
      <c r="O742" s="11"/>
      <c r="P742" s="82"/>
    </row>
    <row r="743" spans="2:16" s="9" customFormat="1" x14ac:dyDescent="0.2">
      <c r="B743" s="10"/>
      <c r="C743" s="11"/>
      <c r="D743" s="63"/>
      <c r="E743" s="11"/>
      <c r="F743" s="65"/>
      <c r="G743" s="12"/>
      <c r="H743" s="41"/>
      <c r="I743" s="30"/>
      <c r="J743" s="30"/>
      <c r="K743" s="97"/>
      <c r="L743" s="11"/>
      <c r="M743" s="11"/>
      <c r="N743" s="11"/>
      <c r="O743" s="11"/>
      <c r="P743" s="82"/>
    </row>
    <row r="744" spans="2:16" s="9" customFormat="1" x14ac:dyDescent="0.2">
      <c r="B744" s="10"/>
      <c r="C744" s="11"/>
      <c r="D744" s="63"/>
      <c r="E744" s="11"/>
      <c r="F744" s="65"/>
      <c r="G744" s="12"/>
      <c r="H744" s="41"/>
      <c r="I744" s="30"/>
      <c r="J744" s="30"/>
      <c r="K744" s="97"/>
      <c r="L744" s="11"/>
      <c r="M744" s="11"/>
      <c r="N744" s="11"/>
      <c r="O744" s="11"/>
      <c r="P744" s="82"/>
    </row>
    <row r="745" spans="2:16" s="9" customFormat="1" x14ac:dyDescent="0.2">
      <c r="B745" s="10"/>
      <c r="C745" s="11"/>
      <c r="D745" s="63"/>
      <c r="E745" s="11"/>
      <c r="F745" s="65"/>
      <c r="G745" s="12"/>
      <c r="H745" s="41"/>
      <c r="I745" s="30"/>
      <c r="J745" s="30"/>
      <c r="K745" s="97"/>
      <c r="L745" s="11"/>
      <c r="M745" s="11"/>
      <c r="N745" s="11"/>
      <c r="O745" s="11"/>
      <c r="P745" s="82"/>
    </row>
    <row r="746" spans="2:16" s="9" customFormat="1" x14ac:dyDescent="0.2">
      <c r="B746" s="10"/>
      <c r="C746" s="11"/>
      <c r="D746" s="63"/>
      <c r="E746" s="11"/>
      <c r="F746" s="65"/>
      <c r="G746" s="12"/>
      <c r="H746" s="41"/>
      <c r="I746" s="30"/>
      <c r="J746" s="30"/>
      <c r="K746" s="97"/>
      <c r="L746" s="11"/>
      <c r="M746" s="11"/>
      <c r="N746" s="11"/>
      <c r="O746" s="11"/>
      <c r="P746" s="82"/>
    </row>
    <row r="747" spans="2:16" s="9" customFormat="1" x14ac:dyDescent="0.2">
      <c r="B747" s="10"/>
      <c r="C747" s="11"/>
      <c r="D747" s="63"/>
      <c r="E747" s="11"/>
      <c r="F747" s="65"/>
      <c r="G747" s="12"/>
      <c r="H747" s="41"/>
      <c r="I747" s="30"/>
      <c r="J747" s="30"/>
      <c r="K747" s="97"/>
      <c r="L747" s="11"/>
      <c r="M747" s="11"/>
      <c r="N747" s="11"/>
      <c r="O747" s="11"/>
      <c r="P747" s="82"/>
    </row>
    <row r="748" spans="2:16" s="9" customFormat="1" x14ac:dyDescent="0.2">
      <c r="B748" s="10"/>
      <c r="C748" s="11"/>
      <c r="D748" s="63"/>
      <c r="E748" s="11"/>
      <c r="F748" s="65"/>
      <c r="G748" s="12"/>
      <c r="H748" s="41"/>
      <c r="I748" s="30"/>
      <c r="J748" s="30"/>
      <c r="K748" s="97"/>
      <c r="L748" s="11"/>
      <c r="M748" s="11"/>
      <c r="N748" s="11"/>
      <c r="O748" s="11"/>
      <c r="P748" s="82"/>
    </row>
    <row r="749" spans="2:16" s="9" customFormat="1" x14ac:dyDescent="0.2">
      <c r="B749" s="10"/>
      <c r="C749" s="11"/>
      <c r="D749" s="63"/>
      <c r="E749" s="11"/>
      <c r="F749" s="65"/>
      <c r="G749" s="12"/>
      <c r="H749" s="41"/>
      <c r="I749" s="30"/>
      <c r="J749" s="30"/>
      <c r="K749" s="97"/>
      <c r="L749" s="11"/>
      <c r="M749" s="11"/>
      <c r="N749" s="11"/>
      <c r="O749" s="11"/>
      <c r="P749" s="82"/>
    </row>
    <row r="750" spans="2:16" s="9" customFormat="1" x14ac:dyDescent="0.2">
      <c r="B750" s="10"/>
      <c r="C750" s="11"/>
      <c r="D750" s="63"/>
      <c r="E750" s="11"/>
      <c r="F750" s="65"/>
      <c r="G750" s="12"/>
      <c r="H750" s="41"/>
      <c r="I750" s="30"/>
      <c r="J750" s="30"/>
      <c r="K750" s="97"/>
      <c r="L750" s="11"/>
      <c r="M750" s="11"/>
      <c r="N750" s="11"/>
      <c r="O750" s="11"/>
      <c r="P750" s="82"/>
    </row>
    <row r="751" spans="2:16" s="9" customFormat="1" x14ac:dyDescent="0.2">
      <c r="B751" s="10"/>
      <c r="C751" s="11"/>
      <c r="D751" s="63"/>
      <c r="E751" s="11"/>
      <c r="F751" s="65"/>
      <c r="G751" s="12"/>
      <c r="H751" s="41"/>
      <c r="I751" s="30"/>
      <c r="J751" s="30"/>
      <c r="K751" s="97"/>
      <c r="L751" s="11"/>
      <c r="M751" s="11"/>
      <c r="N751" s="11"/>
      <c r="O751" s="11"/>
      <c r="P751" s="82"/>
    </row>
    <row r="752" spans="2:16" s="9" customFormat="1" x14ac:dyDescent="0.2">
      <c r="B752" s="10"/>
      <c r="C752" s="11"/>
      <c r="D752" s="63"/>
      <c r="E752" s="11"/>
      <c r="F752" s="65"/>
      <c r="G752" s="12"/>
      <c r="H752" s="41"/>
      <c r="I752" s="30"/>
      <c r="J752" s="30"/>
      <c r="K752" s="97"/>
      <c r="L752" s="11"/>
      <c r="M752" s="11"/>
      <c r="N752" s="11"/>
      <c r="O752" s="11"/>
      <c r="P752" s="82"/>
    </row>
    <row r="753" spans="2:16" s="9" customFormat="1" x14ac:dyDescent="0.2">
      <c r="B753" s="10"/>
      <c r="C753" s="11"/>
      <c r="D753" s="63"/>
      <c r="E753" s="11"/>
      <c r="F753" s="65"/>
      <c r="G753" s="12"/>
      <c r="H753" s="41"/>
      <c r="I753" s="30"/>
      <c r="J753" s="30"/>
      <c r="K753" s="97"/>
      <c r="L753" s="11"/>
      <c r="M753" s="11"/>
      <c r="N753" s="11"/>
      <c r="O753" s="11"/>
      <c r="P753" s="82"/>
    </row>
    <row r="754" spans="2:16" s="9" customFormat="1" x14ac:dyDescent="0.2">
      <c r="B754" s="10"/>
      <c r="C754" s="11"/>
      <c r="D754" s="63"/>
      <c r="E754" s="11"/>
      <c r="F754" s="65"/>
      <c r="G754" s="12"/>
      <c r="H754" s="41"/>
      <c r="I754" s="30"/>
      <c r="J754" s="30"/>
      <c r="K754" s="97"/>
      <c r="L754" s="11"/>
      <c r="M754" s="11"/>
      <c r="N754" s="11"/>
      <c r="O754" s="11"/>
      <c r="P754" s="82"/>
    </row>
    <row r="755" spans="2:16" s="9" customFormat="1" x14ac:dyDescent="0.2">
      <c r="B755" s="10"/>
      <c r="C755" s="11"/>
      <c r="D755" s="63"/>
      <c r="E755" s="11"/>
      <c r="F755" s="65"/>
      <c r="G755" s="12"/>
      <c r="H755" s="41"/>
      <c r="I755" s="30"/>
      <c r="J755" s="30"/>
      <c r="K755" s="97"/>
      <c r="L755" s="11"/>
      <c r="M755" s="11"/>
      <c r="N755" s="11"/>
      <c r="O755" s="11"/>
      <c r="P755" s="82"/>
    </row>
    <row r="756" spans="2:16" s="9" customFormat="1" x14ac:dyDescent="0.2">
      <c r="B756" s="10"/>
      <c r="C756" s="11"/>
      <c r="D756" s="63"/>
      <c r="E756" s="11"/>
      <c r="F756" s="65"/>
      <c r="G756" s="12"/>
      <c r="H756" s="41"/>
      <c r="I756" s="30"/>
      <c r="J756" s="30"/>
      <c r="K756" s="97"/>
      <c r="L756" s="11"/>
      <c r="M756" s="11"/>
      <c r="N756" s="11"/>
      <c r="O756" s="11"/>
      <c r="P756" s="82"/>
    </row>
    <row r="757" spans="2:16" s="9" customFormat="1" x14ac:dyDescent="0.2">
      <c r="B757" s="10"/>
      <c r="C757" s="11"/>
      <c r="D757" s="63"/>
      <c r="E757" s="11"/>
      <c r="F757" s="65"/>
      <c r="G757" s="12"/>
      <c r="H757" s="41"/>
      <c r="I757" s="30"/>
      <c r="J757" s="30"/>
      <c r="K757" s="97"/>
      <c r="L757" s="11"/>
      <c r="M757" s="11"/>
      <c r="N757" s="11"/>
      <c r="O757" s="11"/>
      <c r="P757" s="82"/>
    </row>
    <row r="758" spans="2:16" s="9" customFormat="1" x14ac:dyDescent="0.2">
      <c r="B758" s="10"/>
      <c r="C758" s="11"/>
      <c r="D758" s="63"/>
      <c r="E758" s="11"/>
      <c r="F758" s="65"/>
      <c r="G758" s="12"/>
      <c r="H758" s="41"/>
      <c r="I758" s="30"/>
      <c r="J758" s="30"/>
      <c r="K758" s="97"/>
      <c r="L758" s="11"/>
      <c r="M758" s="11"/>
      <c r="N758" s="11"/>
      <c r="O758" s="11"/>
      <c r="P758" s="82"/>
    </row>
    <row r="759" spans="2:16" s="9" customFormat="1" x14ac:dyDescent="0.2">
      <c r="B759" s="10"/>
      <c r="C759" s="11"/>
      <c r="D759" s="63"/>
      <c r="E759" s="11"/>
      <c r="F759" s="65"/>
      <c r="G759" s="12"/>
      <c r="H759" s="41"/>
      <c r="I759" s="30"/>
      <c r="J759" s="30"/>
      <c r="K759" s="97"/>
      <c r="L759" s="11"/>
      <c r="M759" s="11"/>
      <c r="N759" s="11"/>
      <c r="O759" s="11"/>
      <c r="P759" s="82"/>
    </row>
    <row r="760" spans="2:16" s="9" customFormat="1" x14ac:dyDescent="0.2">
      <c r="B760" s="10"/>
      <c r="C760" s="11"/>
      <c r="D760" s="63"/>
      <c r="E760" s="11"/>
      <c r="F760" s="65"/>
      <c r="G760" s="12"/>
      <c r="H760" s="41"/>
      <c r="I760" s="30"/>
      <c r="J760" s="30"/>
      <c r="K760" s="97"/>
      <c r="L760" s="11"/>
      <c r="M760" s="11"/>
      <c r="N760" s="11"/>
      <c r="O760" s="11"/>
      <c r="P760" s="82"/>
    </row>
    <row r="761" spans="2:16" s="9" customFormat="1" x14ac:dyDescent="0.2">
      <c r="B761" s="10"/>
      <c r="C761" s="11"/>
      <c r="D761" s="63"/>
      <c r="E761" s="11"/>
      <c r="F761" s="65"/>
      <c r="G761" s="12"/>
      <c r="H761" s="41"/>
      <c r="I761" s="30"/>
      <c r="J761" s="30"/>
      <c r="K761" s="97"/>
      <c r="L761" s="11"/>
      <c r="M761" s="11"/>
      <c r="N761" s="11"/>
      <c r="O761" s="11"/>
      <c r="P761" s="82"/>
    </row>
    <row r="762" spans="2:16" s="9" customFormat="1" x14ac:dyDescent="0.2">
      <c r="B762" s="10"/>
      <c r="C762" s="11"/>
      <c r="D762" s="63"/>
      <c r="E762" s="11"/>
      <c r="F762" s="65"/>
      <c r="G762" s="12"/>
      <c r="H762" s="41"/>
      <c r="I762" s="30"/>
      <c r="J762" s="30"/>
      <c r="K762" s="97"/>
      <c r="L762" s="11"/>
      <c r="M762" s="11"/>
      <c r="N762" s="11"/>
      <c r="O762" s="11"/>
      <c r="P762" s="82"/>
    </row>
    <row r="763" spans="2:16" s="9" customFormat="1" x14ac:dyDescent="0.2">
      <c r="B763" s="10"/>
      <c r="C763" s="11"/>
      <c r="D763" s="63"/>
      <c r="E763" s="11"/>
      <c r="F763" s="65"/>
      <c r="G763" s="12"/>
      <c r="H763" s="41"/>
      <c r="I763" s="30"/>
      <c r="J763" s="30"/>
      <c r="K763" s="97"/>
      <c r="L763" s="11"/>
      <c r="M763" s="11"/>
      <c r="N763" s="11"/>
      <c r="O763" s="11"/>
      <c r="P763" s="82"/>
    </row>
    <row r="764" spans="2:16" s="9" customFormat="1" x14ac:dyDescent="0.2">
      <c r="B764" s="10"/>
      <c r="C764" s="11"/>
      <c r="D764" s="63"/>
      <c r="E764" s="11"/>
      <c r="F764" s="65"/>
      <c r="G764" s="12"/>
      <c r="H764" s="41"/>
      <c r="I764" s="30"/>
      <c r="J764" s="30"/>
      <c r="K764" s="97"/>
      <c r="L764" s="11"/>
      <c r="M764" s="11"/>
      <c r="N764" s="11"/>
      <c r="O764" s="11"/>
      <c r="P764" s="82"/>
    </row>
    <row r="765" spans="2:16" s="9" customFormat="1" x14ac:dyDescent="0.2">
      <c r="B765" s="10"/>
      <c r="C765" s="11"/>
      <c r="D765" s="63"/>
      <c r="E765" s="11"/>
      <c r="F765" s="65"/>
      <c r="G765" s="12"/>
      <c r="H765" s="41"/>
      <c r="I765" s="30"/>
      <c r="J765" s="30"/>
      <c r="K765" s="97"/>
      <c r="L765" s="11"/>
      <c r="M765" s="11"/>
      <c r="N765" s="11"/>
      <c r="O765" s="11"/>
      <c r="P765" s="82"/>
    </row>
    <row r="766" spans="2:16" s="9" customFormat="1" x14ac:dyDescent="0.2">
      <c r="B766" s="10"/>
      <c r="C766" s="11"/>
      <c r="D766" s="63"/>
      <c r="E766" s="11"/>
      <c r="F766" s="65"/>
      <c r="G766" s="12"/>
      <c r="H766" s="41"/>
      <c r="I766" s="30"/>
      <c r="J766" s="30"/>
      <c r="K766" s="97"/>
      <c r="L766" s="11"/>
      <c r="M766" s="11"/>
      <c r="N766" s="11"/>
      <c r="O766" s="11"/>
      <c r="P766" s="82"/>
    </row>
    <row r="767" spans="2:16" s="9" customFormat="1" x14ac:dyDescent="0.2">
      <c r="B767" s="10"/>
      <c r="C767" s="11"/>
      <c r="D767" s="63"/>
      <c r="E767" s="11"/>
      <c r="F767" s="65"/>
      <c r="G767" s="12"/>
      <c r="H767" s="41"/>
      <c r="I767" s="30"/>
      <c r="J767" s="30"/>
      <c r="K767" s="97"/>
      <c r="L767" s="11"/>
      <c r="M767" s="11"/>
      <c r="N767" s="11"/>
      <c r="O767" s="11"/>
      <c r="P767" s="82"/>
    </row>
    <row r="768" spans="2:16" s="9" customFormat="1" x14ac:dyDescent="0.2">
      <c r="B768" s="10"/>
      <c r="C768" s="11"/>
      <c r="D768" s="63"/>
      <c r="E768" s="11"/>
      <c r="F768" s="65"/>
      <c r="G768" s="12"/>
      <c r="H768" s="41"/>
      <c r="I768" s="30"/>
      <c r="J768" s="30"/>
      <c r="K768" s="97"/>
      <c r="L768" s="11"/>
      <c r="M768" s="11"/>
      <c r="N768" s="11"/>
      <c r="O768" s="11"/>
      <c r="P768" s="82"/>
    </row>
    <row r="769" spans="2:16" s="9" customFormat="1" x14ac:dyDescent="0.2">
      <c r="B769" s="10"/>
      <c r="C769" s="11"/>
      <c r="D769" s="63"/>
      <c r="E769" s="11"/>
      <c r="F769" s="65"/>
      <c r="G769" s="12"/>
      <c r="H769" s="41"/>
      <c r="I769" s="30"/>
      <c r="J769" s="30"/>
      <c r="K769" s="97"/>
      <c r="L769" s="11"/>
      <c r="M769" s="11"/>
      <c r="N769" s="11"/>
      <c r="O769" s="11"/>
      <c r="P769" s="82"/>
    </row>
    <row r="770" spans="2:16" s="9" customFormat="1" x14ac:dyDescent="0.2">
      <c r="B770" s="10"/>
      <c r="C770" s="11"/>
      <c r="D770" s="63"/>
      <c r="E770" s="11"/>
      <c r="F770" s="65"/>
      <c r="G770" s="12"/>
      <c r="H770" s="41"/>
      <c r="I770" s="30"/>
      <c r="J770" s="30"/>
      <c r="K770" s="97"/>
      <c r="L770" s="11"/>
      <c r="M770" s="11"/>
      <c r="N770" s="11"/>
      <c r="O770" s="11"/>
      <c r="P770" s="82"/>
    </row>
    <row r="771" spans="2:16" s="9" customFormat="1" x14ac:dyDescent="0.2">
      <c r="B771" s="10"/>
      <c r="C771" s="11"/>
      <c r="D771" s="63"/>
      <c r="E771" s="11"/>
      <c r="F771" s="65"/>
      <c r="G771" s="12"/>
      <c r="H771" s="41"/>
      <c r="I771" s="30"/>
      <c r="J771" s="30"/>
      <c r="K771" s="97"/>
      <c r="L771" s="11"/>
      <c r="M771" s="11"/>
      <c r="N771" s="11"/>
      <c r="O771" s="11"/>
      <c r="P771" s="82"/>
    </row>
    <row r="772" spans="2:16" s="9" customFormat="1" x14ac:dyDescent="0.2">
      <c r="B772" s="10"/>
      <c r="C772" s="11"/>
      <c r="D772" s="63"/>
      <c r="E772" s="11"/>
      <c r="F772" s="65"/>
      <c r="G772" s="12"/>
      <c r="H772" s="41"/>
      <c r="I772" s="30"/>
      <c r="J772" s="30"/>
      <c r="K772" s="97"/>
      <c r="L772" s="11"/>
      <c r="M772" s="11"/>
      <c r="N772" s="11"/>
      <c r="O772" s="11"/>
      <c r="P772" s="82"/>
    </row>
    <row r="773" spans="2:16" s="9" customFormat="1" x14ac:dyDescent="0.2">
      <c r="B773" s="10"/>
      <c r="C773" s="11"/>
      <c r="D773" s="63"/>
      <c r="E773" s="11"/>
      <c r="F773" s="65"/>
      <c r="G773" s="12"/>
      <c r="H773" s="41"/>
      <c r="I773" s="30"/>
      <c r="J773" s="30"/>
      <c r="K773" s="97"/>
      <c r="L773" s="11"/>
      <c r="M773" s="11"/>
      <c r="N773" s="11"/>
      <c r="O773" s="11"/>
      <c r="P773" s="82"/>
    </row>
    <row r="774" spans="2:16" s="9" customFormat="1" x14ac:dyDescent="0.2">
      <c r="B774" s="10"/>
      <c r="C774" s="11"/>
      <c r="D774" s="63"/>
      <c r="E774" s="11"/>
      <c r="F774" s="65"/>
      <c r="G774" s="12"/>
      <c r="H774" s="41"/>
      <c r="I774" s="30"/>
      <c r="J774" s="30"/>
      <c r="K774" s="97"/>
      <c r="L774" s="11"/>
      <c r="M774" s="11"/>
      <c r="N774" s="11"/>
      <c r="O774" s="11"/>
      <c r="P774" s="82"/>
    </row>
    <row r="775" spans="2:16" s="9" customFormat="1" x14ac:dyDescent="0.2">
      <c r="B775" s="10"/>
      <c r="C775" s="11"/>
      <c r="D775" s="63"/>
      <c r="E775" s="11"/>
      <c r="F775" s="65"/>
      <c r="G775" s="12"/>
      <c r="H775" s="41"/>
      <c r="I775" s="30"/>
      <c r="J775" s="30"/>
      <c r="K775" s="97"/>
      <c r="L775" s="11"/>
      <c r="M775" s="11"/>
      <c r="N775" s="11"/>
      <c r="O775" s="11"/>
      <c r="P775" s="82"/>
    </row>
    <row r="776" spans="2:16" s="9" customFormat="1" x14ac:dyDescent="0.2">
      <c r="B776" s="10"/>
      <c r="C776" s="11"/>
      <c r="D776" s="63"/>
      <c r="E776" s="11"/>
      <c r="F776" s="65"/>
      <c r="G776" s="12"/>
      <c r="H776" s="41"/>
      <c r="I776" s="30"/>
      <c r="J776" s="30"/>
      <c r="K776" s="97"/>
      <c r="L776" s="11"/>
      <c r="M776" s="11"/>
      <c r="N776" s="11"/>
      <c r="O776" s="11"/>
      <c r="P776" s="82"/>
    </row>
    <row r="777" spans="2:16" s="9" customFormat="1" x14ac:dyDescent="0.2">
      <c r="B777" s="10"/>
      <c r="C777" s="11"/>
      <c r="D777" s="63"/>
      <c r="E777" s="11"/>
      <c r="F777" s="65"/>
      <c r="G777" s="12"/>
      <c r="H777" s="41"/>
      <c r="I777" s="30"/>
      <c r="J777" s="30"/>
      <c r="K777" s="97"/>
      <c r="L777" s="11"/>
      <c r="M777" s="11"/>
      <c r="N777" s="11"/>
      <c r="O777" s="11"/>
      <c r="P777" s="82"/>
    </row>
    <row r="778" spans="2:16" s="9" customFormat="1" x14ac:dyDescent="0.2">
      <c r="B778" s="10"/>
      <c r="C778" s="11"/>
      <c r="D778" s="63"/>
      <c r="E778" s="11"/>
      <c r="F778" s="65"/>
      <c r="G778" s="12"/>
      <c r="H778" s="41"/>
      <c r="I778" s="30"/>
      <c r="J778" s="30"/>
      <c r="K778" s="97"/>
      <c r="L778" s="11"/>
      <c r="M778" s="11"/>
      <c r="N778" s="11"/>
      <c r="O778" s="11"/>
      <c r="P778" s="82"/>
    </row>
    <row r="779" spans="2:16" s="9" customFormat="1" x14ac:dyDescent="0.2">
      <c r="B779" s="10"/>
      <c r="C779" s="11"/>
      <c r="D779" s="63"/>
      <c r="E779" s="11"/>
      <c r="F779" s="65"/>
      <c r="G779" s="12"/>
      <c r="H779" s="41"/>
      <c r="I779" s="30"/>
      <c r="J779" s="30"/>
      <c r="K779" s="97"/>
      <c r="L779" s="11"/>
      <c r="M779" s="11"/>
      <c r="N779" s="11"/>
      <c r="O779" s="11"/>
      <c r="P779" s="82"/>
    </row>
    <row r="780" spans="2:16" s="9" customFormat="1" x14ac:dyDescent="0.2">
      <c r="B780" s="10"/>
      <c r="C780" s="11"/>
      <c r="D780" s="63"/>
      <c r="E780" s="11"/>
      <c r="F780" s="65"/>
      <c r="G780" s="12"/>
      <c r="H780" s="41"/>
      <c r="I780" s="30"/>
      <c r="J780" s="30"/>
      <c r="K780" s="97"/>
      <c r="L780" s="11"/>
      <c r="M780" s="11"/>
      <c r="N780" s="11"/>
      <c r="O780" s="11"/>
      <c r="P780" s="82"/>
    </row>
    <row r="781" spans="2:16" s="9" customFormat="1" x14ac:dyDescent="0.2">
      <c r="B781" s="10"/>
      <c r="C781" s="11"/>
      <c r="D781" s="63"/>
      <c r="E781" s="11"/>
      <c r="F781" s="65"/>
      <c r="G781" s="12"/>
      <c r="H781" s="41"/>
      <c r="I781" s="30"/>
      <c r="J781" s="30"/>
      <c r="K781" s="97"/>
      <c r="L781" s="11"/>
      <c r="M781" s="11"/>
      <c r="N781" s="11"/>
      <c r="O781" s="11"/>
      <c r="P781" s="82"/>
    </row>
    <row r="782" spans="2:16" s="9" customFormat="1" x14ac:dyDescent="0.2">
      <c r="B782" s="10"/>
      <c r="C782" s="11"/>
      <c r="D782" s="63"/>
      <c r="E782" s="11"/>
      <c r="F782" s="65"/>
      <c r="G782" s="12"/>
      <c r="H782" s="41"/>
      <c r="I782" s="30"/>
      <c r="J782" s="30"/>
      <c r="K782" s="97"/>
      <c r="L782" s="11"/>
      <c r="M782" s="11"/>
      <c r="N782" s="11"/>
      <c r="O782" s="11"/>
      <c r="P782" s="82"/>
    </row>
    <row r="783" spans="2:16" s="9" customFormat="1" x14ac:dyDescent="0.2">
      <c r="B783" s="10"/>
      <c r="C783" s="11"/>
      <c r="D783" s="63"/>
      <c r="E783" s="11"/>
      <c r="F783" s="65"/>
      <c r="G783" s="12"/>
      <c r="H783" s="41"/>
      <c r="I783" s="30"/>
      <c r="J783" s="30"/>
      <c r="K783" s="97"/>
      <c r="L783" s="11"/>
      <c r="M783" s="11"/>
      <c r="N783" s="11"/>
      <c r="O783" s="11"/>
      <c r="P783" s="82"/>
    </row>
    <row r="784" spans="2:16" s="9" customFormat="1" x14ac:dyDescent="0.2">
      <c r="B784" s="10"/>
      <c r="C784" s="11"/>
      <c r="D784" s="63"/>
      <c r="E784" s="11"/>
      <c r="F784" s="65"/>
      <c r="G784" s="12"/>
      <c r="H784" s="41"/>
      <c r="I784" s="30"/>
      <c r="J784" s="30"/>
      <c r="K784" s="97"/>
      <c r="L784" s="11"/>
      <c r="M784" s="11"/>
      <c r="N784" s="11"/>
      <c r="O784" s="11"/>
      <c r="P784" s="82"/>
    </row>
    <row r="785" spans="2:16" s="9" customFormat="1" x14ac:dyDescent="0.2">
      <c r="B785" s="10"/>
      <c r="C785" s="11"/>
      <c r="D785" s="63"/>
      <c r="E785" s="11"/>
      <c r="F785" s="65"/>
      <c r="G785" s="12"/>
      <c r="H785" s="41"/>
      <c r="I785" s="30"/>
      <c r="J785" s="30"/>
      <c r="K785" s="97"/>
      <c r="L785" s="11"/>
      <c r="M785" s="11"/>
      <c r="N785" s="11"/>
      <c r="O785" s="11"/>
      <c r="P785" s="82"/>
    </row>
    <row r="786" spans="2:16" s="9" customFormat="1" x14ac:dyDescent="0.2">
      <c r="B786" s="10"/>
      <c r="C786" s="11"/>
      <c r="D786" s="63"/>
      <c r="E786" s="11"/>
      <c r="F786" s="65"/>
      <c r="G786" s="12"/>
      <c r="H786" s="41"/>
      <c r="I786" s="30"/>
      <c r="J786" s="30"/>
      <c r="K786" s="97"/>
      <c r="L786" s="11"/>
      <c r="M786" s="11"/>
      <c r="N786" s="11"/>
      <c r="O786" s="11"/>
      <c r="P786" s="82"/>
    </row>
    <row r="787" spans="2:16" s="9" customFormat="1" x14ac:dyDescent="0.2">
      <c r="B787" s="10"/>
      <c r="C787" s="11"/>
      <c r="D787" s="63"/>
      <c r="E787" s="11"/>
      <c r="F787" s="65"/>
      <c r="G787" s="12"/>
      <c r="H787" s="41"/>
      <c r="I787" s="30"/>
      <c r="J787" s="30"/>
      <c r="K787" s="97"/>
      <c r="L787" s="11"/>
      <c r="M787" s="11"/>
      <c r="N787" s="11"/>
      <c r="O787" s="11"/>
      <c r="P787" s="82"/>
    </row>
    <row r="788" spans="2:16" s="9" customFormat="1" x14ac:dyDescent="0.2">
      <c r="B788" s="10"/>
      <c r="C788" s="11"/>
      <c r="D788" s="63"/>
      <c r="E788" s="11"/>
      <c r="F788" s="65"/>
      <c r="G788" s="12"/>
      <c r="H788" s="41"/>
      <c r="I788" s="30"/>
      <c r="J788" s="30"/>
      <c r="K788" s="97"/>
      <c r="L788" s="11"/>
      <c r="M788" s="11"/>
      <c r="N788" s="11"/>
      <c r="O788" s="11"/>
      <c r="P788" s="82"/>
    </row>
    <row r="789" spans="2:16" s="9" customFormat="1" x14ac:dyDescent="0.2">
      <c r="B789" s="10"/>
      <c r="C789" s="11"/>
      <c r="D789" s="63"/>
      <c r="E789" s="11"/>
      <c r="F789" s="65"/>
      <c r="G789" s="12"/>
      <c r="H789" s="41"/>
      <c r="I789" s="30"/>
      <c r="J789" s="30"/>
      <c r="K789" s="97"/>
      <c r="L789" s="11"/>
      <c r="M789" s="11"/>
      <c r="N789" s="11"/>
      <c r="O789" s="11"/>
      <c r="P789" s="82"/>
    </row>
    <row r="790" spans="2:16" s="9" customFormat="1" x14ac:dyDescent="0.2">
      <c r="B790" s="10"/>
      <c r="C790" s="11"/>
      <c r="D790" s="63"/>
      <c r="E790" s="11"/>
      <c r="F790" s="65"/>
      <c r="G790" s="12"/>
      <c r="H790" s="41"/>
      <c r="I790" s="30"/>
      <c r="J790" s="30"/>
      <c r="K790" s="97"/>
      <c r="L790" s="11"/>
      <c r="M790" s="11"/>
      <c r="N790" s="11"/>
      <c r="O790" s="11"/>
      <c r="P790" s="82"/>
    </row>
    <row r="791" spans="2:16" s="9" customFormat="1" x14ac:dyDescent="0.2">
      <c r="B791" s="10"/>
      <c r="C791" s="11"/>
      <c r="D791" s="63"/>
      <c r="E791" s="11"/>
      <c r="F791" s="65"/>
      <c r="G791" s="12"/>
      <c r="H791" s="41"/>
      <c r="I791" s="30"/>
      <c r="J791" s="30"/>
      <c r="K791" s="97"/>
      <c r="L791" s="11"/>
      <c r="M791" s="11"/>
      <c r="N791" s="11"/>
      <c r="O791" s="11"/>
      <c r="P791" s="82"/>
    </row>
    <row r="792" spans="2:16" s="9" customFormat="1" x14ac:dyDescent="0.2">
      <c r="B792" s="10"/>
      <c r="C792" s="11"/>
      <c r="D792" s="63"/>
      <c r="E792" s="11"/>
      <c r="F792" s="65"/>
      <c r="G792" s="12"/>
      <c r="H792" s="41"/>
      <c r="I792" s="30"/>
      <c r="J792" s="30"/>
      <c r="K792" s="97"/>
      <c r="L792" s="11"/>
      <c r="M792" s="11"/>
      <c r="N792" s="11"/>
      <c r="O792" s="11"/>
      <c r="P792" s="82"/>
    </row>
    <row r="793" spans="2:16" s="9" customFormat="1" x14ac:dyDescent="0.2">
      <c r="B793" s="10"/>
      <c r="C793" s="11"/>
      <c r="D793" s="63"/>
      <c r="E793" s="11"/>
      <c r="F793" s="65"/>
      <c r="G793" s="12"/>
      <c r="H793" s="41"/>
      <c r="I793" s="30"/>
      <c r="J793" s="30"/>
      <c r="K793" s="97"/>
      <c r="L793" s="11"/>
      <c r="M793" s="11"/>
      <c r="N793" s="11"/>
      <c r="O793" s="11"/>
      <c r="P793" s="82"/>
    </row>
    <row r="794" spans="2:16" s="9" customFormat="1" x14ac:dyDescent="0.2">
      <c r="B794" s="10"/>
      <c r="C794" s="11"/>
      <c r="D794" s="63"/>
      <c r="E794" s="11"/>
      <c r="F794" s="65"/>
      <c r="G794" s="12"/>
      <c r="H794" s="41"/>
      <c r="I794" s="30"/>
      <c r="J794" s="30"/>
      <c r="K794" s="97"/>
      <c r="L794" s="11"/>
      <c r="M794" s="11"/>
      <c r="N794" s="11"/>
      <c r="O794" s="11"/>
      <c r="P794" s="82"/>
    </row>
    <row r="795" spans="2:16" s="9" customFormat="1" x14ac:dyDescent="0.2">
      <c r="B795" s="10"/>
      <c r="C795" s="11"/>
      <c r="D795" s="63"/>
      <c r="E795" s="11"/>
      <c r="F795" s="65"/>
      <c r="G795" s="12"/>
      <c r="H795" s="41"/>
      <c r="I795" s="30"/>
      <c r="J795" s="30"/>
      <c r="K795" s="97"/>
      <c r="L795" s="11"/>
      <c r="M795" s="11"/>
      <c r="N795" s="11"/>
      <c r="O795" s="11"/>
      <c r="P795" s="82"/>
    </row>
    <row r="796" spans="2:16" s="9" customFormat="1" x14ac:dyDescent="0.2">
      <c r="B796" s="10"/>
      <c r="C796" s="11"/>
      <c r="D796" s="63"/>
      <c r="E796" s="11"/>
      <c r="F796" s="65"/>
      <c r="G796" s="12"/>
      <c r="H796" s="41"/>
      <c r="I796" s="30"/>
      <c r="J796" s="30"/>
      <c r="K796" s="97"/>
      <c r="L796" s="11"/>
      <c r="M796" s="11"/>
      <c r="N796" s="11"/>
      <c r="O796" s="11"/>
      <c r="P796" s="82"/>
    </row>
    <row r="797" spans="2:16" s="9" customFormat="1" x14ac:dyDescent="0.2">
      <c r="B797" s="10"/>
      <c r="C797" s="11"/>
      <c r="D797" s="63"/>
      <c r="E797" s="11"/>
      <c r="F797" s="65"/>
      <c r="G797" s="12"/>
      <c r="H797" s="41"/>
      <c r="I797" s="30"/>
      <c r="J797" s="30"/>
      <c r="K797" s="97"/>
      <c r="L797" s="11"/>
      <c r="M797" s="11"/>
      <c r="N797" s="11"/>
      <c r="O797" s="11"/>
      <c r="P797" s="82"/>
    </row>
    <row r="798" spans="2:16" s="9" customFormat="1" x14ac:dyDescent="0.2">
      <c r="B798" s="10"/>
      <c r="C798" s="11"/>
      <c r="D798" s="63"/>
      <c r="E798" s="11"/>
      <c r="F798" s="65"/>
      <c r="G798" s="12"/>
      <c r="H798" s="41"/>
      <c r="I798" s="30"/>
      <c r="J798" s="30"/>
      <c r="K798" s="97"/>
      <c r="L798" s="11"/>
      <c r="M798" s="11"/>
      <c r="N798" s="11"/>
      <c r="O798" s="11"/>
      <c r="P798" s="82"/>
    </row>
    <row r="799" spans="2:16" s="9" customFormat="1" x14ac:dyDescent="0.2">
      <c r="B799" s="10"/>
      <c r="C799" s="11"/>
      <c r="D799" s="63"/>
      <c r="E799" s="11"/>
      <c r="F799" s="65"/>
      <c r="G799" s="12"/>
      <c r="H799" s="41"/>
      <c r="I799" s="30"/>
      <c r="J799" s="30"/>
      <c r="K799" s="97"/>
      <c r="L799" s="11"/>
      <c r="M799" s="11"/>
      <c r="N799" s="11"/>
      <c r="O799" s="11"/>
      <c r="P799" s="82"/>
    </row>
    <row r="800" spans="2:16" s="9" customFormat="1" x14ac:dyDescent="0.2">
      <c r="B800" s="10"/>
      <c r="C800" s="11"/>
      <c r="D800" s="63"/>
      <c r="E800" s="11"/>
      <c r="F800" s="65"/>
      <c r="G800" s="12"/>
      <c r="H800" s="41"/>
      <c r="I800" s="30"/>
      <c r="J800" s="30"/>
      <c r="K800" s="97"/>
      <c r="L800" s="11"/>
      <c r="M800" s="11"/>
      <c r="N800" s="11"/>
      <c r="O800" s="11"/>
      <c r="P800" s="82"/>
    </row>
    <row r="801" spans="2:16" s="9" customFormat="1" x14ac:dyDescent="0.2">
      <c r="B801" s="10"/>
      <c r="C801" s="11"/>
      <c r="D801" s="63"/>
      <c r="E801" s="11"/>
      <c r="F801" s="65"/>
      <c r="G801" s="12"/>
      <c r="H801" s="41"/>
      <c r="I801" s="30"/>
      <c r="J801" s="30"/>
      <c r="K801" s="97"/>
      <c r="L801" s="11"/>
      <c r="M801" s="11"/>
      <c r="N801" s="11"/>
      <c r="O801" s="11"/>
      <c r="P801" s="82"/>
    </row>
    <row r="802" spans="2:16" s="9" customFormat="1" x14ac:dyDescent="0.2">
      <c r="B802" s="10"/>
      <c r="C802" s="11"/>
      <c r="D802" s="63"/>
      <c r="E802" s="11"/>
      <c r="F802" s="65"/>
      <c r="G802" s="12"/>
      <c r="H802" s="41"/>
      <c r="I802" s="30"/>
      <c r="J802" s="30"/>
      <c r="K802" s="97"/>
      <c r="L802" s="11"/>
      <c r="M802" s="11"/>
      <c r="N802" s="11"/>
      <c r="O802" s="11"/>
      <c r="P802" s="82"/>
    </row>
    <row r="803" spans="2:16" s="9" customFormat="1" x14ac:dyDescent="0.2">
      <c r="B803" s="10"/>
      <c r="C803" s="11"/>
      <c r="D803" s="63"/>
      <c r="E803" s="11"/>
      <c r="F803" s="65"/>
      <c r="G803" s="12"/>
      <c r="H803" s="41"/>
      <c r="I803" s="30"/>
      <c r="J803" s="30"/>
      <c r="K803" s="97"/>
      <c r="L803" s="11"/>
      <c r="M803" s="11"/>
      <c r="N803" s="11"/>
      <c r="O803" s="11"/>
      <c r="P803" s="82"/>
    </row>
    <row r="804" spans="2:16" s="9" customFormat="1" x14ac:dyDescent="0.2">
      <c r="B804" s="10"/>
      <c r="C804" s="11"/>
      <c r="D804" s="63"/>
      <c r="E804" s="11"/>
      <c r="F804" s="65"/>
      <c r="G804" s="12"/>
      <c r="H804" s="41"/>
      <c r="I804" s="30"/>
      <c r="J804" s="30"/>
      <c r="K804" s="97"/>
      <c r="L804" s="11"/>
      <c r="M804" s="11"/>
      <c r="N804" s="11"/>
      <c r="O804" s="11"/>
      <c r="P804" s="82"/>
    </row>
    <row r="805" spans="2:16" s="9" customFormat="1" x14ac:dyDescent="0.2">
      <c r="B805" s="10"/>
      <c r="C805" s="11"/>
      <c r="D805" s="63"/>
      <c r="E805" s="11"/>
      <c r="F805" s="65"/>
      <c r="G805" s="12"/>
      <c r="H805" s="41"/>
      <c r="I805" s="30"/>
      <c r="J805" s="30"/>
      <c r="K805" s="97"/>
      <c r="L805" s="11"/>
      <c r="M805" s="11"/>
      <c r="N805" s="11"/>
      <c r="O805" s="11"/>
      <c r="P805" s="82"/>
    </row>
    <row r="806" spans="2:16" s="9" customFormat="1" x14ac:dyDescent="0.2">
      <c r="B806" s="10"/>
      <c r="C806" s="11"/>
      <c r="D806" s="63"/>
      <c r="E806" s="11"/>
      <c r="F806" s="65"/>
      <c r="G806" s="12"/>
      <c r="H806" s="41"/>
      <c r="I806" s="30"/>
      <c r="J806" s="30"/>
      <c r="K806" s="97"/>
      <c r="L806" s="11"/>
      <c r="M806" s="11"/>
      <c r="N806" s="11"/>
      <c r="O806" s="11"/>
      <c r="P806" s="82"/>
    </row>
    <row r="807" spans="2:16" s="9" customFormat="1" x14ac:dyDescent="0.2">
      <c r="B807" s="10"/>
      <c r="C807" s="11"/>
      <c r="D807" s="63"/>
      <c r="E807" s="11"/>
      <c r="F807" s="65"/>
      <c r="G807" s="12"/>
      <c r="H807" s="41"/>
      <c r="I807" s="30"/>
      <c r="J807" s="30"/>
      <c r="K807" s="97"/>
      <c r="L807" s="11"/>
      <c r="M807" s="11"/>
      <c r="N807" s="11"/>
      <c r="O807" s="11"/>
      <c r="P807" s="82"/>
    </row>
    <row r="808" spans="2:16" s="9" customFormat="1" x14ac:dyDescent="0.2">
      <c r="B808" s="10"/>
      <c r="C808" s="11"/>
      <c r="D808" s="63"/>
      <c r="E808" s="11"/>
      <c r="F808" s="65"/>
      <c r="G808" s="12"/>
      <c r="H808" s="41"/>
      <c r="I808" s="30"/>
      <c r="J808" s="30"/>
      <c r="K808" s="97"/>
      <c r="L808" s="11"/>
      <c r="M808" s="11"/>
      <c r="N808" s="11"/>
      <c r="O808" s="11"/>
      <c r="P808" s="82"/>
    </row>
    <row r="809" spans="2:16" s="9" customFormat="1" x14ac:dyDescent="0.2">
      <c r="B809" s="10"/>
      <c r="C809" s="11"/>
      <c r="D809" s="63"/>
      <c r="E809" s="11"/>
      <c r="F809" s="65"/>
      <c r="G809" s="12"/>
      <c r="H809" s="41"/>
      <c r="I809" s="30"/>
      <c r="J809" s="30"/>
      <c r="K809" s="97"/>
      <c r="L809" s="11"/>
      <c r="M809" s="11"/>
      <c r="N809" s="11"/>
      <c r="O809" s="11"/>
      <c r="P809" s="82"/>
    </row>
    <row r="810" spans="2:16" s="9" customFormat="1" x14ac:dyDescent="0.2">
      <c r="B810" s="10"/>
      <c r="C810" s="11"/>
      <c r="D810" s="63"/>
      <c r="E810" s="11"/>
      <c r="F810" s="65"/>
      <c r="G810" s="12"/>
      <c r="H810" s="41"/>
      <c r="I810" s="30"/>
      <c r="J810" s="30"/>
      <c r="K810" s="97"/>
      <c r="L810" s="11"/>
      <c r="M810" s="11"/>
      <c r="N810" s="11"/>
      <c r="O810" s="11"/>
      <c r="P810" s="82"/>
    </row>
    <row r="811" spans="2:16" s="9" customFormat="1" x14ac:dyDescent="0.2">
      <c r="B811" s="10"/>
      <c r="C811" s="11"/>
      <c r="D811" s="63"/>
      <c r="E811" s="11"/>
      <c r="F811" s="65"/>
      <c r="G811" s="12"/>
      <c r="H811" s="41"/>
      <c r="I811" s="30"/>
      <c r="J811" s="30"/>
      <c r="K811" s="97"/>
      <c r="L811" s="11"/>
      <c r="M811" s="11"/>
      <c r="N811" s="11"/>
      <c r="O811" s="11"/>
      <c r="P811" s="82"/>
    </row>
    <row r="812" spans="2:16" s="9" customFormat="1" x14ac:dyDescent="0.2">
      <c r="B812" s="10"/>
      <c r="C812" s="11"/>
      <c r="D812" s="63"/>
      <c r="E812" s="11"/>
      <c r="F812" s="65"/>
      <c r="G812" s="12"/>
      <c r="H812" s="41"/>
      <c r="I812" s="30"/>
      <c r="J812" s="30"/>
      <c r="K812" s="97"/>
      <c r="L812" s="11"/>
      <c r="M812" s="11"/>
      <c r="N812" s="11"/>
      <c r="O812" s="11"/>
      <c r="P812" s="82"/>
    </row>
    <row r="813" spans="2:16" s="9" customFormat="1" x14ac:dyDescent="0.2">
      <c r="B813" s="10"/>
      <c r="C813" s="11"/>
      <c r="D813" s="63"/>
      <c r="E813" s="11"/>
      <c r="F813" s="65"/>
      <c r="G813" s="12"/>
      <c r="H813" s="41"/>
      <c r="I813" s="30"/>
      <c r="J813" s="30"/>
      <c r="K813" s="97"/>
      <c r="L813" s="11"/>
      <c r="M813" s="11"/>
      <c r="N813" s="11"/>
      <c r="O813" s="11"/>
      <c r="P813" s="82"/>
    </row>
    <row r="814" spans="2:16" s="9" customFormat="1" x14ac:dyDescent="0.2">
      <c r="B814" s="10"/>
      <c r="C814" s="11"/>
      <c r="D814" s="63"/>
      <c r="E814" s="11"/>
      <c r="F814" s="65"/>
      <c r="G814" s="12"/>
      <c r="H814" s="41"/>
      <c r="I814" s="30"/>
      <c r="J814" s="30"/>
      <c r="K814" s="97"/>
      <c r="L814" s="11"/>
      <c r="M814" s="11"/>
      <c r="N814" s="11"/>
      <c r="O814" s="11"/>
      <c r="P814" s="82"/>
    </row>
    <row r="815" spans="2:16" s="9" customFormat="1" x14ac:dyDescent="0.2">
      <c r="B815" s="10"/>
      <c r="C815" s="11"/>
      <c r="D815" s="63"/>
      <c r="E815" s="11"/>
      <c r="F815" s="65"/>
      <c r="G815" s="12"/>
      <c r="H815" s="41"/>
      <c r="I815" s="30"/>
      <c r="J815" s="30"/>
      <c r="K815" s="97"/>
      <c r="L815" s="11"/>
      <c r="M815" s="11"/>
      <c r="N815" s="11"/>
      <c r="O815" s="11"/>
      <c r="P815" s="82"/>
    </row>
    <row r="816" spans="2:16" s="9" customFormat="1" x14ac:dyDescent="0.2">
      <c r="B816" s="10"/>
      <c r="C816" s="11"/>
      <c r="D816" s="63"/>
      <c r="E816" s="11"/>
      <c r="F816" s="65"/>
      <c r="G816" s="12"/>
      <c r="H816" s="41"/>
      <c r="I816" s="30"/>
      <c r="J816" s="30"/>
      <c r="K816" s="97"/>
      <c r="L816" s="11"/>
      <c r="M816" s="11"/>
      <c r="N816" s="11"/>
      <c r="O816" s="11"/>
      <c r="P816" s="82"/>
    </row>
    <row r="817" spans="2:16" s="9" customFormat="1" x14ac:dyDescent="0.2">
      <c r="B817" s="10"/>
      <c r="C817" s="11"/>
      <c r="D817" s="63"/>
      <c r="E817" s="11"/>
      <c r="F817" s="65"/>
      <c r="G817" s="12"/>
      <c r="H817" s="41"/>
      <c r="I817" s="30"/>
      <c r="J817" s="30"/>
      <c r="K817" s="97"/>
      <c r="L817" s="11"/>
      <c r="M817" s="11"/>
      <c r="N817" s="11"/>
      <c r="O817" s="11"/>
      <c r="P817" s="82"/>
    </row>
    <row r="818" spans="2:16" s="9" customFormat="1" x14ac:dyDescent="0.2">
      <c r="B818" s="10"/>
      <c r="C818" s="11"/>
      <c r="D818" s="63"/>
      <c r="E818" s="11"/>
      <c r="F818" s="65"/>
      <c r="G818" s="12"/>
      <c r="H818" s="41"/>
      <c r="I818" s="30"/>
      <c r="J818" s="30"/>
      <c r="K818" s="97"/>
      <c r="L818" s="11"/>
      <c r="M818" s="11"/>
      <c r="N818" s="11"/>
      <c r="O818" s="11"/>
      <c r="P818" s="82"/>
    </row>
    <row r="819" spans="2:16" s="9" customFormat="1" x14ac:dyDescent="0.2">
      <c r="B819" s="10"/>
      <c r="C819" s="11"/>
      <c r="D819" s="63"/>
      <c r="E819" s="11"/>
      <c r="F819" s="65"/>
      <c r="G819" s="12"/>
      <c r="H819" s="41"/>
      <c r="I819" s="30"/>
      <c r="J819" s="30"/>
      <c r="K819" s="97"/>
      <c r="L819" s="11"/>
      <c r="M819" s="11"/>
      <c r="N819" s="11"/>
      <c r="O819" s="11"/>
      <c r="P819" s="82"/>
    </row>
    <row r="820" spans="2:16" s="9" customFormat="1" x14ac:dyDescent="0.2">
      <c r="B820" s="10"/>
      <c r="C820" s="11"/>
      <c r="D820" s="63"/>
      <c r="E820" s="11"/>
      <c r="F820" s="65"/>
      <c r="G820" s="12"/>
      <c r="H820" s="41"/>
      <c r="I820" s="30"/>
      <c r="J820" s="30"/>
      <c r="K820" s="97"/>
      <c r="L820" s="11"/>
      <c r="M820" s="11"/>
      <c r="N820" s="11"/>
      <c r="O820" s="11"/>
      <c r="P820" s="82"/>
    </row>
    <row r="821" spans="2:16" s="9" customFormat="1" x14ac:dyDescent="0.2">
      <c r="B821" s="10"/>
      <c r="C821" s="11"/>
      <c r="D821" s="63"/>
      <c r="E821" s="11"/>
      <c r="F821" s="65"/>
      <c r="G821" s="12"/>
      <c r="H821" s="41"/>
      <c r="I821" s="30"/>
      <c r="J821" s="30"/>
      <c r="K821" s="97"/>
      <c r="L821" s="11"/>
      <c r="M821" s="11"/>
      <c r="N821" s="11"/>
      <c r="O821" s="11"/>
      <c r="P821" s="82"/>
    </row>
    <row r="822" spans="2:16" s="9" customFormat="1" x14ac:dyDescent="0.2">
      <c r="B822" s="10"/>
      <c r="C822" s="11"/>
      <c r="D822" s="63"/>
      <c r="E822" s="11"/>
      <c r="F822" s="65"/>
      <c r="G822" s="12"/>
      <c r="H822" s="41"/>
      <c r="I822" s="30"/>
      <c r="J822" s="30"/>
      <c r="K822" s="97"/>
      <c r="L822" s="11"/>
      <c r="M822" s="11"/>
      <c r="N822" s="11"/>
      <c r="O822" s="11"/>
      <c r="P822" s="82"/>
    </row>
    <row r="823" spans="2:16" s="9" customFormat="1" x14ac:dyDescent="0.2">
      <c r="B823" s="10"/>
      <c r="C823" s="11"/>
      <c r="D823" s="63"/>
      <c r="E823" s="11"/>
      <c r="F823" s="65"/>
      <c r="G823" s="12"/>
      <c r="H823" s="41"/>
      <c r="I823" s="30"/>
      <c r="J823" s="30"/>
      <c r="K823" s="97"/>
      <c r="L823" s="11"/>
      <c r="M823" s="11"/>
      <c r="N823" s="11"/>
      <c r="O823" s="11"/>
      <c r="P823" s="82"/>
    </row>
    <row r="824" spans="2:16" s="9" customFormat="1" x14ac:dyDescent="0.2">
      <c r="B824" s="10"/>
      <c r="C824" s="11"/>
      <c r="D824" s="63"/>
      <c r="E824" s="11"/>
      <c r="F824" s="65"/>
      <c r="G824" s="12"/>
      <c r="H824" s="41"/>
      <c r="I824" s="30"/>
      <c r="J824" s="30"/>
      <c r="K824" s="97"/>
      <c r="L824" s="11"/>
      <c r="M824" s="11"/>
      <c r="N824" s="11"/>
      <c r="O824" s="11"/>
      <c r="P824" s="82"/>
    </row>
    <row r="825" spans="2:16" s="9" customFormat="1" x14ac:dyDescent="0.2">
      <c r="B825" s="10"/>
      <c r="C825" s="11"/>
      <c r="D825" s="63"/>
      <c r="E825" s="11"/>
      <c r="F825" s="65"/>
      <c r="G825" s="12"/>
      <c r="H825" s="41"/>
      <c r="I825" s="30"/>
      <c r="J825" s="30"/>
      <c r="K825" s="97"/>
      <c r="L825" s="11"/>
      <c r="M825" s="11"/>
      <c r="N825" s="11"/>
      <c r="O825" s="11"/>
      <c r="P825" s="82"/>
    </row>
    <row r="826" spans="2:16" s="9" customFormat="1" x14ac:dyDescent="0.2">
      <c r="B826" s="10"/>
      <c r="C826" s="11"/>
      <c r="D826" s="63"/>
      <c r="E826" s="11"/>
      <c r="F826" s="65"/>
      <c r="G826" s="12"/>
      <c r="H826" s="41"/>
      <c r="I826" s="30"/>
      <c r="J826" s="30"/>
      <c r="K826" s="97"/>
      <c r="L826" s="11"/>
      <c r="M826" s="11"/>
      <c r="N826" s="11"/>
      <c r="O826" s="11"/>
      <c r="P826" s="82"/>
    </row>
    <row r="827" spans="2:16" s="9" customFormat="1" x14ac:dyDescent="0.2">
      <c r="B827" s="10"/>
      <c r="C827" s="11"/>
      <c r="D827" s="63"/>
      <c r="E827" s="11"/>
      <c r="F827" s="65"/>
      <c r="G827" s="12"/>
      <c r="H827" s="41"/>
      <c r="I827" s="30"/>
      <c r="J827" s="30"/>
      <c r="K827" s="97"/>
      <c r="L827" s="11"/>
      <c r="M827" s="11"/>
      <c r="N827" s="11"/>
      <c r="O827" s="11"/>
      <c r="P827" s="82"/>
    </row>
    <row r="828" spans="2:16" s="9" customFormat="1" x14ac:dyDescent="0.2">
      <c r="B828" s="10"/>
      <c r="C828" s="11"/>
      <c r="D828" s="63"/>
      <c r="E828" s="11"/>
      <c r="F828" s="65"/>
      <c r="G828" s="12"/>
      <c r="H828" s="41"/>
      <c r="I828" s="30"/>
      <c r="J828" s="30"/>
      <c r="K828" s="97"/>
      <c r="L828" s="11"/>
      <c r="M828" s="11"/>
      <c r="N828" s="11"/>
      <c r="O828" s="11"/>
      <c r="P828" s="82"/>
    </row>
    <row r="829" spans="2:16" s="9" customFormat="1" x14ac:dyDescent="0.2">
      <c r="B829" s="10"/>
      <c r="C829" s="11"/>
      <c r="D829" s="63"/>
      <c r="E829" s="11"/>
      <c r="F829" s="65"/>
      <c r="G829" s="12"/>
      <c r="H829" s="41"/>
      <c r="I829" s="30"/>
      <c r="J829" s="30"/>
      <c r="K829" s="97"/>
      <c r="L829" s="11"/>
      <c r="M829" s="11"/>
      <c r="N829" s="11"/>
      <c r="O829" s="11"/>
      <c r="P829" s="82"/>
    </row>
    <row r="830" spans="2:16" s="9" customFormat="1" x14ac:dyDescent="0.2">
      <c r="B830" s="10"/>
      <c r="C830" s="11"/>
      <c r="D830" s="63"/>
      <c r="E830" s="11"/>
      <c r="F830" s="65"/>
      <c r="G830" s="12"/>
      <c r="H830" s="41"/>
      <c r="I830" s="30"/>
      <c r="J830" s="30"/>
      <c r="K830" s="97"/>
      <c r="L830" s="11"/>
      <c r="M830" s="11"/>
      <c r="N830" s="11"/>
      <c r="O830" s="11"/>
      <c r="P830" s="82"/>
    </row>
    <row r="831" spans="2:16" s="9" customFormat="1" x14ac:dyDescent="0.2">
      <c r="B831" s="10"/>
      <c r="C831" s="11"/>
      <c r="D831" s="63"/>
      <c r="E831" s="11"/>
      <c r="F831" s="65"/>
      <c r="G831" s="12"/>
      <c r="H831" s="41"/>
      <c r="I831" s="30"/>
      <c r="J831" s="30"/>
      <c r="K831" s="97"/>
      <c r="L831" s="11"/>
      <c r="M831" s="11"/>
      <c r="N831" s="11"/>
      <c r="O831" s="11"/>
      <c r="P831" s="82"/>
    </row>
    <row r="832" spans="2:16" s="9" customFormat="1" x14ac:dyDescent="0.2">
      <c r="B832" s="10"/>
      <c r="C832" s="11"/>
      <c r="D832" s="63"/>
      <c r="E832" s="11"/>
      <c r="F832" s="65"/>
      <c r="G832" s="12"/>
      <c r="H832" s="41"/>
      <c r="I832" s="30"/>
      <c r="J832" s="30"/>
      <c r="K832" s="97"/>
      <c r="L832" s="11"/>
      <c r="M832" s="11"/>
      <c r="N832" s="11"/>
      <c r="O832" s="11"/>
      <c r="P832" s="82"/>
    </row>
    <row r="833" spans="2:16" s="9" customFormat="1" x14ac:dyDescent="0.2">
      <c r="B833" s="10"/>
      <c r="C833" s="11"/>
      <c r="D833" s="63"/>
      <c r="E833" s="11"/>
      <c r="F833" s="65"/>
      <c r="G833" s="12"/>
      <c r="H833" s="41"/>
      <c r="I833" s="30"/>
      <c r="J833" s="30"/>
      <c r="K833" s="97"/>
      <c r="L833" s="11"/>
      <c r="M833" s="11"/>
      <c r="N833" s="11"/>
      <c r="O833" s="11"/>
      <c r="P833" s="82"/>
    </row>
    <row r="834" spans="2:16" s="9" customFormat="1" x14ac:dyDescent="0.2">
      <c r="B834" s="10"/>
      <c r="C834" s="11"/>
      <c r="D834" s="63"/>
      <c r="E834" s="11"/>
      <c r="F834" s="65"/>
      <c r="G834" s="12"/>
      <c r="H834" s="41"/>
      <c r="I834" s="30"/>
      <c r="J834" s="30"/>
      <c r="K834" s="97"/>
      <c r="L834" s="11"/>
      <c r="M834" s="11"/>
      <c r="N834" s="11"/>
      <c r="O834" s="11"/>
      <c r="P834" s="82"/>
    </row>
    <row r="835" spans="2:16" s="9" customFormat="1" x14ac:dyDescent="0.2">
      <c r="B835" s="10"/>
      <c r="C835" s="11"/>
      <c r="D835" s="63"/>
      <c r="E835" s="11"/>
      <c r="F835" s="65"/>
      <c r="G835" s="12"/>
      <c r="H835" s="41"/>
      <c r="I835" s="30"/>
      <c r="J835" s="30"/>
      <c r="K835" s="97"/>
      <c r="L835" s="11"/>
      <c r="M835" s="11"/>
      <c r="N835" s="11"/>
      <c r="O835" s="11"/>
      <c r="P835" s="82"/>
    </row>
    <row r="836" spans="2:16" s="9" customFormat="1" x14ac:dyDescent="0.2">
      <c r="B836" s="10"/>
      <c r="C836" s="11"/>
      <c r="D836" s="63"/>
      <c r="E836" s="11"/>
      <c r="F836" s="65"/>
      <c r="G836" s="12"/>
      <c r="H836" s="41"/>
      <c r="I836" s="30"/>
      <c r="J836" s="30"/>
      <c r="K836" s="97"/>
      <c r="L836" s="11"/>
      <c r="M836" s="11"/>
      <c r="N836" s="11"/>
      <c r="O836" s="11"/>
      <c r="P836" s="82"/>
    </row>
    <row r="837" spans="2:16" s="9" customFormat="1" x14ac:dyDescent="0.2">
      <c r="B837" s="10"/>
      <c r="C837" s="11"/>
      <c r="D837" s="63"/>
      <c r="E837" s="11"/>
      <c r="F837" s="65"/>
      <c r="G837" s="12"/>
      <c r="H837" s="41"/>
      <c r="I837" s="30"/>
      <c r="J837" s="30"/>
      <c r="K837" s="97"/>
      <c r="L837" s="11"/>
      <c r="M837" s="11"/>
      <c r="N837" s="11"/>
      <c r="O837" s="11"/>
      <c r="P837" s="82"/>
    </row>
    <row r="838" spans="2:16" s="9" customFormat="1" x14ac:dyDescent="0.2">
      <c r="B838" s="10"/>
      <c r="C838" s="11"/>
      <c r="D838" s="63"/>
      <c r="E838" s="11"/>
      <c r="F838" s="65"/>
      <c r="G838" s="12"/>
      <c r="H838" s="41"/>
      <c r="I838" s="30"/>
      <c r="J838" s="30"/>
      <c r="K838" s="97"/>
      <c r="L838" s="11"/>
      <c r="M838" s="11"/>
      <c r="N838" s="11"/>
      <c r="O838" s="11"/>
      <c r="P838" s="82"/>
    </row>
    <row r="839" spans="2:16" s="9" customFormat="1" x14ac:dyDescent="0.2">
      <c r="B839" s="10"/>
      <c r="C839" s="11"/>
      <c r="D839" s="63"/>
      <c r="E839" s="11"/>
      <c r="F839" s="65"/>
      <c r="G839" s="12"/>
      <c r="H839" s="41"/>
      <c r="I839" s="30"/>
      <c r="J839" s="30"/>
      <c r="K839" s="97"/>
      <c r="L839" s="11"/>
      <c r="M839" s="11"/>
      <c r="N839" s="11"/>
      <c r="O839" s="11"/>
      <c r="P839" s="82"/>
    </row>
    <row r="840" spans="2:16" s="9" customFormat="1" x14ac:dyDescent="0.2">
      <c r="B840" s="10"/>
      <c r="C840" s="11"/>
      <c r="D840" s="63"/>
      <c r="E840" s="11"/>
      <c r="F840" s="65"/>
      <c r="G840" s="12"/>
      <c r="H840" s="41"/>
      <c r="I840" s="30"/>
      <c r="J840" s="30"/>
      <c r="K840" s="97"/>
      <c r="L840" s="11"/>
      <c r="M840" s="11"/>
      <c r="N840" s="11"/>
      <c r="O840" s="11"/>
      <c r="P840" s="82"/>
    </row>
    <row r="841" spans="2:16" s="9" customFormat="1" x14ac:dyDescent="0.2">
      <c r="B841" s="10"/>
      <c r="C841" s="11"/>
      <c r="D841" s="63"/>
      <c r="E841" s="11"/>
      <c r="F841" s="65"/>
      <c r="G841" s="12"/>
      <c r="H841" s="41"/>
      <c r="I841" s="30"/>
      <c r="J841" s="30"/>
      <c r="K841" s="97"/>
      <c r="L841" s="11"/>
      <c r="M841" s="11"/>
      <c r="N841" s="11"/>
      <c r="O841" s="11"/>
      <c r="P841" s="82"/>
    </row>
  </sheetData>
  <mergeCells count="1">
    <mergeCell ref="P2:Q2"/>
  </mergeCells>
  <pageMargins left="0.7" right="0.7" top="0.78740157499999996" bottom="0.78740157499999996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allgemein!$B$3:$B$11</xm:f>
          </x14:formula1>
          <xm:sqref>L3:L114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10"/>
  <sheetViews>
    <sheetView workbookViewId="0">
      <pane ySplit="2" topLeftCell="A63" activePane="bottomLeft" state="frozen"/>
      <selection pane="bottomLeft" activeCell="A81" sqref="A81:XFD81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62" customWidth="1"/>
    <col min="5" max="5" width="9.5703125" style="2" customWidth="1"/>
    <col min="6" max="6" width="12.7109375" style="66" customWidth="1"/>
    <col min="7" max="7" width="13.28515625" style="3" customWidth="1"/>
    <col min="8" max="8" width="13.28515625" style="42" customWidth="1"/>
    <col min="9" max="9" width="13.28515625" style="31" customWidth="1"/>
    <col min="10" max="10" width="10" style="31" bestFit="1" customWidth="1"/>
    <col min="11" max="11" width="10" style="98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84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67"/>
      <c r="E1" s="68"/>
      <c r="F1" s="69"/>
      <c r="G1" s="80"/>
      <c r="H1" s="29"/>
      <c r="I1" s="29"/>
      <c r="J1" s="29"/>
      <c r="K1" s="93"/>
      <c r="P1" s="82"/>
    </row>
    <row r="2" spans="2:20" ht="32.25" x14ac:dyDescent="0.2">
      <c r="B2" s="4" t="s">
        <v>0</v>
      </c>
      <c r="C2" s="4" t="s">
        <v>8</v>
      </c>
      <c r="D2" s="61" t="s">
        <v>958</v>
      </c>
      <c r="E2" s="8" t="s">
        <v>719</v>
      </c>
      <c r="F2" s="64" t="s">
        <v>684</v>
      </c>
      <c r="G2" s="5" t="s">
        <v>361</v>
      </c>
      <c r="H2" s="5" t="s">
        <v>362</v>
      </c>
      <c r="I2" s="5" t="s">
        <v>7</v>
      </c>
      <c r="J2" s="73" t="s">
        <v>6</v>
      </c>
      <c r="K2" s="94" t="s">
        <v>683</v>
      </c>
      <c r="L2" s="5" t="s">
        <v>5</v>
      </c>
      <c r="M2" s="5" t="s">
        <v>685</v>
      </c>
      <c r="N2" s="5" t="s">
        <v>686</v>
      </c>
      <c r="O2" s="5" t="s">
        <v>1</v>
      </c>
      <c r="P2" s="158" t="s">
        <v>2</v>
      </c>
      <c r="Q2" s="159"/>
      <c r="R2" s="4" t="s">
        <v>3</v>
      </c>
      <c r="S2" s="27" t="s">
        <v>360</v>
      </c>
      <c r="T2" s="27">
        <v>2017</v>
      </c>
    </row>
    <row r="3" spans="2:20" x14ac:dyDescent="0.2">
      <c r="B3" s="13" t="s">
        <v>1029</v>
      </c>
      <c r="C3" s="13" t="s">
        <v>1028</v>
      </c>
      <c r="D3" s="70">
        <v>25.1</v>
      </c>
      <c r="E3" s="70">
        <v>0</v>
      </c>
      <c r="F3" s="71">
        <v>284</v>
      </c>
      <c r="G3" s="15"/>
      <c r="H3" s="15">
        <v>1.863</v>
      </c>
      <c r="I3" s="15">
        <v>1.853</v>
      </c>
      <c r="J3" s="74">
        <f t="shared" ref="J3:J21" si="0">H3-I3</f>
        <v>1.0000000000000009E-2</v>
      </c>
      <c r="K3" s="95">
        <f t="shared" ref="K3" si="1">(F3*(273.15+D3)/273.15)/(M3*N3)</f>
        <v>7.7524254072853749</v>
      </c>
      <c r="L3" s="15" t="s">
        <v>328</v>
      </c>
      <c r="M3" s="72">
        <f>VLOOKUP(L3,allgemein!$B$3:$C$11,2,FALSE)</f>
        <v>1</v>
      </c>
      <c r="N3" s="14">
        <v>40</v>
      </c>
      <c r="O3" s="13" t="s">
        <v>1030</v>
      </c>
      <c r="P3" s="83" t="s">
        <v>1049</v>
      </c>
      <c r="Q3" s="44"/>
      <c r="R3" s="6"/>
    </row>
    <row r="4" spans="2:20" x14ac:dyDescent="0.2">
      <c r="B4" s="13" t="s">
        <v>1031</v>
      </c>
      <c r="C4" s="13" t="s">
        <v>41</v>
      </c>
      <c r="D4" s="70">
        <v>25.3</v>
      </c>
      <c r="E4" s="70">
        <v>0</v>
      </c>
      <c r="F4" s="71">
        <v>286</v>
      </c>
      <c r="G4" s="15"/>
      <c r="H4" s="15">
        <v>1.869</v>
      </c>
      <c r="I4" s="15">
        <v>1.853</v>
      </c>
      <c r="J4" s="74">
        <f t="shared" ref="J4:J11" si="2">H4-I4</f>
        <v>1.6000000000000014E-2</v>
      </c>
      <c r="K4" s="95">
        <f t="shared" ref="K4:K11" si="3">(F4*(273.15+D4)/273.15)/(M4*N4)</f>
        <v>7.8122551711513823</v>
      </c>
      <c r="L4" s="15" t="s">
        <v>328</v>
      </c>
      <c r="M4" s="72">
        <f>VLOOKUP(L4,allgemein!$B$3:$C$11,2,FALSE)</f>
        <v>1</v>
      </c>
      <c r="N4" s="14">
        <v>40</v>
      </c>
      <c r="O4" s="13" t="s">
        <v>41</v>
      </c>
      <c r="P4" s="83"/>
      <c r="Q4" s="44"/>
      <c r="R4" s="6"/>
    </row>
    <row r="5" spans="2:20" x14ac:dyDescent="0.2">
      <c r="B5" s="13" t="s">
        <v>1032</v>
      </c>
      <c r="C5" s="13" t="s">
        <v>41</v>
      </c>
      <c r="D5" s="70">
        <v>25.3</v>
      </c>
      <c r="E5" s="70">
        <v>0</v>
      </c>
      <c r="F5" s="71">
        <v>285</v>
      </c>
      <c r="G5" s="15"/>
      <c r="H5" s="15">
        <v>1.8560000000000001</v>
      </c>
      <c r="I5" s="15">
        <v>1.8420000000000001</v>
      </c>
      <c r="J5" s="74">
        <f t="shared" si="2"/>
        <v>1.4000000000000012E-2</v>
      </c>
      <c r="K5" s="95">
        <f t="shared" si="3"/>
        <v>7.7849395936298746</v>
      </c>
      <c r="L5" s="15" t="s">
        <v>328</v>
      </c>
      <c r="M5" s="72">
        <f>VLOOKUP(L5,allgemein!$B$3:$C$11,2,FALSE)</f>
        <v>1</v>
      </c>
      <c r="N5" s="14">
        <v>40</v>
      </c>
      <c r="O5" s="13" t="s">
        <v>41</v>
      </c>
      <c r="P5" s="83" t="s">
        <v>1040</v>
      </c>
      <c r="Q5" s="44"/>
      <c r="R5" s="6"/>
    </row>
    <row r="6" spans="2:20" x14ac:dyDescent="0.2">
      <c r="B6" s="13" t="s">
        <v>1033</v>
      </c>
      <c r="C6" s="13" t="s">
        <v>41</v>
      </c>
      <c r="D6" s="70">
        <v>25.5</v>
      </c>
      <c r="E6" s="70">
        <v>0.1</v>
      </c>
      <c r="F6" s="71">
        <v>285</v>
      </c>
      <c r="G6" s="15"/>
      <c r="H6" s="15">
        <v>1.867</v>
      </c>
      <c r="I6" s="15">
        <v>1.8560000000000001</v>
      </c>
      <c r="J6" s="74">
        <f t="shared" si="2"/>
        <v>1.0999999999999899E-2</v>
      </c>
      <c r="K6" s="95">
        <f t="shared" si="3"/>
        <v>7.7901565074135091</v>
      </c>
      <c r="L6" s="15" t="s">
        <v>328</v>
      </c>
      <c r="M6" s="72">
        <f>VLOOKUP(L6,allgemein!$B$3:$C$11,2,FALSE)</f>
        <v>1</v>
      </c>
      <c r="N6" s="14">
        <v>40</v>
      </c>
      <c r="O6" s="13" t="s">
        <v>41</v>
      </c>
      <c r="P6" s="83"/>
      <c r="Q6" s="44"/>
      <c r="R6" s="6"/>
    </row>
    <row r="7" spans="2:20" x14ac:dyDescent="0.2">
      <c r="B7" s="13" t="s">
        <v>1034</v>
      </c>
      <c r="C7" s="13" t="s">
        <v>41</v>
      </c>
      <c r="D7" s="70">
        <v>25.6</v>
      </c>
      <c r="E7" s="70">
        <v>0</v>
      </c>
      <c r="F7" s="71">
        <v>285</v>
      </c>
      <c r="G7" s="15"/>
      <c r="H7" s="15">
        <v>1.859</v>
      </c>
      <c r="I7" s="15">
        <v>1.845</v>
      </c>
      <c r="J7" s="74">
        <f t="shared" si="2"/>
        <v>1.4000000000000012E-2</v>
      </c>
      <c r="K7" s="95">
        <f t="shared" si="3"/>
        <v>7.7927649643053272</v>
      </c>
      <c r="L7" s="15" t="s">
        <v>328</v>
      </c>
      <c r="M7" s="72">
        <f>VLOOKUP(L7,allgemein!$B$3:$C$11,2,FALSE)</f>
        <v>1</v>
      </c>
      <c r="N7" s="14">
        <v>40</v>
      </c>
      <c r="O7" s="13" t="s">
        <v>41</v>
      </c>
      <c r="P7" s="83"/>
      <c r="Q7" s="44"/>
      <c r="R7" s="6"/>
    </row>
    <row r="8" spans="2:20" x14ac:dyDescent="0.2">
      <c r="B8" s="13" t="s">
        <v>1035</v>
      </c>
      <c r="C8" s="13" t="s">
        <v>41</v>
      </c>
      <c r="D8" s="70">
        <v>25.6</v>
      </c>
      <c r="E8" s="70">
        <v>0</v>
      </c>
      <c r="F8" s="71">
        <v>285</v>
      </c>
      <c r="G8" s="15"/>
      <c r="H8" s="15">
        <v>1.8759999999999999</v>
      </c>
      <c r="I8" s="15">
        <v>1.8640000000000001</v>
      </c>
      <c r="J8" s="74">
        <f t="shared" si="2"/>
        <v>1.1999999999999789E-2</v>
      </c>
      <c r="K8" s="95">
        <f t="shared" si="3"/>
        <v>7.7927649643053272</v>
      </c>
      <c r="L8" s="15" t="s">
        <v>328</v>
      </c>
      <c r="M8" s="72">
        <f>VLOOKUP(L8,allgemein!$B$3:$C$11,2,FALSE)</f>
        <v>1</v>
      </c>
      <c r="N8" s="14">
        <v>40</v>
      </c>
      <c r="O8" s="13" t="s">
        <v>41</v>
      </c>
      <c r="P8" s="83"/>
      <c r="Q8" s="44"/>
      <c r="R8" s="6"/>
    </row>
    <row r="9" spans="2:20" x14ac:dyDescent="0.2">
      <c r="B9" s="13" t="s">
        <v>1036</v>
      </c>
      <c r="C9" s="13" t="s">
        <v>41</v>
      </c>
      <c r="D9" s="70">
        <v>25.6</v>
      </c>
      <c r="E9" s="70">
        <v>0</v>
      </c>
      <c r="F9" s="71">
        <v>284</v>
      </c>
      <c r="G9" s="15"/>
      <c r="H9" s="15">
        <v>1.8620000000000001</v>
      </c>
      <c r="I9" s="15">
        <v>1.849</v>
      </c>
      <c r="J9" s="74">
        <f t="shared" si="2"/>
        <v>1.3000000000000123E-2</v>
      </c>
      <c r="K9" s="95">
        <f t="shared" si="3"/>
        <v>7.7654219293428524</v>
      </c>
      <c r="L9" s="15" t="s">
        <v>328</v>
      </c>
      <c r="M9" s="72">
        <f>VLOOKUP(L9,allgemein!$B$3:$C$11,2,FALSE)</f>
        <v>1</v>
      </c>
      <c r="N9" s="14">
        <v>40</v>
      </c>
      <c r="O9" s="13" t="s">
        <v>41</v>
      </c>
      <c r="P9" s="83"/>
      <c r="Q9" s="44"/>
      <c r="R9" s="6"/>
    </row>
    <row r="10" spans="2:20" x14ac:dyDescent="0.2">
      <c r="B10" s="13" t="s">
        <v>1037</v>
      </c>
      <c r="C10" s="13" t="s">
        <v>41</v>
      </c>
      <c r="D10" s="70">
        <v>25.6</v>
      </c>
      <c r="E10" s="70">
        <v>0.1</v>
      </c>
      <c r="F10" s="71">
        <v>285</v>
      </c>
      <c r="G10" s="15"/>
      <c r="H10" s="15">
        <v>1.8680000000000001</v>
      </c>
      <c r="I10" s="15">
        <v>1.855</v>
      </c>
      <c r="J10" s="74">
        <f t="shared" si="2"/>
        <v>1.3000000000000123E-2</v>
      </c>
      <c r="K10" s="95">
        <f t="shared" si="3"/>
        <v>7.7927649643053272</v>
      </c>
      <c r="L10" s="15" t="s">
        <v>328</v>
      </c>
      <c r="M10" s="72">
        <f>VLOOKUP(L10,allgemein!$B$3:$C$11,2,FALSE)</f>
        <v>1</v>
      </c>
      <c r="N10" s="14">
        <v>40</v>
      </c>
      <c r="O10" s="13" t="s">
        <v>41</v>
      </c>
      <c r="P10" s="83"/>
      <c r="Q10" s="44"/>
      <c r="R10" s="6"/>
    </row>
    <row r="11" spans="2:20" x14ac:dyDescent="0.2">
      <c r="B11" s="13" t="s">
        <v>1038</v>
      </c>
      <c r="C11" s="13" t="s">
        <v>41</v>
      </c>
      <c r="D11" s="70">
        <v>25.7</v>
      </c>
      <c r="E11" s="70">
        <v>0.3</v>
      </c>
      <c r="F11" s="71">
        <v>283</v>
      </c>
      <c r="G11" s="15"/>
      <c r="H11" s="15">
        <v>1.8680000000000001</v>
      </c>
      <c r="I11" s="15">
        <v>1.859</v>
      </c>
      <c r="J11" s="74">
        <f t="shared" si="2"/>
        <v>9.000000000000119E-3</v>
      </c>
      <c r="K11" s="95">
        <f t="shared" si="3"/>
        <v>7.7406690463115497</v>
      </c>
      <c r="L11" s="15" t="s">
        <v>328</v>
      </c>
      <c r="M11" s="72">
        <f>VLOOKUP(L11,allgemein!$B$3:$C$11,2,FALSE)</f>
        <v>1</v>
      </c>
      <c r="N11" s="14">
        <v>40</v>
      </c>
      <c r="O11" s="13" t="s">
        <v>41</v>
      </c>
      <c r="P11" s="83"/>
      <c r="Q11" s="44"/>
      <c r="R11" s="6"/>
    </row>
    <row r="12" spans="2:20" x14ac:dyDescent="0.2">
      <c r="B12" s="13" t="s">
        <v>1039</v>
      </c>
      <c r="C12" s="13" t="s">
        <v>41</v>
      </c>
      <c r="D12" s="70">
        <v>25.7</v>
      </c>
      <c r="E12" s="70">
        <v>0.1</v>
      </c>
      <c r="F12" s="71">
        <v>285</v>
      </c>
      <c r="G12" s="15"/>
      <c r="H12" s="15">
        <v>1.863</v>
      </c>
      <c r="I12" s="15">
        <v>1.849</v>
      </c>
      <c r="J12" s="74">
        <f t="shared" ref="J12" si="4">H12-I12</f>
        <v>1.4000000000000012E-2</v>
      </c>
      <c r="K12" s="95">
        <f t="shared" ref="K12" si="5">(F12*(273.15+D12)/273.15)/(M12*N12)</f>
        <v>7.7953734211971435</v>
      </c>
      <c r="L12" s="15" t="s">
        <v>328</v>
      </c>
      <c r="M12" s="72">
        <f>VLOOKUP(L12,allgemein!$B$3:$C$11,2,FALSE)</f>
        <v>1</v>
      </c>
      <c r="N12" s="14">
        <v>40</v>
      </c>
      <c r="O12" s="13" t="s">
        <v>41</v>
      </c>
      <c r="P12" s="83"/>
      <c r="Q12" s="44"/>
      <c r="R12" s="6"/>
    </row>
    <row r="13" spans="2:20" x14ac:dyDescent="0.2">
      <c r="B13" s="13" t="s">
        <v>1039</v>
      </c>
      <c r="C13" s="13" t="s">
        <v>41</v>
      </c>
      <c r="D13" s="70">
        <v>25.6</v>
      </c>
      <c r="E13" s="70">
        <v>0.2</v>
      </c>
      <c r="F13" s="71">
        <v>286</v>
      </c>
      <c r="G13" s="15"/>
      <c r="H13" s="15">
        <v>1.88</v>
      </c>
      <c r="I13" s="15">
        <v>1.8660000000000001</v>
      </c>
      <c r="J13" s="74">
        <f t="shared" si="0"/>
        <v>1.399999999999979E-2</v>
      </c>
      <c r="K13" s="95">
        <f t="shared" ref="K13:K21" si="6">(F13*(273.15+D13)/273.15)/(M13*N13)</f>
        <v>7.820107999267802</v>
      </c>
      <c r="L13" s="15" t="s">
        <v>328</v>
      </c>
      <c r="M13" s="72">
        <f>VLOOKUP(L13,allgemein!$B$3:$C$11,2,FALSE)</f>
        <v>1</v>
      </c>
      <c r="N13" s="14">
        <v>40</v>
      </c>
      <c r="O13" s="13" t="s">
        <v>41</v>
      </c>
      <c r="P13" s="85"/>
      <c r="Q13" s="6"/>
      <c r="R13" s="6"/>
    </row>
    <row r="14" spans="2:20" x14ac:dyDescent="0.2">
      <c r="B14" s="13" t="s">
        <v>1041</v>
      </c>
      <c r="C14" s="13" t="s">
        <v>41</v>
      </c>
      <c r="D14" s="70">
        <v>25.8</v>
      </c>
      <c r="E14" s="70">
        <v>0</v>
      </c>
      <c r="F14" s="71">
        <v>287</v>
      </c>
      <c r="G14" s="15"/>
      <c r="H14" s="15">
        <v>1.881</v>
      </c>
      <c r="I14" s="15">
        <v>1.8660000000000001</v>
      </c>
      <c r="J14" s="74">
        <f t="shared" si="0"/>
        <v>1.4999999999999902E-2</v>
      </c>
      <c r="K14" s="95">
        <f t="shared" si="6"/>
        <v>7.8527045579352004</v>
      </c>
      <c r="L14" s="15" t="s">
        <v>328</v>
      </c>
      <c r="M14" s="72">
        <f>VLOOKUP(L14,allgemein!$B$3:$C$11,2,FALSE)</f>
        <v>1</v>
      </c>
      <c r="N14" s="14">
        <v>40</v>
      </c>
      <c r="O14" s="13" t="s">
        <v>41</v>
      </c>
      <c r="P14" s="85"/>
      <c r="Q14" s="6"/>
      <c r="R14" s="6"/>
    </row>
    <row r="15" spans="2:20" x14ac:dyDescent="0.2">
      <c r="B15" s="13" t="s">
        <v>1042</v>
      </c>
      <c r="C15" s="13" t="s">
        <v>41</v>
      </c>
      <c r="D15" s="70">
        <v>26.1</v>
      </c>
      <c r="E15" s="70">
        <v>0.1</v>
      </c>
      <c r="F15" s="71">
        <v>287</v>
      </c>
      <c r="G15" s="15"/>
      <c r="H15" s="15">
        <v>1.883</v>
      </c>
      <c r="I15" s="15">
        <v>1.867</v>
      </c>
      <c r="J15" s="74">
        <f t="shared" si="0"/>
        <v>1.6000000000000014E-2</v>
      </c>
      <c r="K15" s="95">
        <f t="shared" si="6"/>
        <v>7.8605848434925871</v>
      </c>
      <c r="L15" s="15" t="s">
        <v>328</v>
      </c>
      <c r="M15" s="72">
        <f>VLOOKUP(L15,allgemein!$B$3:$C$11,2,FALSE)</f>
        <v>1</v>
      </c>
      <c r="N15" s="14">
        <v>40</v>
      </c>
      <c r="O15" s="13" t="s">
        <v>41</v>
      </c>
      <c r="P15" s="85"/>
      <c r="Q15" s="6"/>
      <c r="R15" s="6"/>
    </row>
    <row r="16" spans="2:20" x14ac:dyDescent="0.2">
      <c r="B16" s="13" t="s">
        <v>1044</v>
      </c>
      <c r="C16" s="13" t="s">
        <v>41</v>
      </c>
      <c r="D16" s="70">
        <v>26.4</v>
      </c>
      <c r="E16" s="70">
        <v>0</v>
      </c>
      <c r="F16" s="71">
        <v>287</v>
      </c>
      <c r="G16" s="15"/>
      <c r="H16" s="15">
        <v>1.885</v>
      </c>
      <c r="I16" s="15">
        <v>1.8720000000000001</v>
      </c>
      <c r="J16" s="74">
        <f t="shared" si="0"/>
        <v>1.2999999999999901E-2</v>
      </c>
      <c r="K16" s="95">
        <f t="shared" si="6"/>
        <v>7.868465129049973</v>
      </c>
      <c r="L16" s="15" t="s">
        <v>328</v>
      </c>
      <c r="M16" s="72">
        <f>VLOOKUP(L16,allgemein!$B$3:$C$11,2,FALSE)</f>
        <v>1</v>
      </c>
      <c r="N16" s="14">
        <v>40</v>
      </c>
      <c r="O16" s="13" t="s">
        <v>41</v>
      </c>
      <c r="P16" s="85"/>
      <c r="Q16" s="6"/>
      <c r="R16" s="6"/>
    </row>
    <row r="17" spans="2:18" x14ac:dyDescent="0.2">
      <c r="B17" s="13" t="s">
        <v>1043</v>
      </c>
      <c r="C17" s="13" t="s">
        <v>41</v>
      </c>
      <c r="D17" s="70">
        <v>26.7</v>
      </c>
      <c r="E17" s="70">
        <v>0</v>
      </c>
      <c r="F17" s="71">
        <v>287</v>
      </c>
      <c r="G17" s="15"/>
      <c r="H17" s="15">
        <v>1.88</v>
      </c>
      <c r="I17" s="15">
        <v>1.8660000000000001</v>
      </c>
      <c r="J17" s="74">
        <f t="shared" si="0"/>
        <v>1.399999999999979E-2</v>
      </c>
      <c r="K17" s="95">
        <f t="shared" si="6"/>
        <v>7.8763454146073588</v>
      </c>
      <c r="L17" s="15" t="s">
        <v>328</v>
      </c>
      <c r="M17" s="72">
        <f>VLOOKUP(L17,allgemein!$B$3:$C$11,2,FALSE)</f>
        <v>1</v>
      </c>
      <c r="N17" s="14">
        <v>40</v>
      </c>
      <c r="O17" s="13" t="s">
        <v>41</v>
      </c>
      <c r="P17" s="85"/>
      <c r="Q17" s="6"/>
      <c r="R17" s="6"/>
    </row>
    <row r="18" spans="2:18" x14ac:dyDescent="0.2">
      <c r="B18" s="13" t="s">
        <v>1045</v>
      </c>
      <c r="C18" s="13" t="s">
        <v>41</v>
      </c>
      <c r="D18" s="70">
        <v>27.2</v>
      </c>
      <c r="E18" s="70">
        <v>0</v>
      </c>
      <c r="F18" s="71">
        <v>288</v>
      </c>
      <c r="G18" s="15"/>
      <c r="H18" s="15">
        <v>1.8759999999999999</v>
      </c>
      <c r="I18" s="15">
        <v>1.861</v>
      </c>
      <c r="J18" s="74">
        <f t="shared" si="0"/>
        <v>1.4999999999999902E-2</v>
      </c>
      <c r="K18" s="95">
        <f t="shared" si="6"/>
        <v>7.9169686985172971</v>
      </c>
      <c r="L18" s="15" t="s">
        <v>328</v>
      </c>
      <c r="M18" s="72">
        <f>VLOOKUP(L18,allgemein!$B$3:$C$11,2,FALSE)</f>
        <v>1</v>
      </c>
      <c r="N18" s="14">
        <v>40</v>
      </c>
      <c r="O18" s="13" t="s">
        <v>41</v>
      </c>
      <c r="P18" s="85"/>
      <c r="Q18" s="6"/>
      <c r="R18" s="6"/>
    </row>
    <row r="19" spans="2:18" x14ac:dyDescent="0.2">
      <c r="B19" s="13" t="s">
        <v>1046</v>
      </c>
      <c r="C19" s="13" t="s">
        <v>1048</v>
      </c>
      <c r="D19" s="70">
        <v>27.9</v>
      </c>
      <c r="E19" s="70">
        <v>0</v>
      </c>
      <c r="F19" s="71">
        <v>287</v>
      </c>
      <c r="G19" s="15"/>
      <c r="H19" s="15">
        <v>1.84</v>
      </c>
      <c r="I19" s="15">
        <v>1.8260000000000001</v>
      </c>
      <c r="J19" s="74">
        <f t="shared" si="0"/>
        <v>1.4000000000000012E-2</v>
      </c>
      <c r="K19" s="95">
        <f t="shared" si="6"/>
        <v>7.9078665568369031</v>
      </c>
      <c r="L19" s="15" t="s">
        <v>328</v>
      </c>
      <c r="M19" s="72">
        <f>VLOOKUP(L19,allgemein!$B$3:$C$11,2,FALSE)</f>
        <v>1</v>
      </c>
      <c r="N19" s="14">
        <v>40</v>
      </c>
      <c r="O19" s="13" t="s">
        <v>41</v>
      </c>
      <c r="P19" s="83" t="s">
        <v>1040</v>
      </c>
      <c r="Q19" s="6"/>
      <c r="R19" s="6"/>
    </row>
    <row r="20" spans="2:18" x14ac:dyDescent="0.2">
      <c r="B20" s="13" t="s">
        <v>1047</v>
      </c>
      <c r="C20" s="13" t="s">
        <v>41</v>
      </c>
      <c r="D20" s="70">
        <v>28.7</v>
      </c>
      <c r="E20" s="70">
        <v>0</v>
      </c>
      <c r="F20" s="71">
        <v>287</v>
      </c>
      <c r="G20" s="15"/>
      <c r="H20" s="15">
        <v>1.839</v>
      </c>
      <c r="I20" s="15">
        <v>1.8260000000000001</v>
      </c>
      <c r="J20" s="74">
        <f t="shared" si="0"/>
        <v>1.2999999999999901E-2</v>
      </c>
      <c r="K20" s="95">
        <f t="shared" si="6"/>
        <v>7.9288806516566002</v>
      </c>
      <c r="L20" s="15" t="s">
        <v>328</v>
      </c>
      <c r="M20" s="72">
        <f>VLOOKUP(L20,allgemein!$B$3:$C$11,2,FALSE)</f>
        <v>1</v>
      </c>
      <c r="N20" s="14">
        <v>40</v>
      </c>
      <c r="O20" s="13" t="s">
        <v>41</v>
      </c>
      <c r="P20" s="85" t="s">
        <v>1050</v>
      </c>
      <c r="Q20" s="6"/>
      <c r="R20" s="6"/>
    </row>
    <row r="21" spans="2:18" x14ac:dyDescent="0.2">
      <c r="B21" s="13" t="s">
        <v>1051</v>
      </c>
      <c r="C21" s="13" t="s">
        <v>41</v>
      </c>
      <c r="D21" s="70">
        <v>27</v>
      </c>
      <c r="E21" s="70">
        <v>0.1</v>
      </c>
      <c r="F21" s="71">
        <v>568</v>
      </c>
      <c r="G21" s="15">
        <v>1.8340000000000001</v>
      </c>
      <c r="H21" s="15">
        <v>3.6709999999999998</v>
      </c>
      <c r="I21" s="31">
        <v>3.6459999999999999</v>
      </c>
      <c r="J21" s="74">
        <f t="shared" si="0"/>
        <v>2.4999999999999911E-2</v>
      </c>
      <c r="K21" s="95">
        <f t="shared" si="6"/>
        <v>7.8018121911037897</v>
      </c>
      <c r="L21" s="15" t="s">
        <v>323</v>
      </c>
      <c r="M21" s="72">
        <f>VLOOKUP(L21,allgemein!$B$3:$C$11,2,FALSE)</f>
        <v>2</v>
      </c>
      <c r="N21" s="14">
        <v>40</v>
      </c>
      <c r="O21" s="13" t="s">
        <v>1027</v>
      </c>
      <c r="P21" s="13" t="s">
        <v>41</v>
      </c>
      <c r="Q21" s="6"/>
      <c r="R21" s="6"/>
    </row>
    <row r="22" spans="2:18" x14ac:dyDescent="0.2">
      <c r="B22" s="13"/>
      <c r="C22" s="13" t="s">
        <v>41</v>
      </c>
      <c r="D22" s="70"/>
      <c r="E22" s="70"/>
      <c r="F22" s="71"/>
      <c r="G22" s="15">
        <v>1.8360000000000001</v>
      </c>
      <c r="H22" s="15"/>
      <c r="I22" s="15"/>
      <c r="J22" s="74"/>
      <c r="K22" s="95"/>
      <c r="L22" s="15"/>
      <c r="M22" s="72"/>
      <c r="N22" s="14"/>
      <c r="O22" s="13"/>
      <c r="P22" s="13"/>
      <c r="Q22" s="6"/>
      <c r="R22" s="6"/>
    </row>
    <row r="23" spans="2:18" x14ac:dyDescent="0.2">
      <c r="B23" s="13" t="s">
        <v>1052</v>
      </c>
      <c r="C23" s="13" t="s">
        <v>41</v>
      </c>
      <c r="D23" s="70">
        <v>27.6</v>
      </c>
      <c r="E23" s="70">
        <v>0</v>
      </c>
      <c r="F23" s="71">
        <v>568</v>
      </c>
      <c r="G23" s="15">
        <v>1.841</v>
      </c>
      <c r="H23" s="15">
        <v>3.6829999999999998</v>
      </c>
      <c r="I23" s="15">
        <v>3.6589999999999998</v>
      </c>
      <c r="J23" s="74">
        <f t="shared" ref="J23" si="7">H23-I23</f>
        <v>2.4000000000000021E-2</v>
      </c>
      <c r="K23" s="95">
        <f t="shared" ref="K23" si="8">(F23*(273.15+D23)/273.15)/(M23*N23)</f>
        <v>7.8174080175727623</v>
      </c>
      <c r="L23" s="15" t="s">
        <v>323</v>
      </c>
      <c r="M23" s="72">
        <f>VLOOKUP(L23,allgemein!$B$3:$C$11,2,FALSE)</f>
        <v>2</v>
      </c>
      <c r="N23" s="14">
        <v>40</v>
      </c>
      <c r="O23" s="13" t="s">
        <v>41</v>
      </c>
      <c r="P23" s="13"/>
      <c r="Q23" s="6"/>
      <c r="R23" s="6"/>
    </row>
    <row r="24" spans="2:18" x14ac:dyDescent="0.2">
      <c r="B24" s="13"/>
      <c r="C24" s="13" t="s">
        <v>41</v>
      </c>
      <c r="D24" s="70"/>
      <c r="E24" s="70"/>
      <c r="F24" s="71"/>
      <c r="G24" s="15">
        <v>1.8420000000000001</v>
      </c>
      <c r="H24" s="15"/>
      <c r="I24" s="15"/>
      <c r="J24" s="74"/>
      <c r="K24" s="95"/>
      <c r="L24" s="15"/>
      <c r="M24" s="72"/>
      <c r="N24" s="14"/>
      <c r="O24" s="13"/>
      <c r="P24" s="13" t="s">
        <v>41</v>
      </c>
      <c r="Q24" s="6"/>
      <c r="R24" s="6"/>
    </row>
    <row r="25" spans="2:18" x14ac:dyDescent="0.2">
      <c r="B25" s="13" t="s">
        <v>1053</v>
      </c>
      <c r="C25" s="13" t="s">
        <v>41</v>
      </c>
      <c r="D25" s="70">
        <v>27.7</v>
      </c>
      <c r="E25" s="70">
        <v>0</v>
      </c>
      <c r="F25" s="71">
        <v>568</v>
      </c>
      <c r="G25" s="15">
        <v>1.8420000000000001</v>
      </c>
      <c r="H25" s="15">
        <v>3.6819999999999999</v>
      </c>
      <c r="I25" s="15">
        <v>3.6539999999999999</v>
      </c>
      <c r="J25" s="74">
        <f t="shared" ref="J25" si="9">H25-I25</f>
        <v>2.8000000000000025E-2</v>
      </c>
      <c r="K25" s="95">
        <f t="shared" ref="K25" si="10">(F25*(273.15+D25)/273.15)/(M25*N25)</f>
        <v>7.8200073219842583</v>
      </c>
      <c r="L25" s="15" t="s">
        <v>323</v>
      </c>
      <c r="M25" s="72">
        <f>VLOOKUP(L25,allgemein!$B$3:$C$11,2,FALSE)</f>
        <v>2</v>
      </c>
      <c r="N25" s="14">
        <v>40</v>
      </c>
      <c r="O25" s="13" t="s">
        <v>41</v>
      </c>
      <c r="P25" s="13" t="s">
        <v>41</v>
      </c>
      <c r="Q25" s="6"/>
      <c r="R25" s="6"/>
    </row>
    <row r="26" spans="2:18" x14ac:dyDescent="0.2">
      <c r="B26" s="13"/>
      <c r="C26" s="13" t="s">
        <v>41</v>
      </c>
      <c r="D26" s="70"/>
      <c r="E26" s="70"/>
      <c r="F26" s="71"/>
      <c r="G26" s="15">
        <v>1.84</v>
      </c>
      <c r="H26" s="15"/>
      <c r="I26" s="15"/>
      <c r="J26" s="74"/>
      <c r="K26" s="95"/>
      <c r="L26" s="15"/>
      <c r="M26" s="72"/>
      <c r="N26" s="14"/>
      <c r="O26" s="13"/>
      <c r="P26" s="13" t="s">
        <v>41</v>
      </c>
      <c r="Q26" s="6"/>
      <c r="R26" s="6"/>
    </row>
    <row r="27" spans="2:18" x14ac:dyDescent="0.2">
      <c r="B27" s="13" t="s">
        <v>1054</v>
      </c>
      <c r="C27" s="13" t="s">
        <v>41</v>
      </c>
      <c r="D27" s="70">
        <v>27.7</v>
      </c>
      <c r="E27" s="70">
        <v>0</v>
      </c>
      <c r="F27" s="71">
        <v>569</v>
      </c>
      <c r="G27" s="15">
        <v>1.8380000000000001</v>
      </c>
      <c r="H27" s="15">
        <v>3.6739999999999999</v>
      </c>
      <c r="I27" s="15">
        <v>3.6469999999999998</v>
      </c>
      <c r="J27" s="74">
        <f t="shared" ref="J27" si="11">H27-I27</f>
        <v>2.7000000000000135E-2</v>
      </c>
      <c r="K27" s="95">
        <f t="shared" ref="K27" si="12">(F27*(273.15+D27)/273.15)/(M27*N27)</f>
        <v>7.8337749405088788</v>
      </c>
      <c r="L27" s="15" t="s">
        <v>323</v>
      </c>
      <c r="M27" s="72">
        <f>VLOOKUP(L27,allgemein!$B$3:$C$11,2,FALSE)</f>
        <v>2</v>
      </c>
      <c r="N27" s="14">
        <v>40</v>
      </c>
      <c r="O27" s="13" t="s">
        <v>41</v>
      </c>
      <c r="P27" s="13" t="s">
        <v>41</v>
      </c>
      <c r="Q27" s="6"/>
      <c r="R27" s="6"/>
    </row>
    <row r="28" spans="2:18" x14ac:dyDescent="0.2">
      <c r="B28" s="13"/>
      <c r="C28" s="13" t="s">
        <v>41</v>
      </c>
      <c r="D28" s="70"/>
      <c r="E28" s="70"/>
      <c r="F28" s="71"/>
      <c r="G28" s="15">
        <v>1.8360000000000001</v>
      </c>
      <c r="H28" s="15"/>
      <c r="I28" s="15"/>
      <c r="J28" s="74"/>
      <c r="K28" s="95"/>
      <c r="L28" s="15"/>
      <c r="M28" s="72"/>
      <c r="N28" s="14"/>
      <c r="O28" s="13"/>
      <c r="P28" s="13"/>
      <c r="Q28" s="6"/>
      <c r="R28" s="6"/>
    </row>
    <row r="29" spans="2:18" x14ac:dyDescent="0.2">
      <c r="B29" s="13" t="s">
        <v>1055</v>
      </c>
      <c r="C29" s="13" t="s">
        <v>41</v>
      </c>
      <c r="D29" s="70">
        <v>27.7</v>
      </c>
      <c r="E29" s="70">
        <v>0</v>
      </c>
      <c r="F29" s="71">
        <v>566</v>
      </c>
      <c r="G29" s="15">
        <v>1.8720000000000001</v>
      </c>
      <c r="H29" s="15">
        <v>3.7210000000000001</v>
      </c>
      <c r="I29" s="15">
        <v>3.702</v>
      </c>
      <c r="J29" s="74">
        <f t="shared" ref="J29" si="13">H29-I29</f>
        <v>1.9000000000000128E-2</v>
      </c>
      <c r="K29" s="95">
        <f t="shared" ref="K29" si="14">(F29*(273.15+D29)/273.15)/(M29*N29)</f>
        <v>7.7924720849350164</v>
      </c>
      <c r="L29" s="15" t="s">
        <v>323</v>
      </c>
      <c r="M29" s="72">
        <f>VLOOKUP(L29,allgemein!$B$3:$C$11,2,FALSE)</f>
        <v>2</v>
      </c>
      <c r="N29" s="14">
        <v>40</v>
      </c>
      <c r="O29" s="13" t="s">
        <v>41</v>
      </c>
      <c r="P29" s="13"/>
      <c r="Q29" s="6"/>
      <c r="R29" s="6"/>
    </row>
    <row r="30" spans="2:18" x14ac:dyDescent="0.2">
      <c r="B30" s="13"/>
      <c r="C30" s="13" t="s">
        <v>41</v>
      </c>
      <c r="D30" s="70"/>
      <c r="E30" s="70"/>
      <c r="F30" s="71"/>
      <c r="G30" s="15">
        <v>1.849</v>
      </c>
      <c r="H30" s="15"/>
      <c r="I30" s="15"/>
      <c r="J30" s="74"/>
      <c r="K30" s="95"/>
      <c r="L30" s="15"/>
      <c r="M30" s="72"/>
      <c r="N30" s="14"/>
      <c r="O30" s="13"/>
      <c r="P30" s="13"/>
      <c r="Q30" s="6"/>
      <c r="R30" s="6"/>
    </row>
    <row r="31" spans="2:18" x14ac:dyDescent="0.2">
      <c r="B31" s="13" t="s">
        <v>1056</v>
      </c>
      <c r="C31" s="13" t="s">
        <v>41</v>
      </c>
      <c r="D31" s="70">
        <v>27</v>
      </c>
      <c r="E31" s="70">
        <v>0.2</v>
      </c>
      <c r="F31" s="71">
        <v>569</v>
      </c>
      <c r="G31" s="15">
        <v>1.857</v>
      </c>
      <c r="H31" s="15">
        <v>3.7149999999999999</v>
      </c>
      <c r="I31" s="15">
        <v>3.6890000000000001</v>
      </c>
      <c r="J31" s="74">
        <f t="shared" ref="J31" si="15">H31-I31</f>
        <v>2.5999999999999801E-2</v>
      </c>
      <c r="K31" s="95">
        <f t="shared" ref="K31" si="16">(F31*(273.15+D31)/273.15)/(M31*N31)</f>
        <v>7.815547775947282</v>
      </c>
      <c r="L31" s="15" t="s">
        <v>323</v>
      </c>
      <c r="M31" s="72">
        <f>VLOOKUP(L31,allgemein!$B$3:$C$11,2,FALSE)</f>
        <v>2</v>
      </c>
      <c r="N31" s="14">
        <v>40</v>
      </c>
      <c r="O31" s="13" t="s">
        <v>41</v>
      </c>
      <c r="P31" s="85"/>
      <c r="Q31" s="6"/>
      <c r="R31" s="6"/>
    </row>
    <row r="32" spans="2:18" x14ac:dyDescent="0.2">
      <c r="B32" s="13"/>
      <c r="C32" s="13" t="s">
        <v>41</v>
      </c>
      <c r="D32" s="70"/>
      <c r="E32" s="70"/>
      <c r="F32" s="71"/>
      <c r="G32" s="15">
        <v>1.8580000000000001</v>
      </c>
      <c r="H32" s="15"/>
      <c r="I32" s="15"/>
      <c r="J32" s="74"/>
      <c r="K32" s="95"/>
      <c r="L32" s="15"/>
      <c r="M32" s="72"/>
      <c r="N32" s="14"/>
      <c r="O32" s="13"/>
      <c r="P32" s="85"/>
      <c r="Q32" s="6"/>
      <c r="R32" s="6"/>
    </row>
    <row r="33" spans="2:18" x14ac:dyDescent="0.2">
      <c r="B33" s="13" t="s">
        <v>1057</v>
      </c>
      <c r="C33" s="13" t="s">
        <v>41</v>
      </c>
      <c r="D33" s="70">
        <v>26.9</v>
      </c>
      <c r="E33" s="70">
        <v>0.3</v>
      </c>
      <c r="F33" s="71">
        <v>569</v>
      </c>
      <c r="G33" s="15">
        <v>1.857</v>
      </c>
      <c r="H33" s="15">
        <v>3.7120000000000002</v>
      </c>
      <c r="I33" s="15">
        <v>3.6850000000000001</v>
      </c>
      <c r="J33" s="74">
        <f t="shared" ref="J33" si="17">H33-I33</f>
        <v>2.7000000000000135E-2</v>
      </c>
      <c r="K33" s="95">
        <f t="shared" ref="K33" si="18">(F33*(273.15+D33)/273.15)/(M33*N33)</f>
        <v>7.8129438952956249</v>
      </c>
      <c r="L33" s="15" t="s">
        <v>323</v>
      </c>
      <c r="M33" s="72">
        <f>VLOOKUP(L33,allgemein!$B$3:$C$11,2,FALSE)</f>
        <v>2</v>
      </c>
      <c r="N33" s="14">
        <v>40</v>
      </c>
      <c r="O33" s="13" t="s">
        <v>41</v>
      </c>
      <c r="P33" s="85"/>
      <c r="Q33" s="6"/>
      <c r="R33" s="6"/>
    </row>
    <row r="34" spans="2:18" x14ac:dyDescent="0.2">
      <c r="B34" s="13"/>
      <c r="C34" s="13" t="s">
        <v>41</v>
      </c>
      <c r="D34" s="70"/>
      <c r="E34" s="70"/>
      <c r="F34" s="71"/>
      <c r="G34" s="15">
        <v>1.855</v>
      </c>
      <c r="H34" s="15"/>
      <c r="I34" s="15"/>
      <c r="J34" s="74"/>
      <c r="K34" s="95"/>
      <c r="L34" s="15"/>
      <c r="M34" s="72"/>
      <c r="N34" s="14"/>
      <c r="O34" s="13"/>
      <c r="P34" s="85"/>
      <c r="Q34" s="6"/>
      <c r="R34" s="6"/>
    </row>
    <row r="35" spans="2:18" x14ac:dyDescent="0.2">
      <c r="B35" s="13" t="s">
        <v>1058</v>
      </c>
      <c r="C35" s="13" t="s">
        <v>41</v>
      </c>
      <c r="D35" s="70">
        <v>26.7</v>
      </c>
      <c r="E35" s="70">
        <v>0.5</v>
      </c>
      <c r="F35" s="71">
        <v>569</v>
      </c>
      <c r="G35" s="15">
        <v>1.847</v>
      </c>
      <c r="H35" s="15">
        <v>3.698</v>
      </c>
      <c r="I35" s="15">
        <v>3.6749999999999998</v>
      </c>
      <c r="J35" s="74">
        <f t="shared" ref="J35" si="19">H35-I35</f>
        <v>2.3000000000000131E-2</v>
      </c>
      <c r="K35" s="95">
        <f t="shared" ref="K35" si="20">(F35*(273.15+D35)/273.15)/(M35*N35)</f>
        <v>7.8077361339923126</v>
      </c>
      <c r="L35" s="15" t="s">
        <v>323</v>
      </c>
      <c r="M35" s="72">
        <f>VLOOKUP(L35,allgemein!$B$3:$C$11,2,FALSE)</f>
        <v>2</v>
      </c>
      <c r="N35" s="14">
        <v>40</v>
      </c>
      <c r="O35" s="13" t="s">
        <v>41</v>
      </c>
      <c r="P35" s="13"/>
      <c r="Q35" s="6"/>
      <c r="R35" s="6"/>
    </row>
    <row r="36" spans="2:18" x14ac:dyDescent="0.2">
      <c r="B36" s="13"/>
      <c r="C36" s="13" t="s">
        <v>41</v>
      </c>
      <c r="D36" s="70"/>
      <c r="E36" s="70"/>
      <c r="F36" s="71"/>
      <c r="G36" s="15">
        <v>1.851</v>
      </c>
      <c r="H36" s="15"/>
      <c r="I36" s="15"/>
      <c r="J36" s="74"/>
      <c r="K36" s="95"/>
      <c r="L36" s="15"/>
      <c r="M36" s="72"/>
      <c r="N36" s="14"/>
      <c r="O36" s="13"/>
      <c r="P36" s="13"/>
      <c r="Q36" s="6"/>
      <c r="R36" s="6"/>
    </row>
    <row r="37" spans="2:18" x14ac:dyDescent="0.2">
      <c r="B37" s="13" t="s">
        <v>470</v>
      </c>
      <c r="C37" s="13" t="s">
        <v>471</v>
      </c>
      <c r="D37" s="70">
        <v>25.3</v>
      </c>
      <c r="E37" s="70">
        <v>0.3</v>
      </c>
      <c r="F37" s="71">
        <v>282</v>
      </c>
      <c r="G37" s="15"/>
      <c r="H37" s="15">
        <v>1.99</v>
      </c>
      <c r="I37" s="15">
        <v>1.9370000000000001</v>
      </c>
      <c r="J37" s="74">
        <f t="shared" ref="J37:J74" si="21">H37-I37</f>
        <v>5.2999999999999936E-2</v>
      </c>
      <c r="K37" s="95">
        <f t="shared" ref="K37" si="22">(F37*(273.15+D37)/273.15)/(M37*N37)</f>
        <v>7.7029928610653489</v>
      </c>
      <c r="L37" s="15" t="s">
        <v>328</v>
      </c>
      <c r="M37" s="72">
        <v>1</v>
      </c>
      <c r="N37" s="14">
        <v>40</v>
      </c>
      <c r="O37" s="13" t="s">
        <v>1059</v>
      </c>
      <c r="P37" s="85" t="s">
        <v>1176</v>
      </c>
      <c r="Q37" s="6"/>
      <c r="R37" s="6"/>
    </row>
    <row r="38" spans="2:18" x14ac:dyDescent="0.2">
      <c r="B38" s="13"/>
      <c r="C38" s="13" t="s">
        <v>41</v>
      </c>
      <c r="D38" s="70">
        <v>25.6</v>
      </c>
      <c r="E38" s="70">
        <v>0.2</v>
      </c>
      <c r="F38" s="71">
        <v>281</v>
      </c>
      <c r="G38" s="15"/>
      <c r="H38" s="15">
        <v>1.988</v>
      </c>
      <c r="I38" s="15">
        <v>1.9239999999999999</v>
      </c>
      <c r="J38" s="74">
        <f t="shared" si="21"/>
        <v>6.4000000000000057E-2</v>
      </c>
      <c r="K38" s="95">
        <f t="shared" ref="K38:K74" si="23">(F38*(273.15+D38)/273.15)/(M38*N38)</f>
        <v>7.6833928244554288</v>
      </c>
      <c r="L38" s="15" t="s">
        <v>328</v>
      </c>
      <c r="M38" s="72">
        <v>1</v>
      </c>
      <c r="N38" s="14">
        <v>40</v>
      </c>
      <c r="O38" s="13" t="s">
        <v>1059</v>
      </c>
      <c r="P38" s="85" t="s">
        <v>1177</v>
      </c>
      <c r="Q38" s="6"/>
      <c r="R38" s="6"/>
    </row>
    <row r="39" spans="2:18" x14ac:dyDescent="0.2">
      <c r="B39" s="13"/>
      <c r="C39" s="13"/>
      <c r="D39" s="70">
        <v>23.6</v>
      </c>
      <c r="E39" s="6">
        <v>0.2</v>
      </c>
      <c r="F39" s="71">
        <v>284</v>
      </c>
      <c r="G39" s="71"/>
      <c r="H39" s="7">
        <v>1.86</v>
      </c>
      <c r="I39" s="7">
        <v>1.847</v>
      </c>
      <c r="J39" s="74">
        <f>H39-I39</f>
        <v>1.3000000000000123E-2</v>
      </c>
      <c r="K39" s="95">
        <f>(F39*(273.15+D39)/273.15)/(M39*N39)</f>
        <v>7.7134358411129424</v>
      </c>
      <c r="L39" s="15" t="s">
        <v>328</v>
      </c>
      <c r="M39" s="72">
        <v>1</v>
      </c>
      <c r="N39" s="14">
        <v>40</v>
      </c>
      <c r="O39" s="13" t="s">
        <v>459</v>
      </c>
      <c r="P39" s="13" t="s">
        <v>1182</v>
      </c>
      <c r="Q39" s="6"/>
      <c r="R39" s="6"/>
    </row>
    <row r="40" spans="2:18" x14ac:dyDescent="0.2">
      <c r="B40" s="13" t="s">
        <v>1060</v>
      </c>
      <c r="C40" s="13" t="s">
        <v>1048</v>
      </c>
      <c r="D40" s="70"/>
      <c r="E40" s="70"/>
      <c r="F40" s="71"/>
      <c r="G40" s="15">
        <v>1.8109999999999999</v>
      </c>
      <c r="H40" s="15"/>
      <c r="I40" s="15"/>
      <c r="J40" s="74"/>
      <c r="K40" s="95"/>
      <c r="L40" s="15" t="s">
        <v>682</v>
      </c>
      <c r="M40" s="72">
        <v>12</v>
      </c>
      <c r="N40" s="14"/>
      <c r="O40" s="13" t="s">
        <v>1061</v>
      </c>
      <c r="P40" s="85"/>
      <c r="Q40" s="6"/>
      <c r="R40" s="6"/>
    </row>
    <row r="41" spans="2:18" x14ac:dyDescent="0.2">
      <c r="B41" s="13"/>
      <c r="C41" s="13" t="s">
        <v>1062</v>
      </c>
      <c r="D41" s="70"/>
      <c r="E41" s="70"/>
      <c r="F41" s="71"/>
      <c r="G41" s="15">
        <v>1.788</v>
      </c>
      <c r="H41" s="15"/>
      <c r="I41" s="15"/>
      <c r="J41" s="74"/>
      <c r="K41" s="95"/>
      <c r="L41" s="15"/>
      <c r="M41" s="72"/>
      <c r="N41" s="14"/>
      <c r="O41" s="13"/>
      <c r="P41" s="85"/>
      <c r="Q41" s="6"/>
      <c r="R41" s="6"/>
    </row>
    <row r="42" spans="2:18" x14ac:dyDescent="0.2">
      <c r="B42" s="13"/>
      <c r="C42" s="13" t="s">
        <v>41</v>
      </c>
      <c r="D42" s="70"/>
      <c r="E42" s="70"/>
      <c r="F42" s="71"/>
      <c r="G42" s="15">
        <v>1.7909999999999999</v>
      </c>
      <c r="H42" s="15"/>
      <c r="I42" s="15"/>
      <c r="J42" s="74"/>
      <c r="K42" s="95"/>
      <c r="L42" s="15"/>
      <c r="M42" s="72"/>
      <c r="N42" s="14"/>
      <c r="O42" s="13"/>
      <c r="P42" s="85"/>
      <c r="Q42" s="6"/>
      <c r="R42" s="6"/>
    </row>
    <row r="43" spans="2:18" x14ac:dyDescent="0.2">
      <c r="B43" s="13"/>
      <c r="C43" s="13" t="s">
        <v>41</v>
      </c>
      <c r="D43" s="70"/>
      <c r="E43" s="70"/>
      <c r="F43" s="71"/>
      <c r="G43" s="15">
        <v>1.79</v>
      </c>
      <c r="H43" s="15"/>
      <c r="I43" s="15"/>
      <c r="J43" s="74"/>
      <c r="K43" s="95"/>
      <c r="L43" s="15"/>
      <c r="M43" s="72"/>
      <c r="N43" s="14"/>
      <c r="O43" s="13"/>
      <c r="P43" s="85"/>
      <c r="Q43" s="6"/>
      <c r="R43" s="6"/>
    </row>
    <row r="44" spans="2:18" x14ac:dyDescent="0.2">
      <c r="B44" s="13"/>
      <c r="C44" s="13" t="s">
        <v>41</v>
      </c>
      <c r="D44" s="70"/>
      <c r="E44" s="70"/>
      <c r="F44" s="71"/>
      <c r="G44" s="15">
        <v>1.7869999999999999</v>
      </c>
      <c r="H44" s="15"/>
      <c r="I44" s="15"/>
      <c r="J44" s="74"/>
      <c r="K44" s="95"/>
      <c r="L44" s="15"/>
      <c r="M44" s="72"/>
      <c r="N44" s="14"/>
      <c r="O44" s="13"/>
      <c r="P44" s="85"/>
      <c r="Q44" s="6"/>
      <c r="R44" s="6"/>
    </row>
    <row r="45" spans="2:18" x14ac:dyDescent="0.2">
      <c r="B45" s="13"/>
      <c r="C45" s="13" t="s">
        <v>41</v>
      </c>
      <c r="D45" s="70"/>
      <c r="E45" s="70"/>
      <c r="F45" s="71"/>
      <c r="G45" s="15">
        <v>1.788</v>
      </c>
      <c r="H45" s="15"/>
      <c r="I45" s="15"/>
      <c r="J45" s="74"/>
      <c r="K45" s="95"/>
      <c r="L45" s="15"/>
      <c r="M45" s="72"/>
      <c r="N45" s="14"/>
      <c r="O45" s="13"/>
      <c r="P45" s="85"/>
      <c r="Q45" s="6"/>
      <c r="R45" s="6"/>
    </row>
    <row r="46" spans="2:18" x14ac:dyDescent="0.2">
      <c r="B46" s="13"/>
      <c r="C46" s="13" t="s">
        <v>41</v>
      </c>
      <c r="D46" s="70"/>
      <c r="E46" s="70"/>
      <c r="F46" s="71"/>
      <c r="G46" s="15">
        <v>1.788</v>
      </c>
      <c r="H46" s="15"/>
      <c r="I46" s="15"/>
      <c r="J46" s="74"/>
      <c r="K46" s="95"/>
      <c r="L46" s="15"/>
      <c r="M46" s="72"/>
      <c r="N46" s="14"/>
      <c r="O46" s="13"/>
      <c r="P46" s="85"/>
      <c r="Q46" s="6"/>
      <c r="R46" s="6"/>
    </row>
    <row r="47" spans="2:18" x14ac:dyDescent="0.2">
      <c r="B47" s="13"/>
      <c r="C47" s="13" t="s">
        <v>41</v>
      </c>
      <c r="D47" s="70"/>
      <c r="E47" s="70"/>
      <c r="F47" s="71"/>
      <c r="G47" s="15">
        <v>1.7889999999999999</v>
      </c>
      <c r="H47" s="15"/>
      <c r="I47" s="15"/>
      <c r="J47" s="74"/>
      <c r="K47" s="95"/>
      <c r="L47" s="15"/>
      <c r="M47" s="72"/>
      <c r="N47" s="14"/>
      <c r="O47" s="13"/>
      <c r="P47" s="85"/>
      <c r="Q47" s="6"/>
      <c r="R47" s="6"/>
    </row>
    <row r="48" spans="2:18" x14ac:dyDescent="0.2">
      <c r="B48" s="13"/>
      <c r="C48" s="13" t="s">
        <v>41</v>
      </c>
      <c r="D48" s="70"/>
      <c r="E48" s="70"/>
      <c r="F48" s="71"/>
      <c r="G48" s="15">
        <v>1.7909999999999999</v>
      </c>
      <c r="H48" s="15"/>
      <c r="I48" s="15"/>
      <c r="J48" s="74"/>
      <c r="K48" s="95"/>
      <c r="L48" s="15"/>
      <c r="M48" s="72"/>
      <c r="N48" s="14"/>
      <c r="O48" s="13"/>
      <c r="P48" s="85"/>
      <c r="Q48" s="6"/>
      <c r="R48" s="6"/>
    </row>
    <row r="49" spans="1:50" x14ac:dyDescent="0.2">
      <c r="B49" s="13"/>
      <c r="C49" s="13" t="s">
        <v>41</v>
      </c>
      <c r="D49" s="70"/>
      <c r="E49" s="70"/>
      <c r="F49" s="71"/>
      <c r="G49" s="15">
        <v>1.796</v>
      </c>
      <c r="H49" s="15"/>
      <c r="I49" s="15"/>
      <c r="J49" s="74"/>
      <c r="K49" s="95"/>
      <c r="L49" s="15"/>
      <c r="M49" s="72"/>
      <c r="N49" s="14"/>
      <c r="O49" s="13"/>
      <c r="P49" s="85"/>
      <c r="Q49" s="6"/>
      <c r="R49" s="6"/>
    </row>
    <row r="50" spans="1:50" x14ac:dyDescent="0.2">
      <c r="B50" s="13"/>
      <c r="C50" s="13" t="s">
        <v>41</v>
      </c>
      <c r="D50" s="70"/>
      <c r="E50" s="70"/>
      <c r="F50" s="71"/>
      <c r="G50" s="15">
        <v>1.798</v>
      </c>
      <c r="H50" s="15"/>
      <c r="I50" s="15"/>
      <c r="J50" s="74"/>
      <c r="K50" s="95"/>
      <c r="L50" s="15"/>
      <c r="M50" s="72"/>
      <c r="N50" s="14"/>
      <c r="O50" s="13"/>
      <c r="P50" s="85"/>
      <c r="Q50" s="6"/>
      <c r="R50" s="6"/>
    </row>
    <row r="51" spans="1:50" x14ac:dyDescent="0.2">
      <c r="B51" s="13"/>
      <c r="C51" s="13" t="s">
        <v>41</v>
      </c>
      <c r="D51" s="70"/>
      <c r="E51" s="70"/>
      <c r="F51" s="71"/>
      <c r="G51" s="15">
        <v>1.7949999999999999</v>
      </c>
      <c r="H51" s="15"/>
      <c r="I51" s="15"/>
      <c r="J51" s="74"/>
      <c r="K51" s="95"/>
      <c r="L51" s="15"/>
      <c r="M51" s="72"/>
      <c r="N51" s="14"/>
      <c r="O51" s="13"/>
      <c r="P51" s="85"/>
      <c r="Q51" s="6"/>
      <c r="R51" s="6"/>
    </row>
    <row r="52" spans="1:50" x14ac:dyDescent="0.2">
      <c r="B52" s="13" t="s">
        <v>1063</v>
      </c>
      <c r="C52" s="13" t="s">
        <v>1065</v>
      </c>
      <c r="D52" s="70">
        <v>23.6</v>
      </c>
      <c r="E52" s="70">
        <v>0.1</v>
      </c>
      <c r="F52" s="71">
        <v>179</v>
      </c>
      <c r="G52" s="15"/>
      <c r="H52" s="15">
        <v>1.911</v>
      </c>
      <c r="I52" s="15">
        <v>1.897</v>
      </c>
      <c r="J52" s="74">
        <f t="shared" si="21"/>
        <v>1.4000000000000012E-2</v>
      </c>
      <c r="K52" s="95">
        <f t="shared" si="23"/>
        <v>7.7786198059674181</v>
      </c>
      <c r="L52" s="148" t="s">
        <v>728</v>
      </c>
      <c r="M52" s="72">
        <f>VLOOKUP(L52,allgemein!$B$3:$C$11,2,FALSE)</f>
        <v>1</v>
      </c>
      <c r="N52" s="14">
        <v>25</v>
      </c>
      <c r="O52" s="13" t="s">
        <v>1064</v>
      </c>
      <c r="P52" s="85" t="s">
        <v>1075</v>
      </c>
      <c r="Q52" s="6"/>
      <c r="R52" s="6"/>
    </row>
    <row r="53" spans="1:50" x14ac:dyDescent="0.2">
      <c r="B53" s="13" t="s">
        <v>1066</v>
      </c>
      <c r="C53" s="13" t="s">
        <v>41</v>
      </c>
      <c r="D53" s="70">
        <v>23.6</v>
      </c>
      <c r="E53" s="70">
        <v>0</v>
      </c>
      <c r="F53" s="71">
        <v>180</v>
      </c>
      <c r="G53" s="15"/>
      <c r="H53" s="15">
        <v>1.8959999999999999</v>
      </c>
      <c r="I53" s="15">
        <v>1.8819999999999999</v>
      </c>
      <c r="J53" s="74">
        <f t="shared" si="21"/>
        <v>1.4000000000000012E-2</v>
      </c>
      <c r="K53" s="95">
        <f t="shared" si="23"/>
        <v>7.8220757825370688</v>
      </c>
      <c r="L53" s="148" t="s">
        <v>728</v>
      </c>
      <c r="M53" s="72">
        <f>VLOOKUP(L53,allgemein!$B$3:$C$11,2,FALSE)</f>
        <v>1</v>
      </c>
      <c r="N53" s="14">
        <v>25</v>
      </c>
      <c r="O53" s="13" t="s">
        <v>41</v>
      </c>
      <c r="P53" s="85"/>
      <c r="Q53" s="6"/>
      <c r="R53" s="6"/>
    </row>
    <row r="54" spans="1:50" x14ac:dyDescent="0.2">
      <c r="B54" s="13" t="s">
        <v>1067</v>
      </c>
      <c r="C54" s="13" t="s">
        <v>41</v>
      </c>
      <c r="D54" s="70">
        <v>23.4</v>
      </c>
      <c r="E54" s="70">
        <v>0</v>
      </c>
      <c r="F54" s="71">
        <v>180</v>
      </c>
      <c r="G54" s="15"/>
      <c r="H54" s="15">
        <v>1.89</v>
      </c>
      <c r="I54" s="15">
        <v>1.8759999999999999</v>
      </c>
      <c r="J54" s="74">
        <f t="shared" si="21"/>
        <v>1.4000000000000012E-2</v>
      </c>
      <c r="K54" s="95">
        <f t="shared" si="23"/>
        <v>7.8168039538714993</v>
      </c>
      <c r="L54" s="148" t="s">
        <v>728</v>
      </c>
      <c r="M54" s="72">
        <f>VLOOKUP(L54,allgemein!$B$3:$C$11,2,FALSE)</f>
        <v>1</v>
      </c>
      <c r="N54" s="14">
        <v>25</v>
      </c>
      <c r="O54" s="13" t="s">
        <v>41</v>
      </c>
      <c r="P54" s="85"/>
      <c r="Q54" s="6"/>
      <c r="R54" s="6"/>
    </row>
    <row r="55" spans="1:50" x14ac:dyDescent="0.2">
      <c r="B55" s="13" t="s">
        <v>1068</v>
      </c>
      <c r="C55" s="13" t="s">
        <v>41</v>
      </c>
      <c r="D55" s="70">
        <v>23.4</v>
      </c>
      <c r="E55" s="70">
        <v>0</v>
      </c>
      <c r="F55" s="71">
        <v>180</v>
      </c>
      <c r="G55" s="15"/>
      <c r="H55" s="15">
        <v>1.8979999999999999</v>
      </c>
      <c r="I55" s="15">
        <v>1.8879999999999999</v>
      </c>
      <c r="J55" s="74">
        <f t="shared" si="21"/>
        <v>1.0000000000000009E-2</v>
      </c>
      <c r="K55" s="95">
        <f t="shared" si="23"/>
        <v>7.8168039538714993</v>
      </c>
      <c r="L55" s="148" t="s">
        <v>728</v>
      </c>
      <c r="M55" s="72">
        <f>VLOOKUP(L55,allgemein!$B$3:$C$11,2,FALSE)</f>
        <v>1</v>
      </c>
      <c r="N55" s="14">
        <v>25</v>
      </c>
      <c r="O55" s="13" t="s">
        <v>41</v>
      </c>
      <c r="P55" s="85"/>
      <c r="Q55" s="6"/>
      <c r="R55" s="6"/>
    </row>
    <row r="56" spans="1:50" x14ac:dyDescent="0.2">
      <c r="B56" s="13" t="s">
        <v>1069</v>
      </c>
      <c r="C56" s="13" t="s">
        <v>41</v>
      </c>
      <c r="D56" s="70">
        <v>23.3</v>
      </c>
      <c r="E56" s="70">
        <v>0.1</v>
      </c>
      <c r="F56" s="71">
        <v>178</v>
      </c>
      <c r="G56" s="15"/>
      <c r="H56" s="15">
        <v>1.9</v>
      </c>
      <c r="I56" s="15">
        <v>1.887</v>
      </c>
      <c r="J56" s="74">
        <f t="shared" si="21"/>
        <v>1.2999999999999901E-2</v>
      </c>
      <c r="K56" s="95">
        <f t="shared" si="23"/>
        <v>7.7273439502105079</v>
      </c>
      <c r="L56" s="148" t="s">
        <v>728</v>
      </c>
      <c r="M56" s="72">
        <f>VLOOKUP(L56,allgemein!$B$3:$C$11,2,FALSE)</f>
        <v>1</v>
      </c>
      <c r="N56" s="14">
        <v>25</v>
      </c>
      <c r="O56" s="13" t="s">
        <v>41</v>
      </c>
      <c r="P56" s="85"/>
      <c r="Q56" s="6"/>
      <c r="R56" s="6"/>
    </row>
    <row r="57" spans="1:50" x14ac:dyDescent="0.2">
      <c r="B57" s="13" t="s">
        <v>1070</v>
      </c>
      <c r="C57" s="13" t="s">
        <v>41</v>
      </c>
      <c r="D57" s="70">
        <v>23.2</v>
      </c>
      <c r="E57" s="70">
        <v>0</v>
      </c>
      <c r="F57" s="71">
        <v>178</v>
      </c>
      <c r="G57" s="15"/>
      <c r="H57" s="15">
        <v>1.889</v>
      </c>
      <c r="I57" s="15">
        <v>1.8759999999999999</v>
      </c>
      <c r="J57" s="74">
        <f t="shared" si="21"/>
        <v>1.3000000000000123E-2</v>
      </c>
      <c r="K57" s="95">
        <f t="shared" si="23"/>
        <v>7.7247373238147539</v>
      </c>
      <c r="L57" s="148" t="s">
        <v>728</v>
      </c>
      <c r="M57" s="72">
        <f>VLOOKUP(L57,allgemein!$B$3:$C$11,2,FALSE)</f>
        <v>1</v>
      </c>
      <c r="N57" s="14">
        <v>25</v>
      </c>
      <c r="O57" s="13" t="s">
        <v>41</v>
      </c>
      <c r="P57" s="85"/>
      <c r="Q57" s="6"/>
      <c r="R57" s="6"/>
    </row>
    <row r="58" spans="1:50" x14ac:dyDescent="0.2">
      <c r="B58" s="13" t="s">
        <v>1071</v>
      </c>
      <c r="C58" s="13" t="s">
        <v>41</v>
      </c>
      <c r="D58" s="70">
        <v>23.2</v>
      </c>
      <c r="E58" s="70">
        <v>0</v>
      </c>
      <c r="F58" s="71">
        <v>178</v>
      </c>
      <c r="G58" s="15"/>
      <c r="H58" s="15">
        <v>1.9</v>
      </c>
      <c r="I58" s="15">
        <v>1.889</v>
      </c>
      <c r="J58" s="74">
        <f t="shared" si="21"/>
        <v>1.0999999999999899E-2</v>
      </c>
      <c r="K58" s="96">
        <f t="shared" si="23"/>
        <v>7.7247373238147539</v>
      </c>
      <c r="L58" s="148" t="s">
        <v>728</v>
      </c>
      <c r="M58" s="72">
        <f>VLOOKUP(L58,allgemein!$B$3:$C$11,2,FALSE)</f>
        <v>1</v>
      </c>
      <c r="N58" s="14">
        <v>25</v>
      </c>
      <c r="O58" s="13" t="s">
        <v>41</v>
      </c>
      <c r="P58" s="85"/>
      <c r="Q58" s="6"/>
      <c r="R58" s="6"/>
    </row>
    <row r="59" spans="1:50" s="146" customFormat="1" x14ac:dyDescent="0.2">
      <c r="A59" s="140"/>
      <c r="B59" s="43" t="s">
        <v>1072</v>
      </c>
      <c r="C59" s="13" t="s">
        <v>41</v>
      </c>
      <c r="D59" s="70">
        <v>23.2</v>
      </c>
      <c r="E59" s="70">
        <v>0</v>
      </c>
      <c r="F59" s="71">
        <v>178</v>
      </c>
      <c r="G59" s="15"/>
      <c r="H59" s="15">
        <v>1.909</v>
      </c>
      <c r="I59" s="15">
        <v>1.8919999999999999</v>
      </c>
      <c r="J59" s="142">
        <f t="shared" si="21"/>
        <v>1.7000000000000126E-2</v>
      </c>
      <c r="K59" s="96">
        <f t="shared" si="23"/>
        <v>7.7247373238147539</v>
      </c>
      <c r="L59" s="148" t="s">
        <v>728</v>
      </c>
      <c r="M59" s="72">
        <f>VLOOKUP(L59,allgemein!$B$3:$C$11,2,FALSE)</f>
        <v>1</v>
      </c>
      <c r="N59" s="14">
        <v>25</v>
      </c>
      <c r="O59" s="13" t="s">
        <v>41</v>
      </c>
      <c r="P59" s="144">
        <v>0.02</v>
      </c>
      <c r="Q59" s="145"/>
      <c r="R59" s="145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</row>
    <row r="60" spans="1:50" x14ac:dyDescent="0.2">
      <c r="B60" s="13"/>
      <c r="C60" s="13" t="s">
        <v>1103</v>
      </c>
      <c r="D60" s="70">
        <v>21.7</v>
      </c>
      <c r="E60" s="70">
        <v>8.9</v>
      </c>
      <c r="F60" s="71">
        <v>178</v>
      </c>
      <c r="G60" s="15"/>
      <c r="H60" s="15">
        <v>1.968</v>
      </c>
      <c r="I60" s="15">
        <v>1.958</v>
      </c>
      <c r="J60" s="74">
        <f t="shared" si="21"/>
        <v>1.0000000000000009E-2</v>
      </c>
      <c r="K60" s="96">
        <f t="shared" si="23"/>
        <v>7.6856379278784548</v>
      </c>
      <c r="L60" s="148" t="s">
        <v>728</v>
      </c>
      <c r="M60" s="72">
        <f>VLOOKUP(L60,allgemein!$B$3:$C$11,2,FALSE)</f>
        <v>1</v>
      </c>
      <c r="N60" s="14">
        <v>25</v>
      </c>
      <c r="O60" s="13"/>
      <c r="P60" s="85" t="s">
        <v>1099</v>
      </c>
      <c r="Q60" s="6"/>
      <c r="R60" s="6"/>
    </row>
    <row r="61" spans="1:50" x14ac:dyDescent="0.2">
      <c r="B61" s="13"/>
      <c r="C61" s="13" t="s">
        <v>1065</v>
      </c>
      <c r="D61" s="70">
        <v>26.4</v>
      </c>
      <c r="E61" s="70">
        <v>0</v>
      </c>
      <c r="F61" s="71">
        <v>177</v>
      </c>
      <c r="G61" s="15"/>
      <c r="H61" s="15">
        <v>1.9179999999999999</v>
      </c>
      <c r="I61" s="15">
        <v>1.8959999999999999</v>
      </c>
      <c r="J61" s="142">
        <f t="shared" si="21"/>
        <v>2.200000000000002E-2</v>
      </c>
      <c r="K61" s="96">
        <f t="shared" ref="K61:K62" si="24">(F61*(273.15+D61)/273.15)/(M61*N61)</f>
        <v>7.7642833607907731</v>
      </c>
      <c r="L61" s="148" t="s">
        <v>728</v>
      </c>
      <c r="M61" s="72">
        <f>VLOOKUP(L61,allgemein!$B$3:$C$11,2,FALSE)</f>
        <v>1</v>
      </c>
      <c r="N61" s="14">
        <v>25</v>
      </c>
      <c r="O61" s="13"/>
      <c r="P61" s="85" t="s">
        <v>1100</v>
      </c>
      <c r="Q61" s="6"/>
      <c r="R61" s="6"/>
    </row>
    <row r="62" spans="1:50" x14ac:dyDescent="0.2">
      <c r="B62" s="13"/>
      <c r="C62" s="13"/>
      <c r="D62" s="70">
        <v>25.8</v>
      </c>
      <c r="E62" s="70">
        <v>0.2</v>
      </c>
      <c r="F62" s="71">
        <v>177</v>
      </c>
      <c r="G62" s="15"/>
      <c r="H62" s="15">
        <v>1.917</v>
      </c>
      <c r="I62" s="15">
        <v>1.895</v>
      </c>
      <c r="J62" s="142">
        <f t="shared" ref="J62" si="25">H62-I62</f>
        <v>2.200000000000002E-2</v>
      </c>
      <c r="K62" s="96">
        <f t="shared" si="24"/>
        <v>7.7487314662273477</v>
      </c>
      <c r="L62" s="148" t="s">
        <v>728</v>
      </c>
      <c r="M62" s="72">
        <f>VLOOKUP(L62,allgemein!$B$3:$C$11,2,FALSE)</f>
        <v>1</v>
      </c>
      <c r="N62" s="14">
        <v>25</v>
      </c>
      <c r="O62" s="13"/>
      <c r="P62" s="85" t="s">
        <v>41</v>
      </c>
      <c r="Q62" s="6"/>
      <c r="R62" s="6"/>
    </row>
    <row r="63" spans="1:50" x14ac:dyDescent="0.2">
      <c r="B63" s="13"/>
      <c r="C63" s="13"/>
      <c r="D63" s="70">
        <v>22.9</v>
      </c>
      <c r="E63" s="70">
        <v>0</v>
      </c>
      <c r="F63" s="71">
        <v>177</v>
      </c>
      <c r="G63" s="15"/>
      <c r="H63" s="15">
        <v>1.9319999999999999</v>
      </c>
      <c r="I63" s="15">
        <v>1.91</v>
      </c>
      <c r="J63" s="142">
        <f t="shared" ref="J63:J65" si="26">H63-I63</f>
        <v>2.200000000000002E-2</v>
      </c>
      <c r="K63" s="96">
        <f t="shared" ref="K63:K65" si="27">(F63*(273.15+D63)/273.15)/(M63*N63)</f>
        <v>7.6735639758374505</v>
      </c>
      <c r="L63" s="148" t="s">
        <v>728</v>
      </c>
      <c r="M63" s="72">
        <f>VLOOKUP(L63,allgemein!$B$3:$C$11,2,FALSE)</f>
        <v>1</v>
      </c>
      <c r="N63" s="14">
        <v>25</v>
      </c>
      <c r="O63" s="13"/>
      <c r="P63" s="85" t="s">
        <v>1101</v>
      </c>
      <c r="Q63" s="6"/>
      <c r="R63" s="6"/>
    </row>
    <row r="64" spans="1:50" x14ac:dyDescent="0.2">
      <c r="B64" s="13"/>
      <c r="C64" s="13"/>
      <c r="D64" s="70">
        <v>22.9</v>
      </c>
      <c r="E64" s="70">
        <v>0.1</v>
      </c>
      <c r="F64" s="71">
        <v>177</v>
      </c>
      <c r="G64" s="15"/>
      <c r="H64" s="15">
        <v>1.931</v>
      </c>
      <c r="I64" s="15">
        <v>1.91</v>
      </c>
      <c r="J64" s="142">
        <f t="shared" si="26"/>
        <v>2.100000000000013E-2</v>
      </c>
      <c r="K64" s="96">
        <f t="shared" si="27"/>
        <v>7.6735639758374505</v>
      </c>
      <c r="L64" s="148" t="s">
        <v>728</v>
      </c>
      <c r="M64" s="72">
        <f>VLOOKUP(L64,allgemein!$B$3:$C$11,2,FALSE)</f>
        <v>1</v>
      </c>
      <c r="N64" s="14">
        <v>25</v>
      </c>
      <c r="O64" s="13"/>
      <c r="P64" s="85"/>
      <c r="Q64" s="6"/>
      <c r="R64" s="6"/>
    </row>
    <row r="65" spans="1:50" x14ac:dyDescent="0.2">
      <c r="B65" s="13"/>
      <c r="C65" s="13" t="s">
        <v>1086</v>
      </c>
      <c r="D65" s="70">
        <v>23.5</v>
      </c>
      <c r="E65" s="70">
        <v>0.7</v>
      </c>
      <c r="F65" s="71">
        <v>177</v>
      </c>
      <c r="G65" s="15"/>
      <c r="H65" s="15">
        <v>1.8979999999999999</v>
      </c>
      <c r="I65" s="15">
        <v>1.89</v>
      </c>
      <c r="J65" s="74">
        <f t="shared" si="26"/>
        <v>8.0000000000000071E-3</v>
      </c>
      <c r="K65" s="96">
        <f t="shared" si="27"/>
        <v>7.6891158704008786</v>
      </c>
      <c r="L65" s="148" t="s">
        <v>728</v>
      </c>
      <c r="M65" s="72">
        <f>VLOOKUP(L65,allgemein!$B$3:$C$11,2,FALSE)</f>
        <v>1</v>
      </c>
      <c r="N65" s="14">
        <v>25</v>
      </c>
      <c r="O65" s="13"/>
      <c r="P65" s="85" t="s">
        <v>325</v>
      </c>
      <c r="Q65" s="6"/>
      <c r="R65" s="6"/>
    </row>
    <row r="66" spans="1:50" s="146" customFormat="1" x14ac:dyDescent="0.2">
      <c r="A66" s="140"/>
      <c r="B66" s="43" t="s">
        <v>1073</v>
      </c>
      <c r="C66" s="13" t="s">
        <v>1065</v>
      </c>
      <c r="D66" s="70">
        <v>23.2</v>
      </c>
      <c r="E66" s="70">
        <v>0</v>
      </c>
      <c r="F66" s="71">
        <v>178</v>
      </c>
      <c r="G66" s="15"/>
      <c r="H66" s="15">
        <v>1.9079999999999999</v>
      </c>
      <c r="I66" s="15">
        <v>1.8839999999999999</v>
      </c>
      <c r="J66" s="142">
        <f t="shared" si="21"/>
        <v>2.4000000000000021E-2</v>
      </c>
      <c r="K66" s="96">
        <f t="shared" si="23"/>
        <v>7.7247373238147539</v>
      </c>
      <c r="L66" s="148" t="s">
        <v>728</v>
      </c>
      <c r="M66" s="72">
        <f>VLOOKUP(L66,allgemein!$B$3:$C$11,2,FALSE)</f>
        <v>1</v>
      </c>
      <c r="N66" s="14">
        <v>25</v>
      </c>
      <c r="O66" s="13" t="s">
        <v>41</v>
      </c>
      <c r="P66" s="147">
        <v>2.8000000000000001E-2</v>
      </c>
      <c r="Q66" s="145"/>
      <c r="R66" s="145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</row>
    <row r="67" spans="1:50" x14ac:dyDescent="0.2">
      <c r="B67" s="13"/>
      <c r="C67" s="13"/>
      <c r="D67" s="70">
        <v>22.6</v>
      </c>
      <c r="E67" s="70">
        <v>0</v>
      </c>
      <c r="F67" s="71">
        <v>178</v>
      </c>
      <c r="G67" s="15"/>
      <c r="H67" s="15">
        <v>1.9159999999999999</v>
      </c>
      <c r="I67" s="15">
        <v>1.8879999999999999</v>
      </c>
      <c r="J67" s="142">
        <f t="shared" si="21"/>
        <v>2.8000000000000025E-2</v>
      </c>
      <c r="K67" s="96">
        <f t="shared" si="23"/>
        <v>7.7090975654402349</v>
      </c>
      <c r="L67" s="148" t="s">
        <v>728</v>
      </c>
      <c r="M67" s="72">
        <f>VLOOKUP(L67,allgemein!$B$3:$C$11,2,FALSE)</f>
        <v>1</v>
      </c>
      <c r="N67" s="14">
        <v>25</v>
      </c>
      <c r="O67" s="13"/>
      <c r="P67" s="85"/>
      <c r="Q67" s="6"/>
      <c r="R67" s="6"/>
    </row>
    <row r="68" spans="1:50" x14ac:dyDescent="0.2">
      <c r="B68" s="13"/>
      <c r="C68" s="13"/>
      <c r="D68" s="70">
        <v>21.7</v>
      </c>
      <c r="E68" s="70">
        <v>0</v>
      </c>
      <c r="F68" s="71">
        <v>178</v>
      </c>
      <c r="G68" s="15"/>
      <c r="H68" s="15">
        <v>1.927</v>
      </c>
      <c r="I68" s="15">
        <v>1.9019999999999999</v>
      </c>
      <c r="J68" s="142">
        <f t="shared" si="21"/>
        <v>2.5000000000000133E-2</v>
      </c>
      <c r="K68" s="96">
        <f t="shared" si="23"/>
        <v>7.6856379278784548</v>
      </c>
      <c r="L68" s="148" t="s">
        <v>728</v>
      </c>
      <c r="M68" s="72">
        <f>VLOOKUP(L68,allgemein!$B$3:$C$11,2,FALSE)</f>
        <v>1</v>
      </c>
      <c r="N68" s="14">
        <v>25</v>
      </c>
      <c r="O68" s="13" t="s">
        <v>41</v>
      </c>
      <c r="P68" s="85"/>
      <c r="Q68" s="6"/>
      <c r="R68" s="6"/>
    </row>
    <row r="69" spans="1:50" x14ac:dyDescent="0.2">
      <c r="B69" s="13"/>
      <c r="C69" s="13" t="s">
        <v>1102</v>
      </c>
      <c r="D69" s="70">
        <v>21.5</v>
      </c>
      <c r="E69" s="70">
        <v>1.1000000000000001</v>
      </c>
      <c r="F69" s="71">
        <v>178</v>
      </c>
      <c r="G69" s="15"/>
      <c r="H69" s="15">
        <v>1.9370000000000001</v>
      </c>
      <c r="I69" s="15">
        <v>1.9279999999999999</v>
      </c>
      <c r="J69" s="74">
        <f t="shared" si="21"/>
        <v>9.000000000000119E-3</v>
      </c>
      <c r="K69" s="96">
        <f t="shared" si="23"/>
        <v>7.6804246750869494</v>
      </c>
      <c r="L69" s="148" t="s">
        <v>728</v>
      </c>
      <c r="M69" s="72">
        <f>VLOOKUP(L69,allgemein!$B$3:$C$11,2,FALSE)</f>
        <v>1</v>
      </c>
      <c r="N69" s="14">
        <v>25</v>
      </c>
      <c r="O69" s="13" t="s">
        <v>41</v>
      </c>
      <c r="P69" s="85" t="s">
        <v>1099</v>
      </c>
      <c r="Q69" s="6"/>
      <c r="R69" s="6"/>
    </row>
    <row r="70" spans="1:50" x14ac:dyDescent="0.2">
      <c r="B70" s="13"/>
      <c r="C70" s="13" t="s">
        <v>1065</v>
      </c>
      <c r="D70" s="70">
        <v>25</v>
      </c>
      <c r="E70" s="70">
        <v>0.3</v>
      </c>
      <c r="F70" s="71">
        <v>178</v>
      </c>
      <c r="G70" s="15"/>
      <c r="H70" s="15">
        <v>1.98</v>
      </c>
      <c r="I70" s="15">
        <v>1.9059999999999999</v>
      </c>
      <c r="J70" s="142">
        <f t="shared" si="21"/>
        <v>7.4000000000000066E-2</v>
      </c>
      <c r="K70" s="96">
        <f t="shared" si="23"/>
        <v>7.7716565989383124</v>
      </c>
      <c r="L70" s="148" t="s">
        <v>728</v>
      </c>
      <c r="M70" s="72">
        <f>VLOOKUP(L70,allgemein!$B$3:$C$11,2,FALSE)</f>
        <v>1</v>
      </c>
      <c r="N70" s="14">
        <v>25</v>
      </c>
      <c r="O70" s="13"/>
      <c r="P70" s="85" t="s">
        <v>1100</v>
      </c>
      <c r="Q70" s="6"/>
      <c r="R70" s="6"/>
    </row>
    <row r="71" spans="1:50" x14ac:dyDescent="0.2">
      <c r="B71" s="13"/>
      <c r="C71" s="13"/>
      <c r="D71" s="70">
        <v>24.6</v>
      </c>
      <c r="E71" s="70">
        <v>0.3</v>
      </c>
      <c r="F71" s="71">
        <v>177</v>
      </c>
      <c r="G71" s="15"/>
      <c r="H71" s="15">
        <v>1.976</v>
      </c>
      <c r="I71" s="15">
        <v>1.893</v>
      </c>
      <c r="J71" s="142">
        <f t="shared" si="21"/>
        <v>8.2999999999999963E-2</v>
      </c>
      <c r="K71" s="96">
        <f t="shared" si="23"/>
        <v>7.717627677100495</v>
      </c>
      <c r="L71" s="148" t="s">
        <v>728</v>
      </c>
      <c r="M71" s="72">
        <f>VLOOKUP(L71,allgemein!$B$3:$C$11,2,FALSE)</f>
        <v>1</v>
      </c>
      <c r="N71" s="14">
        <v>25</v>
      </c>
      <c r="O71" s="13"/>
      <c r="P71" s="85" t="s">
        <v>41</v>
      </c>
      <c r="Q71" s="6"/>
      <c r="R71" s="6"/>
    </row>
    <row r="72" spans="1:50" x14ac:dyDescent="0.2">
      <c r="B72" s="13"/>
      <c r="C72" s="13"/>
      <c r="D72" s="70">
        <v>22.4</v>
      </c>
      <c r="E72" s="70">
        <v>0.1</v>
      </c>
      <c r="F72" s="71">
        <v>178</v>
      </c>
      <c r="G72" s="15"/>
      <c r="H72" s="15">
        <v>1.9239999999999999</v>
      </c>
      <c r="I72" s="15">
        <v>1.9059999999999999</v>
      </c>
      <c r="J72" s="142">
        <f t="shared" ref="J72:J73" si="28">H72-I72</f>
        <v>1.8000000000000016E-2</v>
      </c>
      <c r="K72" s="96">
        <f t="shared" si="23"/>
        <v>7.7038843126487278</v>
      </c>
      <c r="L72" s="148" t="s">
        <v>728</v>
      </c>
      <c r="M72" s="72">
        <f>VLOOKUP(L72,allgemein!$B$3:$C$11,2,FALSE)</f>
        <v>1</v>
      </c>
      <c r="N72" s="14">
        <v>25</v>
      </c>
      <c r="O72" s="13"/>
      <c r="P72" s="85" t="s">
        <v>1101</v>
      </c>
      <c r="Q72" s="6"/>
      <c r="R72" s="6"/>
    </row>
    <row r="73" spans="1:50" x14ac:dyDescent="0.2">
      <c r="B73" s="13"/>
      <c r="C73" s="13" t="s">
        <v>1086</v>
      </c>
      <c r="D73" s="70">
        <v>23.6</v>
      </c>
      <c r="E73" s="70">
        <v>0.3</v>
      </c>
      <c r="F73" s="71">
        <v>178</v>
      </c>
      <c r="G73" s="15"/>
      <c r="H73" s="15">
        <v>1.87</v>
      </c>
      <c r="I73" s="15">
        <v>1.861</v>
      </c>
      <c r="J73" s="74">
        <f t="shared" si="28"/>
        <v>9.000000000000119E-3</v>
      </c>
      <c r="K73" s="96">
        <f t="shared" ref="K73" si="29">(F73*(273.15+D73)/273.15)/(M73*N73)</f>
        <v>7.7351638293977665</v>
      </c>
      <c r="L73" s="148" t="s">
        <v>728</v>
      </c>
      <c r="M73" s="72">
        <f>VLOOKUP(L73,allgemein!$B$3:$C$11,2,FALSE)</f>
        <v>1</v>
      </c>
      <c r="N73" s="14">
        <v>25</v>
      </c>
      <c r="O73" s="13"/>
      <c r="P73" s="85" t="s">
        <v>325</v>
      </c>
      <c r="Q73" s="6"/>
      <c r="R73" s="6"/>
    </row>
    <row r="74" spans="1:50" x14ac:dyDescent="0.2">
      <c r="B74" s="13" t="s">
        <v>1074</v>
      </c>
      <c r="C74" s="13" t="s">
        <v>1065</v>
      </c>
      <c r="D74" s="70">
        <v>23.2</v>
      </c>
      <c r="E74" s="70">
        <v>0</v>
      </c>
      <c r="F74" s="71">
        <v>178</v>
      </c>
      <c r="G74" s="15"/>
      <c r="H74" s="15">
        <v>1.897</v>
      </c>
      <c r="I74" s="15">
        <v>1.8819999999999999</v>
      </c>
      <c r="J74" s="74">
        <f t="shared" si="21"/>
        <v>1.5000000000000124E-2</v>
      </c>
      <c r="K74" s="96">
        <f t="shared" si="23"/>
        <v>7.7247373238147539</v>
      </c>
      <c r="L74" s="148" t="s">
        <v>728</v>
      </c>
      <c r="M74" s="72">
        <f>VLOOKUP(L74,allgemein!$B$3:$C$11,2,FALSE)</f>
        <v>1</v>
      </c>
      <c r="N74" s="14">
        <v>25</v>
      </c>
      <c r="O74" s="13" t="s">
        <v>41</v>
      </c>
      <c r="P74" s="85"/>
      <c r="Q74" s="6"/>
      <c r="R74" s="6"/>
    </row>
    <row r="75" spans="1:50" x14ac:dyDescent="0.2">
      <c r="B75" s="13" t="s">
        <v>1076</v>
      </c>
      <c r="C75" s="13" t="s">
        <v>41</v>
      </c>
      <c r="D75" s="70">
        <v>23.2</v>
      </c>
      <c r="E75" s="70">
        <v>0.3</v>
      </c>
      <c r="F75" s="71">
        <v>178</v>
      </c>
      <c r="G75" s="15"/>
      <c r="H75" s="15">
        <v>1.8979999999999999</v>
      </c>
      <c r="I75" s="15">
        <v>1.8879999999999999</v>
      </c>
      <c r="J75" s="74">
        <f t="shared" ref="J75:J84" si="30">H75-I75</f>
        <v>1.0000000000000009E-2</v>
      </c>
      <c r="K75" s="96">
        <f t="shared" ref="K75:K84" si="31">(F75*(273.15+D75)/273.15)/(M75*N75)</f>
        <v>7.7247373238147539</v>
      </c>
      <c r="L75" s="148" t="s">
        <v>728</v>
      </c>
      <c r="M75" s="72">
        <f>VLOOKUP(L75,allgemein!$B$3:$C$11,2,FALSE)</f>
        <v>1</v>
      </c>
      <c r="N75" s="14">
        <v>25</v>
      </c>
      <c r="O75" s="13" t="s">
        <v>41</v>
      </c>
      <c r="P75" s="85"/>
      <c r="Q75" s="6"/>
      <c r="R75" s="6"/>
    </row>
    <row r="76" spans="1:50" x14ac:dyDescent="0.2">
      <c r="B76" s="13" t="s">
        <v>1077</v>
      </c>
      <c r="C76" s="13" t="s">
        <v>41</v>
      </c>
      <c r="D76" s="70">
        <v>23.1</v>
      </c>
      <c r="E76" s="70">
        <v>0</v>
      </c>
      <c r="F76" s="71">
        <v>178</v>
      </c>
      <c r="G76" s="15"/>
      <c r="H76" s="15">
        <v>1.895</v>
      </c>
      <c r="I76" s="15">
        <v>1.88</v>
      </c>
      <c r="J76" s="74">
        <f t="shared" si="30"/>
        <v>1.5000000000000124E-2</v>
      </c>
      <c r="K76" s="96">
        <f t="shared" si="31"/>
        <v>7.7221306974190007</v>
      </c>
      <c r="L76" s="148" t="s">
        <v>728</v>
      </c>
      <c r="M76" s="72">
        <f>VLOOKUP(L76,allgemein!$B$3:$C$11,2,FALSE)</f>
        <v>1</v>
      </c>
      <c r="N76" s="14">
        <v>25</v>
      </c>
      <c r="O76" s="13" t="s">
        <v>41</v>
      </c>
      <c r="P76" s="85"/>
      <c r="Q76" s="6"/>
      <c r="R76" s="6"/>
    </row>
    <row r="77" spans="1:50" x14ac:dyDescent="0.2">
      <c r="B77" s="13" t="s">
        <v>1078</v>
      </c>
      <c r="C77" s="13" t="s">
        <v>41</v>
      </c>
      <c r="D77" s="70">
        <v>23</v>
      </c>
      <c r="E77" s="70">
        <v>0.1</v>
      </c>
      <c r="F77" s="71">
        <v>178</v>
      </c>
      <c r="G77" s="15"/>
      <c r="H77" s="15">
        <v>1.901</v>
      </c>
      <c r="I77" s="15">
        <v>1.8879999999999999</v>
      </c>
      <c r="J77" s="74">
        <f t="shared" si="30"/>
        <v>1.3000000000000123E-2</v>
      </c>
      <c r="K77" s="96">
        <f t="shared" si="31"/>
        <v>7.7195240710232476</v>
      </c>
      <c r="L77" s="148" t="s">
        <v>728</v>
      </c>
      <c r="M77" s="72">
        <f>VLOOKUP(L77,allgemein!$B$3:$C$11,2,FALSE)</f>
        <v>1</v>
      </c>
      <c r="N77" s="14">
        <v>25</v>
      </c>
      <c r="O77" s="13" t="s">
        <v>41</v>
      </c>
      <c r="P77" s="85"/>
      <c r="Q77" s="6"/>
      <c r="R77" s="6"/>
    </row>
    <row r="78" spans="1:50" x14ac:dyDescent="0.2">
      <c r="B78" s="13" t="s">
        <v>1079</v>
      </c>
      <c r="C78" s="13" t="s">
        <v>41</v>
      </c>
      <c r="D78" s="70">
        <v>22.9</v>
      </c>
      <c r="E78" s="70">
        <v>0</v>
      </c>
      <c r="F78" s="71">
        <v>179</v>
      </c>
      <c r="G78" s="15"/>
      <c r="H78" s="15">
        <v>1.909</v>
      </c>
      <c r="I78" s="15">
        <v>1.895</v>
      </c>
      <c r="J78" s="74">
        <f t="shared" si="30"/>
        <v>1.4000000000000012E-2</v>
      </c>
      <c r="K78" s="96">
        <f t="shared" si="31"/>
        <v>7.7602709134175347</v>
      </c>
      <c r="L78" s="148" t="s">
        <v>728</v>
      </c>
      <c r="M78" s="72">
        <f>VLOOKUP(L78,allgemein!$B$3:$C$11,2,FALSE)</f>
        <v>1</v>
      </c>
      <c r="N78" s="14">
        <v>25</v>
      </c>
      <c r="O78" s="13" t="s">
        <v>41</v>
      </c>
      <c r="P78" s="85"/>
      <c r="Q78" s="6"/>
      <c r="R78" s="6"/>
    </row>
    <row r="79" spans="1:50" x14ac:dyDescent="0.2">
      <c r="B79" s="13" t="s">
        <v>1080</v>
      </c>
      <c r="C79" s="13" t="s">
        <v>41</v>
      </c>
      <c r="D79" s="70">
        <v>22.8</v>
      </c>
      <c r="E79" s="70">
        <v>0.1</v>
      </c>
      <c r="F79" s="71">
        <v>179</v>
      </c>
      <c r="G79" s="15"/>
      <c r="H79" s="15">
        <v>1.91</v>
      </c>
      <c r="I79" s="15">
        <v>1.897</v>
      </c>
      <c r="J79" s="74">
        <f t="shared" si="30"/>
        <v>1.2999999999999901E-2</v>
      </c>
      <c r="K79" s="96">
        <f t="shared" si="31"/>
        <v>7.7576496430532673</v>
      </c>
      <c r="L79" s="148" t="s">
        <v>728</v>
      </c>
      <c r="M79" s="72">
        <f>VLOOKUP(L79,allgemein!$B$3:$C$11,2,FALSE)</f>
        <v>1</v>
      </c>
      <c r="N79" s="14">
        <v>25</v>
      </c>
      <c r="O79" s="13" t="s">
        <v>41</v>
      </c>
      <c r="P79" s="85"/>
      <c r="Q79" s="6"/>
      <c r="R79" s="6"/>
    </row>
    <row r="80" spans="1:50" x14ac:dyDescent="0.2">
      <c r="B80" s="13" t="s">
        <v>1081</v>
      </c>
      <c r="C80" s="13" t="s">
        <v>41</v>
      </c>
      <c r="D80" s="70">
        <v>22.1</v>
      </c>
      <c r="E80" s="70">
        <v>0.3</v>
      </c>
      <c r="F80" s="71">
        <v>178</v>
      </c>
      <c r="G80" s="15"/>
      <c r="H80" s="15">
        <v>1.895</v>
      </c>
      <c r="I80" s="15">
        <v>1.887</v>
      </c>
      <c r="J80" s="74">
        <f t="shared" si="30"/>
        <v>8.0000000000000071E-3</v>
      </c>
      <c r="K80" s="96">
        <f t="shared" si="31"/>
        <v>7.6960644334614692</v>
      </c>
      <c r="L80" s="148" t="s">
        <v>728</v>
      </c>
      <c r="M80" s="72">
        <f>VLOOKUP(L80,allgemein!$B$3:$C$11,2,FALSE)</f>
        <v>1</v>
      </c>
      <c r="N80" s="14">
        <v>25</v>
      </c>
      <c r="O80" s="13" t="s">
        <v>41</v>
      </c>
      <c r="P80" s="85"/>
      <c r="Q80" s="6"/>
      <c r="R80" s="6"/>
    </row>
    <row r="81" spans="1:50" x14ac:dyDescent="0.2">
      <c r="B81" s="13" t="s">
        <v>1082</v>
      </c>
      <c r="C81" s="13" t="s">
        <v>41</v>
      </c>
      <c r="D81" s="70">
        <v>22.1</v>
      </c>
      <c r="E81" s="70">
        <v>0.1</v>
      </c>
      <c r="F81" s="71">
        <v>178</v>
      </c>
      <c r="G81" s="15"/>
      <c r="H81" s="15">
        <v>1.919</v>
      </c>
      <c r="I81" s="15">
        <v>1.9059999999999999</v>
      </c>
      <c r="J81" s="74">
        <f t="shared" si="30"/>
        <v>1.3000000000000123E-2</v>
      </c>
      <c r="K81" s="95">
        <f t="shared" si="31"/>
        <v>7.6960644334614692</v>
      </c>
      <c r="L81" s="148" t="s">
        <v>728</v>
      </c>
      <c r="M81" s="72">
        <f>VLOOKUP(L81,allgemein!$B$3:$C$11,2,FALSE)</f>
        <v>1</v>
      </c>
      <c r="N81" s="14">
        <v>25</v>
      </c>
      <c r="O81" s="13" t="s">
        <v>41</v>
      </c>
      <c r="P81" s="85"/>
      <c r="Q81" s="6"/>
      <c r="R81" s="6"/>
    </row>
    <row r="82" spans="1:50" s="146" customFormat="1" x14ac:dyDescent="0.2">
      <c r="A82" s="140"/>
      <c r="B82" s="43" t="s">
        <v>1083</v>
      </c>
      <c r="C82" s="13" t="s">
        <v>41</v>
      </c>
      <c r="D82" s="70">
        <v>22</v>
      </c>
      <c r="E82" s="70">
        <v>0.1</v>
      </c>
      <c r="F82" s="71">
        <v>178</v>
      </c>
      <c r="G82" s="141"/>
      <c r="H82" s="141">
        <v>1.929</v>
      </c>
      <c r="I82" s="141">
        <v>1.9119999999999999</v>
      </c>
      <c r="J82" s="142">
        <f t="shared" si="30"/>
        <v>1.7000000000000126E-2</v>
      </c>
      <c r="K82" s="143">
        <f t="shared" si="31"/>
        <v>7.6934578070657151</v>
      </c>
      <c r="L82" s="148" t="s">
        <v>728</v>
      </c>
      <c r="M82" s="72">
        <f>VLOOKUP(L82,allgemein!$B$3:$C$11,2,FALSE)</f>
        <v>1</v>
      </c>
      <c r="N82" s="14">
        <v>25</v>
      </c>
      <c r="O82" s="13" t="s">
        <v>41</v>
      </c>
      <c r="P82" s="147"/>
      <c r="Q82" s="145"/>
      <c r="R82" s="145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</row>
    <row r="83" spans="1:50" s="146" customFormat="1" x14ac:dyDescent="0.2">
      <c r="A83" s="140"/>
      <c r="B83" s="43"/>
      <c r="C83" s="13" t="s">
        <v>1086</v>
      </c>
      <c r="D83" s="70">
        <v>23.9</v>
      </c>
      <c r="E83" s="70">
        <v>0.5</v>
      </c>
      <c r="F83" s="71">
        <v>178</v>
      </c>
      <c r="G83" s="15"/>
      <c r="H83" s="15">
        <v>1.8919999999999999</v>
      </c>
      <c r="I83" s="15">
        <v>1.8819999999999999</v>
      </c>
      <c r="J83" s="74">
        <f t="shared" ref="J83" si="32">H83-I83</f>
        <v>1.0000000000000009E-2</v>
      </c>
      <c r="K83" s="95">
        <f t="shared" ref="K83" si="33">(F83*(273.15+D83)/273.15)/(M83*N83)</f>
        <v>7.7429837085850259</v>
      </c>
      <c r="L83" s="148" t="s">
        <v>728</v>
      </c>
      <c r="M83" s="72">
        <f>VLOOKUP(L83,allgemein!$B$3:$C$11,2,FALSE)</f>
        <v>1</v>
      </c>
      <c r="N83" s="14">
        <v>25</v>
      </c>
      <c r="O83" s="13" t="s">
        <v>41</v>
      </c>
      <c r="P83" s="85" t="s">
        <v>325</v>
      </c>
      <c r="Q83" s="145"/>
      <c r="R83" s="145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</row>
    <row r="84" spans="1:50" x14ac:dyDescent="0.2">
      <c r="B84" s="13" t="s">
        <v>1084</v>
      </c>
      <c r="C84" s="13" t="s">
        <v>1065</v>
      </c>
      <c r="D84" s="70">
        <v>22</v>
      </c>
      <c r="E84" s="70">
        <v>0.2</v>
      </c>
      <c r="F84" s="71">
        <v>178</v>
      </c>
      <c r="G84" s="15"/>
      <c r="H84" s="15">
        <v>1.91</v>
      </c>
      <c r="I84" s="15">
        <v>1.8979999999999999</v>
      </c>
      <c r="J84" s="74">
        <f t="shared" si="30"/>
        <v>1.2000000000000011E-2</v>
      </c>
      <c r="K84" s="95">
        <f t="shared" si="31"/>
        <v>7.6934578070657151</v>
      </c>
      <c r="L84" s="148" t="s">
        <v>728</v>
      </c>
      <c r="M84" s="72">
        <f>VLOOKUP(L84,allgemein!$B$3:$C$11,2,FALSE)</f>
        <v>1</v>
      </c>
      <c r="N84" s="14">
        <v>25</v>
      </c>
      <c r="O84" s="13" t="s">
        <v>41</v>
      </c>
      <c r="P84" s="85"/>
      <c r="Q84" s="6"/>
      <c r="R84" s="6"/>
    </row>
    <row r="85" spans="1:50" x14ac:dyDescent="0.2">
      <c r="B85" s="13" t="s">
        <v>1085</v>
      </c>
      <c r="C85" s="13" t="s">
        <v>41</v>
      </c>
      <c r="D85" s="70">
        <v>22</v>
      </c>
      <c r="E85" s="70">
        <v>0.2</v>
      </c>
      <c r="F85" s="71">
        <v>179</v>
      </c>
      <c r="G85" s="15"/>
      <c r="H85" s="15">
        <v>1.89</v>
      </c>
      <c r="I85" s="15">
        <v>1.879</v>
      </c>
      <c r="J85" s="74">
        <f t="shared" ref="J85:J94" si="34">H85-I85</f>
        <v>1.0999999999999899E-2</v>
      </c>
      <c r="K85" s="95">
        <f t="shared" ref="K85:K94" si="35">(F85*(273.15+D85)/273.15)/(M85*N85)</f>
        <v>7.7366794801391174</v>
      </c>
      <c r="L85" s="148" t="s">
        <v>728</v>
      </c>
      <c r="M85" s="72">
        <f>VLOOKUP(L85,allgemein!$B$3:$C$11,2,FALSE)</f>
        <v>1</v>
      </c>
      <c r="N85" s="14">
        <v>25</v>
      </c>
      <c r="O85" s="13" t="s">
        <v>41</v>
      </c>
      <c r="P85" s="85"/>
      <c r="Q85" s="6"/>
      <c r="R85" s="6"/>
    </row>
    <row r="86" spans="1:50" s="146" customFormat="1" x14ac:dyDescent="0.2">
      <c r="A86" s="140"/>
      <c r="B86" s="13" t="s">
        <v>1087</v>
      </c>
      <c r="C86" s="13" t="s">
        <v>1086</v>
      </c>
      <c r="D86" s="70">
        <v>24.5</v>
      </c>
      <c r="E86" s="70">
        <v>0.2</v>
      </c>
      <c r="F86" s="71">
        <v>179</v>
      </c>
      <c r="G86" s="15"/>
      <c r="H86" s="15">
        <v>1.873</v>
      </c>
      <c r="I86" s="15">
        <v>1.8560000000000001</v>
      </c>
      <c r="J86" s="92">
        <f t="shared" si="34"/>
        <v>1.6999999999999904E-2</v>
      </c>
      <c r="K86" s="96">
        <f t="shared" si="35"/>
        <v>7.8022112392458363</v>
      </c>
      <c r="L86" s="148" t="s">
        <v>728</v>
      </c>
      <c r="M86" s="72">
        <f>VLOOKUP(L86,allgemein!$B$3:$C$11,2,FALSE)</f>
        <v>1</v>
      </c>
      <c r="N86" s="14">
        <v>25</v>
      </c>
      <c r="O86" s="13" t="s">
        <v>41</v>
      </c>
      <c r="P86" s="85" t="s">
        <v>1097</v>
      </c>
      <c r="Q86" s="145"/>
      <c r="R86" s="145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</row>
    <row r="87" spans="1:50" x14ac:dyDescent="0.2">
      <c r="B87" s="13" t="s">
        <v>1088</v>
      </c>
      <c r="C87" s="13" t="s">
        <v>41</v>
      </c>
      <c r="D87" s="70">
        <v>24.5</v>
      </c>
      <c r="E87" s="70">
        <v>0.2</v>
      </c>
      <c r="F87" s="71">
        <v>179</v>
      </c>
      <c r="G87" s="15"/>
      <c r="H87" s="15">
        <v>1.8759999999999999</v>
      </c>
      <c r="I87" s="15">
        <v>1.8640000000000001</v>
      </c>
      <c r="J87" s="74">
        <f t="shared" si="34"/>
        <v>1.1999999999999789E-2</v>
      </c>
      <c r="K87" s="95">
        <f t="shared" si="35"/>
        <v>7.8022112392458363</v>
      </c>
      <c r="L87" s="148" t="s">
        <v>728</v>
      </c>
      <c r="M87" s="72">
        <f>VLOOKUP(L87,allgemein!$B$3:$C$11,2,FALSE)</f>
        <v>1</v>
      </c>
      <c r="N87" s="14">
        <v>25</v>
      </c>
      <c r="O87" s="13" t="s">
        <v>41</v>
      </c>
      <c r="P87" s="85" t="s">
        <v>1098</v>
      </c>
      <c r="Q87" s="6"/>
      <c r="R87" s="6"/>
    </row>
    <row r="88" spans="1:50" x14ac:dyDescent="0.2">
      <c r="B88" s="13" t="s">
        <v>1089</v>
      </c>
      <c r="C88" s="13" t="s">
        <v>41</v>
      </c>
      <c r="D88" s="70">
        <v>24.3</v>
      </c>
      <c r="E88" s="70">
        <v>0.3</v>
      </c>
      <c r="F88" s="71">
        <v>179</v>
      </c>
      <c r="G88" s="15"/>
      <c r="H88" s="15">
        <v>1.8779999999999999</v>
      </c>
      <c r="I88" s="15">
        <v>1.8640000000000001</v>
      </c>
      <c r="J88" s="74">
        <f t="shared" si="34"/>
        <v>1.399999999999979E-2</v>
      </c>
      <c r="K88" s="95">
        <f t="shared" si="35"/>
        <v>7.7969686985172988</v>
      </c>
      <c r="L88" s="148" t="s">
        <v>728</v>
      </c>
      <c r="M88" s="72">
        <f>VLOOKUP(L88,allgemein!$B$3:$C$11,2,FALSE)</f>
        <v>1</v>
      </c>
      <c r="N88" s="14">
        <v>25</v>
      </c>
      <c r="O88" s="13" t="s">
        <v>41</v>
      </c>
      <c r="P88" s="13"/>
      <c r="Q88" s="6"/>
      <c r="R88" s="6"/>
    </row>
    <row r="89" spans="1:50" x14ac:dyDescent="0.2">
      <c r="B89" s="13" t="s">
        <v>1090</v>
      </c>
      <c r="C89" s="13" t="s">
        <v>41</v>
      </c>
      <c r="D89" s="70">
        <v>23.9</v>
      </c>
      <c r="E89" s="70">
        <v>0.7</v>
      </c>
      <c r="F89" s="71">
        <v>178</v>
      </c>
      <c r="G89" s="15"/>
      <c r="H89" s="15">
        <v>1.899</v>
      </c>
      <c r="I89" s="15">
        <v>1.8919999999999999</v>
      </c>
      <c r="J89" s="74">
        <f t="shared" si="34"/>
        <v>7.0000000000001172E-3</v>
      </c>
      <c r="K89" s="95">
        <f t="shared" si="35"/>
        <v>7.7429837085850259</v>
      </c>
      <c r="L89" s="148" t="s">
        <v>728</v>
      </c>
      <c r="M89" s="72">
        <f>VLOOKUP(L89,allgemein!$B$3:$C$11,2,FALSE)</f>
        <v>1</v>
      </c>
      <c r="N89" s="14">
        <v>25</v>
      </c>
      <c r="O89" s="13" t="s">
        <v>41</v>
      </c>
      <c r="P89" s="13"/>
      <c r="Q89" s="6"/>
      <c r="R89" s="6"/>
    </row>
    <row r="90" spans="1:50" x14ac:dyDescent="0.2">
      <c r="B90" s="13" t="s">
        <v>1091</v>
      </c>
      <c r="C90" s="13" t="s">
        <v>41</v>
      </c>
      <c r="D90" s="70">
        <v>23.7</v>
      </c>
      <c r="E90" s="70">
        <v>0.2</v>
      </c>
      <c r="F90" s="71">
        <v>178</v>
      </c>
      <c r="G90" s="15"/>
      <c r="H90" s="15">
        <v>1.903</v>
      </c>
      <c r="I90" s="15">
        <v>1.8879999999999999</v>
      </c>
      <c r="J90" s="74">
        <f t="shared" si="34"/>
        <v>1.5000000000000124E-2</v>
      </c>
      <c r="K90" s="95">
        <f t="shared" si="35"/>
        <v>7.7377704557935205</v>
      </c>
      <c r="L90" s="148" t="s">
        <v>728</v>
      </c>
      <c r="M90" s="72">
        <f>VLOOKUP(L90,allgemein!$B$3:$C$11,2,FALSE)</f>
        <v>1</v>
      </c>
      <c r="N90" s="14">
        <v>25</v>
      </c>
      <c r="O90" s="13" t="s">
        <v>41</v>
      </c>
      <c r="P90" s="13"/>
      <c r="Q90" s="6"/>
      <c r="R90" s="6"/>
    </row>
    <row r="91" spans="1:50" x14ac:dyDescent="0.2">
      <c r="B91" s="13" t="s">
        <v>1092</v>
      </c>
      <c r="C91" s="13" t="s">
        <v>41</v>
      </c>
      <c r="D91" s="70">
        <v>23.6</v>
      </c>
      <c r="E91" s="70">
        <v>0.2</v>
      </c>
      <c r="F91" s="71">
        <v>179</v>
      </c>
      <c r="G91" s="15"/>
      <c r="H91" s="15">
        <v>1.89</v>
      </c>
      <c r="I91" s="15">
        <v>1.879</v>
      </c>
      <c r="J91" s="74">
        <f t="shared" si="34"/>
        <v>1.0999999999999899E-2</v>
      </c>
      <c r="K91" s="95">
        <f t="shared" si="35"/>
        <v>7.7786198059674181</v>
      </c>
      <c r="L91" s="148" t="s">
        <v>728</v>
      </c>
      <c r="M91" s="72">
        <f>VLOOKUP(L91,allgemein!$B$3:$C$11,2,FALSE)</f>
        <v>1</v>
      </c>
      <c r="N91" s="14">
        <v>25</v>
      </c>
      <c r="O91" s="13" t="s">
        <v>41</v>
      </c>
      <c r="P91" s="85"/>
      <c r="Q91" s="6"/>
      <c r="R91" s="6"/>
    </row>
    <row r="92" spans="1:50" x14ac:dyDescent="0.2">
      <c r="B92" s="13" t="s">
        <v>1093</v>
      </c>
      <c r="C92" s="13" t="s">
        <v>41</v>
      </c>
      <c r="D92" s="70">
        <v>23.5</v>
      </c>
      <c r="E92" s="70">
        <v>0.3</v>
      </c>
      <c r="F92" s="71">
        <v>179</v>
      </c>
      <c r="G92" s="15"/>
      <c r="H92" s="15">
        <v>1.881</v>
      </c>
      <c r="I92" s="15">
        <v>1.867</v>
      </c>
      <c r="J92" s="74">
        <f t="shared" si="34"/>
        <v>1.4000000000000012E-2</v>
      </c>
      <c r="K92" s="95">
        <f t="shared" si="35"/>
        <v>7.775998535603148</v>
      </c>
      <c r="L92" s="148" t="s">
        <v>728</v>
      </c>
      <c r="M92" s="72">
        <f>VLOOKUP(L92,allgemein!$B$3:$C$11,2,FALSE)</f>
        <v>1</v>
      </c>
      <c r="N92" s="14">
        <v>25</v>
      </c>
      <c r="O92" s="13" t="s">
        <v>41</v>
      </c>
      <c r="P92" s="85"/>
      <c r="Q92" s="6"/>
      <c r="R92" s="6"/>
    </row>
    <row r="93" spans="1:50" x14ac:dyDescent="0.2">
      <c r="B93" s="13" t="s">
        <v>1094</v>
      </c>
      <c r="C93" s="13" t="s">
        <v>41</v>
      </c>
      <c r="D93" s="70">
        <v>23.4</v>
      </c>
      <c r="E93" s="70">
        <v>0.2</v>
      </c>
      <c r="F93" s="71">
        <v>179</v>
      </c>
      <c r="G93" s="15"/>
      <c r="H93" s="15">
        <v>1.881</v>
      </c>
      <c r="I93" s="15">
        <v>1.8680000000000001</v>
      </c>
      <c r="J93" s="74">
        <f t="shared" si="34"/>
        <v>1.2999999999999901E-2</v>
      </c>
      <c r="K93" s="95">
        <f t="shared" si="35"/>
        <v>7.7733772652388788</v>
      </c>
      <c r="L93" s="148" t="s">
        <v>728</v>
      </c>
      <c r="M93" s="72">
        <f>VLOOKUP(L93,allgemein!$B$3:$C$11,2,FALSE)</f>
        <v>1</v>
      </c>
      <c r="N93" s="14">
        <v>25</v>
      </c>
      <c r="O93" s="13" t="s">
        <v>41</v>
      </c>
      <c r="P93" s="85"/>
      <c r="Q93" s="6"/>
      <c r="R93" s="6"/>
    </row>
    <row r="94" spans="1:50" s="146" customFormat="1" x14ac:dyDescent="0.2">
      <c r="A94" s="140"/>
      <c r="B94" s="43" t="s">
        <v>1095</v>
      </c>
      <c r="C94" s="13" t="s">
        <v>41</v>
      </c>
      <c r="D94" s="70">
        <v>23.3</v>
      </c>
      <c r="E94" s="70">
        <v>0.1</v>
      </c>
      <c r="F94" s="71">
        <v>179</v>
      </c>
      <c r="G94" s="15"/>
      <c r="H94" s="15">
        <v>1.9079999999999999</v>
      </c>
      <c r="I94" s="15">
        <v>1.889</v>
      </c>
      <c r="J94" s="142">
        <f t="shared" si="34"/>
        <v>1.8999999999999906E-2</v>
      </c>
      <c r="K94" s="96">
        <f t="shared" si="35"/>
        <v>7.7707559948746106</v>
      </c>
      <c r="L94" s="148" t="s">
        <v>728</v>
      </c>
      <c r="M94" s="72">
        <f>VLOOKUP(L94,allgemein!$B$3:$C$11,2,FALSE)</f>
        <v>1</v>
      </c>
      <c r="N94" s="14">
        <v>25</v>
      </c>
      <c r="O94" s="13" t="s">
        <v>41</v>
      </c>
      <c r="P94" s="147"/>
      <c r="Q94" s="145"/>
      <c r="R94" s="145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</row>
    <row r="95" spans="1:50" x14ac:dyDescent="0.2">
      <c r="B95" s="13"/>
      <c r="C95" s="13"/>
      <c r="D95" s="70">
        <v>24.6</v>
      </c>
      <c r="E95" s="70">
        <v>0.2</v>
      </c>
      <c r="F95" s="71">
        <v>179</v>
      </c>
      <c r="G95" s="15"/>
      <c r="H95" s="15">
        <v>1.9059999999999999</v>
      </c>
      <c r="I95" s="15">
        <v>1.887</v>
      </c>
      <c r="J95" s="142">
        <f t="shared" ref="J95:J96" si="36">H95-I95</f>
        <v>1.8999999999999906E-2</v>
      </c>
      <c r="K95" s="95">
        <f t="shared" ref="K95:K96" si="37">(F95*(273.15+D95)/273.15)/(M95*N95)</f>
        <v>7.8048325096101054</v>
      </c>
      <c r="L95" s="148" t="s">
        <v>728</v>
      </c>
      <c r="M95" s="72">
        <f>VLOOKUP(L95,allgemein!$B$3:$C$11,2,FALSE)</f>
        <v>1</v>
      </c>
      <c r="N95" s="14">
        <v>25</v>
      </c>
      <c r="O95" s="13"/>
      <c r="P95" s="85"/>
      <c r="Q95" s="6"/>
      <c r="R95" s="6"/>
    </row>
    <row r="96" spans="1:50" x14ac:dyDescent="0.2">
      <c r="B96" s="43"/>
      <c r="C96" s="13" t="s">
        <v>1086</v>
      </c>
      <c r="D96" s="70">
        <v>24.2</v>
      </c>
      <c r="E96" s="70">
        <v>0.4</v>
      </c>
      <c r="F96" s="71">
        <v>178</v>
      </c>
      <c r="G96" s="15"/>
      <c r="H96" s="15">
        <v>1.869</v>
      </c>
      <c r="I96" s="15">
        <v>1.857</v>
      </c>
      <c r="J96" s="74">
        <f t="shared" si="36"/>
        <v>1.2000000000000011E-2</v>
      </c>
      <c r="K96" s="95">
        <f t="shared" si="37"/>
        <v>7.7508035877722863</v>
      </c>
      <c r="L96" s="148" t="s">
        <v>728</v>
      </c>
      <c r="M96" s="72">
        <f>VLOOKUP(L96,allgemein!$B$3:$C$11,2,FALSE)</f>
        <v>1</v>
      </c>
      <c r="N96" s="14">
        <v>25</v>
      </c>
      <c r="O96" s="13" t="s">
        <v>41</v>
      </c>
      <c r="P96" s="85" t="s">
        <v>325</v>
      </c>
      <c r="Q96" s="6"/>
      <c r="R96" s="6"/>
    </row>
    <row r="97" spans="2:18" x14ac:dyDescent="0.2">
      <c r="B97" s="13" t="s">
        <v>1096</v>
      </c>
      <c r="C97" s="13" t="s">
        <v>41</v>
      </c>
      <c r="D97" s="70">
        <v>23.3</v>
      </c>
      <c r="E97" s="70">
        <v>0.2</v>
      </c>
      <c r="F97" s="71">
        <v>180</v>
      </c>
      <c r="G97" s="15"/>
      <c r="H97" s="15">
        <v>1.8819999999999999</v>
      </c>
      <c r="I97" s="15">
        <v>1.8680000000000001</v>
      </c>
      <c r="J97" s="74">
        <f t="shared" ref="J97" si="38">H97-I97</f>
        <v>1.399999999999979E-2</v>
      </c>
      <c r="K97" s="95">
        <f t="shared" ref="K97" si="39">(F97*(273.15+D97)/273.15)/(M97*N97)</f>
        <v>7.814168039538715</v>
      </c>
      <c r="L97" s="148" t="s">
        <v>728</v>
      </c>
      <c r="M97" s="72">
        <f>VLOOKUP(L97,allgemein!$B$3:$C$11,2,FALSE)</f>
        <v>1</v>
      </c>
      <c r="N97" s="14">
        <v>25</v>
      </c>
      <c r="O97" s="13" t="s">
        <v>41</v>
      </c>
      <c r="P97" s="13"/>
      <c r="Q97" s="6"/>
      <c r="R97" s="6"/>
    </row>
    <row r="98" spans="2:18" x14ac:dyDescent="0.2">
      <c r="B98" s="13"/>
      <c r="C98" s="13"/>
      <c r="D98" s="70"/>
      <c r="E98" s="70"/>
      <c r="F98" s="71"/>
      <c r="G98" s="15"/>
      <c r="H98" s="15"/>
      <c r="I98" s="15"/>
      <c r="J98" s="74"/>
      <c r="K98" s="95"/>
      <c r="L98" s="15"/>
      <c r="M98" s="72"/>
      <c r="N98" s="14"/>
      <c r="O98" s="13"/>
      <c r="P98" s="13"/>
      <c r="Q98" s="6"/>
      <c r="R98" s="6"/>
    </row>
    <row r="99" spans="2:18" x14ac:dyDescent="0.2">
      <c r="B99" s="13"/>
      <c r="C99" s="13"/>
      <c r="D99" s="70"/>
      <c r="E99" s="70"/>
      <c r="F99" s="71"/>
      <c r="G99" s="15"/>
      <c r="H99" s="15"/>
      <c r="I99" s="15"/>
      <c r="J99" s="74"/>
      <c r="K99" s="95"/>
      <c r="L99" s="15"/>
      <c r="M99" s="72"/>
      <c r="N99" s="14"/>
      <c r="O99" s="13"/>
      <c r="P99" s="13"/>
      <c r="Q99" s="6"/>
      <c r="R99" s="6"/>
    </row>
    <row r="100" spans="2:18" x14ac:dyDescent="0.2">
      <c r="B100" s="13"/>
      <c r="C100" s="13"/>
      <c r="D100" s="70"/>
      <c r="E100" s="70"/>
      <c r="F100" s="71"/>
      <c r="G100" s="15"/>
      <c r="H100" s="15"/>
      <c r="I100" s="15"/>
      <c r="J100" s="74"/>
      <c r="K100" s="95"/>
      <c r="L100" s="15"/>
      <c r="M100" s="72"/>
      <c r="N100" s="14"/>
      <c r="O100" s="13"/>
      <c r="P100" s="85"/>
      <c r="Q100" s="6"/>
      <c r="R100" s="6"/>
    </row>
    <row r="101" spans="2:18" s="9" customFormat="1" x14ac:dyDescent="0.2">
      <c r="B101" s="10"/>
      <c r="C101" s="11"/>
      <c r="D101" s="63"/>
      <c r="E101" s="11"/>
      <c r="F101" s="65"/>
      <c r="G101" s="12"/>
      <c r="H101" s="41"/>
      <c r="I101" s="30"/>
      <c r="J101" s="30"/>
      <c r="K101" s="97"/>
      <c r="L101" s="11"/>
      <c r="M101" s="11"/>
      <c r="N101" s="11"/>
      <c r="O101" s="11"/>
      <c r="P101" s="82"/>
    </row>
    <row r="102" spans="2:18" s="9" customFormat="1" x14ac:dyDescent="0.2">
      <c r="B102" s="10"/>
      <c r="C102" s="11"/>
      <c r="D102" s="63"/>
      <c r="E102" s="11"/>
      <c r="F102" s="65"/>
      <c r="G102" s="12"/>
      <c r="H102" s="41"/>
      <c r="I102" s="30"/>
      <c r="J102" s="30"/>
      <c r="K102" s="97"/>
      <c r="L102" s="11"/>
      <c r="M102" s="11"/>
      <c r="N102" s="11"/>
      <c r="O102" s="11"/>
      <c r="P102" s="82"/>
    </row>
    <row r="103" spans="2:18" s="9" customFormat="1" x14ac:dyDescent="0.2">
      <c r="B103" s="10"/>
      <c r="C103" s="11"/>
      <c r="D103" s="63"/>
      <c r="E103" s="11"/>
      <c r="F103" s="65"/>
      <c r="G103" s="12"/>
      <c r="H103" s="41"/>
      <c r="I103" s="30"/>
      <c r="J103" s="30"/>
      <c r="K103" s="97"/>
      <c r="L103" s="11"/>
      <c r="M103" s="11"/>
      <c r="N103" s="11"/>
      <c r="O103" s="11"/>
      <c r="P103" s="82"/>
    </row>
    <row r="104" spans="2:18" s="9" customFormat="1" x14ac:dyDescent="0.2">
      <c r="B104" s="10"/>
      <c r="C104" s="11"/>
      <c r="D104" s="63"/>
      <c r="E104" s="11"/>
      <c r="F104" s="65"/>
      <c r="G104" s="12"/>
      <c r="H104" s="41"/>
      <c r="I104" s="30"/>
      <c r="J104" s="30"/>
      <c r="K104" s="97"/>
      <c r="L104" s="11"/>
      <c r="M104" s="11"/>
      <c r="N104" s="11"/>
      <c r="O104" s="11"/>
      <c r="P104" s="82"/>
    </row>
    <row r="105" spans="2:18" s="9" customFormat="1" x14ac:dyDescent="0.2">
      <c r="B105" s="10"/>
      <c r="C105" s="11"/>
      <c r="D105" s="63"/>
      <c r="E105" s="11"/>
      <c r="F105" s="65"/>
      <c r="G105" s="12"/>
      <c r="H105" s="41"/>
      <c r="I105" s="30"/>
      <c r="J105" s="30"/>
      <c r="K105" s="97"/>
      <c r="L105" s="11"/>
      <c r="M105" s="11"/>
      <c r="N105" s="11"/>
      <c r="O105" s="11"/>
      <c r="P105" s="82"/>
    </row>
    <row r="106" spans="2:18" s="9" customFormat="1" x14ac:dyDescent="0.2">
      <c r="B106" s="10"/>
      <c r="C106" s="11"/>
      <c r="D106" s="63"/>
      <c r="E106" s="11"/>
      <c r="F106" s="65"/>
      <c r="G106" s="12"/>
      <c r="H106" s="41"/>
      <c r="I106" s="30"/>
      <c r="J106" s="30"/>
      <c r="K106" s="97"/>
      <c r="L106" s="11"/>
      <c r="M106" s="11"/>
      <c r="N106" s="11"/>
      <c r="O106" s="11"/>
      <c r="P106" s="82"/>
    </row>
    <row r="107" spans="2:18" s="9" customFormat="1" x14ac:dyDescent="0.2">
      <c r="B107" s="10"/>
      <c r="C107" s="11"/>
      <c r="D107" s="63"/>
      <c r="E107" s="11"/>
      <c r="F107" s="65"/>
      <c r="G107" s="12"/>
      <c r="H107" s="41"/>
      <c r="I107" s="30"/>
      <c r="J107" s="30"/>
      <c r="K107" s="97"/>
      <c r="L107" s="11"/>
      <c r="M107" s="11"/>
      <c r="N107" s="11"/>
      <c r="O107" s="11"/>
      <c r="P107" s="82"/>
    </row>
    <row r="108" spans="2:18" s="9" customFormat="1" x14ac:dyDescent="0.2">
      <c r="B108" s="10"/>
      <c r="C108" s="11"/>
      <c r="D108" s="63"/>
      <c r="E108" s="11"/>
      <c r="F108" s="65"/>
      <c r="G108" s="12"/>
      <c r="H108" s="41"/>
      <c r="I108" s="30"/>
      <c r="J108" s="30"/>
      <c r="K108" s="97"/>
      <c r="L108" s="11"/>
      <c r="M108" s="11"/>
      <c r="N108" s="11"/>
      <c r="O108" s="11"/>
      <c r="P108" s="82"/>
    </row>
    <row r="109" spans="2:18" s="9" customFormat="1" x14ac:dyDescent="0.2">
      <c r="B109" s="10"/>
      <c r="C109" s="11"/>
      <c r="D109" s="63"/>
      <c r="E109" s="11"/>
      <c r="F109" s="65"/>
      <c r="G109" s="12"/>
      <c r="H109" s="41"/>
      <c r="I109" s="30"/>
      <c r="J109" s="30"/>
      <c r="K109" s="97"/>
      <c r="L109" s="11"/>
      <c r="M109" s="11"/>
      <c r="N109" s="11"/>
      <c r="O109" s="11"/>
      <c r="P109" s="82"/>
    </row>
    <row r="110" spans="2:18" s="9" customFormat="1" x14ac:dyDescent="0.2">
      <c r="B110" s="10"/>
      <c r="C110" s="11"/>
      <c r="D110" s="63"/>
      <c r="E110" s="11"/>
      <c r="F110" s="65"/>
      <c r="G110" s="12"/>
      <c r="H110" s="41"/>
      <c r="I110" s="30"/>
      <c r="J110" s="30"/>
      <c r="K110" s="97"/>
      <c r="L110" s="11"/>
      <c r="M110" s="11"/>
      <c r="N110" s="11"/>
      <c r="O110" s="11"/>
      <c r="P110" s="82"/>
    </row>
    <row r="111" spans="2:18" s="9" customFormat="1" x14ac:dyDescent="0.2">
      <c r="B111" s="10"/>
      <c r="C111" s="11"/>
      <c r="D111" s="63"/>
      <c r="E111" s="11"/>
      <c r="F111" s="65"/>
      <c r="G111" s="12"/>
      <c r="H111" s="41"/>
      <c r="I111" s="30"/>
      <c r="J111" s="30"/>
      <c r="K111" s="97"/>
      <c r="L111" s="11"/>
      <c r="M111" s="11"/>
      <c r="N111" s="11"/>
      <c r="O111" s="11"/>
      <c r="P111" s="82"/>
    </row>
    <row r="112" spans="2:18" s="9" customFormat="1" x14ac:dyDescent="0.2">
      <c r="B112" s="10"/>
      <c r="C112" s="11"/>
      <c r="D112" s="63"/>
      <c r="E112" s="11"/>
      <c r="F112" s="65"/>
      <c r="G112" s="12"/>
      <c r="H112" s="41"/>
      <c r="I112" s="30"/>
      <c r="J112" s="30"/>
      <c r="K112" s="97"/>
      <c r="L112" s="11"/>
      <c r="M112" s="11"/>
      <c r="N112" s="11"/>
      <c r="O112" s="11"/>
      <c r="P112" s="82"/>
    </row>
    <row r="113" spans="2:16" s="9" customFormat="1" x14ac:dyDescent="0.2">
      <c r="B113" s="10"/>
      <c r="C113" s="11"/>
      <c r="D113" s="63"/>
      <c r="E113" s="11"/>
      <c r="F113" s="65"/>
      <c r="G113" s="12"/>
      <c r="H113" s="41"/>
      <c r="I113" s="30"/>
      <c r="J113" s="30"/>
      <c r="K113" s="97"/>
      <c r="L113" s="11"/>
      <c r="M113" s="11"/>
      <c r="N113" s="11"/>
      <c r="O113" s="11"/>
      <c r="P113" s="82"/>
    </row>
    <row r="114" spans="2:16" s="9" customFormat="1" x14ac:dyDescent="0.2">
      <c r="B114" s="10"/>
      <c r="C114" s="11"/>
      <c r="D114" s="63"/>
      <c r="E114" s="11"/>
      <c r="F114" s="65"/>
      <c r="G114" s="12"/>
      <c r="H114" s="41"/>
      <c r="I114" s="30"/>
      <c r="J114" s="30"/>
      <c r="K114" s="97"/>
      <c r="L114" s="11"/>
      <c r="M114" s="11"/>
      <c r="N114" s="11"/>
      <c r="O114" s="11"/>
      <c r="P114" s="82"/>
    </row>
    <row r="115" spans="2:16" s="9" customFormat="1" x14ac:dyDescent="0.2">
      <c r="B115" s="10"/>
      <c r="C115" s="11"/>
      <c r="D115" s="63"/>
      <c r="E115" s="11"/>
      <c r="F115" s="65"/>
      <c r="G115" s="12"/>
      <c r="H115" s="41"/>
      <c r="I115" s="30"/>
      <c r="J115" s="30"/>
      <c r="K115" s="97"/>
      <c r="L115" s="11"/>
      <c r="M115" s="11"/>
      <c r="N115" s="11"/>
      <c r="O115" s="11"/>
      <c r="P115" s="82"/>
    </row>
    <row r="116" spans="2:16" s="9" customFormat="1" x14ac:dyDescent="0.2">
      <c r="B116" s="10"/>
      <c r="C116" s="11"/>
      <c r="D116" s="63"/>
      <c r="E116" s="11"/>
      <c r="F116" s="65"/>
      <c r="G116" s="12"/>
      <c r="H116" s="41"/>
      <c r="I116" s="30"/>
      <c r="J116" s="30"/>
      <c r="K116" s="97"/>
      <c r="L116" s="11"/>
      <c r="M116" s="11"/>
      <c r="N116" s="11"/>
      <c r="O116" s="11"/>
      <c r="P116" s="82"/>
    </row>
    <row r="117" spans="2:16" s="9" customFormat="1" x14ac:dyDescent="0.2">
      <c r="B117" s="10"/>
      <c r="C117" s="11"/>
      <c r="D117" s="63"/>
      <c r="E117" s="11"/>
      <c r="F117" s="65"/>
      <c r="G117" s="12"/>
      <c r="H117" s="41"/>
      <c r="I117" s="30"/>
      <c r="J117" s="30"/>
      <c r="K117" s="97"/>
      <c r="L117" s="11"/>
      <c r="M117" s="11"/>
      <c r="N117" s="11"/>
      <c r="O117" s="11"/>
      <c r="P117" s="82"/>
    </row>
    <row r="118" spans="2:16" s="9" customFormat="1" x14ac:dyDescent="0.2">
      <c r="B118" s="10"/>
      <c r="C118" s="11"/>
      <c r="D118" s="63"/>
      <c r="E118" s="11"/>
      <c r="F118" s="65"/>
      <c r="G118" s="12"/>
      <c r="H118" s="41"/>
      <c r="I118" s="30"/>
      <c r="J118" s="30"/>
      <c r="K118" s="97"/>
      <c r="L118" s="11"/>
      <c r="M118" s="11"/>
      <c r="N118" s="11"/>
      <c r="O118" s="11"/>
      <c r="P118" s="82"/>
    </row>
    <row r="119" spans="2:16" s="9" customFormat="1" x14ac:dyDescent="0.2">
      <c r="B119" s="10"/>
      <c r="C119" s="11"/>
      <c r="D119" s="63"/>
      <c r="E119" s="11"/>
      <c r="F119" s="65"/>
      <c r="G119" s="12"/>
      <c r="H119" s="41"/>
      <c r="I119" s="30"/>
      <c r="J119" s="30"/>
      <c r="K119" s="97"/>
      <c r="L119" s="11"/>
      <c r="M119" s="11"/>
      <c r="N119" s="11"/>
      <c r="O119" s="11"/>
      <c r="P119" s="82"/>
    </row>
    <row r="120" spans="2:16" s="9" customFormat="1" x14ac:dyDescent="0.2">
      <c r="B120" s="10"/>
      <c r="C120" s="11"/>
      <c r="D120" s="63"/>
      <c r="E120" s="11"/>
      <c r="F120" s="65"/>
      <c r="G120" s="12"/>
      <c r="H120" s="41"/>
      <c r="I120" s="30"/>
      <c r="J120" s="30"/>
      <c r="K120" s="97"/>
      <c r="L120" s="11"/>
      <c r="M120" s="11"/>
      <c r="N120" s="11"/>
      <c r="O120" s="11"/>
      <c r="P120" s="82"/>
    </row>
    <row r="121" spans="2:16" s="9" customFormat="1" x14ac:dyDescent="0.2">
      <c r="B121" s="10"/>
      <c r="C121" s="11"/>
      <c r="D121" s="63"/>
      <c r="E121" s="11"/>
      <c r="F121" s="65"/>
      <c r="G121" s="12"/>
      <c r="H121" s="41"/>
      <c r="I121" s="30"/>
      <c r="J121" s="30"/>
      <c r="K121" s="97"/>
      <c r="L121" s="11"/>
      <c r="M121" s="11"/>
      <c r="N121" s="11"/>
      <c r="O121" s="11"/>
      <c r="P121" s="82"/>
    </row>
    <row r="122" spans="2:16" s="9" customFormat="1" x14ac:dyDescent="0.2">
      <c r="B122" s="10"/>
      <c r="C122" s="11"/>
      <c r="D122" s="63"/>
      <c r="E122" s="11"/>
      <c r="F122" s="65"/>
      <c r="G122" s="12"/>
      <c r="H122" s="41"/>
      <c r="I122" s="30"/>
      <c r="J122" s="30"/>
      <c r="K122" s="97"/>
      <c r="L122" s="11"/>
      <c r="M122" s="11"/>
      <c r="N122" s="11"/>
      <c r="O122" s="11"/>
      <c r="P122" s="82"/>
    </row>
    <row r="123" spans="2:16" s="9" customFormat="1" x14ac:dyDescent="0.2">
      <c r="B123" s="10"/>
      <c r="C123" s="11"/>
      <c r="D123" s="63"/>
      <c r="E123" s="11"/>
      <c r="F123" s="65"/>
      <c r="G123" s="12"/>
      <c r="H123" s="41"/>
      <c r="I123" s="30"/>
      <c r="J123" s="30"/>
      <c r="K123" s="97"/>
      <c r="L123" s="11"/>
      <c r="M123" s="11"/>
      <c r="N123" s="11"/>
      <c r="O123" s="11"/>
      <c r="P123" s="82"/>
    </row>
    <row r="124" spans="2:16" s="9" customFormat="1" x14ac:dyDescent="0.2">
      <c r="B124" s="10"/>
      <c r="C124" s="11"/>
      <c r="D124" s="63"/>
      <c r="E124" s="11"/>
      <c r="F124" s="65"/>
      <c r="G124" s="12"/>
      <c r="H124" s="41"/>
      <c r="I124" s="30"/>
      <c r="J124" s="30"/>
      <c r="K124" s="97"/>
      <c r="L124" s="11"/>
      <c r="M124" s="11"/>
      <c r="N124" s="11"/>
      <c r="O124" s="11"/>
      <c r="P124" s="82"/>
    </row>
    <row r="125" spans="2:16" s="9" customFormat="1" x14ac:dyDescent="0.2">
      <c r="B125" s="10"/>
      <c r="C125" s="11"/>
      <c r="D125" s="63"/>
      <c r="E125" s="11"/>
      <c r="F125" s="65"/>
      <c r="G125" s="12"/>
      <c r="H125" s="41"/>
      <c r="I125" s="30"/>
      <c r="J125" s="30"/>
      <c r="K125" s="97"/>
      <c r="L125" s="11"/>
      <c r="M125" s="11"/>
      <c r="N125" s="11"/>
      <c r="O125" s="11"/>
      <c r="P125" s="82"/>
    </row>
    <row r="126" spans="2:16" s="9" customFormat="1" x14ac:dyDescent="0.2">
      <c r="B126" s="10"/>
      <c r="C126" s="11"/>
      <c r="D126" s="63"/>
      <c r="E126" s="11"/>
      <c r="F126" s="65"/>
      <c r="G126" s="12"/>
      <c r="H126" s="41"/>
      <c r="I126" s="30"/>
      <c r="J126" s="30"/>
      <c r="K126" s="97"/>
      <c r="L126" s="11"/>
      <c r="M126" s="11"/>
      <c r="N126" s="11"/>
      <c r="O126" s="11"/>
      <c r="P126" s="82"/>
    </row>
    <row r="127" spans="2:16" s="9" customFormat="1" x14ac:dyDescent="0.2">
      <c r="B127" s="10"/>
      <c r="C127" s="11"/>
      <c r="D127" s="63"/>
      <c r="E127" s="11"/>
      <c r="F127" s="65"/>
      <c r="G127" s="12"/>
      <c r="H127" s="41"/>
      <c r="I127" s="30"/>
      <c r="J127" s="30"/>
      <c r="K127" s="97"/>
      <c r="L127" s="11"/>
      <c r="M127" s="11"/>
      <c r="N127" s="11"/>
      <c r="O127" s="11"/>
      <c r="P127" s="82"/>
    </row>
    <row r="128" spans="2:16" s="9" customFormat="1" x14ac:dyDescent="0.2">
      <c r="B128" s="10"/>
      <c r="C128" s="11"/>
      <c r="D128" s="63"/>
      <c r="E128" s="11"/>
      <c r="F128" s="65"/>
      <c r="G128" s="12"/>
      <c r="H128" s="41"/>
      <c r="I128" s="30"/>
      <c r="J128" s="30"/>
      <c r="K128" s="97"/>
      <c r="L128" s="11"/>
      <c r="M128" s="11"/>
      <c r="N128" s="11"/>
      <c r="O128" s="11"/>
      <c r="P128" s="82"/>
    </row>
    <row r="129" spans="2:16" s="9" customFormat="1" x14ac:dyDescent="0.2">
      <c r="B129" s="10"/>
      <c r="C129" s="11"/>
      <c r="D129" s="63"/>
      <c r="E129" s="11"/>
      <c r="F129" s="65"/>
      <c r="G129" s="12"/>
      <c r="H129" s="41"/>
      <c r="I129" s="30"/>
      <c r="J129" s="30"/>
      <c r="K129" s="97"/>
      <c r="L129" s="11"/>
      <c r="M129" s="11"/>
      <c r="N129" s="11"/>
      <c r="O129" s="11"/>
      <c r="P129" s="82"/>
    </row>
    <row r="130" spans="2:16" s="9" customFormat="1" x14ac:dyDescent="0.2">
      <c r="B130" s="10"/>
      <c r="C130" s="11"/>
      <c r="D130" s="63"/>
      <c r="E130" s="11"/>
      <c r="F130" s="65"/>
      <c r="G130" s="12"/>
      <c r="H130" s="41"/>
      <c r="I130" s="30"/>
      <c r="J130" s="30"/>
      <c r="K130" s="97"/>
      <c r="L130" s="11"/>
      <c r="M130" s="11"/>
      <c r="N130" s="11"/>
      <c r="O130" s="11"/>
      <c r="P130" s="82"/>
    </row>
    <row r="131" spans="2:16" s="9" customFormat="1" x14ac:dyDescent="0.2">
      <c r="B131" s="10"/>
      <c r="C131" s="11"/>
      <c r="D131" s="63"/>
      <c r="E131" s="11"/>
      <c r="F131" s="65"/>
      <c r="G131" s="12"/>
      <c r="H131" s="41"/>
      <c r="I131" s="30"/>
      <c r="J131" s="30"/>
      <c r="K131" s="97"/>
      <c r="L131" s="11"/>
      <c r="M131" s="11"/>
      <c r="N131" s="11"/>
      <c r="O131" s="11"/>
      <c r="P131" s="82"/>
    </row>
    <row r="132" spans="2:16" s="9" customFormat="1" x14ac:dyDescent="0.2">
      <c r="B132" s="10"/>
      <c r="C132" s="11"/>
      <c r="D132" s="63"/>
      <c r="E132" s="11"/>
      <c r="F132" s="65"/>
      <c r="G132" s="12"/>
      <c r="H132" s="41"/>
      <c r="I132" s="30"/>
      <c r="J132" s="30"/>
      <c r="K132" s="97"/>
      <c r="L132" s="11"/>
      <c r="M132" s="11"/>
      <c r="N132" s="11"/>
      <c r="O132" s="11"/>
      <c r="P132" s="82"/>
    </row>
    <row r="133" spans="2:16" s="9" customFormat="1" x14ac:dyDescent="0.2">
      <c r="B133" s="10"/>
      <c r="C133" s="11"/>
      <c r="D133" s="63"/>
      <c r="E133" s="11"/>
      <c r="F133" s="65"/>
      <c r="G133" s="12"/>
      <c r="H133" s="41"/>
      <c r="I133" s="30"/>
      <c r="J133" s="30"/>
      <c r="K133" s="97"/>
      <c r="L133" s="11"/>
      <c r="M133" s="11"/>
      <c r="N133" s="11"/>
      <c r="O133" s="11"/>
      <c r="P133" s="82"/>
    </row>
    <row r="134" spans="2:16" s="9" customFormat="1" x14ac:dyDescent="0.2">
      <c r="B134" s="10"/>
      <c r="C134" s="11"/>
      <c r="D134" s="63"/>
      <c r="E134" s="11"/>
      <c r="F134" s="65"/>
      <c r="G134" s="12"/>
      <c r="H134" s="41"/>
      <c r="I134" s="30"/>
      <c r="J134" s="30"/>
      <c r="K134" s="97"/>
      <c r="L134" s="11"/>
      <c r="M134" s="11"/>
      <c r="N134" s="11"/>
      <c r="O134" s="11"/>
      <c r="P134" s="82"/>
    </row>
    <row r="135" spans="2:16" s="9" customFormat="1" x14ac:dyDescent="0.2">
      <c r="B135" s="10"/>
      <c r="C135" s="11"/>
      <c r="D135" s="63"/>
      <c r="E135" s="11"/>
      <c r="F135" s="65"/>
      <c r="G135" s="12"/>
      <c r="H135" s="41"/>
      <c r="I135" s="30"/>
      <c r="J135" s="30"/>
      <c r="K135" s="97"/>
      <c r="L135" s="11"/>
      <c r="M135" s="11"/>
      <c r="N135" s="11"/>
      <c r="O135" s="11"/>
      <c r="P135" s="82"/>
    </row>
    <row r="136" spans="2:16" s="9" customFormat="1" x14ac:dyDescent="0.2">
      <c r="B136" s="10"/>
      <c r="C136" s="11"/>
      <c r="D136" s="63"/>
      <c r="E136" s="11"/>
      <c r="F136" s="65"/>
      <c r="G136" s="12"/>
      <c r="H136" s="41"/>
      <c r="I136" s="30"/>
      <c r="J136" s="30"/>
      <c r="K136" s="97"/>
      <c r="L136" s="11"/>
      <c r="M136" s="11"/>
      <c r="N136" s="11"/>
      <c r="O136" s="11"/>
      <c r="P136" s="82"/>
    </row>
    <row r="137" spans="2:16" s="9" customFormat="1" x14ac:dyDescent="0.2">
      <c r="B137" s="10"/>
      <c r="C137" s="11"/>
      <c r="D137" s="63"/>
      <c r="E137" s="11"/>
      <c r="F137" s="65"/>
      <c r="G137" s="12"/>
      <c r="H137" s="41"/>
      <c r="I137" s="30"/>
      <c r="J137" s="30"/>
      <c r="K137" s="97"/>
      <c r="L137" s="11"/>
      <c r="M137" s="11"/>
      <c r="N137" s="11"/>
      <c r="O137" s="11"/>
      <c r="P137" s="82"/>
    </row>
    <row r="138" spans="2:16" s="9" customFormat="1" x14ac:dyDescent="0.2">
      <c r="B138" s="10"/>
      <c r="C138" s="11"/>
      <c r="D138" s="63"/>
      <c r="E138" s="11"/>
      <c r="F138" s="65"/>
      <c r="G138" s="12"/>
      <c r="H138" s="41"/>
      <c r="I138" s="30"/>
      <c r="J138" s="30"/>
      <c r="K138" s="97"/>
      <c r="L138" s="11"/>
      <c r="M138" s="11"/>
      <c r="N138" s="11"/>
      <c r="O138" s="11"/>
      <c r="P138" s="82"/>
    </row>
    <row r="139" spans="2:16" s="9" customFormat="1" x14ac:dyDescent="0.2">
      <c r="B139" s="10"/>
      <c r="C139" s="11"/>
      <c r="D139" s="63"/>
      <c r="E139" s="11"/>
      <c r="F139" s="65"/>
      <c r="G139" s="12"/>
      <c r="H139" s="41"/>
      <c r="I139" s="30"/>
      <c r="J139" s="30"/>
      <c r="K139" s="97"/>
      <c r="L139" s="11"/>
      <c r="M139" s="11"/>
      <c r="N139" s="11"/>
      <c r="O139" s="11"/>
      <c r="P139" s="82"/>
    </row>
    <row r="140" spans="2:16" s="9" customFormat="1" x14ac:dyDescent="0.2">
      <c r="B140" s="10"/>
      <c r="C140" s="11"/>
      <c r="D140" s="63"/>
      <c r="E140" s="11"/>
      <c r="F140" s="65"/>
      <c r="G140" s="12"/>
      <c r="H140" s="41"/>
      <c r="I140" s="30"/>
      <c r="J140" s="30"/>
      <c r="K140" s="97"/>
      <c r="L140" s="11"/>
      <c r="M140" s="11"/>
      <c r="N140" s="11"/>
      <c r="O140" s="11"/>
      <c r="P140" s="82"/>
    </row>
    <row r="141" spans="2:16" s="9" customFormat="1" x14ac:dyDescent="0.2">
      <c r="B141" s="10"/>
      <c r="C141" s="11"/>
      <c r="D141" s="63"/>
      <c r="E141" s="11"/>
      <c r="F141" s="65"/>
      <c r="G141" s="12"/>
      <c r="H141" s="41"/>
      <c r="I141" s="30"/>
      <c r="J141" s="30"/>
      <c r="K141" s="97"/>
      <c r="L141" s="11"/>
      <c r="M141" s="11"/>
      <c r="N141" s="11"/>
      <c r="O141" s="11"/>
      <c r="P141" s="82"/>
    </row>
    <row r="142" spans="2:16" s="9" customFormat="1" x14ac:dyDescent="0.2">
      <c r="B142" s="10"/>
      <c r="C142" s="11"/>
      <c r="D142" s="63"/>
      <c r="E142" s="11"/>
      <c r="F142" s="65"/>
      <c r="G142" s="12"/>
      <c r="H142" s="41"/>
      <c r="I142" s="30"/>
      <c r="J142" s="30"/>
      <c r="K142" s="97"/>
      <c r="L142" s="11"/>
      <c r="M142" s="11"/>
      <c r="N142" s="11"/>
      <c r="O142" s="11"/>
      <c r="P142" s="82"/>
    </row>
    <row r="143" spans="2:16" s="9" customFormat="1" x14ac:dyDescent="0.2">
      <c r="B143" s="10"/>
      <c r="C143" s="11"/>
      <c r="D143" s="63"/>
      <c r="E143" s="11"/>
      <c r="F143" s="65"/>
      <c r="G143" s="12"/>
      <c r="H143" s="41"/>
      <c r="I143" s="30"/>
      <c r="J143" s="30"/>
      <c r="K143" s="97"/>
      <c r="L143" s="11"/>
      <c r="M143" s="11"/>
      <c r="N143" s="11"/>
      <c r="O143" s="11"/>
      <c r="P143" s="82"/>
    </row>
    <row r="144" spans="2:16" s="9" customFormat="1" x14ac:dyDescent="0.2">
      <c r="B144" s="10"/>
      <c r="C144" s="11"/>
      <c r="D144" s="63"/>
      <c r="E144" s="11"/>
      <c r="F144" s="65"/>
      <c r="G144" s="12"/>
      <c r="H144" s="41"/>
      <c r="I144" s="30"/>
      <c r="J144" s="30"/>
      <c r="K144" s="97"/>
      <c r="L144" s="11"/>
      <c r="M144" s="11"/>
      <c r="N144" s="11"/>
      <c r="O144" s="11"/>
      <c r="P144" s="82"/>
    </row>
    <row r="145" spans="2:16" s="9" customFormat="1" x14ac:dyDescent="0.2">
      <c r="B145" s="10"/>
      <c r="C145" s="11"/>
      <c r="D145" s="63"/>
      <c r="E145" s="11"/>
      <c r="F145" s="65"/>
      <c r="G145" s="12"/>
      <c r="H145" s="41"/>
      <c r="I145" s="30"/>
      <c r="J145" s="30"/>
      <c r="K145" s="97"/>
      <c r="L145" s="11"/>
      <c r="M145" s="11"/>
      <c r="N145" s="11"/>
      <c r="O145" s="11"/>
      <c r="P145" s="82"/>
    </row>
    <row r="146" spans="2:16" s="9" customFormat="1" x14ac:dyDescent="0.2">
      <c r="B146" s="10"/>
      <c r="C146" s="11"/>
      <c r="D146" s="63"/>
      <c r="E146" s="11"/>
      <c r="F146" s="65"/>
      <c r="G146" s="12"/>
      <c r="H146" s="41"/>
      <c r="I146" s="30"/>
      <c r="J146" s="30"/>
      <c r="K146" s="97"/>
      <c r="L146" s="11"/>
      <c r="M146" s="11"/>
      <c r="N146" s="11"/>
      <c r="O146" s="11"/>
      <c r="P146" s="82"/>
    </row>
    <row r="147" spans="2:16" s="9" customFormat="1" x14ac:dyDescent="0.2">
      <c r="B147" s="10"/>
      <c r="C147" s="11"/>
      <c r="D147" s="63"/>
      <c r="E147" s="11"/>
      <c r="F147" s="65"/>
      <c r="G147" s="12"/>
      <c r="H147" s="41"/>
      <c r="I147" s="30"/>
      <c r="J147" s="30"/>
      <c r="K147" s="97"/>
      <c r="L147" s="11"/>
      <c r="M147" s="11"/>
      <c r="N147" s="11"/>
      <c r="O147" s="11"/>
      <c r="P147" s="82"/>
    </row>
    <row r="148" spans="2:16" s="9" customFormat="1" x14ac:dyDescent="0.2">
      <c r="B148" s="10"/>
      <c r="C148" s="11"/>
      <c r="D148" s="63"/>
      <c r="E148" s="11"/>
      <c r="F148" s="65"/>
      <c r="G148" s="12"/>
      <c r="H148" s="41"/>
      <c r="I148" s="30"/>
      <c r="J148" s="30"/>
      <c r="K148" s="97"/>
      <c r="L148" s="11"/>
      <c r="M148" s="11"/>
      <c r="N148" s="11"/>
      <c r="O148" s="11"/>
      <c r="P148" s="82"/>
    </row>
    <row r="149" spans="2:16" s="9" customFormat="1" x14ac:dyDescent="0.2">
      <c r="B149" s="10"/>
      <c r="C149" s="11"/>
      <c r="D149" s="63"/>
      <c r="E149" s="11"/>
      <c r="F149" s="65"/>
      <c r="G149" s="12"/>
      <c r="H149" s="41"/>
      <c r="I149" s="30"/>
      <c r="J149" s="30"/>
      <c r="K149" s="97"/>
      <c r="L149" s="11"/>
      <c r="M149" s="11"/>
      <c r="N149" s="11"/>
      <c r="O149" s="11"/>
      <c r="P149" s="82"/>
    </row>
    <row r="150" spans="2:16" s="9" customFormat="1" x14ac:dyDescent="0.2">
      <c r="B150" s="10"/>
      <c r="C150" s="11"/>
      <c r="D150" s="63"/>
      <c r="E150" s="11"/>
      <c r="F150" s="65"/>
      <c r="G150" s="12"/>
      <c r="H150" s="41"/>
      <c r="I150" s="30"/>
      <c r="J150" s="30"/>
      <c r="K150" s="97"/>
      <c r="L150" s="11"/>
      <c r="M150" s="11"/>
      <c r="N150" s="11"/>
      <c r="O150" s="11"/>
      <c r="P150" s="82"/>
    </row>
    <row r="151" spans="2:16" s="9" customFormat="1" x14ac:dyDescent="0.2">
      <c r="B151" s="10"/>
      <c r="C151" s="11"/>
      <c r="D151" s="63"/>
      <c r="E151" s="11"/>
      <c r="F151" s="65"/>
      <c r="G151" s="12"/>
      <c r="H151" s="41"/>
      <c r="I151" s="30"/>
      <c r="J151" s="30"/>
      <c r="K151" s="97"/>
      <c r="L151" s="11"/>
      <c r="M151" s="11"/>
      <c r="N151" s="11"/>
      <c r="O151" s="11"/>
      <c r="P151" s="82"/>
    </row>
    <row r="152" spans="2:16" s="9" customFormat="1" x14ac:dyDescent="0.2">
      <c r="B152" s="10"/>
      <c r="C152" s="11"/>
      <c r="D152" s="63"/>
      <c r="E152" s="11"/>
      <c r="F152" s="65"/>
      <c r="G152" s="12"/>
      <c r="H152" s="41"/>
      <c r="I152" s="30"/>
      <c r="J152" s="30"/>
      <c r="K152" s="97"/>
      <c r="L152" s="11"/>
      <c r="M152" s="11"/>
      <c r="N152" s="11"/>
      <c r="O152" s="11"/>
      <c r="P152" s="82"/>
    </row>
    <row r="153" spans="2:16" s="9" customFormat="1" x14ac:dyDescent="0.2">
      <c r="B153" s="10"/>
      <c r="C153" s="11"/>
      <c r="D153" s="63"/>
      <c r="E153" s="11"/>
      <c r="F153" s="65"/>
      <c r="G153" s="12"/>
      <c r="H153" s="41"/>
      <c r="I153" s="30"/>
      <c r="J153" s="30"/>
      <c r="K153" s="97"/>
      <c r="L153" s="11"/>
      <c r="M153" s="11"/>
      <c r="N153" s="11"/>
      <c r="O153" s="11"/>
      <c r="P153" s="82"/>
    </row>
    <row r="154" spans="2:16" s="9" customFormat="1" x14ac:dyDescent="0.2">
      <c r="B154" s="10"/>
      <c r="C154" s="11"/>
      <c r="D154" s="63"/>
      <c r="E154" s="11"/>
      <c r="F154" s="65"/>
      <c r="G154" s="12"/>
      <c r="H154" s="41"/>
      <c r="I154" s="30"/>
      <c r="J154" s="30"/>
      <c r="K154" s="97"/>
      <c r="L154" s="11"/>
      <c r="M154" s="11"/>
      <c r="N154" s="11"/>
      <c r="O154" s="11"/>
      <c r="P154" s="82"/>
    </row>
    <row r="155" spans="2:16" s="9" customFormat="1" x14ac:dyDescent="0.2">
      <c r="B155" s="10"/>
      <c r="C155" s="11"/>
      <c r="D155" s="63"/>
      <c r="E155" s="11"/>
      <c r="F155" s="65"/>
      <c r="G155" s="12"/>
      <c r="H155" s="41"/>
      <c r="I155" s="30"/>
      <c r="J155" s="30"/>
      <c r="K155" s="97"/>
      <c r="L155" s="11"/>
      <c r="M155" s="11"/>
      <c r="N155" s="11"/>
      <c r="O155" s="11"/>
      <c r="P155" s="82"/>
    </row>
    <row r="156" spans="2:16" s="9" customFormat="1" x14ac:dyDescent="0.2">
      <c r="B156" s="10"/>
      <c r="C156" s="11"/>
      <c r="D156" s="63"/>
      <c r="E156" s="11"/>
      <c r="F156" s="65"/>
      <c r="G156" s="12"/>
      <c r="H156" s="41"/>
      <c r="I156" s="30"/>
      <c r="J156" s="30"/>
      <c r="K156" s="97"/>
      <c r="L156" s="11"/>
      <c r="M156" s="11"/>
      <c r="N156" s="11"/>
      <c r="O156" s="11"/>
      <c r="P156" s="82"/>
    </row>
    <row r="157" spans="2:16" s="9" customFormat="1" x14ac:dyDescent="0.2">
      <c r="B157" s="10"/>
      <c r="C157" s="11"/>
      <c r="D157" s="63"/>
      <c r="E157" s="11"/>
      <c r="F157" s="65"/>
      <c r="G157" s="12"/>
      <c r="H157" s="41"/>
      <c r="I157" s="30"/>
      <c r="J157" s="30"/>
      <c r="K157" s="97"/>
      <c r="L157" s="11"/>
      <c r="M157" s="11"/>
      <c r="N157" s="11"/>
      <c r="O157" s="11"/>
      <c r="P157" s="82"/>
    </row>
    <row r="158" spans="2:16" s="9" customFormat="1" x14ac:dyDescent="0.2">
      <c r="B158" s="10"/>
      <c r="C158" s="11"/>
      <c r="D158" s="63"/>
      <c r="E158" s="11"/>
      <c r="F158" s="65"/>
      <c r="G158" s="12"/>
      <c r="H158" s="41"/>
      <c r="I158" s="30"/>
      <c r="J158" s="30"/>
      <c r="K158" s="97"/>
      <c r="L158" s="11"/>
      <c r="M158" s="11"/>
      <c r="N158" s="11"/>
      <c r="O158" s="11"/>
      <c r="P158" s="82"/>
    </row>
    <row r="159" spans="2:16" s="9" customFormat="1" x14ac:dyDescent="0.2">
      <c r="B159" s="10"/>
      <c r="C159" s="11"/>
      <c r="D159" s="63"/>
      <c r="E159" s="11"/>
      <c r="F159" s="65"/>
      <c r="G159" s="12"/>
      <c r="H159" s="41"/>
      <c r="I159" s="30"/>
      <c r="J159" s="30"/>
      <c r="K159" s="97"/>
      <c r="L159" s="11"/>
      <c r="M159" s="11"/>
      <c r="N159" s="11"/>
      <c r="O159" s="11"/>
      <c r="P159" s="82"/>
    </row>
    <row r="160" spans="2:16" s="9" customFormat="1" x14ac:dyDescent="0.2">
      <c r="B160" s="10"/>
      <c r="C160" s="11"/>
      <c r="D160" s="63"/>
      <c r="E160" s="11"/>
      <c r="F160" s="65"/>
      <c r="G160" s="12"/>
      <c r="H160" s="41"/>
      <c r="I160" s="30"/>
      <c r="J160" s="30"/>
      <c r="K160" s="97"/>
      <c r="L160" s="11"/>
      <c r="M160" s="11"/>
      <c r="N160" s="11"/>
      <c r="O160" s="11"/>
      <c r="P160" s="82"/>
    </row>
    <row r="161" spans="2:16" s="9" customFormat="1" x14ac:dyDescent="0.2">
      <c r="B161" s="10"/>
      <c r="C161" s="11"/>
      <c r="D161" s="63"/>
      <c r="E161" s="11"/>
      <c r="F161" s="65"/>
      <c r="G161" s="12"/>
      <c r="H161" s="41"/>
      <c r="I161" s="30"/>
      <c r="J161" s="30"/>
      <c r="K161" s="97"/>
      <c r="L161" s="11"/>
      <c r="M161" s="11"/>
      <c r="N161" s="11"/>
      <c r="O161" s="11"/>
      <c r="P161" s="82"/>
    </row>
    <row r="162" spans="2:16" s="9" customFormat="1" x14ac:dyDescent="0.2">
      <c r="B162" s="10"/>
      <c r="C162" s="11"/>
      <c r="D162" s="63"/>
      <c r="E162" s="11"/>
      <c r="F162" s="65"/>
      <c r="G162" s="12"/>
      <c r="H162" s="41"/>
      <c r="I162" s="30"/>
      <c r="J162" s="30"/>
      <c r="K162" s="97"/>
      <c r="L162" s="11"/>
      <c r="M162" s="11"/>
      <c r="N162" s="11"/>
      <c r="O162" s="11"/>
      <c r="P162" s="82"/>
    </row>
    <row r="163" spans="2:16" s="9" customFormat="1" x14ac:dyDescent="0.2">
      <c r="B163" s="10"/>
      <c r="C163" s="11"/>
      <c r="D163" s="63"/>
      <c r="E163" s="11"/>
      <c r="F163" s="65"/>
      <c r="G163" s="12"/>
      <c r="H163" s="41"/>
      <c r="I163" s="30"/>
      <c r="J163" s="30"/>
      <c r="K163" s="97"/>
      <c r="L163" s="11"/>
      <c r="M163" s="11"/>
      <c r="N163" s="11"/>
      <c r="O163" s="11"/>
      <c r="P163" s="82"/>
    </row>
    <row r="164" spans="2:16" s="9" customFormat="1" x14ac:dyDescent="0.2">
      <c r="B164" s="10"/>
      <c r="C164" s="11"/>
      <c r="D164" s="63"/>
      <c r="E164" s="11"/>
      <c r="F164" s="65"/>
      <c r="G164" s="12"/>
      <c r="H164" s="41"/>
      <c r="I164" s="30"/>
      <c r="J164" s="30"/>
      <c r="K164" s="97"/>
      <c r="L164" s="11"/>
      <c r="M164" s="11"/>
      <c r="N164" s="11"/>
      <c r="O164" s="11"/>
      <c r="P164" s="82"/>
    </row>
    <row r="165" spans="2:16" s="9" customFormat="1" x14ac:dyDescent="0.2">
      <c r="B165" s="10"/>
      <c r="C165" s="11"/>
      <c r="D165" s="63"/>
      <c r="E165" s="11"/>
      <c r="F165" s="65"/>
      <c r="G165" s="12"/>
      <c r="H165" s="41"/>
      <c r="I165" s="30"/>
      <c r="J165" s="30"/>
      <c r="K165" s="97"/>
      <c r="L165" s="11"/>
      <c r="M165" s="11"/>
      <c r="N165" s="11"/>
      <c r="O165" s="11"/>
      <c r="P165" s="82"/>
    </row>
    <row r="166" spans="2:16" s="9" customFormat="1" x14ac:dyDescent="0.2">
      <c r="B166" s="10"/>
      <c r="C166" s="11"/>
      <c r="D166" s="63"/>
      <c r="E166" s="11"/>
      <c r="F166" s="65"/>
      <c r="G166" s="12"/>
      <c r="H166" s="41"/>
      <c r="I166" s="30"/>
      <c r="J166" s="30"/>
      <c r="K166" s="97"/>
      <c r="L166" s="11"/>
      <c r="M166" s="11"/>
      <c r="N166" s="11"/>
      <c r="O166" s="11"/>
      <c r="P166" s="82"/>
    </row>
    <row r="167" spans="2:16" s="9" customFormat="1" x14ac:dyDescent="0.2">
      <c r="B167" s="10"/>
      <c r="C167" s="11"/>
      <c r="D167" s="63"/>
      <c r="E167" s="11"/>
      <c r="F167" s="65"/>
      <c r="G167" s="12"/>
      <c r="H167" s="41"/>
      <c r="I167" s="30"/>
      <c r="J167" s="30"/>
      <c r="K167" s="97"/>
      <c r="L167" s="11"/>
      <c r="M167" s="11"/>
      <c r="N167" s="11"/>
      <c r="O167" s="11"/>
      <c r="P167" s="82"/>
    </row>
    <row r="168" spans="2:16" s="9" customFormat="1" x14ac:dyDescent="0.2">
      <c r="B168" s="10"/>
      <c r="C168" s="11"/>
      <c r="D168" s="63"/>
      <c r="E168" s="11"/>
      <c r="F168" s="65"/>
      <c r="G168" s="12"/>
      <c r="H168" s="41"/>
      <c r="I168" s="30"/>
      <c r="J168" s="30"/>
      <c r="K168" s="97"/>
      <c r="L168" s="11"/>
      <c r="M168" s="11"/>
      <c r="N168" s="11"/>
      <c r="O168" s="11"/>
      <c r="P168" s="82"/>
    </row>
    <row r="169" spans="2:16" s="9" customFormat="1" x14ac:dyDescent="0.2">
      <c r="B169" s="10"/>
      <c r="C169" s="11"/>
      <c r="D169" s="63"/>
      <c r="E169" s="11"/>
      <c r="F169" s="65"/>
      <c r="G169" s="12"/>
      <c r="H169" s="41"/>
      <c r="I169" s="30"/>
      <c r="J169" s="30"/>
      <c r="K169" s="97"/>
      <c r="L169" s="11"/>
      <c r="M169" s="11"/>
      <c r="N169" s="11"/>
      <c r="O169" s="11"/>
      <c r="P169" s="82"/>
    </row>
    <row r="170" spans="2:16" s="9" customFormat="1" x14ac:dyDescent="0.2">
      <c r="B170" s="10"/>
      <c r="C170" s="11"/>
      <c r="D170" s="63"/>
      <c r="E170" s="11"/>
      <c r="F170" s="65"/>
      <c r="G170" s="12"/>
      <c r="H170" s="41"/>
      <c r="I170" s="30"/>
      <c r="J170" s="30"/>
      <c r="K170" s="97"/>
      <c r="L170" s="11"/>
      <c r="M170" s="11"/>
      <c r="N170" s="11"/>
      <c r="O170" s="11"/>
      <c r="P170" s="82"/>
    </row>
    <row r="171" spans="2:16" s="9" customFormat="1" x14ac:dyDescent="0.2">
      <c r="B171" s="10"/>
      <c r="C171" s="11"/>
      <c r="D171" s="63"/>
      <c r="E171" s="11"/>
      <c r="F171" s="65"/>
      <c r="G171" s="12"/>
      <c r="H171" s="41"/>
      <c r="I171" s="30"/>
      <c r="J171" s="30"/>
      <c r="K171" s="97"/>
      <c r="L171" s="11"/>
      <c r="M171" s="11"/>
      <c r="N171" s="11"/>
      <c r="O171" s="11"/>
      <c r="P171" s="82"/>
    </row>
    <row r="172" spans="2:16" s="9" customFormat="1" x14ac:dyDescent="0.2">
      <c r="B172" s="10"/>
      <c r="C172" s="11"/>
      <c r="D172" s="63"/>
      <c r="E172" s="11"/>
      <c r="F172" s="65"/>
      <c r="G172" s="12"/>
      <c r="H172" s="41"/>
      <c r="I172" s="30"/>
      <c r="J172" s="30"/>
      <c r="K172" s="97"/>
      <c r="L172" s="11"/>
      <c r="M172" s="11"/>
      <c r="N172" s="11"/>
      <c r="O172" s="11"/>
      <c r="P172" s="82"/>
    </row>
    <row r="173" spans="2:16" s="9" customFormat="1" x14ac:dyDescent="0.2">
      <c r="B173" s="10"/>
      <c r="C173" s="11"/>
      <c r="D173" s="63"/>
      <c r="E173" s="11"/>
      <c r="F173" s="65"/>
      <c r="G173" s="12"/>
      <c r="H173" s="41"/>
      <c r="I173" s="30"/>
      <c r="J173" s="30"/>
      <c r="K173" s="97"/>
      <c r="L173" s="11"/>
      <c r="M173" s="11"/>
      <c r="N173" s="11"/>
      <c r="O173" s="11"/>
      <c r="P173" s="82"/>
    </row>
    <row r="174" spans="2:16" s="9" customFormat="1" x14ac:dyDescent="0.2">
      <c r="B174" s="10"/>
      <c r="C174" s="11"/>
      <c r="D174" s="63"/>
      <c r="E174" s="11"/>
      <c r="F174" s="65"/>
      <c r="G174" s="12"/>
      <c r="H174" s="41"/>
      <c r="I174" s="30"/>
      <c r="J174" s="30"/>
      <c r="K174" s="97"/>
      <c r="L174" s="11"/>
      <c r="M174" s="11"/>
      <c r="N174" s="11"/>
      <c r="O174" s="11"/>
      <c r="P174" s="82"/>
    </row>
    <row r="175" spans="2:16" s="9" customFormat="1" x14ac:dyDescent="0.2">
      <c r="B175" s="10"/>
      <c r="C175" s="11"/>
      <c r="D175" s="63"/>
      <c r="E175" s="11"/>
      <c r="F175" s="65"/>
      <c r="G175" s="12"/>
      <c r="H175" s="41"/>
      <c r="I175" s="30"/>
      <c r="J175" s="30"/>
      <c r="K175" s="97"/>
      <c r="L175" s="11"/>
      <c r="M175" s="11"/>
      <c r="N175" s="11"/>
      <c r="O175" s="11"/>
      <c r="P175" s="82"/>
    </row>
    <row r="176" spans="2:16" s="9" customFormat="1" x14ac:dyDescent="0.2">
      <c r="B176" s="10"/>
      <c r="C176" s="11"/>
      <c r="D176" s="63"/>
      <c r="E176" s="11"/>
      <c r="F176" s="65"/>
      <c r="G176" s="12"/>
      <c r="H176" s="41"/>
      <c r="I176" s="30"/>
      <c r="J176" s="30"/>
      <c r="K176" s="97"/>
      <c r="L176" s="11"/>
      <c r="M176" s="11"/>
      <c r="N176" s="11"/>
      <c r="O176" s="11"/>
      <c r="P176" s="82"/>
    </row>
    <row r="177" spans="2:16" s="9" customFormat="1" x14ac:dyDescent="0.2">
      <c r="B177" s="10"/>
      <c r="C177" s="11"/>
      <c r="D177" s="63"/>
      <c r="E177" s="11"/>
      <c r="F177" s="65"/>
      <c r="G177" s="12"/>
      <c r="H177" s="41"/>
      <c r="I177" s="30"/>
      <c r="J177" s="30"/>
      <c r="K177" s="97"/>
      <c r="L177" s="11"/>
      <c r="M177" s="11"/>
      <c r="N177" s="11"/>
      <c r="O177" s="11"/>
      <c r="P177" s="82"/>
    </row>
    <row r="178" spans="2:16" s="9" customFormat="1" x14ac:dyDescent="0.2">
      <c r="B178" s="10"/>
      <c r="C178" s="11"/>
      <c r="D178" s="63"/>
      <c r="E178" s="11"/>
      <c r="F178" s="65"/>
      <c r="G178" s="12"/>
      <c r="H178" s="41"/>
      <c r="I178" s="30"/>
      <c r="J178" s="30"/>
      <c r="K178" s="97"/>
      <c r="L178" s="11"/>
      <c r="M178" s="11"/>
      <c r="N178" s="11"/>
      <c r="O178" s="11"/>
      <c r="P178" s="82"/>
    </row>
    <row r="179" spans="2:16" s="9" customFormat="1" x14ac:dyDescent="0.2">
      <c r="B179" s="10"/>
      <c r="C179" s="11"/>
      <c r="D179" s="63"/>
      <c r="E179" s="11"/>
      <c r="F179" s="65"/>
      <c r="G179" s="12"/>
      <c r="H179" s="41"/>
      <c r="I179" s="30"/>
      <c r="J179" s="30"/>
      <c r="K179" s="97"/>
      <c r="L179" s="11"/>
      <c r="M179" s="11"/>
      <c r="N179" s="11"/>
      <c r="O179" s="11"/>
      <c r="P179" s="82"/>
    </row>
    <row r="180" spans="2:16" s="9" customFormat="1" x14ac:dyDescent="0.2">
      <c r="B180" s="10"/>
      <c r="C180" s="11"/>
      <c r="D180" s="63"/>
      <c r="E180" s="11"/>
      <c r="F180" s="65"/>
      <c r="G180" s="12"/>
      <c r="H180" s="41"/>
      <c r="I180" s="30"/>
      <c r="J180" s="30"/>
      <c r="K180" s="97"/>
      <c r="L180" s="11"/>
      <c r="M180" s="11"/>
      <c r="N180" s="11"/>
      <c r="O180" s="11"/>
      <c r="P180" s="82"/>
    </row>
    <row r="181" spans="2:16" s="9" customFormat="1" x14ac:dyDescent="0.2">
      <c r="B181" s="10"/>
      <c r="C181" s="11"/>
      <c r="D181" s="63"/>
      <c r="E181" s="11"/>
      <c r="F181" s="65"/>
      <c r="G181" s="12"/>
      <c r="H181" s="41"/>
      <c r="I181" s="30"/>
      <c r="J181" s="30"/>
      <c r="K181" s="97"/>
      <c r="L181" s="11"/>
      <c r="M181" s="11"/>
      <c r="N181" s="11"/>
      <c r="O181" s="11"/>
      <c r="P181" s="82"/>
    </row>
    <row r="182" spans="2:16" s="9" customFormat="1" x14ac:dyDescent="0.2">
      <c r="B182" s="10"/>
      <c r="C182" s="11"/>
      <c r="D182" s="63"/>
      <c r="E182" s="11"/>
      <c r="F182" s="65"/>
      <c r="G182" s="12"/>
      <c r="H182" s="41"/>
      <c r="I182" s="30"/>
      <c r="J182" s="30"/>
      <c r="K182" s="97"/>
      <c r="L182" s="11"/>
      <c r="M182" s="11"/>
      <c r="N182" s="11"/>
      <c r="O182" s="11"/>
      <c r="P182" s="82"/>
    </row>
    <row r="183" spans="2:16" s="9" customFormat="1" x14ac:dyDescent="0.2">
      <c r="B183" s="10"/>
      <c r="C183" s="11"/>
      <c r="D183" s="63"/>
      <c r="E183" s="11"/>
      <c r="F183" s="65"/>
      <c r="G183" s="12"/>
      <c r="H183" s="41"/>
      <c r="I183" s="30"/>
      <c r="J183" s="30"/>
      <c r="K183" s="97"/>
      <c r="L183" s="11"/>
      <c r="M183" s="11"/>
      <c r="N183" s="11"/>
      <c r="O183" s="11"/>
      <c r="P183" s="82"/>
    </row>
    <row r="184" spans="2:16" s="9" customFormat="1" x14ac:dyDescent="0.2">
      <c r="B184" s="10"/>
      <c r="C184" s="11"/>
      <c r="D184" s="63"/>
      <c r="E184" s="11"/>
      <c r="F184" s="65"/>
      <c r="G184" s="12"/>
      <c r="H184" s="41"/>
      <c r="I184" s="30"/>
      <c r="J184" s="30"/>
      <c r="K184" s="97"/>
      <c r="L184" s="11"/>
      <c r="M184" s="11"/>
      <c r="N184" s="11"/>
      <c r="O184" s="11"/>
      <c r="P184" s="82"/>
    </row>
    <row r="185" spans="2:16" s="9" customFormat="1" x14ac:dyDescent="0.2">
      <c r="B185" s="10"/>
      <c r="C185" s="11"/>
      <c r="D185" s="63"/>
      <c r="E185" s="11"/>
      <c r="F185" s="65"/>
      <c r="G185" s="12"/>
      <c r="H185" s="41"/>
      <c r="I185" s="30"/>
      <c r="J185" s="30"/>
      <c r="K185" s="97"/>
      <c r="L185" s="11"/>
      <c r="M185" s="11"/>
      <c r="N185" s="11"/>
      <c r="O185" s="11"/>
      <c r="P185" s="82"/>
    </row>
    <row r="186" spans="2:16" s="9" customFormat="1" x14ac:dyDescent="0.2">
      <c r="B186" s="10"/>
      <c r="C186" s="11"/>
      <c r="D186" s="63"/>
      <c r="E186" s="11"/>
      <c r="F186" s="65"/>
      <c r="G186" s="12"/>
      <c r="H186" s="41"/>
      <c r="I186" s="30"/>
      <c r="J186" s="30"/>
      <c r="K186" s="97"/>
      <c r="L186" s="11"/>
      <c r="M186" s="11"/>
      <c r="N186" s="11"/>
      <c r="O186" s="11"/>
      <c r="P186" s="82"/>
    </row>
    <row r="187" spans="2:16" s="9" customFormat="1" x14ac:dyDescent="0.2">
      <c r="B187" s="10"/>
      <c r="C187" s="11"/>
      <c r="D187" s="63"/>
      <c r="E187" s="11"/>
      <c r="F187" s="65"/>
      <c r="G187" s="12"/>
      <c r="H187" s="41"/>
      <c r="I187" s="30"/>
      <c r="J187" s="30"/>
      <c r="K187" s="97"/>
      <c r="L187" s="11"/>
      <c r="M187" s="11"/>
      <c r="N187" s="11"/>
      <c r="O187" s="11"/>
      <c r="P187" s="82"/>
    </row>
    <row r="188" spans="2:16" s="9" customFormat="1" x14ac:dyDescent="0.2">
      <c r="B188" s="10"/>
      <c r="C188" s="11"/>
      <c r="D188" s="63"/>
      <c r="E188" s="11"/>
      <c r="F188" s="65"/>
      <c r="G188" s="12"/>
      <c r="H188" s="41"/>
      <c r="I188" s="30"/>
      <c r="J188" s="30"/>
      <c r="K188" s="97"/>
      <c r="L188" s="11"/>
      <c r="M188" s="11"/>
      <c r="N188" s="11"/>
      <c r="O188" s="11"/>
      <c r="P188" s="82"/>
    </row>
    <row r="189" spans="2:16" s="9" customFormat="1" x14ac:dyDescent="0.2">
      <c r="B189" s="10"/>
      <c r="C189" s="11"/>
      <c r="D189" s="63"/>
      <c r="E189" s="11"/>
      <c r="F189" s="65"/>
      <c r="G189" s="12"/>
      <c r="H189" s="41"/>
      <c r="I189" s="30"/>
      <c r="J189" s="30"/>
      <c r="K189" s="97"/>
      <c r="L189" s="11"/>
      <c r="M189" s="11"/>
      <c r="N189" s="11"/>
      <c r="O189" s="11"/>
      <c r="P189" s="82"/>
    </row>
    <row r="190" spans="2:16" s="9" customFormat="1" x14ac:dyDescent="0.2">
      <c r="B190" s="10"/>
      <c r="C190" s="11"/>
      <c r="D190" s="63"/>
      <c r="E190" s="11"/>
      <c r="F190" s="65"/>
      <c r="G190" s="12"/>
      <c r="H190" s="41"/>
      <c r="I190" s="30"/>
      <c r="J190" s="30"/>
      <c r="K190" s="97"/>
      <c r="L190" s="11"/>
      <c r="M190" s="11"/>
      <c r="N190" s="11"/>
      <c r="O190" s="11"/>
      <c r="P190" s="82"/>
    </row>
    <row r="191" spans="2:16" s="9" customFormat="1" x14ac:dyDescent="0.2">
      <c r="B191" s="10"/>
      <c r="C191" s="11"/>
      <c r="D191" s="63"/>
      <c r="E191" s="11"/>
      <c r="F191" s="65"/>
      <c r="G191" s="12"/>
      <c r="H191" s="41"/>
      <c r="I191" s="30"/>
      <c r="J191" s="30"/>
      <c r="K191" s="97"/>
      <c r="L191" s="11"/>
      <c r="M191" s="11"/>
      <c r="N191" s="11"/>
      <c r="O191" s="11"/>
      <c r="P191" s="82"/>
    </row>
    <row r="192" spans="2:16" s="9" customFormat="1" x14ac:dyDescent="0.2">
      <c r="B192" s="10"/>
      <c r="C192" s="11"/>
      <c r="D192" s="63"/>
      <c r="E192" s="11"/>
      <c r="F192" s="65"/>
      <c r="G192" s="12"/>
      <c r="H192" s="41"/>
      <c r="I192" s="30"/>
      <c r="J192" s="30"/>
      <c r="K192" s="97"/>
      <c r="L192" s="11"/>
      <c r="M192" s="11"/>
      <c r="N192" s="11"/>
      <c r="O192" s="11"/>
      <c r="P192" s="82"/>
    </row>
    <row r="193" spans="2:16" s="9" customFormat="1" x14ac:dyDescent="0.2">
      <c r="B193" s="10"/>
      <c r="C193" s="11"/>
      <c r="D193" s="63"/>
      <c r="E193" s="11"/>
      <c r="F193" s="65"/>
      <c r="G193" s="12"/>
      <c r="H193" s="41"/>
      <c r="I193" s="30"/>
      <c r="J193" s="30"/>
      <c r="K193" s="97"/>
      <c r="L193" s="11"/>
      <c r="M193" s="11"/>
      <c r="N193" s="11"/>
      <c r="O193" s="11"/>
      <c r="P193" s="82"/>
    </row>
    <row r="194" spans="2:16" s="9" customFormat="1" x14ac:dyDescent="0.2">
      <c r="B194" s="10"/>
      <c r="C194" s="11"/>
      <c r="D194" s="63"/>
      <c r="E194" s="11"/>
      <c r="F194" s="65"/>
      <c r="G194" s="12"/>
      <c r="H194" s="41"/>
      <c r="I194" s="30"/>
      <c r="J194" s="30"/>
      <c r="K194" s="97"/>
      <c r="L194" s="11"/>
      <c r="M194" s="11"/>
      <c r="N194" s="11"/>
      <c r="O194" s="11"/>
      <c r="P194" s="82"/>
    </row>
    <row r="195" spans="2:16" s="9" customFormat="1" x14ac:dyDescent="0.2">
      <c r="B195" s="10"/>
      <c r="C195" s="11"/>
      <c r="D195" s="63"/>
      <c r="E195" s="11"/>
      <c r="F195" s="65"/>
      <c r="G195" s="12"/>
      <c r="H195" s="41"/>
      <c r="I195" s="30"/>
      <c r="J195" s="30"/>
      <c r="K195" s="97"/>
      <c r="L195" s="11"/>
      <c r="M195" s="11"/>
      <c r="N195" s="11"/>
      <c r="O195" s="11"/>
      <c r="P195" s="82"/>
    </row>
    <row r="196" spans="2:16" s="9" customFormat="1" x14ac:dyDescent="0.2">
      <c r="B196" s="10"/>
      <c r="C196" s="11"/>
      <c r="D196" s="63"/>
      <c r="E196" s="11"/>
      <c r="F196" s="65"/>
      <c r="G196" s="12"/>
      <c r="H196" s="41"/>
      <c r="I196" s="30"/>
      <c r="J196" s="30"/>
      <c r="K196" s="97"/>
      <c r="L196" s="11"/>
      <c r="M196" s="11"/>
      <c r="N196" s="11"/>
      <c r="O196" s="11"/>
      <c r="P196" s="82"/>
    </row>
    <row r="197" spans="2:16" s="9" customFormat="1" x14ac:dyDescent="0.2">
      <c r="B197" s="10"/>
      <c r="C197" s="11"/>
      <c r="D197" s="63"/>
      <c r="E197" s="11"/>
      <c r="F197" s="65"/>
      <c r="G197" s="12"/>
      <c r="H197" s="41"/>
      <c r="I197" s="30"/>
      <c r="J197" s="30"/>
      <c r="K197" s="97"/>
      <c r="L197" s="11"/>
      <c r="M197" s="11"/>
      <c r="N197" s="11"/>
      <c r="O197" s="11"/>
      <c r="P197" s="82"/>
    </row>
    <row r="198" spans="2:16" s="9" customFormat="1" x14ac:dyDescent="0.2">
      <c r="B198" s="10"/>
      <c r="C198" s="11"/>
      <c r="D198" s="63"/>
      <c r="E198" s="11"/>
      <c r="F198" s="65"/>
      <c r="G198" s="12"/>
      <c r="H198" s="41"/>
      <c r="I198" s="30"/>
      <c r="J198" s="30"/>
      <c r="K198" s="97"/>
      <c r="L198" s="11"/>
      <c r="M198" s="11"/>
      <c r="N198" s="11"/>
      <c r="O198" s="11"/>
      <c r="P198" s="82"/>
    </row>
    <row r="199" spans="2:16" s="9" customFormat="1" x14ac:dyDescent="0.2">
      <c r="B199" s="10"/>
      <c r="C199" s="11"/>
      <c r="D199" s="63"/>
      <c r="E199" s="11"/>
      <c r="F199" s="65"/>
      <c r="G199" s="12"/>
      <c r="H199" s="41"/>
      <c r="I199" s="30"/>
      <c r="J199" s="30"/>
      <c r="K199" s="97"/>
      <c r="L199" s="11"/>
      <c r="M199" s="11"/>
      <c r="N199" s="11"/>
      <c r="O199" s="11"/>
      <c r="P199" s="82"/>
    </row>
    <row r="200" spans="2:16" s="9" customFormat="1" x14ac:dyDescent="0.2">
      <c r="B200" s="10"/>
      <c r="C200" s="11"/>
      <c r="D200" s="63"/>
      <c r="E200" s="11"/>
      <c r="F200" s="65"/>
      <c r="G200" s="12"/>
      <c r="H200" s="41"/>
      <c r="I200" s="30"/>
      <c r="J200" s="30"/>
      <c r="K200" s="97"/>
      <c r="L200" s="11"/>
      <c r="M200" s="11"/>
      <c r="N200" s="11"/>
      <c r="O200" s="11"/>
      <c r="P200" s="82"/>
    </row>
    <row r="201" spans="2:16" s="9" customFormat="1" x14ac:dyDescent="0.2">
      <c r="B201" s="10"/>
      <c r="C201" s="11"/>
      <c r="D201" s="63"/>
      <c r="E201" s="11"/>
      <c r="F201" s="65"/>
      <c r="G201" s="12"/>
      <c r="H201" s="41"/>
      <c r="I201" s="30"/>
      <c r="J201" s="30"/>
      <c r="K201" s="97"/>
      <c r="L201" s="11"/>
      <c r="M201" s="11"/>
      <c r="N201" s="11"/>
      <c r="O201" s="11"/>
      <c r="P201" s="82"/>
    </row>
    <row r="202" spans="2:16" s="9" customFormat="1" x14ac:dyDescent="0.2">
      <c r="B202" s="10"/>
      <c r="C202" s="11"/>
      <c r="D202" s="63"/>
      <c r="E202" s="11"/>
      <c r="F202" s="65"/>
      <c r="G202" s="12"/>
      <c r="H202" s="41"/>
      <c r="I202" s="30"/>
      <c r="J202" s="30"/>
      <c r="K202" s="97"/>
      <c r="L202" s="11"/>
      <c r="M202" s="11"/>
      <c r="N202" s="11"/>
      <c r="O202" s="11"/>
      <c r="P202" s="82"/>
    </row>
    <row r="203" spans="2:16" s="9" customFormat="1" x14ac:dyDescent="0.2">
      <c r="B203" s="10"/>
      <c r="C203" s="11"/>
      <c r="D203" s="63"/>
      <c r="E203" s="11"/>
      <c r="F203" s="65"/>
      <c r="G203" s="12"/>
      <c r="H203" s="41"/>
      <c r="I203" s="30"/>
      <c r="J203" s="30"/>
      <c r="K203" s="97"/>
      <c r="L203" s="11"/>
      <c r="M203" s="11"/>
      <c r="N203" s="11"/>
      <c r="O203" s="11"/>
      <c r="P203" s="82"/>
    </row>
    <row r="204" spans="2:16" s="9" customFormat="1" x14ac:dyDescent="0.2">
      <c r="B204" s="10"/>
      <c r="C204" s="11"/>
      <c r="D204" s="63"/>
      <c r="E204" s="11"/>
      <c r="F204" s="65"/>
      <c r="G204" s="12"/>
      <c r="H204" s="41"/>
      <c r="I204" s="30"/>
      <c r="J204" s="30"/>
      <c r="K204" s="97"/>
      <c r="L204" s="11"/>
      <c r="M204" s="11"/>
      <c r="N204" s="11"/>
      <c r="O204" s="11"/>
      <c r="P204" s="82"/>
    </row>
    <row r="205" spans="2:16" s="9" customFormat="1" x14ac:dyDescent="0.2">
      <c r="B205" s="10"/>
      <c r="C205" s="11"/>
      <c r="D205" s="63"/>
      <c r="E205" s="11"/>
      <c r="F205" s="65"/>
      <c r="G205" s="12"/>
      <c r="H205" s="41"/>
      <c r="I205" s="30"/>
      <c r="J205" s="30"/>
      <c r="K205" s="97"/>
      <c r="L205" s="11"/>
      <c r="M205" s="11"/>
      <c r="N205" s="11"/>
      <c r="O205" s="11"/>
      <c r="P205" s="82"/>
    </row>
    <row r="206" spans="2:16" s="9" customFormat="1" x14ac:dyDescent="0.2">
      <c r="B206" s="10"/>
      <c r="C206" s="11"/>
      <c r="D206" s="63"/>
      <c r="E206" s="11"/>
      <c r="F206" s="65"/>
      <c r="G206" s="12"/>
      <c r="H206" s="41"/>
      <c r="I206" s="30"/>
      <c r="J206" s="30"/>
      <c r="K206" s="97"/>
      <c r="L206" s="11"/>
      <c r="M206" s="11"/>
      <c r="N206" s="11"/>
      <c r="O206" s="11"/>
      <c r="P206" s="82"/>
    </row>
    <row r="207" spans="2:16" s="9" customFormat="1" x14ac:dyDescent="0.2">
      <c r="B207" s="10"/>
      <c r="C207" s="11"/>
      <c r="D207" s="63"/>
      <c r="E207" s="11"/>
      <c r="F207" s="65"/>
      <c r="G207" s="12"/>
      <c r="H207" s="41"/>
      <c r="I207" s="30"/>
      <c r="J207" s="30"/>
      <c r="K207" s="97"/>
      <c r="L207" s="11"/>
      <c r="M207" s="11"/>
      <c r="N207" s="11"/>
      <c r="O207" s="11"/>
      <c r="P207" s="82"/>
    </row>
    <row r="208" spans="2:16" s="9" customFormat="1" x14ac:dyDescent="0.2">
      <c r="B208" s="10"/>
      <c r="C208" s="11"/>
      <c r="D208" s="63"/>
      <c r="E208" s="11"/>
      <c r="F208" s="65"/>
      <c r="G208" s="12"/>
      <c r="H208" s="41"/>
      <c r="I208" s="30"/>
      <c r="J208" s="30"/>
      <c r="K208" s="97"/>
      <c r="L208" s="11"/>
      <c r="M208" s="11"/>
      <c r="N208" s="11"/>
      <c r="O208" s="11"/>
      <c r="P208" s="82"/>
    </row>
    <row r="209" spans="2:16" s="9" customFormat="1" x14ac:dyDescent="0.2">
      <c r="B209" s="10"/>
      <c r="C209" s="11"/>
      <c r="D209" s="63"/>
      <c r="E209" s="11"/>
      <c r="F209" s="65"/>
      <c r="G209" s="12"/>
      <c r="H209" s="41"/>
      <c r="I209" s="30"/>
      <c r="J209" s="30"/>
      <c r="K209" s="97"/>
      <c r="L209" s="11"/>
      <c r="M209" s="11"/>
      <c r="N209" s="11"/>
      <c r="O209" s="11"/>
      <c r="P209" s="82"/>
    </row>
    <row r="210" spans="2:16" s="9" customFormat="1" x14ac:dyDescent="0.2">
      <c r="B210" s="10"/>
      <c r="C210" s="11"/>
      <c r="D210" s="63"/>
      <c r="E210" s="11"/>
      <c r="F210" s="65"/>
      <c r="G210" s="12"/>
      <c r="H210" s="41"/>
      <c r="I210" s="30"/>
      <c r="J210" s="30"/>
      <c r="K210" s="97"/>
      <c r="L210" s="11"/>
      <c r="M210" s="11"/>
      <c r="N210" s="11"/>
      <c r="O210" s="11"/>
      <c r="P210" s="82"/>
    </row>
    <row r="211" spans="2:16" s="9" customFormat="1" x14ac:dyDescent="0.2">
      <c r="B211" s="10"/>
      <c r="C211" s="11"/>
      <c r="D211" s="63"/>
      <c r="E211" s="11"/>
      <c r="F211" s="65"/>
      <c r="G211" s="12"/>
      <c r="H211" s="41"/>
      <c r="I211" s="30"/>
      <c r="J211" s="30"/>
      <c r="K211" s="97"/>
      <c r="L211" s="11"/>
      <c r="M211" s="11"/>
      <c r="N211" s="11"/>
      <c r="O211" s="11"/>
      <c r="P211" s="82"/>
    </row>
    <row r="212" spans="2:16" s="9" customFormat="1" x14ac:dyDescent="0.2">
      <c r="B212" s="10"/>
      <c r="C212" s="11"/>
      <c r="D212" s="63"/>
      <c r="E212" s="11"/>
      <c r="F212" s="65"/>
      <c r="G212" s="12"/>
      <c r="H212" s="41"/>
      <c r="I212" s="30"/>
      <c r="J212" s="30"/>
      <c r="K212" s="97"/>
      <c r="L212" s="11"/>
      <c r="M212" s="11"/>
      <c r="N212" s="11"/>
      <c r="O212" s="11"/>
      <c r="P212" s="82"/>
    </row>
    <row r="213" spans="2:16" s="9" customFormat="1" x14ac:dyDescent="0.2">
      <c r="B213" s="10"/>
      <c r="C213" s="11"/>
      <c r="D213" s="63"/>
      <c r="E213" s="11"/>
      <c r="F213" s="65"/>
      <c r="G213" s="12"/>
      <c r="H213" s="41"/>
      <c r="I213" s="30"/>
      <c r="J213" s="30"/>
      <c r="K213" s="97"/>
      <c r="L213" s="11"/>
      <c r="M213" s="11"/>
      <c r="N213" s="11"/>
      <c r="O213" s="11"/>
      <c r="P213" s="82"/>
    </row>
    <row r="214" spans="2:16" s="9" customFormat="1" x14ac:dyDescent="0.2">
      <c r="B214" s="10"/>
      <c r="C214" s="11"/>
      <c r="D214" s="63"/>
      <c r="E214" s="11"/>
      <c r="F214" s="65"/>
      <c r="G214" s="12"/>
      <c r="H214" s="41"/>
      <c r="I214" s="30"/>
      <c r="J214" s="30"/>
      <c r="K214" s="97"/>
      <c r="L214" s="11"/>
      <c r="M214" s="11"/>
      <c r="N214" s="11"/>
      <c r="O214" s="11"/>
      <c r="P214" s="82"/>
    </row>
    <row r="215" spans="2:16" s="9" customFormat="1" x14ac:dyDescent="0.2">
      <c r="B215" s="10"/>
      <c r="C215" s="11"/>
      <c r="D215" s="63"/>
      <c r="E215" s="11"/>
      <c r="F215" s="65"/>
      <c r="G215" s="12"/>
      <c r="H215" s="41"/>
      <c r="I215" s="30"/>
      <c r="J215" s="30"/>
      <c r="K215" s="97"/>
      <c r="L215" s="11"/>
      <c r="M215" s="11"/>
      <c r="N215" s="11"/>
      <c r="O215" s="11"/>
      <c r="P215" s="82"/>
    </row>
    <row r="216" spans="2:16" s="9" customFormat="1" x14ac:dyDescent="0.2">
      <c r="B216" s="10"/>
      <c r="C216" s="11"/>
      <c r="D216" s="63"/>
      <c r="E216" s="11"/>
      <c r="F216" s="65"/>
      <c r="G216" s="12"/>
      <c r="H216" s="41"/>
      <c r="I216" s="30"/>
      <c r="J216" s="30"/>
      <c r="K216" s="97"/>
      <c r="L216" s="11"/>
      <c r="M216" s="11"/>
      <c r="N216" s="11"/>
      <c r="O216" s="11"/>
      <c r="P216" s="82"/>
    </row>
    <row r="217" spans="2:16" s="9" customFormat="1" x14ac:dyDescent="0.2">
      <c r="B217" s="10"/>
      <c r="C217" s="11"/>
      <c r="D217" s="63"/>
      <c r="E217" s="11"/>
      <c r="F217" s="65"/>
      <c r="G217" s="12"/>
      <c r="H217" s="41"/>
      <c r="I217" s="30"/>
      <c r="J217" s="30"/>
      <c r="K217" s="97"/>
      <c r="L217" s="11"/>
      <c r="M217" s="11"/>
      <c r="N217" s="11"/>
      <c r="O217" s="11"/>
      <c r="P217" s="82"/>
    </row>
    <row r="218" spans="2:16" s="9" customFormat="1" x14ac:dyDescent="0.2">
      <c r="B218" s="10"/>
      <c r="C218" s="11"/>
      <c r="D218" s="63"/>
      <c r="E218" s="11"/>
      <c r="F218" s="65"/>
      <c r="G218" s="12"/>
      <c r="H218" s="41"/>
      <c r="I218" s="30"/>
      <c r="J218" s="30"/>
      <c r="K218" s="97"/>
      <c r="L218" s="11"/>
      <c r="M218" s="11"/>
      <c r="N218" s="11"/>
      <c r="O218" s="11"/>
      <c r="P218" s="82"/>
    </row>
    <row r="219" spans="2:16" s="9" customFormat="1" x14ac:dyDescent="0.2">
      <c r="B219" s="10"/>
      <c r="C219" s="11"/>
      <c r="D219" s="63"/>
      <c r="E219" s="11"/>
      <c r="F219" s="65"/>
      <c r="G219" s="12"/>
      <c r="H219" s="41"/>
      <c r="I219" s="30"/>
      <c r="J219" s="30"/>
      <c r="K219" s="97"/>
      <c r="L219" s="11"/>
      <c r="M219" s="11"/>
      <c r="N219" s="11"/>
      <c r="O219" s="11"/>
      <c r="P219" s="82"/>
    </row>
    <row r="220" spans="2:16" s="9" customFormat="1" x14ac:dyDescent="0.2">
      <c r="B220" s="10"/>
      <c r="C220" s="11"/>
      <c r="D220" s="63"/>
      <c r="E220" s="11"/>
      <c r="F220" s="65"/>
      <c r="G220" s="12"/>
      <c r="H220" s="41"/>
      <c r="I220" s="30"/>
      <c r="J220" s="30"/>
      <c r="K220" s="97"/>
      <c r="L220" s="11"/>
      <c r="M220" s="11"/>
      <c r="N220" s="11"/>
      <c r="O220" s="11"/>
      <c r="P220" s="82"/>
    </row>
    <row r="221" spans="2:16" s="9" customFormat="1" x14ac:dyDescent="0.2">
      <c r="B221" s="10"/>
      <c r="C221" s="11"/>
      <c r="D221" s="63"/>
      <c r="E221" s="11"/>
      <c r="F221" s="65"/>
      <c r="G221" s="12"/>
      <c r="H221" s="41"/>
      <c r="I221" s="30"/>
      <c r="J221" s="30"/>
      <c r="K221" s="97"/>
      <c r="L221" s="11"/>
      <c r="M221" s="11"/>
      <c r="N221" s="11"/>
      <c r="O221" s="11"/>
      <c r="P221" s="82"/>
    </row>
    <row r="222" spans="2:16" s="9" customFormat="1" x14ac:dyDescent="0.2">
      <c r="B222" s="10"/>
      <c r="C222" s="11"/>
      <c r="D222" s="63"/>
      <c r="E222" s="11"/>
      <c r="F222" s="65"/>
      <c r="G222" s="12"/>
      <c r="H222" s="41"/>
      <c r="I222" s="30"/>
      <c r="J222" s="30"/>
      <c r="K222" s="97"/>
      <c r="L222" s="11"/>
      <c r="M222" s="11"/>
      <c r="N222" s="11"/>
      <c r="O222" s="11"/>
      <c r="P222" s="82"/>
    </row>
    <row r="223" spans="2:16" s="9" customFormat="1" x14ac:dyDescent="0.2">
      <c r="B223" s="10"/>
      <c r="C223" s="11"/>
      <c r="D223" s="63"/>
      <c r="E223" s="11"/>
      <c r="F223" s="65"/>
      <c r="G223" s="12"/>
      <c r="H223" s="41"/>
      <c r="I223" s="30"/>
      <c r="J223" s="30"/>
      <c r="K223" s="97"/>
      <c r="L223" s="11"/>
      <c r="M223" s="11"/>
      <c r="N223" s="11"/>
      <c r="O223" s="11"/>
      <c r="P223" s="82"/>
    </row>
    <row r="224" spans="2:16" s="9" customFormat="1" x14ac:dyDescent="0.2">
      <c r="B224" s="10"/>
      <c r="C224" s="11"/>
      <c r="D224" s="63"/>
      <c r="E224" s="11"/>
      <c r="F224" s="65"/>
      <c r="G224" s="12"/>
      <c r="H224" s="41"/>
      <c r="I224" s="30"/>
      <c r="J224" s="30"/>
      <c r="K224" s="97"/>
      <c r="L224" s="11"/>
      <c r="M224" s="11"/>
      <c r="N224" s="11"/>
      <c r="O224" s="11"/>
      <c r="P224" s="82"/>
    </row>
    <row r="225" spans="2:16" s="9" customFormat="1" x14ac:dyDescent="0.2">
      <c r="B225" s="10"/>
      <c r="C225" s="11"/>
      <c r="D225" s="63"/>
      <c r="E225" s="11"/>
      <c r="F225" s="65"/>
      <c r="G225" s="12"/>
      <c r="H225" s="41"/>
      <c r="I225" s="30"/>
      <c r="J225" s="30"/>
      <c r="K225" s="97"/>
      <c r="L225" s="11"/>
      <c r="M225" s="11"/>
      <c r="N225" s="11"/>
      <c r="O225" s="11"/>
      <c r="P225" s="82"/>
    </row>
    <row r="226" spans="2:16" s="9" customFormat="1" x14ac:dyDescent="0.2">
      <c r="B226" s="10"/>
      <c r="C226" s="11"/>
      <c r="D226" s="63"/>
      <c r="E226" s="11"/>
      <c r="F226" s="65"/>
      <c r="G226" s="12"/>
      <c r="H226" s="41"/>
      <c r="I226" s="30"/>
      <c r="J226" s="30"/>
      <c r="K226" s="97"/>
      <c r="L226" s="11"/>
      <c r="M226" s="11"/>
      <c r="N226" s="11"/>
      <c r="O226" s="11"/>
      <c r="P226" s="82"/>
    </row>
    <row r="227" spans="2:16" s="9" customFormat="1" x14ac:dyDescent="0.2">
      <c r="B227" s="10"/>
      <c r="C227" s="11"/>
      <c r="D227" s="63"/>
      <c r="E227" s="11"/>
      <c r="F227" s="65"/>
      <c r="G227" s="12"/>
      <c r="H227" s="41"/>
      <c r="I227" s="30"/>
      <c r="J227" s="30"/>
      <c r="K227" s="97"/>
      <c r="L227" s="11"/>
      <c r="M227" s="11"/>
      <c r="N227" s="11"/>
      <c r="O227" s="11"/>
      <c r="P227" s="82"/>
    </row>
    <row r="228" spans="2:16" s="9" customFormat="1" x14ac:dyDescent="0.2">
      <c r="B228" s="10"/>
      <c r="C228" s="11"/>
      <c r="D228" s="63"/>
      <c r="E228" s="11"/>
      <c r="F228" s="65"/>
      <c r="G228" s="12"/>
      <c r="H228" s="41"/>
      <c r="I228" s="30"/>
      <c r="J228" s="30"/>
      <c r="K228" s="97"/>
      <c r="L228" s="11"/>
      <c r="M228" s="11"/>
      <c r="N228" s="11"/>
      <c r="O228" s="11"/>
      <c r="P228" s="82"/>
    </row>
    <row r="229" spans="2:16" s="9" customFormat="1" x14ac:dyDescent="0.2">
      <c r="B229" s="10"/>
      <c r="C229" s="11"/>
      <c r="D229" s="63"/>
      <c r="E229" s="11"/>
      <c r="F229" s="65"/>
      <c r="G229" s="12"/>
      <c r="H229" s="41"/>
      <c r="I229" s="30"/>
      <c r="J229" s="30"/>
      <c r="K229" s="97"/>
      <c r="L229" s="11"/>
      <c r="M229" s="11"/>
      <c r="N229" s="11"/>
      <c r="O229" s="11"/>
      <c r="P229" s="82"/>
    </row>
    <row r="230" spans="2:16" s="9" customFormat="1" x14ac:dyDescent="0.2">
      <c r="B230" s="10"/>
      <c r="C230" s="11"/>
      <c r="D230" s="63"/>
      <c r="E230" s="11"/>
      <c r="F230" s="65"/>
      <c r="G230" s="12"/>
      <c r="H230" s="41"/>
      <c r="I230" s="30"/>
      <c r="J230" s="30"/>
      <c r="K230" s="97"/>
      <c r="L230" s="11"/>
      <c r="M230" s="11"/>
      <c r="N230" s="11"/>
      <c r="O230" s="11"/>
      <c r="P230" s="82"/>
    </row>
    <row r="231" spans="2:16" s="9" customFormat="1" x14ac:dyDescent="0.2">
      <c r="B231" s="10"/>
      <c r="C231" s="11"/>
      <c r="D231" s="63"/>
      <c r="E231" s="11"/>
      <c r="F231" s="65"/>
      <c r="G231" s="12"/>
      <c r="H231" s="41"/>
      <c r="I231" s="30"/>
      <c r="J231" s="30"/>
      <c r="K231" s="97"/>
      <c r="L231" s="11"/>
      <c r="M231" s="11"/>
      <c r="N231" s="11"/>
      <c r="O231" s="11"/>
      <c r="P231" s="82"/>
    </row>
    <row r="232" spans="2:16" s="9" customFormat="1" x14ac:dyDescent="0.2">
      <c r="B232" s="10"/>
      <c r="C232" s="11"/>
      <c r="D232" s="63"/>
      <c r="E232" s="11"/>
      <c r="F232" s="65"/>
      <c r="G232" s="12"/>
      <c r="H232" s="41"/>
      <c r="I232" s="30"/>
      <c r="J232" s="30"/>
      <c r="K232" s="97"/>
      <c r="L232" s="11"/>
      <c r="M232" s="11"/>
      <c r="N232" s="11"/>
      <c r="O232" s="11"/>
      <c r="P232" s="82"/>
    </row>
    <row r="233" spans="2:16" s="9" customFormat="1" x14ac:dyDescent="0.2">
      <c r="B233" s="10"/>
      <c r="C233" s="11"/>
      <c r="D233" s="63"/>
      <c r="E233" s="11"/>
      <c r="F233" s="65"/>
      <c r="G233" s="12"/>
      <c r="H233" s="41"/>
      <c r="I233" s="30"/>
      <c r="J233" s="30"/>
      <c r="K233" s="97"/>
      <c r="L233" s="11"/>
      <c r="M233" s="11"/>
      <c r="N233" s="11"/>
      <c r="O233" s="11"/>
      <c r="P233" s="82"/>
    </row>
    <row r="234" spans="2:16" s="9" customFormat="1" x14ac:dyDescent="0.2">
      <c r="B234" s="10"/>
      <c r="C234" s="11"/>
      <c r="D234" s="63"/>
      <c r="E234" s="11"/>
      <c r="F234" s="65"/>
      <c r="G234" s="12"/>
      <c r="H234" s="41"/>
      <c r="I234" s="30"/>
      <c r="J234" s="30"/>
      <c r="K234" s="97"/>
      <c r="L234" s="11"/>
      <c r="M234" s="11"/>
      <c r="N234" s="11"/>
      <c r="O234" s="11"/>
      <c r="P234" s="82"/>
    </row>
    <row r="235" spans="2:16" s="9" customFormat="1" x14ac:dyDescent="0.2">
      <c r="B235" s="10"/>
      <c r="C235" s="11"/>
      <c r="D235" s="63"/>
      <c r="E235" s="11"/>
      <c r="F235" s="65"/>
      <c r="G235" s="12"/>
      <c r="H235" s="41"/>
      <c r="I235" s="30"/>
      <c r="J235" s="30"/>
      <c r="K235" s="97"/>
      <c r="L235" s="11"/>
      <c r="M235" s="11"/>
      <c r="N235" s="11"/>
      <c r="O235" s="11"/>
      <c r="P235" s="82"/>
    </row>
    <row r="236" spans="2:16" s="9" customFormat="1" x14ac:dyDescent="0.2">
      <c r="B236" s="10"/>
      <c r="C236" s="11"/>
      <c r="D236" s="63"/>
      <c r="E236" s="11"/>
      <c r="F236" s="65"/>
      <c r="G236" s="12"/>
      <c r="H236" s="41"/>
      <c r="I236" s="30"/>
      <c r="J236" s="30"/>
      <c r="K236" s="97"/>
      <c r="L236" s="11"/>
      <c r="M236" s="11"/>
      <c r="N236" s="11"/>
      <c r="O236" s="11"/>
      <c r="P236" s="82"/>
    </row>
    <row r="237" spans="2:16" s="9" customFormat="1" x14ac:dyDescent="0.2">
      <c r="B237" s="10"/>
      <c r="C237" s="11"/>
      <c r="D237" s="63"/>
      <c r="E237" s="11"/>
      <c r="F237" s="65"/>
      <c r="G237" s="12"/>
      <c r="H237" s="41"/>
      <c r="I237" s="30"/>
      <c r="J237" s="30"/>
      <c r="K237" s="97"/>
      <c r="L237" s="11"/>
      <c r="M237" s="11"/>
      <c r="N237" s="11"/>
      <c r="O237" s="11"/>
      <c r="P237" s="82"/>
    </row>
    <row r="238" spans="2:16" s="9" customFormat="1" x14ac:dyDescent="0.2">
      <c r="B238" s="10"/>
      <c r="C238" s="11"/>
      <c r="D238" s="63"/>
      <c r="E238" s="11"/>
      <c r="F238" s="65"/>
      <c r="G238" s="12"/>
      <c r="H238" s="41"/>
      <c r="I238" s="30"/>
      <c r="J238" s="30"/>
      <c r="K238" s="97"/>
      <c r="L238" s="11"/>
      <c r="M238" s="11"/>
      <c r="N238" s="11"/>
      <c r="O238" s="11"/>
      <c r="P238" s="82"/>
    </row>
    <row r="239" spans="2:16" s="9" customFormat="1" x14ac:dyDescent="0.2">
      <c r="B239" s="10"/>
      <c r="C239" s="11"/>
      <c r="D239" s="63"/>
      <c r="E239" s="11"/>
      <c r="F239" s="65"/>
      <c r="G239" s="12"/>
      <c r="H239" s="41"/>
      <c r="I239" s="30"/>
      <c r="J239" s="30"/>
      <c r="K239" s="97"/>
      <c r="L239" s="11"/>
      <c r="M239" s="11"/>
      <c r="N239" s="11"/>
      <c r="O239" s="11"/>
      <c r="P239" s="82"/>
    </row>
    <row r="240" spans="2:16" s="9" customFormat="1" x14ac:dyDescent="0.2">
      <c r="B240" s="10"/>
      <c r="C240" s="11"/>
      <c r="D240" s="63"/>
      <c r="E240" s="11"/>
      <c r="F240" s="65"/>
      <c r="G240" s="12"/>
      <c r="H240" s="41"/>
      <c r="I240" s="30"/>
      <c r="J240" s="30"/>
      <c r="K240" s="97"/>
      <c r="L240" s="11"/>
      <c r="M240" s="11"/>
      <c r="N240" s="11"/>
      <c r="O240" s="11"/>
      <c r="P240" s="82"/>
    </row>
    <row r="241" spans="2:16" s="9" customFormat="1" x14ac:dyDescent="0.2">
      <c r="B241" s="10"/>
      <c r="C241" s="11"/>
      <c r="D241" s="63"/>
      <c r="E241" s="11"/>
      <c r="F241" s="65"/>
      <c r="G241" s="12"/>
      <c r="H241" s="41"/>
      <c r="I241" s="30"/>
      <c r="J241" s="30"/>
      <c r="K241" s="97"/>
      <c r="L241" s="11"/>
      <c r="M241" s="11"/>
      <c r="N241" s="11"/>
      <c r="O241" s="11"/>
      <c r="P241" s="82"/>
    </row>
    <row r="242" spans="2:16" s="9" customFormat="1" x14ac:dyDescent="0.2">
      <c r="B242" s="10"/>
      <c r="C242" s="11"/>
      <c r="D242" s="63"/>
      <c r="E242" s="11"/>
      <c r="F242" s="65"/>
      <c r="G242" s="12"/>
      <c r="H242" s="41"/>
      <c r="I242" s="30"/>
      <c r="J242" s="30"/>
      <c r="K242" s="97"/>
      <c r="L242" s="11"/>
      <c r="M242" s="11"/>
      <c r="N242" s="11"/>
      <c r="O242" s="11"/>
      <c r="P242" s="82"/>
    </row>
    <row r="243" spans="2:16" s="9" customFormat="1" x14ac:dyDescent="0.2">
      <c r="B243" s="10"/>
      <c r="C243" s="11"/>
      <c r="D243" s="63"/>
      <c r="E243" s="11"/>
      <c r="F243" s="65"/>
      <c r="G243" s="12"/>
      <c r="H243" s="41"/>
      <c r="I243" s="30"/>
      <c r="J243" s="30"/>
      <c r="K243" s="97"/>
      <c r="L243" s="11"/>
      <c r="M243" s="11"/>
      <c r="N243" s="11"/>
      <c r="O243" s="11"/>
      <c r="P243" s="82"/>
    </row>
    <row r="244" spans="2:16" s="9" customFormat="1" x14ac:dyDescent="0.2">
      <c r="B244" s="10"/>
      <c r="C244" s="11"/>
      <c r="D244" s="63"/>
      <c r="E244" s="11"/>
      <c r="F244" s="65"/>
      <c r="G244" s="12"/>
      <c r="H244" s="41"/>
      <c r="I244" s="30"/>
      <c r="J244" s="30"/>
      <c r="K244" s="97"/>
      <c r="L244" s="11"/>
      <c r="M244" s="11"/>
      <c r="N244" s="11"/>
      <c r="O244" s="11"/>
      <c r="P244" s="82"/>
    </row>
    <row r="245" spans="2:16" s="9" customFormat="1" x14ac:dyDescent="0.2">
      <c r="B245" s="10"/>
      <c r="C245" s="11"/>
      <c r="D245" s="63"/>
      <c r="E245" s="11"/>
      <c r="F245" s="65"/>
      <c r="G245" s="12"/>
      <c r="H245" s="41"/>
      <c r="I245" s="30"/>
      <c r="J245" s="30"/>
      <c r="K245" s="97"/>
      <c r="L245" s="11"/>
      <c r="M245" s="11"/>
      <c r="N245" s="11"/>
      <c r="O245" s="11"/>
      <c r="P245" s="82"/>
    </row>
    <row r="246" spans="2:16" s="9" customFormat="1" x14ac:dyDescent="0.2">
      <c r="B246" s="10"/>
      <c r="C246" s="11"/>
      <c r="D246" s="63"/>
      <c r="E246" s="11"/>
      <c r="F246" s="65"/>
      <c r="G246" s="12"/>
      <c r="H246" s="41"/>
      <c r="I246" s="30"/>
      <c r="J246" s="30"/>
      <c r="K246" s="97"/>
      <c r="L246" s="11"/>
      <c r="M246" s="11"/>
      <c r="N246" s="11"/>
      <c r="O246" s="11"/>
      <c r="P246" s="82"/>
    </row>
    <row r="247" spans="2:16" s="9" customFormat="1" x14ac:dyDescent="0.2">
      <c r="B247" s="10"/>
      <c r="C247" s="11"/>
      <c r="D247" s="63"/>
      <c r="E247" s="11"/>
      <c r="F247" s="65"/>
      <c r="G247" s="12"/>
      <c r="H247" s="41"/>
      <c r="I247" s="30"/>
      <c r="J247" s="30"/>
      <c r="K247" s="97"/>
      <c r="L247" s="11"/>
      <c r="M247" s="11"/>
      <c r="N247" s="11"/>
      <c r="O247" s="11"/>
      <c r="P247" s="82"/>
    </row>
    <row r="248" spans="2:16" s="9" customFormat="1" x14ac:dyDescent="0.2">
      <c r="B248" s="10"/>
      <c r="C248" s="11"/>
      <c r="D248" s="63"/>
      <c r="E248" s="11"/>
      <c r="F248" s="65"/>
      <c r="G248" s="12"/>
      <c r="H248" s="41"/>
      <c r="I248" s="30"/>
      <c r="J248" s="30"/>
      <c r="K248" s="97"/>
      <c r="L248" s="11"/>
      <c r="M248" s="11"/>
      <c r="N248" s="11"/>
      <c r="O248" s="11"/>
      <c r="P248" s="82"/>
    </row>
    <row r="249" spans="2:16" s="9" customFormat="1" x14ac:dyDescent="0.2">
      <c r="B249" s="10"/>
      <c r="C249" s="11"/>
      <c r="D249" s="63"/>
      <c r="E249" s="11"/>
      <c r="F249" s="65"/>
      <c r="G249" s="12"/>
      <c r="H249" s="41"/>
      <c r="I249" s="30"/>
      <c r="J249" s="30"/>
      <c r="K249" s="97"/>
      <c r="L249" s="11"/>
      <c r="M249" s="11"/>
      <c r="N249" s="11"/>
      <c r="O249" s="11"/>
      <c r="P249" s="82"/>
    </row>
    <row r="250" spans="2:16" s="9" customFormat="1" x14ac:dyDescent="0.2">
      <c r="B250" s="10"/>
      <c r="C250" s="11"/>
      <c r="D250" s="63"/>
      <c r="E250" s="11"/>
      <c r="F250" s="65"/>
      <c r="G250" s="12"/>
      <c r="H250" s="41"/>
      <c r="I250" s="30"/>
      <c r="J250" s="30"/>
      <c r="K250" s="97"/>
      <c r="L250" s="11"/>
      <c r="M250" s="11"/>
      <c r="N250" s="11"/>
      <c r="O250" s="11"/>
      <c r="P250" s="82"/>
    </row>
    <row r="251" spans="2:16" s="9" customFormat="1" x14ac:dyDescent="0.2">
      <c r="B251" s="10"/>
      <c r="C251" s="11"/>
      <c r="D251" s="63"/>
      <c r="E251" s="11"/>
      <c r="F251" s="65"/>
      <c r="G251" s="12"/>
      <c r="H251" s="41"/>
      <c r="I251" s="30"/>
      <c r="J251" s="30"/>
      <c r="K251" s="97"/>
      <c r="L251" s="11"/>
      <c r="M251" s="11"/>
      <c r="N251" s="11"/>
      <c r="O251" s="11"/>
      <c r="P251" s="82"/>
    </row>
    <row r="252" spans="2:16" s="9" customFormat="1" x14ac:dyDescent="0.2">
      <c r="B252" s="10"/>
      <c r="C252" s="11"/>
      <c r="D252" s="63"/>
      <c r="E252" s="11"/>
      <c r="F252" s="65"/>
      <c r="G252" s="12"/>
      <c r="H252" s="41"/>
      <c r="I252" s="30"/>
      <c r="J252" s="30"/>
      <c r="K252" s="97"/>
      <c r="L252" s="11"/>
      <c r="M252" s="11"/>
      <c r="N252" s="11"/>
      <c r="O252" s="11"/>
      <c r="P252" s="82"/>
    </row>
    <row r="253" spans="2:16" s="9" customFormat="1" x14ac:dyDescent="0.2">
      <c r="B253" s="10"/>
      <c r="C253" s="11"/>
      <c r="D253" s="63"/>
      <c r="E253" s="11"/>
      <c r="F253" s="65"/>
      <c r="G253" s="12"/>
      <c r="H253" s="41"/>
      <c r="I253" s="30"/>
      <c r="J253" s="30"/>
      <c r="K253" s="97"/>
      <c r="L253" s="11"/>
      <c r="M253" s="11"/>
      <c r="N253" s="11"/>
      <c r="O253" s="11"/>
      <c r="P253" s="82"/>
    </row>
    <row r="254" spans="2:16" s="9" customFormat="1" x14ac:dyDescent="0.2">
      <c r="B254" s="10"/>
      <c r="C254" s="11"/>
      <c r="D254" s="63"/>
      <c r="E254" s="11"/>
      <c r="F254" s="65"/>
      <c r="G254" s="12"/>
      <c r="H254" s="41"/>
      <c r="I254" s="30"/>
      <c r="J254" s="30"/>
      <c r="K254" s="97"/>
      <c r="L254" s="11"/>
      <c r="M254" s="11"/>
      <c r="N254" s="11"/>
      <c r="O254" s="11"/>
      <c r="P254" s="82"/>
    </row>
    <row r="255" spans="2:16" s="9" customFormat="1" x14ac:dyDescent="0.2">
      <c r="B255" s="10"/>
      <c r="C255" s="11"/>
      <c r="D255" s="63"/>
      <c r="E255" s="11"/>
      <c r="F255" s="65"/>
      <c r="G255" s="12"/>
      <c r="H255" s="41"/>
      <c r="I255" s="30"/>
      <c r="J255" s="30"/>
      <c r="K255" s="97"/>
      <c r="L255" s="11"/>
      <c r="M255" s="11"/>
      <c r="N255" s="11"/>
      <c r="O255" s="11"/>
      <c r="P255" s="82"/>
    </row>
    <row r="256" spans="2:16" s="9" customFormat="1" x14ac:dyDescent="0.2">
      <c r="B256" s="10"/>
      <c r="C256" s="11"/>
      <c r="D256" s="63"/>
      <c r="E256" s="11"/>
      <c r="F256" s="65"/>
      <c r="G256" s="12"/>
      <c r="H256" s="41"/>
      <c r="I256" s="30"/>
      <c r="J256" s="30"/>
      <c r="K256" s="97"/>
      <c r="L256" s="11"/>
      <c r="M256" s="11"/>
      <c r="N256" s="11"/>
      <c r="O256" s="11"/>
      <c r="P256" s="82"/>
    </row>
    <row r="257" spans="2:16" s="9" customFormat="1" x14ac:dyDescent="0.2">
      <c r="B257" s="10"/>
      <c r="C257" s="11"/>
      <c r="D257" s="63"/>
      <c r="E257" s="11"/>
      <c r="F257" s="65"/>
      <c r="G257" s="12"/>
      <c r="H257" s="41"/>
      <c r="I257" s="30"/>
      <c r="J257" s="30"/>
      <c r="K257" s="97"/>
      <c r="L257" s="11"/>
      <c r="M257" s="11"/>
      <c r="N257" s="11"/>
      <c r="O257" s="11"/>
      <c r="P257" s="82"/>
    </row>
    <row r="258" spans="2:16" s="9" customFormat="1" x14ac:dyDescent="0.2">
      <c r="B258" s="10"/>
      <c r="C258" s="11"/>
      <c r="D258" s="63"/>
      <c r="E258" s="11"/>
      <c r="F258" s="65"/>
      <c r="G258" s="12"/>
      <c r="H258" s="41"/>
      <c r="I258" s="30"/>
      <c r="J258" s="30"/>
      <c r="K258" s="97"/>
      <c r="L258" s="11"/>
      <c r="M258" s="11"/>
      <c r="N258" s="11"/>
      <c r="O258" s="11"/>
      <c r="P258" s="82"/>
    </row>
    <row r="259" spans="2:16" s="9" customFormat="1" x14ac:dyDescent="0.2">
      <c r="B259" s="10"/>
      <c r="C259" s="11"/>
      <c r="D259" s="63"/>
      <c r="E259" s="11"/>
      <c r="F259" s="65"/>
      <c r="G259" s="12"/>
      <c r="H259" s="41"/>
      <c r="I259" s="30"/>
      <c r="J259" s="30"/>
      <c r="K259" s="97"/>
      <c r="L259" s="11"/>
      <c r="M259" s="11"/>
      <c r="N259" s="11"/>
      <c r="O259" s="11"/>
      <c r="P259" s="82"/>
    </row>
    <row r="260" spans="2:16" s="9" customFormat="1" x14ac:dyDescent="0.2">
      <c r="B260" s="10"/>
      <c r="C260" s="11"/>
      <c r="D260" s="63"/>
      <c r="E260" s="11"/>
      <c r="F260" s="65"/>
      <c r="G260" s="12"/>
      <c r="H260" s="41"/>
      <c r="I260" s="30"/>
      <c r="J260" s="30"/>
      <c r="K260" s="97"/>
      <c r="L260" s="11"/>
      <c r="M260" s="11"/>
      <c r="N260" s="11"/>
      <c r="O260" s="11"/>
      <c r="P260" s="82"/>
    </row>
    <row r="261" spans="2:16" s="9" customFormat="1" x14ac:dyDescent="0.2">
      <c r="B261" s="10"/>
      <c r="C261" s="11"/>
      <c r="D261" s="63"/>
      <c r="E261" s="11"/>
      <c r="F261" s="65"/>
      <c r="G261" s="12"/>
      <c r="H261" s="41"/>
      <c r="I261" s="30"/>
      <c r="J261" s="30"/>
      <c r="K261" s="97"/>
      <c r="L261" s="11"/>
      <c r="M261" s="11"/>
      <c r="N261" s="11"/>
      <c r="O261" s="11"/>
      <c r="P261" s="82"/>
    </row>
    <row r="262" spans="2:16" s="9" customFormat="1" x14ac:dyDescent="0.2">
      <c r="B262" s="10"/>
      <c r="C262" s="11"/>
      <c r="D262" s="63"/>
      <c r="E262" s="11"/>
      <c r="F262" s="65"/>
      <c r="G262" s="12"/>
      <c r="H262" s="41"/>
      <c r="I262" s="30"/>
      <c r="J262" s="30"/>
      <c r="K262" s="97"/>
      <c r="L262" s="11"/>
      <c r="M262" s="11"/>
      <c r="N262" s="11"/>
      <c r="O262" s="11"/>
      <c r="P262" s="82"/>
    </row>
    <row r="263" spans="2:16" s="9" customFormat="1" x14ac:dyDescent="0.2">
      <c r="B263" s="10"/>
      <c r="C263" s="11"/>
      <c r="D263" s="63"/>
      <c r="E263" s="11"/>
      <c r="F263" s="65"/>
      <c r="G263" s="12"/>
      <c r="H263" s="41"/>
      <c r="I263" s="30"/>
      <c r="J263" s="30"/>
      <c r="K263" s="97"/>
      <c r="L263" s="11"/>
      <c r="M263" s="11"/>
      <c r="N263" s="11"/>
      <c r="O263" s="11"/>
      <c r="P263" s="82"/>
    </row>
    <row r="264" spans="2:16" s="9" customFormat="1" x14ac:dyDescent="0.2">
      <c r="B264" s="10"/>
      <c r="C264" s="11"/>
      <c r="D264" s="63"/>
      <c r="E264" s="11"/>
      <c r="F264" s="65"/>
      <c r="G264" s="12"/>
      <c r="H264" s="41"/>
      <c r="I264" s="30"/>
      <c r="J264" s="30"/>
      <c r="K264" s="97"/>
      <c r="L264" s="11"/>
      <c r="M264" s="11"/>
      <c r="N264" s="11"/>
      <c r="O264" s="11"/>
      <c r="P264" s="82"/>
    </row>
    <row r="265" spans="2:16" s="9" customFormat="1" x14ac:dyDescent="0.2">
      <c r="B265" s="10"/>
      <c r="C265" s="11"/>
      <c r="D265" s="63"/>
      <c r="E265" s="11"/>
      <c r="F265" s="65"/>
      <c r="G265" s="12"/>
      <c r="H265" s="41"/>
      <c r="I265" s="30"/>
      <c r="J265" s="30"/>
      <c r="K265" s="97"/>
      <c r="L265" s="11"/>
      <c r="M265" s="11"/>
      <c r="N265" s="11"/>
      <c r="O265" s="11"/>
      <c r="P265" s="82"/>
    </row>
    <row r="266" spans="2:16" s="9" customFormat="1" x14ac:dyDescent="0.2">
      <c r="B266" s="10"/>
      <c r="C266" s="11"/>
      <c r="D266" s="63"/>
      <c r="E266" s="11"/>
      <c r="F266" s="65"/>
      <c r="G266" s="12"/>
      <c r="H266" s="41"/>
      <c r="I266" s="30"/>
      <c r="J266" s="30"/>
      <c r="K266" s="97"/>
      <c r="L266" s="11"/>
      <c r="M266" s="11"/>
      <c r="N266" s="11"/>
      <c r="O266" s="11"/>
      <c r="P266" s="82"/>
    </row>
    <row r="267" spans="2:16" s="9" customFormat="1" x14ac:dyDescent="0.2">
      <c r="B267" s="10"/>
      <c r="C267" s="11"/>
      <c r="D267" s="63"/>
      <c r="E267" s="11"/>
      <c r="F267" s="65"/>
      <c r="G267" s="12"/>
      <c r="H267" s="41"/>
      <c r="I267" s="30"/>
      <c r="J267" s="30"/>
      <c r="K267" s="97"/>
      <c r="L267" s="11"/>
      <c r="M267" s="11"/>
      <c r="N267" s="11"/>
      <c r="O267" s="11"/>
      <c r="P267" s="82"/>
    </row>
    <row r="268" spans="2:16" s="9" customFormat="1" x14ac:dyDescent="0.2">
      <c r="B268" s="10"/>
      <c r="C268" s="11"/>
      <c r="D268" s="63"/>
      <c r="E268" s="11"/>
      <c r="F268" s="65"/>
      <c r="G268" s="12"/>
      <c r="H268" s="41"/>
      <c r="I268" s="30"/>
      <c r="J268" s="30"/>
      <c r="K268" s="97"/>
      <c r="L268" s="11"/>
      <c r="M268" s="11"/>
      <c r="N268" s="11"/>
      <c r="O268" s="11"/>
      <c r="P268" s="82"/>
    </row>
    <row r="269" spans="2:16" s="9" customFormat="1" x14ac:dyDescent="0.2">
      <c r="B269" s="10"/>
      <c r="C269" s="11"/>
      <c r="D269" s="63"/>
      <c r="E269" s="11"/>
      <c r="F269" s="65"/>
      <c r="G269" s="12"/>
      <c r="H269" s="41"/>
      <c r="I269" s="30"/>
      <c r="J269" s="30"/>
      <c r="K269" s="97"/>
      <c r="L269" s="11"/>
      <c r="M269" s="11"/>
      <c r="N269" s="11"/>
      <c r="O269" s="11"/>
      <c r="P269" s="82"/>
    </row>
    <row r="270" spans="2:16" s="9" customFormat="1" x14ac:dyDescent="0.2">
      <c r="B270" s="10"/>
      <c r="C270" s="11"/>
      <c r="D270" s="63"/>
      <c r="E270" s="11"/>
      <c r="F270" s="65"/>
      <c r="G270" s="12"/>
      <c r="H270" s="41"/>
      <c r="I270" s="30"/>
      <c r="J270" s="30"/>
      <c r="K270" s="97"/>
      <c r="L270" s="11"/>
      <c r="M270" s="11"/>
      <c r="N270" s="11"/>
      <c r="O270" s="11"/>
      <c r="P270" s="82"/>
    </row>
    <row r="271" spans="2:16" s="9" customFormat="1" x14ac:dyDescent="0.2">
      <c r="B271" s="10"/>
      <c r="C271" s="11"/>
      <c r="D271" s="63"/>
      <c r="E271" s="11"/>
      <c r="F271" s="65"/>
      <c r="G271" s="12"/>
      <c r="H271" s="41"/>
      <c r="I271" s="30"/>
      <c r="J271" s="30"/>
      <c r="K271" s="97"/>
      <c r="L271" s="11"/>
      <c r="M271" s="11"/>
      <c r="N271" s="11"/>
      <c r="O271" s="11"/>
      <c r="P271" s="82"/>
    </row>
    <row r="272" spans="2:16" s="9" customFormat="1" x14ac:dyDescent="0.2">
      <c r="B272" s="10"/>
      <c r="C272" s="11"/>
      <c r="D272" s="63"/>
      <c r="E272" s="11"/>
      <c r="F272" s="65"/>
      <c r="G272" s="12"/>
      <c r="H272" s="41"/>
      <c r="I272" s="30"/>
      <c r="J272" s="30"/>
      <c r="K272" s="97"/>
      <c r="L272" s="11"/>
      <c r="M272" s="11"/>
      <c r="N272" s="11"/>
      <c r="O272" s="11"/>
      <c r="P272" s="82"/>
    </row>
    <row r="273" spans="2:16" s="9" customFormat="1" x14ac:dyDescent="0.2">
      <c r="B273" s="10"/>
      <c r="C273" s="11"/>
      <c r="D273" s="63"/>
      <c r="E273" s="11"/>
      <c r="F273" s="65"/>
      <c r="G273" s="12"/>
      <c r="H273" s="41"/>
      <c r="I273" s="30"/>
      <c r="J273" s="30"/>
      <c r="K273" s="97"/>
      <c r="L273" s="11"/>
      <c r="M273" s="11"/>
      <c r="N273" s="11"/>
      <c r="O273" s="11"/>
      <c r="P273" s="82"/>
    </row>
    <row r="274" spans="2:16" s="9" customFormat="1" x14ac:dyDescent="0.2">
      <c r="B274" s="10"/>
      <c r="C274" s="11"/>
      <c r="D274" s="63"/>
      <c r="E274" s="11"/>
      <c r="F274" s="65"/>
      <c r="G274" s="12"/>
      <c r="H274" s="41"/>
      <c r="I274" s="30"/>
      <c r="J274" s="30"/>
      <c r="K274" s="97"/>
      <c r="L274" s="11"/>
      <c r="M274" s="11"/>
      <c r="N274" s="11"/>
      <c r="O274" s="11"/>
      <c r="P274" s="82"/>
    </row>
    <row r="275" spans="2:16" s="9" customFormat="1" x14ac:dyDescent="0.2">
      <c r="B275" s="10"/>
      <c r="C275" s="11"/>
      <c r="D275" s="63"/>
      <c r="E275" s="11"/>
      <c r="F275" s="65"/>
      <c r="G275" s="12"/>
      <c r="H275" s="41"/>
      <c r="I275" s="30"/>
      <c r="J275" s="30"/>
      <c r="K275" s="97"/>
      <c r="L275" s="11"/>
      <c r="M275" s="11"/>
      <c r="N275" s="11"/>
      <c r="O275" s="11"/>
      <c r="P275" s="82"/>
    </row>
    <row r="276" spans="2:16" s="9" customFormat="1" x14ac:dyDescent="0.2">
      <c r="B276" s="10"/>
      <c r="C276" s="11"/>
      <c r="D276" s="63"/>
      <c r="E276" s="11"/>
      <c r="F276" s="65"/>
      <c r="G276" s="12"/>
      <c r="H276" s="41"/>
      <c r="I276" s="30"/>
      <c r="J276" s="30"/>
      <c r="K276" s="97"/>
      <c r="L276" s="11"/>
      <c r="M276" s="11"/>
      <c r="N276" s="11"/>
      <c r="O276" s="11"/>
      <c r="P276" s="82"/>
    </row>
    <row r="277" spans="2:16" s="9" customFormat="1" x14ac:dyDescent="0.2">
      <c r="B277" s="10"/>
      <c r="C277" s="11"/>
      <c r="D277" s="63"/>
      <c r="E277" s="11"/>
      <c r="F277" s="65"/>
      <c r="G277" s="12"/>
      <c r="H277" s="41"/>
      <c r="I277" s="30"/>
      <c r="J277" s="30"/>
      <c r="K277" s="97"/>
      <c r="L277" s="11"/>
      <c r="M277" s="11"/>
      <c r="N277" s="11"/>
      <c r="O277" s="11"/>
      <c r="P277" s="82"/>
    </row>
    <row r="278" spans="2:16" s="9" customFormat="1" x14ac:dyDescent="0.2">
      <c r="B278" s="10"/>
      <c r="C278" s="11"/>
      <c r="D278" s="63"/>
      <c r="E278" s="11"/>
      <c r="F278" s="65"/>
      <c r="G278" s="12"/>
      <c r="H278" s="41"/>
      <c r="I278" s="30"/>
      <c r="J278" s="30"/>
      <c r="K278" s="97"/>
      <c r="L278" s="11"/>
      <c r="M278" s="11"/>
      <c r="N278" s="11"/>
      <c r="O278" s="11"/>
      <c r="P278" s="82"/>
    </row>
    <row r="279" spans="2:16" s="9" customFormat="1" x14ac:dyDescent="0.2">
      <c r="B279" s="10"/>
      <c r="C279" s="11"/>
      <c r="D279" s="63"/>
      <c r="E279" s="11"/>
      <c r="F279" s="65"/>
      <c r="G279" s="12"/>
      <c r="H279" s="41"/>
      <c r="I279" s="30"/>
      <c r="J279" s="30"/>
      <c r="K279" s="97"/>
      <c r="L279" s="11"/>
      <c r="M279" s="11"/>
      <c r="N279" s="11"/>
      <c r="O279" s="11"/>
      <c r="P279" s="82"/>
    </row>
    <row r="280" spans="2:16" s="9" customFormat="1" x14ac:dyDescent="0.2">
      <c r="B280" s="10"/>
      <c r="C280" s="11"/>
      <c r="D280" s="63"/>
      <c r="E280" s="11"/>
      <c r="F280" s="65"/>
      <c r="G280" s="12"/>
      <c r="H280" s="41"/>
      <c r="I280" s="30"/>
      <c r="J280" s="30"/>
      <c r="K280" s="97"/>
      <c r="L280" s="11"/>
      <c r="M280" s="11"/>
      <c r="N280" s="11"/>
      <c r="O280" s="11"/>
      <c r="P280" s="82"/>
    </row>
    <row r="281" spans="2:16" s="9" customFormat="1" x14ac:dyDescent="0.2">
      <c r="B281" s="10"/>
      <c r="C281" s="11"/>
      <c r="D281" s="63"/>
      <c r="E281" s="11"/>
      <c r="F281" s="65"/>
      <c r="G281" s="12"/>
      <c r="H281" s="41"/>
      <c r="I281" s="30"/>
      <c r="J281" s="30"/>
      <c r="K281" s="97"/>
      <c r="L281" s="11"/>
      <c r="M281" s="11"/>
      <c r="N281" s="11"/>
      <c r="O281" s="11"/>
      <c r="P281" s="82"/>
    </row>
    <row r="282" spans="2:16" s="9" customFormat="1" x14ac:dyDescent="0.2">
      <c r="B282" s="10"/>
      <c r="C282" s="11"/>
      <c r="D282" s="63"/>
      <c r="E282" s="11"/>
      <c r="F282" s="65"/>
      <c r="G282" s="12"/>
      <c r="H282" s="41"/>
      <c r="I282" s="30"/>
      <c r="J282" s="30"/>
      <c r="K282" s="97"/>
      <c r="L282" s="11"/>
      <c r="M282" s="11"/>
      <c r="N282" s="11"/>
      <c r="O282" s="11"/>
      <c r="P282" s="82"/>
    </row>
    <row r="283" spans="2:16" s="9" customFormat="1" x14ac:dyDescent="0.2">
      <c r="B283" s="10"/>
      <c r="C283" s="11"/>
      <c r="D283" s="63"/>
      <c r="E283" s="11"/>
      <c r="F283" s="65"/>
      <c r="G283" s="12"/>
      <c r="H283" s="41"/>
      <c r="I283" s="30"/>
      <c r="J283" s="30"/>
      <c r="K283" s="97"/>
      <c r="L283" s="11"/>
      <c r="M283" s="11"/>
      <c r="N283" s="11"/>
      <c r="O283" s="11"/>
      <c r="P283" s="82"/>
    </row>
    <row r="284" spans="2:16" s="9" customFormat="1" x14ac:dyDescent="0.2">
      <c r="B284" s="10"/>
      <c r="C284" s="11"/>
      <c r="D284" s="63"/>
      <c r="E284" s="11"/>
      <c r="F284" s="65"/>
      <c r="G284" s="12"/>
      <c r="H284" s="41"/>
      <c r="I284" s="30"/>
      <c r="J284" s="30"/>
      <c r="K284" s="97"/>
      <c r="L284" s="11"/>
      <c r="M284" s="11"/>
      <c r="N284" s="11"/>
      <c r="O284" s="11"/>
      <c r="P284" s="82"/>
    </row>
    <row r="285" spans="2:16" s="9" customFormat="1" x14ac:dyDescent="0.2">
      <c r="B285" s="10"/>
      <c r="C285" s="11"/>
      <c r="D285" s="63"/>
      <c r="E285" s="11"/>
      <c r="F285" s="65"/>
      <c r="G285" s="12"/>
      <c r="H285" s="41"/>
      <c r="I285" s="30"/>
      <c r="J285" s="30"/>
      <c r="K285" s="97"/>
      <c r="L285" s="11"/>
      <c r="M285" s="11"/>
      <c r="N285" s="11"/>
      <c r="O285" s="11"/>
      <c r="P285" s="82"/>
    </row>
    <row r="286" spans="2:16" s="9" customFormat="1" x14ac:dyDescent="0.2">
      <c r="B286" s="10"/>
      <c r="C286" s="11"/>
      <c r="D286" s="63"/>
      <c r="E286" s="11"/>
      <c r="F286" s="65"/>
      <c r="G286" s="12"/>
      <c r="H286" s="41"/>
      <c r="I286" s="30"/>
      <c r="J286" s="30"/>
      <c r="K286" s="97"/>
      <c r="L286" s="11"/>
      <c r="M286" s="11"/>
      <c r="N286" s="11"/>
      <c r="O286" s="11"/>
      <c r="P286" s="82"/>
    </row>
    <row r="287" spans="2:16" s="9" customFormat="1" x14ac:dyDescent="0.2">
      <c r="B287" s="10"/>
      <c r="C287" s="11"/>
      <c r="D287" s="63"/>
      <c r="E287" s="11"/>
      <c r="F287" s="65"/>
      <c r="G287" s="12"/>
      <c r="H287" s="41"/>
      <c r="I287" s="30"/>
      <c r="J287" s="30"/>
      <c r="K287" s="97"/>
      <c r="L287" s="11"/>
      <c r="M287" s="11"/>
      <c r="N287" s="11"/>
      <c r="O287" s="11"/>
      <c r="P287" s="82"/>
    </row>
    <row r="288" spans="2:16" s="9" customFormat="1" x14ac:dyDescent="0.2">
      <c r="B288" s="10"/>
      <c r="C288" s="11"/>
      <c r="D288" s="63"/>
      <c r="E288" s="11"/>
      <c r="F288" s="65"/>
      <c r="G288" s="12"/>
      <c r="H288" s="41"/>
      <c r="I288" s="30"/>
      <c r="J288" s="30"/>
      <c r="K288" s="97"/>
      <c r="L288" s="11"/>
      <c r="M288" s="11"/>
      <c r="N288" s="11"/>
      <c r="O288" s="11"/>
      <c r="P288" s="82"/>
    </row>
    <row r="289" spans="2:16" s="9" customFormat="1" x14ac:dyDescent="0.2">
      <c r="B289" s="10"/>
      <c r="C289" s="11"/>
      <c r="D289" s="63"/>
      <c r="E289" s="11"/>
      <c r="F289" s="65"/>
      <c r="G289" s="12"/>
      <c r="H289" s="41"/>
      <c r="I289" s="30"/>
      <c r="J289" s="30"/>
      <c r="K289" s="97"/>
      <c r="L289" s="11"/>
      <c r="M289" s="11"/>
      <c r="N289" s="11"/>
      <c r="O289" s="11"/>
      <c r="P289" s="82"/>
    </row>
    <row r="290" spans="2:16" s="9" customFormat="1" x14ac:dyDescent="0.2">
      <c r="B290" s="10"/>
      <c r="C290" s="11"/>
      <c r="D290" s="63"/>
      <c r="E290" s="11"/>
      <c r="F290" s="65"/>
      <c r="G290" s="12"/>
      <c r="H290" s="41"/>
      <c r="I290" s="30"/>
      <c r="J290" s="30"/>
      <c r="K290" s="97"/>
      <c r="L290" s="11"/>
      <c r="M290" s="11"/>
      <c r="N290" s="11"/>
      <c r="O290" s="11"/>
      <c r="P290" s="82"/>
    </row>
    <row r="291" spans="2:16" s="9" customFormat="1" x14ac:dyDescent="0.2">
      <c r="B291" s="10"/>
      <c r="C291" s="11"/>
      <c r="D291" s="63"/>
      <c r="E291" s="11"/>
      <c r="F291" s="65"/>
      <c r="G291" s="12"/>
      <c r="H291" s="41"/>
      <c r="I291" s="30"/>
      <c r="J291" s="30"/>
      <c r="K291" s="97"/>
      <c r="L291" s="11"/>
      <c r="M291" s="11"/>
      <c r="N291" s="11"/>
      <c r="O291" s="11"/>
      <c r="P291" s="82"/>
    </row>
    <row r="292" spans="2:16" s="9" customFormat="1" x14ac:dyDescent="0.2">
      <c r="B292" s="10"/>
      <c r="C292" s="11"/>
      <c r="D292" s="63"/>
      <c r="E292" s="11"/>
      <c r="F292" s="65"/>
      <c r="G292" s="12"/>
      <c r="H292" s="41"/>
      <c r="I292" s="30"/>
      <c r="J292" s="30"/>
      <c r="K292" s="97"/>
      <c r="L292" s="11"/>
      <c r="M292" s="11"/>
      <c r="N292" s="11"/>
      <c r="O292" s="11"/>
      <c r="P292" s="82"/>
    </row>
    <row r="293" spans="2:16" s="9" customFormat="1" x14ac:dyDescent="0.2">
      <c r="B293" s="10"/>
      <c r="C293" s="11"/>
      <c r="D293" s="63"/>
      <c r="E293" s="11"/>
      <c r="F293" s="65"/>
      <c r="G293" s="12"/>
      <c r="H293" s="41"/>
      <c r="I293" s="30"/>
      <c r="J293" s="30"/>
      <c r="K293" s="97"/>
      <c r="L293" s="11"/>
      <c r="M293" s="11"/>
      <c r="N293" s="11"/>
      <c r="O293" s="11"/>
      <c r="P293" s="82"/>
    </row>
    <row r="294" spans="2:16" s="9" customFormat="1" x14ac:dyDescent="0.2">
      <c r="B294" s="10"/>
      <c r="C294" s="11"/>
      <c r="D294" s="63"/>
      <c r="E294" s="11"/>
      <c r="F294" s="65"/>
      <c r="G294" s="12"/>
      <c r="H294" s="41"/>
      <c r="I294" s="30"/>
      <c r="J294" s="30"/>
      <c r="K294" s="97"/>
      <c r="L294" s="11"/>
      <c r="M294" s="11"/>
      <c r="N294" s="11"/>
      <c r="O294" s="11"/>
      <c r="P294" s="82"/>
    </row>
    <row r="295" spans="2:16" s="9" customFormat="1" x14ac:dyDescent="0.2">
      <c r="B295" s="10"/>
      <c r="C295" s="11"/>
      <c r="D295" s="63"/>
      <c r="E295" s="11"/>
      <c r="F295" s="65"/>
      <c r="G295" s="12"/>
      <c r="H295" s="41"/>
      <c r="I295" s="30"/>
      <c r="J295" s="30"/>
      <c r="K295" s="97"/>
      <c r="L295" s="11"/>
      <c r="M295" s="11"/>
      <c r="N295" s="11"/>
      <c r="O295" s="11"/>
      <c r="P295" s="82"/>
    </row>
    <row r="296" spans="2:16" s="9" customFormat="1" x14ac:dyDescent="0.2">
      <c r="B296" s="10"/>
      <c r="C296" s="11"/>
      <c r="D296" s="63"/>
      <c r="E296" s="11"/>
      <c r="F296" s="65"/>
      <c r="G296" s="12"/>
      <c r="H296" s="41"/>
      <c r="I296" s="30"/>
      <c r="J296" s="30"/>
      <c r="K296" s="97"/>
      <c r="L296" s="11"/>
      <c r="M296" s="11"/>
      <c r="N296" s="11"/>
      <c r="O296" s="11"/>
      <c r="P296" s="82"/>
    </row>
    <row r="297" spans="2:16" s="9" customFormat="1" x14ac:dyDescent="0.2">
      <c r="B297" s="10"/>
      <c r="C297" s="11"/>
      <c r="D297" s="63"/>
      <c r="E297" s="11"/>
      <c r="F297" s="65"/>
      <c r="G297" s="12"/>
      <c r="H297" s="41"/>
      <c r="I297" s="30"/>
      <c r="J297" s="30"/>
      <c r="K297" s="97"/>
      <c r="L297" s="11"/>
      <c r="M297" s="11"/>
      <c r="N297" s="11"/>
      <c r="O297" s="11"/>
      <c r="P297" s="82"/>
    </row>
    <row r="298" spans="2:16" s="9" customFormat="1" x14ac:dyDescent="0.2">
      <c r="B298" s="10"/>
      <c r="C298" s="11"/>
      <c r="D298" s="63"/>
      <c r="E298" s="11"/>
      <c r="F298" s="65"/>
      <c r="G298" s="12"/>
      <c r="H298" s="41"/>
      <c r="I298" s="30"/>
      <c r="J298" s="30"/>
      <c r="K298" s="97"/>
      <c r="L298" s="11"/>
      <c r="M298" s="11"/>
      <c r="N298" s="11"/>
      <c r="O298" s="11"/>
      <c r="P298" s="82"/>
    </row>
    <row r="299" spans="2:16" s="9" customFormat="1" x14ac:dyDescent="0.2">
      <c r="B299" s="10"/>
      <c r="C299" s="11"/>
      <c r="D299" s="63"/>
      <c r="E299" s="11"/>
      <c r="F299" s="65"/>
      <c r="G299" s="12"/>
      <c r="H299" s="41"/>
      <c r="I299" s="30"/>
      <c r="J299" s="30"/>
      <c r="K299" s="97"/>
      <c r="L299" s="11"/>
      <c r="M299" s="11"/>
      <c r="N299" s="11"/>
      <c r="O299" s="11"/>
      <c r="P299" s="82"/>
    </row>
    <row r="300" spans="2:16" s="9" customFormat="1" x14ac:dyDescent="0.2">
      <c r="B300" s="10"/>
      <c r="C300" s="11"/>
      <c r="D300" s="63"/>
      <c r="E300" s="11"/>
      <c r="F300" s="65"/>
      <c r="G300" s="12"/>
      <c r="H300" s="41"/>
      <c r="I300" s="30"/>
      <c r="J300" s="30"/>
      <c r="K300" s="97"/>
      <c r="L300" s="11"/>
      <c r="M300" s="11"/>
      <c r="N300" s="11"/>
      <c r="O300" s="11"/>
      <c r="P300" s="82"/>
    </row>
    <row r="301" spans="2:16" s="9" customFormat="1" x14ac:dyDescent="0.2">
      <c r="B301" s="10"/>
      <c r="C301" s="11"/>
      <c r="D301" s="63"/>
      <c r="E301" s="11"/>
      <c r="F301" s="65"/>
      <c r="G301" s="12"/>
      <c r="H301" s="41"/>
      <c r="I301" s="30"/>
      <c r="J301" s="30"/>
      <c r="K301" s="97"/>
      <c r="L301" s="11"/>
      <c r="M301" s="11"/>
      <c r="N301" s="11"/>
      <c r="O301" s="11"/>
      <c r="P301" s="82"/>
    </row>
    <row r="302" spans="2:16" s="9" customFormat="1" x14ac:dyDescent="0.2">
      <c r="B302" s="10"/>
      <c r="C302" s="11"/>
      <c r="D302" s="63"/>
      <c r="E302" s="11"/>
      <c r="F302" s="65"/>
      <c r="G302" s="12"/>
      <c r="H302" s="41"/>
      <c r="I302" s="30"/>
      <c r="J302" s="30"/>
      <c r="K302" s="97"/>
      <c r="L302" s="11"/>
      <c r="M302" s="11"/>
      <c r="N302" s="11"/>
      <c r="O302" s="11"/>
      <c r="P302" s="82"/>
    </row>
    <row r="303" spans="2:16" s="9" customFormat="1" x14ac:dyDescent="0.2">
      <c r="B303" s="10"/>
      <c r="C303" s="11"/>
      <c r="D303" s="63"/>
      <c r="E303" s="11"/>
      <c r="F303" s="65"/>
      <c r="G303" s="12"/>
      <c r="H303" s="41"/>
      <c r="I303" s="30"/>
      <c r="J303" s="30"/>
      <c r="K303" s="97"/>
      <c r="L303" s="11"/>
      <c r="M303" s="11"/>
      <c r="N303" s="11"/>
      <c r="O303" s="11"/>
      <c r="P303" s="82"/>
    </row>
    <row r="304" spans="2:16" s="9" customFormat="1" x14ac:dyDescent="0.2">
      <c r="B304" s="10"/>
      <c r="C304" s="11"/>
      <c r="D304" s="63"/>
      <c r="E304" s="11"/>
      <c r="F304" s="65"/>
      <c r="G304" s="12"/>
      <c r="H304" s="41"/>
      <c r="I304" s="30"/>
      <c r="J304" s="30"/>
      <c r="K304" s="97"/>
      <c r="L304" s="11"/>
      <c r="M304" s="11"/>
      <c r="N304" s="11"/>
      <c r="O304" s="11"/>
      <c r="P304" s="82"/>
    </row>
    <row r="305" spans="2:16" s="9" customFormat="1" x14ac:dyDescent="0.2">
      <c r="B305" s="10"/>
      <c r="C305" s="11"/>
      <c r="D305" s="63"/>
      <c r="E305" s="11"/>
      <c r="F305" s="65"/>
      <c r="G305" s="12"/>
      <c r="H305" s="41"/>
      <c r="I305" s="30"/>
      <c r="J305" s="30"/>
      <c r="K305" s="97"/>
      <c r="L305" s="11"/>
      <c r="M305" s="11"/>
      <c r="N305" s="11"/>
      <c r="O305" s="11"/>
      <c r="P305" s="82"/>
    </row>
    <row r="306" spans="2:16" s="9" customFormat="1" x14ac:dyDescent="0.2">
      <c r="B306" s="10"/>
      <c r="C306" s="11"/>
      <c r="D306" s="63"/>
      <c r="E306" s="11"/>
      <c r="F306" s="65"/>
      <c r="G306" s="12"/>
      <c r="H306" s="41"/>
      <c r="I306" s="30"/>
      <c r="J306" s="30"/>
      <c r="K306" s="97"/>
      <c r="L306" s="11"/>
      <c r="M306" s="11"/>
      <c r="N306" s="11"/>
      <c r="O306" s="11"/>
      <c r="P306" s="82"/>
    </row>
    <row r="307" spans="2:16" s="9" customFormat="1" x14ac:dyDescent="0.2">
      <c r="B307" s="10"/>
      <c r="C307" s="11"/>
      <c r="D307" s="63"/>
      <c r="E307" s="11"/>
      <c r="F307" s="65"/>
      <c r="G307" s="12"/>
      <c r="H307" s="41"/>
      <c r="I307" s="30"/>
      <c r="J307" s="30"/>
      <c r="K307" s="97"/>
      <c r="L307" s="11"/>
      <c r="M307" s="11"/>
      <c r="N307" s="11"/>
      <c r="O307" s="11"/>
      <c r="P307" s="82"/>
    </row>
    <row r="308" spans="2:16" s="9" customFormat="1" x14ac:dyDescent="0.2">
      <c r="B308" s="10"/>
      <c r="C308" s="11"/>
      <c r="D308" s="63"/>
      <c r="E308" s="11"/>
      <c r="F308" s="65"/>
      <c r="G308" s="12"/>
      <c r="H308" s="41"/>
      <c r="I308" s="30"/>
      <c r="J308" s="30"/>
      <c r="K308" s="97"/>
      <c r="L308" s="11"/>
      <c r="M308" s="11"/>
      <c r="N308" s="11"/>
      <c r="O308" s="11"/>
      <c r="P308" s="82"/>
    </row>
    <row r="309" spans="2:16" s="9" customFormat="1" x14ac:dyDescent="0.2">
      <c r="B309" s="10"/>
      <c r="C309" s="11"/>
      <c r="D309" s="63"/>
      <c r="E309" s="11"/>
      <c r="F309" s="65"/>
      <c r="G309" s="12"/>
      <c r="H309" s="41"/>
      <c r="I309" s="30"/>
      <c r="J309" s="30"/>
      <c r="K309" s="97"/>
      <c r="L309" s="11"/>
      <c r="M309" s="11"/>
      <c r="N309" s="11"/>
      <c r="O309" s="11"/>
      <c r="P309" s="82"/>
    </row>
    <row r="310" spans="2:16" s="9" customFormat="1" x14ac:dyDescent="0.2">
      <c r="B310" s="10"/>
      <c r="C310" s="11"/>
      <c r="D310" s="63"/>
      <c r="E310" s="11"/>
      <c r="F310" s="65"/>
      <c r="G310" s="12"/>
      <c r="H310" s="41"/>
      <c r="I310" s="30"/>
      <c r="J310" s="30"/>
      <c r="K310" s="97"/>
      <c r="L310" s="11"/>
      <c r="M310" s="11"/>
      <c r="N310" s="11"/>
      <c r="O310" s="11"/>
      <c r="P310" s="82"/>
    </row>
    <row r="311" spans="2:16" s="9" customFormat="1" x14ac:dyDescent="0.2">
      <c r="B311" s="10"/>
      <c r="C311" s="11"/>
      <c r="D311" s="63"/>
      <c r="E311" s="11"/>
      <c r="F311" s="65"/>
      <c r="G311" s="12"/>
      <c r="H311" s="41"/>
      <c r="I311" s="30"/>
      <c r="J311" s="30"/>
      <c r="K311" s="97"/>
      <c r="L311" s="11"/>
      <c r="M311" s="11"/>
      <c r="N311" s="11"/>
      <c r="O311" s="11"/>
      <c r="P311" s="82"/>
    </row>
    <row r="312" spans="2:16" s="9" customFormat="1" x14ac:dyDescent="0.2">
      <c r="B312" s="10"/>
      <c r="C312" s="11"/>
      <c r="D312" s="63"/>
      <c r="E312" s="11"/>
      <c r="F312" s="65"/>
      <c r="G312" s="12"/>
      <c r="H312" s="41"/>
      <c r="I312" s="30"/>
      <c r="J312" s="30"/>
      <c r="K312" s="97"/>
      <c r="L312" s="11"/>
      <c r="M312" s="11"/>
      <c r="N312" s="11"/>
      <c r="O312" s="11"/>
      <c r="P312" s="82"/>
    </row>
    <row r="313" spans="2:16" s="9" customFormat="1" x14ac:dyDescent="0.2">
      <c r="B313" s="10"/>
      <c r="C313" s="11"/>
      <c r="D313" s="63"/>
      <c r="E313" s="11"/>
      <c r="F313" s="65"/>
      <c r="G313" s="12"/>
      <c r="H313" s="41"/>
      <c r="I313" s="30"/>
      <c r="J313" s="30"/>
      <c r="K313" s="97"/>
      <c r="L313" s="11"/>
      <c r="M313" s="11"/>
      <c r="N313" s="11"/>
      <c r="O313" s="11"/>
      <c r="P313" s="82"/>
    </row>
    <row r="314" spans="2:16" s="9" customFormat="1" x14ac:dyDescent="0.2">
      <c r="B314" s="10"/>
      <c r="C314" s="11"/>
      <c r="D314" s="63"/>
      <c r="E314" s="11"/>
      <c r="F314" s="65"/>
      <c r="G314" s="12"/>
      <c r="H314" s="41"/>
      <c r="I314" s="30"/>
      <c r="J314" s="30"/>
      <c r="K314" s="97"/>
      <c r="L314" s="11"/>
      <c r="M314" s="11"/>
      <c r="N314" s="11"/>
      <c r="O314" s="11"/>
      <c r="P314" s="82"/>
    </row>
    <row r="315" spans="2:16" s="9" customFormat="1" x14ac:dyDescent="0.2">
      <c r="B315" s="10"/>
      <c r="C315" s="11"/>
      <c r="D315" s="63"/>
      <c r="E315" s="11"/>
      <c r="F315" s="65"/>
      <c r="G315" s="12"/>
      <c r="H315" s="41"/>
      <c r="I315" s="30"/>
      <c r="J315" s="30"/>
      <c r="K315" s="97"/>
      <c r="L315" s="11"/>
      <c r="M315" s="11"/>
      <c r="N315" s="11"/>
      <c r="O315" s="11"/>
      <c r="P315" s="82"/>
    </row>
    <row r="316" spans="2:16" s="9" customFormat="1" x14ac:dyDescent="0.2">
      <c r="B316" s="10"/>
      <c r="C316" s="11"/>
      <c r="D316" s="63"/>
      <c r="E316" s="11"/>
      <c r="F316" s="65"/>
      <c r="G316" s="12"/>
      <c r="H316" s="41"/>
      <c r="I316" s="30"/>
      <c r="J316" s="30"/>
      <c r="K316" s="97"/>
      <c r="L316" s="11"/>
      <c r="M316" s="11"/>
      <c r="N316" s="11"/>
      <c r="O316" s="11"/>
      <c r="P316" s="82"/>
    </row>
    <row r="317" spans="2:16" s="9" customFormat="1" x14ac:dyDescent="0.2">
      <c r="B317" s="10"/>
      <c r="C317" s="11"/>
      <c r="D317" s="63"/>
      <c r="E317" s="11"/>
      <c r="F317" s="65"/>
      <c r="G317" s="12"/>
      <c r="H317" s="41"/>
      <c r="I317" s="30"/>
      <c r="J317" s="30"/>
      <c r="K317" s="97"/>
      <c r="L317" s="11"/>
      <c r="M317" s="11"/>
      <c r="N317" s="11"/>
      <c r="O317" s="11"/>
      <c r="P317" s="82"/>
    </row>
    <row r="318" spans="2:16" s="9" customFormat="1" x14ac:dyDescent="0.2">
      <c r="B318" s="10"/>
      <c r="C318" s="11"/>
      <c r="D318" s="63"/>
      <c r="E318" s="11"/>
      <c r="F318" s="65"/>
      <c r="G318" s="12"/>
      <c r="H318" s="41"/>
      <c r="I318" s="30"/>
      <c r="J318" s="30"/>
      <c r="K318" s="97"/>
      <c r="L318" s="11"/>
      <c r="M318" s="11"/>
      <c r="N318" s="11"/>
      <c r="O318" s="11"/>
      <c r="P318" s="82"/>
    </row>
    <row r="319" spans="2:16" s="9" customFormat="1" x14ac:dyDescent="0.2">
      <c r="B319" s="10"/>
      <c r="C319" s="11"/>
      <c r="D319" s="63"/>
      <c r="E319" s="11"/>
      <c r="F319" s="65"/>
      <c r="G319" s="12"/>
      <c r="H319" s="41"/>
      <c r="I319" s="30"/>
      <c r="J319" s="30"/>
      <c r="K319" s="97"/>
      <c r="L319" s="11"/>
      <c r="M319" s="11"/>
      <c r="N319" s="11"/>
      <c r="O319" s="11"/>
      <c r="P319" s="82"/>
    </row>
    <row r="320" spans="2:16" s="9" customFormat="1" x14ac:dyDescent="0.2">
      <c r="B320" s="10"/>
      <c r="C320" s="11"/>
      <c r="D320" s="63"/>
      <c r="E320" s="11"/>
      <c r="F320" s="65"/>
      <c r="G320" s="12"/>
      <c r="H320" s="41"/>
      <c r="I320" s="30"/>
      <c r="J320" s="30"/>
      <c r="K320" s="97"/>
      <c r="L320" s="11"/>
      <c r="M320" s="11"/>
      <c r="N320" s="11"/>
      <c r="O320" s="11"/>
      <c r="P320" s="82"/>
    </row>
    <row r="321" spans="2:16" s="9" customFormat="1" x14ac:dyDescent="0.2">
      <c r="B321" s="10"/>
      <c r="C321" s="11"/>
      <c r="D321" s="63"/>
      <c r="E321" s="11"/>
      <c r="F321" s="65"/>
      <c r="G321" s="12"/>
      <c r="H321" s="41"/>
      <c r="I321" s="30"/>
      <c r="J321" s="30"/>
      <c r="K321" s="97"/>
      <c r="L321" s="11"/>
      <c r="M321" s="11"/>
      <c r="N321" s="11"/>
      <c r="O321" s="11"/>
      <c r="P321" s="82"/>
    </row>
    <row r="322" spans="2:16" s="9" customFormat="1" x14ac:dyDescent="0.2">
      <c r="B322" s="10"/>
      <c r="C322" s="11"/>
      <c r="D322" s="63"/>
      <c r="E322" s="11"/>
      <c r="F322" s="65"/>
      <c r="G322" s="12"/>
      <c r="H322" s="41"/>
      <c r="I322" s="30"/>
      <c r="J322" s="30"/>
      <c r="K322" s="97"/>
      <c r="L322" s="11"/>
      <c r="M322" s="11"/>
      <c r="N322" s="11"/>
      <c r="O322" s="11"/>
      <c r="P322" s="82"/>
    </row>
    <row r="323" spans="2:16" s="9" customFormat="1" x14ac:dyDescent="0.2">
      <c r="B323" s="10"/>
      <c r="C323" s="11"/>
      <c r="D323" s="63"/>
      <c r="E323" s="11"/>
      <c r="F323" s="65"/>
      <c r="G323" s="12"/>
      <c r="H323" s="41"/>
      <c r="I323" s="30"/>
      <c r="J323" s="30"/>
      <c r="K323" s="97"/>
      <c r="L323" s="11"/>
      <c r="M323" s="11"/>
      <c r="N323" s="11"/>
      <c r="O323" s="11"/>
      <c r="P323" s="82"/>
    </row>
    <row r="324" spans="2:16" s="9" customFormat="1" x14ac:dyDescent="0.2">
      <c r="B324" s="10"/>
      <c r="C324" s="11"/>
      <c r="D324" s="63"/>
      <c r="E324" s="11"/>
      <c r="F324" s="65"/>
      <c r="G324" s="12"/>
      <c r="H324" s="41"/>
      <c r="I324" s="30"/>
      <c r="J324" s="30"/>
      <c r="K324" s="97"/>
      <c r="L324" s="11"/>
      <c r="M324" s="11"/>
      <c r="N324" s="11"/>
      <c r="O324" s="11"/>
      <c r="P324" s="82"/>
    </row>
    <row r="325" spans="2:16" s="9" customFormat="1" x14ac:dyDescent="0.2">
      <c r="B325" s="10"/>
      <c r="C325" s="11"/>
      <c r="D325" s="63"/>
      <c r="E325" s="11"/>
      <c r="F325" s="65"/>
      <c r="G325" s="12"/>
      <c r="H325" s="41"/>
      <c r="I325" s="30"/>
      <c r="J325" s="30"/>
      <c r="K325" s="97"/>
      <c r="L325" s="11"/>
      <c r="M325" s="11"/>
      <c r="N325" s="11"/>
      <c r="O325" s="11"/>
      <c r="P325" s="82"/>
    </row>
    <row r="326" spans="2:16" s="9" customFormat="1" x14ac:dyDescent="0.2">
      <c r="B326" s="10"/>
      <c r="C326" s="11"/>
      <c r="D326" s="63"/>
      <c r="E326" s="11"/>
      <c r="F326" s="65"/>
      <c r="G326" s="12"/>
      <c r="H326" s="41"/>
      <c r="I326" s="30"/>
      <c r="J326" s="30"/>
      <c r="K326" s="97"/>
      <c r="L326" s="11"/>
      <c r="M326" s="11"/>
      <c r="N326" s="11"/>
      <c r="O326" s="11"/>
      <c r="P326" s="82"/>
    </row>
    <row r="327" spans="2:16" s="9" customFormat="1" x14ac:dyDescent="0.2">
      <c r="B327" s="10"/>
      <c r="C327" s="11"/>
      <c r="D327" s="63"/>
      <c r="E327" s="11"/>
      <c r="F327" s="65"/>
      <c r="G327" s="12"/>
      <c r="H327" s="41"/>
      <c r="I327" s="30"/>
      <c r="J327" s="30"/>
      <c r="K327" s="97"/>
      <c r="L327" s="11"/>
      <c r="M327" s="11"/>
      <c r="N327" s="11"/>
      <c r="O327" s="11"/>
      <c r="P327" s="82"/>
    </row>
    <row r="328" spans="2:16" s="9" customFormat="1" x14ac:dyDescent="0.2">
      <c r="B328" s="10"/>
      <c r="C328" s="11"/>
      <c r="D328" s="63"/>
      <c r="E328" s="11"/>
      <c r="F328" s="65"/>
      <c r="G328" s="12"/>
      <c r="H328" s="41"/>
      <c r="I328" s="30"/>
      <c r="J328" s="30"/>
      <c r="K328" s="97"/>
      <c r="L328" s="11"/>
      <c r="M328" s="11"/>
      <c r="N328" s="11"/>
      <c r="O328" s="11"/>
      <c r="P328" s="82"/>
    </row>
    <row r="329" spans="2:16" s="9" customFormat="1" x14ac:dyDescent="0.2">
      <c r="B329" s="10"/>
      <c r="C329" s="11"/>
      <c r="D329" s="63"/>
      <c r="E329" s="11"/>
      <c r="F329" s="65"/>
      <c r="G329" s="12"/>
      <c r="H329" s="41"/>
      <c r="I329" s="30"/>
      <c r="J329" s="30"/>
      <c r="K329" s="97"/>
      <c r="L329" s="11"/>
      <c r="M329" s="11"/>
      <c r="N329" s="11"/>
      <c r="O329" s="11"/>
      <c r="P329" s="82"/>
    </row>
    <row r="330" spans="2:16" s="9" customFormat="1" x14ac:dyDescent="0.2">
      <c r="B330" s="10"/>
      <c r="C330" s="11"/>
      <c r="D330" s="63"/>
      <c r="E330" s="11"/>
      <c r="F330" s="65"/>
      <c r="G330" s="12"/>
      <c r="H330" s="41"/>
      <c r="I330" s="30"/>
      <c r="J330" s="30"/>
      <c r="K330" s="97"/>
      <c r="L330" s="11"/>
      <c r="M330" s="11"/>
      <c r="N330" s="11"/>
      <c r="O330" s="11"/>
      <c r="P330" s="82"/>
    </row>
    <row r="331" spans="2:16" s="9" customFormat="1" x14ac:dyDescent="0.2">
      <c r="B331" s="10"/>
      <c r="C331" s="11"/>
      <c r="D331" s="63"/>
      <c r="E331" s="11"/>
      <c r="F331" s="65"/>
      <c r="G331" s="12"/>
      <c r="H331" s="41"/>
      <c r="I331" s="30"/>
      <c r="J331" s="30"/>
      <c r="K331" s="97"/>
      <c r="L331" s="11"/>
      <c r="M331" s="11"/>
      <c r="N331" s="11"/>
      <c r="O331" s="11"/>
      <c r="P331" s="82"/>
    </row>
    <row r="332" spans="2:16" s="9" customFormat="1" x14ac:dyDescent="0.2">
      <c r="B332" s="10"/>
      <c r="C332" s="11"/>
      <c r="D332" s="63"/>
      <c r="E332" s="11"/>
      <c r="F332" s="65"/>
      <c r="G332" s="12"/>
      <c r="H332" s="41"/>
      <c r="I332" s="30"/>
      <c r="J332" s="30"/>
      <c r="K332" s="97"/>
      <c r="L332" s="11"/>
      <c r="M332" s="11"/>
      <c r="N332" s="11"/>
      <c r="O332" s="11"/>
      <c r="P332" s="82"/>
    </row>
    <row r="333" spans="2:16" s="9" customFormat="1" x14ac:dyDescent="0.2">
      <c r="B333" s="10"/>
      <c r="C333" s="11"/>
      <c r="D333" s="63"/>
      <c r="E333" s="11"/>
      <c r="F333" s="65"/>
      <c r="G333" s="12"/>
      <c r="H333" s="41"/>
      <c r="I333" s="30"/>
      <c r="J333" s="30"/>
      <c r="K333" s="97"/>
      <c r="L333" s="11"/>
      <c r="M333" s="11"/>
      <c r="N333" s="11"/>
      <c r="O333" s="11"/>
      <c r="P333" s="82"/>
    </row>
    <row r="334" spans="2:16" s="9" customFormat="1" x14ac:dyDescent="0.2">
      <c r="B334" s="10"/>
      <c r="C334" s="11"/>
      <c r="D334" s="63"/>
      <c r="E334" s="11"/>
      <c r="F334" s="65"/>
      <c r="G334" s="12"/>
      <c r="H334" s="41"/>
      <c r="I334" s="30"/>
      <c r="J334" s="30"/>
      <c r="K334" s="97"/>
      <c r="L334" s="11"/>
      <c r="M334" s="11"/>
      <c r="N334" s="11"/>
      <c r="O334" s="11"/>
      <c r="P334" s="82"/>
    </row>
    <row r="335" spans="2:16" s="9" customFormat="1" x14ac:dyDescent="0.2">
      <c r="B335" s="10"/>
      <c r="C335" s="11"/>
      <c r="D335" s="63"/>
      <c r="E335" s="11"/>
      <c r="F335" s="65"/>
      <c r="G335" s="12"/>
      <c r="H335" s="41"/>
      <c r="I335" s="30"/>
      <c r="J335" s="30"/>
      <c r="K335" s="97"/>
      <c r="L335" s="11"/>
      <c r="M335" s="11"/>
      <c r="N335" s="11"/>
      <c r="O335" s="11"/>
      <c r="P335" s="82"/>
    </row>
    <row r="336" spans="2:16" s="9" customFormat="1" x14ac:dyDescent="0.2">
      <c r="B336" s="10"/>
      <c r="C336" s="11"/>
      <c r="D336" s="63"/>
      <c r="E336" s="11"/>
      <c r="F336" s="65"/>
      <c r="G336" s="12"/>
      <c r="H336" s="41"/>
      <c r="I336" s="30"/>
      <c r="J336" s="30"/>
      <c r="K336" s="97"/>
      <c r="L336" s="11"/>
      <c r="M336" s="11"/>
      <c r="N336" s="11"/>
      <c r="O336" s="11"/>
      <c r="P336" s="82"/>
    </row>
    <row r="337" spans="2:16" s="9" customFormat="1" x14ac:dyDescent="0.2">
      <c r="B337" s="10"/>
      <c r="C337" s="11"/>
      <c r="D337" s="63"/>
      <c r="E337" s="11"/>
      <c r="F337" s="65"/>
      <c r="G337" s="12"/>
      <c r="H337" s="41"/>
      <c r="I337" s="30"/>
      <c r="J337" s="30"/>
      <c r="K337" s="97"/>
      <c r="L337" s="11"/>
      <c r="M337" s="11"/>
      <c r="N337" s="11"/>
      <c r="O337" s="11"/>
      <c r="P337" s="82"/>
    </row>
    <row r="338" spans="2:16" s="9" customFormat="1" x14ac:dyDescent="0.2">
      <c r="B338" s="10"/>
      <c r="C338" s="11"/>
      <c r="D338" s="63"/>
      <c r="E338" s="11"/>
      <c r="F338" s="65"/>
      <c r="G338" s="12"/>
      <c r="H338" s="41"/>
      <c r="I338" s="30"/>
      <c r="J338" s="30"/>
      <c r="K338" s="97"/>
      <c r="L338" s="11"/>
      <c r="M338" s="11"/>
      <c r="N338" s="11"/>
      <c r="O338" s="11"/>
      <c r="P338" s="82"/>
    </row>
    <row r="339" spans="2:16" s="9" customFormat="1" x14ac:dyDescent="0.2">
      <c r="B339" s="10"/>
      <c r="C339" s="11"/>
      <c r="D339" s="63"/>
      <c r="E339" s="11"/>
      <c r="F339" s="65"/>
      <c r="G339" s="12"/>
      <c r="H339" s="41"/>
      <c r="I339" s="30"/>
      <c r="J339" s="30"/>
      <c r="K339" s="97"/>
      <c r="L339" s="11"/>
      <c r="M339" s="11"/>
      <c r="N339" s="11"/>
      <c r="O339" s="11"/>
      <c r="P339" s="82"/>
    </row>
    <row r="340" spans="2:16" s="9" customFormat="1" x14ac:dyDescent="0.2">
      <c r="B340" s="10"/>
      <c r="C340" s="11"/>
      <c r="D340" s="63"/>
      <c r="E340" s="11"/>
      <c r="F340" s="65"/>
      <c r="G340" s="12"/>
      <c r="H340" s="41"/>
      <c r="I340" s="30"/>
      <c r="J340" s="30"/>
      <c r="K340" s="97"/>
      <c r="L340" s="11"/>
      <c r="M340" s="11"/>
      <c r="N340" s="11"/>
      <c r="O340" s="11"/>
      <c r="P340" s="82"/>
    </row>
    <row r="341" spans="2:16" s="9" customFormat="1" x14ac:dyDescent="0.2">
      <c r="B341" s="10"/>
      <c r="C341" s="11"/>
      <c r="D341" s="63"/>
      <c r="E341" s="11"/>
      <c r="F341" s="65"/>
      <c r="G341" s="12"/>
      <c r="H341" s="41"/>
      <c r="I341" s="30"/>
      <c r="J341" s="30"/>
      <c r="K341" s="97"/>
      <c r="L341" s="11"/>
      <c r="M341" s="11"/>
      <c r="N341" s="11"/>
      <c r="O341" s="11"/>
      <c r="P341" s="82"/>
    </row>
    <row r="342" spans="2:16" s="9" customFormat="1" x14ac:dyDescent="0.2">
      <c r="B342" s="10"/>
      <c r="C342" s="11"/>
      <c r="D342" s="63"/>
      <c r="E342" s="11"/>
      <c r="F342" s="65"/>
      <c r="G342" s="12"/>
      <c r="H342" s="41"/>
      <c r="I342" s="30"/>
      <c r="J342" s="30"/>
      <c r="K342" s="97"/>
      <c r="L342" s="11"/>
      <c r="M342" s="11"/>
      <c r="N342" s="11"/>
      <c r="O342" s="11"/>
      <c r="P342" s="82"/>
    </row>
    <row r="343" spans="2:16" s="9" customFormat="1" x14ac:dyDescent="0.2">
      <c r="B343" s="10"/>
      <c r="C343" s="11"/>
      <c r="D343" s="63"/>
      <c r="E343" s="11"/>
      <c r="F343" s="65"/>
      <c r="G343" s="12"/>
      <c r="H343" s="41"/>
      <c r="I343" s="30"/>
      <c r="J343" s="30"/>
      <c r="K343" s="97"/>
      <c r="L343" s="11"/>
      <c r="M343" s="11"/>
      <c r="N343" s="11"/>
      <c r="O343" s="11"/>
      <c r="P343" s="82"/>
    </row>
    <row r="344" spans="2:16" s="9" customFormat="1" x14ac:dyDescent="0.2">
      <c r="B344" s="10"/>
      <c r="C344" s="11"/>
      <c r="D344" s="63"/>
      <c r="E344" s="11"/>
      <c r="F344" s="65"/>
      <c r="G344" s="12"/>
      <c r="H344" s="41"/>
      <c r="I344" s="30"/>
      <c r="J344" s="30"/>
      <c r="K344" s="97"/>
      <c r="L344" s="11"/>
      <c r="M344" s="11"/>
      <c r="N344" s="11"/>
      <c r="O344" s="11"/>
      <c r="P344" s="82"/>
    </row>
    <row r="345" spans="2:16" s="9" customFormat="1" x14ac:dyDescent="0.2">
      <c r="B345" s="10"/>
      <c r="C345" s="11"/>
      <c r="D345" s="63"/>
      <c r="E345" s="11"/>
      <c r="F345" s="65"/>
      <c r="G345" s="12"/>
      <c r="H345" s="41"/>
      <c r="I345" s="30"/>
      <c r="J345" s="30"/>
      <c r="K345" s="97"/>
      <c r="L345" s="11"/>
      <c r="M345" s="11"/>
      <c r="N345" s="11"/>
      <c r="O345" s="11"/>
      <c r="P345" s="82"/>
    </row>
    <row r="346" spans="2:16" s="9" customFormat="1" x14ac:dyDescent="0.2">
      <c r="B346" s="10"/>
      <c r="C346" s="11"/>
      <c r="D346" s="63"/>
      <c r="E346" s="11"/>
      <c r="F346" s="65"/>
      <c r="G346" s="12"/>
      <c r="H346" s="41"/>
      <c r="I346" s="30"/>
      <c r="J346" s="30"/>
      <c r="K346" s="97"/>
      <c r="L346" s="11"/>
      <c r="M346" s="11"/>
      <c r="N346" s="11"/>
      <c r="O346" s="11"/>
      <c r="P346" s="82"/>
    </row>
    <row r="347" spans="2:16" s="9" customFormat="1" x14ac:dyDescent="0.2">
      <c r="B347" s="10"/>
      <c r="C347" s="11"/>
      <c r="D347" s="63"/>
      <c r="E347" s="11"/>
      <c r="F347" s="65"/>
      <c r="G347" s="12"/>
      <c r="H347" s="41"/>
      <c r="I347" s="30"/>
      <c r="J347" s="30"/>
      <c r="K347" s="97"/>
      <c r="L347" s="11"/>
      <c r="M347" s="11"/>
      <c r="N347" s="11"/>
      <c r="O347" s="11"/>
      <c r="P347" s="82"/>
    </row>
    <row r="348" spans="2:16" s="9" customFormat="1" x14ac:dyDescent="0.2">
      <c r="B348" s="10"/>
      <c r="C348" s="11"/>
      <c r="D348" s="63"/>
      <c r="E348" s="11"/>
      <c r="F348" s="65"/>
      <c r="G348" s="12"/>
      <c r="H348" s="41"/>
      <c r="I348" s="30"/>
      <c r="J348" s="30"/>
      <c r="K348" s="97"/>
      <c r="L348" s="11"/>
      <c r="M348" s="11"/>
      <c r="N348" s="11"/>
      <c r="O348" s="11"/>
      <c r="P348" s="82"/>
    </row>
    <row r="349" spans="2:16" s="9" customFormat="1" x14ac:dyDescent="0.2">
      <c r="B349" s="10"/>
      <c r="C349" s="11"/>
      <c r="D349" s="63"/>
      <c r="E349" s="11"/>
      <c r="F349" s="65"/>
      <c r="G349" s="12"/>
      <c r="H349" s="41"/>
      <c r="I349" s="30"/>
      <c r="J349" s="30"/>
      <c r="K349" s="97"/>
      <c r="L349" s="11"/>
      <c r="M349" s="11"/>
      <c r="N349" s="11"/>
      <c r="O349" s="11"/>
      <c r="P349" s="82"/>
    </row>
    <row r="350" spans="2:16" s="9" customFormat="1" x14ac:dyDescent="0.2">
      <c r="B350" s="10"/>
      <c r="C350" s="11"/>
      <c r="D350" s="63"/>
      <c r="E350" s="11"/>
      <c r="F350" s="65"/>
      <c r="G350" s="12"/>
      <c r="H350" s="41"/>
      <c r="I350" s="30"/>
      <c r="J350" s="30"/>
      <c r="K350" s="97"/>
      <c r="L350" s="11"/>
      <c r="M350" s="11"/>
      <c r="N350" s="11"/>
      <c r="O350" s="11"/>
      <c r="P350" s="82"/>
    </row>
    <row r="351" spans="2:16" s="9" customFormat="1" x14ac:dyDescent="0.2">
      <c r="B351" s="10"/>
      <c r="C351" s="11"/>
      <c r="D351" s="63"/>
      <c r="E351" s="11"/>
      <c r="F351" s="65"/>
      <c r="G351" s="12"/>
      <c r="H351" s="41"/>
      <c r="I351" s="30"/>
      <c r="J351" s="30"/>
      <c r="K351" s="97"/>
      <c r="L351" s="11"/>
      <c r="M351" s="11"/>
      <c r="N351" s="11"/>
      <c r="O351" s="11"/>
      <c r="P351" s="82"/>
    </row>
    <row r="352" spans="2:16" s="9" customFormat="1" x14ac:dyDescent="0.2">
      <c r="B352" s="10"/>
      <c r="C352" s="11"/>
      <c r="D352" s="63"/>
      <c r="E352" s="11"/>
      <c r="F352" s="65"/>
      <c r="G352" s="12"/>
      <c r="H352" s="41"/>
      <c r="I352" s="30"/>
      <c r="J352" s="30"/>
      <c r="K352" s="97"/>
      <c r="L352" s="11"/>
      <c r="M352" s="11"/>
      <c r="N352" s="11"/>
      <c r="O352" s="11"/>
      <c r="P352" s="82"/>
    </row>
    <row r="353" spans="2:16" s="9" customFormat="1" x14ac:dyDescent="0.2">
      <c r="B353" s="10"/>
      <c r="C353" s="11"/>
      <c r="D353" s="63"/>
      <c r="E353" s="11"/>
      <c r="F353" s="65"/>
      <c r="G353" s="12"/>
      <c r="H353" s="41"/>
      <c r="I353" s="30"/>
      <c r="J353" s="30"/>
      <c r="K353" s="97"/>
      <c r="L353" s="11"/>
      <c r="M353" s="11"/>
      <c r="N353" s="11"/>
      <c r="O353" s="11"/>
      <c r="P353" s="82"/>
    </row>
    <row r="354" spans="2:16" s="9" customFormat="1" x14ac:dyDescent="0.2">
      <c r="B354" s="10"/>
      <c r="C354" s="11"/>
      <c r="D354" s="63"/>
      <c r="E354" s="11"/>
      <c r="F354" s="65"/>
      <c r="G354" s="12"/>
      <c r="H354" s="41"/>
      <c r="I354" s="30"/>
      <c r="J354" s="30"/>
      <c r="K354" s="97"/>
      <c r="L354" s="11"/>
      <c r="M354" s="11"/>
      <c r="N354" s="11"/>
      <c r="O354" s="11"/>
      <c r="P354" s="82"/>
    </row>
    <row r="355" spans="2:16" s="9" customFormat="1" x14ac:dyDescent="0.2">
      <c r="B355" s="10"/>
      <c r="C355" s="11"/>
      <c r="D355" s="63"/>
      <c r="E355" s="11"/>
      <c r="F355" s="65"/>
      <c r="G355" s="12"/>
      <c r="H355" s="41"/>
      <c r="I355" s="30"/>
      <c r="J355" s="30"/>
      <c r="K355" s="97"/>
      <c r="L355" s="11"/>
      <c r="M355" s="11"/>
      <c r="N355" s="11"/>
      <c r="O355" s="11"/>
      <c r="P355" s="82"/>
    </row>
    <row r="356" spans="2:16" s="9" customFormat="1" x14ac:dyDescent="0.2">
      <c r="B356" s="10"/>
      <c r="C356" s="11"/>
      <c r="D356" s="63"/>
      <c r="E356" s="11"/>
      <c r="F356" s="65"/>
      <c r="G356" s="12"/>
      <c r="H356" s="41"/>
      <c r="I356" s="30"/>
      <c r="J356" s="30"/>
      <c r="K356" s="97"/>
      <c r="L356" s="11"/>
      <c r="M356" s="11"/>
      <c r="N356" s="11"/>
      <c r="O356" s="11"/>
      <c r="P356" s="82"/>
    </row>
    <row r="357" spans="2:16" s="9" customFormat="1" x14ac:dyDescent="0.2">
      <c r="B357" s="10"/>
      <c r="C357" s="11"/>
      <c r="D357" s="63"/>
      <c r="E357" s="11"/>
      <c r="F357" s="65"/>
      <c r="G357" s="12"/>
      <c r="H357" s="41"/>
      <c r="I357" s="30"/>
      <c r="J357" s="30"/>
      <c r="K357" s="97"/>
      <c r="L357" s="11"/>
      <c r="M357" s="11"/>
      <c r="N357" s="11"/>
      <c r="O357" s="11"/>
      <c r="P357" s="82"/>
    </row>
    <row r="358" spans="2:16" s="9" customFormat="1" x14ac:dyDescent="0.2">
      <c r="B358" s="10"/>
      <c r="C358" s="11"/>
      <c r="D358" s="63"/>
      <c r="E358" s="11"/>
      <c r="F358" s="65"/>
      <c r="G358" s="12"/>
      <c r="H358" s="41"/>
      <c r="I358" s="30"/>
      <c r="J358" s="30"/>
      <c r="K358" s="97"/>
      <c r="L358" s="11"/>
      <c r="M358" s="11"/>
      <c r="N358" s="11"/>
      <c r="O358" s="11"/>
      <c r="P358" s="82"/>
    </row>
    <row r="359" spans="2:16" s="9" customFormat="1" x14ac:dyDescent="0.2">
      <c r="B359" s="10"/>
      <c r="C359" s="11"/>
      <c r="D359" s="63"/>
      <c r="E359" s="11"/>
      <c r="F359" s="65"/>
      <c r="G359" s="12"/>
      <c r="H359" s="41"/>
      <c r="I359" s="30"/>
      <c r="J359" s="30"/>
      <c r="K359" s="97"/>
      <c r="L359" s="11"/>
      <c r="M359" s="11"/>
      <c r="N359" s="11"/>
      <c r="O359" s="11"/>
      <c r="P359" s="82"/>
    </row>
    <row r="360" spans="2:16" s="9" customFormat="1" x14ac:dyDescent="0.2">
      <c r="B360" s="10"/>
      <c r="C360" s="11"/>
      <c r="D360" s="63"/>
      <c r="E360" s="11"/>
      <c r="F360" s="65"/>
      <c r="G360" s="12"/>
      <c r="H360" s="41"/>
      <c r="I360" s="30"/>
      <c r="J360" s="30"/>
      <c r="K360" s="97"/>
      <c r="L360" s="11"/>
      <c r="M360" s="11"/>
      <c r="N360" s="11"/>
      <c r="O360" s="11"/>
      <c r="P360" s="82"/>
    </row>
    <row r="361" spans="2:16" s="9" customFormat="1" x14ac:dyDescent="0.2">
      <c r="B361" s="10"/>
      <c r="C361" s="11"/>
      <c r="D361" s="63"/>
      <c r="E361" s="11"/>
      <c r="F361" s="65"/>
      <c r="G361" s="12"/>
      <c r="H361" s="41"/>
      <c r="I361" s="30"/>
      <c r="J361" s="30"/>
      <c r="K361" s="97"/>
      <c r="L361" s="11"/>
      <c r="M361" s="11"/>
      <c r="N361" s="11"/>
      <c r="O361" s="11"/>
      <c r="P361" s="82"/>
    </row>
    <row r="362" spans="2:16" s="9" customFormat="1" x14ac:dyDescent="0.2">
      <c r="B362" s="10"/>
      <c r="C362" s="11"/>
      <c r="D362" s="63"/>
      <c r="E362" s="11"/>
      <c r="F362" s="65"/>
      <c r="G362" s="12"/>
      <c r="H362" s="41"/>
      <c r="I362" s="30"/>
      <c r="J362" s="30"/>
      <c r="K362" s="97"/>
      <c r="L362" s="11"/>
      <c r="M362" s="11"/>
      <c r="N362" s="11"/>
      <c r="O362" s="11"/>
      <c r="P362" s="82"/>
    </row>
    <row r="363" spans="2:16" s="9" customFormat="1" x14ac:dyDescent="0.2">
      <c r="B363" s="10"/>
      <c r="C363" s="11"/>
      <c r="D363" s="63"/>
      <c r="E363" s="11"/>
      <c r="F363" s="65"/>
      <c r="G363" s="12"/>
      <c r="H363" s="41"/>
      <c r="I363" s="30"/>
      <c r="J363" s="30"/>
      <c r="K363" s="97"/>
      <c r="L363" s="11"/>
      <c r="M363" s="11"/>
      <c r="N363" s="11"/>
      <c r="O363" s="11"/>
      <c r="P363" s="82"/>
    </row>
    <row r="364" spans="2:16" s="9" customFormat="1" x14ac:dyDescent="0.2">
      <c r="B364" s="10"/>
      <c r="C364" s="11"/>
      <c r="D364" s="63"/>
      <c r="E364" s="11"/>
      <c r="F364" s="65"/>
      <c r="G364" s="12"/>
      <c r="H364" s="41"/>
      <c r="I364" s="30"/>
      <c r="J364" s="30"/>
      <c r="K364" s="97"/>
      <c r="L364" s="11"/>
      <c r="M364" s="11"/>
      <c r="N364" s="11"/>
      <c r="O364" s="11"/>
      <c r="P364" s="82"/>
    </row>
    <row r="365" spans="2:16" s="9" customFormat="1" x14ac:dyDescent="0.2">
      <c r="B365" s="10"/>
      <c r="C365" s="11"/>
      <c r="D365" s="63"/>
      <c r="E365" s="11"/>
      <c r="F365" s="65"/>
      <c r="G365" s="12"/>
      <c r="H365" s="41"/>
      <c r="I365" s="30"/>
      <c r="J365" s="30"/>
      <c r="K365" s="97"/>
      <c r="L365" s="11"/>
      <c r="M365" s="11"/>
      <c r="N365" s="11"/>
      <c r="O365" s="11"/>
      <c r="P365" s="82"/>
    </row>
    <row r="366" spans="2:16" s="9" customFormat="1" x14ac:dyDescent="0.2">
      <c r="B366" s="10"/>
      <c r="C366" s="11"/>
      <c r="D366" s="63"/>
      <c r="E366" s="11"/>
      <c r="F366" s="65"/>
      <c r="G366" s="12"/>
      <c r="H366" s="41"/>
      <c r="I366" s="30"/>
      <c r="J366" s="30"/>
      <c r="K366" s="97"/>
      <c r="L366" s="11"/>
      <c r="M366" s="11"/>
      <c r="N366" s="11"/>
      <c r="O366" s="11"/>
      <c r="P366" s="82"/>
    </row>
    <row r="367" spans="2:16" s="9" customFormat="1" x14ac:dyDescent="0.2">
      <c r="B367" s="10"/>
      <c r="C367" s="11"/>
      <c r="D367" s="63"/>
      <c r="E367" s="11"/>
      <c r="F367" s="65"/>
      <c r="G367" s="12"/>
      <c r="H367" s="41"/>
      <c r="I367" s="30"/>
      <c r="J367" s="30"/>
      <c r="K367" s="97"/>
      <c r="L367" s="11"/>
      <c r="M367" s="11"/>
      <c r="N367" s="11"/>
      <c r="O367" s="11"/>
      <c r="P367" s="82"/>
    </row>
    <row r="368" spans="2:16" s="9" customFormat="1" x14ac:dyDescent="0.2">
      <c r="B368" s="10"/>
      <c r="C368" s="11"/>
      <c r="D368" s="63"/>
      <c r="E368" s="11"/>
      <c r="F368" s="65"/>
      <c r="G368" s="12"/>
      <c r="H368" s="41"/>
      <c r="I368" s="30"/>
      <c r="J368" s="30"/>
      <c r="K368" s="97"/>
      <c r="L368" s="11"/>
      <c r="M368" s="11"/>
      <c r="N368" s="11"/>
      <c r="O368" s="11"/>
      <c r="P368" s="82"/>
    </row>
    <row r="369" spans="2:16" s="9" customFormat="1" x14ac:dyDescent="0.2">
      <c r="B369" s="10"/>
      <c r="C369" s="11"/>
      <c r="D369" s="63"/>
      <c r="E369" s="11"/>
      <c r="F369" s="65"/>
      <c r="G369" s="12"/>
      <c r="H369" s="41"/>
      <c r="I369" s="30"/>
      <c r="J369" s="30"/>
      <c r="K369" s="97"/>
      <c r="L369" s="11"/>
      <c r="M369" s="11"/>
      <c r="N369" s="11"/>
      <c r="O369" s="11"/>
      <c r="P369" s="82"/>
    </row>
    <row r="370" spans="2:16" s="9" customFormat="1" x14ac:dyDescent="0.2">
      <c r="B370" s="10"/>
      <c r="C370" s="11"/>
      <c r="D370" s="63"/>
      <c r="E370" s="11"/>
      <c r="F370" s="65"/>
      <c r="G370" s="12"/>
      <c r="H370" s="41"/>
      <c r="I370" s="30"/>
      <c r="J370" s="30"/>
      <c r="K370" s="97"/>
      <c r="L370" s="11"/>
      <c r="M370" s="11"/>
      <c r="N370" s="11"/>
      <c r="O370" s="11"/>
      <c r="P370" s="82"/>
    </row>
    <row r="371" spans="2:16" s="9" customFormat="1" x14ac:dyDescent="0.2">
      <c r="B371" s="10"/>
      <c r="C371" s="11"/>
      <c r="D371" s="63"/>
      <c r="E371" s="11"/>
      <c r="F371" s="65"/>
      <c r="G371" s="12"/>
      <c r="H371" s="41"/>
      <c r="I371" s="30"/>
      <c r="J371" s="30"/>
      <c r="K371" s="97"/>
      <c r="L371" s="11"/>
      <c r="M371" s="11"/>
      <c r="N371" s="11"/>
      <c r="O371" s="11"/>
      <c r="P371" s="82"/>
    </row>
    <row r="372" spans="2:16" s="9" customFormat="1" x14ac:dyDescent="0.2">
      <c r="B372" s="10"/>
      <c r="C372" s="11"/>
      <c r="D372" s="63"/>
      <c r="E372" s="11"/>
      <c r="F372" s="65"/>
      <c r="G372" s="12"/>
      <c r="H372" s="41"/>
      <c r="I372" s="30"/>
      <c r="J372" s="30"/>
      <c r="K372" s="97"/>
      <c r="L372" s="11"/>
      <c r="M372" s="11"/>
      <c r="N372" s="11"/>
      <c r="O372" s="11"/>
      <c r="P372" s="82"/>
    </row>
    <row r="373" spans="2:16" s="9" customFormat="1" x14ac:dyDescent="0.2">
      <c r="B373" s="10"/>
      <c r="C373" s="11"/>
      <c r="D373" s="63"/>
      <c r="E373" s="11"/>
      <c r="F373" s="65"/>
      <c r="G373" s="12"/>
      <c r="H373" s="41"/>
      <c r="I373" s="30"/>
      <c r="J373" s="30"/>
      <c r="K373" s="97"/>
      <c r="L373" s="11"/>
      <c r="M373" s="11"/>
      <c r="N373" s="11"/>
      <c r="O373" s="11"/>
      <c r="P373" s="82"/>
    </row>
    <row r="374" spans="2:16" s="9" customFormat="1" x14ac:dyDescent="0.2">
      <c r="B374" s="10"/>
      <c r="C374" s="11"/>
      <c r="D374" s="63"/>
      <c r="E374" s="11"/>
      <c r="F374" s="65"/>
      <c r="G374" s="12"/>
      <c r="H374" s="41"/>
      <c r="I374" s="30"/>
      <c r="J374" s="30"/>
      <c r="K374" s="97"/>
      <c r="L374" s="11"/>
      <c r="M374" s="11"/>
      <c r="N374" s="11"/>
      <c r="O374" s="11"/>
      <c r="P374" s="82"/>
    </row>
    <row r="375" spans="2:16" s="9" customFormat="1" x14ac:dyDescent="0.2">
      <c r="B375" s="10"/>
      <c r="C375" s="11"/>
      <c r="D375" s="63"/>
      <c r="E375" s="11"/>
      <c r="F375" s="65"/>
      <c r="G375" s="12"/>
      <c r="H375" s="41"/>
      <c r="I375" s="30"/>
      <c r="J375" s="30"/>
      <c r="K375" s="97"/>
      <c r="L375" s="11"/>
      <c r="M375" s="11"/>
      <c r="N375" s="11"/>
      <c r="O375" s="11"/>
      <c r="P375" s="82"/>
    </row>
    <row r="376" spans="2:16" s="9" customFormat="1" x14ac:dyDescent="0.2">
      <c r="B376" s="10"/>
      <c r="C376" s="11"/>
      <c r="D376" s="63"/>
      <c r="E376" s="11"/>
      <c r="F376" s="65"/>
      <c r="G376" s="12"/>
      <c r="H376" s="41"/>
      <c r="I376" s="30"/>
      <c r="J376" s="30"/>
      <c r="K376" s="97"/>
      <c r="L376" s="11"/>
      <c r="M376" s="11"/>
      <c r="N376" s="11"/>
      <c r="O376" s="11"/>
      <c r="P376" s="82"/>
    </row>
    <row r="377" spans="2:16" s="9" customFormat="1" x14ac:dyDescent="0.2">
      <c r="B377" s="10"/>
      <c r="C377" s="11"/>
      <c r="D377" s="63"/>
      <c r="E377" s="11"/>
      <c r="F377" s="65"/>
      <c r="G377" s="12"/>
      <c r="H377" s="41"/>
      <c r="I377" s="30"/>
      <c r="J377" s="30"/>
      <c r="K377" s="97"/>
      <c r="L377" s="11"/>
      <c r="M377" s="11"/>
      <c r="N377" s="11"/>
      <c r="O377" s="11"/>
      <c r="P377" s="82"/>
    </row>
    <row r="378" spans="2:16" s="9" customFormat="1" x14ac:dyDescent="0.2">
      <c r="B378" s="10"/>
      <c r="C378" s="11"/>
      <c r="D378" s="63"/>
      <c r="E378" s="11"/>
      <c r="F378" s="65"/>
      <c r="G378" s="12"/>
      <c r="H378" s="41"/>
      <c r="I378" s="30"/>
      <c r="J378" s="30"/>
      <c r="K378" s="97"/>
      <c r="L378" s="11"/>
      <c r="M378" s="11"/>
      <c r="N378" s="11"/>
      <c r="O378" s="11"/>
      <c r="P378" s="82"/>
    </row>
    <row r="379" spans="2:16" s="9" customFormat="1" x14ac:dyDescent="0.2">
      <c r="B379" s="10"/>
      <c r="C379" s="11"/>
      <c r="D379" s="63"/>
      <c r="E379" s="11"/>
      <c r="F379" s="65"/>
      <c r="G379" s="12"/>
      <c r="H379" s="41"/>
      <c r="I379" s="30"/>
      <c r="J379" s="30"/>
      <c r="K379" s="97"/>
      <c r="L379" s="11"/>
      <c r="M379" s="11"/>
      <c r="N379" s="11"/>
      <c r="O379" s="11"/>
      <c r="P379" s="82"/>
    </row>
    <row r="380" spans="2:16" s="9" customFormat="1" x14ac:dyDescent="0.2">
      <c r="B380" s="10"/>
      <c r="C380" s="11"/>
      <c r="D380" s="63"/>
      <c r="E380" s="11"/>
      <c r="F380" s="65"/>
      <c r="G380" s="12"/>
      <c r="H380" s="41"/>
      <c r="I380" s="30"/>
      <c r="J380" s="30"/>
      <c r="K380" s="97"/>
      <c r="L380" s="11"/>
      <c r="M380" s="11"/>
      <c r="N380" s="11"/>
      <c r="O380" s="11"/>
      <c r="P380" s="82"/>
    </row>
    <row r="381" spans="2:16" s="9" customFormat="1" x14ac:dyDescent="0.2">
      <c r="B381" s="10"/>
      <c r="C381" s="11"/>
      <c r="D381" s="63"/>
      <c r="E381" s="11"/>
      <c r="F381" s="65"/>
      <c r="G381" s="12"/>
      <c r="H381" s="41"/>
      <c r="I381" s="30"/>
      <c r="J381" s="30"/>
      <c r="K381" s="97"/>
      <c r="L381" s="11"/>
      <c r="M381" s="11"/>
      <c r="N381" s="11"/>
      <c r="O381" s="11"/>
      <c r="P381" s="82"/>
    </row>
    <row r="382" spans="2:16" s="9" customFormat="1" x14ac:dyDescent="0.2">
      <c r="B382" s="10"/>
      <c r="C382" s="11"/>
      <c r="D382" s="63"/>
      <c r="E382" s="11"/>
      <c r="F382" s="65"/>
      <c r="G382" s="12"/>
      <c r="H382" s="41"/>
      <c r="I382" s="30"/>
      <c r="J382" s="30"/>
      <c r="K382" s="97"/>
      <c r="L382" s="11"/>
      <c r="M382" s="11"/>
      <c r="N382" s="11"/>
      <c r="O382" s="11"/>
      <c r="P382" s="82"/>
    </row>
    <row r="383" spans="2:16" s="9" customFormat="1" x14ac:dyDescent="0.2">
      <c r="B383" s="10"/>
      <c r="C383" s="11"/>
      <c r="D383" s="63"/>
      <c r="E383" s="11"/>
      <c r="F383" s="65"/>
      <c r="G383" s="12"/>
      <c r="H383" s="41"/>
      <c r="I383" s="30"/>
      <c r="J383" s="30"/>
      <c r="K383" s="97"/>
      <c r="L383" s="11"/>
      <c r="M383" s="11"/>
      <c r="N383" s="11"/>
      <c r="O383" s="11"/>
      <c r="P383" s="82"/>
    </row>
    <row r="384" spans="2:16" s="9" customFormat="1" x14ac:dyDescent="0.2">
      <c r="B384" s="10"/>
      <c r="C384" s="11"/>
      <c r="D384" s="63"/>
      <c r="E384" s="11"/>
      <c r="F384" s="65"/>
      <c r="G384" s="12"/>
      <c r="H384" s="41"/>
      <c r="I384" s="30"/>
      <c r="J384" s="30"/>
      <c r="K384" s="97"/>
      <c r="L384" s="11"/>
      <c r="M384" s="11"/>
      <c r="N384" s="11"/>
      <c r="O384" s="11"/>
      <c r="P384" s="82"/>
    </row>
    <row r="385" spans="2:16" s="9" customFormat="1" x14ac:dyDescent="0.2">
      <c r="B385" s="10"/>
      <c r="C385" s="11"/>
      <c r="D385" s="63"/>
      <c r="E385" s="11"/>
      <c r="F385" s="65"/>
      <c r="G385" s="12"/>
      <c r="H385" s="41"/>
      <c r="I385" s="30"/>
      <c r="J385" s="30"/>
      <c r="K385" s="97"/>
      <c r="L385" s="11"/>
      <c r="M385" s="11"/>
      <c r="N385" s="11"/>
      <c r="O385" s="11"/>
      <c r="P385" s="82"/>
    </row>
    <row r="386" spans="2:16" s="9" customFormat="1" x14ac:dyDescent="0.2">
      <c r="B386" s="10"/>
      <c r="C386" s="11"/>
      <c r="D386" s="63"/>
      <c r="E386" s="11"/>
      <c r="F386" s="65"/>
      <c r="G386" s="12"/>
      <c r="H386" s="41"/>
      <c r="I386" s="30"/>
      <c r="J386" s="30"/>
      <c r="K386" s="97"/>
      <c r="L386" s="11"/>
      <c r="M386" s="11"/>
      <c r="N386" s="11"/>
      <c r="O386" s="11"/>
      <c r="P386" s="82"/>
    </row>
    <row r="387" spans="2:16" s="9" customFormat="1" x14ac:dyDescent="0.2">
      <c r="B387" s="10"/>
      <c r="C387" s="11"/>
      <c r="D387" s="63"/>
      <c r="E387" s="11"/>
      <c r="F387" s="65"/>
      <c r="G387" s="12"/>
      <c r="H387" s="41"/>
      <c r="I387" s="30"/>
      <c r="J387" s="30"/>
      <c r="K387" s="97"/>
      <c r="L387" s="11"/>
      <c r="M387" s="11"/>
      <c r="N387" s="11"/>
      <c r="O387" s="11"/>
      <c r="P387" s="82"/>
    </row>
    <row r="388" spans="2:16" s="9" customFormat="1" x14ac:dyDescent="0.2">
      <c r="B388" s="10"/>
      <c r="C388" s="11"/>
      <c r="D388" s="63"/>
      <c r="E388" s="11"/>
      <c r="F388" s="65"/>
      <c r="G388" s="12"/>
      <c r="H388" s="41"/>
      <c r="I388" s="30"/>
      <c r="J388" s="30"/>
      <c r="K388" s="97"/>
      <c r="L388" s="11"/>
      <c r="M388" s="11"/>
      <c r="N388" s="11"/>
      <c r="O388" s="11"/>
      <c r="P388" s="82"/>
    </row>
    <row r="389" spans="2:16" s="9" customFormat="1" x14ac:dyDescent="0.2">
      <c r="B389" s="10"/>
      <c r="C389" s="11"/>
      <c r="D389" s="63"/>
      <c r="E389" s="11"/>
      <c r="F389" s="65"/>
      <c r="G389" s="12"/>
      <c r="H389" s="41"/>
      <c r="I389" s="30"/>
      <c r="J389" s="30"/>
      <c r="K389" s="97"/>
      <c r="L389" s="11"/>
      <c r="M389" s="11"/>
      <c r="N389" s="11"/>
      <c r="O389" s="11"/>
      <c r="P389" s="82"/>
    </row>
    <row r="390" spans="2:16" s="9" customFormat="1" x14ac:dyDescent="0.2">
      <c r="B390" s="10"/>
      <c r="C390" s="11"/>
      <c r="D390" s="63"/>
      <c r="E390" s="11"/>
      <c r="F390" s="65"/>
      <c r="G390" s="12"/>
      <c r="H390" s="41"/>
      <c r="I390" s="30"/>
      <c r="J390" s="30"/>
      <c r="K390" s="97"/>
      <c r="L390" s="11"/>
      <c r="M390" s="11"/>
      <c r="N390" s="11"/>
      <c r="O390" s="11"/>
      <c r="P390" s="82"/>
    </row>
    <row r="391" spans="2:16" s="9" customFormat="1" x14ac:dyDescent="0.2">
      <c r="B391" s="10"/>
      <c r="C391" s="11"/>
      <c r="D391" s="63"/>
      <c r="E391" s="11"/>
      <c r="F391" s="65"/>
      <c r="G391" s="12"/>
      <c r="H391" s="41"/>
      <c r="I391" s="30"/>
      <c r="J391" s="30"/>
      <c r="K391" s="97"/>
      <c r="L391" s="11"/>
      <c r="M391" s="11"/>
      <c r="N391" s="11"/>
      <c r="O391" s="11"/>
      <c r="P391" s="82"/>
    </row>
    <row r="392" spans="2:16" s="9" customFormat="1" x14ac:dyDescent="0.2">
      <c r="B392" s="10"/>
      <c r="C392" s="11"/>
      <c r="D392" s="63"/>
      <c r="E392" s="11"/>
      <c r="F392" s="65"/>
      <c r="G392" s="12"/>
      <c r="H392" s="41"/>
      <c r="I392" s="30"/>
      <c r="J392" s="30"/>
      <c r="K392" s="97"/>
      <c r="L392" s="11"/>
      <c r="M392" s="11"/>
      <c r="N392" s="11"/>
      <c r="O392" s="11"/>
      <c r="P392" s="82"/>
    </row>
    <row r="393" spans="2:16" s="9" customFormat="1" x14ac:dyDescent="0.2">
      <c r="B393" s="10"/>
      <c r="C393" s="11"/>
      <c r="D393" s="63"/>
      <c r="E393" s="11"/>
      <c r="F393" s="65"/>
      <c r="G393" s="12"/>
      <c r="H393" s="41"/>
      <c r="I393" s="30"/>
      <c r="J393" s="30"/>
      <c r="K393" s="97"/>
      <c r="L393" s="11"/>
      <c r="M393" s="11"/>
      <c r="N393" s="11"/>
      <c r="O393" s="11"/>
      <c r="P393" s="82"/>
    </row>
    <row r="394" spans="2:16" s="9" customFormat="1" x14ac:dyDescent="0.2">
      <c r="B394" s="10"/>
      <c r="C394" s="11"/>
      <c r="D394" s="63"/>
      <c r="E394" s="11"/>
      <c r="F394" s="65"/>
      <c r="G394" s="12"/>
      <c r="H394" s="41"/>
      <c r="I394" s="30"/>
      <c r="J394" s="30"/>
      <c r="K394" s="97"/>
      <c r="L394" s="11"/>
      <c r="M394" s="11"/>
      <c r="N394" s="11"/>
      <c r="O394" s="11"/>
      <c r="P394" s="82"/>
    </row>
    <row r="395" spans="2:16" s="9" customFormat="1" x14ac:dyDescent="0.2">
      <c r="B395" s="10"/>
      <c r="C395" s="11"/>
      <c r="D395" s="63"/>
      <c r="E395" s="11"/>
      <c r="F395" s="65"/>
      <c r="G395" s="12"/>
      <c r="H395" s="41"/>
      <c r="I395" s="30"/>
      <c r="J395" s="30"/>
      <c r="K395" s="97"/>
      <c r="L395" s="11"/>
      <c r="M395" s="11"/>
      <c r="N395" s="11"/>
      <c r="O395" s="11"/>
      <c r="P395" s="82"/>
    </row>
    <row r="396" spans="2:16" s="9" customFormat="1" x14ac:dyDescent="0.2">
      <c r="B396" s="10"/>
      <c r="C396" s="11"/>
      <c r="D396" s="63"/>
      <c r="E396" s="11"/>
      <c r="F396" s="65"/>
      <c r="G396" s="12"/>
      <c r="H396" s="41"/>
      <c r="I396" s="30"/>
      <c r="J396" s="30"/>
      <c r="K396" s="97"/>
      <c r="L396" s="11"/>
      <c r="M396" s="11"/>
      <c r="N396" s="11"/>
      <c r="O396" s="11"/>
      <c r="P396" s="82"/>
    </row>
    <row r="397" spans="2:16" s="9" customFormat="1" x14ac:dyDescent="0.2">
      <c r="B397" s="10"/>
      <c r="C397" s="11"/>
      <c r="D397" s="63"/>
      <c r="E397" s="11"/>
      <c r="F397" s="65"/>
      <c r="G397" s="12"/>
      <c r="H397" s="41"/>
      <c r="I397" s="30"/>
      <c r="J397" s="30"/>
      <c r="K397" s="97"/>
      <c r="L397" s="11"/>
      <c r="M397" s="11"/>
      <c r="N397" s="11"/>
      <c r="O397" s="11"/>
      <c r="P397" s="82"/>
    </row>
    <row r="398" spans="2:16" s="9" customFormat="1" x14ac:dyDescent="0.2">
      <c r="B398" s="10"/>
      <c r="C398" s="11"/>
      <c r="D398" s="63"/>
      <c r="E398" s="11"/>
      <c r="F398" s="65"/>
      <c r="G398" s="12"/>
      <c r="H398" s="41"/>
      <c r="I398" s="30"/>
      <c r="J398" s="30"/>
      <c r="K398" s="97"/>
      <c r="L398" s="11"/>
      <c r="M398" s="11"/>
      <c r="N398" s="11"/>
      <c r="O398" s="11"/>
      <c r="P398" s="82"/>
    </row>
    <row r="399" spans="2:16" s="9" customFormat="1" x14ac:dyDescent="0.2">
      <c r="B399" s="10"/>
      <c r="C399" s="11"/>
      <c r="D399" s="63"/>
      <c r="E399" s="11"/>
      <c r="F399" s="65"/>
      <c r="G399" s="12"/>
      <c r="H399" s="41"/>
      <c r="I399" s="30"/>
      <c r="J399" s="30"/>
      <c r="K399" s="97"/>
      <c r="L399" s="11"/>
      <c r="M399" s="11"/>
      <c r="N399" s="11"/>
      <c r="O399" s="11"/>
      <c r="P399" s="82"/>
    </row>
    <row r="400" spans="2:16" s="9" customFormat="1" x14ac:dyDescent="0.2">
      <c r="B400" s="10"/>
      <c r="C400" s="11"/>
      <c r="D400" s="63"/>
      <c r="E400" s="11"/>
      <c r="F400" s="65"/>
      <c r="G400" s="12"/>
      <c r="H400" s="41"/>
      <c r="I400" s="30"/>
      <c r="J400" s="30"/>
      <c r="K400" s="97"/>
      <c r="L400" s="11"/>
      <c r="M400" s="11"/>
      <c r="N400" s="11"/>
      <c r="O400" s="11"/>
      <c r="P400" s="82"/>
    </row>
    <row r="401" spans="2:16" s="9" customFormat="1" x14ac:dyDescent="0.2">
      <c r="B401" s="10"/>
      <c r="C401" s="11"/>
      <c r="D401" s="63"/>
      <c r="E401" s="11"/>
      <c r="F401" s="65"/>
      <c r="G401" s="12"/>
      <c r="H401" s="41"/>
      <c r="I401" s="30"/>
      <c r="J401" s="30"/>
      <c r="K401" s="97"/>
      <c r="L401" s="11"/>
      <c r="M401" s="11"/>
      <c r="N401" s="11"/>
      <c r="O401" s="11"/>
      <c r="P401" s="82"/>
    </row>
    <row r="402" spans="2:16" s="9" customFormat="1" x14ac:dyDescent="0.2">
      <c r="B402" s="10"/>
      <c r="C402" s="11"/>
      <c r="D402" s="63"/>
      <c r="E402" s="11"/>
      <c r="F402" s="65"/>
      <c r="G402" s="12"/>
      <c r="H402" s="41"/>
      <c r="I402" s="30"/>
      <c r="J402" s="30"/>
      <c r="K402" s="97"/>
      <c r="L402" s="11"/>
      <c r="M402" s="11"/>
      <c r="N402" s="11"/>
      <c r="O402" s="11"/>
      <c r="P402" s="82"/>
    </row>
    <row r="403" spans="2:16" s="9" customFormat="1" x14ac:dyDescent="0.2">
      <c r="B403" s="10"/>
      <c r="C403" s="11"/>
      <c r="D403" s="63"/>
      <c r="E403" s="11"/>
      <c r="F403" s="65"/>
      <c r="G403" s="12"/>
      <c r="H403" s="41"/>
      <c r="I403" s="30"/>
      <c r="J403" s="30"/>
      <c r="K403" s="97"/>
      <c r="L403" s="11"/>
      <c r="M403" s="11"/>
      <c r="N403" s="11"/>
      <c r="O403" s="11"/>
      <c r="P403" s="82"/>
    </row>
    <row r="404" spans="2:16" s="9" customFormat="1" x14ac:dyDescent="0.2">
      <c r="B404" s="10"/>
      <c r="C404" s="11"/>
      <c r="D404" s="63"/>
      <c r="E404" s="11"/>
      <c r="F404" s="65"/>
      <c r="G404" s="12"/>
      <c r="H404" s="41"/>
      <c r="I404" s="30"/>
      <c r="J404" s="30"/>
      <c r="K404" s="97"/>
      <c r="L404" s="11"/>
      <c r="M404" s="11"/>
      <c r="N404" s="11"/>
      <c r="O404" s="11"/>
      <c r="P404" s="82"/>
    </row>
    <row r="405" spans="2:16" s="9" customFormat="1" x14ac:dyDescent="0.2">
      <c r="B405" s="10"/>
      <c r="C405" s="11"/>
      <c r="D405" s="63"/>
      <c r="E405" s="11"/>
      <c r="F405" s="65"/>
      <c r="G405" s="12"/>
      <c r="H405" s="41"/>
      <c r="I405" s="30"/>
      <c r="J405" s="30"/>
      <c r="K405" s="97"/>
      <c r="L405" s="11"/>
      <c r="M405" s="11"/>
      <c r="N405" s="11"/>
      <c r="O405" s="11"/>
      <c r="P405" s="82"/>
    </row>
    <row r="406" spans="2:16" s="9" customFormat="1" x14ac:dyDescent="0.2">
      <c r="B406" s="10"/>
      <c r="C406" s="11"/>
      <c r="D406" s="63"/>
      <c r="E406" s="11"/>
      <c r="F406" s="65"/>
      <c r="G406" s="12"/>
      <c r="H406" s="41"/>
      <c r="I406" s="30"/>
      <c r="J406" s="30"/>
      <c r="K406" s="97"/>
      <c r="L406" s="11"/>
      <c r="M406" s="11"/>
      <c r="N406" s="11"/>
      <c r="O406" s="11"/>
      <c r="P406" s="82"/>
    </row>
    <row r="407" spans="2:16" s="9" customFormat="1" x14ac:dyDescent="0.2">
      <c r="B407" s="10"/>
      <c r="C407" s="11"/>
      <c r="D407" s="63"/>
      <c r="E407" s="11"/>
      <c r="F407" s="65"/>
      <c r="G407" s="12"/>
      <c r="H407" s="41"/>
      <c r="I407" s="30"/>
      <c r="J407" s="30"/>
      <c r="K407" s="97"/>
      <c r="L407" s="11"/>
      <c r="M407" s="11"/>
      <c r="N407" s="11"/>
      <c r="O407" s="11"/>
      <c r="P407" s="82"/>
    </row>
    <row r="408" spans="2:16" s="9" customFormat="1" x14ac:dyDescent="0.2">
      <c r="B408" s="10"/>
      <c r="C408" s="11"/>
      <c r="D408" s="63"/>
      <c r="E408" s="11"/>
      <c r="F408" s="65"/>
      <c r="G408" s="12"/>
      <c r="H408" s="41"/>
      <c r="I408" s="30"/>
      <c r="J408" s="30"/>
      <c r="K408" s="97"/>
      <c r="L408" s="11"/>
      <c r="M408" s="11"/>
      <c r="N408" s="11"/>
      <c r="O408" s="11"/>
      <c r="P408" s="82"/>
    </row>
    <row r="409" spans="2:16" s="9" customFormat="1" x14ac:dyDescent="0.2">
      <c r="B409" s="10"/>
      <c r="C409" s="11"/>
      <c r="D409" s="63"/>
      <c r="E409" s="11"/>
      <c r="F409" s="65"/>
      <c r="G409" s="12"/>
      <c r="H409" s="41"/>
      <c r="I409" s="30"/>
      <c r="J409" s="30"/>
      <c r="K409" s="97"/>
      <c r="L409" s="11"/>
      <c r="M409" s="11"/>
      <c r="N409" s="11"/>
      <c r="O409" s="11"/>
      <c r="P409" s="82"/>
    </row>
    <row r="410" spans="2:16" s="9" customFormat="1" x14ac:dyDescent="0.2">
      <c r="B410" s="10"/>
      <c r="C410" s="11"/>
      <c r="D410" s="63"/>
      <c r="E410" s="11"/>
      <c r="F410" s="65"/>
      <c r="G410" s="12"/>
      <c r="H410" s="41"/>
      <c r="I410" s="30"/>
      <c r="J410" s="30"/>
      <c r="K410" s="97"/>
      <c r="L410" s="11"/>
      <c r="M410" s="11"/>
      <c r="N410" s="11"/>
      <c r="O410" s="11"/>
      <c r="P410" s="82"/>
    </row>
    <row r="411" spans="2:16" s="9" customFormat="1" x14ac:dyDescent="0.2">
      <c r="B411" s="10"/>
      <c r="C411" s="11"/>
      <c r="D411" s="63"/>
      <c r="E411" s="11"/>
      <c r="F411" s="65"/>
      <c r="G411" s="12"/>
      <c r="H411" s="41"/>
      <c r="I411" s="30"/>
      <c r="J411" s="30"/>
      <c r="K411" s="97"/>
      <c r="L411" s="11"/>
      <c r="M411" s="11"/>
      <c r="N411" s="11"/>
      <c r="O411" s="11"/>
      <c r="P411" s="82"/>
    </row>
    <row r="412" spans="2:16" s="9" customFormat="1" x14ac:dyDescent="0.2">
      <c r="B412" s="10"/>
      <c r="C412" s="11"/>
      <c r="D412" s="63"/>
      <c r="E412" s="11"/>
      <c r="F412" s="65"/>
      <c r="G412" s="12"/>
      <c r="H412" s="41"/>
      <c r="I412" s="30"/>
      <c r="J412" s="30"/>
      <c r="K412" s="97"/>
      <c r="L412" s="11"/>
      <c r="M412" s="11"/>
      <c r="N412" s="11"/>
      <c r="O412" s="11"/>
      <c r="P412" s="82"/>
    </row>
    <row r="413" spans="2:16" s="9" customFormat="1" x14ac:dyDescent="0.2">
      <c r="B413" s="10"/>
      <c r="C413" s="11"/>
      <c r="D413" s="63"/>
      <c r="E413" s="11"/>
      <c r="F413" s="65"/>
      <c r="G413" s="12"/>
      <c r="H413" s="41"/>
      <c r="I413" s="30"/>
      <c r="J413" s="30"/>
      <c r="K413" s="97"/>
      <c r="L413" s="11"/>
      <c r="M413" s="11"/>
      <c r="N413" s="11"/>
      <c r="O413" s="11"/>
      <c r="P413" s="82"/>
    </row>
    <row r="414" spans="2:16" s="9" customFormat="1" x14ac:dyDescent="0.2">
      <c r="B414" s="10"/>
      <c r="C414" s="11"/>
      <c r="D414" s="63"/>
      <c r="E414" s="11"/>
      <c r="F414" s="65"/>
      <c r="G414" s="12"/>
      <c r="H414" s="41"/>
      <c r="I414" s="30"/>
      <c r="J414" s="30"/>
      <c r="K414" s="97"/>
      <c r="L414" s="11"/>
      <c r="M414" s="11"/>
      <c r="N414" s="11"/>
      <c r="O414" s="11"/>
      <c r="P414" s="82"/>
    </row>
    <row r="415" spans="2:16" s="9" customFormat="1" x14ac:dyDescent="0.2">
      <c r="B415" s="10"/>
      <c r="C415" s="11"/>
      <c r="D415" s="63"/>
      <c r="E415" s="11"/>
      <c r="F415" s="65"/>
      <c r="G415" s="12"/>
      <c r="H415" s="41"/>
      <c r="I415" s="30"/>
      <c r="J415" s="30"/>
      <c r="K415" s="97"/>
      <c r="L415" s="11"/>
      <c r="M415" s="11"/>
      <c r="N415" s="11"/>
      <c r="O415" s="11"/>
      <c r="P415" s="82"/>
    </row>
    <row r="416" spans="2:16" s="9" customFormat="1" x14ac:dyDescent="0.2">
      <c r="B416" s="10"/>
      <c r="C416" s="11"/>
      <c r="D416" s="63"/>
      <c r="E416" s="11"/>
      <c r="F416" s="65"/>
      <c r="G416" s="12"/>
      <c r="H416" s="41"/>
      <c r="I416" s="30"/>
      <c r="J416" s="30"/>
      <c r="K416" s="97"/>
      <c r="L416" s="11"/>
      <c r="M416" s="11"/>
      <c r="N416" s="11"/>
      <c r="O416" s="11"/>
      <c r="P416" s="82"/>
    </row>
    <row r="417" spans="2:16" s="9" customFormat="1" x14ac:dyDescent="0.2">
      <c r="B417" s="10"/>
      <c r="C417" s="11"/>
      <c r="D417" s="63"/>
      <c r="E417" s="11"/>
      <c r="F417" s="65"/>
      <c r="G417" s="12"/>
      <c r="H417" s="41"/>
      <c r="I417" s="30"/>
      <c r="J417" s="30"/>
      <c r="K417" s="97"/>
      <c r="L417" s="11"/>
      <c r="M417" s="11"/>
      <c r="N417" s="11"/>
      <c r="O417" s="11"/>
      <c r="P417" s="82"/>
    </row>
    <row r="418" spans="2:16" s="9" customFormat="1" x14ac:dyDescent="0.2">
      <c r="B418" s="10"/>
      <c r="C418" s="11"/>
      <c r="D418" s="63"/>
      <c r="E418" s="11"/>
      <c r="F418" s="65"/>
      <c r="G418" s="12"/>
      <c r="H418" s="41"/>
      <c r="I418" s="30"/>
      <c r="J418" s="30"/>
      <c r="K418" s="97"/>
      <c r="L418" s="11"/>
      <c r="M418" s="11"/>
      <c r="N418" s="11"/>
      <c r="O418" s="11"/>
      <c r="P418" s="82"/>
    </row>
    <row r="419" spans="2:16" s="9" customFormat="1" x14ac:dyDescent="0.2">
      <c r="B419" s="10"/>
      <c r="C419" s="11"/>
      <c r="D419" s="63"/>
      <c r="E419" s="11"/>
      <c r="F419" s="65"/>
      <c r="G419" s="12"/>
      <c r="H419" s="41"/>
      <c r="I419" s="30"/>
      <c r="J419" s="30"/>
      <c r="K419" s="97"/>
      <c r="L419" s="11"/>
      <c r="M419" s="11"/>
      <c r="N419" s="11"/>
      <c r="O419" s="11"/>
      <c r="P419" s="82"/>
    </row>
    <row r="420" spans="2:16" s="9" customFormat="1" x14ac:dyDescent="0.2">
      <c r="B420" s="10"/>
      <c r="C420" s="11"/>
      <c r="D420" s="63"/>
      <c r="E420" s="11"/>
      <c r="F420" s="65"/>
      <c r="G420" s="12"/>
      <c r="H420" s="41"/>
      <c r="I420" s="30"/>
      <c r="J420" s="30"/>
      <c r="K420" s="97"/>
      <c r="L420" s="11"/>
      <c r="M420" s="11"/>
      <c r="N420" s="11"/>
      <c r="O420" s="11"/>
      <c r="P420" s="82"/>
    </row>
    <row r="421" spans="2:16" s="9" customFormat="1" x14ac:dyDescent="0.2">
      <c r="B421" s="10"/>
      <c r="C421" s="11"/>
      <c r="D421" s="63"/>
      <c r="E421" s="11"/>
      <c r="F421" s="65"/>
      <c r="G421" s="12"/>
      <c r="H421" s="41"/>
      <c r="I421" s="30"/>
      <c r="J421" s="30"/>
      <c r="K421" s="97"/>
      <c r="L421" s="11"/>
      <c r="M421" s="11"/>
      <c r="N421" s="11"/>
      <c r="O421" s="11"/>
      <c r="P421" s="82"/>
    </row>
    <row r="422" spans="2:16" s="9" customFormat="1" x14ac:dyDescent="0.2">
      <c r="B422" s="10"/>
      <c r="C422" s="11"/>
      <c r="D422" s="63"/>
      <c r="E422" s="11"/>
      <c r="F422" s="65"/>
      <c r="G422" s="12"/>
      <c r="H422" s="41"/>
      <c r="I422" s="30"/>
      <c r="J422" s="30"/>
      <c r="K422" s="97"/>
      <c r="L422" s="11"/>
      <c r="M422" s="11"/>
      <c r="N422" s="11"/>
      <c r="O422" s="11"/>
      <c r="P422" s="82"/>
    </row>
    <row r="423" spans="2:16" s="9" customFormat="1" x14ac:dyDescent="0.2">
      <c r="B423" s="10"/>
      <c r="C423" s="11"/>
      <c r="D423" s="63"/>
      <c r="E423" s="11"/>
      <c r="F423" s="65"/>
      <c r="G423" s="12"/>
      <c r="H423" s="41"/>
      <c r="I423" s="30"/>
      <c r="J423" s="30"/>
      <c r="K423" s="97"/>
      <c r="L423" s="11"/>
      <c r="M423" s="11"/>
      <c r="N423" s="11"/>
      <c r="O423" s="11"/>
      <c r="P423" s="82"/>
    </row>
    <row r="424" spans="2:16" s="9" customFormat="1" x14ac:dyDescent="0.2">
      <c r="B424" s="10"/>
      <c r="C424" s="11"/>
      <c r="D424" s="63"/>
      <c r="E424" s="11"/>
      <c r="F424" s="65"/>
      <c r="G424" s="12"/>
      <c r="H424" s="41"/>
      <c r="I424" s="30"/>
      <c r="J424" s="30"/>
      <c r="K424" s="97"/>
      <c r="L424" s="11"/>
      <c r="M424" s="11"/>
      <c r="N424" s="11"/>
      <c r="O424" s="11"/>
      <c r="P424" s="82"/>
    </row>
    <row r="425" spans="2:16" s="9" customFormat="1" x14ac:dyDescent="0.2">
      <c r="B425" s="10"/>
      <c r="C425" s="11"/>
      <c r="D425" s="63"/>
      <c r="E425" s="11"/>
      <c r="F425" s="65"/>
      <c r="G425" s="12"/>
      <c r="H425" s="41"/>
      <c r="I425" s="30"/>
      <c r="J425" s="30"/>
      <c r="K425" s="97"/>
      <c r="L425" s="11"/>
      <c r="M425" s="11"/>
      <c r="N425" s="11"/>
      <c r="O425" s="11"/>
      <c r="P425" s="82"/>
    </row>
    <row r="426" spans="2:16" s="9" customFormat="1" x14ac:dyDescent="0.2">
      <c r="B426" s="10"/>
      <c r="C426" s="11"/>
      <c r="D426" s="63"/>
      <c r="E426" s="11"/>
      <c r="F426" s="65"/>
      <c r="G426" s="12"/>
      <c r="H426" s="41"/>
      <c r="I426" s="30"/>
      <c r="J426" s="30"/>
      <c r="K426" s="97"/>
      <c r="L426" s="11"/>
      <c r="M426" s="11"/>
      <c r="N426" s="11"/>
      <c r="O426" s="11"/>
      <c r="P426" s="82"/>
    </row>
    <row r="427" spans="2:16" s="9" customFormat="1" x14ac:dyDescent="0.2">
      <c r="B427" s="10"/>
      <c r="C427" s="11"/>
      <c r="D427" s="63"/>
      <c r="E427" s="11"/>
      <c r="F427" s="65"/>
      <c r="G427" s="12"/>
      <c r="H427" s="41"/>
      <c r="I427" s="30"/>
      <c r="J427" s="30"/>
      <c r="K427" s="97"/>
      <c r="L427" s="11"/>
      <c r="M427" s="11"/>
      <c r="N427" s="11"/>
      <c r="O427" s="11"/>
      <c r="P427" s="82"/>
    </row>
    <row r="428" spans="2:16" s="9" customFormat="1" x14ac:dyDescent="0.2">
      <c r="B428" s="10"/>
      <c r="C428" s="11"/>
      <c r="D428" s="63"/>
      <c r="E428" s="11"/>
      <c r="F428" s="65"/>
      <c r="G428" s="12"/>
      <c r="H428" s="41"/>
      <c r="I428" s="30"/>
      <c r="J428" s="30"/>
      <c r="K428" s="97"/>
      <c r="L428" s="11"/>
      <c r="M428" s="11"/>
      <c r="N428" s="11"/>
      <c r="O428" s="11"/>
      <c r="P428" s="82"/>
    </row>
    <row r="429" spans="2:16" s="9" customFormat="1" x14ac:dyDescent="0.2">
      <c r="B429" s="10"/>
      <c r="C429" s="11"/>
      <c r="D429" s="63"/>
      <c r="E429" s="11"/>
      <c r="F429" s="65"/>
      <c r="G429" s="12"/>
      <c r="H429" s="41"/>
      <c r="I429" s="30"/>
      <c r="J429" s="30"/>
      <c r="K429" s="97"/>
      <c r="L429" s="11"/>
      <c r="M429" s="11"/>
      <c r="N429" s="11"/>
      <c r="O429" s="11"/>
      <c r="P429" s="82"/>
    </row>
    <row r="430" spans="2:16" s="9" customFormat="1" x14ac:dyDescent="0.2">
      <c r="B430" s="10"/>
      <c r="C430" s="11"/>
      <c r="D430" s="63"/>
      <c r="E430" s="11"/>
      <c r="F430" s="65"/>
      <c r="G430" s="12"/>
      <c r="H430" s="41"/>
      <c r="I430" s="30"/>
      <c r="J430" s="30"/>
      <c r="K430" s="97"/>
      <c r="L430" s="11"/>
      <c r="M430" s="11"/>
      <c r="N430" s="11"/>
      <c r="O430" s="11"/>
      <c r="P430" s="82"/>
    </row>
    <row r="431" spans="2:16" s="9" customFormat="1" x14ac:dyDescent="0.2">
      <c r="B431" s="10"/>
      <c r="C431" s="11"/>
      <c r="D431" s="63"/>
      <c r="E431" s="11"/>
      <c r="F431" s="65"/>
      <c r="G431" s="12"/>
      <c r="H431" s="41"/>
      <c r="I431" s="30"/>
      <c r="J431" s="30"/>
      <c r="K431" s="97"/>
      <c r="L431" s="11"/>
      <c r="M431" s="11"/>
      <c r="N431" s="11"/>
      <c r="O431" s="11"/>
      <c r="P431" s="82"/>
    </row>
    <row r="432" spans="2:16" s="9" customFormat="1" x14ac:dyDescent="0.2">
      <c r="B432" s="10"/>
      <c r="C432" s="11"/>
      <c r="D432" s="63"/>
      <c r="E432" s="11"/>
      <c r="F432" s="65"/>
      <c r="G432" s="12"/>
      <c r="H432" s="41"/>
      <c r="I432" s="30"/>
      <c r="J432" s="30"/>
      <c r="K432" s="97"/>
      <c r="L432" s="11"/>
      <c r="M432" s="11"/>
      <c r="N432" s="11"/>
      <c r="O432" s="11"/>
      <c r="P432" s="82"/>
    </row>
    <row r="433" spans="2:16" s="9" customFormat="1" x14ac:dyDescent="0.2">
      <c r="B433" s="10"/>
      <c r="C433" s="11"/>
      <c r="D433" s="63"/>
      <c r="E433" s="11"/>
      <c r="F433" s="65"/>
      <c r="G433" s="12"/>
      <c r="H433" s="41"/>
      <c r="I433" s="30"/>
      <c r="J433" s="30"/>
      <c r="K433" s="97"/>
      <c r="L433" s="11"/>
      <c r="M433" s="11"/>
      <c r="N433" s="11"/>
      <c r="O433" s="11"/>
      <c r="P433" s="82"/>
    </row>
    <row r="434" spans="2:16" s="9" customFormat="1" x14ac:dyDescent="0.2">
      <c r="B434" s="10"/>
      <c r="C434" s="11"/>
      <c r="D434" s="63"/>
      <c r="E434" s="11"/>
      <c r="F434" s="65"/>
      <c r="G434" s="12"/>
      <c r="H434" s="41"/>
      <c r="I434" s="30"/>
      <c r="J434" s="30"/>
      <c r="K434" s="97"/>
      <c r="L434" s="11"/>
      <c r="M434" s="11"/>
      <c r="N434" s="11"/>
      <c r="O434" s="11"/>
      <c r="P434" s="82"/>
    </row>
    <row r="435" spans="2:16" s="9" customFormat="1" x14ac:dyDescent="0.2">
      <c r="B435" s="10"/>
      <c r="C435" s="11"/>
      <c r="D435" s="63"/>
      <c r="E435" s="11"/>
      <c r="F435" s="65"/>
      <c r="G435" s="12"/>
      <c r="H435" s="41"/>
      <c r="I435" s="30"/>
      <c r="J435" s="30"/>
      <c r="K435" s="97"/>
      <c r="L435" s="11"/>
      <c r="M435" s="11"/>
      <c r="N435" s="11"/>
      <c r="O435" s="11"/>
      <c r="P435" s="82"/>
    </row>
    <row r="436" spans="2:16" s="9" customFormat="1" x14ac:dyDescent="0.2">
      <c r="B436" s="10"/>
      <c r="C436" s="11"/>
      <c r="D436" s="63"/>
      <c r="E436" s="11"/>
      <c r="F436" s="65"/>
      <c r="G436" s="12"/>
      <c r="H436" s="41"/>
      <c r="I436" s="30"/>
      <c r="J436" s="30"/>
      <c r="K436" s="97"/>
      <c r="L436" s="11"/>
      <c r="M436" s="11"/>
      <c r="N436" s="11"/>
      <c r="O436" s="11"/>
      <c r="P436" s="82"/>
    </row>
    <row r="437" spans="2:16" s="9" customFormat="1" x14ac:dyDescent="0.2">
      <c r="B437" s="10"/>
      <c r="C437" s="11"/>
      <c r="D437" s="63"/>
      <c r="E437" s="11"/>
      <c r="F437" s="65"/>
      <c r="G437" s="12"/>
      <c r="H437" s="41"/>
      <c r="I437" s="30"/>
      <c r="J437" s="30"/>
      <c r="K437" s="97"/>
      <c r="L437" s="11"/>
      <c r="M437" s="11"/>
      <c r="N437" s="11"/>
      <c r="O437" s="11"/>
      <c r="P437" s="82"/>
    </row>
    <row r="438" spans="2:16" s="9" customFormat="1" x14ac:dyDescent="0.2">
      <c r="B438" s="10"/>
      <c r="C438" s="11"/>
      <c r="D438" s="63"/>
      <c r="E438" s="11"/>
      <c r="F438" s="65"/>
      <c r="G438" s="12"/>
      <c r="H438" s="41"/>
      <c r="I438" s="30"/>
      <c r="J438" s="30"/>
      <c r="K438" s="97"/>
      <c r="L438" s="11"/>
      <c r="M438" s="11"/>
      <c r="N438" s="11"/>
      <c r="O438" s="11"/>
      <c r="P438" s="82"/>
    </row>
    <row r="439" spans="2:16" s="9" customFormat="1" x14ac:dyDescent="0.2">
      <c r="B439" s="10"/>
      <c r="C439" s="11"/>
      <c r="D439" s="63"/>
      <c r="E439" s="11"/>
      <c r="F439" s="65"/>
      <c r="G439" s="12"/>
      <c r="H439" s="41"/>
      <c r="I439" s="30"/>
      <c r="J439" s="30"/>
      <c r="K439" s="97"/>
      <c r="L439" s="11"/>
      <c r="M439" s="11"/>
      <c r="N439" s="11"/>
      <c r="O439" s="11"/>
      <c r="P439" s="82"/>
    </row>
    <row r="440" spans="2:16" s="9" customFormat="1" x14ac:dyDescent="0.2">
      <c r="B440" s="10"/>
      <c r="C440" s="11"/>
      <c r="D440" s="63"/>
      <c r="E440" s="11"/>
      <c r="F440" s="65"/>
      <c r="G440" s="12"/>
      <c r="H440" s="41"/>
      <c r="I440" s="30"/>
      <c r="J440" s="30"/>
      <c r="K440" s="97"/>
      <c r="L440" s="11"/>
      <c r="M440" s="11"/>
      <c r="N440" s="11"/>
      <c r="O440" s="11"/>
      <c r="P440" s="82"/>
    </row>
    <row r="441" spans="2:16" s="9" customFormat="1" x14ac:dyDescent="0.2">
      <c r="B441" s="10"/>
      <c r="C441" s="11"/>
      <c r="D441" s="63"/>
      <c r="E441" s="11"/>
      <c r="F441" s="65"/>
      <c r="G441" s="12"/>
      <c r="H441" s="41"/>
      <c r="I441" s="30"/>
      <c r="J441" s="30"/>
      <c r="K441" s="97"/>
      <c r="L441" s="11"/>
      <c r="M441" s="11"/>
      <c r="N441" s="11"/>
      <c r="O441" s="11"/>
      <c r="P441" s="82"/>
    </row>
    <row r="442" spans="2:16" s="9" customFormat="1" x14ac:dyDescent="0.2">
      <c r="B442" s="10"/>
      <c r="C442" s="11"/>
      <c r="D442" s="63"/>
      <c r="E442" s="11"/>
      <c r="F442" s="65"/>
      <c r="G442" s="12"/>
      <c r="H442" s="41"/>
      <c r="I442" s="30"/>
      <c r="J442" s="30"/>
      <c r="K442" s="97"/>
      <c r="L442" s="11"/>
      <c r="M442" s="11"/>
      <c r="N442" s="11"/>
      <c r="O442" s="11"/>
      <c r="P442" s="82"/>
    </row>
    <row r="443" spans="2:16" s="9" customFormat="1" x14ac:dyDescent="0.2">
      <c r="B443" s="10"/>
      <c r="C443" s="11"/>
      <c r="D443" s="63"/>
      <c r="E443" s="11"/>
      <c r="F443" s="65"/>
      <c r="G443" s="12"/>
      <c r="H443" s="41"/>
      <c r="I443" s="30"/>
      <c r="J443" s="30"/>
      <c r="K443" s="97"/>
      <c r="L443" s="11"/>
      <c r="M443" s="11"/>
      <c r="N443" s="11"/>
      <c r="O443" s="11"/>
      <c r="P443" s="82"/>
    </row>
    <row r="444" spans="2:16" s="9" customFormat="1" x14ac:dyDescent="0.2">
      <c r="B444" s="10"/>
      <c r="C444" s="11"/>
      <c r="D444" s="63"/>
      <c r="E444" s="11"/>
      <c r="F444" s="65"/>
      <c r="G444" s="12"/>
      <c r="H444" s="41"/>
      <c r="I444" s="30"/>
      <c r="J444" s="30"/>
      <c r="K444" s="97"/>
      <c r="L444" s="11"/>
      <c r="M444" s="11"/>
      <c r="N444" s="11"/>
      <c r="O444" s="11"/>
      <c r="P444" s="82"/>
    </row>
    <row r="445" spans="2:16" s="9" customFormat="1" x14ac:dyDescent="0.2">
      <c r="B445" s="10"/>
      <c r="C445" s="11"/>
      <c r="D445" s="63"/>
      <c r="E445" s="11"/>
      <c r="F445" s="65"/>
      <c r="G445" s="12"/>
      <c r="H445" s="41"/>
      <c r="I445" s="30"/>
      <c r="J445" s="30"/>
      <c r="K445" s="97"/>
      <c r="L445" s="11"/>
      <c r="M445" s="11"/>
      <c r="N445" s="11"/>
      <c r="O445" s="11"/>
      <c r="P445" s="82"/>
    </row>
    <row r="446" spans="2:16" s="9" customFormat="1" x14ac:dyDescent="0.2">
      <c r="B446" s="10"/>
      <c r="C446" s="11"/>
      <c r="D446" s="63"/>
      <c r="E446" s="11"/>
      <c r="F446" s="65"/>
      <c r="G446" s="12"/>
      <c r="H446" s="41"/>
      <c r="I446" s="30"/>
      <c r="J446" s="30"/>
      <c r="K446" s="97"/>
      <c r="L446" s="11"/>
      <c r="M446" s="11"/>
      <c r="N446" s="11"/>
      <c r="O446" s="11"/>
      <c r="P446" s="82"/>
    </row>
    <row r="447" spans="2:16" s="9" customFormat="1" x14ac:dyDescent="0.2">
      <c r="B447" s="10"/>
      <c r="C447" s="11"/>
      <c r="D447" s="63"/>
      <c r="E447" s="11"/>
      <c r="F447" s="65"/>
      <c r="G447" s="12"/>
      <c r="H447" s="41"/>
      <c r="I447" s="30"/>
      <c r="J447" s="30"/>
      <c r="K447" s="97"/>
      <c r="L447" s="11"/>
      <c r="M447" s="11"/>
      <c r="N447" s="11"/>
      <c r="O447" s="11"/>
      <c r="P447" s="82"/>
    </row>
    <row r="448" spans="2:16" s="9" customFormat="1" x14ac:dyDescent="0.2">
      <c r="B448" s="10"/>
      <c r="C448" s="11"/>
      <c r="D448" s="63"/>
      <c r="E448" s="11"/>
      <c r="F448" s="65"/>
      <c r="G448" s="12"/>
      <c r="H448" s="41"/>
      <c r="I448" s="30"/>
      <c r="J448" s="30"/>
      <c r="K448" s="97"/>
      <c r="L448" s="11"/>
      <c r="M448" s="11"/>
      <c r="N448" s="11"/>
      <c r="O448" s="11"/>
      <c r="P448" s="82"/>
    </row>
    <row r="449" spans="2:16" s="9" customFormat="1" x14ac:dyDescent="0.2">
      <c r="B449" s="10"/>
      <c r="C449" s="11"/>
      <c r="D449" s="63"/>
      <c r="E449" s="11"/>
      <c r="F449" s="65"/>
      <c r="G449" s="12"/>
      <c r="H449" s="41"/>
      <c r="I449" s="30"/>
      <c r="J449" s="30"/>
      <c r="K449" s="97"/>
      <c r="L449" s="11"/>
      <c r="M449" s="11"/>
      <c r="N449" s="11"/>
      <c r="O449" s="11"/>
      <c r="P449" s="82"/>
    </row>
    <row r="450" spans="2:16" s="9" customFormat="1" x14ac:dyDescent="0.2">
      <c r="B450" s="10"/>
      <c r="C450" s="11"/>
      <c r="D450" s="63"/>
      <c r="E450" s="11"/>
      <c r="F450" s="65"/>
      <c r="G450" s="12"/>
      <c r="H450" s="41"/>
      <c r="I450" s="30"/>
      <c r="J450" s="30"/>
      <c r="K450" s="97"/>
      <c r="L450" s="11"/>
      <c r="M450" s="11"/>
      <c r="N450" s="11"/>
      <c r="O450" s="11"/>
      <c r="P450" s="82"/>
    </row>
    <row r="451" spans="2:16" s="9" customFormat="1" x14ac:dyDescent="0.2">
      <c r="B451" s="10"/>
      <c r="C451" s="11"/>
      <c r="D451" s="63"/>
      <c r="E451" s="11"/>
      <c r="F451" s="65"/>
      <c r="G451" s="12"/>
      <c r="H451" s="41"/>
      <c r="I451" s="30"/>
      <c r="J451" s="30"/>
      <c r="K451" s="97"/>
      <c r="L451" s="11"/>
      <c r="M451" s="11"/>
      <c r="N451" s="11"/>
      <c r="O451" s="11"/>
      <c r="P451" s="82"/>
    </row>
    <row r="452" spans="2:16" s="9" customFormat="1" x14ac:dyDescent="0.2">
      <c r="B452" s="10"/>
      <c r="C452" s="11"/>
      <c r="D452" s="63"/>
      <c r="E452" s="11"/>
      <c r="F452" s="65"/>
      <c r="G452" s="12"/>
      <c r="H452" s="41"/>
      <c r="I452" s="30"/>
      <c r="J452" s="30"/>
      <c r="K452" s="97"/>
      <c r="L452" s="11"/>
      <c r="M452" s="11"/>
      <c r="N452" s="11"/>
      <c r="O452" s="11"/>
      <c r="P452" s="82"/>
    </row>
    <row r="453" spans="2:16" s="9" customFormat="1" x14ac:dyDescent="0.2">
      <c r="B453" s="10"/>
      <c r="C453" s="11"/>
      <c r="D453" s="63"/>
      <c r="E453" s="11"/>
      <c r="F453" s="65"/>
      <c r="G453" s="12"/>
      <c r="H453" s="41"/>
      <c r="I453" s="30"/>
      <c r="J453" s="30"/>
      <c r="K453" s="97"/>
      <c r="L453" s="11"/>
      <c r="M453" s="11"/>
      <c r="N453" s="11"/>
      <c r="O453" s="11"/>
      <c r="P453" s="82"/>
    </row>
    <row r="454" spans="2:16" s="9" customFormat="1" x14ac:dyDescent="0.2">
      <c r="B454" s="10"/>
      <c r="C454" s="11"/>
      <c r="D454" s="63"/>
      <c r="E454" s="11"/>
      <c r="F454" s="65"/>
      <c r="G454" s="12"/>
      <c r="H454" s="41"/>
      <c r="I454" s="30"/>
      <c r="J454" s="30"/>
      <c r="K454" s="97"/>
      <c r="L454" s="11"/>
      <c r="M454" s="11"/>
      <c r="N454" s="11"/>
      <c r="O454" s="11"/>
      <c r="P454" s="82"/>
    </row>
    <row r="455" spans="2:16" s="9" customFormat="1" x14ac:dyDescent="0.2">
      <c r="B455" s="10"/>
      <c r="C455" s="11"/>
      <c r="D455" s="63"/>
      <c r="E455" s="11"/>
      <c r="F455" s="65"/>
      <c r="G455" s="12"/>
      <c r="H455" s="41"/>
      <c r="I455" s="30"/>
      <c r="J455" s="30"/>
      <c r="K455" s="97"/>
      <c r="L455" s="11"/>
      <c r="M455" s="11"/>
      <c r="N455" s="11"/>
      <c r="O455" s="11"/>
      <c r="P455" s="82"/>
    </row>
    <row r="456" spans="2:16" s="9" customFormat="1" x14ac:dyDescent="0.2">
      <c r="B456" s="10"/>
      <c r="C456" s="11"/>
      <c r="D456" s="63"/>
      <c r="E456" s="11"/>
      <c r="F456" s="65"/>
      <c r="G456" s="12"/>
      <c r="H456" s="41"/>
      <c r="I456" s="30"/>
      <c r="J456" s="30"/>
      <c r="K456" s="97"/>
      <c r="L456" s="11"/>
      <c r="M456" s="11"/>
      <c r="N456" s="11"/>
      <c r="O456" s="11"/>
      <c r="P456" s="82"/>
    </row>
    <row r="457" spans="2:16" s="9" customFormat="1" x14ac:dyDescent="0.2">
      <c r="B457" s="10"/>
      <c r="C457" s="11"/>
      <c r="D457" s="63"/>
      <c r="E457" s="11"/>
      <c r="F457" s="65"/>
      <c r="G457" s="12"/>
      <c r="H457" s="41"/>
      <c r="I457" s="30"/>
      <c r="J457" s="30"/>
      <c r="K457" s="97"/>
      <c r="L457" s="11"/>
      <c r="M457" s="11"/>
      <c r="N457" s="11"/>
      <c r="O457" s="11"/>
      <c r="P457" s="82"/>
    </row>
    <row r="458" spans="2:16" s="9" customFormat="1" x14ac:dyDescent="0.2">
      <c r="B458" s="10"/>
      <c r="C458" s="11"/>
      <c r="D458" s="63"/>
      <c r="E458" s="11"/>
      <c r="F458" s="65"/>
      <c r="G458" s="12"/>
      <c r="H458" s="41"/>
      <c r="I458" s="30"/>
      <c r="J458" s="30"/>
      <c r="K458" s="97"/>
      <c r="L458" s="11"/>
      <c r="M458" s="11"/>
      <c r="N458" s="11"/>
      <c r="O458" s="11"/>
      <c r="P458" s="82"/>
    </row>
    <row r="459" spans="2:16" s="9" customFormat="1" x14ac:dyDescent="0.2">
      <c r="B459" s="10"/>
      <c r="C459" s="11"/>
      <c r="D459" s="63"/>
      <c r="E459" s="11"/>
      <c r="F459" s="65"/>
      <c r="G459" s="12"/>
      <c r="H459" s="41"/>
      <c r="I459" s="30"/>
      <c r="J459" s="30"/>
      <c r="K459" s="97"/>
      <c r="L459" s="11"/>
      <c r="M459" s="11"/>
      <c r="N459" s="11"/>
      <c r="O459" s="11"/>
      <c r="P459" s="82"/>
    </row>
    <row r="460" spans="2:16" s="9" customFormat="1" x14ac:dyDescent="0.2">
      <c r="B460" s="10"/>
      <c r="C460" s="11"/>
      <c r="D460" s="63"/>
      <c r="E460" s="11"/>
      <c r="F460" s="65"/>
      <c r="G460" s="12"/>
      <c r="H460" s="41"/>
      <c r="I460" s="30"/>
      <c r="J460" s="30"/>
      <c r="K460" s="97"/>
      <c r="L460" s="11"/>
      <c r="M460" s="11"/>
      <c r="N460" s="11"/>
      <c r="O460" s="11"/>
      <c r="P460" s="82"/>
    </row>
    <row r="461" spans="2:16" s="9" customFormat="1" x14ac:dyDescent="0.2">
      <c r="B461" s="10"/>
      <c r="C461" s="11"/>
      <c r="D461" s="63"/>
      <c r="E461" s="11"/>
      <c r="F461" s="65"/>
      <c r="G461" s="12"/>
      <c r="H461" s="41"/>
      <c r="I461" s="30"/>
      <c r="J461" s="30"/>
      <c r="K461" s="97"/>
      <c r="L461" s="11"/>
      <c r="M461" s="11"/>
      <c r="N461" s="11"/>
      <c r="O461" s="11"/>
      <c r="P461" s="82"/>
    </row>
    <row r="462" spans="2:16" s="9" customFormat="1" x14ac:dyDescent="0.2">
      <c r="B462" s="10"/>
      <c r="C462" s="11"/>
      <c r="D462" s="63"/>
      <c r="E462" s="11"/>
      <c r="F462" s="65"/>
      <c r="G462" s="12"/>
      <c r="H462" s="41"/>
      <c r="I462" s="30"/>
      <c r="J462" s="30"/>
      <c r="K462" s="97"/>
      <c r="L462" s="11"/>
      <c r="M462" s="11"/>
      <c r="N462" s="11"/>
      <c r="O462" s="11"/>
      <c r="P462" s="82"/>
    </row>
    <row r="463" spans="2:16" s="9" customFormat="1" x14ac:dyDescent="0.2">
      <c r="B463" s="10"/>
      <c r="C463" s="11"/>
      <c r="D463" s="63"/>
      <c r="E463" s="11"/>
      <c r="F463" s="65"/>
      <c r="G463" s="12"/>
      <c r="H463" s="41"/>
      <c r="I463" s="30"/>
      <c r="J463" s="30"/>
      <c r="K463" s="97"/>
      <c r="L463" s="11"/>
      <c r="M463" s="11"/>
      <c r="N463" s="11"/>
      <c r="O463" s="11"/>
      <c r="P463" s="82"/>
    </row>
    <row r="464" spans="2:16" s="9" customFormat="1" x14ac:dyDescent="0.2">
      <c r="B464" s="10"/>
      <c r="C464" s="11"/>
      <c r="D464" s="63"/>
      <c r="E464" s="11"/>
      <c r="F464" s="65"/>
      <c r="G464" s="12"/>
      <c r="H464" s="41"/>
      <c r="I464" s="30"/>
      <c r="J464" s="30"/>
      <c r="K464" s="97"/>
      <c r="L464" s="11"/>
      <c r="M464" s="11"/>
      <c r="N464" s="11"/>
      <c r="O464" s="11"/>
      <c r="P464" s="82"/>
    </row>
    <row r="465" spans="2:16" s="9" customFormat="1" x14ac:dyDescent="0.2">
      <c r="B465" s="10"/>
      <c r="C465" s="11"/>
      <c r="D465" s="63"/>
      <c r="E465" s="11"/>
      <c r="F465" s="65"/>
      <c r="G465" s="12"/>
      <c r="H465" s="41"/>
      <c r="I465" s="30"/>
      <c r="J465" s="30"/>
      <c r="K465" s="97"/>
      <c r="L465" s="11"/>
      <c r="M465" s="11"/>
      <c r="N465" s="11"/>
      <c r="O465" s="11"/>
      <c r="P465" s="82"/>
    </row>
    <row r="466" spans="2:16" s="9" customFormat="1" x14ac:dyDescent="0.2">
      <c r="B466" s="10"/>
      <c r="C466" s="11"/>
      <c r="D466" s="63"/>
      <c r="E466" s="11"/>
      <c r="F466" s="65"/>
      <c r="G466" s="12"/>
      <c r="H466" s="41"/>
      <c r="I466" s="30"/>
      <c r="J466" s="30"/>
      <c r="K466" s="97"/>
      <c r="L466" s="11"/>
      <c r="M466" s="11"/>
      <c r="N466" s="11"/>
      <c r="O466" s="11"/>
      <c r="P466" s="82"/>
    </row>
    <row r="467" spans="2:16" s="9" customFormat="1" x14ac:dyDescent="0.2">
      <c r="B467" s="10"/>
      <c r="C467" s="11"/>
      <c r="D467" s="63"/>
      <c r="E467" s="11"/>
      <c r="F467" s="65"/>
      <c r="G467" s="12"/>
      <c r="H467" s="41"/>
      <c r="I467" s="30"/>
      <c r="J467" s="30"/>
      <c r="K467" s="97"/>
      <c r="L467" s="11"/>
      <c r="M467" s="11"/>
      <c r="N467" s="11"/>
      <c r="O467" s="11"/>
      <c r="P467" s="82"/>
    </row>
    <row r="468" spans="2:16" s="9" customFormat="1" x14ac:dyDescent="0.2">
      <c r="B468" s="10"/>
      <c r="C468" s="11"/>
      <c r="D468" s="63"/>
      <c r="E468" s="11"/>
      <c r="F468" s="65"/>
      <c r="G468" s="12"/>
      <c r="H468" s="41"/>
      <c r="I468" s="30"/>
      <c r="J468" s="30"/>
      <c r="K468" s="97"/>
      <c r="L468" s="11"/>
      <c r="M468" s="11"/>
      <c r="N468" s="11"/>
      <c r="O468" s="11"/>
      <c r="P468" s="82"/>
    </row>
    <row r="469" spans="2:16" s="9" customFormat="1" x14ac:dyDescent="0.2">
      <c r="B469" s="10"/>
      <c r="C469" s="11"/>
      <c r="D469" s="63"/>
      <c r="E469" s="11"/>
      <c r="F469" s="65"/>
      <c r="G469" s="12"/>
      <c r="H469" s="41"/>
      <c r="I469" s="30"/>
      <c r="J469" s="30"/>
      <c r="K469" s="97"/>
      <c r="L469" s="11"/>
      <c r="M469" s="11"/>
      <c r="N469" s="11"/>
      <c r="O469" s="11"/>
      <c r="P469" s="82"/>
    </row>
    <row r="470" spans="2:16" s="9" customFormat="1" x14ac:dyDescent="0.2">
      <c r="B470" s="10"/>
      <c r="C470" s="11"/>
      <c r="D470" s="63"/>
      <c r="E470" s="11"/>
      <c r="F470" s="65"/>
      <c r="G470" s="12"/>
      <c r="H470" s="41"/>
      <c r="I470" s="30"/>
      <c r="J470" s="30"/>
      <c r="K470" s="97"/>
      <c r="L470" s="11"/>
      <c r="M470" s="11"/>
      <c r="N470" s="11"/>
      <c r="O470" s="11"/>
      <c r="P470" s="82"/>
    </row>
    <row r="471" spans="2:16" s="9" customFormat="1" x14ac:dyDescent="0.2">
      <c r="B471" s="10"/>
      <c r="C471" s="11"/>
      <c r="D471" s="63"/>
      <c r="E471" s="11"/>
      <c r="F471" s="65"/>
      <c r="G471" s="12"/>
      <c r="H471" s="41"/>
      <c r="I471" s="30"/>
      <c r="J471" s="30"/>
      <c r="K471" s="97"/>
      <c r="L471" s="11"/>
      <c r="M471" s="11"/>
      <c r="N471" s="11"/>
      <c r="O471" s="11"/>
      <c r="P471" s="82"/>
    </row>
    <row r="472" spans="2:16" s="9" customFormat="1" x14ac:dyDescent="0.2">
      <c r="B472" s="10"/>
      <c r="C472" s="11"/>
      <c r="D472" s="63"/>
      <c r="E472" s="11"/>
      <c r="F472" s="65"/>
      <c r="G472" s="12"/>
      <c r="H472" s="41"/>
      <c r="I472" s="30"/>
      <c r="J472" s="30"/>
      <c r="K472" s="97"/>
      <c r="L472" s="11"/>
      <c r="M472" s="11"/>
      <c r="N472" s="11"/>
      <c r="O472" s="11"/>
      <c r="P472" s="82"/>
    </row>
    <row r="473" spans="2:16" s="9" customFormat="1" x14ac:dyDescent="0.2">
      <c r="B473" s="10"/>
      <c r="C473" s="11"/>
      <c r="D473" s="63"/>
      <c r="E473" s="11"/>
      <c r="F473" s="65"/>
      <c r="G473" s="12"/>
      <c r="H473" s="41"/>
      <c r="I473" s="30"/>
      <c r="J473" s="30"/>
      <c r="K473" s="97"/>
      <c r="L473" s="11"/>
      <c r="M473" s="11"/>
      <c r="N473" s="11"/>
      <c r="O473" s="11"/>
      <c r="P473" s="82"/>
    </row>
    <row r="474" spans="2:16" s="9" customFormat="1" x14ac:dyDescent="0.2">
      <c r="B474" s="10"/>
      <c r="C474" s="11"/>
      <c r="D474" s="63"/>
      <c r="E474" s="11"/>
      <c r="F474" s="65"/>
      <c r="G474" s="12"/>
      <c r="H474" s="41"/>
      <c r="I474" s="30"/>
      <c r="J474" s="30"/>
      <c r="K474" s="97"/>
      <c r="L474" s="11"/>
      <c r="M474" s="11"/>
      <c r="N474" s="11"/>
      <c r="O474" s="11"/>
      <c r="P474" s="82"/>
    </row>
    <row r="475" spans="2:16" s="9" customFormat="1" x14ac:dyDescent="0.2">
      <c r="B475" s="10"/>
      <c r="C475" s="11"/>
      <c r="D475" s="63"/>
      <c r="E475" s="11"/>
      <c r="F475" s="65"/>
      <c r="G475" s="12"/>
      <c r="H475" s="41"/>
      <c r="I475" s="30"/>
      <c r="J475" s="30"/>
      <c r="K475" s="97"/>
      <c r="L475" s="11"/>
      <c r="M475" s="11"/>
      <c r="N475" s="11"/>
      <c r="O475" s="11"/>
      <c r="P475" s="82"/>
    </row>
    <row r="476" spans="2:16" s="9" customFormat="1" x14ac:dyDescent="0.2">
      <c r="B476" s="10"/>
      <c r="C476" s="11"/>
      <c r="D476" s="63"/>
      <c r="E476" s="11"/>
      <c r="F476" s="65"/>
      <c r="G476" s="12"/>
      <c r="H476" s="41"/>
      <c r="I476" s="30"/>
      <c r="J476" s="30"/>
      <c r="K476" s="97"/>
      <c r="L476" s="11"/>
      <c r="M476" s="11"/>
      <c r="N476" s="11"/>
      <c r="O476" s="11"/>
      <c r="P476" s="82"/>
    </row>
    <row r="477" spans="2:16" s="9" customFormat="1" x14ac:dyDescent="0.2">
      <c r="B477" s="10"/>
      <c r="C477" s="11"/>
      <c r="D477" s="63"/>
      <c r="E477" s="11"/>
      <c r="F477" s="65"/>
      <c r="G477" s="12"/>
      <c r="H477" s="41"/>
      <c r="I477" s="30"/>
      <c r="J477" s="30"/>
      <c r="K477" s="97"/>
      <c r="L477" s="11"/>
      <c r="M477" s="11"/>
      <c r="N477" s="11"/>
      <c r="O477" s="11"/>
      <c r="P477" s="82"/>
    </row>
    <row r="478" spans="2:16" s="9" customFormat="1" x14ac:dyDescent="0.2">
      <c r="B478" s="10"/>
      <c r="C478" s="11"/>
      <c r="D478" s="63"/>
      <c r="E478" s="11"/>
      <c r="F478" s="65"/>
      <c r="G478" s="12"/>
      <c r="H478" s="41"/>
      <c r="I478" s="30"/>
      <c r="J478" s="30"/>
      <c r="K478" s="97"/>
      <c r="L478" s="11"/>
      <c r="M478" s="11"/>
      <c r="N478" s="11"/>
      <c r="O478" s="11"/>
      <c r="P478" s="82"/>
    </row>
    <row r="479" spans="2:16" s="9" customFormat="1" x14ac:dyDescent="0.2">
      <c r="B479" s="10"/>
      <c r="C479" s="11"/>
      <c r="D479" s="63"/>
      <c r="E479" s="11"/>
      <c r="F479" s="65"/>
      <c r="G479" s="12"/>
      <c r="H479" s="41"/>
      <c r="I479" s="30"/>
      <c r="J479" s="30"/>
      <c r="K479" s="97"/>
      <c r="L479" s="11"/>
      <c r="M479" s="11"/>
      <c r="N479" s="11"/>
      <c r="O479" s="11"/>
      <c r="P479" s="82"/>
    </row>
    <row r="480" spans="2:16" s="9" customFormat="1" x14ac:dyDescent="0.2">
      <c r="B480" s="10"/>
      <c r="C480" s="11"/>
      <c r="D480" s="63"/>
      <c r="E480" s="11"/>
      <c r="F480" s="65"/>
      <c r="G480" s="12"/>
      <c r="H480" s="41"/>
      <c r="I480" s="30"/>
      <c r="J480" s="30"/>
      <c r="K480" s="97"/>
      <c r="L480" s="11"/>
      <c r="M480" s="11"/>
      <c r="N480" s="11"/>
      <c r="O480" s="11"/>
      <c r="P480" s="82"/>
    </row>
    <row r="481" spans="2:16" s="9" customFormat="1" x14ac:dyDescent="0.2">
      <c r="B481" s="10"/>
      <c r="C481" s="11"/>
      <c r="D481" s="63"/>
      <c r="E481" s="11"/>
      <c r="F481" s="65"/>
      <c r="G481" s="12"/>
      <c r="H481" s="41"/>
      <c r="I481" s="30"/>
      <c r="J481" s="30"/>
      <c r="K481" s="97"/>
      <c r="L481" s="11"/>
      <c r="M481" s="11"/>
      <c r="N481" s="11"/>
      <c r="O481" s="11"/>
      <c r="P481" s="82"/>
    </row>
    <row r="482" spans="2:16" s="9" customFormat="1" x14ac:dyDescent="0.2">
      <c r="B482" s="10"/>
      <c r="C482" s="11"/>
      <c r="D482" s="63"/>
      <c r="E482" s="11"/>
      <c r="F482" s="65"/>
      <c r="G482" s="12"/>
      <c r="H482" s="41"/>
      <c r="I482" s="30"/>
      <c r="J482" s="30"/>
      <c r="K482" s="97"/>
      <c r="L482" s="11"/>
      <c r="M482" s="11"/>
      <c r="N482" s="11"/>
      <c r="O482" s="11"/>
      <c r="P482" s="82"/>
    </row>
    <row r="483" spans="2:16" s="9" customFormat="1" x14ac:dyDescent="0.2">
      <c r="B483" s="10"/>
      <c r="C483" s="11"/>
      <c r="D483" s="63"/>
      <c r="E483" s="11"/>
      <c r="F483" s="65"/>
      <c r="G483" s="12"/>
      <c r="H483" s="41"/>
      <c r="I483" s="30"/>
      <c r="J483" s="30"/>
      <c r="K483" s="97"/>
      <c r="L483" s="11"/>
      <c r="M483" s="11"/>
      <c r="N483" s="11"/>
      <c r="O483" s="11"/>
      <c r="P483" s="82"/>
    </row>
    <row r="484" spans="2:16" s="9" customFormat="1" x14ac:dyDescent="0.2">
      <c r="B484" s="10"/>
      <c r="C484" s="11"/>
      <c r="D484" s="63"/>
      <c r="E484" s="11"/>
      <c r="F484" s="65"/>
      <c r="G484" s="12"/>
      <c r="H484" s="41"/>
      <c r="I484" s="30"/>
      <c r="J484" s="30"/>
      <c r="K484" s="97"/>
      <c r="L484" s="11"/>
      <c r="M484" s="11"/>
      <c r="N484" s="11"/>
      <c r="O484" s="11"/>
      <c r="P484" s="82"/>
    </row>
    <row r="485" spans="2:16" s="9" customFormat="1" x14ac:dyDescent="0.2">
      <c r="B485" s="10"/>
      <c r="C485" s="11"/>
      <c r="D485" s="63"/>
      <c r="E485" s="11"/>
      <c r="F485" s="65"/>
      <c r="G485" s="12"/>
      <c r="H485" s="41"/>
      <c r="I485" s="30"/>
      <c r="J485" s="30"/>
      <c r="K485" s="97"/>
      <c r="L485" s="11"/>
      <c r="M485" s="11"/>
      <c r="N485" s="11"/>
      <c r="O485" s="11"/>
      <c r="P485" s="82"/>
    </row>
    <row r="486" spans="2:16" s="9" customFormat="1" x14ac:dyDescent="0.2">
      <c r="B486" s="10"/>
      <c r="C486" s="11"/>
      <c r="D486" s="63"/>
      <c r="E486" s="11"/>
      <c r="F486" s="65"/>
      <c r="G486" s="12"/>
      <c r="H486" s="41"/>
      <c r="I486" s="30"/>
      <c r="J486" s="30"/>
      <c r="K486" s="97"/>
      <c r="L486" s="11"/>
      <c r="M486" s="11"/>
      <c r="N486" s="11"/>
      <c r="O486" s="11"/>
      <c r="P486" s="82"/>
    </row>
    <row r="487" spans="2:16" s="9" customFormat="1" x14ac:dyDescent="0.2">
      <c r="B487" s="10"/>
      <c r="C487" s="11"/>
      <c r="D487" s="63"/>
      <c r="E487" s="11"/>
      <c r="F487" s="65"/>
      <c r="G487" s="12"/>
      <c r="H487" s="41"/>
      <c r="I487" s="30"/>
      <c r="J487" s="30"/>
      <c r="K487" s="97"/>
      <c r="L487" s="11"/>
      <c r="M487" s="11"/>
      <c r="N487" s="11"/>
      <c r="O487" s="11"/>
      <c r="P487" s="82"/>
    </row>
    <row r="488" spans="2:16" s="9" customFormat="1" x14ac:dyDescent="0.2">
      <c r="B488" s="10"/>
      <c r="C488" s="11"/>
      <c r="D488" s="63"/>
      <c r="E488" s="11"/>
      <c r="F488" s="65"/>
      <c r="G488" s="12"/>
      <c r="H488" s="41"/>
      <c r="I488" s="30"/>
      <c r="J488" s="30"/>
      <c r="K488" s="97"/>
      <c r="L488" s="11"/>
      <c r="M488" s="11"/>
      <c r="N488" s="11"/>
      <c r="O488" s="11"/>
      <c r="P488" s="82"/>
    </row>
    <row r="489" spans="2:16" s="9" customFormat="1" x14ac:dyDescent="0.2">
      <c r="B489" s="10"/>
      <c r="C489" s="11"/>
      <c r="D489" s="63"/>
      <c r="E489" s="11"/>
      <c r="F489" s="65"/>
      <c r="G489" s="12"/>
      <c r="H489" s="41"/>
      <c r="I489" s="30"/>
      <c r="J489" s="30"/>
      <c r="K489" s="97"/>
      <c r="L489" s="11"/>
      <c r="M489" s="11"/>
      <c r="N489" s="11"/>
      <c r="O489" s="11"/>
      <c r="P489" s="82"/>
    </row>
    <row r="490" spans="2:16" s="9" customFormat="1" x14ac:dyDescent="0.2">
      <c r="B490" s="10"/>
      <c r="C490" s="11"/>
      <c r="D490" s="63"/>
      <c r="E490" s="11"/>
      <c r="F490" s="65"/>
      <c r="G490" s="12"/>
      <c r="H490" s="41"/>
      <c r="I490" s="30"/>
      <c r="J490" s="30"/>
      <c r="K490" s="97"/>
      <c r="L490" s="11"/>
      <c r="M490" s="11"/>
      <c r="N490" s="11"/>
      <c r="O490" s="11"/>
      <c r="P490" s="82"/>
    </row>
    <row r="491" spans="2:16" s="9" customFormat="1" x14ac:dyDescent="0.2">
      <c r="B491" s="10"/>
      <c r="C491" s="11"/>
      <c r="D491" s="63"/>
      <c r="E491" s="11"/>
      <c r="F491" s="65"/>
      <c r="G491" s="12"/>
      <c r="H491" s="41"/>
      <c r="I491" s="30"/>
      <c r="J491" s="30"/>
      <c r="K491" s="97"/>
      <c r="L491" s="11"/>
      <c r="M491" s="11"/>
      <c r="N491" s="11"/>
      <c r="O491" s="11"/>
      <c r="P491" s="82"/>
    </row>
    <row r="492" spans="2:16" s="9" customFormat="1" x14ac:dyDescent="0.2">
      <c r="B492" s="10"/>
      <c r="C492" s="11"/>
      <c r="D492" s="63"/>
      <c r="E492" s="11"/>
      <c r="F492" s="65"/>
      <c r="G492" s="12"/>
      <c r="H492" s="41"/>
      <c r="I492" s="30"/>
      <c r="J492" s="30"/>
      <c r="K492" s="97"/>
      <c r="L492" s="11"/>
      <c r="M492" s="11"/>
      <c r="N492" s="11"/>
      <c r="O492" s="11"/>
      <c r="P492" s="82"/>
    </row>
    <row r="493" spans="2:16" s="9" customFormat="1" x14ac:dyDescent="0.2">
      <c r="B493" s="10"/>
      <c r="C493" s="11"/>
      <c r="D493" s="63"/>
      <c r="E493" s="11"/>
      <c r="F493" s="65"/>
      <c r="G493" s="12"/>
      <c r="H493" s="41"/>
      <c r="I493" s="30"/>
      <c r="J493" s="30"/>
      <c r="K493" s="97"/>
      <c r="L493" s="11"/>
      <c r="M493" s="11"/>
      <c r="N493" s="11"/>
      <c r="O493" s="11"/>
      <c r="P493" s="82"/>
    </row>
    <row r="494" spans="2:16" s="9" customFormat="1" x14ac:dyDescent="0.2">
      <c r="B494" s="10"/>
      <c r="C494" s="11"/>
      <c r="D494" s="63"/>
      <c r="E494" s="11"/>
      <c r="F494" s="65"/>
      <c r="G494" s="12"/>
      <c r="H494" s="41"/>
      <c r="I494" s="30"/>
      <c r="J494" s="30"/>
      <c r="K494" s="97"/>
      <c r="L494" s="11"/>
      <c r="M494" s="11"/>
      <c r="N494" s="11"/>
      <c r="O494" s="11"/>
      <c r="P494" s="82"/>
    </row>
    <row r="495" spans="2:16" s="9" customFormat="1" x14ac:dyDescent="0.2">
      <c r="B495" s="10"/>
      <c r="C495" s="11"/>
      <c r="D495" s="63"/>
      <c r="E495" s="11"/>
      <c r="F495" s="65"/>
      <c r="G495" s="12"/>
      <c r="H495" s="41"/>
      <c r="I495" s="30"/>
      <c r="J495" s="30"/>
      <c r="K495" s="97"/>
      <c r="L495" s="11"/>
      <c r="M495" s="11"/>
      <c r="N495" s="11"/>
      <c r="O495" s="11"/>
      <c r="P495" s="82"/>
    </row>
    <row r="496" spans="2:16" s="9" customFormat="1" x14ac:dyDescent="0.2">
      <c r="B496" s="10"/>
      <c r="C496" s="11"/>
      <c r="D496" s="63"/>
      <c r="E496" s="11"/>
      <c r="F496" s="65"/>
      <c r="G496" s="12"/>
      <c r="H496" s="41"/>
      <c r="I496" s="30"/>
      <c r="J496" s="30"/>
      <c r="K496" s="97"/>
      <c r="L496" s="11"/>
      <c r="M496" s="11"/>
      <c r="N496" s="11"/>
      <c r="O496" s="11"/>
      <c r="P496" s="82"/>
    </row>
    <row r="497" spans="2:16" s="9" customFormat="1" x14ac:dyDescent="0.2">
      <c r="B497" s="10"/>
      <c r="C497" s="11"/>
      <c r="D497" s="63"/>
      <c r="E497" s="11"/>
      <c r="F497" s="65"/>
      <c r="G497" s="12"/>
      <c r="H497" s="41"/>
      <c r="I497" s="30"/>
      <c r="J497" s="30"/>
      <c r="K497" s="97"/>
      <c r="L497" s="11"/>
      <c r="M497" s="11"/>
      <c r="N497" s="11"/>
      <c r="O497" s="11"/>
      <c r="P497" s="82"/>
    </row>
    <row r="498" spans="2:16" s="9" customFormat="1" x14ac:dyDescent="0.2">
      <c r="B498" s="10"/>
      <c r="C498" s="11"/>
      <c r="D498" s="63"/>
      <c r="E498" s="11"/>
      <c r="F498" s="65"/>
      <c r="G498" s="12"/>
      <c r="H498" s="41"/>
      <c r="I498" s="30"/>
      <c r="J498" s="30"/>
      <c r="K498" s="97"/>
      <c r="L498" s="11"/>
      <c r="M498" s="11"/>
      <c r="N498" s="11"/>
      <c r="O498" s="11"/>
      <c r="P498" s="82"/>
    </row>
    <row r="499" spans="2:16" s="9" customFormat="1" x14ac:dyDescent="0.2">
      <c r="B499" s="10"/>
      <c r="C499" s="11"/>
      <c r="D499" s="63"/>
      <c r="E499" s="11"/>
      <c r="F499" s="65"/>
      <c r="G499" s="12"/>
      <c r="H499" s="41"/>
      <c r="I499" s="30"/>
      <c r="J499" s="30"/>
      <c r="K499" s="97"/>
      <c r="L499" s="11"/>
      <c r="M499" s="11"/>
      <c r="N499" s="11"/>
      <c r="O499" s="11"/>
      <c r="P499" s="82"/>
    </row>
    <row r="500" spans="2:16" s="9" customFormat="1" x14ac:dyDescent="0.2">
      <c r="B500" s="10"/>
      <c r="C500" s="11"/>
      <c r="D500" s="63"/>
      <c r="E500" s="11"/>
      <c r="F500" s="65"/>
      <c r="G500" s="12"/>
      <c r="H500" s="41"/>
      <c r="I500" s="30"/>
      <c r="J500" s="30"/>
      <c r="K500" s="97"/>
      <c r="L500" s="11"/>
      <c r="M500" s="11"/>
      <c r="N500" s="11"/>
      <c r="O500" s="11"/>
      <c r="P500" s="82"/>
    </row>
    <row r="501" spans="2:16" s="9" customFormat="1" x14ac:dyDescent="0.2">
      <c r="B501" s="10"/>
      <c r="C501" s="11"/>
      <c r="D501" s="63"/>
      <c r="E501" s="11"/>
      <c r="F501" s="65"/>
      <c r="G501" s="12"/>
      <c r="H501" s="41"/>
      <c r="I501" s="30"/>
      <c r="J501" s="30"/>
      <c r="K501" s="97"/>
      <c r="L501" s="11"/>
      <c r="M501" s="11"/>
      <c r="N501" s="11"/>
      <c r="O501" s="11"/>
      <c r="P501" s="82"/>
    </row>
    <row r="502" spans="2:16" s="9" customFormat="1" x14ac:dyDescent="0.2">
      <c r="B502" s="10"/>
      <c r="C502" s="11"/>
      <c r="D502" s="63"/>
      <c r="E502" s="11"/>
      <c r="F502" s="65"/>
      <c r="G502" s="12"/>
      <c r="H502" s="41"/>
      <c r="I502" s="30"/>
      <c r="J502" s="30"/>
      <c r="K502" s="97"/>
      <c r="L502" s="11"/>
      <c r="M502" s="11"/>
      <c r="N502" s="11"/>
      <c r="O502" s="11"/>
      <c r="P502" s="82"/>
    </row>
    <row r="503" spans="2:16" s="9" customFormat="1" x14ac:dyDescent="0.2">
      <c r="B503" s="10"/>
      <c r="C503" s="11"/>
      <c r="D503" s="63"/>
      <c r="E503" s="11"/>
      <c r="F503" s="65"/>
      <c r="G503" s="12"/>
      <c r="H503" s="41"/>
      <c r="I503" s="30"/>
      <c r="J503" s="30"/>
      <c r="K503" s="97"/>
      <c r="L503" s="11"/>
      <c r="M503" s="11"/>
      <c r="N503" s="11"/>
      <c r="O503" s="11"/>
      <c r="P503" s="82"/>
    </row>
    <row r="504" spans="2:16" s="9" customFormat="1" x14ac:dyDescent="0.2">
      <c r="B504" s="10"/>
      <c r="C504" s="11"/>
      <c r="D504" s="63"/>
      <c r="E504" s="11"/>
      <c r="F504" s="65"/>
      <c r="G504" s="12"/>
      <c r="H504" s="41"/>
      <c r="I504" s="30"/>
      <c r="J504" s="30"/>
      <c r="K504" s="97"/>
      <c r="L504" s="11"/>
      <c r="M504" s="11"/>
      <c r="N504" s="11"/>
      <c r="O504" s="11"/>
      <c r="P504" s="82"/>
    </row>
    <row r="505" spans="2:16" s="9" customFormat="1" x14ac:dyDescent="0.2">
      <c r="B505" s="10"/>
      <c r="C505" s="11"/>
      <c r="D505" s="63"/>
      <c r="E505" s="11"/>
      <c r="F505" s="65"/>
      <c r="G505" s="12"/>
      <c r="H505" s="41"/>
      <c r="I505" s="30"/>
      <c r="J505" s="30"/>
      <c r="K505" s="97"/>
      <c r="L505" s="11"/>
      <c r="M505" s="11"/>
      <c r="N505" s="11"/>
      <c r="O505" s="11"/>
      <c r="P505" s="82"/>
    </row>
    <row r="506" spans="2:16" s="9" customFormat="1" x14ac:dyDescent="0.2">
      <c r="B506" s="10"/>
      <c r="C506" s="11"/>
      <c r="D506" s="63"/>
      <c r="E506" s="11"/>
      <c r="F506" s="65"/>
      <c r="G506" s="12"/>
      <c r="H506" s="41"/>
      <c r="I506" s="30"/>
      <c r="J506" s="30"/>
      <c r="K506" s="97"/>
      <c r="L506" s="11"/>
      <c r="M506" s="11"/>
      <c r="N506" s="11"/>
      <c r="O506" s="11"/>
      <c r="P506" s="82"/>
    </row>
    <row r="507" spans="2:16" s="9" customFormat="1" x14ac:dyDescent="0.2">
      <c r="B507" s="10"/>
      <c r="C507" s="11"/>
      <c r="D507" s="63"/>
      <c r="E507" s="11"/>
      <c r="F507" s="65"/>
      <c r="G507" s="12"/>
      <c r="H507" s="41"/>
      <c r="I507" s="30"/>
      <c r="J507" s="30"/>
      <c r="K507" s="97"/>
      <c r="L507" s="11"/>
      <c r="M507" s="11"/>
      <c r="N507" s="11"/>
      <c r="O507" s="11"/>
      <c r="P507" s="82"/>
    </row>
    <row r="508" spans="2:16" s="9" customFormat="1" x14ac:dyDescent="0.2">
      <c r="B508" s="10"/>
      <c r="C508" s="11"/>
      <c r="D508" s="63"/>
      <c r="E508" s="11"/>
      <c r="F508" s="65"/>
      <c r="G508" s="12"/>
      <c r="H508" s="41"/>
      <c r="I508" s="30"/>
      <c r="J508" s="30"/>
      <c r="K508" s="97"/>
      <c r="L508" s="11"/>
      <c r="M508" s="11"/>
      <c r="N508" s="11"/>
      <c r="O508" s="11"/>
      <c r="P508" s="82"/>
    </row>
    <row r="509" spans="2:16" s="9" customFormat="1" x14ac:dyDescent="0.2">
      <c r="B509" s="10"/>
      <c r="C509" s="11"/>
      <c r="D509" s="63"/>
      <c r="E509" s="11"/>
      <c r="F509" s="65"/>
      <c r="G509" s="12"/>
      <c r="H509" s="41"/>
      <c r="I509" s="30"/>
      <c r="J509" s="30"/>
      <c r="K509" s="97"/>
      <c r="L509" s="11"/>
      <c r="M509" s="11"/>
      <c r="N509" s="11"/>
      <c r="O509" s="11"/>
      <c r="P509" s="82"/>
    </row>
    <row r="510" spans="2:16" s="9" customFormat="1" x14ac:dyDescent="0.2">
      <c r="B510" s="10"/>
      <c r="C510" s="11"/>
      <c r="D510" s="63"/>
      <c r="E510" s="11"/>
      <c r="F510" s="65"/>
      <c r="G510" s="12"/>
      <c r="H510" s="41"/>
      <c r="I510" s="30"/>
      <c r="J510" s="30"/>
      <c r="K510" s="97"/>
      <c r="L510" s="11"/>
      <c r="M510" s="11"/>
      <c r="N510" s="11"/>
      <c r="O510" s="11"/>
      <c r="P510" s="82"/>
    </row>
    <row r="511" spans="2:16" s="9" customFormat="1" x14ac:dyDescent="0.2">
      <c r="B511" s="10"/>
      <c r="C511" s="11"/>
      <c r="D511" s="63"/>
      <c r="E511" s="11"/>
      <c r="F511" s="65"/>
      <c r="G511" s="12"/>
      <c r="H511" s="41"/>
      <c r="I511" s="30"/>
      <c r="J511" s="30"/>
      <c r="K511" s="97"/>
      <c r="L511" s="11"/>
      <c r="M511" s="11"/>
      <c r="N511" s="11"/>
      <c r="O511" s="11"/>
      <c r="P511" s="82"/>
    </row>
    <row r="512" spans="2:16" s="9" customFormat="1" x14ac:dyDescent="0.2">
      <c r="B512" s="10"/>
      <c r="C512" s="11"/>
      <c r="D512" s="63"/>
      <c r="E512" s="11"/>
      <c r="F512" s="65"/>
      <c r="G512" s="12"/>
      <c r="H512" s="41"/>
      <c r="I512" s="30"/>
      <c r="J512" s="30"/>
      <c r="K512" s="97"/>
      <c r="L512" s="11"/>
      <c r="M512" s="11"/>
      <c r="N512" s="11"/>
      <c r="O512" s="11"/>
      <c r="P512" s="82"/>
    </row>
    <row r="513" spans="2:16" s="9" customFormat="1" x14ac:dyDescent="0.2">
      <c r="B513" s="10"/>
      <c r="C513" s="11"/>
      <c r="D513" s="63"/>
      <c r="E513" s="11"/>
      <c r="F513" s="65"/>
      <c r="G513" s="12"/>
      <c r="H513" s="41"/>
      <c r="I513" s="30"/>
      <c r="J513" s="30"/>
      <c r="K513" s="97"/>
      <c r="L513" s="11"/>
      <c r="M513" s="11"/>
      <c r="N513" s="11"/>
      <c r="O513" s="11"/>
      <c r="P513" s="82"/>
    </row>
    <row r="514" spans="2:16" s="9" customFormat="1" x14ac:dyDescent="0.2">
      <c r="B514" s="10"/>
      <c r="C514" s="11"/>
      <c r="D514" s="63"/>
      <c r="E514" s="11"/>
      <c r="F514" s="65"/>
      <c r="G514" s="12"/>
      <c r="H514" s="41"/>
      <c r="I514" s="30"/>
      <c r="J514" s="30"/>
      <c r="K514" s="97"/>
      <c r="L514" s="11"/>
      <c r="M514" s="11"/>
      <c r="N514" s="11"/>
      <c r="O514" s="11"/>
      <c r="P514" s="82"/>
    </row>
    <row r="515" spans="2:16" s="9" customFormat="1" x14ac:dyDescent="0.2">
      <c r="B515" s="10"/>
      <c r="C515" s="11"/>
      <c r="D515" s="63"/>
      <c r="E515" s="11"/>
      <c r="F515" s="65"/>
      <c r="G515" s="12"/>
      <c r="H515" s="41"/>
      <c r="I515" s="30"/>
      <c r="J515" s="30"/>
      <c r="K515" s="97"/>
      <c r="L515" s="11"/>
      <c r="M515" s="11"/>
      <c r="N515" s="11"/>
      <c r="O515" s="11"/>
      <c r="P515" s="82"/>
    </row>
    <row r="516" spans="2:16" s="9" customFormat="1" x14ac:dyDescent="0.2">
      <c r="B516" s="10"/>
      <c r="C516" s="11"/>
      <c r="D516" s="63"/>
      <c r="E516" s="11"/>
      <c r="F516" s="65"/>
      <c r="G516" s="12"/>
      <c r="H516" s="41"/>
      <c r="I516" s="30"/>
      <c r="J516" s="30"/>
      <c r="K516" s="97"/>
      <c r="L516" s="11"/>
      <c r="M516" s="11"/>
      <c r="N516" s="11"/>
      <c r="O516" s="11"/>
      <c r="P516" s="82"/>
    </row>
    <row r="517" spans="2:16" s="9" customFormat="1" x14ac:dyDescent="0.2">
      <c r="B517" s="10"/>
      <c r="C517" s="11"/>
      <c r="D517" s="63"/>
      <c r="E517" s="11"/>
      <c r="F517" s="65"/>
      <c r="G517" s="12"/>
      <c r="H517" s="41"/>
      <c r="I517" s="30"/>
      <c r="J517" s="30"/>
      <c r="K517" s="97"/>
      <c r="L517" s="11"/>
      <c r="M517" s="11"/>
      <c r="N517" s="11"/>
      <c r="O517" s="11"/>
      <c r="P517" s="82"/>
    </row>
    <row r="518" spans="2:16" s="9" customFormat="1" x14ac:dyDescent="0.2">
      <c r="B518" s="10"/>
      <c r="C518" s="11"/>
      <c r="D518" s="63"/>
      <c r="E518" s="11"/>
      <c r="F518" s="65"/>
      <c r="G518" s="12"/>
      <c r="H518" s="41"/>
      <c r="I518" s="30"/>
      <c r="J518" s="30"/>
      <c r="K518" s="97"/>
      <c r="L518" s="11"/>
      <c r="M518" s="11"/>
      <c r="N518" s="11"/>
      <c r="O518" s="11"/>
      <c r="P518" s="82"/>
    </row>
    <row r="519" spans="2:16" s="9" customFormat="1" x14ac:dyDescent="0.2">
      <c r="B519" s="10"/>
      <c r="C519" s="11"/>
      <c r="D519" s="63"/>
      <c r="E519" s="11"/>
      <c r="F519" s="65"/>
      <c r="G519" s="12"/>
      <c r="H519" s="41"/>
      <c r="I519" s="30"/>
      <c r="J519" s="30"/>
      <c r="K519" s="97"/>
      <c r="L519" s="11"/>
      <c r="M519" s="11"/>
      <c r="N519" s="11"/>
      <c r="O519" s="11"/>
      <c r="P519" s="82"/>
    </row>
    <row r="520" spans="2:16" s="9" customFormat="1" x14ac:dyDescent="0.2">
      <c r="B520" s="10"/>
      <c r="C520" s="11"/>
      <c r="D520" s="63"/>
      <c r="E520" s="11"/>
      <c r="F520" s="65"/>
      <c r="G520" s="12"/>
      <c r="H520" s="41"/>
      <c r="I520" s="30"/>
      <c r="J520" s="30"/>
      <c r="K520" s="97"/>
      <c r="L520" s="11"/>
      <c r="M520" s="11"/>
      <c r="N520" s="11"/>
      <c r="O520" s="11"/>
      <c r="P520" s="82"/>
    </row>
    <row r="521" spans="2:16" s="9" customFormat="1" x14ac:dyDescent="0.2">
      <c r="B521" s="10"/>
      <c r="C521" s="11"/>
      <c r="D521" s="63"/>
      <c r="E521" s="11"/>
      <c r="F521" s="65"/>
      <c r="G521" s="12"/>
      <c r="H521" s="41"/>
      <c r="I521" s="30"/>
      <c r="J521" s="30"/>
      <c r="K521" s="97"/>
      <c r="L521" s="11"/>
      <c r="M521" s="11"/>
      <c r="N521" s="11"/>
      <c r="O521" s="11"/>
      <c r="P521" s="82"/>
    </row>
    <row r="522" spans="2:16" s="9" customFormat="1" x14ac:dyDescent="0.2">
      <c r="B522" s="10"/>
      <c r="C522" s="11"/>
      <c r="D522" s="63"/>
      <c r="E522" s="11"/>
      <c r="F522" s="65"/>
      <c r="G522" s="12"/>
      <c r="H522" s="41"/>
      <c r="I522" s="30"/>
      <c r="J522" s="30"/>
      <c r="K522" s="97"/>
      <c r="L522" s="11"/>
      <c r="M522" s="11"/>
      <c r="N522" s="11"/>
      <c r="O522" s="11"/>
      <c r="P522" s="82"/>
    </row>
    <row r="523" spans="2:16" s="9" customFormat="1" x14ac:dyDescent="0.2">
      <c r="B523" s="10"/>
      <c r="C523" s="11"/>
      <c r="D523" s="63"/>
      <c r="E523" s="11"/>
      <c r="F523" s="65"/>
      <c r="G523" s="12"/>
      <c r="H523" s="41"/>
      <c r="I523" s="30"/>
      <c r="J523" s="30"/>
      <c r="K523" s="97"/>
      <c r="L523" s="11"/>
      <c r="M523" s="11"/>
      <c r="N523" s="11"/>
      <c r="O523" s="11"/>
      <c r="P523" s="82"/>
    </row>
    <row r="524" spans="2:16" s="9" customFormat="1" x14ac:dyDescent="0.2">
      <c r="B524" s="10"/>
      <c r="C524" s="11"/>
      <c r="D524" s="63"/>
      <c r="E524" s="11"/>
      <c r="F524" s="65"/>
      <c r="G524" s="12"/>
      <c r="H524" s="41"/>
      <c r="I524" s="30"/>
      <c r="J524" s="30"/>
      <c r="K524" s="97"/>
      <c r="L524" s="11"/>
      <c r="M524" s="11"/>
      <c r="N524" s="11"/>
      <c r="O524" s="11"/>
      <c r="P524" s="82"/>
    </row>
    <row r="525" spans="2:16" s="9" customFormat="1" x14ac:dyDescent="0.2">
      <c r="B525" s="10"/>
      <c r="C525" s="11"/>
      <c r="D525" s="63"/>
      <c r="E525" s="11"/>
      <c r="F525" s="65"/>
      <c r="G525" s="12"/>
      <c r="H525" s="41"/>
      <c r="I525" s="30"/>
      <c r="J525" s="30"/>
      <c r="K525" s="97"/>
      <c r="L525" s="11"/>
      <c r="M525" s="11"/>
      <c r="N525" s="11"/>
      <c r="O525" s="11"/>
      <c r="P525" s="82"/>
    </row>
    <row r="526" spans="2:16" s="9" customFormat="1" x14ac:dyDescent="0.2">
      <c r="B526" s="10"/>
      <c r="C526" s="11"/>
      <c r="D526" s="63"/>
      <c r="E526" s="11"/>
      <c r="F526" s="65"/>
      <c r="G526" s="12"/>
      <c r="H526" s="41"/>
      <c r="I526" s="30"/>
      <c r="J526" s="30"/>
      <c r="K526" s="97"/>
      <c r="L526" s="11"/>
      <c r="M526" s="11"/>
      <c r="N526" s="11"/>
      <c r="O526" s="11"/>
      <c r="P526" s="82"/>
    </row>
    <row r="527" spans="2:16" s="9" customFormat="1" x14ac:dyDescent="0.2">
      <c r="B527" s="10"/>
      <c r="C527" s="11"/>
      <c r="D527" s="63"/>
      <c r="E527" s="11"/>
      <c r="F527" s="65"/>
      <c r="G527" s="12"/>
      <c r="H527" s="41"/>
      <c r="I527" s="30"/>
      <c r="J527" s="30"/>
      <c r="K527" s="97"/>
      <c r="L527" s="11"/>
      <c r="M527" s="11"/>
      <c r="N527" s="11"/>
      <c r="O527" s="11"/>
      <c r="P527" s="82"/>
    </row>
    <row r="528" spans="2:16" s="9" customFormat="1" x14ac:dyDescent="0.2">
      <c r="B528" s="10"/>
      <c r="C528" s="11"/>
      <c r="D528" s="63"/>
      <c r="E528" s="11"/>
      <c r="F528" s="65"/>
      <c r="G528" s="12"/>
      <c r="H528" s="41"/>
      <c r="I528" s="30"/>
      <c r="J528" s="30"/>
      <c r="K528" s="97"/>
      <c r="L528" s="11"/>
      <c r="M528" s="11"/>
      <c r="N528" s="11"/>
      <c r="O528" s="11"/>
      <c r="P528" s="82"/>
    </row>
    <row r="529" spans="2:16" s="9" customFormat="1" x14ac:dyDescent="0.2">
      <c r="B529" s="10"/>
      <c r="C529" s="11"/>
      <c r="D529" s="63"/>
      <c r="E529" s="11"/>
      <c r="F529" s="65"/>
      <c r="G529" s="12"/>
      <c r="H529" s="41"/>
      <c r="I529" s="30"/>
      <c r="J529" s="30"/>
      <c r="K529" s="97"/>
      <c r="L529" s="11"/>
      <c r="M529" s="11"/>
      <c r="N529" s="11"/>
      <c r="O529" s="11"/>
      <c r="P529" s="82"/>
    </row>
    <row r="530" spans="2:16" s="9" customFormat="1" x14ac:dyDescent="0.2">
      <c r="B530" s="10"/>
      <c r="C530" s="11"/>
      <c r="D530" s="63"/>
      <c r="E530" s="11"/>
      <c r="F530" s="65"/>
      <c r="G530" s="12"/>
      <c r="H530" s="41"/>
      <c r="I530" s="30"/>
      <c r="J530" s="30"/>
      <c r="K530" s="97"/>
      <c r="L530" s="11"/>
      <c r="M530" s="11"/>
      <c r="N530" s="11"/>
      <c r="O530" s="11"/>
      <c r="P530" s="82"/>
    </row>
    <row r="531" spans="2:16" s="9" customFormat="1" x14ac:dyDescent="0.2">
      <c r="B531" s="10"/>
      <c r="C531" s="11"/>
      <c r="D531" s="63"/>
      <c r="E531" s="11"/>
      <c r="F531" s="65"/>
      <c r="G531" s="12"/>
      <c r="H531" s="41"/>
      <c r="I531" s="30"/>
      <c r="J531" s="30"/>
      <c r="K531" s="97"/>
      <c r="L531" s="11"/>
      <c r="M531" s="11"/>
      <c r="N531" s="11"/>
      <c r="O531" s="11"/>
      <c r="P531" s="82"/>
    </row>
    <row r="532" spans="2:16" s="9" customFormat="1" x14ac:dyDescent="0.2">
      <c r="B532" s="10"/>
      <c r="C532" s="11"/>
      <c r="D532" s="63"/>
      <c r="E532" s="11"/>
      <c r="F532" s="65"/>
      <c r="G532" s="12"/>
      <c r="H532" s="41"/>
      <c r="I532" s="30"/>
      <c r="J532" s="30"/>
      <c r="K532" s="97"/>
      <c r="L532" s="11"/>
      <c r="M532" s="11"/>
      <c r="N532" s="11"/>
      <c r="O532" s="11"/>
      <c r="P532" s="82"/>
    </row>
    <row r="533" spans="2:16" s="9" customFormat="1" x14ac:dyDescent="0.2">
      <c r="B533" s="10"/>
      <c r="C533" s="11"/>
      <c r="D533" s="63"/>
      <c r="E533" s="11"/>
      <c r="F533" s="65"/>
      <c r="G533" s="12"/>
      <c r="H533" s="41"/>
      <c r="I533" s="30"/>
      <c r="J533" s="30"/>
      <c r="K533" s="97"/>
      <c r="L533" s="11"/>
      <c r="M533" s="11"/>
      <c r="N533" s="11"/>
      <c r="O533" s="11"/>
      <c r="P533" s="82"/>
    </row>
    <row r="534" spans="2:16" s="9" customFormat="1" x14ac:dyDescent="0.2">
      <c r="B534" s="10"/>
      <c r="C534" s="11"/>
      <c r="D534" s="63"/>
      <c r="E534" s="11"/>
      <c r="F534" s="65"/>
      <c r="G534" s="12"/>
      <c r="H534" s="41"/>
      <c r="I534" s="30"/>
      <c r="J534" s="30"/>
      <c r="K534" s="97"/>
      <c r="L534" s="11"/>
      <c r="M534" s="11"/>
      <c r="N534" s="11"/>
      <c r="O534" s="11"/>
      <c r="P534" s="82"/>
    </row>
    <row r="535" spans="2:16" s="9" customFormat="1" x14ac:dyDescent="0.2">
      <c r="B535" s="10"/>
      <c r="C535" s="11"/>
      <c r="D535" s="63"/>
      <c r="E535" s="11"/>
      <c r="F535" s="65"/>
      <c r="G535" s="12"/>
      <c r="H535" s="41"/>
      <c r="I535" s="30"/>
      <c r="J535" s="30"/>
      <c r="K535" s="97"/>
      <c r="L535" s="11"/>
      <c r="M535" s="11"/>
      <c r="N535" s="11"/>
      <c r="O535" s="11"/>
      <c r="P535" s="82"/>
    </row>
    <row r="536" spans="2:16" s="9" customFormat="1" x14ac:dyDescent="0.2">
      <c r="B536" s="10"/>
      <c r="C536" s="11"/>
      <c r="D536" s="63"/>
      <c r="E536" s="11"/>
      <c r="F536" s="65"/>
      <c r="G536" s="12"/>
      <c r="H536" s="41"/>
      <c r="I536" s="30"/>
      <c r="J536" s="30"/>
      <c r="K536" s="97"/>
      <c r="L536" s="11"/>
      <c r="M536" s="11"/>
      <c r="N536" s="11"/>
      <c r="O536" s="11"/>
      <c r="P536" s="82"/>
    </row>
    <row r="537" spans="2:16" s="9" customFormat="1" x14ac:dyDescent="0.2">
      <c r="B537" s="10"/>
      <c r="C537" s="11"/>
      <c r="D537" s="63"/>
      <c r="E537" s="11"/>
      <c r="F537" s="65"/>
      <c r="G537" s="12"/>
      <c r="H537" s="41"/>
      <c r="I537" s="30"/>
      <c r="J537" s="30"/>
      <c r="K537" s="97"/>
      <c r="L537" s="11"/>
      <c r="M537" s="11"/>
      <c r="N537" s="11"/>
      <c r="O537" s="11"/>
      <c r="P537" s="82"/>
    </row>
    <row r="538" spans="2:16" s="9" customFormat="1" x14ac:dyDescent="0.2">
      <c r="B538" s="10"/>
      <c r="C538" s="11"/>
      <c r="D538" s="63"/>
      <c r="E538" s="11"/>
      <c r="F538" s="65"/>
      <c r="G538" s="12"/>
      <c r="H538" s="41"/>
      <c r="I538" s="30"/>
      <c r="J538" s="30"/>
      <c r="K538" s="97"/>
      <c r="L538" s="11"/>
      <c r="M538" s="11"/>
      <c r="N538" s="11"/>
      <c r="O538" s="11"/>
      <c r="P538" s="82"/>
    </row>
    <row r="539" spans="2:16" s="9" customFormat="1" x14ac:dyDescent="0.2">
      <c r="B539" s="10"/>
      <c r="C539" s="11"/>
      <c r="D539" s="63"/>
      <c r="E539" s="11"/>
      <c r="F539" s="65"/>
      <c r="G539" s="12"/>
      <c r="H539" s="41"/>
      <c r="I539" s="30"/>
      <c r="J539" s="30"/>
      <c r="K539" s="97"/>
      <c r="L539" s="11"/>
      <c r="M539" s="11"/>
      <c r="N539" s="11"/>
      <c r="O539" s="11"/>
      <c r="P539" s="82"/>
    </row>
    <row r="540" spans="2:16" s="9" customFormat="1" x14ac:dyDescent="0.2">
      <c r="B540" s="10"/>
      <c r="C540" s="11"/>
      <c r="D540" s="63"/>
      <c r="E540" s="11"/>
      <c r="F540" s="65"/>
      <c r="G540" s="12"/>
      <c r="H540" s="41"/>
      <c r="I540" s="30"/>
      <c r="J540" s="30"/>
      <c r="K540" s="97"/>
      <c r="L540" s="11"/>
      <c r="M540" s="11"/>
      <c r="N540" s="11"/>
      <c r="O540" s="11"/>
      <c r="P540" s="82"/>
    </row>
    <row r="541" spans="2:16" s="9" customFormat="1" x14ac:dyDescent="0.2">
      <c r="B541" s="10"/>
      <c r="C541" s="11"/>
      <c r="D541" s="63"/>
      <c r="E541" s="11"/>
      <c r="F541" s="65"/>
      <c r="G541" s="12"/>
      <c r="H541" s="41"/>
      <c r="I541" s="30"/>
      <c r="J541" s="30"/>
      <c r="K541" s="97"/>
      <c r="L541" s="11"/>
      <c r="M541" s="11"/>
      <c r="N541" s="11"/>
      <c r="O541" s="11"/>
      <c r="P541" s="82"/>
    </row>
    <row r="542" spans="2:16" s="9" customFormat="1" x14ac:dyDescent="0.2">
      <c r="B542" s="10"/>
      <c r="C542" s="11"/>
      <c r="D542" s="63"/>
      <c r="E542" s="11"/>
      <c r="F542" s="65"/>
      <c r="G542" s="12"/>
      <c r="H542" s="41"/>
      <c r="I542" s="30"/>
      <c r="J542" s="30"/>
      <c r="K542" s="97"/>
      <c r="L542" s="11"/>
      <c r="M542" s="11"/>
      <c r="N542" s="11"/>
      <c r="O542" s="11"/>
      <c r="P542" s="82"/>
    </row>
    <row r="543" spans="2:16" s="9" customFormat="1" x14ac:dyDescent="0.2">
      <c r="B543" s="10"/>
      <c r="C543" s="11"/>
      <c r="D543" s="63"/>
      <c r="E543" s="11"/>
      <c r="F543" s="65"/>
      <c r="G543" s="12"/>
      <c r="H543" s="41"/>
      <c r="I543" s="30"/>
      <c r="J543" s="30"/>
      <c r="K543" s="97"/>
      <c r="L543" s="11"/>
      <c r="M543" s="11"/>
      <c r="N543" s="11"/>
      <c r="O543" s="11"/>
      <c r="P543" s="82"/>
    </row>
    <row r="544" spans="2:16" s="9" customFormat="1" x14ac:dyDescent="0.2">
      <c r="B544" s="10"/>
      <c r="C544" s="11"/>
      <c r="D544" s="63"/>
      <c r="E544" s="11"/>
      <c r="F544" s="65"/>
      <c r="G544" s="12"/>
      <c r="H544" s="41"/>
      <c r="I544" s="30"/>
      <c r="J544" s="30"/>
      <c r="K544" s="97"/>
      <c r="L544" s="11"/>
      <c r="M544" s="11"/>
      <c r="N544" s="11"/>
      <c r="O544" s="11"/>
      <c r="P544" s="82"/>
    </row>
    <row r="545" spans="2:16" s="9" customFormat="1" x14ac:dyDescent="0.2">
      <c r="B545" s="10"/>
      <c r="C545" s="11"/>
      <c r="D545" s="63"/>
      <c r="E545" s="11"/>
      <c r="F545" s="65"/>
      <c r="G545" s="12"/>
      <c r="H545" s="41"/>
      <c r="I545" s="30"/>
      <c r="J545" s="30"/>
      <c r="K545" s="97"/>
      <c r="L545" s="11"/>
      <c r="M545" s="11"/>
      <c r="N545" s="11"/>
      <c r="O545" s="11"/>
      <c r="P545" s="82"/>
    </row>
    <row r="546" spans="2:16" s="9" customFormat="1" x14ac:dyDescent="0.2">
      <c r="B546" s="10"/>
      <c r="C546" s="11"/>
      <c r="D546" s="63"/>
      <c r="E546" s="11"/>
      <c r="F546" s="65"/>
      <c r="G546" s="12"/>
      <c r="H546" s="41"/>
      <c r="I546" s="30"/>
      <c r="J546" s="30"/>
      <c r="K546" s="97"/>
      <c r="L546" s="11"/>
      <c r="M546" s="11"/>
      <c r="N546" s="11"/>
      <c r="O546" s="11"/>
      <c r="P546" s="82"/>
    </row>
    <row r="547" spans="2:16" s="9" customFormat="1" x14ac:dyDescent="0.2">
      <c r="B547" s="10"/>
      <c r="C547" s="11"/>
      <c r="D547" s="63"/>
      <c r="E547" s="11"/>
      <c r="F547" s="65"/>
      <c r="G547" s="12"/>
      <c r="H547" s="41"/>
      <c r="I547" s="30"/>
      <c r="J547" s="30"/>
      <c r="K547" s="97"/>
      <c r="L547" s="11"/>
      <c r="M547" s="11"/>
      <c r="N547" s="11"/>
      <c r="O547" s="11"/>
      <c r="P547" s="82"/>
    </row>
    <row r="548" spans="2:16" s="9" customFormat="1" x14ac:dyDescent="0.2">
      <c r="B548" s="10"/>
      <c r="C548" s="11"/>
      <c r="D548" s="63"/>
      <c r="E548" s="11"/>
      <c r="F548" s="65"/>
      <c r="G548" s="12"/>
      <c r="H548" s="41"/>
      <c r="I548" s="30"/>
      <c r="J548" s="30"/>
      <c r="K548" s="97"/>
      <c r="L548" s="11"/>
      <c r="M548" s="11"/>
      <c r="N548" s="11"/>
      <c r="O548" s="11"/>
      <c r="P548" s="82"/>
    </row>
    <row r="549" spans="2:16" s="9" customFormat="1" x14ac:dyDescent="0.2">
      <c r="B549" s="10"/>
      <c r="C549" s="11"/>
      <c r="D549" s="63"/>
      <c r="E549" s="11"/>
      <c r="F549" s="65"/>
      <c r="G549" s="12"/>
      <c r="H549" s="41"/>
      <c r="I549" s="30"/>
      <c r="J549" s="30"/>
      <c r="K549" s="97"/>
      <c r="L549" s="11"/>
      <c r="M549" s="11"/>
      <c r="N549" s="11"/>
      <c r="O549" s="11"/>
      <c r="P549" s="82"/>
    </row>
    <row r="550" spans="2:16" s="9" customFormat="1" x14ac:dyDescent="0.2">
      <c r="B550" s="10"/>
      <c r="C550" s="11"/>
      <c r="D550" s="63"/>
      <c r="E550" s="11"/>
      <c r="F550" s="65"/>
      <c r="G550" s="12"/>
      <c r="H550" s="41"/>
      <c r="I550" s="30"/>
      <c r="J550" s="30"/>
      <c r="K550" s="97"/>
      <c r="L550" s="11"/>
      <c r="M550" s="11"/>
      <c r="N550" s="11"/>
      <c r="O550" s="11"/>
      <c r="P550" s="82"/>
    </row>
    <row r="551" spans="2:16" s="9" customFormat="1" x14ac:dyDescent="0.2">
      <c r="B551" s="10"/>
      <c r="C551" s="11"/>
      <c r="D551" s="63"/>
      <c r="E551" s="11"/>
      <c r="F551" s="65"/>
      <c r="G551" s="12"/>
      <c r="H551" s="41"/>
      <c r="I551" s="30"/>
      <c r="J551" s="30"/>
      <c r="K551" s="97"/>
      <c r="L551" s="11"/>
      <c r="M551" s="11"/>
      <c r="N551" s="11"/>
      <c r="O551" s="11"/>
      <c r="P551" s="82"/>
    </row>
    <row r="552" spans="2:16" s="9" customFormat="1" x14ac:dyDescent="0.2">
      <c r="B552" s="10"/>
      <c r="C552" s="11"/>
      <c r="D552" s="63"/>
      <c r="E552" s="11"/>
      <c r="F552" s="65"/>
      <c r="G552" s="12"/>
      <c r="H552" s="41"/>
      <c r="I552" s="30"/>
      <c r="J552" s="30"/>
      <c r="K552" s="97"/>
      <c r="L552" s="11"/>
      <c r="M552" s="11"/>
      <c r="N552" s="11"/>
      <c r="O552" s="11"/>
      <c r="P552" s="82"/>
    </row>
    <row r="553" spans="2:16" s="9" customFormat="1" x14ac:dyDescent="0.2">
      <c r="B553" s="10"/>
      <c r="C553" s="11"/>
      <c r="D553" s="63"/>
      <c r="E553" s="11"/>
      <c r="F553" s="65"/>
      <c r="G553" s="12"/>
      <c r="H553" s="41"/>
      <c r="I553" s="30"/>
      <c r="J553" s="30"/>
      <c r="K553" s="97"/>
      <c r="L553" s="11"/>
      <c r="M553" s="11"/>
      <c r="N553" s="11"/>
      <c r="O553" s="11"/>
      <c r="P553" s="82"/>
    </row>
    <row r="554" spans="2:16" s="9" customFormat="1" x14ac:dyDescent="0.2">
      <c r="B554" s="10"/>
      <c r="C554" s="11"/>
      <c r="D554" s="63"/>
      <c r="E554" s="11"/>
      <c r="F554" s="65"/>
      <c r="G554" s="12"/>
      <c r="H554" s="41"/>
      <c r="I554" s="30"/>
      <c r="J554" s="30"/>
      <c r="K554" s="97"/>
      <c r="L554" s="11"/>
      <c r="M554" s="11"/>
      <c r="N554" s="11"/>
      <c r="O554" s="11"/>
      <c r="P554" s="82"/>
    </row>
    <row r="555" spans="2:16" s="9" customFormat="1" x14ac:dyDescent="0.2">
      <c r="B555" s="10"/>
      <c r="C555" s="11"/>
      <c r="D555" s="63"/>
      <c r="E555" s="11"/>
      <c r="F555" s="65"/>
      <c r="G555" s="12"/>
      <c r="H555" s="41"/>
      <c r="I555" s="30"/>
      <c r="J555" s="30"/>
      <c r="K555" s="97"/>
      <c r="L555" s="11"/>
      <c r="M555" s="11"/>
      <c r="N555" s="11"/>
      <c r="O555" s="11"/>
      <c r="P555" s="82"/>
    </row>
    <row r="556" spans="2:16" s="9" customFormat="1" x14ac:dyDescent="0.2">
      <c r="B556" s="10"/>
      <c r="C556" s="11"/>
      <c r="D556" s="63"/>
      <c r="E556" s="11"/>
      <c r="F556" s="65"/>
      <c r="G556" s="12"/>
      <c r="H556" s="41"/>
      <c r="I556" s="30"/>
      <c r="J556" s="30"/>
      <c r="K556" s="97"/>
      <c r="L556" s="11"/>
      <c r="M556" s="11"/>
      <c r="N556" s="11"/>
      <c r="O556" s="11"/>
      <c r="P556" s="82"/>
    </row>
    <row r="557" spans="2:16" s="9" customFormat="1" x14ac:dyDescent="0.2">
      <c r="B557" s="10"/>
      <c r="C557" s="11"/>
      <c r="D557" s="63"/>
      <c r="E557" s="11"/>
      <c r="F557" s="65"/>
      <c r="G557" s="12"/>
      <c r="H557" s="41"/>
      <c r="I557" s="30"/>
      <c r="J557" s="30"/>
      <c r="K557" s="97"/>
      <c r="L557" s="11"/>
      <c r="M557" s="11"/>
      <c r="N557" s="11"/>
      <c r="O557" s="11"/>
      <c r="P557" s="82"/>
    </row>
    <row r="558" spans="2:16" s="9" customFormat="1" x14ac:dyDescent="0.2">
      <c r="B558" s="10"/>
      <c r="C558" s="11"/>
      <c r="D558" s="63"/>
      <c r="E558" s="11"/>
      <c r="F558" s="65"/>
      <c r="G558" s="12"/>
      <c r="H558" s="41"/>
      <c r="I558" s="30"/>
      <c r="J558" s="30"/>
      <c r="K558" s="97"/>
      <c r="L558" s="11"/>
      <c r="M558" s="11"/>
      <c r="N558" s="11"/>
      <c r="O558" s="11"/>
      <c r="P558" s="82"/>
    </row>
    <row r="559" spans="2:16" s="9" customFormat="1" x14ac:dyDescent="0.2">
      <c r="B559" s="10"/>
      <c r="C559" s="11"/>
      <c r="D559" s="63"/>
      <c r="E559" s="11"/>
      <c r="F559" s="65"/>
      <c r="G559" s="12"/>
      <c r="H559" s="41"/>
      <c r="I559" s="30"/>
      <c r="J559" s="30"/>
      <c r="K559" s="97"/>
      <c r="L559" s="11"/>
      <c r="M559" s="11"/>
      <c r="N559" s="11"/>
      <c r="O559" s="11"/>
      <c r="P559" s="82"/>
    </row>
    <row r="560" spans="2:16" s="9" customFormat="1" x14ac:dyDescent="0.2">
      <c r="B560" s="10"/>
      <c r="C560" s="11"/>
      <c r="D560" s="63"/>
      <c r="E560" s="11"/>
      <c r="F560" s="65"/>
      <c r="G560" s="12"/>
      <c r="H560" s="41"/>
      <c r="I560" s="30"/>
      <c r="J560" s="30"/>
      <c r="K560" s="97"/>
      <c r="L560" s="11"/>
      <c r="M560" s="11"/>
      <c r="N560" s="11"/>
      <c r="O560" s="11"/>
      <c r="P560" s="82"/>
    </row>
    <row r="561" spans="2:16" s="9" customFormat="1" x14ac:dyDescent="0.2">
      <c r="B561" s="10"/>
      <c r="C561" s="11"/>
      <c r="D561" s="63"/>
      <c r="E561" s="11"/>
      <c r="F561" s="65"/>
      <c r="G561" s="12"/>
      <c r="H561" s="41"/>
      <c r="I561" s="30"/>
      <c r="J561" s="30"/>
      <c r="K561" s="97"/>
      <c r="L561" s="11"/>
      <c r="M561" s="11"/>
      <c r="N561" s="11"/>
      <c r="O561" s="11"/>
      <c r="P561" s="82"/>
    </row>
    <row r="562" spans="2:16" s="9" customFormat="1" x14ac:dyDescent="0.2">
      <c r="B562" s="10"/>
      <c r="C562" s="11"/>
      <c r="D562" s="63"/>
      <c r="E562" s="11"/>
      <c r="F562" s="65"/>
      <c r="G562" s="12"/>
      <c r="H562" s="41"/>
      <c r="I562" s="30"/>
      <c r="J562" s="30"/>
      <c r="K562" s="97"/>
      <c r="L562" s="11"/>
      <c r="M562" s="11"/>
      <c r="N562" s="11"/>
      <c r="O562" s="11"/>
      <c r="P562" s="82"/>
    </row>
    <row r="563" spans="2:16" s="9" customFormat="1" x14ac:dyDescent="0.2">
      <c r="B563" s="10"/>
      <c r="C563" s="11"/>
      <c r="D563" s="63"/>
      <c r="E563" s="11"/>
      <c r="F563" s="65"/>
      <c r="G563" s="12"/>
      <c r="H563" s="41"/>
      <c r="I563" s="30"/>
      <c r="J563" s="30"/>
      <c r="K563" s="97"/>
      <c r="L563" s="11"/>
      <c r="M563" s="11"/>
      <c r="N563" s="11"/>
      <c r="O563" s="11"/>
      <c r="P563" s="82"/>
    </row>
    <row r="564" spans="2:16" s="9" customFormat="1" x14ac:dyDescent="0.2">
      <c r="B564" s="10"/>
      <c r="C564" s="11"/>
      <c r="D564" s="63"/>
      <c r="E564" s="11"/>
      <c r="F564" s="65"/>
      <c r="G564" s="12"/>
      <c r="H564" s="41"/>
      <c r="I564" s="30"/>
      <c r="J564" s="30"/>
      <c r="K564" s="97"/>
      <c r="L564" s="11"/>
      <c r="M564" s="11"/>
      <c r="N564" s="11"/>
      <c r="O564" s="11"/>
      <c r="P564" s="82"/>
    </row>
    <row r="565" spans="2:16" s="9" customFormat="1" x14ac:dyDescent="0.2">
      <c r="B565" s="10"/>
      <c r="C565" s="11"/>
      <c r="D565" s="63"/>
      <c r="E565" s="11"/>
      <c r="F565" s="65"/>
      <c r="G565" s="12"/>
      <c r="H565" s="41"/>
      <c r="I565" s="30"/>
      <c r="J565" s="30"/>
      <c r="K565" s="97"/>
      <c r="L565" s="11"/>
      <c r="M565" s="11"/>
      <c r="N565" s="11"/>
      <c r="O565" s="11"/>
      <c r="P565" s="82"/>
    </row>
    <row r="566" spans="2:16" s="9" customFormat="1" x14ac:dyDescent="0.2">
      <c r="B566" s="10"/>
      <c r="C566" s="11"/>
      <c r="D566" s="63"/>
      <c r="E566" s="11"/>
      <c r="F566" s="65"/>
      <c r="G566" s="12"/>
      <c r="H566" s="41"/>
      <c r="I566" s="30"/>
      <c r="J566" s="30"/>
      <c r="K566" s="97"/>
      <c r="L566" s="11"/>
      <c r="M566" s="11"/>
      <c r="N566" s="11"/>
      <c r="O566" s="11"/>
      <c r="P566" s="82"/>
    </row>
    <row r="567" spans="2:16" s="9" customFormat="1" x14ac:dyDescent="0.2">
      <c r="B567" s="10"/>
      <c r="C567" s="11"/>
      <c r="D567" s="63"/>
      <c r="E567" s="11"/>
      <c r="F567" s="65"/>
      <c r="G567" s="12"/>
      <c r="H567" s="41"/>
      <c r="I567" s="30"/>
      <c r="J567" s="30"/>
      <c r="K567" s="97"/>
      <c r="L567" s="11"/>
      <c r="M567" s="11"/>
      <c r="N567" s="11"/>
      <c r="O567" s="11"/>
      <c r="P567" s="82"/>
    </row>
    <row r="568" spans="2:16" s="9" customFormat="1" x14ac:dyDescent="0.2">
      <c r="B568" s="10"/>
      <c r="C568" s="11"/>
      <c r="D568" s="63"/>
      <c r="E568" s="11"/>
      <c r="F568" s="65"/>
      <c r="G568" s="12"/>
      <c r="H568" s="41"/>
      <c r="I568" s="30"/>
      <c r="J568" s="30"/>
      <c r="K568" s="97"/>
      <c r="L568" s="11"/>
      <c r="M568" s="11"/>
      <c r="N568" s="11"/>
      <c r="O568" s="11"/>
      <c r="P568" s="82"/>
    </row>
    <row r="569" spans="2:16" s="9" customFormat="1" x14ac:dyDescent="0.2">
      <c r="B569" s="10"/>
      <c r="C569" s="11"/>
      <c r="D569" s="63"/>
      <c r="E569" s="11"/>
      <c r="F569" s="65"/>
      <c r="G569" s="12"/>
      <c r="H569" s="41"/>
      <c r="I569" s="30"/>
      <c r="J569" s="30"/>
      <c r="K569" s="97"/>
      <c r="L569" s="11"/>
      <c r="M569" s="11"/>
      <c r="N569" s="11"/>
      <c r="O569" s="11"/>
      <c r="P569" s="82"/>
    </row>
    <row r="570" spans="2:16" s="9" customFormat="1" x14ac:dyDescent="0.2">
      <c r="B570" s="10"/>
      <c r="C570" s="11"/>
      <c r="D570" s="63"/>
      <c r="E570" s="11"/>
      <c r="F570" s="65"/>
      <c r="G570" s="12"/>
      <c r="H570" s="41"/>
      <c r="I570" s="30"/>
      <c r="J570" s="30"/>
      <c r="K570" s="97"/>
      <c r="L570" s="11"/>
      <c r="M570" s="11"/>
      <c r="N570" s="11"/>
      <c r="O570" s="11"/>
      <c r="P570" s="82"/>
    </row>
    <row r="571" spans="2:16" s="9" customFormat="1" x14ac:dyDescent="0.2">
      <c r="B571" s="10"/>
      <c r="C571" s="11"/>
      <c r="D571" s="63"/>
      <c r="E571" s="11"/>
      <c r="F571" s="65"/>
      <c r="G571" s="12"/>
      <c r="H571" s="41"/>
      <c r="I571" s="30"/>
      <c r="J571" s="30"/>
      <c r="K571" s="97"/>
      <c r="L571" s="11"/>
      <c r="M571" s="11"/>
      <c r="N571" s="11"/>
      <c r="O571" s="11"/>
      <c r="P571" s="82"/>
    </row>
    <row r="572" spans="2:16" s="9" customFormat="1" x14ac:dyDescent="0.2">
      <c r="B572" s="10"/>
      <c r="C572" s="11"/>
      <c r="D572" s="63"/>
      <c r="E572" s="11"/>
      <c r="F572" s="65"/>
      <c r="G572" s="12"/>
      <c r="H572" s="41"/>
      <c r="I572" s="30"/>
      <c r="J572" s="30"/>
      <c r="K572" s="97"/>
      <c r="L572" s="11"/>
      <c r="M572" s="11"/>
      <c r="N572" s="11"/>
      <c r="O572" s="11"/>
      <c r="P572" s="82"/>
    </row>
    <row r="573" spans="2:16" s="9" customFormat="1" x14ac:dyDescent="0.2">
      <c r="B573" s="10"/>
      <c r="C573" s="11"/>
      <c r="D573" s="63"/>
      <c r="E573" s="11"/>
      <c r="F573" s="65"/>
      <c r="G573" s="12"/>
      <c r="H573" s="41"/>
      <c r="I573" s="30"/>
      <c r="J573" s="30"/>
      <c r="K573" s="97"/>
      <c r="L573" s="11"/>
      <c r="M573" s="11"/>
      <c r="N573" s="11"/>
      <c r="O573" s="11"/>
      <c r="P573" s="82"/>
    </row>
    <row r="574" spans="2:16" s="9" customFormat="1" x14ac:dyDescent="0.2">
      <c r="B574" s="10"/>
      <c r="C574" s="11"/>
      <c r="D574" s="63"/>
      <c r="E574" s="11"/>
      <c r="F574" s="65"/>
      <c r="G574" s="12"/>
      <c r="H574" s="41"/>
      <c r="I574" s="30"/>
      <c r="J574" s="30"/>
      <c r="K574" s="97"/>
      <c r="L574" s="11"/>
      <c r="M574" s="11"/>
      <c r="N574" s="11"/>
      <c r="O574" s="11"/>
      <c r="P574" s="82"/>
    </row>
    <row r="575" spans="2:16" s="9" customFormat="1" x14ac:dyDescent="0.2">
      <c r="B575" s="10"/>
      <c r="C575" s="11"/>
      <c r="D575" s="63"/>
      <c r="E575" s="11"/>
      <c r="F575" s="65"/>
      <c r="G575" s="12"/>
      <c r="H575" s="41"/>
      <c r="I575" s="30"/>
      <c r="J575" s="30"/>
      <c r="K575" s="97"/>
      <c r="L575" s="11"/>
      <c r="M575" s="11"/>
      <c r="N575" s="11"/>
      <c r="O575" s="11"/>
      <c r="P575" s="82"/>
    </row>
    <row r="576" spans="2:16" s="9" customFormat="1" x14ac:dyDescent="0.2">
      <c r="B576" s="10"/>
      <c r="C576" s="11"/>
      <c r="D576" s="63"/>
      <c r="E576" s="11"/>
      <c r="F576" s="65"/>
      <c r="G576" s="12"/>
      <c r="H576" s="41"/>
      <c r="I576" s="30"/>
      <c r="J576" s="30"/>
      <c r="K576" s="97"/>
      <c r="L576" s="11"/>
      <c r="M576" s="11"/>
      <c r="N576" s="11"/>
      <c r="O576" s="11"/>
      <c r="P576" s="82"/>
    </row>
    <row r="577" spans="2:16" s="9" customFormat="1" x14ac:dyDescent="0.2">
      <c r="B577" s="10"/>
      <c r="C577" s="11"/>
      <c r="D577" s="63"/>
      <c r="E577" s="11"/>
      <c r="F577" s="65"/>
      <c r="G577" s="12"/>
      <c r="H577" s="41"/>
      <c r="I577" s="30"/>
      <c r="J577" s="30"/>
      <c r="K577" s="97"/>
      <c r="L577" s="11"/>
      <c r="M577" s="11"/>
      <c r="N577" s="11"/>
      <c r="O577" s="11"/>
      <c r="P577" s="82"/>
    </row>
    <row r="578" spans="2:16" s="9" customFormat="1" x14ac:dyDescent="0.2">
      <c r="B578" s="10"/>
      <c r="C578" s="11"/>
      <c r="D578" s="63"/>
      <c r="E578" s="11"/>
      <c r="F578" s="65"/>
      <c r="G578" s="12"/>
      <c r="H578" s="41"/>
      <c r="I578" s="30"/>
      <c r="J578" s="30"/>
      <c r="K578" s="97"/>
      <c r="L578" s="11"/>
      <c r="M578" s="11"/>
      <c r="N578" s="11"/>
      <c r="O578" s="11"/>
      <c r="P578" s="82"/>
    </row>
    <row r="579" spans="2:16" s="9" customFormat="1" x14ac:dyDescent="0.2">
      <c r="B579" s="10"/>
      <c r="C579" s="11"/>
      <c r="D579" s="63"/>
      <c r="E579" s="11"/>
      <c r="F579" s="65"/>
      <c r="G579" s="12"/>
      <c r="H579" s="41"/>
      <c r="I579" s="30"/>
      <c r="J579" s="30"/>
      <c r="K579" s="97"/>
      <c r="L579" s="11"/>
      <c r="M579" s="11"/>
      <c r="N579" s="11"/>
      <c r="O579" s="11"/>
      <c r="P579" s="82"/>
    </row>
    <row r="580" spans="2:16" s="9" customFormat="1" x14ac:dyDescent="0.2">
      <c r="B580" s="10"/>
      <c r="C580" s="11"/>
      <c r="D580" s="63"/>
      <c r="E580" s="11"/>
      <c r="F580" s="65"/>
      <c r="G580" s="12"/>
      <c r="H580" s="41"/>
      <c r="I580" s="30"/>
      <c r="J580" s="30"/>
      <c r="K580" s="97"/>
      <c r="L580" s="11"/>
      <c r="M580" s="11"/>
      <c r="N580" s="11"/>
      <c r="O580" s="11"/>
      <c r="P580" s="82"/>
    </row>
    <row r="581" spans="2:16" s="9" customFormat="1" x14ac:dyDescent="0.2">
      <c r="B581" s="10"/>
      <c r="C581" s="11"/>
      <c r="D581" s="63"/>
      <c r="E581" s="11"/>
      <c r="F581" s="65"/>
      <c r="G581" s="12"/>
      <c r="H581" s="41"/>
      <c r="I581" s="30"/>
      <c r="J581" s="30"/>
      <c r="K581" s="97"/>
      <c r="L581" s="11"/>
      <c r="M581" s="11"/>
      <c r="N581" s="11"/>
      <c r="O581" s="11"/>
      <c r="P581" s="82"/>
    </row>
    <row r="582" spans="2:16" s="9" customFormat="1" x14ac:dyDescent="0.2">
      <c r="B582" s="10"/>
      <c r="C582" s="11"/>
      <c r="D582" s="63"/>
      <c r="E582" s="11"/>
      <c r="F582" s="65"/>
      <c r="G582" s="12"/>
      <c r="H582" s="41"/>
      <c r="I582" s="30"/>
      <c r="J582" s="30"/>
      <c r="K582" s="97"/>
      <c r="L582" s="11"/>
      <c r="M582" s="11"/>
      <c r="N582" s="11"/>
      <c r="O582" s="11"/>
      <c r="P582" s="82"/>
    </row>
    <row r="583" spans="2:16" s="9" customFormat="1" x14ac:dyDescent="0.2">
      <c r="B583" s="10"/>
      <c r="C583" s="11"/>
      <c r="D583" s="63"/>
      <c r="E583" s="11"/>
      <c r="F583" s="65"/>
      <c r="G583" s="12"/>
      <c r="H583" s="41"/>
      <c r="I583" s="30"/>
      <c r="J583" s="30"/>
      <c r="K583" s="97"/>
      <c r="L583" s="11"/>
      <c r="M583" s="11"/>
      <c r="N583" s="11"/>
      <c r="O583" s="11"/>
      <c r="P583" s="82"/>
    </row>
    <row r="584" spans="2:16" s="9" customFormat="1" x14ac:dyDescent="0.2">
      <c r="B584" s="10"/>
      <c r="C584" s="11"/>
      <c r="D584" s="63"/>
      <c r="E584" s="11"/>
      <c r="F584" s="65"/>
      <c r="G584" s="12"/>
      <c r="H584" s="41"/>
      <c r="I584" s="30"/>
      <c r="J584" s="30"/>
      <c r="K584" s="97"/>
      <c r="L584" s="11"/>
      <c r="M584" s="11"/>
      <c r="N584" s="11"/>
      <c r="O584" s="11"/>
      <c r="P584" s="82"/>
    </row>
    <row r="585" spans="2:16" s="9" customFormat="1" x14ac:dyDescent="0.2">
      <c r="B585" s="10"/>
      <c r="C585" s="11"/>
      <c r="D585" s="63"/>
      <c r="E585" s="11"/>
      <c r="F585" s="65"/>
      <c r="G585" s="12"/>
      <c r="H585" s="41"/>
      <c r="I585" s="30"/>
      <c r="J585" s="30"/>
      <c r="K585" s="97"/>
      <c r="L585" s="11"/>
      <c r="M585" s="11"/>
      <c r="N585" s="11"/>
      <c r="O585" s="11"/>
      <c r="P585" s="82"/>
    </row>
    <row r="586" spans="2:16" s="9" customFormat="1" x14ac:dyDescent="0.2">
      <c r="B586" s="10"/>
      <c r="C586" s="11"/>
      <c r="D586" s="63"/>
      <c r="E586" s="11"/>
      <c r="F586" s="65"/>
      <c r="G586" s="12"/>
      <c r="H586" s="41"/>
      <c r="I586" s="30"/>
      <c r="J586" s="30"/>
      <c r="K586" s="97"/>
      <c r="L586" s="11"/>
      <c r="M586" s="11"/>
      <c r="N586" s="11"/>
      <c r="O586" s="11"/>
      <c r="P586" s="82"/>
    </row>
    <row r="587" spans="2:16" s="9" customFormat="1" x14ac:dyDescent="0.2">
      <c r="B587" s="10"/>
      <c r="C587" s="11"/>
      <c r="D587" s="63"/>
      <c r="E587" s="11"/>
      <c r="F587" s="65"/>
      <c r="G587" s="12"/>
      <c r="H587" s="41"/>
      <c r="I587" s="30"/>
      <c r="J587" s="30"/>
      <c r="K587" s="97"/>
      <c r="L587" s="11"/>
      <c r="M587" s="11"/>
      <c r="N587" s="11"/>
      <c r="O587" s="11"/>
      <c r="P587" s="82"/>
    </row>
    <row r="588" spans="2:16" s="9" customFormat="1" x14ac:dyDescent="0.2">
      <c r="B588" s="10"/>
      <c r="C588" s="11"/>
      <c r="D588" s="63"/>
      <c r="E588" s="11"/>
      <c r="F588" s="65"/>
      <c r="G588" s="12"/>
      <c r="H588" s="41"/>
      <c r="I588" s="30"/>
      <c r="J588" s="30"/>
      <c r="K588" s="97"/>
      <c r="L588" s="11"/>
      <c r="M588" s="11"/>
      <c r="N588" s="11"/>
      <c r="O588" s="11"/>
      <c r="P588" s="82"/>
    </row>
    <row r="589" spans="2:16" s="9" customFormat="1" x14ac:dyDescent="0.2">
      <c r="B589" s="10"/>
      <c r="C589" s="11"/>
      <c r="D589" s="63"/>
      <c r="E589" s="11"/>
      <c r="F589" s="65"/>
      <c r="G589" s="12"/>
      <c r="H589" s="41"/>
      <c r="I589" s="30"/>
      <c r="J589" s="30"/>
      <c r="K589" s="97"/>
      <c r="L589" s="11"/>
      <c r="M589" s="11"/>
      <c r="N589" s="11"/>
      <c r="O589" s="11"/>
      <c r="P589" s="82"/>
    </row>
    <row r="590" spans="2:16" s="9" customFormat="1" x14ac:dyDescent="0.2">
      <c r="B590" s="10"/>
      <c r="C590" s="11"/>
      <c r="D590" s="63"/>
      <c r="E590" s="11"/>
      <c r="F590" s="65"/>
      <c r="G590" s="12"/>
      <c r="H590" s="41"/>
      <c r="I590" s="30"/>
      <c r="J590" s="30"/>
      <c r="K590" s="97"/>
      <c r="L590" s="11"/>
      <c r="M590" s="11"/>
      <c r="N590" s="11"/>
      <c r="O590" s="11"/>
      <c r="P590" s="82"/>
    </row>
    <row r="591" spans="2:16" s="9" customFormat="1" x14ac:dyDescent="0.2">
      <c r="B591" s="10"/>
      <c r="C591" s="11"/>
      <c r="D591" s="63"/>
      <c r="E591" s="11"/>
      <c r="F591" s="65"/>
      <c r="G591" s="12"/>
      <c r="H591" s="41"/>
      <c r="I591" s="30"/>
      <c r="J591" s="30"/>
      <c r="K591" s="97"/>
      <c r="L591" s="11"/>
      <c r="M591" s="11"/>
      <c r="N591" s="11"/>
      <c r="O591" s="11"/>
      <c r="P591" s="82"/>
    </row>
    <row r="592" spans="2:16" s="9" customFormat="1" x14ac:dyDescent="0.2">
      <c r="B592" s="10"/>
      <c r="C592" s="11"/>
      <c r="D592" s="63"/>
      <c r="E592" s="11"/>
      <c r="F592" s="65"/>
      <c r="G592" s="12"/>
      <c r="H592" s="41"/>
      <c r="I592" s="30"/>
      <c r="J592" s="30"/>
      <c r="K592" s="97"/>
      <c r="L592" s="11"/>
      <c r="M592" s="11"/>
      <c r="N592" s="11"/>
      <c r="O592" s="11"/>
      <c r="P592" s="82"/>
    </row>
    <row r="593" spans="2:16" s="9" customFormat="1" x14ac:dyDescent="0.2">
      <c r="B593" s="10"/>
      <c r="C593" s="11"/>
      <c r="D593" s="63"/>
      <c r="E593" s="11"/>
      <c r="F593" s="65"/>
      <c r="G593" s="12"/>
      <c r="H593" s="41"/>
      <c r="I593" s="30"/>
      <c r="J593" s="30"/>
      <c r="K593" s="97"/>
      <c r="L593" s="11"/>
      <c r="M593" s="11"/>
      <c r="N593" s="11"/>
      <c r="O593" s="11"/>
      <c r="P593" s="82"/>
    </row>
    <row r="594" spans="2:16" s="9" customFormat="1" x14ac:dyDescent="0.2">
      <c r="B594" s="10"/>
      <c r="C594" s="11"/>
      <c r="D594" s="63"/>
      <c r="E594" s="11"/>
      <c r="F594" s="65"/>
      <c r="G594" s="12"/>
      <c r="H594" s="41"/>
      <c r="I594" s="30"/>
      <c r="J594" s="30"/>
      <c r="K594" s="97"/>
      <c r="L594" s="11"/>
      <c r="M594" s="11"/>
      <c r="N594" s="11"/>
      <c r="O594" s="11"/>
      <c r="P594" s="82"/>
    </row>
    <row r="595" spans="2:16" s="9" customFormat="1" x14ac:dyDescent="0.2">
      <c r="B595" s="10"/>
      <c r="C595" s="11"/>
      <c r="D595" s="63"/>
      <c r="E595" s="11"/>
      <c r="F595" s="65"/>
      <c r="G595" s="12"/>
      <c r="H595" s="41"/>
      <c r="I595" s="30"/>
      <c r="J595" s="30"/>
      <c r="K595" s="97"/>
      <c r="L595" s="11"/>
      <c r="M595" s="11"/>
      <c r="N595" s="11"/>
      <c r="O595" s="11"/>
      <c r="P595" s="82"/>
    </row>
    <row r="596" spans="2:16" s="9" customFormat="1" x14ac:dyDescent="0.2">
      <c r="B596" s="10"/>
      <c r="C596" s="11"/>
      <c r="D596" s="63"/>
      <c r="E596" s="11"/>
      <c r="F596" s="65"/>
      <c r="G596" s="12"/>
      <c r="H596" s="41"/>
      <c r="I596" s="30"/>
      <c r="J596" s="30"/>
      <c r="K596" s="97"/>
      <c r="L596" s="11"/>
      <c r="M596" s="11"/>
      <c r="N596" s="11"/>
      <c r="O596" s="11"/>
      <c r="P596" s="82"/>
    </row>
    <row r="597" spans="2:16" s="9" customFormat="1" x14ac:dyDescent="0.2">
      <c r="B597" s="10"/>
      <c r="C597" s="11"/>
      <c r="D597" s="63"/>
      <c r="E597" s="11"/>
      <c r="F597" s="65"/>
      <c r="G597" s="12"/>
      <c r="H597" s="41"/>
      <c r="I597" s="30"/>
      <c r="J597" s="30"/>
      <c r="K597" s="97"/>
      <c r="L597" s="11"/>
      <c r="M597" s="11"/>
      <c r="N597" s="11"/>
      <c r="O597" s="11"/>
      <c r="P597" s="82"/>
    </row>
    <row r="598" spans="2:16" s="9" customFormat="1" x14ac:dyDescent="0.2">
      <c r="B598" s="10"/>
      <c r="C598" s="11"/>
      <c r="D598" s="63"/>
      <c r="E598" s="11"/>
      <c r="F598" s="65"/>
      <c r="G598" s="12"/>
      <c r="H598" s="41"/>
      <c r="I598" s="30"/>
      <c r="J598" s="30"/>
      <c r="K598" s="97"/>
      <c r="L598" s="11"/>
      <c r="M598" s="11"/>
      <c r="N598" s="11"/>
      <c r="O598" s="11"/>
      <c r="P598" s="82"/>
    </row>
    <row r="599" spans="2:16" s="9" customFormat="1" x14ac:dyDescent="0.2">
      <c r="B599" s="10"/>
      <c r="C599" s="11"/>
      <c r="D599" s="63"/>
      <c r="E599" s="11"/>
      <c r="F599" s="65"/>
      <c r="G599" s="12"/>
      <c r="H599" s="41"/>
      <c r="I599" s="30"/>
      <c r="J599" s="30"/>
      <c r="K599" s="97"/>
      <c r="L599" s="11"/>
      <c r="M599" s="11"/>
      <c r="N599" s="11"/>
      <c r="O599" s="11"/>
      <c r="P599" s="82"/>
    </row>
    <row r="600" spans="2:16" s="9" customFormat="1" x14ac:dyDescent="0.2">
      <c r="B600" s="10"/>
      <c r="C600" s="11"/>
      <c r="D600" s="63"/>
      <c r="E600" s="11"/>
      <c r="F600" s="65"/>
      <c r="G600" s="12"/>
      <c r="H600" s="41"/>
      <c r="I600" s="30"/>
      <c r="J600" s="30"/>
      <c r="K600" s="97"/>
      <c r="L600" s="11"/>
      <c r="M600" s="11"/>
      <c r="N600" s="11"/>
      <c r="O600" s="11"/>
      <c r="P600" s="82"/>
    </row>
    <row r="601" spans="2:16" s="9" customFormat="1" x14ac:dyDescent="0.2">
      <c r="B601" s="10"/>
      <c r="C601" s="11"/>
      <c r="D601" s="63"/>
      <c r="E601" s="11"/>
      <c r="F601" s="65"/>
      <c r="G601" s="12"/>
      <c r="H601" s="41"/>
      <c r="I601" s="30"/>
      <c r="J601" s="30"/>
      <c r="K601" s="97"/>
      <c r="L601" s="11"/>
      <c r="M601" s="11"/>
      <c r="N601" s="11"/>
      <c r="O601" s="11"/>
      <c r="P601" s="82"/>
    </row>
    <row r="602" spans="2:16" s="9" customFormat="1" x14ac:dyDescent="0.2">
      <c r="B602" s="10"/>
      <c r="C602" s="11"/>
      <c r="D602" s="63"/>
      <c r="E602" s="11"/>
      <c r="F602" s="65"/>
      <c r="G602" s="12"/>
      <c r="H602" s="41"/>
      <c r="I602" s="30"/>
      <c r="J602" s="30"/>
      <c r="K602" s="97"/>
      <c r="L602" s="11"/>
      <c r="M602" s="11"/>
      <c r="N602" s="11"/>
      <c r="O602" s="11"/>
      <c r="P602" s="82"/>
    </row>
    <row r="603" spans="2:16" s="9" customFormat="1" x14ac:dyDescent="0.2">
      <c r="B603" s="10"/>
      <c r="C603" s="11"/>
      <c r="D603" s="63"/>
      <c r="E603" s="11"/>
      <c r="F603" s="65"/>
      <c r="G603" s="12"/>
      <c r="H603" s="41"/>
      <c r="I603" s="30"/>
      <c r="J603" s="30"/>
      <c r="K603" s="97"/>
      <c r="L603" s="11"/>
      <c r="M603" s="11"/>
      <c r="N603" s="11"/>
      <c r="O603" s="11"/>
      <c r="P603" s="82"/>
    </row>
    <row r="604" spans="2:16" s="9" customFormat="1" x14ac:dyDescent="0.2">
      <c r="B604" s="10"/>
      <c r="C604" s="11"/>
      <c r="D604" s="63"/>
      <c r="E604" s="11"/>
      <c r="F604" s="65"/>
      <c r="G604" s="12"/>
      <c r="H604" s="41"/>
      <c r="I604" s="30"/>
      <c r="J604" s="30"/>
      <c r="K604" s="97"/>
      <c r="L604" s="11"/>
      <c r="M604" s="11"/>
      <c r="N604" s="11"/>
      <c r="O604" s="11"/>
      <c r="P604" s="82"/>
    </row>
    <row r="605" spans="2:16" s="9" customFormat="1" x14ac:dyDescent="0.2">
      <c r="B605" s="10"/>
      <c r="C605" s="11"/>
      <c r="D605" s="63"/>
      <c r="E605" s="11"/>
      <c r="F605" s="65"/>
      <c r="G605" s="12"/>
      <c r="H605" s="41"/>
      <c r="I605" s="30"/>
      <c r="J605" s="30"/>
      <c r="K605" s="97"/>
      <c r="L605" s="11"/>
      <c r="M605" s="11"/>
      <c r="N605" s="11"/>
      <c r="O605" s="11"/>
      <c r="P605" s="82"/>
    </row>
    <row r="606" spans="2:16" s="9" customFormat="1" x14ac:dyDescent="0.2">
      <c r="B606" s="10"/>
      <c r="C606" s="11"/>
      <c r="D606" s="63"/>
      <c r="E606" s="11"/>
      <c r="F606" s="65"/>
      <c r="G606" s="12"/>
      <c r="H606" s="41"/>
      <c r="I606" s="30"/>
      <c r="J606" s="30"/>
      <c r="K606" s="97"/>
      <c r="L606" s="11"/>
      <c r="M606" s="11"/>
      <c r="N606" s="11"/>
      <c r="O606" s="11"/>
      <c r="P606" s="82"/>
    </row>
    <row r="607" spans="2:16" s="9" customFormat="1" x14ac:dyDescent="0.2">
      <c r="B607" s="10"/>
      <c r="C607" s="11"/>
      <c r="D607" s="63"/>
      <c r="E607" s="11"/>
      <c r="F607" s="65"/>
      <c r="G607" s="12"/>
      <c r="H607" s="41"/>
      <c r="I607" s="30"/>
      <c r="J607" s="30"/>
      <c r="K607" s="97"/>
      <c r="L607" s="11"/>
      <c r="M607" s="11"/>
      <c r="N607" s="11"/>
      <c r="O607" s="11"/>
      <c r="P607" s="82"/>
    </row>
    <row r="608" spans="2:16" s="9" customFormat="1" x14ac:dyDescent="0.2">
      <c r="B608" s="10"/>
      <c r="C608" s="11"/>
      <c r="D608" s="63"/>
      <c r="E608" s="11"/>
      <c r="F608" s="65"/>
      <c r="G608" s="12"/>
      <c r="H608" s="41"/>
      <c r="I608" s="30"/>
      <c r="J608" s="30"/>
      <c r="K608" s="97"/>
      <c r="L608" s="11"/>
      <c r="M608" s="11"/>
      <c r="N608" s="11"/>
      <c r="O608" s="11"/>
      <c r="P608" s="82"/>
    </row>
    <row r="609" spans="2:16" s="9" customFormat="1" x14ac:dyDescent="0.2">
      <c r="B609" s="10"/>
      <c r="C609" s="11"/>
      <c r="D609" s="63"/>
      <c r="E609" s="11"/>
      <c r="F609" s="65"/>
      <c r="G609" s="12"/>
      <c r="H609" s="41"/>
      <c r="I609" s="30"/>
      <c r="J609" s="30"/>
      <c r="K609" s="97"/>
      <c r="L609" s="11"/>
      <c r="M609" s="11"/>
      <c r="N609" s="11"/>
      <c r="O609" s="11"/>
      <c r="P609" s="82"/>
    </row>
    <row r="610" spans="2:16" s="9" customFormat="1" x14ac:dyDescent="0.2">
      <c r="B610" s="10"/>
      <c r="C610" s="11"/>
      <c r="D610" s="63"/>
      <c r="E610" s="11"/>
      <c r="F610" s="65"/>
      <c r="G610" s="12"/>
      <c r="H610" s="41"/>
      <c r="I610" s="30"/>
      <c r="J610" s="30"/>
      <c r="K610" s="97"/>
      <c r="L610" s="11"/>
      <c r="M610" s="11"/>
      <c r="N610" s="11"/>
      <c r="O610" s="11"/>
      <c r="P610" s="82"/>
    </row>
    <row r="611" spans="2:16" s="9" customFormat="1" x14ac:dyDescent="0.2">
      <c r="B611" s="10"/>
      <c r="C611" s="11"/>
      <c r="D611" s="63"/>
      <c r="E611" s="11"/>
      <c r="F611" s="65"/>
      <c r="G611" s="12"/>
      <c r="H611" s="41"/>
      <c r="I611" s="30"/>
      <c r="J611" s="30"/>
      <c r="K611" s="97"/>
      <c r="L611" s="11"/>
      <c r="M611" s="11"/>
      <c r="N611" s="11"/>
      <c r="O611" s="11"/>
      <c r="P611" s="82"/>
    </row>
    <row r="612" spans="2:16" s="9" customFormat="1" x14ac:dyDescent="0.2">
      <c r="B612" s="10"/>
      <c r="C612" s="11"/>
      <c r="D612" s="63"/>
      <c r="E612" s="11"/>
      <c r="F612" s="65"/>
      <c r="G612" s="12"/>
      <c r="H612" s="41"/>
      <c r="I612" s="30"/>
      <c r="J612" s="30"/>
      <c r="K612" s="97"/>
      <c r="L612" s="11"/>
      <c r="M612" s="11"/>
      <c r="N612" s="11"/>
      <c r="O612" s="11"/>
      <c r="P612" s="82"/>
    </row>
    <row r="613" spans="2:16" s="9" customFormat="1" x14ac:dyDescent="0.2">
      <c r="B613" s="10"/>
      <c r="C613" s="11"/>
      <c r="D613" s="63"/>
      <c r="E613" s="11"/>
      <c r="F613" s="65"/>
      <c r="G613" s="12"/>
      <c r="H613" s="41"/>
      <c r="I613" s="30"/>
      <c r="J613" s="30"/>
      <c r="K613" s="97"/>
      <c r="L613" s="11"/>
      <c r="M613" s="11"/>
      <c r="N613" s="11"/>
      <c r="O613" s="11"/>
      <c r="P613" s="82"/>
    </row>
    <row r="614" spans="2:16" s="9" customFormat="1" x14ac:dyDescent="0.2">
      <c r="B614" s="10"/>
      <c r="C614" s="11"/>
      <c r="D614" s="63"/>
      <c r="E614" s="11"/>
      <c r="F614" s="65"/>
      <c r="G614" s="12"/>
      <c r="H614" s="41"/>
      <c r="I614" s="30"/>
      <c r="J614" s="30"/>
      <c r="K614" s="97"/>
      <c r="L614" s="11"/>
      <c r="M614" s="11"/>
      <c r="N614" s="11"/>
      <c r="O614" s="11"/>
      <c r="P614" s="82"/>
    </row>
    <row r="615" spans="2:16" s="9" customFormat="1" x14ac:dyDescent="0.2">
      <c r="B615" s="10"/>
      <c r="C615" s="11"/>
      <c r="D615" s="63"/>
      <c r="E615" s="11"/>
      <c r="F615" s="65"/>
      <c r="G615" s="12"/>
      <c r="H615" s="41"/>
      <c r="I615" s="30"/>
      <c r="J615" s="30"/>
      <c r="K615" s="97"/>
      <c r="L615" s="11"/>
      <c r="M615" s="11"/>
      <c r="N615" s="11"/>
      <c r="O615" s="11"/>
      <c r="P615" s="82"/>
    </row>
    <row r="616" spans="2:16" s="9" customFormat="1" x14ac:dyDescent="0.2">
      <c r="B616" s="10"/>
      <c r="C616" s="11"/>
      <c r="D616" s="63"/>
      <c r="E616" s="11"/>
      <c r="F616" s="65"/>
      <c r="G616" s="12"/>
      <c r="H616" s="41"/>
      <c r="I616" s="30"/>
      <c r="J616" s="30"/>
      <c r="K616" s="97"/>
      <c r="L616" s="11"/>
      <c r="M616" s="11"/>
      <c r="N616" s="11"/>
      <c r="O616" s="11"/>
      <c r="P616" s="82"/>
    </row>
    <row r="617" spans="2:16" s="9" customFormat="1" x14ac:dyDescent="0.2">
      <c r="B617" s="10"/>
      <c r="C617" s="11"/>
      <c r="D617" s="63"/>
      <c r="E617" s="11"/>
      <c r="F617" s="65"/>
      <c r="G617" s="12"/>
      <c r="H617" s="41"/>
      <c r="I617" s="30"/>
      <c r="J617" s="30"/>
      <c r="K617" s="97"/>
      <c r="L617" s="11"/>
      <c r="M617" s="11"/>
      <c r="N617" s="11"/>
      <c r="O617" s="11"/>
      <c r="P617" s="82"/>
    </row>
    <row r="618" spans="2:16" s="9" customFormat="1" x14ac:dyDescent="0.2">
      <c r="B618" s="10"/>
      <c r="C618" s="11"/>
      <c r="D618" s="63"/>
      <c r="E618" s="11"/>
      <c r="F618" s="65"/>
      <c r="G618" s="12"/>
      <c r="H618" s="41"/>
      <c r="I618" s="30"/>
      <c r="J618" s="30"/>
      <c r="K618" s="97"/>
      <c r="L618" s="11"/>
      <c r="M618" s="11"/>
      <c r="N618" s="11"/>
      <c r="O618" s="11"/>
      <c r="P618" s="82"/>
    </row>
    <row r="619" spans="2:16" s="9" customFormat="1" x14ac:dyDescent="0.2">
      <c r="B619" s="10"/>
      <c r="C619" s="11"/>
      <c r="D619" s="63"/>
      <c r="E619" s="11"/>
      <c r="F619" s="65"/>
      <c r="G619" s="12"/>
      <c r="H619" s="41"/>
      <c r="I619" s="30"/>
      <c r="J619" s="30"/>
      <c r="K619" s="97"/>
      <c r="L619" s="11"/>
      <c r="M619" s="11"/>
      <c r="N619" s="11"/>
      <c r="O619" s="11"/>
      <c r="P619" s="82"/>
    </row>
    <row r="620" spans="2:16" s="9" customFormat="1" x14ac:dyDescent="0.2">
      <c r="B620" s="10"/>
      <c r="C620" s="11"/>
      <c r="D620" s="63"/>
      <c r="E620" s="11"/>
      <c r="F620" s="65"/>
      <c r="G620" s="12"/>
      <c r="H620" s="41"/>
      <c r="I620" s="30"/>
      <c r="J620" s="30"/>
      <c r="K620" s="97"/>
      <c r="L620" s="11"/>
      <c r="M620" s="11"/>
      <c r="N620" s="11"/>
      <c r="O620" s="11"/>
      <c r="P620" s="82"/>
    </row>
    <row r="621" spans="2:16" s="9" customFormat="1" x14ac:dyDescent="0.2">
      <c r="B621" s="10"/>
      <c r="C621" s="11"/>
      <c r="D621" s="63"/>
      <c r="E621" s="11"/>
      <c r="F621" s="65"/>
      <c r="G621" s="12"/>
      <c r="H621" s="41"/>
      <c r="I621" s="30"/>
      <c r="J621" s="30"/>
      <c r="K621" s="97"/>
      <c r="L621" s="11"/>
      <c r="M621" s="11"/>
      <c r="N621" s="11"/>
      <c r="O621" s="11"/>
      <c r="P621" s="82"/>
    </row>
    <row r="622" spans="2:16" s="9" customFormat="1" x14ac:dyDescent="0.2">
      <c r="B622" s="10"/>
      <c r="C622" s="11"/>
      <c r="D622" s="63"/>
      <c r="E622" s="11"/>
      <c r="F622" s="65"/>
      <c r="G622" s="12"/>
      <c r="H622" s="41"/>
      <c r="I622" s="30"/>
      <c r="J622" s="30"/>
      <c r="K622" s="97"/>
      <c r="L622" s="11"/>
      <c r="M622" s="11"/>
      <c r="N622" s="11"/>
      <c r="O622" s="11"/>
      <c r="P622" s="82"/>
    </row>
    <row r="623" spans="2:16" s="9" customFormat="1" x14ac:dyDescent="0.2">
      <c r="B623" s="10"/>
      <c r="C623" s="11"/>
      <c r="D623" s="63"/>
      <c r="E623" s="11"/>
      <c r="F623" s="65"/>
      <c r="G623" s="12"/>
      <c r="H623" s="41"/>
      <c r="I623" s="30"/>
      <c r="J623" s="30"/>
      <c r="K623" s="97"/>
      <c r="L623" s="11"/>
      <c r="M623" s="11"/>
      <c r="N623" s="11"/>
      <c r="O623" s="11"/>
      <c r="P623" s="82"/>
    </row>
    <row r="624" spans="2:16" s="9" customFormat="1" x14ac:dyDescent="0.2">
      <c r="B624" s="10"/>
      <c r="C624" s="11"/>
      <c r="D624" s="63"/>
      <c r="E624" s="11"/>
      <c r="F624" s="65"/>
      <c r="G624" s="12"/>
      <c r="H624" s="41"/>
      <c r="I624" s="30"/>
      <c r="J624" s="30"/>
      <c r="K624" s="97"/>
      <c r="L624" s="11"/>
      <c r="M624" s="11"/>
      <c r="N624" s="11"/>
      <c r="O624" s="11"/>
      <c r="P624" s="82"/>
    </row>
    <row r="625" spans="2:16" s="9" customFormat="1" x14ac:dyDescent="0.2">
      <c r="B625" s="10"/>
      <c r="C625" s="11"/>
      <c r="D625" s="63"/>
      <c r="E625" s="11"/>
      <c r="F625" s="65"/>
      <c r="G625" s="12"/>
      <c r="H625" s="41"/>
      <c r="I625" s="30"/>
      <c r="J625" s="30"/>
      <c r="K625" s="97"/>
      <c r="L625" s="11"/>
      <c r="M625" s="11"/>
      <c r="N625" s="11"/>
      <c r="O625" s="11"/>
      <c r="P625" s="82"/>
    </row>
    <row r="626" spans="2:16" s="9" customFormat="1" x14ac:dyDescent="0.2">
      <c r="B626" s="10"/>
      <c r="C626" s="11"/>
      <c r="D626" s="63"/>
      <c r="E626" s="11"/>
      <c r="F626" s="65"/>
      <c r="G626" s="12"/>
      <c r="H626" s="41"/>
      <c r="I626" s="30"/>
      <c r="J626" s="30"/>
      <c r="K626" s="97"/>
      <c r="L626" s="11"/>
      <c r="M626" s="11"/>
      <c r="N626" s="11"/>
      <c r="O626" s="11"/>
      <c r="P626" s="82"/>
    </row>
    <row r="627" spans="2:16" s="9" customFormat="1" x14ac:dyDescent="0.2">
      <c r="B627" s="10"/>
      <c r="C627" s="11"/>
      <c r="D627" s="63"/>
      <c r="E627" s="11"/>
      <c r="F627" s="65"/>
      <c r="G627" s="12"/>
      <c r="H627" s="41"/>
      <c r="I627" s="30"/>
      <c r="J627" s="30"/>
      <c r="K627" s="97"/>
      <c r="L627" s="11"/>
      <c r="M627" s="11"/>
      <c r="N627" s="11"/>
      <c r="O627" s="11"/>
      <c r="P627" s="82"/>
    </row>
    <row r="628" spans="2:16" s="9" customFormat="1" x14ac:dyDescent="0.2">
      <c r="B628" s="10"/>
      <c r="C628" s="11"/>
      <c r="D628" s="63"/>
      <c r="E628" s="11"/>
      <c r="F628" s="65"/>
      <c r="G628" s="12"/>
      <c r="H628" s="41"/>
      <c r="I628" s="30"/>
      <c r="J628" s="30"/>
      <c r="K628" s="97"/>
      <c r="L628" s="11"/>
      <c r="M628" s="11"/>
      <c r="N628" s="11"/>
      <c r="O628" s="11"/>
      <c r="P628" s="82"/>
    </row>
    <row r="629" spans="2:16" s="9" customFormat="1" x14ac:dyDescent="0.2">
      <c r="B629" s="10"/>
      <c r="C629" s="11"/>
      <c r="D629" s="63"/>
      <c r="E629" s="11"/>
      <c r="F629" s="65"/>
      <c r="G629" s="12"/>
      <c r="H629" s="41"/>
      <c r="I629" s="30"/>
      <c r="J629" s="30"/>
      <c r="K629" s="97"/>
      <c r="L629" s="11"/>
      <c r="M629" s="11"/>
      <c r="N629" s="11"/>
      <c r="O629" s="11"/>
      <c r="P629" s="82"/>
    </row>
    <row r="630" spans="2:16" s="9" customFormat="1" x14ac:dyDescent="0.2">
      <c r="B630" s="10"/>
      <c r="C630" s="11"/>
      <c r="D630" s="63"/>
      <c r="E630" s="11"/>
      <c r="F630" s="65"/>
      <c r="G630" s="12"/>
      <c r="H630" s="41"/>
      <c r="I630" s="30"/>
      <c r="J630" s="30"/>
      <c r="K630" s="97"/>
      <c r="L630" s="11"/>
      <c r="M630" s="11"/>
      <c r="N630" s="11"/>
      <c r="O630" s="11"/>
      <c r="P630" s="82"/>
    </row>
    <row r="631" spans="2:16" s="9" customFormat="1" x14ac:dyDescent="0.2">
      <c r="B631" s="10"/>
      <c r="C631" s="11"/>
      <c r="D631" s="63"/>
      <c r="E631" s="11"/>
      <c r="F631" s="65"/>
      <c r="G631" s="12"/>
      <c r="H631" s="41"/>
      <c r="I631" s="30"/>
      <c r="J631" s="30"/>
      <c r="K631" s="97"/>
      <c r="L631" s="11"/>
      <c r="M631" s="11"/>
      <c r="N631" s="11"/>
      <c r="O631" s="11"/>
      <c r="P631" s="82"/>
    </row>
    <row r="632" spans="2:16" s="9" customFormat="1" x14ac:dyDescent="0.2">
      <c r="B632" s="10"/>
      <c r="C632" s="11"/>
      <c r="D632" s="63"/>
      <c r="E632" s="11"/>
      <c r="F632" s="65"/>
      <c r="G632" s="12"/>
      <c r="H632" s="41"/>
      <c r="I632" s="30"/>
      <c r="J632" s="30"/>
      <c r="K632" s="97"/>
      <c r="L632" s="11"/>
      <c r="M632" s="11"/>
      <c r="N632" s="11"/>
      <c r="O632" s="11"/>
      <c r="P632" s="82"/>
    </row>
    <row r="633" spans="2:16" s="9" customFormat="1" x14ac:dyDescent="0.2">
      <c r="B633" s="10"/>
      <c r="C633" s="11"/>
      <c r="D633" s="63"/>
      <c r="E633" s="11"/>
      <c r="F633" s="65"/>
      <c r="G633" s="12"/>
      <c r="H633" s="41"/>
      <c r="I633" s="30"/>
      <c r="J633" s="30"/>
      <c r="K633" s="97"/>
      <c r="L633" s="11"/>
      <c r="M633" s="11"/>
      <c r="N633" s="11"/>
      <c r="O633" s="11"/>
      <c r="P633" s="82"/>
    </row>
    <row r="634" spans="2:16" s="9" customFormat="1" x14ac:dyDescent="0.2">
      <c r="B634" s="10"/>
      <c r="C634" s="11"/>
      <c r="D634" s="63"/>
      <c r="E634" s="11"/>
      <c r="F634" s="65"/>
      <c r="G634" s="12"/>
      <c r="H634" s="41"/>
      <c r="I634" s="30"/>
      <c r="J634" s="30"/>
      <c r="K634" s="97"/>
      <c r="L634" s="11"/>
      <c r="M634" s="11"/>
      <c r="N634" s="11"/>
      <c r="O634" s="11"/>
      <c r="P634" s="82"/>
    </row>
    <row r="635" spans="2:16" s="9" customFormat="1" x14ac:dyDescent="0.2">
      <c r="B635" s="10"/>
      <c r="C635" s="11"/>
      <c r="D635" s="63"/>
      <c r="E635" s="11"/>
      <c r="F635" s="65"/>
      <c r="G635" s="12"/>
      <c r="H635" s="41"/>
      <c r="I635" s="30"/>
      <c r="J635" s="30"/>
      <c r="K635" s="97"/>
      <c r="L635" s="11"/>
      <c r="M635" s="11"/>
      <c r="N635" s="11"/>
      <c r="O635" s="11"/>
      <c r="P635" s="82"/>
    </row>
    <row r="636" spans="2:16" s="9" customFormat="1" x14ac:dyDescent="0.2">
      <c r="B636" s="10"/>
      <c r="C636" s="11"/>
      <c r="D636" s="63"/>
      <c r="E636" s="11"/>
      <c r="F636" s="65"/>
      <c r="G636" s="12"/>
      <c r="H636" s="41"/>
      <c r="I636" s="30"/>
      <c r="J636" s="30"/>
      <c r="K636" s="97"/>
      <c r="L636" s="11"/>
      <c r="M636" s="11"/>
      <c r="N636" s="11"/>
      <c r="O636" s="11"/>
      <c r="P636" s="82"/>
    </row>
    <row r="637" spans="2:16" s="9" customFormat="1" x14ac:dyDescent="0.2">
      <c r="B637" s="10"/>
      <c r="C637" s="11"/>
      <c r="D637" s="63"/>
      <c r="E637" s="11"/>
      <c r="F637" s="65"/>
      <c r="G637" s="12"/>
      <c r="H637" s="41"/>
      <c r="I637" s="30"/>
      <c r="J637" s="30"/>
      <c r="K637" s="97"/>
      <c r="L637" s="11"/>
      <c r="M637" s="11"/>
      <c r="N637" s="11"/>
      <c r="O637" s="11"/>
      <c r="P637" s="82"/>
    </row>
    <row r="638" spans="2:16" s="9" customFormat="1" x14ac:dyDescent="0.2">
      <c r="B638" s="10"/>
      <c r="C638" s="11"/>
      <c r="D638" s="63"/>
      <c r="E638" s="11"/>
      <c r="F638" s="65"/>
      <c r="G638" s="12"/>
      <c r="H638" s="41"/>
      <c r="I638" s="30"/>
      <c r="J638" s="30"/>
      <c r="K638" s="97"/>
      <c r="L638" s="11"/>
      <c r="M638" s="11"/>
      <c r="N638" s="11"/>
      <c r="O638" s="11"/>
      <c r="P638" s="82"/>
    </row>
    <row r="639" spans="2:16" s="9" customFormat="1" x14ac:dyDescent="0.2">
      <c r="B639" s="10"/>
      <c r="C639" s="11"/>
      <c r="D639" s="63"/>
      <c r="E639" s="11"/>
      <c r="F639" s="65"/>
      <c r="G639" s="12"/>
      <c r="H639" s="41"/>
      <c r="I639" s="30"/>
      <c r="J639" s="30"/>
      <c r="K639" s="97"/>
      <c r="L639" s="11"/>
      <c r="M639" s="11"/>
      <c r="N639" s="11"/>
      <c r="O639" s="11"/>
      <c r="P639" s="82"/>
    </row>
    <row r="640" spans="2:16" s="9" customFormat="1" x14ac:dyDescent="0.2">
      <c r="B640" s="10"/>
      <c r="C640" s="11"/>
      <c r="D640" s="63"/>
      <c r="E640" s="11"/>
      <c r="F640" s="65"/>
      <c r="G640" s="12"/>
      <c r="H640" s="41"/>
      <c r="I640" s="30"/>
      <c r="J640" s="30"/>
      <c r="K640" s="97"/>
      <c r="L640" s="11"/>
      <c r="M640" s="11"/>
      <c r="N640" s="11"/>
      <c r="O640" s="11"/>
      <c r="P640" s="82"/>
    </row>
    <row r="641" spans="2:16" s="9" customFormat="1" x14ac:dyDescent="0.2">
      <c r="B641" s="10"/>
      <c r="C641" s="11"/>
      <c r="D641" s="63"/>
      <c r="E641" s="11"/>
      <c r="F641" s="65"/>
      <c r="G641" s="12"/>
      <c r="H641" s="41"/>
      <c r="I641" s="30"/>
      <c r="J641" s="30"/>
      <c r="K641" s="97"/>
      <c r="L641" s="11"/>
      <c r="M641" s="11"/>
      <c r="N641" s="11"/>
      <c r="O641" s="11"/>
      <c r="P641" s="82"/>
    </row>
    <row r="642" spans="2:16" s="9" customFormat="1" x14ac:dyDescent="0.2">
      <c r="B642" s="10"/>
      <c r="C642" s="11"/>
      <c r="D642" s="63"/>
      <c r="E642" s="11"/>
      <c r="F642" s="65"/>
      <c r="G642" s="12"/>
      <c r="H642" s="41"/>
      <c r="I642" s="30"/>
      <c r="J642" s="30"/>
      <c r="K642" s="97"/>
      <c r="L642" s="11"/>
      <c r="M642" s="11"/>
      <c r="N642" s="11"/>
      <c r="O642" s="11"/>
      <c r="P642" s="82"/>
    </row>
    <row r="643" spans="2:16" s="9" customFormat="1" x14ac:dyDescent="0.2">
      <c r="B643" s="10"/>
      <c r="C643" s="11"/>
      <c r="D643" s="63"/>
      <c r="E643" s="11"/>
      <c r="F643" s="65"/>
      <c r="G643" s="12"/>
      <c r="H643" s="41"/>
      <c r="I643" s="30"/>
      <c r="J643" s="30"/>
      <c r="K643" s="97"/>
      <c r="L643" s="11"/>
      <c r="M643" s="11"/>
      <c r="N643" s="11"/>
      <c r="O643" s="11"/>
      <c r="P643" s="82"/>
    </row>
    <row r="644" spans="2:16" s="9" customFormat="1" x14ac:dyDescent="0.2">
      <c r="B644" s="10"/>
      <c r="C644" s="11"/>
      <c r="D644" s="63"/>
      <c r="E644" s="11"/>
      <c r="F644" s="65"/>
      <c r="G644" s="12"/>
      <c r="H644" s="41"/>
      <c r="I644" s="30"/>
      <c r="J644" s="30"/>
      <c r="K644" s="97"/>
      <c r="L644" s="11"/>
      <c r="M644" s="11"/>
      <c r="N644" s="11"/>
      <c r="O644" s="11"/>
      <c r="P644" s="82"/>
    </row>
    <row r="645" spans="2:16" s="9" customFormat="1" x14ac:dyDescent="0.2">
      <c r="B645" s="10"/>
      <c r="C645" s="11"/>
      <c r="D645" s="63"/>
      <c r="E645" s="11"/>
      <c r="F645" s="65"/>
      <c r="G645" s="12"/>
      <c r="H645" s="41"/>
      <c r="I645" s="30"/>
      <c r="J645" s="30"/>
      <c r="K645" s="97"/>
      <c r="L645" s="11"/>
      <c r="M645" s="11"/>
      <c r="N645" s="11"/>
      <c r="O645" s="11"/>
      <c r="P645" s="82"/>
    </row>
    <row r="646" spans="2:16" s="9" customFormat="1" x14ac:dyDescent="0.2">
      <c r="B646" s="10"/>
      <c r="C646" s="11"/>
      <c r="D646" s="63"/>
      <c r="E646" s="11"/>
      <c r="F646" s="65"/>
      <c r="G646" s="12"/>
      <c r="H646" s="41"/>
      <c r="I646" s="30"/>
      <c r="J646" s="30"/>
      <c r="K646" s="97"/>
      <c r="L646" s="11"/>
      <c r="M646" s="11"/>
      <c r="N646" s="11"/>
      <c r="O646" s="11"/>
      <c r="P646" s="82"/>
    </row>
    <row r="647" spans="2:16" s="9" customFormat="1" x14ac:dyDescent="0.2">
      <c r="B647" s="10"/>
      <c r="C647" s="11"/>
      <c r="D647" s="63"/>
      <c r="E647" s="11"/>
      <c r="F647" s="65"/>
      <c r="G647" s="12"/>
      <c r="H647" s="41"/>
      <c r="I647" s="30"/>
      <c r="J647" s="30"/>
      <c r="K647" s="97"/>
      <c r="L647" s="11"/>
      <c r="M647" s="11"/>
      <c r="N647" s="11"/>
      <c r="O647" s="11"/>
      <c r="P647" s="82"/>
    </row>
    <row r="648" spans="2:16" s="9" customFormat="1" x14ac:dyDescent="0.2">
      <c r="B648" s="10"/>
      <c r="C648" s="11"/>
      <c r="D648" s="63"/>
      <c r="E648" s="11"/>
      <c r="F648" s="65"/>
      <c r="G648" s="12"/>
      <c r="H648" s="41"/>
      <c r="I648" s="30"/>
      <c r="J648" s="30"/>
      <c r="K648" s="97"/>
      <c r="L648" s="11"/>
      <c r="M648" s="11"/>
      <c r="N648" s="11"/>
      <c r="O648" s="11"/>
      <c r="P648" s="82"/>
    </row>
    <row r="649" spans="2:16" s="9" customFormat="1" x14ac:dyDescent="0.2">
      <c r="B649" s="10"/>
      <c r="C649" s="11"/>
      <c r="D649" s="63"/>
      <c r="E649" s="11"/>
      <c r="F649" s="65"/>
      <c r="G649" s="12"/>
      <c r="H649" s="41"/>
      <c r="I649" s="30"/>
      <c r="J649" s="30"/>
      <c r="K649" s="97"/>
      <c r="L649" s="11"/>
      <c r="M649" s="11"/>
      <c r="N649" s="11"/>
      <c r="O649" s="11"/>
      <c r="P649" s="82"/>
    </row>
    <row r="650" spans="2:16" s="9" customFormat="1" x14ac:dyDescent="0.2">
      <c r="B650" s="10"/>
      <c r="C650" s="11"/>
      <c r="D650" s="63"/>
      <c r="E650" s="11"/>
      <c r="F650" s="65"/>
      <c r="G650" s="12"/>
      <c r="H650" s="41"/>
      <c r="I650" s="30"/>
      <c r="J650" s="30"/>
      <c r="K650" s="97"/>
      <c r="L650" s="11"/>
      <c r="M650" s="11"/>
      <c r="N650" s="11"/>
      <c r="O650" s="11"/>
      <c r="P650" s="82"/>
    </row>
    <row r="651" spans="2:16" s="9" customFormat="1" x14ac:dyDescent="0.2">
      <c r="B651" s="10"/>
      <c r="C651" s="11"/>
      <c r="D651" s="63"/>
      <c r="E651" s="11"/>
      <c r="F651" s="65"/>
      <c r="G651" s="12"/>
      <c r="H651" s="41"/>
      <c r="I651" s="30"/>
      <c r="J651" s="30"/>
      <c r="K651" s="97"/>
      <c r="L651" s="11"/>
      <c r="M651" s="11"/>
      <c r="N651" s="11"/>
      <c r="O651" s="11"/>
      <c r="P651" s="82"/>
    </row>
    <row r="652" spans="2:16" s="9" customFormat="1" x14ac:dyDescent="0.2">
      <c r="B652" s="10"/>
      <c r="C652" s="11"/>
      <c r="D652" s="63"/>
      <c r="E652" s="11"/>
      <c r="F652" s="65"/>
      <c r="G652" s="12"/>
      <c r="H652" s="41"/>
      <c r="I652" s="30"/>
      <c r="J652" s="30"/>
      <c r="K652" s="97"/>
      <c r="L652" s="11"/>
      <c r="M652" s="11"/>
      <c r="N652" s="11"/>
      <c r="O652" s="11"/>
      <c r="P652" s="82"/>
    </row>
    <row r="653" spans="2:16" s="9" customFormat="1" x14ac:dyDescent="0.2">
      <c r="B653" s="10"/>
      <c r="C653" s="11"/>
      <c r="D653" s="63"/>
      <c r="E653" s="11"/>
      <c r="F653" s="65"/>
      <c r="G653" s="12"/>
      <c r="H653" s="41"/>
      <c r="I653" s="30"/>
      <c r="J653" s="30"/>
      <c r="K653" s="97"/>
      <c r="L653" s="11"/>
      <c r="M653" s="11"/>
      <c r="N653" s="11"/>
      <c r="O653" s="11"/>
      <c r="P653" s="82"/>
    </row>
    <row r="654" spans="2:16" s="9" customFormat="1" x14ac:dyDescent="0.2">
      <c r="B654" s="10"/>
      <c r="C654" s="11"/>
      <c r="D654" s="63"/>
      <c r="E654" s="11"/>
      <c r="F654" s="65"/>
      <c r="G654" s="12"/>
      <c r="H654" s="41"/>
      <c r="I654" s="30"/>
      <c r="J654" s="30"/>
      <c r="K654" s="97"/>
      <c r="L654" s="11"/>
      <c r="M654" s="11"/>
      <c r="N654" s="11"/>
      <c r="O654" s="11"/>
      <c r="P654" s="82"/>
    </row>
    <row r="655" spans="2:16" s="9" customFormat="1" x14ac:dyDescent="0.2">
      <c r="B655" s="10"/>
      <c r="C655" s="11"/>
      <c r="D655" s="63"/>
      <c r="E655" s="11"/>
      <c r="F655" s="65"/>
      <c r="G655" s="12"/>
      <c r="H655" s="41"/>
      <c r="I655" s="30"/>
      <c r="J655" s="30"/>
      <c r="K655" s="97"/>
      <c r="L655" s="11"/>
      <c r="M655" s="11"/>
      <c r="N655" s="11"/>
      <c r="O655" s="11"/>
      <c r="P655" s="82"/>
    </row>
    <row r="656" spans="2:16" s="9" customFormat="1" x14ac:dyDescent="0.2">
      <c r="B656" s="10"/>
      <c r="C656" s="11"/>
      <c r="D656" s="63"/>
      <c r="E656" s="11"/>
      <c r="F656" s="65"/>
      <c r="G656" s="12"/>
      <c r="H656" s="41"/>
      <c r="I656" s="30"/>
      <c r="J656" s="30"/>
      <c r="K656" s="97"/>
      <c r="L656" s="11"/>
      <c r="M656" s="11"/>
      <c r="N656" s="11"/>
      <c r="O656" s="11"/>
      <c r="P656" s="82"/>
    </row>
    <row r="657" spans="2:16" s="9" customFormat="1" x14ac:dyDescent="0.2">
      <c r="B657" s="10"/>
      <c r="C657" s="11"/>
      <c r="D657" s="63"/>
      <c r="E657" s="11"/>
      <c r="F657" s="65"/>
      <c r="G657" s="12"/>
      <c r="H657" s="41"/>
      <c r="I657" s="30"/>
      <c r="J657" s="30"/>
      <c r="K657" s="97"/>
      <c r="L657" s="11"/>
      <c r="M657" s="11"/>
      <c r="N657" s="11"/>
      <c r="O657" s="11"/>
      <c r="P657" s="82"/>
    </row>
    <row r="658" spans="2:16" s="9" customFormat="1" x14ac:dyDescent="0.2">
      <c r="B658" s="10"/>
      <c r="C658" s="11"/>
      <c r="D658" s="63"/>
      <c r="E658" s="11"/>
      <c r="F658" s="65"/>
      <c r="G658" s="12"/>
      <c r="H658" s="41"/>
      <c r="I658" s="30"/>
      <c r="J658" s="30"/>
      <c r="K658" s="97"/>
      <c r="L658" s="11"/>
      <c r="M658" s="11"/>
      <c r="N658" s="11"/>
      <c r="O658" s="11"/>
      <c r="P658" s="82"/>
    </row>
    <row r="659" spans="2:16" s="9" customFormat="1" x14ac:dyDescent="0.2">
      <c r="B659" s="10"/>
      <c r="C659" s="11"/>
      <c r="D659" s="63"/>
      <c r="E659" s="11"/>
      <c r="F659" s="65"/>
      <c r="G659" s="12"/>
      <c r="H659" s="41"/>
      <c r="I659" s="30"/>
      <c r="J659" s="30"/>
      <c r="K659" s="97"/>
      <c r="L659" s="11"/>
      <c r="M659" s="11"/>
      <c r="N659" s="11"/>
      <c r="O659" s="11"/>
      <c r="P659" s="82"/>
    </row>
    <row r="660" spans="2:16" s="9" customFormat="1" x14ac:dyDescent="0.2">
      <c r="B660" s="10"/>
      <c r="C660" s="11"/>
      <c r="D660" s="63"/>
      <c r="E660" s="11"/>
      <c r="F660" s="65"/>
      <c r="G660" s="12"/>
      <c r="H660" s="41"/>
      <c r="I660" s="30"/>
      <c r="J660" s="30"/>
      <c r="K660" s="97"/>
      <c r="L660" s="11"/>
      <c r="M660" s="11"/>
      <c r="N660" s="11"/>
      <c r="O660" s="11"/>
      <c r="P660" s="82"/>
    </row>
    <row r="661" spans="2:16" s="9" customFormat="1" x14ac:dyDescent="0.2">
      <c r="B661" s="10"/>
      <c r="C661" s="11"/>
      <c r="D661" s="63"/>
      <c r="E661" s="11"/>
      <c r="F661" s="65"/>
      <c r="G661" s="12"/>
      <c r="H661" s="41"/>
      <c r="I661" s="30"/>
      <c r="J661" s="30"/>
      <c r="K661" s="97"/>
      <c r="L661" s="11"/>
      <c r="M661" s="11"/>
      <c r="N661" s="11"/>
      <c r="O661" s="11"/>
      <c r="P661" s="82"/>
    </row>
    <row r="662" spans="2:16" s="9" customFormat="1" x14ac:dyDescent="0.2">
      <c r="B662" s="10"/>
      <c r="C662" s="11"/>
      <c r="D662" s="63"/>
      <c r="E662" s="11"/>
      <c r="F662" s="65"/>
      <c r="G662" s="12"/>
      <c r="H662" s="41"/>
      <c r="I662" s="30"/>
      <c r="J662" s="30"/>
      <c r="K662" s="97"/>
      <c r="L662" s="11"/>
      <c r="M662" s="11"/>
      <c r="N662" s="11"/>
      <c r="O662" s="11"/>
      <c r="P662" s="82"/>
    </row>
    <row r="663" spans="2:16" s="9" customFormat="1" x14ac:dyDescent="0.2">
      <c r="B663" s="10"/>
      <c r="C663" s="11"/>
      <c r="D663" s="63"/>
      <c r="E663" s="11"/>
      <c r="F663" s="65"/>
      <c r="G663" s="12"/>
      <c r="H663" s="41"/>
      <c r="I663" s="30"/>
      <c r="J663" s="30"/>
      <c r="K663" s="97"/>
      <c r="L663" s="11"/>
      <c r="M663" s="11"/>
      <c r="N663" s="11"/>
      <c r="O663" s="11"/>
      <c r="P663" s="82"/>
    </row>
    <row r="664" spans="2:16" s="9" customFormat="1" x14ac:dyDescent="0.2">
      <c r="B664" s="10"/>
      <c r="C664" s="11"/>
      <c r="D664" s="63"/>
      <c r="E664" s="11"/>
      <c r="F664" s="65"/>
      <c r="G664" s="12"/>
      <c r="H664" s="41"/>
      <c r="I664" s="30"/>
      <c r="J664" s="30"/>
      <c r="K664" s="97"/>
      <c r="L664" s="11"/>
      <c r="M664" s="11"/>
      <c r="N664" s="11"/>
      <c r="O664" s="11"/>
      <c r="P664" s="82"/>
    </row>
    <row r="665" spans="2:16" s="9" customFormat="1" x14ac:dyDescent="0.2">
      <c r="B665" s="10"/>
      <c r="C665" s="11"/>
      <c r="D665" s="63"/>
      <c r="E665" s="11"/>
      <c r="F665" s="65"/>
      <c r="G665" s="12"/>
      <c r="H665" s="41"/>
      <c r="I665" s="30"/>
      <c r="J665" s="30"/>
      <c r="K665" s="97"/>
      <c r="L665" s="11"/>
      <c r="M665" s="11"/>
      <c r="N665" s="11"/>
      <c r="O665" s="11"/>
      <c r="P665" s="82"/>
    </row>
    <row r="666" spans="2:16" s="9" customFormat="1" x14ac:dyDescent="0.2">
      <c r="B666" s="10"/>
      <c r="C666" s="11"/>
      <c r="D666" s="63"/>
      <c r="E666" s="11"/>
      <c r="F666" s="65"/>
      <c r="G666" s="12"/>
      <c r="H666" s="41"/>
      <c r="I666" s="30"/>
      <c r="J666" s="30"/>
      <c r="K666" s="97"/>
      <c r="L666" s="11"/>
      <c r="M666" s="11"/>
      <c r="N666" s="11"/>
      <c r="O666" s="11"/>
      <c r="P666" s="82"/>
    </row>
    <row r="667" spans="2:16" s="9" customFormat="1" x14ac:dyDescent="0.2">
      <c r="B667" s="10"/>
      <c r="C667" s="11"/>
      <c r="D667" s="63"/>
      <c r="E667" s="11"/>
      <c r="F667" s="65"/>
      <c r="G667" s="12"/>
      <c r="H667" s="41"/>
      <c r="I667" s="30"/>
      <c r="J667" s="30"/>
      <c r="K667" s="97"/>
      <c r="L667" s="11"/>
      <c r="M667" s="11"/>
      <c r="N667" s="11"/>
      <c r="O667" s="11"/>
      <c r="P667" s="82"/>
    </row>
    <row r="668" spans="2:16" s="9" customFormat="1" x14ac:dyDescent="0.2">
      <c r="B668" s="10"/>
      <c r="C668" s="11"/>
      <c r="D668" s="63"/>
      <c r="E668" s="11"/>
      <c r="F668" s="65"/>
      <c r="G668" s="12"/>
      <c r="H668" s="41"/>
      <c r="I668" s="30"/>
      <c r="J668" s="30"/>
      <c r="K668" s="97"/>
      <c r="L668" s="11"/>
      <c r="M668" s="11"/>
      <c r="N668" s="11"/>
      <c r="O668" s="11"/>
      <c r="P668" s="82"/>
    </row>
    <row r="669" spans="2:16" s="9" customFormat="1" x14ac:dyDescent="0.2">
      <c r="B669" s="10"/>
      <c r="C669" s="11"/>
      <c r="D669" s="63"/>
      <c r="E669" s="11"/>
      <c r="F669" s="65"/>
      <c r="G669" s="12"/>
      <c r="H669" s="41"/>
      <c r="I669" s="30"/>
      <c r="J669" s="30"/>
      <c r="K669" s="97"/>
      <c r="L669" s="11"/>
      <c r="M669" s="11"/>
      <c r="N669" s="11"/>
      <c r="O669" s="11"/>
      <c r="P669" s="82"/>
    </row>
    <row r="670" spans="2:16" s="9" customFormat="1" x14ac:dyDescent="0.2">
      <c r="B670" s="10"/>
      <c r="C670" s="11"/>
      <c r="D670" s="63"/>
      <c r="E670" s="11"/>
      <c r="F670" s="65"/>
      <c r="G670" s="12"/>
      <c r="H670" s="41"/>
      <c r="I670" s="30"/>
      <c r="J670" s="30"/>
      <c r="K670" s="97"/>
      <c r="L670" s="11"/>
      <c r="M670" s="11"/>
      <c r="N670" s="11"/>
      <c r="O670" s="11"/>
      <c r="P670" s="82"/>
    </row>
    <row r="671" spans="2:16" s="9" customFormat="1" x14ac:dyDescent="0.2">
      <c r="B671" s="10"/>
      <c r="C671" s="11"/>
      <c r="D671" s="63"/>
      <c r="E671" s="11"/>
      <c r="F671" s="65"/>
      <c r="G671" s="12"/>
      <c r="H671" s="41"/>
      <c r="I671" s="30"/>
      <c r="J671" s="30"/>
      <c r="K671" s="97"/>
      <c r="L671" s="11"/>
      <c r="M671" s="11"/>
      <c r="N671" s="11"/>
      <c r="O671" s="11"/>
      <c r="P671" s="82"/>
    </row>
    <row r="672" spans="2:16" s="9" customFormat="1" x14ac:dyDescent="0.2">
      <c r="B672" s="10"/>
      <c r="C672" s="11"/>
      <c r="D672" s="63"/>
      <c r="E672" s="11"/>
      <c r="F672" s="65"/>
      <c r="G672" s="12"/>
      <c r="H672" s="41"/>
      <c r="I672" s="30"/>
      <c r="J672" s="30"/>
      <c r="K672" s="97"/>
      <c r="L672" s="11"/>
      <c r="M672" s="11"/>
      <c r="N672" s="11"/>
      <c r="O672" s="11"/>
      <c r="P672" s="82"/>
    </row>
    <row r="673" spans="2:16" s="9" customFormat="1" x14ac:dyDescent="0.2">
      <c r="B673" s="10"/>
      <c r="C673" s="11"/>
      <c r="D673" s="63"/>
      <c r="E673" s="11"/>
      <c r="F673" s="65"/>
      <c r="G673" s="12"/>
      <c r="H673" s="41"/>
      <c r="I673" s="30"/>
      <c r="J673" s="30"/>
      <c r="K673" s="97"/>
      <c r="L673" s="11"/>
      <c r="M673" s="11"/>
      <c r="N673" s="11"/>
      <c r="O673" s="11"/>
      <c r="P673" s="82"/>
    </row>
    <row r="674" spans="2:16" s="9" customFormat="1" x14ac:dyDescent="0.2">
      <c r="B674" s="10"/>
      <c r="C674" s="11"/>
      <c r="D674" s="63"/>
      <c r="E674" s="11"/>
      <c r="F674" s="65"/>
      <c r="G674" s="12"/>
      <c r="H674" s="41"/>
      <c r="I674" s="30"/>
      <c r="J674" s="30"/>
      <c r="K674" s="97"/>
      <c r="L674" s="11"/>
      <c r="M674" s="11"/>
      <c r="N674" s="11"/>
      <c r="O674" s="11"/>
      <c r="P674" s="82"/>
    </row>
    <row r="675" spans="2:16" s="9" customFormat="1" x14ac:dyDescent="0.2">
      <c r="B675" s="10"/>
      <c r="C675" s="11"/>
      <c r="D675" s="63"/>
      <c r="E675" s="11"/>
      <c r="F675" s="65"/>
      <c r="G675" s="12"/>
      <c r="H675" s="41"/>
      <c r="I675" s="30"/>
      <c r="J675" s="30"/>
      <c r="K675" s="97"/>
      <c r="L675" s="11"/>
      <c r="M675" s="11"/>
      <c r="N675" s="11"/>
      <c r="O675" s="11"/>
      <c r="P675" s="82"/>
    </row>
    <row r="676" spans="2:16" s="9" customFormat="1" x14ac:dyDescent="0.2">
      <c r="B676" s="10"/>
      <c r="C676" s="11"/>
      <c r="D676" s="63"/>
      <c r="E676" s="11"/>
      <c r="F676" s="65"/>
      <c r="G676" s="12"/>
      <c r="H676" s="41"/>
      <c r="I676" s="30"/>
      <c r="J676" s="30"/>
      <c r="K676" s="97"/>
      <c r="L676" s="11"/>
      <c r="M676" s="11"/>
      <c r="N676" s="11"/>
      <c r="O676" s="11"/>
      <c r="P676" s="82"/>
    </row>
    <row r="677" spans="2:16" s="9" customFormat="1" x14ac:dyDescent="0.2">
      <c r="B677" s="10"/>
      <c r="C677" s="11"/>
      <c r="D677" s="63"/>
      <c r="E677" s="11"/>
      <c r="F677" s="65"/>
      <c r="G677" s="12"/>
      <c r="H677" s="41"/>
      <c r="I677" s="30"/>
      <c r="J677" s="30"/>
      <c r="K677" s="97"/>
      <c r="L677" s="11"/>
      <c r="M677" s="11"/>
      <c r="N677" s="11"/>
      <c r="O677" s="11"/>
      <c r="P677" s="82"/>
    </row>
    <row r="678" spans="2:16" s="9" customFormat="1" x14ac:dyDescent="0.2">
      <c r="B678" s="10"/>
      <c r="C678" s="11"/>
      <c r="D678" s="63"/>
      <c r="E678" s="11"/>
      <c r="F678" s="65"/>
      <c r="G678" s="12"/>
      <c r="H678" s="41"/>
      <c r="I678" s="30"/>
      <c r="J678" s="30"/>
      <c r="K678" s="97"/>
      <c r="L678" s="11"/>
      <c r="M678" s="11"/>
      <c r="N678" s="11"/>
      <c r="O678" s="11"/>
      <c r="P678" s="82"/>
    </row>
    <row r="679" spans="2:16" s="9" customFormat="1" x14ac:dyDescent="0.2">
      <c r="B679" s="10"/>
      <c r="C679" s="11"/>
      <c r="D679" s="63"/>
      <c r="E679" s="11"/>
      <c r="F679" s="65"/>
      <c r="G679" s="12"/>
      <c r="H679" s="41"/>
      <c r="I679" s="30"/>
      <c r="J679" s="30"/>
      <c r="K679" s="97"/>
      <c r="L679" s="11"/>
      <c r="M679" s="11"/>
      <c r="N679" s="11"/>
      <c r="O679" s="11"/>
      <c r="P679" s="82"/>
    </row>
    <row r="680" spans="2:16" s="9" customFormat="1" x14ac:dyDescent="0.2">
      <c r="B680" s="10"/>
      <c r="C680" s="11"/>
      <c r="D680" s="63"/>
      <c r="E680" s="11"/>
      <c r="F680" s="65"/>
      <c r="G680" s="12"/>
      <c r="H680" s="41"/>
      <c r="I680" s="30"/>
      <c r="J680" s="30"/>
      <c r="K680" s="97"/>
      <c r="L680" s="11"/>
      <c r="M680" s="11"/>
      <c r="N680" s="11"/>
      <c r="O680" s="11"/>
      <c r="P680" s="82"/>
    </row>
    <row r="681" spans="2:16" s="9" customFormat="1" x14ac:dyDescent="0.2">
      <c r="B681" s="10"/>
      <c r="C681" s="11"/>
      <c r="D681" s="63"/>
      <c r="E681" s="11"/>
      <c r="F681" s="65"/>
      <c r="G681" s="12"/>
      <c r="H681" s="41"/>
      <c r="I681" s="30"/>
      <c r="J681" s="30"/>
      <c r="K681" s="97"/>
      <c r="L681" s="11"/>
      <c r="M681" s="11"/>
      <c r="N681" s="11"/>
      <c r="O681" s="11"/>
      <c r="P681" s="82"/>
    </row>
    <row r="682" spans="2:16" s="9" customFormat="1" x14ac:dyDescent="0.2">
      <c r="B682" s="10"/>
      <c r="C682" s="11"/>
      <c r="D682" s="63"/>
      <c r="E682" s="11"/>
      <c r="F682" s="65"/>
      <c r="G682" s="12"/>
      <c r="H682" s="41"/>
      <c r="I682" s="30"/>
      <c r="J682" s="30"/>
      <c r="K682" s="97"/>
      <c r="L682" s="11"/>
      <c r="M682" s="11"/>
      <c r="N682" s="11"/>
      <c r="O682" s="11"/>
      <c r="P682" s="82"/>
    </row>
    <row r="683" spans="2:16" s="9" customFormat="1" x14ac:dyDescent="0.2">
      <c r="B683" s="10"/>
      <c r="C683" s="11"/>
      <c r="D683" s="63"/>
      <c r="E683" s="11"/>
      <c r="F683" s="65"/>
      <c r="G683" s="12"/>
      <c r="H683" s="41"/>
      <c r="I683" s="30"/>
      <c r="J683" s="30"/>
      <c r="K683" s="97"/>
      <c r="L683" s="11"/>
      <c r="M683" s="11"/>
      <c r="N683" s="11"/>
      <c r="O683" s="11"/>
      <c r="P683" s="82"/>
    </row>
    <row r="684" spans="2:16" s="9" customFormat="1" x14ac:dyDescent="0.2">
      <c r="B684" s="10"/>
      <c r="C684" s="11"/>
      <c r="D684" s="63"/>
      <c r="E684" s="11"/>
      <c r="F684" s="65"/>
      <c r="G684" s="12"/>
      <c r="H684" s="41"/>
      <c r="I684" s="30"/>
      <c r="J684" s="30"/>
      <c r="K684" s="97"/>
      <c r="L684" s="11"/>
      <c r="M684" s="11"/>
      <c r="N684" s="11"/>
      <c r="O684" s="11"/>
      <c r="P684" s="82"/>
    </row>
    <row r="685" spans="2:16" s="9" customFormat="1" x14ac:dyDescent="0.2">
      <c r="B685" s="10"/>
      <c r="C685" s="11"/>
      <c r="D685" s="63"/>
      <c r="E685" s="11"/>
      <c r="F685" s="65"/>
      <c r="G685" s="12"/>
      <c r="H685" s="41"/>
      <c r="I685" s="30"/>
      <c r="J685" s="30"/>
      <c r="K685" s="97"/>
      <c r="L685" s="11"/>
      <c r="M685" s="11"/>
      <c r="N685" s="11"/>
      <c r="O685" s="11"/>
      <c r="P685" s="82"/>
    </row>
    <row r="686" spans="2:16" s="9" customFormat="1" x14ac:dyDescent="0.2">
      <c r="B686" s="10"/>
      <c r="C686" s="11"/>
      <c r="D686" s="63"/>
      <c r="E686" s="11"/>
      <c r="F686" s="65"/>
      <c r="G686" s="12"/>
      <c r="H686" s="41"/>
      <c r="I686" s="30"/>
      <c r="J686" s="30"/>
      <c r="K686" s="97"/>
      <c r="L686" s="11"/>
      <c r="M686" s="11"/>
      <c r="N686" s="11"/>
      <c r="O686" s="11"/>
      <c r="P686" s="82"/>
    </row>
    <row r="687" spans="2:16" s="9" customFormat="1" x14ac:dyDescent="0.2">
      <c r="B687" s="10"/>
      <c r="C687" s="11"/>
      <c r="D687" s="63"/>
      <c r="E687" s="11"/>
      <c r="F687" s="65"/>
      <c r="G687" s="12"/>
      <c r="H687" s="41"/>
      <c r="I687" s="30"/>
      <c r="J687" s="30"/>
      <c r="K687" s="97"/>
      <c r="L687" s="11"/>
      <c r="M687" s="11"/>
      <c r="N687" s="11"/>
      <c r="O687" s="11"/>
      <c r="P687" s="82"/>
    </row>
    <row r="688" spans="2:16" s="9" customFormat="1" x14ac:dyDescent="0.2">
      <c r="B688" s="10"/>
      <c r="C688" s="11"/>
      <c r="D688" s="63"/>
      <c r="E688" s="11"/>
      <c r="F688" s="65"/>
      <c r="G688" s="12"/>
      <c r="H688" s="41"/>
      <c r="I688" s="30"/>
      <c r="J688" s="30"/>
      <c r="K688" s="97"/>
      <c r="L688" s="11"/>
      <c r="M688" s="11"/>
      <c r="N688" s="11"/>
      <c r="O688" s="11"/>
      <c r="P688" s="82"/>
    </row>
    <row r="689" spans="2:16" s="9" customFormat="1" x14ac:dyDescent="0.2">
      <c r="B689" s="10"/>
      <c r="C689" s="11"/>
      <c r="D689" s="63"/>
      <c r="E689" s="11"/>
      <c r="F689" s="65"/>
      <c r="G689" s="12"/>
      <c r="H689" s="41"/>
      <c r="I689" s="30"/>
      <c r="J689" s="30"/>
      <c r="K689" s="97"/>
      <c r="L689" s="11"/>
      <c r="M689" s="11"/>
      <c r="N689" s="11"/>
      <c r="O689" s="11"/>
      <c r="P689" s="82"/>
    </row>
    <row r="690" spans="2:16" s="9" customFormat="1" x14ac:dyDescent="0.2">
      <c r="B690" s="10"/>
      <c r="C690" s="11"/>
      <c r="D690" s="63"/>
      <c r="E690" s="11"/>
      <c r="F690" s="65"/>
      <c r="G690" s="12"/>
      <c r="H690" s="41"/>
      <c r="I690" s="30"/>
      <c r="J690" s="30"/>
      <c r="K690" s="97"/>
      <c r="L690" s="11"/>
      <c r="M690" s="11"/>
      <c r="N690" s="11"/>
      <c r="O690" s="11"/>
      <c r="P690" s="82"/>
    </row>
    <row r="691" spans="2:16" s="9" customFormat="1" x14ac:dyDescent="0.2">
      <c r="B691" s="10"/>
      <c r="C691" s="11"/>
      <c r="D691" s="63"/>
      <c r="E691" s="11"/>
      <c r="F691" s="65"/>
      <c r="G691" s="12"/>
      <c r="H691" s="41"/>
      <c r="I691" s="30"/>
      <c r="J691" s="30"/>
      <c r="K691" s="97"/>
      <c r="L691" s="11"/>
      <c r="M691" s="11"/>
      <c r="N691" s="11"/>
      <c r="O691" s="11"/>
      <c r="P691" s="82"/>
    </row>
    <row r="692" spans="2:16" s="9" customFormat="1" x14ac:dyDescent="0.2">
      <c r="B692" s="10"/>
      <c r="C692" s="11"/>
      <c r="D692" s="63"/>
      <c r="E692" s="11"/>
      <c r="F692" s="65"/>
      <c r="G692" s="12"/>
      <c r="H692" s="41"/>
      <c r="I692" s="30"/>
      <c r="J692" s="30"/>
      <c r="K692" s="97"/>
      <c r="L692" s="11"/>
      <c r="M692" s="11"/>
      <c r="N692" s="11"/>
      <c r="O692" s="11"/>
      <c r="P692" s="82"/>
    </row>
    <row r="693" spans="2:16" s="9" customFormat="1" x14ac:dyDescent="0.2">
      <c r="B693" s="10"/>
      <c r="C693" s="11"/>
      <c r="D693" s="63"/>
      <c r="E693" s="11"/>
      <c r="F693" s="65"/>
      <c r="G693" s="12"/>
      <c r="H693" s="41"/>
      <c r="I693" s="30"/>
      <c r="J693" s="30"/>
      <c r="K693" s="97"/>
      <c r="L693" s="11"/>
      <c r="M693" s="11"/>
      <c r="N693" s="11"/>
      <c r="O693" s="11"/>
      <c r="P693" s="82"/>
    </row>
    <row r="694" spans="2:16" s="9" customFormat="1" x14ac:dyDescent="0.2">
      <c r="B694" s="10"/>
      <c r="C694" s="11"/>
      <c r="D694" s="63"/>
      <c r="E694" s="11"/>
      <c r="F694" s="65"/>
      <c r="G694" s="12"/>
      <c r="H694" s="41"/>
      <c r="I694" s="30"/>
      <c r="J694" s="30"/>
      <c r="K694" s="97"/>
      <c r="L694" s="11"/>
      <c r="M694" s="11"/>
      <c r="N694" s="11"/>
      <c r="O694" s="11"/>
      <c r="P694" s="82"/>
    </row>
    <row r="695" spans="2:16" s="9" customFormat="1" x14ac:dyDescent="0.2">
      <c r="B695" s="10"/>
      <c r="C695" s="11"/>
      <c r="D695" s="63"/>
      <c r="E695" s="11"/>
      <c r="F695" s="65"/>
      <c r="G695" s="12"/>
      <c r="H695" s="41"/>
      <c r="I695" s="30"/>
      <c r="J695" s="30"/>
      <c r="K695" s="97"/>
      <c r="L695" s="11"/>
      <c r="M695" s="11"/>
      <c r="N695" s="11"/>
      <c r="O695" s="11"/>
      <c r="P695" s="82"/>
    </row>
    <row r="696" spans="2:16" s="9" customFormat="1" x14ac:dyDescent="0.2">
      <c r="B696" s="10"/>
      <c r="C696" s="11"/>
      <c r="D696" s="63"/>
      <c r="E696" s="11"/>
      <c r="F696" s="65"/>
      <c r="G696" s="12"/>
      <c r="H696" s="41"/>
      <c r="I696" s="30"/>
      <c r="J696" s="30"/>
      <c r="K696" s="97"/>
      <c r="L696" s="11"/>
      <c r="M696" s="11"/>
      <c r="N696" s="11"/>
      <c r="O696" s="11"/>
      <c r="P696" s="82"/>
    </row>
    <row r="697" spans="2:16" s="9" customFormat="1" x14ac:dyDescent="0.2">
      <c r="B697" s="10"/>
      <c r="C697" s="11"/>
      <c r="D697" s="63"/>
      <c r="E697" s="11"/>
      <c r="F697" s="65"/>
      <c r="G697" s="12"/>
      <c r="H697" s="41"/>
      <c r="I697" s="30"/>
      <c r="J697" s="30"/>
      <c r="K697" s="97"/>
      <c r="L697" s="11"/>
      <c r="M697" s="11"/>
      <c r="N697" s="11"/>
      <c r="O697" s="11"/>
      <c r="P697" s="82"/>
    </row>
    <row r="698" spans="2:16" s="9" customFormat="1" x14ac:dyDescent="0.2">
      <c r="B698" s="10"/>
      <c r="C698" s="11"/>
      <c r="D698" s="63"/>
      <c r="E698" s="11"/>
      <c r="F698" s="65"/>
      <c r="G698" s="12"/>
      <c r="H698" s="41"/>
      <c r="I698" s="30"/>
      <c r="J698" s="30"/>
      <c r="K698" s="97"/>
      <c r="L698" s="11"/>
      <c r="M698" s="11"/>
      <c r="N698" s="11"/>
      <c r="O698" s="11"/>
      <c r="P698" s="82"/>
    </row>
    <row r="699" spans="2:16" s="9" customFormat="1" x14ac:dyDescent="0.2">
      <c r="B699" s="10"/>
      <c r="C699" s="11"/>
      <c r="D699" s="63"/>
      <c r="E699" s="11"/>
      <c r="F699" s="65"/>
      <c r="G699" s="12"/>
      <c r="H699" s="41"/>
      <c r="I699" s="30"/>
      <c r="J699" s="30"/>
      <c r="K699" s="97"/>
      <c r="L699" s="11"/>
      <c r="M699" s="11"/>
      <c r="N699" s="11"/>
      <c r="O699" s="11"/>
      <c r="P699" s="82"/>
    </row>
    <row r="700" spans="2:16" s="9" customFormat="1" x14ac:dyDescent="0.2">
      <c r="B700" s="10"/>
      <c r="C700" s="11"/>
      <c r="D700" s="63"/>
      <c r="E700" s="11"/>
      <c r="F700" s="65"/>
      <c r="G700" s="12"/>
      <c r="H700" s="41"/>
      <c r="I700" s="30"/>
      <c r="J700" s="30"/>
      <c r="K700" s="97"/>
      <c r="L700" s="11"/>
      <c r="M700" s="11"/>
      <c r="N700" s="11"/>
      <c r="O700" s="11"/>
      <c r="P700" s="82"/>
    </row>
    <row r="701" spans="2:16" s="9" customFormat="1" x14ac:dyDescent="0.2">
      <c r="B701" s="10"/>
      <c r="C701" s="11"/>
      <c r="D701" s="63"/>
      <c r="E701" s="11"/>
      <c r="F701" s="65"/>
      <c r="G701" s="12"/>
      <c r="H701" s="41"/>
      <c r="I701" s="30"/>
      <c r="J701" s="30"/>
      <c r="K701" s="97"/>
      <c r="L701" s="11"/>
      <c r="M701" s="11"/>
      <c r="N701" s="11"/>
      <c r="O701" s="11"/>
      <c r="P701" s="82"/>
    </row>
    <row r="702" spans="2:16" s="9" customFormat="1" x14ac:dyDescent="0.2">
      <c r="B702" s="10"/>
      <c r="C702" s="11"/>
      <c r="D702" s="63"/>
      <c r="E702" s="11"/>
      <c r="F702" s="65"/>
      <c r="G702" s="12"/>
      <c r="H702" s="41"/>
      <c r="I702" s="30"/>
      <c r="J702" s="30"/>
      <c r="K702" s="97"/>
      <c r="L702" s="11"/>
      <c r="M702" s="11"/>
      <c r="N702" s="11"/>
      <c r="O702" s="11"/>
      <c r="P702" s="82"/>
    </row>
    <row r="703" spans="2:16" s="9" customFormat="1" x14ac:dyDescent="0.2">
      <c r="B703" s="10"/>
      <c r="C703" s="11"/>
      <c r="D703" s="63"/>
      <c r="E703" s="11"/>
      <c r="F703" s="65"/>
      <c r="G703" s="12"/>
      <c r="H703" s="41"/>
      <c r="I703" s="30"/>
      <c r="J703" s="30"/>
      <c r="K703" s="97"/>
      <c r="L703" s="11"/>
      <c r="M703" s="11"/>
      <c r="N703" s="11"/>
      <c r="O703" s="11"/>
      <c r="P703" s="82"/>
    </row>
    <row r="704" spans="2:16" s="9" customFormat="1" x14ac:dyDescent="0.2">
      <c r="B704" s="10"/>
      <c r="C704" s="11"/>
      <c r="D704" s="63"/>
      <c r="E704" s="11"/>
      <c r="F704" s="65"/>
      <c r="G704" s="12"/>
      <c r="H704" s="41"/>
      <c r="I704" s="30"/>
      <c r="J704" s="30"/>
      <c r="K704" s="97"/>
      <c r="L704" s="11"/>
      <c r="M704" s="11"/>
      <c r="N704" s="11"/>
      <c r="O704" s="11"/>
      <c r="P704" s="82"/>
    </row>
    <row r="705" spans="2:16" s="9" customFormat="1" x14ac:dyDescent="0.2">
      <c r="B705" s="10"/>
      <c r="C705" s="11"/>
      <c r="D705" s="63"/>
      <c r="E705" s="11"/>
      <c r="F705" s="65"/>
      <c r="G705" s="12"/>
      <c r="H705" s="41"/>
      <c r="I705" s="30"/>
      <c r="J705" s="30"/>
      <c r="K705" s="97"/>
      <c r="L705" s="11"/>
      <c r="M705" s="11"/>
      <c r="N705" s="11"/>
      <c r="O705" s="11"/>
      <c r="P705" s="82"/>
    </row>
    <row r="706" spans="2:16" s="9" customFormat="1" x14ac:dyDescent="0.2">
      <c r="B706" s="10"/>
      <c r="C706" s="11"/>
      <c r="D706" s="63"/>
      <c r="E706" s="11"/>
      <c r="F706" s="65"/>
      <c r="G706" s="12"/>
      <c r="H706" s="41"/>
      <c r="I706" s="30"/>
      <c r="J706" s="30"/>
      <c r="K706" s="97"/>
      <c r="L706" s="11"/>
      <c r="M706" s="11"/>
      <c r="N706" s="11"/>
      <c r="O706" s="11"/>
      <c r="P706" s="82"/>
    </row>
    <row r="707" spans="2:16" s="9" customFormat="1" x14ac:dyDescent="0.2">
      <c r="B707" s="10"/>
      <c r="C707" s="11"/>
      <c r="D707" s="63"/>
      <c r="E707" s="11"/>
      <c r="F707" s="65"/>
      <c r="G707" s="12"/>
      <c r="H707" s="41"/>
      <c r="I707" s="30"/>
      <c r="J707" s="30"/>
      <c r="K707" s="97"/>
      <c r="L707" s="11"/>
      <c r="M707" s="11"/>
      <c r="N707" s="11"/>
      <c r="O707" s="11"/>
      <c r="P707" s="82"/>
    </row>
    <row r="708" spans="2:16" s="9" customFormat="1" x14ac:dyDescent="0.2">
      <c r="B708" s="10"/>
      <c r="C708" s="11"/>
      <c r="D708" s="63"/>
      <c r="E708" s="11"/>
      <c r="F708" s="65"/>
      <c r="G708" s="12"/>
      <c r="H708" s="41"/>
      <c r="I708" s="30"/>
      <c r="J708" s="30"/>
      <c r="K708" s="97"/>
      <c r="L708" s="11"/>
      <c r="M708" s="11"/>
      <c r="N708" s="11"/>
      <c r="O708" s="11"/>
      <c r="P708" s="82"/>
    </row>
    <row r="709" spans="2:16" s="9" customFormat="1" x14ac:dyDescent="0.2">
      <c r="B709" s="10"/>
      <c r="C709" s="11"/>
      <c r="D709" s="63"/>
      <c r="E709" s="11"/>
      <c r="F709" s="65"/>
      <c r="G709" s="12"/>
      <c r="H709" s="41"/>
      <c r="I709" s="30"/>
      <c r="J709" s="30"/>
      <c r="K709" s="97"/>
      <c r="L709" s="11"/>
      <c r="M709" s="11"/>
      <c r="N709" s="11"/>
      <c r="O709" s="11"/>
      <c r="P709" s="82"/>
    </row>
    <row r="710" spans="2:16" s="9" customFormat="1" x14ac:dyDescent="0.2">
      <c r="B710" s="10"/>
      <c r="C710" s="11"/>
      <c r="D710" s="63"/>
      <c r="E710" s="11"/>
      <c r="F710" s="65"/>
      <c r="G710" s="12"/>
      <c r="H710" s="41"/>
      <c r="I710" s="30"/>
      <c r="J710" s="30"/>
      <c r="K710" s="97"/>
      <c r="L710" s="11"/>
      <c r="M710" s="11"/>
      <c r="N710" s="11"/>
      <c r="O710" s="11"/>
      <c r="P710" s="82"/>
    </row>
    <row r="711" spans="2:16" s="9" customFormat="1" x14ac:dyDescent="0.2">
      <c r="B711" s="10"/>
      <c r="C711" s="11"/>
      <c r="D711" s="63"/>
      <c r="E711" s="11"/>
      <c r="F711" s="65"/>
      <c r="G711" s="12"/>
      <c r="H711" s="41"/>
      <c r="I711" s="30"/>
      <c r="J711" s="30"/>
      <c r="K711" s="97"/>
      <c r="L711" s="11"/>
      <c r="M711" s="11"/>
      <c r="N711" s="11"/>
      <c r="O711" s="11"/>
      <c r="P711" s="82"/>
    </row>
    <row r="712" spans="2:16" s="9" customFormat="1" x14ac:dyDescent="0.2">
      <c r="B712" s="10"/>
      <c r="C712" s="11"/>
      <c r="D712" s="63"/>
      <c r="E712" s="11"/>
      <c r="F712" s="65"/>
      <c r="G712" s="12"/>
      <c r="H712" s="41"/>
      <c r="I712" s="30"/>
      <c r="J712" s="30"/>
      <c r="K712" s="97"/>
      <c r="L712" s="11"/>
      <c r="M712" s="11"/>
      <c r="N712" s="11"/>
      <c r="O712" s="11"/>
      <c r="P712" s="82"/>
    </row>
    <row r="713" spans="2:16" s="9" customFormat="1" x14ac:dyDescent="0.2">
      <c r="B713" s="10"/>
      <c r="C713" s="11"/>
      <c r="D713" s="63"/>
      <c r="E713" s="11"/>
      <c r="F713" s="65"/>
      <c r="G713" s="12"/>
      <c r="H713" s="41"/>
      <c r="I713" s="30"/>
      <c r="J713" s="30"/>
      <c r="K713" s="97"/>
      <c r="L713" s="11"/>
      <c r="M713" s="11"/>
      <c r="N713" s="11"/>
      <c r="O713" s="11"/>
      <c r="P713" s="82"/>
    </row>
    <row r="714" spans="2:16" s="9" customFormat="1" x14ac:dyDescent="0.2">
      <c r="B714" s="10"/>
      <c r="C714" s="11"/>
      <c r="D714" s="63"/>
      <c r="E714" s="11"/>
      <c r="F714" s="65"/>
      <c r="G714" s="12"/>
      <c r="H714" s="41"/>
      <c r="I714" s="30"/>
      <c r="J714" s="30"/>
      <c r="K714" s="97"/>
      <c r="L714" s="11"/>
      <c r="M714" s="11"/>
      <c r="N714" s="11"/>
      <c r="O714" s="11"/>
      <c r="P714" s="82"/>
    </row>
    <row r="715" spans="2:16" s="9" customFormat="1" x14ac:dyDescent="0.2">
      <c r="B715" s="10"/>
      <c r="C715" s="11"/>
      <c r="D715" s="63"/>
      <c r="E715" s="11"/>
      <c r="F715" s="65"/>
      <c r="G715" s="12"/>
      <c r="H715" s="41"/>
      <c r="I715" s="30"/>
      <c r="J715" s="30"/>
      <c r="K715" s="97"/>
      <c r="L715" s="11"/>
      <c r="M715" s="11"/>
      <c r="N715" s="11"/>
      <c r="O715" s="11"/>
      <c r="P715" s="82"/>
    </row>
    <row r="716" spans="2:16" s="9" customFormat="1" x14ac:dyDescent="0.2">
      <c r="B716" s="10"/>
      <c r="C716" s="11"/>
      <c r="D716" s="63"/>
      <c r="E716" s="11"/>
      <c r="F716" s="65"/>
      <c r="G716" s="12"/>
      <c r="H716" s="41"/>
      <c r="I716" s="30"/>
      <c r="J716" s="30"/>
      <c r="K716" s="97"/>
      <c r="L716" s="11"/>
      <c r="M716" s="11"/>
      <c r="N716" s="11"/>
      <c r="O716" s="11"/>
      <c r="P716" s="82"/>
    </row>
    <row r="717" spans="2:16" s="9" customFormat="1" x14ac:dyDescent="0.2">
      <c r="B717" s="10"/>
      <c r="C717" s="11"/>
      <c r="D717" s="63"/>
      <c r="E717" s="11"/>
      <c r="F717" s="65"/>
      <c r="G717" s="12"/>
      <c r="H717" s="41"/>
      <c r="I717" s="30"/>
      <c r="J717" s="30"/>
      <c r="K717" s="97"/>
      <c r="L717" s="11"/>
      <c r="M717" s="11"/>
      <c r="N717" s="11"/>
      <c r="O717" s="11"/>
      <c r="P717" s="82"/>
    </row>
    <row r="718" spans="2:16" s="9" customFormat="1" x14ac:dyDescent="0.2">
      <c r="B718" s="10"/>
      <c r="C718" s="11"/>
      <c r="D718" s="63"/>
      <c r="E718" s="11"/>
      <c r="F718" s="65"/>
      <c r="G718" s="12"/>
      <c r="H718" s="41"/>
      <c r="I718" s="30"/>
      <c r="J718" s="30"/>
      <c r="K718" s="97"/>
      <c r="L718" s="11"/>
      <c r="M718" s="11"/>
      <c r="N718" s="11"/>
      <c r="O718" s="11"/>
      <c r="P718" s="82"/>
    </row>
    <row r="719" spans="2:16" s="9" customFormat="1" x14ac:dyDescent="0.2">
      <c r="B719" s="10"/>
      <c r="C719" s="11"/>
      <c r="D719" s="63"/>
      <c r="E719" s="11"/>
      <c r="F719" s="65"/>
      <c r="G719" s="12"/>
      <c r="H719" s="41"/>
      <c r="I719" s="30"/>
      <c r="J719" s="30"/>
      <c r="K719" s="97"/>
      <c r="L719" s="11"/>
      <c r="M719" s="11"/>
      <c r="N719" s="11"/>
      <c r="O719" s="11"/>
      <c r="P719" s="82"/>
    </row>
    <row r="720" spans="2:16" s="9" customFormat="1" x14ac:dyDescent="0.2">
      <c r="B720" s="10"/>
      <c r="C720" s="11"/>
      <c r="D720" s="63"/>
      <c r="E720" s="11"/>
      <c r="F720" s="65"/>
      <c r="G720" s="12"/>
      <c r="H720" s="41"/>
      <c r="I720" s="30"/>
      <c r="J720" s="30"/>
      <c r="K720" s="97"/>
      <c r="L720" s="11"/>
      <c r="M720" s="11"/>
      <c r="N720" s="11"/>
      <c r="O720" s="11"/>
      <c r="P720" s="82"/>
    </row>
    <row r="721" spans="2:16" s="9" customFormat="1" x14ac:dyDescent="0.2">
      <c r="B721" s="10"/>
      <c r="C721" s="11"/>
      <c r="D721" s="63"/>
      <c r="E721" s="11"/>
      <c r="F721" s="65"/>
      <c r="G721" s="12"/>
      <c r="H721" s="41"/>
      <c r="I721" s="30"/>
      <c r="J721" s="30"/>
      <c r="K721" s="97"/>
      <c r="L721" s="11"/>
      <c r="M721" s="11"/>
      <c r="N721" s="11"/>
      <c r="O721" s="11"/>
      <c r="P721" s="82"/>
    </row>
    <row r="722" spans="2:16" s="9" customFormat="1" x14ac:dyDescent="0.2">
      <c r="B722" s="10"/>
      <c r="C722" s="11"/>
      <c r="D722" s="63"/>
      <c r="E722" s="11"/>
      <c r="F722" s="65"/>
      <c r="G722" s="12"/>
      <c r="H722" s="41"/>
      <c r="I722" s="30"/>
      <c r="J722" s="30"/>
      <c r="K722" s="97"/>
      <c r="L722" s="11"/>
      <c r="M722" s="11"/>
      <c r="N722" s="11"/>
      <c r="O722" s="11"/>
      <c r="P722" s="82"/>
    </row>
    <row r="723" spans="2:16" s="9" customFormat="1" x14ac:dyDescent="0.2">
      <c r="B723" s="10"/>
      <c r="C723" s="11"/>
      <c r="D723" s="63"/>
      <c r="E723" s="11"/>
      <c r="F723" s="65"/>
      <c r="G723" s="12"/>
      <c r="H723" s="41"/>
      <c r="I723" s="30"/>
      <c r="J723" s="30"/>
      <c r="K723" s="97"/>
      <c r="L723" s="11"/>
      <c r="M723" s="11"/>
      <c r="N723" s="11"/>
      <c r="O723" s="11"/>
      <c r="P723" s="82"/>
    </row>
    <row r="724" spans="2:16" s="9" customFormat="1" x14ac:dyDescent="0.2">
      <c r="B724" s="10"/>
      <c r="C724" s="11"/>
      <c r="D724" s="63"/>
      <c r="E724" s="11"/>
      <c r="F724" s="65"/>
      <c r="G724" s="12"/>
      <c r="H724" s="41"/>
      <c r="I724" s="30"/>
      <c r="J724" s="30"/>
      <c r="K724" s="97"/>
      <c r="L724" s="11"/>
      <c r="M724" s="11"/>
      <c r="N724" s="11"/>
      <c r="O724" s="11"/>
      <c r="P724" s="82"/>
    </row>
    <row r="725" spans="2:16" s="9" customFormat="1" x14ac:dyDescent="0.2">
      <c r="B725" s="10"/>
      <c r="C725" s="11"/>
      <c r="D725" s="63"/>
      <c r="E725" s="11"/>
      <c r="F725" s="65"/>
      <c r="G725" s="12"/>
      <c r="H725" s="41"/>
      <c r="I725" s="30"/>
      <c r="J725" s="30"/>
      <c r="K725" s="97"/>
      <c r="L725" s="11"/>
      <c r="M725" s="11"/>
      <c r="N725" s="11"/>
      <c r="O725" s="11"/>
      <c r="P725" s="82"/>
    </row>
    <row r="726" spans="2:16" s="9" customFormat="1" x14ac:dyDescent="0.2">
      <c r="B726" s="10"/>
      <c r="C726" s="11"/>
      <c r="D726" s="63"/>
      <c r="E726" s="11"/>
      <c r="F726" s="65"/>
      <c r="G726" s="12"/>
      <c r="H726" s="41"/>
      <c r="I726" s="30"/>
      <c r="J726" s="30"/>
      <c r="K726" s="97"/>
      <c r="L726" s="11"/>
      <c r="M726" s="11"/>
      <c r="N726" s="11"/>
      <c r="O726" s="11"/>
      <c r="P726" s="82"/>
    </row>
    <row r="727" spans="2:16" s="9" customFormat="1" x14ac:dyDescent="0.2">
      <c r="B727" s="10"/>
      <c r="C727" s="11"/>
      <c r="D727" s="63"/>
      <c r="E727" s="11"/>
      <c r="F727" s="65"/>
      <c r="G727" s="12"/>
      <c r="H727" s="41"/>
      <c r="I727" s="30"/>
      <c r="J727" s="30"/>
      <c r="K727" s="97"/>
      <c r="L727" s="11"/>
      <c r="M727" s="11"/>
      <c r="N727" s="11"/>
      <c r="O727" s="11"/>
      <c r="P727" s="82"/>
    </row>
    <row r="728" spans="2:16" s="9" customFormat="1" x14ac:dyDescent="0.2">
      <c r="B728" s="10"/>
      <c r="C728" s="11"/>
      <c r="D728" s="63"/>
      <c r="E728" s="11"/>
      <c r="F728" s="65"/>
      <c r="G728" s="12"/>
      <c r="H728" s="41"/>
      <c r="I728" s="30"/>
      <c r="J728" s="30"/>
      <c r="K728" s="97"/>
      <c r="L728" s="11"/>
      <c r="M728" s="11"/>
      <c r="N728" s="11"/>
      <c r="O728" s="11"/>
      <c r="P728" s="82"/>
    </row>
    <row r="729" spans="2:16" s="9" customFormat="1" x14ac:dyDescent="0.2">
      <c r="B729" s="10"/>
      <c r="C729" s="11"/>
      <c r="D729" s="63"/>
      <c r="E729" s="11"/>
      <c r="F729" s="65"/>
      <c r="G729" s="12"/>
      <c r="H729" s="41"/>
      <c r="I729" s="30"/>
      <c r="J729" s="30"/>
      <c r="K729" s="97"/>
      <c r="L729" s="11"/>
      <c r="M729" s="11"/>
      <c r="N729" s="11"/>
      <c r="O729" s="11"/>
      <c r="P729" s="82"/>
    </row>
    <row r="730" spans="2:16" s="9" customFormat="1" x14ac:dyDescent="0.2">
      <c r="B730" s="10"/>
      <c r="C730" s="11"/>
      <c r="D730" s="63"/>
      <c r="E730" s="11"/>
      <c r="F730" s="65"/>
      <c r="G730" s="12"/>
      <c r="H730" s="41"/>
      <c r="I730" s="30"/>
      <c r="J730" s="30"/>
      <c r="K730" s="97"/>
      <c r="L730" s="11"/>
      <c r="M730" s="11"/>
      <c r="N730" s="11"/>
      <c r="O730" s="11"/>
      <c r="P730" s="82"/>
    </row>
    <row r="731" spans="2:16" s="9" customFormat="1" x14ac:dyDescent="0.2">
      <c r="B731" s="10"/>
      <c r="C731" s="11"/>
      <c r="D731" s="63"/>
      <c r="E731" s="11"/>
      <c r="F731" s="65"/>
      <c r="G731" s="12"/>
      <c r="H731" s="41"/>
      <c r="I731" s="30"/>
      <c r="J731" s="30"/>
      <c r="K731" s="97"/>
      <c r="L731" s="11"/>
      <c r="M731" s="11"/>
      <c r="N731" s="11"/>
      <c r="O731" s="11"/>
      <c r="P731" s="82"/>
    </row>
    <row r="732" spans="2:16" s="9" customFormat="1" x14ac:dyDescent="0.2">
      <c r="B732" s="10"/>
      <c r="C732" s="11"/>
      <c r="D732" s="63"/>
      <c r="E732" s="11"/>
      <c r="F732" s="65"/>
      <c r="G732" s="12"/>
      <c r="H732" s="41"/>
      <c r="I732" s="30"/>
      <c r="J732" s="30"/>
      <c r="K732" s="97"/>
      <c r="L732" s="11"/>
      <c r="M732" s="11"/>
      <c r="N732" s="11"/>
      <c r="O732" s="11"/>
      <c r="P732" s="82"/>
    </row>
    <row r="733" spans="2:16" s="9" customFormat="1" x14ac:dyDescent="0.2">
      <c r="B733" s="10"/>
      <c r="C733" s="11"/>
      <c r="D733" s="63"/>
      <c r="E733" s="11"/>
      <c r="F733" s="65"/>
      <c r="G733" s="12"/>
      <c r="H733" s="41"/>
      <c r="I733" s="30"/>
      <c r="J733" s="30"/>
      <c r="K733" s="97"/>
      <c r="L733" s="11"/>
      <c r="M733" s="11"/>
      <c r="N733" s="11"/>
      <c r="O733" s="11"/>
      <c r="P733" s="82"/>
    </row>
    <row r="734" spans="2:16" s="9" customFormat="1" x14ac:dyDescent="0.2">
      <c r="B734" s="10"/>
      <c r="C734" s="11"/>
      <c r="D734" s="63"/>
      <c r="E734" s="11"/>
      <c r="F734" s="65"/>
      <c r="G734" s="12"/>
      <c r="H734" s="41"/>
      <c r="I734" s="30"/>
      <c r="J734" s="30"/>
      <c r="K734" s="97"/>
      <c r="L734" s="11"/>
      <c r="M734" s="11"/>
      <c r="N734" s="11"/>
      <c r="O734" s="11"/>
      <c r="P734" s="82"/>
    </row>
    <row r="735" spans="2:16" s="9" customFormat="1" x14ac:dyDescent="0.2">
      <c r="B735" s="10"/>
      <c r="C735" s="11"/>
      <c r="D735" s="63"/>
      <c r="E735" s="11"/>
      <c r="F735" s="65"/>
      <c r="G735" s="12"/>
      <c r="H735" s="41"/>
      <c r="I735" s="30"/>
      <c r="J735" s="30"/>
      <c r="K735" s="97"/>
      <c r="L735" s="11"/>
      <c r="M735" s="11"/>
      <c r="N735" s="11"/>
      <c r="O735" s="11"/>
      <c r="P735" s="82"/>
    </row>
    <row r="736" spans="2:16" s="9" customFormat="1" x14ac:dyDescent="0.2">
      <c r="B736" s="10"/>
      <c r="C736" s="11"/>
      <c r="D736" s="63"/>
      <c r="E736" s="11"/>
      <c r="F736" s="65"/>
      <c r="G736" s="12"/>
      <c r="H736" s="41"/>
      <c r="I736" s="30"/>
      <c r="J736" s="30"/>
      <c r="K736" s="97"/>
      <c r="L736" s="11"/>
      <c r="M736" s="11"/>
      <c r="N736" s="11"/>
      <c r="O736" s="11"/>
      <c r="P736" s="82"/>
    </row>
    <row r="737" spans="2:16" s="9" customFormat="1" x14ac:dyDescent="0.2">
      <c r="B737" s="10"/>
      <c r="C737" s="11"/>
      <c r="D737" s="63"/>
      <c r="E737" s="11"/>
      <c r="F737" s="65"/>
      <c r="G737" s="12"/>
      <c r="H737" s="41"/>
      <c r="I737" s="30"/>
      <c r="J737" s="30"/>
      <c r="K737" s="97"/>
      <c r="L737" s="11"/>
      <c r="M737" s="11"/>
      <c r="N737" s="11"/>
      <c r="O737" s="11"/>
      <c r="P737" s="82"/>
    </row>
    <row r="738" spans="2:16" s="9" customFormat="1" x14ac:dyDescent="0.2">
      <c r="B738" s="10"/>
      <c r="C738" s="11"/>
      <c r="D738" s="63"/>
      <c r="E738" s="11"/>
      <c r="F738" s="65"/>
      <c r="G738" s="12"/>
      <c r="H738" s="41"/>
      <c r="I738" s="30"/>
      <c r="J738" s="30"/>
      <c r="K738" s="97"/>
      <c r="L738" s="11"/>
      <c r="M738" s="11"/>
      <c r="N738" s="11"/>
      <c r="O738" s="11"/>
      <c r="P738" s="82"/>
    </row>
    <row r="739" spans="2:16" s="9" customFormat="1" x14ac:dyDescent="0.2">
      <c r="B739" s="10"/>
      <c r="C739" s="11"/>
      <c r="D739" s="63"/>
      <c r="E739" s="11"/>
      <c r="F739" s="65"/>
      <c r="G739" s="12"/>
      <c r="H739" s="41"/>
      <c r="I739" s="30"/>
      <c r="J739" s="30"/>
      <c r="K739" s="97"/>
      <c r="L739" s="11"/>
      <c r="M739" s="11"/>
      <c r="N739" s="11"/>
      <c r="O739" s="11"/>
      <c r="P739" s="82"/>
    </row>
    <row r="740" spans="2:16" s="9" customFormat="1" x14ac:dyDescent="0.2">
      <c r="B740" s="10"/>
      <c r="C740" s="11"/>
      <c r="D740" s="63"/>
      <c r="E740" s="11"/>
      <c r="F740" s="65"/>
      <c r="G740" s="12"/>
      <c r="H740" s="41"/>
      <c r="I740" s="30"/>
      <c r="J740" s="30"/>
      <c r="K740" s="97"/>
      <c r="L740" s="11"/>
      <c r="M740" s="11"/>
      <c r="N740" s="11"/>
      <c r="O740" s="11"/>
      <c r="P740" s="82"/>
    </row>
    <row r="741" spans="2:16" s="9" customFormat="1" x14ac:dyDescent="0.2">
      <c r="B741" s="10"/>
      <c r="C741" s="11"/>
      <c r="D741" s="63"/>
      <c r="E741" s="11"/>
      <c r="F741" s="65"/>
      <c r="G741" s="12"/>
      <c r="H741" s="41"/>
      <c r="I741" s="30"/>
      <c r="J741" s="30"/>
      <c r="K741" s="97"/>
      <c r="L741" s="11"/>
      <c r="M741" s="11"/>
      <c r="N741" s="11"/>
      <c r="O741" s="11"/>
      <c r="P741" s="82"/>
    </row>
    <row r="742" spans="2:16" s="9" customFormat="1" x14ac:dyDescent="0.2">
      <c r="B742" s="10"/>
      <c r="C742" s="11"/>
      <c r="D742" s="63"/>
      <c r="E742" s="11"/>
      <c r="F742" s="65"/>
      <c r="G742" s="12"/>
      <c r="H742" s="41"/>
      <c r="I742" s="30"/>
      <c r="J742" s="30"/>
      <c r="K742" s="97"/>
      <c r="L742" s="11"/>
      <c r="M742" s="11"/>
      <c r="N742" s="11"/>
      <c r="O742" s="11"/>
      <c r="P742" s="82"/>
    </row>
    <row r="743" spans="2:16" s="9" customFormat="1" x14ac:dyDescent="0.2">
      <c r="B743" s="10"/>
      <c r="C743" s="11"/>
      <c r="D743" s="63"/>
      <c r="E743" s="11"/>
      <c r="F743" s="65"/>
      <c r="G743" s="12"/>
      <c r="H743" s="41"/>
      <c r="I743" s="30"/>
      <c r="J743" s="30"/>
      <c r="K743" s="97"/>
      <c r="L743" s="11"/>
      <c r="M743" s="11"/>
      <c r="N743" s="11"/>
      <c r="O743" s="11"/>
      <c r="P743" s="82"/>
    </row>
    <row r="744" spans="2:16" s="9" customFormat="1" x14ac:dyDescent="0.2">
      <c r="B744" s="10"/>
      <c r="C744" s="11"/>
      <c r="D744" s="63"/>
      <c r="E744" s="11"/>
      <c r="F744" s="65"/>
      <c r="G744" s="12"/>
      <c r="H744" s="41"/>
      <c r="I744" s="30"/>
      <c r="J744" s="30"/>
      <c r="K744" s="97"/>
      <c r="L744" s="11"/>
      <c r="M744" s="11"/>
      <c r="N744" s="11"/>
      <c r="O744" s="11"/>
      <c r="P744" s="82"/>
    </row>
    <row r="745" spans="2:16" s="9" customFormat="1" x14ac:dyDescent="0.2">
      <c r="B745" s="10"/>
      <c r="C745" s="11"/>
      <c r="D745" s="63"/>
      <c r="E745" s="11"/>
      <c r="F745" s="65"/>
      <c r="G745" s="12"/>
      <c r="H745" s="41"/>
      <c r="I745" s="30"/>
      <c r="J745" s="30"/>
      <c r="K745" s="97"/>
      <c r="L745" s="11"/>
      <c r="M745" s="11"/>
      <c r="N745" s="11"/>
      <c r="O745" s="11"/>
      <c r="P745" s="82"/>
    </row>
    <row r="746" spans="2:16" s="9" customFormat="1" x14ac:dyDescent="0.2">
      <c r="B746" s="10"/>
      <c r="C746" s="11"/>
      <c r="D746" s="63"/>
      <c r="E746" s="11"/>
      <c r="F746" s="65"/>
      <c r="G746" s="12"/>
      <c r="H746" s="41"/>
      <c r="I746" s="30"/>
      <c r="J746" s="30"/>
      <c r="K746" s="97"/>
      <c r="L746" s="11"/>
      <c r="M746" s="11"/>
      <c r="N746" s="11"/>
      <c r="O746" s="11"/>
      <c r="P746" s="82"/>
    </row>
    <row r="747" spans="2:16" s="9" customFormat="1" x14ac:dyDescent="0.2">
      <c r="B747" s="10"/>
      <c r="C747" s="11"/>
      <c r="D747" s="63"/>
      <c r="E747" s="11"/>
      <c r="F747" s="65"/>
      <c r="G747" s="12"/>
      <c r="H747" s="41"/>
      <c r="I747" s="30"/>
      <c r="J747" s="30"/>
      <c r="K747" s="97"/>
      <c r="L747" s="11"/>
      <c r="M747" s="11"/>
      <c r="N747" s="11"/>
      <c r="O747" s="11"/>
      <c r="P747" s="82"/>
    </row>
    <row r="748" spans="2:16" s="9" customFormat="1" x14ac:dyDescent="0.2">
      <c r="B748" s="10"/>
      <c r="C748" s="11"/>
      <c r="D748" s="63"/>
      <c r="E748" s="11"/>
      <c r="F748" s="65"/>
      <c r="G748" s="12"/>
      <c r="H748" s="41"/>
      <c r="I748" s="30"/>
      <c r="J748" s="30"/>
      <c r="K748" s="97"/>
      <c r="L748" s="11"/>
      <c r="M748" s="11"/>
      <c r="N748" s="11"/>
      <c r="O748" s="11"/>
      <c r="P748" s="82"/>
    </row>
    <row r="749" spans="2:16" s="9" customFormat="1" x14ac:dyDescent="0.2">
      <c r="B749" s="10"/>
      <c r="C749" s="11"/>
      <c r="D749" s="63"/>
      <c r="E749" s="11"/>
      <c r="F749" s="65"/>
      <c r="G749" s="12"/>
      <c r="H749" s="41"/>
      <c r="I749" s="30"/>
      <c r="J749" s="30"/>
      <c r="K749" s="97"/>
      <c r="L749" s="11"/>
      <c r="M749" s="11"/>
      <c r="N749" s="11"/>
      <c r="O749" s="11"/>
      <c r="P749" s="82"/>
    </row>
    <row r="750" spans="2:16" s="9" customFormat="1" x14ac:dyDescent="0.2">
      <c r="B750" s="10"/>
      <c r="C750" s="11"/>
      <c r="D750" s="63"/>
      <c r="E750" s="11"/>
      <c r="F750" s="65"/>
      <c r="G750" s="12"/>
      <c r="H750" s="41"/>
      <c r="I750" s="30"/>
      <c r="J750" s="30"/>
      <c r="K750" s="97"/>
      <c r="L750" s="11"/>
      <c r="M750" s="11"/>
      <c r="N750" s="11"/>
      <c r="O750" s="11"/>
      <c r="P750" s="82"/>
    </row>
    <row r="751" spans="2:16" s="9" customFormat="1" x14ac:dyDescent="0.2">
      <c r="B751" s="10"/>
      <c r="C751" s="11"/>
      <c r="D751" s="63"/>
      <c r="E751" s="11"/>
      <c r="F751" s="65"/>
      <c r="G751" s="12"/>
      <c r="H751" s="41"/>
      <c r="I751" s="30"/>
      <c r="J751" s="30"/>
      <c r="K751" s="97"/>
      <c r="L751" s="11"/>
      <c r="M751" s="11"/>
      <c r="N751" s="11"/>
      <c r="O751" s="11"/>
      <c r="P751" s="82"/>
    </row>
    <row r="752" spans="2:16" s="9" customFormat="1" x14ac:dyDescent="0.2">
      <c r="B752" s="10"/>
      <c r="C752" s="11"/>
      <c r="D752" s="63"/>
      <c r="E752" s="11"/>
      <c r="F752" s="65"/>
      <c r="G752" s="12"/>
      <c r="H752" s="41"/>
      <c r="I752" s="30"/>
      <c r="J752" s="30"/>
      <c r="K752" s="97"/>
      <c r="L752" s="11"/>
      <c r="M752" s="11"/>
      <c r="N752" s="11"/>
      <c r="O752" s="11"/>
      <c r="P752" s="82"/>
    </row>
    <row r="753" spans="2:16" s="9" customFormat="1" x14ac:dyDescent="0.2">
      <c r="B753" s="10"/>
      <c r="C753" s="11"/>
      <c r="D753" s="63"/>
      <c r="E753" s="11"/>
      <c r="F753" s="65"/>
      <c r="G753" s="12"/>
      <c r="H753" s="41"/>
      <c r="I753" s="30"/>
      <c r="J753" s="30"/>
      <c r="K753" s="97"/>
      <c r="L753" s="11"/>
      <c r="M753" s="11"/>
      <c r="N753" s="11"/>
      <c r="O753" s="11"/>
      <c r="P753" s="82"/>
    </row>
    <row r="754" spans="2:16" s="9" customFormat="1" x14ac:dyDescent="0.2">
      <c r="B754" s="10"/>
      <c r="C754" s="11"/>
      <c r="D754" s="63"/>
      <c r="E754" s="11"/>
      <c r="F754" s="65"/>
      <c r="G754" s="12"/>
      <c r="H754" s="41"/>
      <c r="I754" s="30"/>
      <c r="J754" s="30"/>
      <c r="K754" s="97"/>
      <c r="L754" s="11"/>
      <c r="M754" s="11"/>
      <c r="N754" s="11"/>
      <c r="O754" s="11"/>
      <c r="P754" s="82"/>
    </row>
    <row r="755" spans="2:16" s="9" customFormat="1" x14ac:dyDescent="0.2">
      <c r="B755" s="10"/>
      <c r="C755" s="11"/>
      <c r="D755" s="63"/>
      <c r="E755" s="11"/>
      <c r="F755" s="65"/>
      <c r="G755" s="12"/>
      <c r="H755" s="41"/>
      <c r="I755" s="30"/>
      <c r="J755" s="30"/>
      <c r="K755" s="97"/>
      <c r="L755" s="11"/>
      <c r="M755" s="11"/>
      <c r="N755" s="11"/>
      <c r="O755" s="11"/>
      <c r="P755" s="82"/>
    </row>
    <row r="756" spans="2:16" s="9" customFormat="1" x14ac:dyDescent="0.2">
      <c r="B756" s="10"/>
      <c r="C756" s="11"/>
      <c r="D756" s="63"/>
      <c r="E756" s="11"/>
      <c r="F756" s="65"/>
      <c r="G756" s="12"/>
      <c r="H756" s="41"/>
      <c r="I756" s="30"/>
      <c r="J756" s="30"/>
      <c r="K756" s="97"/>
      <c r="L756" s="11"/>
      <c r="M756" s="11"/>
      <c r="N756" s="11"/>
      <c r="O756" s="11"/>
      <c r="P756" s="82"/>
    </row>
    <row r="757" spans="2:16" s="9" customFormat="1" x14ac:dyDescent="0.2">
      <c r="B757" s="10"/>
      <c r="C757" s="11"/>
      <c r="D757" s="63"/>
      <c r="E757" s="11"/>
      <c r="F757" s="65"/>
      <c r="G757" s="12"/>
      <c r="H757" s="41"/>
      <c r="I757" s="30"/>
      <c r="J757" s="30"/>
      <c r="K757" s="97"/>
      <c r="L757" s="11"/>
      <c r="M757" s="11"/>
      <c r="N757" s="11"/>
      <c r="O757" s="11"/>
      <c r="P757" s="82"/>
    </row>
    <row r="758" spans="2:16" s="9" customFormat="1" x14ac:dyDescent="0.2">
      <c r="B758" s="10"/>
      <c r="C758" s="11"/>
      <c r="D758" s="63"/>
      <c r="E758" s="11"/>
      <c r="F758" s="65"/>
      <c r="G758" s="12"/>
      <c r="H758" s="41"/>
      <c r="I758" s="30"/>
      <c r="J758" s="30"/>
      <c r="K758" s="97"/>
      <c r="L758" s="11"/>
      <c r="M758" s="11"/>
      <c r="N758" s="11"/>
      <c r="O758" s="11"/>
      <c r="P758" s="82"/>
    </row>
    <row r="759" spans="2:16" s="9" customFormat="1" x14ac:dyDescent="0.2">
      <c r="B759" s="10"/>
      <c r="C759" s="11"/>
      <c r="D759" s="63"/>
      <c r="E759" s="11"/>
      <c r="F759" s="65"/>
      <c r="G759" s="12"/>
      <c r="H759" s="41"/>
      <c r="I759" s="30"/>
      <c r="J759" s="30"/>
      <c r="K759" s="97"/>
      <c r="L759" s="11"/>
      <c r="M759" s="11"/>
      <c r="N759" s="11"/>
      <c r="O759" s="11"/>
      <c r="P759" s="82"/>
    </row>
    <row r="760" spans="2:16" s="9" customFormat="1" x14ac:dyDescent="0.2">
      <c r="B760" s="10"/>
      <c r="C760" s="11"/>
      <c r="D760" s="63"/>
      <c r="E760" s="11"/>
      <c r="F760" s="65"/>
      <c r="G760" s="12"/>
      <c r="H760" s="41"/>
      <c r="I760" s="30"/>
      <c r="J760" s="30"/>
      <c r="K760" s="97"/>
      <c r="L760" s="11"/>
      <c r="M760" s="11"/>
      <c r="N760" s="11"/>
      <c r="O760" s="11"/>
      <c r="P760" s="82"/>
    </row>
    <row r="761" spans="2:16" s="9" customFormat="1" x14ac:dyDescent="0.2">
      <c r="B761" s="10"/>
      <c r="C761" s="11"/>
      <c r="D761" s="63"/>
      <c r="E761" s="11"/>
      <c r="F761" s="65"/>
      <c r="G761" s="12"/>
      <c r="H761" s="41"/>
      <c r="I761" s="30"/>
      <c r="J761" s="30"/>
      <c r="K761" s="97"/>
      <c r="L761" s="11"/>
      <c r="M761" s="11"/>
      <c r="N761" s="11"/>
      <c r="O761" s="11"/>
      <c r="P761" s="82"/>
    </row>
    <row r="762" spans="2:16" s="9" customFormat="1" x14ac:dyDescent="0.2">
      <c r="B762" s="10"/>
      <c r="C762" s="11"/>
      <c r="D762" s="63"/>
      <c r="E762" s="11"/>
      <c r="F762" s="65"/>
      <c r="G762" s="12"/>
      <c r="H762" s="41"/>
      <c r="I762" s="30"/>
      <c r="J762" s="30"/>
      <c r="K762" s="97"/>
      <c r="L762" s="11"/>
      <c r="M762" s="11"/>
      <c r="N762" s="11"/>
      <c r="O762" s="11"/>
      <c r="P762" s="82"/>
    </row>
    <row r="763" spans="2:16" s="9" customFormat="1" x14ac:dyDescent="0.2">
      <c r="B763" s="10"/>
      <c r="C763" s="11"/>
      <c r="D763" s="63"/>
      <c r="E763" s="11"/>
      <c r="F763" s="65"/>
      <c r="G763" s="12"/>
      <c r="H763" s="41"/>
      <c r="I763" s="30"/>
      <c r="J763" s="30"/>
      <c r="K763" s="97"/>
      <c r="L763" s="11"/>
      <c r="M763" s="11"/>
      <c r="N763" s="11"/>
      <c r="O763" s="11"/>
      <c r="P763" s="82"/>
    </row>
    <row r="764" spans="2:16" s="9" customFormat="1" x14ac:dyDescent="0.2">
      <c r="B764" s="10"/>
      <c r="C764" s="11"/>
      <c r="D764" s="63"/>
      <c r="E764" s="11"/>
      <c r="F764" s="65"/>
      <c r="G764" s="12"/>
      <c r="H764" s="41"/>
      <c r="I764" s="30"/>
      <c r="J764" s="30"/>
      <c r="K764" s="97"/>
      <c r="L764" s="11"/>
      <c r="M764" s="11"/>
      <c r="N764" s="11"/>
      <c r="O764" s="11"/>
      <c r="P764" s="82"/>
    </row>
    <row r="765" spans="2:16" s="9" customFormat="1" x14ac:dyDescent="0.2">
      <c r="B765" s="10"/>
      <c r="C765" s="11"/>
      <c r="D765" s="63"/>
      <c r="E765" s="11"/>
      <c r="F765" s="65"/>
      <c r="G765" s="12"/>
      <c r="H765" s="41"/>
      <c r="I765" s="30"/>
      <c r="J765" s="30"/>
      <c r="K765" s="97"/>
      <c r="L765" s="11"/>
      <c r="M765" s="11"/>
      <c r="N765" s="11"/>
      <c r="O765" s="11"/>
      <c r="P765" s="82"/>
    </row>
    <row r="766" spans="2:16" s="9" customFormat="1" x14ac:dyDescent="0.2">
      <c r="B766" s="10"/>
      <c r="C766" s="11"/>
      <c r="D766" s="63"/>
      <c r="E766" s="11"/>
      <c r="F766" s="65"/>
      <c r="G766" s="12"/>
      <c r="H766" s="41"/>
      <c r="I766" s="30"/>
      <c r="J766" s="30"/>
      <c r="K766" s="97"/>
      <c r="L766" s="11"/>
      <c r="M766" s="11"/>
      <c r="N766" s="11"/>
      <c r="O766" s="11"/>
      <c r="P766" s="82"/>
    </row>
    <row r="767" spans="2:16" s="9" customFormat="1" x14ac:dyDescent="0.2">
      <c r="B767" s="10"/>
      <c r="C767" s="11"/>
      <c r="D767" s="63"/>
      <c r="E767" s="11"/>
      <c r="F767" s="65"/>
      <c r="G767" s="12"/>
      <c r="H767" s="41"/>
      <c r="I767" s="30"/>
      <c r="J767" s="30"/>
      <c r="K767" s="97"/>
      <c r="L767" s="11"/>
      <c r="M767" s="11"/>
      <c r="N767" s="11"/>
      <c r="O767" s="11"/>
      <c r="P767" s="82"/>
    </row>
    <row r="768" spans="2:16" s="9" customFormat="1" x14ac:dyDescent="0.2">
      <c r="B768" s="10"/>
      <c r="C768" s="11"/>
      <c r="D768" s="63"/>
      <c r="E768" s="11"/>
      <c r="F768" s="65"/>
      <c r="G768" s="12"/>
      <c r="H768" s="41"/>
      <c r="I768" s="30"/>
      <c r="J768" s="30"/>
      <c r="K768" s="97"/>
      <c r="L768" s="11"/>
      <c r="M768" s="11"/>
      <c r="N768" s="11"/>
      <c r="O768" s="11"/>
      <c r="P768" s="82"/>
    </row>
    <row r="769" spans="2:16" s="9" customFormat="1" x14ac:dyDescent="0.2">
      <c r="B769" s="10"/>
      <c r="C769" s="11"/>
      <c r="D769" s="63"/>
      <c r="E769" s="11"/>
      <c r="F769" s="65"/>
      <c r="G769" s="12"/>
      <c r="H769" s="41"/>
      <c r="I769" s="30"/>
      <c r="J769" s="30"/>
      <c r="K769" s="97"/>
      <c r="L769" s="11"/>
      <c r="M769" s="11"/>
      <c r="N769" s="11"/>
      <c r="O769" s="11"/>
      <c r="P769" s="82"/>
    </row>
    <row r="770" spans="2:16" s="9" customFormat="1" x14ac:dyDescent="0.2">
      <c r="B770" s="10"/>
      <c r="C770" s="11"/>
      <c r="D770" s="63"/>
      <c r="E770" s="11"/>
      <c r="F770" s="65"/>
      <c r="G770" s="12"/>
      <c r="H770" s="41"/>
      <c r="I770" s="30"/>
      <c r="J770" s="30"/>
      <c r="K770" s="97"/>
      <c r="L770" s="11"/>
      <c r="M770" s="11"/>
      <c r="N770" s="11"/>
      <c r="O770" s="11"/>
      <c r="P770" s="82"/>
    </row>
    <row r="771" spans="2:16" s="9" customFormat="1" x14ac:dyDescent="0.2">
      <c r="B771" s="10"/>
      <c r="C771" s="11"/>
      <c r="D771" s="63"/>
      <c r="E771" s="11"/>
      <c r="F771" s="65"/>
      <c r="G771" s="12"/>
      <c r="H771" s="41"/>
      <c r="I771" s="30"/>
      <c r="J771" s="30"/>
      <c r="K771" s="97"/>
      <c r="L771" s="11"/>
      <c r="M771" s="11"/>
      <c r="N771" s="11"/>
      <c r="O771" s="11"/>
      <c r="P771" s="82"/>
    </row>
    <row r="772" spans="2:16" s="9" customFormat="1" x14ac:dyDescent="0.2">
      <c r="B772" s="10"/>
      <c r="C772" s="11"/>
      <c r="D772" s="63"/>
      <c r="E772" s="11"/>
      <c r="F772" s="65"/>
      <c r="G772" s="12"/>
      <c r="H772" s="41"/>
      <c r="I772" s="30"/>
      <c r="J772" s="30"/>
      <c r="K772" s="97"/>
      <c r="L772" s="11"/>
      <c r="M772" s="11"/>
      <c r="N772" s="11"/>
      <c r="O772" s="11"/>
      <c r="P772" s="82"/>
    </row>
    <row r="773" spans="2:16" s="9" customFormat="1" x14ac:dyDescent="0.2">
      <c r="B773" s="10"/>
      <c r="C773" s="11"/>
      <c r="D773" s="63"/>
      <c r="E773" s="11"/>
      <c r="F773" s="65"/>
      <c r="G773" s="12"/>
      <c r="H773" s="41"/>
      <c r="I773" s="30"/>
      <c r="J773" s="30"/>
      <c r="K773" s="97"/>
      <c r="L773" s="11"/>
      <c r="M773" s="11"/>
      <c r="N773" s="11"/>
      <c r="O773" s="11"/>
      <c r="P773" s="82"/>
    </row>
    <row r="774" spans="2:16" s="9" customFormat="1" x14ac:dyDescent="0.2">
      <c r="B774" s="10"/>
      <c r="C774" s="11"/>
      <c r="D774" s="63"/>
      <c r="E774" s="11"/>
      <c r="F774" s="65"/>
      <c r="G774" s="12"/>
      <c r="H774" s="41"/>
      <c r="I774" s="30"/>
      <c r="J774" s="30"/>
      <c r="K774" s="97"/>
      <c r="L774" s="11"/>
      <c r="M774" s="11"/>
      <c r="N774" s="11"/>
      <c r="O774" s="11"/>
      <c r="P774" s="82"/>
    </row>
    <row r="775" spans="2:16" s="9" customFormat="1" x14ac:dyDescent="0.2">
      <c r="B775" s="10"/>
      <c r="C775" s="11"/>
      <c r="D775" s="63"/>
      <c r="E775" s="11"/>
      <c r="F775" s="65"/>
      <c r="G775" s="12"/>
      <c r="H775" s="41"/>
      <c r="I775" s="30"/>
      <c r="J775" s="30"/>
      <c r="K775" s="97"/>
      <c r="L775" s="11"/>
      <c r="M775" s="11"/>
      <c r="N775" s="11"/>
      <c r="O775" s="11"/>
      <c r="P775" s="82"/>
    </row>
    <row r="776" spans="2:16" s="9" customFormat="1" x14ac:dyDescent="0.2">
      <c r="B776" s="10"/>
      <c r="C776" s="11"/>
      <c r="D776" s="63"/>
      <c r="E776" s="11"/>
      <c r="F776" s="65"/>
      <c r="G776" s="12"/>
      <c r="H776" s="41"/>
      <c r="I776" s="30"/>
      <c r="J776" s="30"/>
      <c r="K776" s="97"/>
      <c r="L776" s="11"/>
      <c r="M776" s="11"/>
      <c r="N776" s="11"/>
      <c r="O776" s="11"/>
      <c r="P776" s="82"/>
    </row>
    <row r="777" spans="2:16" s="9" customFormat="1" x14ac:dyDescent="0.2">
      <c r="B777" s="10"/>
      <c r="C777" s="11"/>
      <c r="D777" s="63"/>
      <c r="E777" s="11"/>
      <c r="F777" s="65"/>
      <c r="G777" s="12"/>
      <c r="H777" s="41"/>
      <c r="I777" s="30"/>
      <c r="J777" s="30"/>
      <c r="K777" s="97"/>
      <c r="L777" s="11"/>
      <c r="M777" s="11"/>
      <c r="N777" s="11"/>
      <c r="O777" s="11"/>
      <c r="P777" s="82"/>
    </row>
    <row r="778" spans="2:16" s="9" customFormat="1" x14ac:dyDescent="0.2">
      <c r="B778" s="10"/>
      <c r="C778" s="11"/>
      <c r="D778" s="63"/>
      <c r="E778" s="11"/>
      <c r="F778" s="65"/>
      <c r="G778" s="12"/>
      <c r="H778" s="41"/>
      <c r="I778" s="30"/>
      <c r="J778" s="30"/>
      <c r="K778" s="97"/>
      <c r="L778" s="11"/>
      <c r="M778" s="11"/>
      <c r="N778" s="11"/>
      <c r="O778" s="11"/>
      <c r="P778" s="82"/>
    </row>
    <row r="779" spans="2:16" s="9" customFormat="1" x14ac:dyDescent="0.2">
      <c r="B779" s="10"/>
      <c r="C779" s="11"/>
      <c r="D779" s="63"/>
      <c r="E779" s="11"/>
      <c r="F779" s="65"/>
      <c r="G779" s="12"/>
      <c r="H779" s="41"/>
      <c r="I779" s="30"/>
      <c r="J779" s="30"/>
      <c r="K779" s="97"/>
      <c r="L779" s="11"/>
      <c r="M779" s="11"/>
      <c r="N779" s="11"/>
      <c r="O779" s="11"/>
      <c r="P779" s="82"/>
    </row>
    <row r="780" spans="2:16" s="9" customFormat="1" x14ac:dyDescent="0.2">
      <c r="B780" s="10"/>
      <c r="C780" s="11"/>
      <c r="D780" s="63"/>
      <c r="E780" s="11"/>
      <c r="F780" s="65"/>
      <c r="G780" s="12"/>
      <c r="H780" s="41"/>
      <c r="I780" s="30"/>
      <c r="J780" s="30"/>
      <c r="K780" s="97"/>
      <c r="L780" s="11"/>
      <c r="M780" s="11"/>
      <c r="N780" s="11"/>
      <c r="O780" s="11"/>
      <c r="P780" s="82"/>
    </row>
    <row r="781" spans="2:16" s="9" customFormat="1" x14ac:dyDescent="0.2">
      <c r="B781" s="10"/>
      <c r="C781" s="11"/>
      <c r="D781" s="63"/>
      <c r="E781" s="11"/>
      <c r="F781" s="65"/>
      <c r="G781" s="12"/>
      <c r="H781" s="41"/>
      <c r="I781" s="30"/>
      <c r="J781" s="30"/>
      <c r="K781" s="97"/>
      <c r="L781" s="11"/>
      <c r="M781" s="11"/>
      <c r="N781" s="11"/>
      <c r="O781" s="11"/>
      <c r="P781" s="82"/>
    </row>
    <row r="782" spans="2:16" s="9" customFormat="1" x14ac:dyDescent="0.2">
      <c r="B782" s="10"/>
      <c r="C782" s="11"/>
      <c r="D782" s="63"/>
      <c r="E782" s="11"/>
      <c r="F782" s="65"/>
      <c r="G782" s="12"/>
      <c r="H782" s="41"/>
      <c r="I782" s="30"/>
      <c r="J782" s="30"/>
      <c r="K782" s="97"/>
      <c r="L782" s="11"/>
      <c r="M782" s="11"/>
      <c r="N782" s="11"/>
      <c r="O782" s="11"/>
      <c r="P782" s="82"/>
    </row>
    <row r="783" spans="2:16" s="9" customFormat="1" x14ac:dyDescent="0.2">
      <c r="B783" s="10"/>
      <c r="C783" s="11"/>
      <c r="D783" s="63"/>
      <c r="E783" s="11"/>
      <c r="F783" s="65"/>
      <c r="G783" s="12"/>
      <c r="H783" s="41"/>
      <c r="I783" s="30"/>
      <c r="J783" s="30"/>
      <c r="K783" s="97"/>
      <c r="L783" s="11"/>
      <c r="M783" s="11"/>
      <c r="N783" s="11"/>
      <c r="O783" s="11"/>
      <c r="P783" s="82"/>
    </row>
    <row r="784" spans="2:16" s="9" customFormat="1" x14ac:dyDescent="0.2">
      <c r="B784" s="10"/>
      <c r="C784" s="11"/>
      <c r="D784" s="63"/>
      <c r="E784" s="11"/>
      <c r="F784" s="65"/>
      <c r="G784" s="12"/>
      <c r="H784" s="41"/>
      <c r="I784" s="30"/>
      <c r="J784" s="30"/>
      <c r="K784" s="97"/>
      <c r="L784" s="11"/>
      <c r="M784" s="11"/>
      <c r="N784" s="11"/>
      <c r="O784" s="11"/>
      <c r="P784" s="82"/>
    </row>
    <row r="785" spans="2:16" s="9" customFormat="1" x14ac:dyDescent="0.2">
      <c r="B785" s="10"/>
      <c r="C785" s="11"/>
      <c r="D785" s="63"/>
      <c r="E785" s="11"/>
      <c r="F785" s="65"/>
      <c r="G785" s="12"/>
      <c r="H785" s="41"/>
      <c r="I785" s="30"/>
      <c r="J785" s="30"/>
      <c r="K785" s="97"/>
      <c r="L785" s="11"/>
      <c r="M785" s="11"/>
      <c r="N785" s="11"/>
      <c r="O785" s="11"/>
      <c r="P785" s="82"/>
    </row>
    <row r="786" spans="2:16" s="9" customFormat="1" x14ac:dyDescent="0.2">
      <c r="B786" s="10"/>
      <c r="C786" s="11"/>
      <c r="D786" s="63"/>
      <c r="E786" s="11"/>
      <c r="F786" s="65"/>
      <c r="G786" s="12"/>
      <c r="H786" s="41"/>
      <c r="I786" s="30"/>
      <c r="J786" s="30"/>
      <c r="K786" s="97"/>
      <c r="L786" s="11"/>
      <c r="M786" s="11"/>
      <c r="N786" s="11"/>
      <c r="O786" s="11"/>
      <c r="P786" s="82"/>
    </row>
    <row r="787" spans="2:16" s="9" customFormat="1" x14ac:dyDescent="0.2">
      <c r="B787" s="10"/>
      <c r="C787" s="11"/>
      <c r="D787" s="63"/>
      <c r="E787" s="11"/>
      <c r="F787" s="65"/>
      <c r="G787" s="12"/>
      <c r="H787" s="41"/>
      <c r="I787" s="30"/>
      <c r="J787" s="30"/>
      <c r="K787" s="97"/>
      <c r="L787" s="11"/>
      <c r="M787" s="11"/>
      <c r="N787" s="11"/>
      <c r="O787" s="11"/>
      <c r="P787" s="82"/>
    </row>
    <row r="788" spans="2:16" s="9" customFormat="1" x14ac:dyDescent="0.2">
      <c r="B788" s="10"/>
      <c r="C788" s="11"/>
      <c r="D788" s="63"/>
      <c r="E788" s="11"/>
      <c r="F788" s="65"/>
      <c r="G788" s="12"/>
      <c r="H788" s="41"/>
      <c r="I788" s="30"/>
      <c r="J788" s="30"/>
      <c r="K788" s="97"/>
      <c r="L788" s="11"/>
      <c r="M788" s="11"/>
      <c r="N788" s="11"/>
      <c r="O788" s="11"/>
      <c r="P788" s="82"/>
    </row>
    <row r="789" spans="2:16" s="9" customFormat="1" x14ac:dyDescent="0.2">
      <c r="B789" s="10"/>
      <c r="C789" s="11"/>
      <c r="D789" s="63"/>
      <c r="E789" s="11"/>
      <c r="F789" s="65"/>
      <c r="G789" s="12"/>
      <c r="H789" s="41"/>
      <c r="I789" s="30"/>
      <c r="J789" s="30"/>
      <c r="K789" s="97"/>
      <c r="L789" s="11"/>
      <c r="M789" s="11"/>
      <c r="N789" s="11"/>
      <c r="O789" s="11"/>
      <c r="P789" s="82"/>
    </row>
    <row r="790" spans="2:16" s="9" customFormat="1" x14ac:dyDescent="0.2">
      <c r="B790" s="10"/>
      <c r="C790" s="11"/>
      <c r="D790" s="63"/>
      <c r="E790" s="11"/>
      <c r="F790" s="65"/>
      <c r="G790" s="12"/>
      <c r="H790" s="41"/>
      <c r="I790" s="30"/>
      <c r="J790" s="30"/>
      <c r="K790" s="97"/>
      <c r="L790" s="11"/>
      <c r="M790" s="11"/>
      <c r="N790" s="11"/>
      <c r="O790" s="11"/>
      <c r="P790" s="82"/>
    </row>
    <row r="791" spans="2:16" s="9" customFormat="1" x14ac:dyDescent="0.2">
      <c r="B791" s="10"/>
      <c r="C791" s="11"/>
      <c r="D791" s="63"/>
      <c r="E791" s="11"/>
      <c r="F791" s="65"/>
      <c r="G791" s="12"/>
      <c r="H791" s="41"/>
      <c r="I791" s="30"/>
      <c r="J791" s="30"/>
      <c r="K791" s="97"/>
      <c r="L791" s="11"/>
      <c r="M791" s="11"/>
      <c r="N791" s="11"/>
      <c r="O791" s="11"/>
      <c r="P791" s="82"/>
    </row>
    <row r="792" spans="2:16" s="9" customFormat="1" x14ac:dyDescent="0.2">
      <c r="B792" s="10"/>
      <c r="C792" s="11"/>
      <c r="D792" s="63"/>
      <c r="E792" s="11"/>
      <c r="F792" s="65"/>
      <c r="G792" s="12"/>
      <c r="H792" s="41"/>
      <c r="I792" s="30"/>
      <c r="J792" s="30"/>
      <c r="K792" s="97"/>
      <c r="L792" s="11"/>
      <c r="M792" s="11"/>
      <c r="N792" s="11"/>
      <c r="O792" s="11"/>
      <c r="P792" s="82"/>
    </row>
    <row r="793" spans="2:16" s="9" customFormat="1" x14ac:dyDescent="0.2">
      <c r="B793" s="10"/>
      <c r="C793" s="11"/>
      <c r="D793" s="63"/>
      <c r="E793" s="11"/>
      <c r="F793" s="65"/>
      <c r="G793" s="12"/>
      <c r="H793" s="41"/>
      <c r="I793" s="30"/>
      <c r="J793" s="30"/>
      <c r="K793" s="97"/>
      <c r="L793" s="11"/>
      <c r="M793" s="11"/>
      <c r="N793" s="11"/>
      <c r="O793" s="11"/>
      <c r="P793" s="82"/>
    </row>
    <row r="794" spans="2:16" s="9" customFormat="1" x14ac:dyDescent="0.2">
      <c r="B794" s="10"/>
      <c r="C794" s="11"/>
      <c r="D794" s="63"/>
      <c r="E794" s="11"/>
      <c r="F794" s="65"/>
      <c r="G794" s="12"/>
      <c r="H794" s="41"/>
      <c r="I794" s="30"/>
      <c r="J794" s="30"/>
      <c r="K794" s="97"/>
      <c r="L794" s="11"/>
      <c r="M794" s="11"/>
      <c r="N794" s="11"/>
      <c r="O794" s="11"/>
      <c r="P794" s="82"/>
    </row>
    <row r="795" spans="2:16" s="9" customFormat="1" x14ac:dyDescent="0.2">
      <c r="B795" s="10"/>
      <c r="C795" s="11"/>
      <c r="D795" s="63"/>
      <c r="E795" s="11"/>
      <c r="F795" s="65"/>
      <c r="G795" s="12"/>
      <c r="H795" s="41"/>
      <c r="I795" s="30"/>
      <c r="J795" s="30"/>
      <c r="K795" s="97"/>
      <c r="L795" s="11"/>
      <c r="M795" s="11"/>
      <c r="N795" s="11"/>
      <c r="O795" s="11"/>
      <c r="P795" s="82"/>
    </row>
    <row r="796" spans="2:16" s="9" customFormat="1" x14ac:dyDescent="0.2">
      <c r="B796" s="10"/>
      <c r="C796" s="11"/>
      <c r="D796" s="63"/>
      <c r="E796" s="11"/>
      <c r="F796" s="65"/>
      <c r="G796" s="12"/>
      <c r="H796" s="41"/>
      <c r="I796" s="30"/>
      <c r="J796" s="30"/>
      <c r="K796" s="97"/>
      <c r="L796" s="11"/>
      <c r="M796" s="11"/>
      <c r="N796" s="11"/>
      <c r="O796" s="11"/>
      <c r="P796" s="82"/>
    </row>
    <row r="797" spans="2:16" s="9" customFormat="1" x14ac:dyDescent="0.2">
      <c r="B797" s="10"/>
      <c r="C797" s="11"/>
      <c r="D797" s="63"/>
      <c r="E797" s="11"/>
      <c r="F797" s="65"/>
      <c r="G797" s="12"/>
      <c r="H797" s="41"/>
      <c r="I797" s="30"/>
      <c r="J797" s="30"/>
      <c r="K797" s="97"/>
      <c r="L797" s="11"/>
      <c r="M797" s="11"/>
      <c r="N797" s="11"/>
      <c r="O797" s="11"/>
      <c r="P797" s="82"/>
    </row>
    <row r="798" spans="2:16" s="9" customFormat="1" x14ac:dyDescent="0.2">
      <c r="B798" s="10"/>
      <c r="C798" s="11"/>
      <c r="D798" s="63"/>
      <c r="E798" s="11"/>
      <c r="F798" s="65"/>
      <c r="G798" s="12"/>
      <c r="H798" s="41"/>
      <c r="I798" s="30"/>
      <c r="J798" s="30"/>
      <c r="K798" s="97"/>
      <c r="L798" s="11"/>
      <c r="M798" s="11"/>
      <c r="N798" s="11"/>
      <c r="O798" s="11"/>
      <c r="P798" s="82"/>
    </row>
    <row r="799" spans="2:16" s="9" customFormat="1" x14ac:dyDescent="0.2">
      <c r="B799" s="10"/>
      <c r="C799" s="11"/>
      <c r="D799" s="63"/>
      <c r="E799" s="11"/>
      <c r="F799" s="65"/>
      <c r="G799" s="12"/>
      <c r="H799" s="41"/>
      <c r="I799" s="30"/>
      <c r="J799" s="30"/>
      <c r="K799" s="97"/>
      <c r="L799" s="11"/>
      <c r="M799" s="11"/>
      <c r="N799" s="11"/>
      <c r="O799" s="11"/>
      <c r="P799" s="82"/>
    </row>
    <row r="800" spans="2:16" s="9" customFormat="1" x14ac:dyDescent="0.2">
      <c r="B800" s="10"/>
      <c r="C800" s="11"/>
      <c r="D800" s="63"/>
      <c r="E800" s="11"/>
      <c r="F800" s="65"/>
      <c r="G800" s="12"/>
      <c r="H800" s="41"/>
      <c r="I800" s="30"/>
      <c r="J800" s="30"/>
      <c r="K800" s="97"/>
      <c r="L800" s="11"/>
      <c r="M800" s="11"/>
      <c r="N800" s="11"/>
      <c r="O800" s="11"/>
      <c r="P800" s="82"/>
    </row>
    <row r="801" spans="2:16" s="9" customFormat="1" x14ac:dyDescent="0.2">
      <c r="B801" s="10"/>
      <c r="C801" s="11"/>
      <c r="D801" s="63"/>
      <c r="E801" s="11"/>
      <c r="F801" s="65"/>
      <c r="G801" s="12"/>
      <c r="H801" s="41"/>
      <c r="I801" s="30"/>
      <c r="J801" s="30"/>
      <c r="K801" s="97"/>
      <c r="L801" s="11"/>
      <c r="M801" s="11"/>
      <c r="N801" s="11"/>
      <c r="O801" s="11"/>
      <c r="P801" s="82"/>
    </row>
    <row r="802" spans="2:16" s="9" customFormat="1" x14ac:dyDescent="0.2">
      <c r="B802" s="10"/>
      <c r="C802" s="11"/>
      <c r="D802" s="63"/>
      <c r="E802" s="11"/>
      <c r="F802" s="65"/>
      <c r="G802" s="12"/>
      <c r="H802" s="41"/>
      <c r="I802" s="30"/>
      <c r="J802" s="30"/>
      <c r="K802" s="97"/>
      <c r="L802" s="11"/>
      <c r="M802" s="11"/>
      <c r="N802" s="11"/>
      <c r="O802" s="11"/>
      <c r="P802" s="82"/>
    </row>
    <row r="803" spans="2:16" s="9" customFormat="1" x14ac:dyDescent="0.2">
      <c r="B803" s="10"/>
      <c r="C803" s="11"/>
      <c r="D803" s="63"/>
      <c r="E803" s="11"/>
      <c r="F803" s="65"/>
      <c r="G803" s="12"/>
      <c r="H803" s="41"/>
      <c r="I803" s="30"/>
      <c r="J803" s="30"/>
      <c r="K803" s="97"/>
      <c r="L803" s="11"/>
      <c r="M803" s="11"/>
      <c r="N803" s="11"/>
      <c r="O803" s="11"/>
      <c r="P803" s="82"/>
    </row>
    <row r="804" spans="2:16" s="9" customFormat="1" x14ac:dyDescent="0.2">
      <c r="B804" s="10"/>
      <c r="C804" s="11"/>
      <c r="D804" s="63"/>
      <c r="E804" s="11"/>
      <c r="F804" s="65"/>
      <c r="G804" s="12"/>
      <c r="H804" s="41"/>
      <c r="I804" s="30"/>
      <c r="J804" s="30"/>
      <c r="K804" s="97"/>
      <c r="L804" s="11"/>
      <c r="M804" s="11"/>
      <c r="N804" s="11"/>
      <c r="O804" s="11"/>
      <c r="P804" s="82"/>
    </row>
    <row r="805" spans="2:16" s="9" customFormat="1" x14ac:dyDescent="0.2">
      <c r="B805" s="10"/>
      <c r="C805" s="11"/>
      <c r="D805" s="63"/>
      <c r="E805" s="11"/>
      <c r="F805" s="65"/>
      <c r="G805" s="12"/>
      <c r="H805" s="41"/>
      <c r="I805" s="30"/>
      <c r="J805" s="30"/>
      <c r="K805" s="97"/>
      <c r="L805" s="11"/>
      <c r="M805" s="11"/>
      <c r="N805" s="11"/>
      <c r="O805" s="11"/>
      <c r="P805" s="82"/>
    </row>
    <row r="806" spans="2:16" s="9" customFormat="1" x14ac:dyDescent="0.2">
      <c r="B806" s="10"/>
      <c r="C806" s="11"/>
      <c r="D806" s="63"/>
      <c r="E806" s="11"/>
      <c r="F806" s="65"/>
      <c r="G806" s="12"/>
      <c r="H806" s="41"/>
      <c r="I806" s="30"/>
      <c r="J806" s="30"/>
      <c r="K806" s="97"/>
      <c r="L806" s="11"/>
      <c r="M806" s="11"/>
      <c r="N806" s="11"/>
      <c r="O806" s="11"/>
      <c r="P806" s="82"/>
    </row>
    <row r="807" spans="2:16" s="9" customFormat="1" x14ac:dyDescent="0.2">
      <c r="B807" s="10"/>
      <c r="C807" s="11"/>
      <c r="D807" s="63"/>
      <c r="E807" s="11"/>
      <c r="F807" s="65"/>
      <c r="G807" s="12"/>
      <c r="H807" s="41"/>
      <c r="I807" s="30"/>
      <c r="J807" s="30"/>
      <c r="K807" s="97"/>
      <c r="L807" s="11"/>
      <c r="M807" s="11"/>
      <c r="N807" s="11"/>
      <c r="O807" s="11"/>
      <c r="P807" s="82"/>
    </row>
    <row r="808" spans="2:16" s="9" customFormat="1" x14ac:dyDescent="0.2">
      <c r="B808" s="10"/>
      <c r="C808" s="11"/>
      <c r="D808" s="63"/>
      <c r="E808" s="11"/>
      <c r="F808" s="65"/>
      <c r="G808" s="12"/>
      <c r="H808" s="41"/>
      <c r="I808" s="30"/>
      <c r="J808" s="30"/>
      <c r="K808" s="97"/>
      <c r="L808" s="11"/>
      <c r="M808" s="11"/>
      <c r="N808" s="11"/>
      <c r="O808" s="11"/>
      <c r="P808" s="82"/>
    </row>
    <row r="809" spans="2:16" s="9" customFormat="1" x14ac:dyDescent="0.2">
      <c r="B809" s="10"/>
      <c r="C809" s="11"/>
      <c r="D809" s="63"/>
      <c r="E809" s="11"/>
      <c r="F809" s="65"/>
      <c r="G809" s="12"/>
      <c r="H809" s="41"/>
      <c r="I809" s="30"/>
      <c r="J809" s="30"/>
      <c r="K809" s="97"/>
      <c r="L809" s="11"/>
      <c r="M809" s="11"/>
      <c r="N809" s="11"/>
      <c r="O809" s="11"/>
      <c r="P809" s="82"/>
    </row>
    <row r="810" spans="2:16" s="9" customFormat="1" x14ac:dyDescent="0.2">
      <c r="B810" s="10"/>
      <c r="C810" s="11"/>
      <c r="D810" s="63"/>
      <c r="E810" s="11"/>
      <c r="F810" s="65"/>
      <c r="G810" s="12"/>
      <c r="H810" s="41"/>
      <c r="I810" s="30"/>
      <c r="J810" s="30"/>
      <c r="K810" s="97"/>
      <c r="L810" s="11"/>
      <c r="M810" s="11"/>
      <c r="N810" s="11"/>
      <c r="O810" s="11"/>
      <c r="P810" s="82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allgemein!$B$3:$B$11</xm:f>
          </x14:formula1>
          <xm:sqref>L3:L36 L40:L100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59"/>
  <sheetViews>
    <sheetView zoomScaleNormal="100" workbookViewId="0">
      <pane ySplit="2" topLeftCell="A72" activePane="bottomLeft" state="frozen"/>
      <selection pane="bottomLeft" activeCell="P21" sqref="P21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62" customWidth="1"/>
    <col min="5" max="5" width="9.5703125" style="2" customWidth="1"/>
    <col min="6" max="6" width="12.7109375" style="66" customWidth="1"/>
    <col min="7" max="7" width="13.28515625" style="3" customWidth="1"/>
    <col min="8" max="8" width="13.28515625" style="42" customWidth="1"/>
    <col min="9" max="9" width="13.28515625" style="31" customWidth="1"/>
    <col min="10" max="10" width="10" style="31" bestFit="1" customWidth="1"/>
    <col min="11" max="11" width="10" style="98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84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67"/>
      <c r="E1" s="68"/>
      <c r="F1" s="69"/>
      <c r="G1" s="80"/>
      <c r="H1" s="29"/>
      <c r="I1" s="29"/>
      <c r="J1" s="29"/>
      <c r="K1" s="93"/>
      <c r="L1" s="68"/>
      <c r="P1" s="82"/>
    </row>
    <row r="2" spans="2:20" ht="32.25" x14ac:dyDescent="0.2">
      <c r="B2" s="4" t="s">
        <v>0</v>
      </c>
      <c r="C2" s="4" t="s">
        <v>8</v>
      </c>
      <c r="D2" s="61" t="s">
        <v>958</v>
      </c>
      <c r="E2" s="8" t="s">
        <v>719</v>
      </c>
      <c r="F2" s="64" t="s">
        <v>684</v>
      </c>
      <c r="G2" s="5" t="s">
        <v>361</v>
      </c>
      <c r="H2" s="5" t="s">
        <v>362</v>
      </c>
      <c r="I2" s="5" t="s">
        <v>7</v>
      </c>
      <c r="J2" s="73" t="s">
        <v>6</v>
      </c>
      <c r="K2" s="94" t="s">
        <v>683</v>
      </c>
      <c r="L2" s="5" t="s">
        <v>5</v>
      </c>
      <c r="M2" s="5" t="s">
        <v>685</v>
      </c>
      <c r="N2" s="5" t="s">
        <v>686</v>
      </c>
      <c r="O2" s="5" t="s">
        <v>1</v>
      </c>
      <c r="P2" s="158" t="s">
        <v>2</v>
      </c>
      <c r="Q2" s="159"/>
      <c r="R2" s="4" t="s">
        <v>3</v>
      </c>
      <c r="S2" s="27" t="s">
        <v>360</v>
      </c>
      <c r="T2" s="27">
        <v>2017</v>
      </c>
    </row>
    <row r="3" spans="2:20" x14ac:dyDescent="0.2">
      <c r="B3" s="13" t="s">
        <v>1104</v>
      </c>
      <c r="C3" s="13" t="s">
        <v>1086</v>
      </c>
      <c r="D3" s="70">
        <v>23.2</v>
      </c>
      <c r="E3" s="70">
        <v>1</v>
      </c>
      <c r="F3" s="71">
        <v>177</v>
      </c>
      <c r="G3" s="15"/>
      <c r="H3" s="15">
        <v>1.913</v>
      </c>
      <c r="I3" s="15">
        <v>1.9</v>
      </c>
      <c r="J3" s="74">
        <f t="shared" ref="J3" si="0">H3-I3</f>
        <v>1.3000000000000123E-2</v>
      </c>
      <c r="K3" s="95">
        <f>(F3*(273.15+D3)/273.15)/(M3*N3)</f>
        <v>7.6813399231191655</v>
      </c>
      <c r="L3" s="148" t="s">
        <v>728</v>
      </c>
      <c r="M3" s="72">
        <f>VLOOKUP(L3,allgemein!$B$3:$C$11,2,FALSE)</f>
        <v>1</v>
      </c>
      <c r="N3" s="14">
        <v>25</v>
      </c>
      <c r="O3" s="13" t="s">
        <v>1114</v>
      </c>
      <c r="P3" s="83"/>
      <c r="Q3" s="44"/>
      <c r="R3" s="6"/>
    </row>
    <row r="4" spans="2:20" x14ac:dyDescent="0.2">
      <c r="B4" s="13" t="s">
        <v>1105</v>
      </c>
      <c r="C4" s="13" t="s">
        <v>41</v>
      </c>
      <c r="D4" s="70">
        <v>23.2</v>
      </c>
      <c r="E4" s="70">
        <v>1.7</v>
      </c>
      <c r="F4" s="71">
        <v>177</v>
      </c>
      <c r="G4" s="15"/>
      <c r="H4" s="15">
        <v>1.92</v>
      </c>
      <c r="I4" s="15">
        <v>1.909</v>
      </c>
      <c r="J4" s="74">
        <f t="shared" ref="J4:J30" si="1">H4-I4</f>
        <v>1.0999999999999899E-2</v>
      </c>
      <c r="K4" s="95">
        <f t="shared" ref="K4:K30" si="2">(F4*(273.15+D4)/273.15)/(M4*N4)</f>
        <v>7.6813399231191655</v>
      </c>
      <c r="L4" s="148" t="s">
        <v>728</v>
      </c>
      <c r="M4" s="72">
        <f>VLOOKUP(L4,allgemein!$B$3:$C$11,2,FALSE)</f>
        <v>1</v>
      </c>
      <c r="N4" s="14">
        <v>25</v>
      </c>
      <c r="O4" s="13" t="s">
        <v>41</v>
      </c>
      <c r="P4" s="21"/>
      <c r="Q4" s="44"/>
      <c r="R4" s="6"/>
    </row>
    <row r="5" spans="2:20" x14ac:dyDescent="0.2">
      <c r="B5" s="13" t="s">
        <v>1106</v>
      </c>
      <c r="C5" s="13" t="s">
        <v>41</v>
      </c>
      <c r="D5" s="70">
        <v>23.2</v>
      </c>
      <c r="E5" s="70">
        <v>1</v>
      </c>
      <c r="F5" s="71">
        <v>177</v>
      </c>
      <c r="G5" s="15"/>
      <c r="H5" s="15">
        <v>1.901</v>
      </c>
      <c r="I5" s="15">
        <v>1.887</v>
      </c>
      <c r="J5" s="74">
        <f t="shared" si="1"/>
        <v>1.4000000000000012E-2</v>
      </c>
      <c r="K5" s="95">
        <f>(F8*(273.15+D8)/273.15)/(M5*N5)</f>
        <v>7.6813399231191655</v>
      </c>
      <c r="L5" s="148" t="s">
        <v>728</v>
      </c>
      <c r="M5" s="72">
        <f>VLOOKUP(L5,allgemein!$B$3:$C$11,2,FALSE)</f>
        <v>1</v>
      </c>
      <c r="N5" s="14">
        <v>25</v>
      </c>
      <c r="O5" s="13" t="s">
        <v>41</v>
      </c>
      <c r="P5" s="21"/>
      <c r="Q5" s="44"/>
      <c r="R5" s="6"/>
    </row>
    <row r="6" spans="2:20" x14ac:dyDescent="0.2">
      <c r="B6" s="13" t="s">
        <v>1107</v>
      </c>
      <c r="C6" s="13" t="s">
        <v>41</v>
      </c>
      <c r="D6" s="70">
        <v>23.2</v>
      </c>
      <c r="E6" s="70">
        <v>1.9</v>
      </c>
      <c r="F6" s="71">
        <v>178</v>
      </c>
      <c r="G6" s="15"/>
      <c r="H6" s="15">
        <v>1.901</v>
      </c>
      <c r="I6" s="15">
        <v>1.8879999999999999</v>
      </c>
      <c r="J6" s="74">
        <f t="shared" si="1"/>
        <v>1.3000000000000123E-2</v>
      </c>
      <c r="K6" s="95">
        <f t="shared" si="2"/>
        <v>7.7247373238147539</v>
      </c>
      <c r="L6" s="148" t="s">
        <v>728</v>
      </c>
      <c r="M6" s="72">
        <f>VLOOKUP(L6,allgemein!$B$3:$C$11,2,FALSE)</f>
        <v>1</v>
      </c>
      <c r="N6" s="14">
        <v>25</v>
      </c>
      <c r="O6" s="13" t="s">
        <v>41</v>
      </c>
      <c r="P6" s="21"/>
      <c r="Q6" s="44"/>
      <c r="R6" s="6"/>
    </row>
    <row r="7" spans="2:20" x14ac:dyDescent="0.2">
      <c r="B7" s="13" t="s">
        <v>1108</v>
      </c>
      <c r="C7" s="13" t="s">
        <v>41</v>
      </c>
      <c r="D7" s="70">
        <v>23.1</v>
      </c>
      <c r="E7" s="70">
        <v>1.1000000000000001</v>
      </c>
      <c r="F7" s="71">
        <v>178</v>
      </c>
      <c r="G7" s="15"/>
      <c r="H7" s="15">
        <v>1.915</v>
      </c>
      <c r="I7" s="15">
        <v>1.9019999999999999</v>
      </c>
      <c r="J7" s="74">
        <f t="shared" si="1"/>
        <v>1.3000000000000123E-2</v>
      </c>
      <c r="K7" s="95">
        <f t="shared" si="2"/>
        <v>7.7221306974190007</v>
      </c>
      <c r="L7" s="148" t="s">
        <v>728</v>
      </c>
      <c r="M7" s="72">
        <f>VLOOKUP(L7,allgemein!$B$3:$C$11,2,FALSE)</f>
        <v>1</v>
      </c>
      <c r="N7" s="14">
        <v>25</v>
      </c>
      <c r="O7" s="13" t="s">
        <v>41</v>
      </c>
      <c r="P7" s="21"/>
      <c r="Q7" s="44"/>
      <c r="R7" s="6"/>
    </row>
    <row r="8" spans="2:20" x14ac:dyDescent="0.2">
      <c r="B8" s="13" t="s">
        <v>1109</v>
      </c>
      <c r="C8" s="13" t="s">
        <v>41</v>
      </c>
      <c r="D8" s="70">
        <v>23.2</v>
      </c>
      <c r="E8" s="70">
        <v>1.9</v>
      </c>
      <c r="F8" s="71">
        <v>177</v>
      </c>
      <c r="G8" s="15"/>
      <c r="H8" s="15">
        <v>1.8919999999999999</v>
      </c>
      <c r="I8" s="15">
        <v>1.88</v>
      </c>
      <c r="J8" s="74">
        <f t="shared" ref="J8" si="3">H8-I8</f>
        <v>1.2000000000000011E-2</v>
      </c>
      <c r="K8" s="95">
        <f t="shared" ref="K8" si="4">(F8*(273.15+D8)/273.15)/(M8*N8)</f>
        <v>7.6813399231191655</v>
      </c>
      <c r="L8" s="148" t="s">
        <v>728</v>
      </c>
      <c r="M8" s="72">
        <f>VLOOKUP(L8,allgemein!$B$3:$C$11,2,FALSE)</f>
        <v>1</v>
      </c>
      <c r="N8" s="14">
        <v>25</v>
      </c>
      <c r="O8" s="13" t="s">
        <v>41</v>
      </c>
      <c r="P8" s="21"/>
      <c r="Q8" s="44"/>
      <c r="R8" s="6"/>
    </row>
    <row r="9" spans="2:20" x14ac:dyDescent="0.2">
      <c r="B9" s="13" t="s">
        <v>1113</v>
      </c>
      <c r="C9" s="13" t="s">
        <v>1115</v>
      </c>
      <c r="D9" s="70">
        <v>23.6</v>
      </c>
      <c r="E9" s="70">
        <v>0.1</v>
      </c>
      <c r="F9" s="71">
        <v>178</v>
      </c>
      <c r="G9" s="15"/>
      <c r="H9" s="15">
        <v>1.905</v>
      </c>
      <c r="I9" s="15">
        <v>1.89</v>
      </c>
      <c r="J9" s="74">
        <f t="shared" si="1"/>
        <v>1.5000000000000124E-2</v>
      </c>
      <c r="K9" s="95">
        <f t="shared" si="2"/>
        <v>7.7351638293977665</v>
      </c>
      <c r="L9" s="148" t="s">
        <v>728</v>
      </c>
      <c r="M9" s="72">
        <f>VLOOKUP(L9,allgemein!$B$3:$C$11,2,FALSE)</f>
        <v>1</v>
      </c>
      <c r="N9" s="14">
        <v>25</v>
      </c>
      <c r="O9" s="13" t="s">
        <v>41</v>
      </c>
      <c r="P9" s="21"/>
      <c r="Q9" s="44"/>
      <c r="R9" s="6"/>
    </row>
    <row r="10" spans="2:20" x14ac:dyDescent="0.2">
      <c r="B10" s="13" t="s">
        <v>1110</v>
      </c>
      <c r="C10" s="13" t="s">
        <v>41</v>
      </c>
      <c r="D10" s="70">
        <v>23.8</v>
      </c>
      <c r="E10" s="70">
        <v>0.2</v>
      </c>
      <c r="F10" s="71">
        <v>178</v>
      </c>
      <c r="G10" s="15"/>
      <c r="H10" s="15">
        <v>1.895</v>
      </c>
      <c r="I10" s="15">
        <v>1.883</v>
      </c>
      <c r="J10" s="74">
        <f t="shared" si="1"/>
        <v>1.2000000000000011E-2</v>
      </c>
      <c r="K10" s="95">
        <f t="shared" si="2"/>
        <v>7.7403770821892737</v>
      </c>
      <c r="L10" s="148" t="s">
        <v>728</v>
      </c>
      <c r="M10" s="72">
        <f>VLOOKUP(L10,allgemein!$B$3:$C$11,2,FALSE)</f>
        <v>1</v>
      </c>
      <c r="N10" s="14">
        <v>25</v>
      </c>
      <c r="O10" s="13" t="s">
        <v>41</v>
      </c>
      <c r="P10" s="23"/>
      <c r="Q10" s="13"/>
      <c r="R10" s="6"/>
    </row>
    <row r="11" spans="2:20" x14ac:dyDescent="0.2">
      <c r="B11" s="13" t="s">
        <v>1111</v>
      </c>
      <c r="C11" s="13" t="s">
        <v>41</v>
      </c>
      <c r="D11" s="70">
        <v>24.2</v>
      </c>
      <c r="E11" s="70">
        <v>0.3</v>
      </c>
      <c r="F11" s="71">
        <v>179</v>
      </c>
      <c r="G11" s="15"/>
      <c r="H11" s="15">
        <v>1.8959999999999999</v>
      </c>
      <c r="I11" s="15">
        <v>1.8839999999999999</v>
      </c>
      <c r="J11" s="74">
        <f t="shared" si="1"/>
        <v>1.2000000000000011E-2</v>
      </c>
      <c r="K11" s="95">
        <f t="shared" si="2"/>
        <v>7.7943474281530287</v>
      </c>
      <c r="L11" s="148" t="s">
        <v>728</v>
      </c>
      <c r="M11" s="72">
        <f>VLOOKUP(L11,allgemein!$B$3:$C$11,2,FALSE)</f>
        <v>1</v>
      </c>
      <c r="N11" s="14">
        <v>25</v>
      </c>
      <c r="O11" s="13" t="s">
        <v>41</v>
      </c>
      <c r="P11" s="21"/>
      <c r="Q11" s="44"/>
      <c r="R11" s="6"/>
    </row>
    <row r="12" spans="2:20" x14ac:dyDescent="0.2">
      <c r="B12" s="13" t="s">
        <v>1112</v>
      </c>
      <c r="C12" s="13" t="s">
        <v>41</v>
      </c>
      <c r="D12" s="70">
        <v>24.6</v>
      </c>
      <c r="E12" s="70">
        <v>0.7</v>
      </c>
      <c r="F12" s="71">
        <v>177</v>
      </c>
      <c r="G12" s="15"/>
      <c r="H12" s="15">
        <v>1.893</v>
      </c>
      <c r="I12" s="15">
        <v>1.885</v>
      </c>
      <c r="J12" s="74">
        <f t="shared" si="1"/>
        <v>8.0000000000000071E-3</v>
      </c>
      <c r="K12" s="95">
        <f t="shared" si="2"/>
        <v>7.717627677100495</v>
      </c>
      <c r="L12" s="148" t="s">
        <v>728</v>
      </c>
      <c r="M12" s="72">
        <f>VLOOKUP(L12,allgemein!$B$3:$C$11,2,FALSE)</f>
        <v>1</v>
      </c>
      <c r="N12" s="14">
        <v>25</v>
      </c>
      <c r="O12" s="13" t="s">
        <v>41</v>
      </c>
      <c r="P12" s="21"/>
      <c r="Q12" s="13"/>
      <c r="R12" s="6"/>
    </row>
    <row r="13" spans="2:20" x14ac:dyDescent="0.2">
      <c r="B13" s="13" t="s">
        <v>1116</v>
      </c>
      <c r="C13" s="13" t="s">
        <v>41</v>
      </c>
      <c r="D13" s="70">
        <v>25.1</v>
      </c>
      <c r="E13" s="70">
        <v>0.7</v>
      </c>
      <c r="F13" s="71">
        <v>177</v>
      </c>
      <c r="G13" s="15"/>
      <c r="H13" s="15">
        <v>1.8839999999999999</v>
      </c>
      <c r="I13" s="15">
        <v>1.875</v>
      </c>
      <c r="J13" s="74">
        <f t="shared" si="1"/>
        <v>8.999999999999897E-3</v>
      </c>
      <c r="K13" s="95">
        <f t="shared" si="2"/>
        <v>7.7305875892366842</v>
      </c>
      <c r="L13" s="148" t="s">
        <v>728</v>
      </c>
      <c r="M13" s="72">
        <f>VLOOKUP(L13,allgemein!$B$3:$C$11,2,FALSE)</f>
        <v>1</v>
      </c>
      <c r="N13" s="14">
        <v>25</v>
      </c>
      <c r="O13" s="13" t="s">
        <v>41</v>
      </c>
      <c r="P13" s="23"/>
      <c r="Q13" s="13"/>
      <c r="R13" s="6"/>
    </row>
    <row r="14" spans="2:20" x14ac:dyDescent="0.2">
      <c r="B14" s="13" t="s">
        <v>1117</v>
      </c>
      <c r="C14" s="13" t="s">
        <v>41</v>
      </c>
      <c r="D14" s="70">
        <v>25.6</v>
      </c>
      <c r="E14" s="70">
        <v>0.1</v>
      </c>
      <c r="F14" s="71">
        <v>177</v>
      </c>
      <c r="G14" s="15"/>
      <c r="H14" s="15">
        <v>1.8879999999999999</v>
      </c>
      <c r="I14" s="15">
        <v>1.875</v>
      </c>
      <c r="J14" s="74">
        <f t="shared" si="1"/>
        <v>1.2999999999999901E-2</v>
      </c>
      <c r="K14" s="95">
        <f t="shared" si="2"/>
        <v>7.7435475013728725</v>
      </c>
      <c r="L14" s="148" t="s">
        <v>728</v>
      </c>
      <c r="M14" s="72">
        <f>VLOOKUP(L14,allgemein!$B$3:$C$11,2,FALSE)</f>
        <v>1</v>
      </c>
      <c r="N14" s="14">
        <v>25</v>
      </c>
      <c r="O14" s="13" t="s">
        <v>41</v>
      </c>
      <c r="P14" s="23"/>
      <c r="Q14" s="44"/>
      <c r="R14" s="6"/>
    </row>
    <row r="15" spans="2:20" x14ac:dyDescent="0.2">
      <c r="B15" s="13" t="s">
        <v>1118</v>
      </c>
      <c r="C15" s="13" t="s">
        <v>41</v>
      </c>
      <c r="D15" s="70">
        <v>26.6</v>
      </c>
      <c r="E15" s="70">
        <v>0.2</v>
      </c>
      <c r="F15" s="71">
        <v>178</v>
      </c>
      <c r="G15" s="15"/>
      <c r="H15" s="15">
        <v>1.8979999999999999</v>
      </c>
      <c r="I15" s="15">
        <v>1.8640000000000001</v>
      </c>
      <c r="J15" s="142">
        <f t="shared" si="1"/>
        <v>3.3999999999999808E-2</v>
      </c>
      <c r="K15" s="95">
        <f t="shared" si="2"/>
        <v>7.8133626212703655</v>
      </c>
      <c r="L15" s="148" t="s">
        <v>728</v>
      </c>
      <c r="M15" s="72">
        <f>VLOOKUP(L15,allgemein!$B$3:$C$11,2,FALSE)</f>
        <v>1</v>
      </c>
      <c r="N15" s="14">
        <v>25</v>
      </c>
      <c r="O15" s="13" t="s">
        <v>41</v>
      </c>
      <c r="P15" s="23"/>
      <c r="Q15" s="13"/>
      <c r="R15" s="6"/>
    </row>
    <row r="16" spans="2:20" x14ac:dyDescent="0.2">
      <c r="B16" s="13"/>
      <c r="C16" s="13" t="s">
        <v>41</v>
      </c>
      <c r="D16" s="70">
        <v>23.5</v>
      </c>
      <c r="E16" s="70">
        <v>0.2</v>
      </c>
      <c r="F16" s="71">
        <v>179</v>
      </c>
      <c r="G16" s="15"/>
      <c r="H16" s="15">
        <v>1.9079999999999999</v>
      </c>
      <c r="I16" s="15">
        <v>1.8759999999999999</v>
      </c>
      <c r="J16" s="142">
        <f t="shared" si="1"/>
        <v>3.2000000000000028E-2</v>
      </c>
      <c r="K16" s="95">
        <f t="shared" si="2"/>
        <v>7.775998535603148</v>
      </c>
      <c r="L16" s="148" t="s">
        <v>728</v>
      </c>
      <c r="M16" s="72">
        <f>VLOOKUP(L16,allgemein!$B$3:$C$11,2,FALSE)</f>
        <v>1</v>
      </c>
      <c r="N16" s="14">
        <v>25</v>
      </c>
      <c r="O16" s="13" t="s">
        <v>41</v>
      </c>
      <c r="P16" s="23"/>
      <c r="Q16" s="13"/>
      <c r="R16" s="6"/>
    </row>
    <row r="17" spans="2:18" x14ac:dyDescent="0.2">
      <c r="B17" s="13"/>
      <c r="C17" s="13" t="s">
        <v>41</v>
      </c>
      <c r="D17" s="70">
        <v>22.9</v>
      </c>
      <c r="E17" s="70">
        <v>2.7</v>
      </c>
      <c r="F17" s="71">
        <v>178</v>
      </c>
      <c r="G17" s="15"/>
      <c r="H17" s="15">
        <v>1.899</v>
      </c>
      <c r="I17" s="15">
        <v>1.877</v>
      </c>
      <c r="J17" s="142">
        <f t="shared" si="1"/>
        <v>2.200000000000002E-2</v>
      </c>
      <c r="K17" s="95">
        <f t="shared" si="2"/>
        <v>7.7169174446274944</v>
      </c>
      <c r="L17" s="148" t="s">
        <v>728</v>
      </c>
      <c r="M17" s="72">
        <f>VLOOKUP(L17,allgemein!$B$3:$C$11,2,FALSE)</f>
        <v>1</v>
      </c>
      <c r="N17" s="14">
        <v>25</v>
      </c>
      <c r="O17" s="13" t="s">
        <v>41</v>
      </c>
      <c r="P17" s="23" t="s">
        <v>1140</v>
      </c>
      <c r="Q17" s="13"/>
      <c r="R17" s="6"/>
    </row>
    <row r="18" spans="2:18" x14ac:dyDescent="0.2">
      <c r="B18" s="13"/>
      <c r="C18" s="13" t="s">
        <v>41</v>
      </c>
      <c r="D18" s="70">
        <v>23.1</v>
      </c>
      <c r="E18" s="70">
        <v>2.9</v>
      </c>
      <c r="F18" s="71">
        <v>178</v>
      </c>
      <c r="G18" s="15"/>
      <c r="H18" s="15">
        <v>1.899</v>
      </c>
      <c r="I18" s="15">
        <v>1.877</v>
      </c>
      <c r="J18" s="142">
        <f t="shared" si="1"/>
        <v>2.200000000000002E-2</v>
      </c>
      <c r="K18" s="95">
        <f t="shared" si="2"/>
        <v>7.7221306974190007</v>
      </c>
      <c r="L18" s="148" t="s">
        <v>728</v>
      </c>
      <c r="M18" s="72">
        <f>VLOOKUP(L18,allgemein!$B$3:$C$11,2,FALSE)</f>
        <v>1</v>
      </c>
      <c r="N18" s="14">
        <v>25</v>
      </c>
      <c r="O18" s="13" t="s">
        <v>41</v>
      </c>
      <c r="P18" s="13" t="s">
        <v>41</v>
      </c>
      <c r="Q18" s="13"/>
      <c r="R18" s="6"/>
    </row>
    <row r="19" spans="2:18" x14ac:dyDescent="0.2">
      <c r="B19" s="13"/>
      <c r="C19" s="13" t="s">
        <v>41</v>
      </c>
      <c r="D19" s="70">
        <v>22.8</v>
      </c>
      <c r="E19" s="70">
        <v>0.3</v>
      </c>
      <c r="F19" s="71">
        <v>178</v>
      </c>
      <c r="G19" s="15"/>
      <c r="H19" s="15">
        <v>1.897</v>
      </c>
      <c r="I19" s="15">
        <v>1.8819999999999999</v>
      </c>
      <c r="J19" s="92">
        <f t="shared" si="1"/>
        <v>1.5000000000000124E-2</v>
      </c>
      <c r="K19" s="95">
        <f t="shared" si="2"/>
        <v>7.7143108182317413</v>
      </c>
      <c r="L19" s="148" t="s">
        <v>728</v>
      </c>
      <c r="M19" s="72">
        <f>VLOOKUP(L19,allgemein!$B$3:$C$11,2,FALSE)</f>
        <v>1</v>
      </c>
      <c r="N19" s="14">
        <v>25</v>
      </c>
      <c r="O19" s="13" t="s">
        <v>41</v>
      </c>
      <c r="P19" s="23" t="s">
        <v>1141</v>
      </c>
      <c r="Q19" s="13"/>
      <c r="R19" s="6"/>
    </row>
    <row r="20" spans="2:18" x14ac:dyDescent="0.2">
      <c r="B20" s="13" t="s">
        <v>1119</v>
      </c>
      <c r="C20" s="13" t="s">
        <v>41</v>
      </c>
      <c r="D20" s="70">
        <v>27.4</v>
      </c>
      <c r="E20" s="70">
        <v>0.2</v>
      </c>
      <c r="F20" s="71">
        <v>178</v>
      </c>
      <c r="G20" s="15"/>
      <c r="H20" s="15">
        <v>1.867</v>
      </c>
      <c r="I20" s="15">
        <v>1.8520000000000001</v>
      </c>
      <c r="J20" s="74">
        <f t="shared" si="1"/>
        <v>1.4999999999999902E-2</v>
      </c>
      <c r="K20" s="95">
        <f t="shared" si="2"/>
        <v>7.8342156324363899</v>
      </c>
      <c r="L20" s="148" t="s">
        <v>728</v>
      </c>
      <c r="M20" s="72">
        <f>VLOOKUP(L20,allgemein!$B$3:$C$11,2,FALSE)</f>
        <v>1</v>
      </c>
      <c r="N20" s="14">
        <v>25</v>
      </c>
      <c r="O20" s="13" t="s">
        <v>41</v>
      </c>
      <c r="P20" s="23"/>
      <c r="Q20" s="13"/>
      <c r="R20" s="6"/>
    </row>
    <row r="21" spans="2:18" x14ac:dyDescent="0.2">
      <c r="B21" s="13" t="s">
        <v>1120</v>
      </c>
      <c r="C21" s="13" t="s">
        <v>41</v>
      </c>
      <c r="D21" s="70">
        <v>23.4</v>
      </c>
      <c r="E21" s="70">
        <v>0.2</v>
      </c>
      <c r="F21" s="71">
        <v>178</v>
      </c>
      <c r="G21" s="15"/>
      <c r="H21" s="15">
        <v>1.8859999999999999</v>
      </c>
      <c r="I21" s="15">
        <v>1.875</v>
      </c>
      <c r="J21" s="74">
        <f t="shared" ref="J21:J28" si="5">H21-I21</f>
        <v>1.0999999999999899E-2</v>
      </c>
      <c r="K21" s="95">
        <f t="shared" ref="K21:K28" si="6">(F21*(273.15+D21)/273.15)/(M21*N21)</f>
        <v>7.7299505766062602</v>
      </c>
      <c r="L21" s="148" t="s">
        <v>728</v>
      </c>
      <c r="M21" s="72">
        <f>VLOOKUP(L21,allgemein!$B$3:$C$11,2,FALSE)</f>
        <v>1</v>
      </c>
      <c r="N21" s="14">
        <v>25</v>
      </c>
      <c r="O21" s="13" t="s">
        <v>41</v>
      </c>
      <c r="P21" s="23"/>
      <c r="Q21" s="44"/>
      <c r="R21" s="6"/>
    </row>
    <row r="22" spans="2:18" x14ac:dyDescent="0.2">
      <c r="B22" s="13" t="s">
        <v>1121</v>
      </c>
      <c r="C22" s="13" t="s">
        <v>41</v>
      </c>
      <c r="D22" s="70">
        <v>23.6</v>
      </c>
      <c r="E22" s="70">
        <v>0.1</v>
      </c>
      <c r="F22" s="71">
        <v>177</v>
      </c>
      <c r="G22" s="15"/>
      <c r="H22" s="15">
        <v>1.8879999999999999</v>
      </c>
      <c r="I22" s="15">
        <v>1.877</v>
      </c>
      <c r="J22" s="74">
        <f t="shared" si="5"/>
        <v>1.0999999999999899E-2</v>
      </c>
      <c r="K22" s="95">
        <f t="shared" si="6"/>
        <v>7.6917078528281175</v>
      </c>
      <c r="L22" s="148" t="s">
        <v>728</v>
      </c>
      <c r="M22" s="72">
        <f>VLOOKUP(L22,allgemein!$B$3:$C$11,2,FALSE)</f>
        <v>1</v>
      </c>
      <c r="N22" s="14">
        <v>25</v>
      </c>
      <c r="O22" s="13" t="s">
        <v>41</v>
      </c>
      <c r="P22" s="23"/>
      <c r="Q22" s="13"/>
      <c r="R22" s="6"/>
    </row>
    <row r="23" spans="2:18" x14ac:dyDescent="0.2">
      <c r="B23" s="13" t="s">
        <v>1122</v>
      </c>
      <c r="C23" s="13" t="s">
        <v>41</v>
      </c>
      <c r="D23" s="70">
        <v>23.7</v>
      </c>
      <c r="E23" s="70">
        <v>0.1</v>
      </c>
      <c r="F23" s="71">
        <v>178</v>
      </c>
      <c r="G23" s="15"/>
      <c r="H23" s="15">
        <v>1.8979999999999999</v>
      </c>
      <c r="I23" s="15">
        <v>1.885</v>
      </c>
      <c r="J23" s="74">
        <f t="shared" si="5"/>
        <v>1.2999999999999901E-2</v>
      </c>
      <c r="K23" s="95">
        <f t="shared" si="6"/>
        <v>7.7377704557935205</v>
      </c>
      <c r="L23" s="148" t="s">
        <v>728</v>
      </c>
      <c r="M23" s="72">
        <f>VLOOKUP(L23,allgemein!$B$3:$C$11,2,FALSE)</f>
        <v>1</v>
      </c>
      <c r="N23" s="14">
        <v>25</v>
      </c>
      <c r="O23" s="13" t="s">
        <v>41</v>
      </c>
      <c r="P23" s="23"/>
      <c r="Q23" s="13"/>
      <c r="R23" s="6"/>
    </row>
    <row r="24" spans="2:18" x14ac:dyDescent="0.2">
      <c r="B24" s="13" t="s">
        <v>1123</v>
      </c>
      <c r="C24" s="13" t="s">
        <v>41</v>
      </c>
      <c r="D24" s="70">
        <v>23.8</v>
      </c>
      <c r="E24" s="70">
        <v>0.1</v>
      </c>
      <c r="F24" s="71">
        <v>177</v>
      </c>
      <c r="G24" s="15"/>
      <c r="H24" s="15">
        <v>1.8819999999999999</v>
      </c>
      <c r="I24" s="15">
        <v>1.87</v>
      </c>
      <c r="J24" s="74">
        <f t="shared" si="5"/>
        <v>1.1999999999999789E-2</v>
      </c>
      <c r="K24" s="95">
        <f t="shared" si="6"/>
        <v>7.6968918176825927</v>
      </c>
      <c r="L24" s="148" t="s">
        <v>728</v>
      </c>
      <c r="M24" s="72">
        <f>VLOOKUP(L24,allgemein!$B$3:$C$11,2,FALSE)</f>
        <v>1</v>
      </c>
      <c r="N24" s="14">
        <v>25</v>
      </c>
      <c r="O24" s="13" t="s">
        <v>41</v>
      </c>
      <c r="P24" s="23"/>
      <c r="Q24" s="44"/>
      <c r="R24" s="6"/>
    </row>
    <row r="25" spans="2:18" x14ac:dyDescent="0.2">
      <c r="B25" s="13" t="s">
        <v>1124</v>
      </c>
      <c r="C25" s="13" t="s">
        <v>41</v>
      </c>
      <c r="D25" s="70">
        <v>23.9</v>
      </c>
      <c r="E25" s="70">
        <v>0</v>
      </c>
      <c r="F25" s="71">
        <v>178</v>
      </c>
      <c r="G25" s="15"/>
      <c r="H25" s="15">
        <v>1.893</v>
      </c>
      <c r="I25" s="15">
        <v>1.8779999999999999</v>
      </c>
      <c r="J25" s="74">
        <f t="shared" si="5"/>
        <v>1.5000000000000124E-2</v>
      </c>
      <c r="K25" s="95">
        <f t="shared" si="6"/>
        <v>7.7429837085850259</v>
      </c>
      <c r="L25" s="148" t="s">
        <v>728</v>
      </c>
      <c r="M25" s="72">
        <f>VLOOKUP(L25,allgemein!$B$3:$C$11,2,FALSE)</f>
        <v>1</v>
      </c>
      <c r="N25" s="14">
        <v>25</v>
      </c>
      <c r="O25" s="13" t="s">
        <v>41</v>
      </c>
      <c r="Q25" s="13"/>
      <c r="R25" s="6"/>
    </row>
    <row r="26" spans="2:18" x14ac:dyDescent="0.2">
      <c r="B26" s="13" t="s">
        <v>1125</v>
      </c>
      <c r="C26" s="13" t="s">
        <v>41</v>
      </c>
      <c r="D26" s="70">
        <v>24</v>
      </c>
      <c r="E26" s="70">
        <v>0</v>
      </c>
      <c r="F26" s="71">
        <v>177</v>
      </c>
      <c r="G26" s="15"/>
      <c r="H26" s="15">
        <v>1.8859999999999999</v>
      </c>
      <c r="I26" s="15">
        <v>1.8720000000000001</v>
      </c>
      <c r="J26" s="74">
        <f t="shared" si="5"/>
        <v>1.399999999999979E-2</v>
      </c>
      <c r="K26" s="95">
        <f t="shared" si="6"/>
        <v>7.7020757825370678</v>
      </c>
      <c r="L26" s="148" t="s">
        <v>728</v>
      </c>
      <c r="M26" s="72">
        <f>VLOOKUP(L26,allgemein!$B$3:$C$11,2,FALSE)</f>
        <v>1</v>
      </c>
      <c r="N26" s="14">
        <v>25</v>
      </c>
      <c r="O26" s="13" t="s">
        <v>41</v>
      </c>
      <c r="P26" s="23"/>
      <c r="Q26" s="13"/>
      <c r="R26" s="6"/>
    </row>
    <row r="27" spans="2:18" x14ac:dyDescent="0.2">
      <c r="B27" s="13" t="s">
        <v>1127</v>
      </c>
      <c r="C27" s="13" t="s">
        <v>41</v>
      </c>
      <c r="D27" s="70">
        <v>24.3</v>
      </c>
      <c r="E27" s="70">
        <v>0.1</v>
      </c>
      <c r="F27" s="71">
        <v>178</v>
      </c>
      <c r="G27" s="15"/>
      <c r="H27" s="15">
        <v>1.891</v>
      </c>
      <c r="I27" s="15">
        <v>1.877</v>
      </c>
      <c r="J27" s="74">
        <f t="shared" si="5"/>
        <v>1.4000000000000012E-2</v>
      </c>
      <c r="K27" s="95">
        <f t="shared" si="6"/>
        <v>7.7534102141680394</v>
      </c>
      <c r="L27" s="148" t="s">
        <v>728</v>
      </c>
      <c r="M27" s="72">
        <f>VLOOKUP(L27,allgemein!$B$3:$C$11,2,FALSE)</f>
        <v>1</v>
      </c>
      <c r="N27" s="14">
        <v>25</v>
      </c>
      <c r="O27" s="13" t="s">
        <v>41</v>
      </c>
      <c r="P27" s="86"/>
      <c r="Q27" s="13"/>
      <c r="R27" s="6"/>
    </row>
    <row r="28" spans="2:18" x14ac:dyDescent="0.2">
      <c r="B28" s="13" t="s">
        <v>1126</v>
      </c>
      <c r="C28" s="13" t="s">
        <v>41</v>
      </c>
      <c r="D28" s="70">
        <v>24.5</v>
      </c>
      <c r="E28" s="70">
        <v>0.1</v>
      </c>
      <c r="F28" s="71">
        <v>178</v>
      </c>
      <c r="G28" s="15"/>
      <c r="H28" s="15">
        <v>1.88</v>
      </c>
      <c r="I28" s="15">
        <v>1.869</v>
      </c>
      <c r="J28" s="74">
        <f t="shared" si="5"/>
        <v>1.0999999999999899E-2</v>
      </c>
      <c r="K28" s="95">
        <f t="shared" si="6"/>
        <v>7.7586234669595466</v>
      </c>
      <c r="L28" s="148" t="s">
        <v>728</v>
      </c>
      <c r="M28" s="72">
        <f>VLOOKUP(L28,allgemein!$B$3:$C$11,2,FALSE)</f>
        <v>1</v>
      </c>
      <c r="N28" s="14">
        <v>25</v>
      </c>
      <c r="O28" s="13" t="s">
        <v>41</v>
      </c>
      <c r="P28" s="23"/>
      <c r="Q28" s="13"/>
      <c r="R28" s="6"/>
    </row>
    <row r="29" spans="2:18" x14ac:dyDescent="0.2">
      <c r="B29" s="13" t="s">
        <v>1128</v>
      </c>
      <c r="C29" s="13" t="s">
        <v>1062</v>
      </c>
      <c r="D29" s="70">
        <v>24.3</v>
      </c>
      <c r="E29" s="70">
        <v>0.1</v>
      </c>
      <c r="F29" s="71">
        <v>287</v>
      </c>
      <c r="G29" s="15"/>
      <c r="H29" s="15">
        <v>1.877</v>
      </c>
      <c r="I29" s="15">
        <v>1.8640000000000001</v>
      </c>
      <c r="J29" s="74">
        <f t="shared" ref="J29" si="7">H29-I29</f>
        <v>1.2999999999999901E-2</v>
      </c>
      <c r="K29" s="95">
        <f t="shared" ref="K29" si="8">(F29*(273.15+D29)/273.15)/(M29*N29)</f>
        <v>7.8133031301482703</v>
      </c>
      <c r="L29" s="15" t="s">
        <v>328</v>
      </c>
      <c r="M29" s="72">
        <f>VLOOKUP(L29,allgemein!$B$3:$C$11,2,FALSE)</f>
        <v>1</v>
      </c>
      <c r="N29" s="14">
        <v>40</v>
      </c>
      <c r="O29" s="13" t="s">
        <v>1136</v>
      </c>
      <c r="P29" s="23"/>
      <c r="Q29" s="13"/>
      <c r="R29" s="6"/>
    </row>
    <row r="30" spans="2:18" x14ac:dyDescent="0.2">
      <c r="B30" s="13" t="s">
        <v>1129</v>
      </c>
      <c r="C30" s="13" t="s">
        <v>41</v>
      </c>
      <c r="D30" s="70">
        <v>24.3</v>
      </c>
      <c r="E30" s="70">
        <v>0.1</v>
      </c>
      <c r="F30" s="71">
        <v>287</v>
      </c>
      <c r="G30" s="15"/>
      <c r="H30" s="15">
        <v>1.88</v>
      </c>
      <c r="I30" s="15">
        <v>1.8640000000000001</v>
      </c>
      <c r="J30" s="74">
        <f t="shared" si="1"/>
        <v>1.5999999999999792E-2</v>
      </c>
      <c r="K30" s="95">
        <f t="shared" si="2"/>
        <v>7.8133031301482703</v>
      </c>
      <c r="L30" s="15" t="s">
        <v>328</v>
      </c>
      <c r="M30" s="72">
        <f>VLOOKUP(L30,allgemein!$B$3:$C$11,2,FALSE)</f>
        <v>1</v>
      </c>
      <c r="N30" s="14">
        <v>40</v>
      </c>
      <c r="O30" s="13" t="s">
        <v>41</v>
      </c>
      <c r="P30" s="23"/>
      <c r="Q30" s="13"/>
      <c r="R30" s="6"/>
    </row>
    <row r="31" spans="2:18" x14ac:dyDescent="0.2">
      <c r="B31" s="13" t="s">
        <v>1130</v>
      </c>
      <c r="C31" s="13" t="s">
        <v>41</v>
      </c>
      <c r="D31" s="70">
        <v>24.3</v>
      </c>
      <c r="E31" s="70">
        <v>0.2</v>
      </c>
      <c r="F31" s="71">
        <v>286</v>
      </c>
      <c r="G31" s="15"/>
      <c r="H31" s="15">
        <v>1.8839999999999999</v>
      </c>
      <c r="I31" s="15">
        <v>1.871</v>
      </c>
      <c r="J31" s="74">
        <f t="shared" ref="J31:J36" si="9">H31-I31</f>
        <v>1.2999999999999901E-2</v>
      </c>
      <c r="K31" s="95">
        <f t="shared" ref="K31:K36" si="10">(F31*(273.15+D31)/273.15)/(M31*N31)</f>
        <v>7.7860790774299842</v>
      </c>
      <c r="L31" s="15" t="s">
        <v>328</v>
      </c>
      <c r="M31" s="72">
        <f>VLOOKUP(L31,allgemein!$B$3:$C$11,2,FALSE)</f>
        <v>1</v>
      </c>
      <c r="N31" s="14">
        <v>40</v>
      </c>
      <c r="O31" s="13" t="s">
        <v>41</v>
      </c>
      <c r="P31" s="21"/>
      <c r="Q31" s="13"/>
      <c r="R31" s="6"/>
    </row>
    <row r="32" spans="2:18" x14ac:dyDescent="0.2">
      <c r="B32" s="13" t="s">
        <v>1131</v>
      </c>
      <c r="C32" s="13" t="s">
        <v>41</v>
      </c>
      <c r="D32" s="70">
        <v>24.2</v>
      </c>
      <c r="E32" s="70">
        <v>0.1</v>
      </c>
      <c r="F32" s="71">
        <v>287</v>
      </c>
      <c r="G32" s="15"/>
      <c r="H32" s="15">
        <v>1.877</v>
      </c>
      <c r="I32" s="15">
        <v>1.8620000000000001</v>
      </c>
      <c r="J32" s="74">
        <f t="shared" si="9"/>
        <v>1.4999999999999902E-2</v>
      </c>
      <c r="K32" s="95">
        <f t="shared" si="10"/>
        <v>7.8106763682958089</v>
      </c>
      <c r="L32" s="15" t="s">
        <v>328</v>
      </c>
      <c r="M32" s="72">
        <f>VLOOKUP(L32,allgemein!$B$3:$C$11,2,FALSE)</f>
        <v>1</v>
      </c>
      <c r="N32" s="14">
        <v>40</v>
      </c>
      <c r="O32" s="13" t="s">
        <v>41</v>
      </c>
      <c r="P32" s="21"/>
      <c r="Q32" s="13"/>
      <c r="R32" s="6"/>
    </row>
    <row r="33" spans="2:18" x14ac:dyDescent="0.2">
      <c r="B33" s="13" t="s">
        <v>1132</v>
      </c>
      <c r="C33" s="13" t="s">
        <v>1139</v>
      </c>
      <c r="D33" s="70">
        <v>24</v>
      </c>
      <c r="E33" s="70">
        <v>0.7</v>
      </c>
      <c r="F33" s="71">
        <v>285</v>
      </c>
      <c r="G33" s="15"/>
      <c r="H33" s="15">
        <v>1.8660000000000001</v>
      </c>
      <c r="I33" s="15">
        <v>1.855</v>
      </c>
      <c r="J33" s="74">
        <f t="shared" si="9"/>
        <v>1.1000000000000121E-2</v>
      </c>
      <c r="K33" s="95">
        <f t="shared" si="10"/>
        <v>7.7510296540362447</v>
      </c>
      <c r="L33" s="15" t="s">
        <v>328</v>
      </c>
      <c r="M33" s="72">
        <f>VLOOKUP(L33,allgemein!$B$3:$C$11,2,FALSE)</f>
        <v>1</v>
      </c>
      <c r="N33" s="14">
        <v>40</v>
      </c>
      <c r="O33" s="13" t="s">
        <v>41</v>
      </c>
      <c r="P33" s="21" t="s">
        <v>1137</v>
      </c>
      <c r="Q33" s="13"/>
      <c r="R33" s="6"/>
    </row>
    <row r="34" spans="2:18" x14ac:dyDescent="0.2">
      <c r="B34" s="13" t="s">
        <v>1133</v>
      </c>
      <c r="C34" s="13" t="s">
        <v>41</v>
      </c>
      <c r="D34" s="70">
        <v>23.9</v>
      </c>
      <c r="E34" s="70">
        <v>0.1</v>
      </c>
      <c r="F34" s="71">
        <v>285</v>
      </c>
      <c r="G34" s="15"/>
      <c r="H34" s="15">
        <v>1.863</v>
      </c>
      <c r="I34" s="15">
        <v>1.847</v>
      </c>
      <c r="J34" s="74">
        <f t="shared" si="9"/>
        <v>1.6000000000000014E-2</v>
      </c>
      <c r="K34" s="95">
        <f t="shared" si="10"/>
        <v>7.7484211971444257</v>
      </c>
      <c r="L34" s="15" t="s">
        <v>328</v>
      </c>
      <c r="M34" s="72">
        <f>VLOOKUP(L34,allgemein!$B$3:$C$11,2,FALSE)</f>
        <v>1</v>
      </c>
      <c r="N34" s="14">
        <v>40</v>
      </c>
      <c r="O34" s="13" t="s">
        <v>41</v>
      </c>
      <c r="P34" s="21" t="s">
        <v>1138</v>
      </c>
      <c r="Q34" s="13"/>
      <c r="R34" s="6"/>
    </row>
    <row r="35" spans="2:18" x14ac:dyDescent="0.2">
      <c r="B35" s="13" t="s">
        <v>1134</v>
      </c>
      <c r="C35" s="13" t="s">
        <v>1062</v>
      </c>
      <c r="D35" s="70">
        <v>23.7</v>
      </c>
      <c r="E35" s="70">
        <v>0</v>
      </c>
      <c r="F35" s="71">
        <v>285</v>
      </c>
      <c r="G35" s="15"/>
      <c r="H35" s="15">
        <v>1.8720000000000001</v>
      </c>
      <c r="I35" s="15">
        <v>1.8580000000000001</v>
      </c>
      <c r="J35" s="74">
        <f t="shared" si="9"/>
        <v>1.4000000000000012E-2</v>
      </c>
      <c r="K35" s="95">
        <f t="shared" si="10"/>
        <v>7.7432042833607895</v>
      </c>
      <c r="L35" s="15" t="s">
        <v>328</v>
      </c>
      <c r="M35" s="72">
        <f>VLOOKUP(L35,allgemein!$B$3:$C$11,2,FALSE)</f>
        <v>1</v>
      </c>
      <c r="N35" s="14">
        <v>40</v>
      </c>
      <c r="O35" s="13" t="s">
        <v>41</v>
      </c>
      <c r="P35" s="13"/>
      <c r="Q35" s="13"/>
      <c r="R35" s="6"/>
    </row>
    <row r="36" spans="2:18" x14ac:dyDescent="0.2">
      <c r="B36" s="13" t="s">
        <v>1135</v>
      </c>
      <c r="C36" s="13" t="s">
        <v>41</v>
      </c>
      <c r="D36" s="70">
        <v>23.4</v>
      </c>
      <c r="E36" s="70">
        <v>0.1</v>
      </c>
      <c r="F36" s="71">
        <v>286</v>
      </c>
      <c r="G36" s="15"/>
      <c r="H36" s="15">
        <v>1.865</v>
      </c>
      <c r="I36" s="15">
        <v>1.8520000000000001</v>
      </c>
      <c r="J36" s="74">
        <f t="shared" si="9"/>
        <v>1.2999999999999901E-2</v>
      </c>
      <c r="K36" s="95">
        <f t="shared" si="10"/>
        <v>7.7625205930807244</v>
      </c>
      <c r="L36" s="15" t="s">
        <v>328</v>
      </c>
      <c r="M36" s="72">
        <f>VLOOKUP(L36,allgemein!$B$3:$C$11,2,FALSE)</f>
        <v>1</v>
      </c>
      <c r="N36" s="14">
        <v>40</v>
      </c>
      <c r="O36" s="13" t="s">
        <v>41</v>
      </c>
      <c r="P36" s="13"/>
      <c r="Q36" s="79"/>
      <c r="R36" s="6"/>
    </row>
    <row r="37" spans="2:18" x14ac:dyDescent="0.2">
      <c r="B37" s="13" t="s">
        <v>470</v>
      </c>
      <c r="C37" s="13" t="s">
        <v>41</v>
      </c>
      <c r="D37" s="70">
        <v>22.8</v>
      </c>
      <c r="E37" s="70">
        <v>0</v>
      </c>
      <c r="F37" s="71">
        <v>285</v>
      </c>
      <c r="G37" s="15"/>
      <c r="H37" s="15">
        <v>1.8560000000000001</v>
      </c>
      <c r="I37" s="15">
        <v>1.843</v>
      </c>
      <c r="J37" s="74">
        <f t="shared" ref="J37:J38" si="11">H37-I37</f>
        <v>1.3000000000000123E-2</v>
      </c>
      <c r="K37" s="95">
        <f t="shared" ref="K37:K38" si="12">(F37*(273.15+D37)/273.15)/(M37*N37)</f>
        <v>7.7197281713344328</v>
      </c>
      <c r="L37" s="15" t="s">
        <v>328</v>
      </c>
      <c r="M37" s="72">
        <f>VLOOKUP(L37,allgemein!$B$3:$C$11,2,FALSE)</f>
        <v>1</v>
      </c>
      <c r="N37" s="14">
        <v>40</v>
      </c>
      <c r="O37" s="13" t="s">
        <v>459</v>
      </c>
      <c r="P37" s="13" t="s">
        <v>1142</v>
      </c>
      <c r="Q37" s="13"/>
      <c r="R37" s="6"/>
    </row>
    <row r="38" spans="2:18" x14ac:dyDescent="0.2">
      <c r="B38" s="13" t="s">
        <v>1143</v>
      </c>
      <c r="C38" s="13" t="s">
        <v>41</v>
      </c>
      <c r="D38" s="70">
        <v>23.6</v>
      </c>
      <c r="E38" s="70">
        <v>0</v>
      </c>
      <c r="F38" s="71">
        <v>862</v>
      </c>
      <c r="G38" s="15">
        <v>1.8380000000000001</v>
      </c>
      <c r="H38" s="15">
        <v>5.5060000000000002</v>
      </c>
      <c r="I38" s="15">
        <v>5.4539999999999997</v>
      </c>
      <c r="J38" s="142">
        <f t="shared" si="11"/>
        <v>5.200000000000049E-2</v>
      </c>
      <c r="K38" s="95">
        <f t="shared" si="12"/>
        <v>7.8039691256330475</v>
      </c>
      <c r="L38" s="15" t="s">
        <v>335</v>
      </c>
      <c r="M38" s="72">
        <f>VLOOKUP(L38,allgemein!$B$3:$C$11,2,FALSE)</f>
        <v>3</v>
      </c>
      <c r="N38" s="14">
        <v>40</v>
      </c>
      <c r="O38" s="13" t="s">
        <v>1145</v>
      </c>
      <c r="P38" s="21" t="s">
        <v>1149</v>
      </c>
      <c r="Q38" s="13"/>
      <c r="R38" s="6"/>
    </row>
    <row r="39" spans="2:18" x14ac:dyDescent="0.2">
      <c r="B39" s="13"/>
      <c r="C39" s="13" t="s">
        <v>1144</v>
      </c>
      <c r="D39" s="70"/>
      <c r="E39" s="70"/>
      <c r="F39" s="71"/>
      <c r="G39" s="15">
        <v>1.831</v>
      </c>
      <c r="H39" s="15"/>
      <c r="I39" s="15"/>
      <c r="J39" s="74"/>
      <c r="K39" s="95"/>
      <c r="L39" s="14"/>
      <c r="M39" s="14"/>
      <c r="N39" s="14"/>
      <c r="O39" s="13"/>
      <c r="P39" s="15" t="s">
        <v>41</v>
      </c>
      <c r="Q39" s="13"/>
      <c r="R39" s="6"/>
    </row>
    <row r="40" spans="2:18" x14ac:dyDescent="0.2">
      <c r="B40" s="13"/>
      <c r="C40" s="13" t="s">
        <v>41</v>
      </c>
      <c r="D40" s="70"/>
      <c r="E40" s="70"/>
      <c r="F40" s="71"/>
      <c r="G40" s="15">
        <v>1.837</v>
      </c>
      <c r="H40" s="15"/>
      <c r="I40" s="15"/>
      <c r="J40" s="74"/>
      <c r="K40" s="95"/>
      <c r="L40" s="15"/>
      <c r="M40" s="72"/>
      <c r="N40" s="14"/>
      <c r="O40" s="13"/>
      <c r="P40" s="13" t="s">
        <v>41</v>
      </c>
      <c r="Q40" s="13"/>
      <c r="R40" s="6"/>
    </row>
    <row r="41" spans="2:18" x14ac:dyDescent="0.2">
      <c r="B41" s="13" t="s">
        <v>1148</v>
      </c>
      <c r="C41" s="13" t="s">
        <v>41</v>
      </c>
      <c r="D41" s="70"/>
      <c r="E41" s="70"/>
      <c r="F41" s="71"/>
      <c r="G41" s="15">
        <v>1.7949999999999999</v>
      </c>
      <c r="H41" s="15"/>
      <c r="I41" s="15"/>
      <c r="J41" s="74"/>
      <c r="K41" s="95"/>
      <c r="L41" s="15" t="s">
        <v>682</v>
      </c>
      <c r="M41" s="72">
        <v>12</v>
      </c>
      <c r="N41" s="14"/>
      <c r="O41" s="13" t="s">
        <v>1147</v>
      </c>
      <c r="P41" s="21" t="s">
        <v>1146</v>
      </c>
      <c r="Q41" s="13"/>
      <c r="R41" s="6"/>
    </row>
    <row r="42" spans="2:18" x14ac:dyDescent="0.2">
      <c r="B42" s="13"/>
      <c r="C42" s="13" t="s">
        <v>41</v>
      </c>
      <c r="D42" s="70"/>
      <c r="E42" s="70"/>
      <c r="F42" s="71"/>
      <c r="G42" s="15">
        <v>1.798</v>
      </c>
      <c r="H42" s="15"/>
      <c r="I42" s="15"/>
      <c r="J42" s="74"/>
      <c r="K42" s="95"/>
      <c r="L42" s="15"/>
      <c r="M42" s="72"/>
      <c r="N42" s="14"/>
      <c r="O42" s="13"/>
      <c r="P42" s="23"/>
      <c r="Q42" s="13"/>
      <c r="R42" s="6"/>
    </row>
    <row r="43" spans="2:18" x14ac:dyDescent="0.2">
      <c r="B43" s="13"/>
      <c r="C43" s="13" t="s">
        <v>41</v>
      </c>
      <c r="D43" s="70"/>
      <c r="E43" s="70"/>
      <c r="F43" s="71"/>
      <c r="G43" s="15">
        <v>1.794</v>
      </c>
      <c r="H43" s="15"/>
      <c r="I43" s="15"/>
      <c r="J43" s="74"/>
      <c r="K43" s="95"/>
      <c r="L43" s="15"/>
      <c r="M43" s="72"/>
      <c r="N43" s="14"/>
      <c r="O43" s="13"/>
      <c r="P43" s="91"/>
      <c r="Q43" s="13"/>
      <c r="R43" s="6"/>
    </row>
    <row r="44" spans="2:18" x14ac:dyDescent="0.2">
      <c r="B44" s="13"/>
      <c r="C44" s="13" t="s">
        <v>41</v>
      </c>
      <c r="D44" s="70"/>
      <c r="E44" s="70"/>
      <c r="F44" s="71"/>
      <c r="G44" s="15">
        <v>1.7929999999999999</v>
      </c>
      <c r="H44" s="15"/>
      <c r="I44" s="15"/>
      <c r="J44" s="74"/>
      <c r="K44" s="95"/>
      <c r="L44" s="15"/>
      <c r="M44" s="72"/>
      <c r="N44" s="14"/>
      <c r="O44" s="13"/>
      <c r="P44" s="91"/>
      <c r="Q44" s="13"/>
      <c r="R44" s="6"/>
    </row>
    <row r="45" spans="2:18" x14ac:dyDescent="0.2">
      <c r="B45" s="13"/>
      <c r="C45" s="13" t="s">
        <v>41</v>
      </c>
      <c r="D45" s="70"/>
      <c r="E45" s="70"/>
      <c r="F45" s="71"/>
      <c r="G45" s="15">
        <v>1.7909999999999999</v>
      </c>
      <c r="H45" s="15"/>
      <c r="I45" s="15"/>
      <c r="J45" s="74"/>
      <c r="K45" s="95"/>
      <c r="L45" s="15"/>
      <c r="M45" s="72"/>
      <c r="N45" s="14"/>
      <c r="O45" s="13"/>
      <c r="P45" s="91"/>
      <c r="Q45" s="13"/>
      <c r="R45" s="6"/>
    </row>
    <row r="46" spans="2:18" x14ac:dyDescent="0.2">
      <c r="B46" s="13"/>
      <c r="C46" s="13" t="s">
        <v>41</v>
      </c>
      <c r="D46" s="70"/>
      <c r="E46" s="70"/>
      <c r="F46" s="71"/>
      <c r="G46" s="15">
        <v>1.792</v>
      </c>
      <c r="H46" s="15"/>
      <c r="I46" s="15"/>
      <c r="J46" s="74"/>
      <c r="K46" s="95"/>
      <c r="L46" s="15"/>
      <c r="M46" s="72"/>
      <c r="N46" s="14"/>
      <c r="O46" s="13"/>
      <c r="P46" s="91"/>
      <c r="Q46" s="13"/>
      <c r="R46" s="6"/>
    </row>
    <row r="47" spans="2:18" x14ac:dyDescent="0.2">
      <c r="B47" s="13"/>
      <c r="C47" s="13" t="s">
        <v>41</v>
      </c>
      <c r="D47" s="70"/>
      <c r="E47" s="70"/>
      <c r="F47" s="71"/>
      <c r="G47" s="15">
        <v>1.796</v>
      </c>
      <c r="H47" s="15"/>
      <c r="I47" s="15"/>
      <c r="J47" s="74"/>
      <c r="K47" s="95"/>
      <c r="L47" s="15"/>
      <c r="M47" s="72"/>
      <c r="N47" s="14"/>
      <c r="O47" s="13"/>
      <c r="P47" s="17"/>
      <c r="Q47" s="13"/>
      <c r="R47" s="6"/>
    </row>
    <row r="48" spans="2:18" x14ac:dyDescent="0.2">
      <c r="B48" s="13"/>
      <c r="C48" s="13" t="s">
        <v>41</v>
      </c>
      <c r="D48" s="70"/>
      <c r="E48" s="70"/>
      <c r="F48" s="71"/>
      <c r="G48" s="15">
        <v>1.79</v>
      </c>
      <c r="H48" s="15"/>
      <c r="I48" s="15"/>
      <c r="J48" s="74"/>
      <c r="K48" s="95"/>
      <c r="L48" s="15"/>
      <c r="M48" s="72"/>
      <c r="N48" s="14"/>
      <c r="O48" s="13"/>
      <c r="P48" s="91"/>
      <c r="Q48" s="13"/>
      <c r="R48" s="6"/>
    </row>
    <row r="49" spans="2:18" x14ac:dyDescent="0.2">
      <c r="B49" s="13"/>
      <c r="C49" s="13" t="s">
        <v>41</v>
      </c>
      <c r="D49" s="70"/>
      <c r="E49" s="70"/>
      <c r="F49" s="71"/>
      <c r="G49" s="15">
        <v>1.802</v>
      </c>
      <c r="H49" s="15"/>
      <c r="I49" s="15"/>
      <c r="J49" s="74"/>
      <c r="K49" s="95"/>
      <c r="L49" s="15"/>
      <c r="M49" s="72"/>
      <c r="N49" s="14"/>
      <c r="O49" s="13"/>
      <c r="P49" s="17"/>
      <c r="Q49" s="13"/>
      <c r="R49" s="6"/>
    </row>
    <row r="50" spans="2:18" x14ac:dyDescent="0.2">
      <c r="B50" s="13"/>
      <c r="C50" s="13" t="s">
        <v>41</v>
      </c>
      <c r="D50" s="70"/>
      <c r="E50" s="70"/>
      <c r="F50" s="71"/>
      <c r="G50" s="15">
        <v>1.796</v>
      </c>
      <c r="H50" s="15"/>
      <c r="I50" s="15"/>
      <c r="J50" s="74"/>
      <c r="K50" s="95"/>
      <c r="L50" s="15"/>
      <c r="M50" s="72"/>
      <c r="N50" s="14"/>
      <c r="O50" s="13"/>
      <c r="P50" s="91"/>
      <c r="Q50" s="13"/>
      <c r="R50" s="6"/>
    </row>
    <row r="51" spans="2:18" x14ac:dyDescent="0.2">
      <c r="B51" s="13"/>
      <c r="C51" s="13" t="s">
        <v>41</v>
      </c>
      <c r="D51" s="70"/>
      <c r="E51" s="70"/>
      <c r="F51" s="71"/>
      <c r="G51" s="15">
        <v>1.7969999999999999</v>
      </c>
      <c r="H51" s="15"/>
      <c r="I51" s="15"/>
      <c r="J51" s="74"/>
      <c r="K51" s="95"/>
      <c r="L51" s="15"/>
      <c r="M51" s="72"/>
      <c r="N51" s="14"/>
      <c r="O51" s="13"/>
      <c r="P51" s="21"/>
      <c r="Q51" s="13"/>
      <c r="R51" s="6"/>
    </row>
    <row r="52" spans="2:18" x14ac:dyDescent="0.2">
      <c r="B52" s="13"/>
      <c r="C52" s="13" t="s">
        <v>41</v>
      </c>
      <c r="D52" s="70"/>
      <c r="E52" s="70"/>
      <c r="F52" s="71"/>
      <c r="G52" s="15">
        <v>1.7969999999999999</v>
      </c>
      <c r="H52" s="15"/>
      <c r="I52" s="15"/>
      <c r="J52" s="74"/>
      <c r="K52" s="95"/>
      <c r="L52" s="15"/>
      <c r="M52" s="72"/>
      <c r="N52" s="14"/>
      <c r="O52" s="13"/>
      <c r="P52" s="21"/>
      <c r="Q52" s="13"/>
      <c r="R52" s="6"/>
    </row>
    <row r="53" spans="2:18" x14ac:dyDescent="0.2">
      <c r="B53" s="13" t="s">
        <v>1150</v>
      </c>
      <c r="C53" s="13" t="s">
        <v>41</v>
      </c>
      <c r="D53" s="70">
        <v>26.2</v>
      </c>
      <c r="E53" s="70">
        <v>0</v>
      </c>
      <c r="F53" s="71">
        <v>280</v>
      </c>
      <c r="G53" s="15"/>
      <c r="H53" s="15">
        <v>1.8320000000000001</v>
      </c>
      <c r="I53" s="15">
        <v>1.8180000000000001</v>
      </c>
      <c r="J53" s="74">
        <f t="shared" ref="J53" si="13">H53-I53</f>
        <v>1.4000000000000012E-2</v>
      </c>
      <c r="K53" s="95">
        <f t="shared" ref="K53" si="14">(F53*(273.15+D53)/273.15)/(M53*N53)</f>
        <v>7.6714259564341933</v>
      </c>
      <c r="L53" s="15" t="s">
        <v>328</v>
      </c>
      <c r="M53" s="72">
        <f>VLOOKUP(L53,allgemein!$B$3:$C$11,2,FALSE)</f>
        <v>1</v>
      </c>
      <c r="N53" s="14">
        <v>40</v>
      </c>
      <c r="O53" s="13" t="s">
        <v>1136</v>
      </c>
      <c r="P53" s="21" t="s">
        <v>1154</v>
      </c>
      <c r="Q53" s="13"/>
      <c r="R53" s="6"/>
    </row>
    <row r="54" spans="2:18" x14ac:dyDescent="0.2">
      <c r="B54" s="13" t="s">
        <v>1151</v>
      </c>
      <c r="C54" s="13" t="s">
        <v>41</v>
      </c>
      <c r="D54" s="70">
        <v>25.8</v>
      </c>
      <c r="E54" s="70">
        <v>0.2</v>
      </c>
      <c r="F54" s="71">
        <v>281</v>
      </c>
      <c r="G54" s="15"/>
      <c r="H54" s="15">
        <v>1.827</v>
      </c>
      <c r="I54" s="15">
        <v>1.8129999999999999</v>
      </c>
      <c r="J54" s="74">
        <f t="shared" ref="J54" si="15">H54-I54</f>
        <v>1.4000000000000012E-2</v>
      </c>
      <c r="K54" s="95">
        <f t="shared" ref="K54" si="16">(F54*(273.15+D54)/273.15)/(M54*N54)</f>
        <v>7.6885365183964867</v>
      </c>
      <c r="L54" s="15" t="s">
        <v>328</v>
      </c>
      <c r="M54" s="72">
        <f>VLOOKUP(L54,allgemein!$B$3:$C$11,2,FALSE)</f>
        <v>1</v>
      </c>
      <c r="N54" s="14">
        <v>40</v>
      </c>
      <c r="O54" s="13" t="s">
        <v>41</v>
      </c>
      <c r="P54" s="21"/>
      <c r="Q54" s="13"/>
      <c r="R54" s="6"/>
    </row>
    <row r="55" spans="2:18" x14ac:dyDescent="0.2">
      <c r="B55" s="13" t="s">
        <v>1152</v>
      </c>
      <c r="C55" s="13" t="s">
        <v>41</v>
      </c>
      <c r="D55" s="70">
        <v>25.5</v>
      </c>
      <c r="E55" s="70">
        <v>0.2</v>
      </c>
      <c r="F55" s="71">
        <v>569</v>
      </c>
      <c r="G55" s="15">
        <v>1.8380000000000001</v>
      </c>
      <c r="H55" s="15">
        <v>3.6760000000000002</v>
      </c>
      <c r="I55" s="15">
        <v>3.653</v>
      </c>
      <c r="J55" s="74">
        <f t="shared" ref="J55" si="17">H55-I55</f>
        <v>2.3000000000000131E-2</v>
      </c>
      <c r="K55" s="95">
        <f t="shared" ref="K55" si="18">(F55*(273.15+D55)/273.15)/(M55*N55)</f>
        <v>7.7764895661724323</v>
      </c>
      <c r="L55" s="15" t="s">
        <v>323</v>
      </c>
      <c r="M55" s="72">
        <f>VLOOKUP(L55,allgemein!$B$3:$C$11,2,FALSE)</f>
        <v>2</v>
      </c>
      <c r="N55" s="14">
        <v>40</v>
      </c>
      <c r="O55" s="13" t="s">
        <v>1153</v>
      </c>
      <c r="P55" s="21"/>
      <c r="Q55" s="23"/>
      <c r="R55" s="6"/>
    </row>
    <row r="56" spans="2:18" x14ac:dyDescent="0.2">
      <c r="B56" s="13"/>
      <c r="C56" s="13" t="s">
        <v>41</v>
      </c>
      <c r="D56" s="70"/>
      <c r="E56" s="70"/>
      <c r="F56" s="71"/>
      <c r="G56" s="15">
        <v>1.8380000000000001</v>
      </c>
      <c r="H56" s="15"/>
      <c r="I56" s="15"/>
      <c r="J56" s="74"/>
      <c r="K56" s="95"/>
      <c r="L56" s="15"/>
      <c r="M56" s="72"/>
      <c r="N56" s="14"/>
      <c r="O56" s="13"/>
      <c r="P56" s="21"/>
      <c r="Q56" s="13"/>
      <c r="R56" s="6"/>
    </row>
    <row r="57" spans="2:18" x14ac:dyDescent="0.2">
      <c r="B57" s="13" t="s">
        <v>1155</v>
      </c>
      <c r="C57" s="13" t="s">
        <v>41</v>
      </c>
      <c r="D57" s="70">
        <v>25.3</v>
      </c>
      <c r="E57" s="70">
        <v>0.2</v>
      </c>
      <c r="F57" s="71">
        <v>568</v>
      </c>
      <c r="G57" s="15">
        <v>1.837</v>
      </c>
      <c r="H57" s="15">
        <v>3.6789999999999998</v>
      </c>
      <c r="I57" s="15">
        <v>3.653</v>
      </c>
      <c r="J57" s="74">
        <f t="shared" ref="J57" si="19">H57-I57</f>
        <v>2.5999999999999801E-2</v>
      </c>
      <c r="K57" s="95">
        <f t="shared" ref="K57" si="20">(F57*(273.15+D57)/273.15)/(M57*N57)</f>
        <v>7.757624016108366</v>
      </c>
      <c r="L57" s="15" t="s">
        <v>323</v>
      </c>
      <c r="M57" s="72">
        <f>VLOOKUP(L57,allgemein!$B$3:$C$11,2,FALSE)</f>
        <v>2</v>
      </c>
      <c r="N57" s="14">
        <v>40</v>
      </c>
      <c r="O57" s="13" t="s">
        <v>41</v>
      </c>
      <c r="P57" s="21"/>
      <c r="Q57" s="13"/>
      <c r="R57" s="6"/>
    </row>
    <row r="58" spans="2:18" x14ac:dyDescent="0.2">
      <c r="B58" s="13"/>
      <c r="C58" s="13" t="s">
        <v>41</v>
      </c>
      <c r="D58" s="70"/>
      <c r="E58" s="70"/>
      <c r="F58" s="71"/>
      <c r="G58" s="15">
        <v>1.8420000000000001</v>
      </c>
      <c r="H58" s="15"/>
      <c r="I58" s="15"/>
      <c r="J58" s="74"/>
      <c r="K58" s="95"/>
      <c r="L58" s="15"/>
      <c r="M58" s="72"/>
      <c r="N58" s="14"/>
      <c r="O58" s="13"/>
      <c r="P58" s="21"/>
      <c r="Q58" s="13"/>
      <c r="R58" s="6"/>
    </row>
    <row r="59" spans="2:18" x14ac:dyDescent="0.2">
      <c r="B59" s="13" t="s">
        <v>1156</v>
      </c>
      <c r="C59" s="13" t="s">
        <v>1139</v>
      </c>
      <c r="D59" s="70">
        <v>25.3</v>
      </c>
      <c r="E59" s="70">
        <v>0.2</v>
      </c>
      <c r="F59" s="71">
        <v>566</v>
      </c>
      <c r="G59" s="15">
        <v>1.837</v>
      </c>
      <c r="H59" s="15">
        <v>3.6819999999999999</v>
      </c>
      <c r="I59" s="15">
        <v>3.66</v>
      </c>
      <c r="J59" s="74">
        <f t="shared" ref="J59" si="21">H59-I59</f>
        <v>2.1999999999999797E-2</v>
      </c>
      <c r="K59" s="95">
        <f t="shared" ref="K59" si="22">(F59*(273.15+D59)/273.15)/(M59*N59)</f>
        <v>7.7303084385868575</v>
      </c>
      <c r="L59" s="15" t="s">
        <v>323</v>
      </c>
      <c r="M59" s="72">
        <f>VLOOKUP(L59,allgemein!$B$3:$C$11,2,FALSE)</f>
        <v>2</v>
      </c>
      <c r="N59" s="14">
        <v>40</v>
      </c>
      <c r="O59" s="13" t="s">
        <v>41</v>
      </c>
      <c r="P59" s="21"/>
      <c r="Q59" s="13"/>
      <c r="R59" s="6"/>
    </row>
    <row r="60" spans="2:18" x14ac:dyDescent="0.2">
      <c r="B60" s="13"/>
      <c r="C60" s="13" t="s">
        <v>41</v>
      </c>
      <c r="D60" s="70"/>
      <c r="E60" s="70"/>
      <c r="F60" s="71"/>
      <c r="G60" s="15">
        <v>1.845</v>
      </c>
      <c r="H60" s="15"/>
      <c r="I60" s="15"/>
      <c r="J60" s="74"/>
      <c r="K60" s="95"/>
      <c r="L60" s="15"/>
      <c r="M60" s="72"/>
      <c r="N60" s="14"/>
      <c r="O60" s="13"/>
      <c r="P60" s="23"/>
      <c r="Q60" s="13"/>
      <c r="R60" s="60"/>
    </row>
    <row r="61" spans="2:18" x14ac:dyDescent="0.2">
      <c r="B61" s="13" t="s">
        <v>1157</v>
      </c>
      <c r="C61" s="13" t="s">
        <v>41</v>
      </c>
      <c r="D61" s="70">
        <v>25.3</v>
      </c>
      <c r="E61" s="70">
        <v>0.3</v>
      </c>
      <c r="F61" s="71">
        <v>567</v>
      </c>
      <c r="G61" s="15">
        <v>1.843</v>
      </c>
      <c r="H61" s="15">
        <v>3.6920000000000002</v>
      </c>
      <c r="I61" s="15">
        <v>3.6669999999999998</v>
      </c>
      <c r="J61" s="74">
        <f t="shared" ref="J61" si="23">H61-I61</f>
        <v>2.5000000000000355E-2</v>
      </c>
      <c r="K61" s="95">
        <f t="shared" ref="K61" si="24">(F61*(273.15+D61)/273.15)/(M61*N61)</f>
        <v>7.7439662273476113</v>
      </c>
      <c r="L61" s="15" t="s">
        <v>323</v>
      </c>
      <c r="M61" s="72">
        <f>VLOOKUP(L61,allgemein!$B$3:$C$11,2,FALSE)</f>
        <v>2</v>
      </c>
      <c r="N61" s="14">
        <v>40</v>
      </c>
      <c r="O61" s="13" t="s">
        <v>41</v>
      </c>
      <c r="P61" s="21"/>
      <c r="Q61" s="13"/>
      <c r="R61" s="6"/>
    </row>
    <row r="62" spans="2:18" x14ac:dyDescent="0.2">
      <c r="B62" s="13"/>
      <c r="C62" s="13" t="s">
        <v>41</v>
      </c>
      <c r="D62" s="70"/>
      <c r="E62" s="70"/>
      <c r="F62" s="71"/>
      <c r="G62" s="15">
        <v>1.849</v>
      </c>
      <c r="H62" s="15"/>
      <c r="I62" s="15"/>
      <c r="J62" s="74"/>
      <c r="K62" s="95"/>
      <c r="L62" s="15"/>
      <c r="M62" s="72"/>
      <c r="N62" s="14"/>
      <c r="O62" s="13"/>
      <c r="P62" s="21"/>
      <c r="Q62" s="13"/>
      <c r="R62" s="6"/>
    </row>
    <row r="63" spans="2:18" x14ac:dyDescent="0.2">
      <c r="B63" s="13" t="s">
        <v>1158</v>
      </c>
      <c r="C63" s="13" t="s">
        <v>41</v>
      </c>
      <c r="D63" s="70">
        <v>25.3</v>
      </c>
      <c r="E63" s="70">
        <v>0</v>
      </c>
      <c r="F63" s="71">
        <v>572</v>
      </c>
      <c r="G63" s="15">
        <v>1.8440000000000001</v>
      </c>
      <c r="H63" s="15">
        <v>3.6850000000000001</v>
      </c>
      <c r="I63" s="15">
        <v>3.657</v>
      </c>
      <c r="J63" s="74">
        <f t="shared" ref="J63" si="25">H63-I63</f>
        <v>2.8000000000000025E-2</v>
      </c>
      <c r="K63" s="95">
        <f t="shared" ref="K63" si="26">(F63*(273.15+D63)/273.15)/(M63*N63)</f>
        <v>7.8122551711513823</v>
      </c>
      <c r="L63" s="15" t="s">
        <v>323</v>
      </c>
      <c r="M63" s="72">
        <f>VLOOKUP(L63,allgemein!$B$3:$C$11,2,FALSE)</f>
        <v>2</v>
      </c>
      <c r="N63" s="14">
        <v>40</v>
      </c>
      <c r="O63" s="13" t="s">
        <v>41</v>
      </c>
      <c r="P63" s="21"/>
      <c r="Q63" s="13"/>
      <c r="R63" s="6"/>
    </row>
    <row r="64" spans="2:18" x14ac:dyDescent="0.2">
      <c r="B64" s="13"/>
      <c r="C64" s="13" t="s">
        <v>41</v>
      </c>
      <c r="D64" s="70"/>
      <c r="E64" s="70"/>
      <c r="F64" s="71"/>
      <c r="G64" s="15">
        <v>1.841</v>
      </c>
      <c r="H64" s="15"/>
      <c r="I64" s="15"/>
      <c r="J64" s="74"/>
      <c r="K64" s="95"/>
      <c r="L64" s="15"/>
      <c r="M64" s="72"/>
      <c r="N64" s="14"/>
      <c r="O64" s="13"/>
      <c r="P64" s="21"/>
      <c r="Q64" s="13"/>
      <c r="R64" s="6"/>
    </row>
    <row r="65" spans="2:18" x14ac:dyDescent="0.2">
      <c r="B65" s="13" t="s">
        <v>1159</v>
      </c>
      <c r="C65" s="13" t="s">
        <v>41</v>
      </c>
      <c r="D65" s="70">
        <v>24.6</v>
      </c>
      <c r="E65" s="70">
        <v>0</v>
      </c>
      <c r="F65" s="71">
        <v>569</v>
      </c>
      <c r="G65" s="15">
        <v>1.849</v>
      </c>
      <c r="H65" s="15">
        <v>3.702</v>
      </c>
      <c r="I65" s="15">
        <v>3.6739999999999999</v>
      </c>
      <c r="J65" s="74">
        <f t="shared" ref="J65" si="27">H65-I65</f>
        <v>2.8000000000000025E-2</v>
      </c>
      <c r="K65" s="95">
        <f t="shared" ref="K65" si="28">(F65*(273.15+D65)/273.15)/(M65*N65)</f>
        <v>7.7530546403075231</v>
      </c>
      <c r="L65" s="15" t="s">
        <v>323</v>
      </c>
      <c r="M65" s="72">
        <f>VLOOKUP(L65,allgemein!$B$3:$C$11,2,FALSE)</f>
        <v>2</v>
      </c>
      <c r="N65" s="14">
        <v>40</v>
      </c>
      <c r="O65" s="13" t="s">
        <v>41</v>
      </c>
      <c r="Q65" s="13"/>
      <c r="R65" s="6"/>
    </row>
    <row r="66" spans="2:18" x14ac:dyDescent="0.2">
      <c r="B66" s="13"/>
      <c r="C66" s="13" t="s">
        <v>41</v>
      </c>
      <c r="D66" s="70"/>
      <c r="E66" s="70"/>
      <c r="F66" s="71"/>
      <c r="G66" s="15">
        <v>1.8520000000000001</v>
      </c>
      <c r="H66" s="15"/>
      <c r="I66" s="15"/>
      <c r="J66" s="74"/>
      <c r="K66" s="95"/>
      <c r="L66" s="15"/>
      <c r="M66" s="72"/>
      <c r="N66" s="14"/>
      <c r="O66" s="13"/>
      <c r="P66" s="21"/>
      <c r="Q66" s="13"/>
      <c r="R66" s="6"/>
    </row>
    <row r="67" spans="2:18" x14ac:dyDescent="0.2">
      <c r="B67" s="13" t="s">
        <v>1160</v>
      </c>
      <c r="C67" s="13" t="s">
        <v>41</v>
      </c>
      <c r="D67" s="70">
        <v>24.8</v>
      </c>
      <c r="E67" s="70">
        <v>0</v>
      </c>
      <c r="F67" s="71">
        <v>569</v>
      </c>
      <c r="G67" s="15">
        <v>1.8560000000000001</v>
      </c>
      <c r="H67" s="15">
        <v>3.7080000000000002</v>
      </c>
      <c r="I67" s="15">
        <v>3.6819999999999999</v>
      </c>
      <c r="J67" s="74">
        <f t="shared" ref="J67" si="29">H67-I67</f>
        <v>2.6000000000000245E-2</v>
      </c>
      <c r="K67" s="95">
        <f t="shared" ref="K67" si="30">(F67*(273.15+D67)/273.15)/(M67*N67)</f>
        <v>7.7582624016108372</v>
      </c>
      <c r="L67" s="15" t="s">
        <v>323</v>
      </c>
      <c r="M67" s="72">
        <f>VLOOKUP(L67,allgemein!$B$3:$C$11,2,FALSE)</f>
        <v>2</v>
      </c>
      <c r="N67" s="14">
        <v>40</v>
      </c>
      <c r="O67" s="13" t="s">
        <v>41</v>
      </c>
      <c r="P67" s="23"/>
      <c r="Q67" s="13"/>
      <c r="R67" s="6"/>
    </row>
    <row r="68" spans="2:18" x14ac:dyDescent="0.2">
      <c r="B68" s="13"/>
      <c r="C68" s="13" t="s">
        <v>41</v>
      </c>
      <c r="D68" s="70"/>
      <c r="E68" s="70"/>
      <c r="F68" s="71"/>
      <c r="G68" s="15">
        <v>1.8520000000000001</v>
      </c>
      <c r="H68" s="15"/>
      <c r="I68" s="15"/>
      <c r="J68" s="74"/>
      <c r="K68" s="95"/>
      <c r="L68" s="15"/>
      <c r="M68" s="72"/>
      <c r="N68" s="14"/>
      <c r="O68" s="13"/>
      <c r="P68" s="21"/>
      <c r="Q68" s="13"/>
      <c r="R68" s="6"/>
    </row>
    <row r="69" spans="2:18" x14ac:dyDescent="0.2">
      <c r="B69" s="13" t="s">
        <v>1161</v>
      </c>
      <c r="C69" s="13" t="s">
        <v>41</v>
      </c>
      <c r="D69" s="70">
        <v>25</v>
      </c>
      <c r="E69" s="70">
        <v>0</v>
      </c>
      <c r="F69" s="71">
        <v>571</v>
      </c>
      <c r="G69" s="15">
        <v>1.853</v>
      </c>
      <c r="H69" s="15">
        <v>3.706</v>
      </c>
      <c r="I69" s="15">
        <v>3.6819999999999999</v>
      </c>
      <c r="J69" s="74">
        <f t="shared" ref="J69" si="31">H69-I69</f>
        <v>2.4000000000000021E-2</v>
      </c>
      <c r="K69" s="95">
        <f t="shared" ref="K69" si="32">(F69*(273.15+D69)/273.15)/(M69*N69)</f>
        <v>7.790758282994692</v>
      </c>
      <c r="L69" s="15" t="s">
        <v>323</v>
      </c>
      <c r="M69" s="72">
        <f>VLOOKUP(L69,allgemein!$B$3:$C$11,2,FALSE)</f>
        <v>2</v>
      </c>
      <c r="N69" s="14">
        <v>40</v>
      </c>
      <c r="O69" s="13" t="s">
        <v>41</v>
      </c>
      <c r="P69" s="23"/>
      <c r="Q69" s="13"/>
      <c r="R69" s="6"/>
    </row>
    <row r="70" spans="2:18" x14ac:dyDescent="0.2">
      <c r="B70" s="13"/>
      <c r="C70" s="13" t="s">
        <v>41</v>
      </c>
      <c r="D70" s="70"/>
      <c r="E70" s="70"/>
      <c r="F70" s="71"/>
      <c r="G70" s="15">
        <v>1.853</v>
      </c>
      <c r="H70" s="15"/>
      <c r="I70" s="15"/>
      <c r="J70" s="74"/>
      <c r="K70" s="95"/>
      <c r="L70" s="15"/>
      <c r="M70" s="72"/>
      <c r="N70" s="14"/>
      <c r="O70" s="13"/>
      <c r="P70" s="23"/>
      <c r="Q70" s="13"/>
      <c r="R70" s="6"/>
    </row>
    <row r="71" spans="2:18" x14ac:dyDescent="0.2">
      <c r="B71" s="13" t="s">
        <v>1162</v>
      </c>
      <c r="C71" s="13" t="s">
        <v>41</v>
      </c>
      <c r="D71" s="70">
        <v>25.2</v>
      </c>
      <c r="E71" s="70">
        <v>0</v>
      </c>
      <c r="F71" s="71">
        <v>571</v>
      </c>
      <c r="G71" s="15">
        <v>1.8340000000000001</v>
      </c>
      <c r="H71" s="15">
        <v>3.68</v>
      </c>
      <c r="I71" s="15">
        <v>3.653</v>
      </c>
      <c r="J71" s="74">
        <f t="shared" ref="J71" si="33">H71-I71</f>
        <v>2.7000000000000135E-2</v>
      </c>
      <c r="K71" s="95">
        <f t="shared" ref="K71" si="34">(F71*(273.15+D71)/273.15)/(M71*N71)</f>
        <v>7.7959843492586485</v>
      </c>
      <c r="L71" s="15" t="s">
        <v>323</v>
      </c>
      <c r="M71" s="72">
        <f>VLOOKUP(L71,allgemein!$B$3:$C$11,2,FALSE)</f>
        <v>2</v>
      </c>
      <c r="N71" s="14">
        <v>40</v>
      </c>
      <c r="O71" s="13" t="s">
        <v>41</v>
      </c>
      <c r="P71" s="23"/>
      <c r="Q71" s="13"/>
      <c r="R71" s="6"/>
    </row>
    <row r="72" spans="2:18" x14ac:dyDescent="0.2">
      <c r="B72" s="13"/>
      <c r="C72" s="13" t="s">
        <v>1167</v>
      </c>
      <c r="D72" s="70"/>
      <c r="E72" s="70"/>
      <c r="F72" s="71"/>
      <c r="G72" s="15">
        <v>1.845</v>
      </c>
      <c r="H72" s="15"/>
      <c r="I72" s="15"/>
      <c r="J72" s="74"/>
      <c r="K72" s="95"/>
      <c r="L72" s="15"/>
      <c r="M72" s="72"/>
      <c r="N72" s="14"/>
      <c r="O72" s="13"/>
      <c r="P72" s="23"/>
      <c r="Q72" s="6"/>
      <c r="R72" s="6"/>
    </row>
    <row r="73" spans="2:18" x14ac:dyDescent="0.2">
      <c r="B73" s="13" t="s">
        <v>1163</v>
      </c>
      <c r="C73" s="13" t="s">
        <v>1062</v>
      </c>
      <c r="D73" s="70">
        <v>25.8</v>
      </c>
      <c r="E73" s="70">
        <v>0.1</v>
      </c>
      <c r="F73" s="71">
        <v>280</v>
      </c>
      <c r="G73" s="15"/>
      <c r="H73" s="15">
        <v>1.875</v>
      </c>
      <c r="I73" s="15">
        <v>1.8660000000000001</v>
      </c>
      <c r="J73" s="74">
        <f t="shared" ref="J73:J76" si="35">H73-I73</f>
        <v>8.999999999999897E-3</v>
      </c>
      <c r="K73" s="95">
        <f t="shared" ref="K73:K76" si="36">(F73*(273.15+D73)/273.15)/(M73*N73)</f>
        <v>7.6611751784733668</v>
      </c>
      <c r="L73" s="15" t="s">
        <v>729</v>
      </c>
      <c r="M73" s="72">
        <v>1</v>
      </c>
      <c r="N73" s="14">
        <v>40</v>
      </c>
      <c r="O73" s="13" t="s">
        <v>1178</v>
      </c>
      <c r="P73" s="85"/>
      <c r="Q73" s="6"/>
      <c r="R73" s="6"/>
    </row>
    <row r="74" spans="2:18" x14ac:dyDescent="0.2">
      <c r="B74" s="13" t="s">
        <v>1164</v>
      </c>
      <c r="C74" s="13" t="s">
        <v>1139</v>
      </c>
      <c r="D74" s="70">
        <v>25.5</v>
      </c>
      <c r="E74" s="70">
        <v>0.1</v>
      </c>
      <c r="F74" s="71">
        <v>282</v>
      </c>
      <c r="G74" s="15"/>
      <c r="H74" s="15">
        <v>1.8859999999999999</v>
      </c>
      <c r="I74" s="15">
        <v>1.875</v>
      </c>
      <c r="J74" s="74">
        <f t="shared" si="35"/>
        <v>1.0999999999999899E-2</v>
      </c>
      <c r="K74" s="95">
        <f t="shared" si="36"/>
        <v>7.7081548599670509</v>
      </c>
      <c r="L74" s="15" t="s">
        <v>729</v>
      </c>
      <c r="M74" s="72">
        <v>1</v>
      </c>
      <c r="N74" s="14">
        <v>40</v>
      </c>
      <c r="O74" s="13" t="s">
        <v>41</v>
      </c>
      <c r="P74" s="85"/>
      <c r="Q74" s="6"/>
      <c r="R74" s="6"/>
    </row>
    <row r="75" spans="2:18" x14ac:dyDescent="0.2">
      <c r="B75" s="13" t="s">
        <v>1165</v>
      </c>
      <c r="C75" s="13" t="s">
        <v>41</v>
      </c>
      <c r="D75" s="70">
        <v>25.3</v>
      </c>
      <c r="E75" s="70">
        <v>0</v>
      </c>
      <c r="F75" s="71">
        <v>281</v>
      </c>
      <c r="G75" s="15"/>
      <c r="H75" s="15">
        <v>1.8839999999999999</v>
      </c>
      <c r="I75" s="15">
        <v>1.8740000000000001</v>
      </c>
      <c r="J75" s="74">
        <f t="shared" si="35"/>
        <v>9.9999999999997868E-3</v>
      </c>
      <c r="K75" s="95">
        <f t="shared" si="36"/>
        <v>7.6756772835438412</v>
      </c>
      <c r="L75" s="15" t="s">
        <v>729</v>
      </c>
      <c r="M75" s="72">
        <v>1</v>
      </c>
      <c r="N75" s="14">
        <v>40</v>
      </c>
      <c r="O75" s="13" t="s">
        <v>41</v>
      </c>
      <c r="P75" s="85"/>
      <c r="Q75" s="6"/>
      <c r="R75" s="6"/>
    </row>
    <row r="76" spans="2:18" x14ac:dyDescent="0.2">
      <c r="B76" s="13" t="s">
        <v>1166</v>
      </c>
      <c r="C76" s="13" t="s">
        <v>41</v>
      </c>
      <c r="D76" s="70">
        <v>25.2</v>
      </c>
      <c r="E76" s="70">
        <v>0.1</v>
      </c>
      <c r="F76" s="71">
        <v>282</v>
      </c>
      <c r="G76" s="15"/>
      <c r="H76" s="15">
        <v>1.8979999999999999</v>
      </c>
      <c r="I76" s="15">
        <v>1.889</v>
      </c>
      <c r="J76" s="74">
        <f t="shared" si="35"/>
        <v>8.999999999999897E-3</v>
      </c>
      <c r="K76" s="95">
        <f t="shared" si="36"/>
        <v>7.7004118616144979</v>
      </c>
      <c r="L76" s="15" t="s">
        <v>729</v>
      </c>
      <c r="M76" s="72">
        <v>1</v>
      </c>
      <c r="N76" s="14">
        <v>40</v>
      </c>
      <c r="O76" s="13" t="s">
        <v>41</v>
      </c>
      <c r="P76" s="85"/>
      <c r="Q76" s="6"/>
      <c r="R76" s="6"/>
    </row>
    <row r="77" spans="2:18" x14ac:dyDescent="0.2">
      <c r="B77" s="13" t="s">
        <v>1168</v>
      </c>
      <c r="C77" s="13" t="s">
        <v>1167</v>
      </c>
      <c r="D77" s="70">
        <v>23.8</v>
      </c>
      <c r="E77" s="70">
        <v>0.4</v>
      </c>
      <c r="F77" s="71">
        <v>569</v>
      </c>
      <c r="G77" s="15">
        <v>1.853</v>
      </c>
      <c r="H77" s="15">
        <v>3.7080000000000002</v>
      </c>
      <c r="I77" s="15">
        <v>3.6840000000000002</v>
      </c>
      <c r="J77" s="74">
        <f t="shared" ref="J77" si="37">H77-I77</f>
        <v>2.4000000000000021E-2</v>
      </c>
      <c r="K77" s="95">
        <f t="shared" ref="K77" si="38">(F77*(273.15+D77)/273.15)/(M77*N77)</f>
        <v>7.732223595094271</v>
      </c>
      <c r="L77" s="15" t="s">
        <v>323</v>
      </c>
      <c r="M77" s="72">
        <f>VLOOKUP(L77,allgemein!$B$3:$C$11,2,FALSE)</f>
        <v>2</v>
      </c>
      <c r="N77" s="14">
        <v>40</v>
      </c>
      <c r="O77" s="13" t="s">
        <v>1153</v>
      </c>
      <c r="P77" s="85"/>
      <c r="Q77" s="6"/>
      <c r="R77" s="6"/>
    </row>
    <row r="78" spans="2:18" x14ac:dyDescent="0.2">
      <c r="B78" s="13"/>
      <c r="C78" s="13" t="s">
        <v>41</v>
      </c>
      <c r="D78" s="70"/>
      <c r="E78" s="70"/>
      <c r="F78" s="71"/>
      <c r="G78" s="15">
        <v>1.855</v>
      </c>
      <c r="H78" s="15"/>
      <c r="I78" s="15"/>
      <c r="J78" s="74"/>
      <c r="K78" s="95"/>
      <c r="L78" s="15"/>
      <c r="M78" s="72"/>
      <c r="N78" s="14"/>
      <c r="O78" s="13"/>
      <c r="P78" s="85"/>
      <c r="Q78" s="6"/>
      <c r="R78" s="6"/>
    </row>
    <row r="79" spans="2:18" x14ac:dyDescent="0.2">
      <c r="B79" s="13" t="s">
        <v>1169</v>
      </c>
      <c r="C79" s="13" t="s">
        <v>41</v>
      </c>
      <c r="D79" s="70">
        <v>24</v>
      </c>
      <c r="E79" s="70">
        <v>0.5</v>
      </c>
      <c r="F79" s="71">
        <v>570</v>
      </c>
      <c r="G79" s="15">
        <v>1.857</v>
      </c>
      <c r="H79" s="15">
        <v>3.698</v>
      </c>
      <c r="I79" s="15">
        <v>3.673</v>
      </c>
      <c r="J79" s="74">
        <f t="shared" ref="J79" si="39">H79-I79</f>
        <v>2.4999999999999911E-2</v>
      </c>
      <c r="K79" s="95">
        <f t="shared" ref="K79" si="40">(F79*(273.15+D79)/273.15)/(M79*N79)</f>
        <v>7.7510296540362447</v>
      </c>
      <c r="L79" s="15" t="s">
        <v>323</v>
      </c>
      <c r="M79" s="72">
        <f>VLOOKUP(L79,allgemein!$B$3:$C$11,2,FALSE)</f>
        <v>2</v>
      </c>
      <c r="N79" s="14">
        <v>40</v>
      </c>
      <c r="O79" s="13" t="s">
        <v>41</v>
      </c>
      <c r="P79" s="85"/>
      <c r="Q79" s="6"/>
      <c r="R79" s="6"/>
    </row>
    <row r="80" spans="2:18" x14ac:dyDescent="0.2">
      <c r="B80" s="13"/>
      <c r="C80" s="13" t="s">
        <v>41</v>
      </c>
      <c r="D80" s="70"/>
      <c r="E80" s="70"/>
      <c r="F80" s="71"/>
      <c r="G80" s="15">
        <v>1.841</v>
      </c>
      <c r="H80" s="15"/>
      <c r="I80" s="15"/>
      <c r="J80" s="74"/>
      <c r="K80" s="95"/>
      <c r="L80" s="15"/>
      <c r="M80" s="72"/>
      <c r="N80" s="14"/>
      <c r="O80" s="13"/>
      <c r="P80" s="85"/>
      <c r="Q80" s="6"/>
      <c r="R80" s="6"/>
    </row>
    <row r="81" spans="2:18" x14ac:dyDescent="0.2">
      <c r="B81" s="13" t="s">
        <v>1170</v>
      </c>
      <c r="C81" s="13" t="s">
        <v>41</v>
      </c>
      <c r="D81" s="70">
        <v>24.3</v>
      </c>
      <c r="E81" s="70">
        <v>0.3</v>
      </c>
      <c r="F81" s="71">
        <v>855</v>
      </c>
      <c r="G81" s="15">
        <v>1.8360000000000001</v>
      </c>
      <c r="H81" s="15">
        <v>5.5019999999999998</v>
      </c>
      <c r="I81" s="15">
        <v>5.4630000000000001</v>
      </c>
      <c r="J81" s="74">
        <f t="shared" ref="J81" si="41">H81-I81</f>
        <v>3.8999999999999702E-2</v>
      </c>
      <c r="K81" s="95">
        <f t="shared" ref="K81" si="42">(F81*(273.15+D81)/273.15)/(M81*N81)</f>
        <v>7.7588550247116972</v>
      </c>
      <c r="L81" s="15" t="s">
        <v>335</v>
      </c>
      <c r="M81" s="72">
        <f>VLOOKUP(L81,allgemein!$B$3:$C$11,2,FALSE)</f>
        <v>3</v>
      </c>
      <c r="N81" s="14">
        <v>40</v>
      </c>
      <c r="O81" s="13" t="s">
        <v>1171</v>
      </c>
      <c r="P81" s="85"/>
      <c r="Q81" s="6"/>
      <c r="R81" s="6"/>
    </row>
    <row r="82" spans="2:18" x14ac:dyDescent="0.2">
      <c r="B82" s="13"/>
      <c r="C82" s="13" t="s">
        <v>41</v>
      </c>
      <c r="D82" s="70"/>
      <c r="E82" s="70"/>
      <c r="F82" s="71"/>
      <c r="G82" s="15">
        <v>1.8340000000000001</v>
      </c>
      <c r="H82" s="15"/>
      <c r="I82" s="15"/>
      <c r="J82" s="74"/>
      <c r="K82" s="95"/>
      <c r="L82" s="15"/>
      <c r="M82" s="72"/>
      <c r="N82" s="14"/>
      <c r="O82" s="13"/>
      <c r="P82" s="85"/>
      <c r="Q82" s="6"/>
      <c r="R82" s="6"/>
    </row>
    <row r="83" spans="2:18" x14ac:dyDescent="0.2">
      <c r="B83" s="13"/>
      <c r="C83" s="13" t="s">
        <v>41</v>
      </c>
      <c r="D83" s="70"/>
      <c r="E83" s="70"/>
      <c r="F83" s="71"/>
      <c r="G83" s="15">
        <v>1.8320000000000001</v>
      </c>
      <c r="H83" s="15"/>
      <c r="I83" s="15"/>
      <c r="J83" s="74"/>
      <c r="K83" s="95"/>
      <c r="L83" s="15"/>
      <c r="M83" s="72"/>
      <c r="N83" s="14"/>
      <c r="O83" s="13"/>
      <c r="P83" s="85"/>
      <c r="Q83" s="6"/>
      <c r="R83" s="6"/>
    </row>
    <row r="84" spans="2:18" x14ac:dyDescent="0.2">
      <c r="B84" s="13" t="s">
        <v>1172</v>
      </c>
      <c r="C84" s="13" t="s">
        <v>41</v>
      </c>
      <c r="D84" s="70">
        <v>24.9</v>
      </c>
      <c r="E84" s="70">
        <v>0.4</v>
      </c>
      <c r="F84" s="71">
        <v>857</v>
      </c>
      <c r="G84" s="15">
        <v>1.8360000000000001</v>
      </c>
      <c r="H84" s="15">
        <v>5.5049999999999999</v>
      </c>
      <c r="I84" s="15">
        <v>5.4660000000000002</v>
      </c>
      <c r="J84" s="74">
        <f t="shared" ref="J84" si="43">H84-I84</f>
        <v>3.8999999999999702E-2</v>
      </c>
      <c r="K84" s="95">
        <f t="shared" ref="K84" si="44">(F84*(273.15+D84)/273.15)/(M84*N84)</f>
        <v>7.7926917444627479</v>
      </c>
      <c r="L84" s="15" t="s">
        <v>335</v>
      </c>
      <c r="M84" s="72">
        <f>VLOOKUP(L84,allgemein!$B$3:$C$11,2,FALSE)</f>
        <v>3</v>
      </c>
      <c r="N84" s="14">
        <v>40</v>
      </c>
      <c r="O84" s="13" t="s">
        <v>41</v>
      </c>
      <c r="P84" s="85"/>
      <c r="Q84" s="6"/>
      <c r="R84" s="6"/>
    </row>
    <row r="85" spans="2:18" x14ac:dyDescent="0.2">
      <c r="B85" s="13"/>
      <c r="C85" s="13" t="s">
        <v>41</v>
      </c>
      <c r="D85" s="70"/>
      <c r="E85" s="70"/>
      <c r="F85" s="71"/>
      <c r="G85" s="15">
        <v>1.833</v>
      </c>
      <c r="H85" s="15"/>
      <c r="I85" s="15"/>
      <c r="J85" s="74"/>
      <c r="K85" s="95"/>
      <c r="L85" s="15"/>
      <c r="M85" s="72"/>
      <c r="N85" s="14"/>
      <c r="O85" s="13"/>
      <c r="P85" s="85"/>
      <c r="Q85" s="6"/>
      <c r="R85" s="6"/>
    </row>
    <row r="86" spans="2:18" x14ac:dyDescent="0.2">
      <c r="B86" s="13"/>
      <c r="C86" s="13" t="s">
        <v>41</v>
      </c>
      <c r="D86" s="70"/>
      <c r="E86" s="70"/>
      <c r="F86" s="71"/>
      <c r="G86" s="15">
        <v>1.8360000000000001</v>
      </c>
      <c r="H86" s="15"/>
      <c r="I86" s="15"/>
      <c r="J86" s="74"/>
      <c r="K86" s="95"/>
      <c r="L86" s="15"/>
      <c r="M86" s="72"/>
      <c r="N86" s="14"/>
      <c r="O86" s="13"/>
      <c r="P86" s="85"/>
      <c r="Q86" s="6"/>
      <c r="R86" s="6"/>
    </row>
    <row r="87" spans="2:18" x14ac:dyDescent="0.2">
      <c r="B87" s="13" t="s">
        <v>1173</v>
      </c>
      <c r="C87" s="13" t="s">
        <v>41</v>
      </c>
      <c r="D87" s="70">
        <v>25.4</v>
      </c>
      <c r="E87" s="70">
        <v>0.9</v>
      </c>
      <c r="F87" s="71">
        <v>856</v>
      </c>
      <c r="G87" s="15">
        <v>1.8360000000000001</v>
      </c>
      <c r="H87" s="15">
        <v>5.5010000000000003</v>
      </c>
      <c r="I87" s="15">
        <v>5.4640000000000004</v>
      </c>
      <c r="J87" s="74">
        <f t="shared" ref="J87" si="45">H87-I87</f>
        <v>3.6999999999999922E-2</v>
      </c>
      <c r="K87" s="95">
        <f t="shared" ref="K87" si="46">(F87*(273.15+D87)/273.15)/(M87*N87)</f>
        <v>7.7966562938556345</v>
      </c>
      <c r="L87" s="15" t="s">
        <v>335</v>
      </c>
      <c r="M87" s="72">
        <f>VLOOKUP(L87,allgemein!$B$3:$C$11,2,FALSE)</f>
        <v>3</v>
      </c>
      <c r="N87" s="14">
        <v>40</v>
      </c>
      <c r="O87" s="13" t="s">
        <v>41</v>
      </c>
      <c r="P87" s="85"/>
      <c r="Q87" s="6"/>
      <c r="R87" s="6"/>
    </row>
    <row r="88" spans="2:18" x14ac:dyDescent="0.2">
      <c r="B88" s="13"/>
      <c r="C88" s="13" t="s">
        <v>41</v>
      </c>
      <c r="D88" s="70"/>
      <c r="E88" s="70"/>
      <c r="F88" s="71"/>
      <c r="G88" s="15">
        <v>1.833</v>
      </c>
      <c r="H88" s="15"/>
      <c r="I88" s="15"/>
      <c r="J88" s="74"/>
      <c r="K88" s="95"/>
      <c r="L88" s="15"/>
      <c r="M88" s="72"/>
      <c r="N88" s="14"/>
      <c r="O88" s="13"/>
      <c r="P88" s="85"/>
      <c r="Q88" s="6"/>
      <c r="R88" s="6"/>
    </row>
    <row r="89" spans="2:18" x14ac:dyDescent="0.2">
      <c r="B89" s="13"/>
      <c r="C89" s="13" t="s">
        <v>41</v>
      </c>
      <c r="D89" s="70"/>
      <c r="E89" s="70"/>
      <c r="F89" s="71"/>
      <c r="G89" s="15">
        <v>1.8320000000000001</v>
      </c>
      <c r="H89" s="15"/>
      <c r="I89" s="15"/>
      <c r="J89" s="74"/>
      <c r="K89" s="95"/>
      <c r="L89" s="15"/>
      <c r="M89" s="72"/>
      <c r="N89" s="14"/>
      <c r="O89" s="13"/>
      <c r="P89" s="85"/>
      <c r="Q89" s="6"/>
      <c r="R89" s="6"/>
    </row>
    <row r="90" spans="2:18" x14ac:dyDescent="0.2">
      <c r="B90" s="13" t="s">
        <v>1174</v>
      </c>
      <c r="C90" s="13" t="s">
        <v>41</v>
      </c>
      <c r="D90" s="70">
        <v>26.4</v>
      </c>
      <c r="E90" s="70">
        <v>0.8</v>
      </c>
      <c r="F90" s="71">
        <v>857</v>
      </c>
      <c r="G90" s="15">
        <v>1.833</v>
      </c>
      <c r="H90" s="15">
        <v>5.4909999999999997</v>
      </c>
      <c r="I90" s="15">
        <v>5.4509999999999996</v>
      </c>
      <c r="J90" s="74">
        <f t="shared" ref="J90" si="47">H90-I90</f>
        <v>4.0000000000000036E-2</v>
      </c>
      <c r="K90" s="95">
        <f t="shared" ref="K90" si="48">(F90*(273.15+D90)/273.15)/(M90*N90)</f>
        <v>7.8319101226432357</v>
      </c>
      <c r="L90" s="15" t="s">
        <v>335</v>
      </c>
      <c r="M90" s="72">
        <f>VLOOKUP(L90,allgemein!$B$3:$C$11,2,FALSE)</f>
        <v>3</v>
      </c>
      <c r="N90" s="14">
        <v>40</v>
      </c>
      <c r="O90" s="13" t="s">
        <v>41</v>
      </c>
      <c r="P90" s="85"/>
      <c r="Q90" s="6"/>
      <c r="R90" s="6"/>
    </row>
    <row r="91" spans="2:18" x14ac:dyDescent="0.2">
      <c r="B91" s="13"/>
      <c r="C91" s="13" t="s">
        <v>41</v>
      </c>
      <c r="D91" s="70"/>
      <c r="E91" s="70"/>
      <c r="F91" s="71"/>
      <c r="G91" s="15">
        <v>1.8240000000000001</v>
      </c>
      <c r="H91" s="15"/>
      <c r="I91" s="15"/>
      <c r="J91" s="74"/>
      <c r="K91" s="95"/>
      <c r="L91" s="15"/>
      <c r="M91" s="72"/>
      <c r="N91" s="14"/>
      <c r="O91" s="13"/>
      <c r="P91" s="85"/>
      <c r="Q91" s="6"/>
      <c r="R91" s="6"/>
    </row>
    <row r="92" spans="2:18" x14ac:dyDescent="0.2">
      <c r="B92" s="13"/>
      <c r="C92" s="13" t="s">
        <v>41</v>
      </c>
      <c r="D92" s="70"/>
      <c r="E92" s="70"/>
      <c r="F92" s="71"/>
      <c r="G92" s="15">
        <v>1.8340000000000001</v>
      </c>
      <c r="H92" s="15"/>
      <c r="I92" s="15"/>
      <c r="J92" s="74"/>
      <c r="K92" s="95"/>
      <c r="L92" s="15"/>
      <c r="M92" s="72"/>
      <c r="N92" s="14"/>
      <c r="O92" s="13"/>
      <c r="P92" s="13"/>
      <c r="Q92" s="6"/>
      <c r="R92" s="6"/>
    </row>
    <row r="93" spans="2:18" x14ac:dyDescent="0.2">
      <c r="B93" s="13" t="s">
        <v>1175</v>
      </c>
      <c r="C93" s="13" t="s">
        <v>41</v>
      </c>
      <c r="D93" s="70">
        <v>26.1</v>
      </c>
      <c r="E93" s="70">
        <v>0.9</v>
      </c>
      <c r="F93" s="71">
        <v>856</v>
      </c>
      <c r="G93" s="15">
        <v>1.837</v>
      </c>
      <c r="H93" s="15">
        <v>5.4930000000000003</v>
      </c>
      <c r="I93" s="15">
        <v>5.4550000000000001</v>
      </c>
      <c r="J93" s="74">
        <f t="shared" ref="J93" si="49">H93-I93</f>
        <v>3.8000000000000256E-2</v>
      </c>
      <c r="K93" s="95">
        <f>(F93*(273.15+D93)/273.15)/(M93*N93)</f>
        <v>7.8149368478857779</v>
      </c>
      <c r="L93" s="15" t="s">
        <v>335</v>
      </c>
      <c r="M93" s="72">
        <f>VLOOKUP(L93,allgemein!$B$3:$C$11,2,FALSE)</f>
        <v>3</v>
      </c>
      <c r="N93" s="14">
        <v>40</v>
      </c>
      <c r="O93" s="13" t="s">
        <v>41</v>
      </c>
      <c r="P93" s="13"/>
      <c r="Q93" s="6"/>
      <c r="R93" s="6"/>
    </row>
    <row r="94" spans="2:18" x14ac:dyDescent="0.2">
      <c r="B94" s="13"/>
      <c r="C94" s="13" t="s">
        <v>41</v>
      </c>
      <c r="D94" s="70"/>
      <c r="E94" s="70"/>
      <c r="F94" s="71"/>
      <c r="G94" s="15">
        <v>1.827</v>
      </c>
      <c r="H94" s="15"/>
      <c r="I94" s="15"/>
      <c r="J94" s="74"/>
      <c r="K94" s="95"/>
      <c r="L94" s="15"/>
      <c r="M94" s="72"/>
      <c r="N94" s="14"/>
      <c r="O94" s="13"/>
      <c r="P94" s="13"/>
      <c r="Q94" s="6"/>
      <c r="R94" s="6"/>
    </row>
    <row r="95" spans="2:18" x14ac:dyDescent="0.2">
      <c r="B95" s="13"/>
      <c r="C95" s="13" t="s">
        <v>41</v>
      </c>
      <c r="D95" s="70"/>
      <c r="E95" s="70"/>
      <c r="F95" s="71"/>
      <c r="G95" s="15">
        <v>1.829</v>
      </c>
      <c r="H95" s="15"/>
      <c r="I95" s="15"/>
      <c r="J95" s="74"/>
      <c r="K95" s="95"/>
      <c r="L95" s="15"/>
      <c r="M95" s="72"/>
      <c r="N95" s="14"/>
      <c r="O95" s="13"/>
      <c r="P95" s="85"/>
      <c r="Q95" s="6"/>
      <c r="R95" s="6"/>
    </row>
    <row r="96" spans="2:18" x14ac:dyDescent="0.2">
      <c r="B96" s="13" t="s">
        <v>1179</v>
      </c>
      <c r="C96" s="13" t="s">
        <v>1180</v>
      </c>
      <c r="D96" s="70"/>
      <c r="E96" s="70"/>
      <c r="F96" s="71"/>
      <c r="G96" s="15">
        <v>1.8</v>
      </c>
      <c r="H96" s="15"/>
      <c r="I96" s="15"/>
      <c r="J96" s="74"/>
      <c r="K96" s="95"/>
      <c r="L96" s="15" t="s">
        <v>682</v>
      </c>
      <c r="M96" s="72">
        <v>12</v>
      </c>
      <c r="N96" s="14">
        <v>40</v>
      </c>
      <c r="O96" s="13" t="s">
        <v>1181</v>
      </c>
      <c r="P96" s="21"/>
      <c r="Q96" s="6"/>
      <c r="R96" s="6"/>
    </row>
    <row r="97" spans="2:18" x14ac:dyDescent="0.2">
      <c r="B97" s="13"/>
      <c r="C97" s="13" t="s">
        <v>41</v>
      </c>
      <c r="D97" s="70"/>
      <c r="E97" s="70"/>
      <c r="F97" s="71"/>
      <c r="G97" s="15">
        <v>1.8</v>
      </c>
      <c r="H97" s="15"/>
      <c r="I97" s="15"/>
      <c r="J97" s="74"/>
      <c r="K97" s="95"/>
      <c r="L97" s="15"/>
      <c r="M97" s="72"/>
      <c r="N97" s="14"/>
      <c r="O97" s="13"/>
      <c r="P97" s="23"/>
      <c r="Q97" s="6"/>
      <c r="R97" s="6"/>
    </row>
    <row r="98" spans="2:18" x14ac:dyDescent="0.2">
      <c r="B98" s="13"/>
      <c r="C98" s="13" t="s">
        <v>41</v>
      </c>
      <c r="D98" s="70"/>
      <c r="E98" s="70"/>
      <c r="F98" s="71"/>
      <c r="G98" s="15">
        <v>1.7909999999999999</v>
      </c>
      <c r="H98" s="15"/>
      <c r="I98" s="15"/>
      <c r="J98" s="74"/>
      <c r="K98" s="95"/>
      <c r="L98" s="15"/>
      <c r="M98" s="72"/>
      <c r="N98" s="14"/>
      <c r="O98" s="13"/>
      <c r="P98" s="91"/>
      <c r="Q98" s="6"/>
      <c r="R98" s="6"/>
    </row>
    <row r="99" spans="2:18" x14ac:dyDescent="0.2">
      <c r="B99" s="13"/>
      <c r="C99" s="13" t="s">
        <v>41</v>
      </c>
      <c r="D99" s="70"/>
      <c r="E99" s="70"/>
      <c r="F99" s="71"/>
      <c r="G99" s="15">
        <v>1.796</v>
      </c>
      <c r="H99" s="15"/>
      <c r="I99" s="15"/>
      <c r="J99" s="74"/>
      <c r="K99" s="95"/>
      <c r="L99" s="15"/>
      <c r="M99" s="72"/>
      <c r="N99" s="14"/>
      <c r="O99" s="13"/>
      <c r="P99" s="91"/>
      <c r="Q99" s="6"/>
      <c r="R99" s="6"/>
    </row>
    <row r="100" spans="2:18" x14ac:dyDescent="0.2">
      <c r="B100" s="13"/>
      <c r="C100" s="13" t="s">
        <v>41</v>
      </c>
      <c r="D100" s="70"/>
      <c r="E100" s="70"/>
      <c r="F100" s="71"/>
      <c r="G100" s="15">
        <v>1.7949999999999999</v>
      </c>
      <c r="H100" s="15"/>
      <c r="I100" s="15"/>
      <c r="J100" s="74"/>
      <c r="K100" s="95"/>
      <c r="L100" s="15"/>
      <c r="M100" s="72"/>
      <c r="N100" s="14"/>
      <c r="O100" s="13"/>
      <c r="P100" s="91"/>
      <c r="Q100" s="6"/>
      <c r="R100" s="6"/>
    </row>
    <row r="101" spans="2:18" x14ac:dyDescent="0.2">
      <c r="B101" s="13"/>
      <c r="C101" s="13" t="s">
        <v>41</v>
      </c>
      <c r="D101" s="70"/>
      <c r="E101" s="70"/>
      <c r="F101" s="71"/>
      <c r="G101" s="15">
        <v>1.802</v>
      </c>
      <c r="H101" s="15"/>
      <c r="I101" s="15"/>
      <c r="J101" s="74"/>
      <c r="K101" s="95"/>
      <c r="L101" s="15"/>
      <c r="M101" s="72"/>
      <c r="N101" s="14"/>
      <c r="O101" s="13"/>
      <c r="P101" s="91"/>
      <c r="Q101" s="6"/>
      <c r="R101" s="6"/>
    </row>
    <row r="102" spans="2:18" x14ac:dyDescent="0.2">
      <c r="B102" s="13"/>
      <c r="C102" s="13" t="s">
        <v>41</v>
      </c>
      <c r="D102" s="70"/>
      <c r="E102" s="70"/>
      <c r="F102" s="71"/>
      <c r="G102" s="15">
        <v>1.7969999999999999</v>
      </c>
      <c r="H102" s="15"/>
      <c r="I102" s="15"/>
      <c r="J102" s="74"/>
      <c r="K102" s="95"/>
      <c r="L102" s="15"/>
      <c r="M102" s="72"/>
      <c r="N102" s="14"/>
      <c r="O102" s="13"/>
      <c r="P102" s="17"/>
      <c r="Q102" s="6"/>
      <c r="R102" s="6"/>
    </row>
    <row r="103" spans="2:18" x14ac:dyDescent="0.2">
      <c r="B103" s="13"/>
      <c r="C103" s="13" t="s">
        <v>41</v>
      </c>
      <c r="D103" s="70"/>
      <c r="E103" s="70"/>
      <c r="F103" s="71"/>
      <c r="G103" s="15">
        <v>1.7909999999999999</v>
      </c>
      <c r="H103" s="15"/>
      <c r="I103" s="15"/>
      <c r="J103" s="74"/>
      <c r="K103" s="95"/>
      <c r="L103" s="15"/>
      <c r="M103" s="72"/>
      <c r="N103" s="14"/>
      <c r="O103" s="13"/>
      <c r="P103" s="91"/>
      <c r="Q103" s="6"/>
      <c r="R103" s="6"/>
    </row>
    <row r="104" spans="2:18" x14ac:dyDescent="0.2">
      <c r="B104" s="13"/>
      <c r="C104" s="13" t="s">
        <v>41</v>
      </c>
      <c r="D104" s="70"/>
      <c r="E104" s="70"/>
      <c r="F104" s="71"/>
      <c r="G104" s="15">
        <v>1.792</v>
      </c>
      <c r="H104" s="15"/>
      <c r="I104" s="15"/>
      <c r="J104" s="74"/>
      <c r="K104" s="95"/>
      <c r="L104" s="15"/>
      <c r="M104" s="72"/>
      <c r="N104" s="14"/>
      <c r="O104" s="13"/>
      <c r="P104" s="17"/>
      <c r="Q104" s="6"/>
      <c r="R104" s="6"/>
    </row>
    <row r="105" spans="2:18" x14ac:dyDescent="0.2">
      <c r="B105" s="13"/>
      <c r="C105" s="13" t="s">
        <v>41</v>
      </c>
      <c r="D105" s="70"/>
      <c r="E105" s="70"/>
      <c r="F105" s="71"/>
      <c r="G105" s="15">
        <v>1.802</v>
      </c>
      <c r="H105" s="15"/>
      <c r="I105" s="15"/>
      <c r="J105" s="74"/>
      <c r="K105" s="95"/>
      <c r="L105" s="15"/>
      <c r="M105" s="72"/>
      <c r="N105" s="14"/>
      <c r="O105" s="13"/>
      <c r="P105" s="91"/>
      <c r="Q105" s="6"/>
      <c r="R105" s="6"/>
    </row>
    <row r="106" spans="2:18" x14ac:dyDescent="0.2">
      <c r="B106" s="13"/>
      <c r="C106" s="13" t="s">
        <v>41</v>
      </c>
      <c r="D106" s="70"/>
      <c r="E106" s="70"/>
      <c r="F106" s="71"/>
      <c r="G106" s="15">
        <v>1.794</v>
      </c>
      <c r="H106" s="15"/>
      <c r="I106" s="15"/>
      <c r="J106" s="74"/>
      <c r="K106" s="95"/>
      <c r="L106" s="15"/>
      <c r="M106" s="72"/>
      <c r="N106" s="14"/>
      <c r="O106" s="13"/>
      <c r="P106" s="21"/>
      <c r="Q106" s="6"/>
      <c r="R106" s="6"/>
    </row>
    <row r="107" spans="2:18" x14ac:dyDescent="0.2">
      <c r="B107" s="13"/>
      <c r="C107" s="13" t="s">
        <v>41</v>
      </c>
      <c r="D107" s="70"/>
      <c r="E107" s="70"/>
      <c r="F107" s="71"/>
      <c r="G107" s="15">
        <v>1.7989999999999999</v>
      </c>
      <c r="H107" s="15"/>
      <c r="I107" s="15"/>
      <c r="J107" s="74"/>
      <c r="K107" s="95"/>
      <c r="L107" s="15"/>
      <c r="M107" s="72"/>
      <c r="N107" s="14"/>
      <c r="O107" s="13"/>
      <c r="P107" s="21"/>
      <c r="Q107" s="6"/>
      <c r="R107" s="6"/>
    </row>
    <row r="108" spans="2:18" x14ac:dyDescent="0.2">
      <c r="B108" s="6"/>
      <c r="C108" s="6"/>
      <c r="D108" s="70"/>
      <c r="E108" s="70"/>
      <c r="F108" s="71"/>
      <c r="G108" s="81"/>
      <c r="H108" s="15"/>
      <c r="I108" s="15"/>
      <c r="J108" s="74"/>
      <c r="K108" s="95"/>
      <c r="L108" s="15"/>
      <c r="M108" s="72"/>
      <c r="N108" s="14"/>
      <c r="O108" s="13"/>
      <c r="P108" s="85"/>
      <c r="Q108" s="6"/>
      <c r="R108" s="6"/>
    </row>
    <row r="109" spans="2:18" x14ac:dyDescent="0.2">
      <c r="B109" s="13"/>
      <c r="C109" s="6"/>
      <c r="D109" s="70"/>
      <c r="E109" s="70"/>
      <c r="F109" s="71"/>
      <c r="G109" s="81"/>
      <c r="H109" s="15"/>
      <c r="I109" s="15"/>
      <c r="J109" s="74"/>
      <c r="K109" s="95"/>
      <c r="L109" s="15"/>
      <c r="M109" s="72"/>
      <c r="N109" s="14"/>
      <c r="O109" s="13"/>
      <c r="P109" s="85"/>
      <c r="Q109" s="6"/>
      <c r="R109" s="6"/>
    </row>
    <row r="110" spans="2:18" x14ac:dyDescent="0.2">
      <c r="B110" s="6"/>
      <c r="C110" s="6"/>
      <c r="D110" s="70"/>
      <c r="E110" s="70"/>
      <c r="F110" s="71"/>
      <c r="G110" s="81"/>
      <c r="H110" s="15"/>
      <c r="I110" s="15"/>
      <c r="J110" s="74"/>
      <c r="K110" s="95"/>
      <c r="L110" s="15"/>
      <c r="M110" s="72"/>
      <c r="N110" s="14"/>
      <c r="O110" s="13"/>
      <c r="P110" s="85"/>
      <c r="Q110" s="6"/>
      <c r="R110" s="6"/>
    </row>
    <row r="111" spans="2:18" x14ac:dyDescent="0.2">
      <c r="B111" s="6"/>
      <c r="C111" s="6"/>
      <c r="D111" s="70"/>
      <c r="E111" s="70"/>
      <c r="F111" s="71"/>
      <c r="G111" s="81"/>
      <c r="H111" s="15"/>
      <c r="I111" s="15"/>
      <c r="J111" s="74"/>
      <c r="K111" s="95"/>
      <c r="L111" s="15"/>
      <c r="M111" s="72"/>
      <c r="N111" s="14"/>
      <c r="O111" s="13"/>
      <c r="P111" s="85"/>
      <c r="Q111" s="6"/>
      <c r="R111" s="6"/>
    </row>
    <row r="112" spans="2:18" x14ac:dyDescent="0.2">
      <c r="B112" s="6"/>
      <c r="C112" s="6"/>
      <c r="D112" s="70"/>
      <c r="E112" s="70"/>
      <c r="F112" s="71"/>
      <c r="G112" s="81"/>
      <c r="H112" s="15"/>
      <c r="I112" s="15"/>
      <c r="J112" s="74"/>
      <c r="K112" s="95"/>
      <c r="L112" s="15"/>
      <c r="M112" s="72"/>
      <c r="N112" s="14"/>
      <c r="O112" s="13"/>
      <c r="P112" s="85"/>
      <c r="Q112" s="6"/>
      <c r="R112" s="6"/>
    </row>
    <row r="113" spans="2:18" x14ac:dyDescent="0.2">
      <c r="B113" s="6"/>
      <c r="C113" s="6"/>
      <c r="D113" s="70"/>
      <c r="E113" s="70"/>
      <c r="F113" s="71"/>
      <c r="G113" s="81"/>
      <c r="H113" s="15"/>
      <c r="I113" s="15"/>
      <c r="J113" s="74"/>
      <c r="K113" s="95"/>
      <c r="L113" s="15"/>
      <c r="M113" s="72"/>
      <c r="N113" s="14"/>
      <c r="O113" s="13"/>
      <c r="P113" s="85"/>
      <c r="Q113" s="6"/>
      <c r="R113" s="6"/>
    </row>
    <row r="114" spans="2:18" x14ac:dyDescent="0.2">
      <c r="B114" s="6"/>
      <c r="C114" s="6"/>
      <c r="D114" s="70"/>
      <c r="E114" s="70"/>
      <c r="F114" s="71"/>
      <c r="G114" s="81"/>
      <c r="H114" s="15"/>
      <c r="I114" s="15"/>
      <c r="J114" s="74"/>
      <c r="K114" s="95"/>
      <c r="L114" s="15"/>
      <c r="M114" s="72"/>
      <c r="N114" s="14"/>
      <c r="O114" s="13"/>
      <c r="P114" s="85"/>
      <c r="Q114" s="6"/>
      <c r="R114" s="6"/>
    </row>
    <row r="115" spans="2:18" x14ac:dyDescent="0.2">
      <c r="B115" s="6"/>
      <c r="C115" s="6"/>
      <c r="D115" s="70"/>
      <c r="E115" s="70"/>
      <c r="F115" s="71"/>
      <c r="G115" s="81"/>
      <c r="H115" s="15"/>
      <c r="I115" s="15"/>
      <c r="J115" s="74"/>
      <c r="K115" s="95"/>
      <c r="L115" s="15"/>
      <c r="M115" s="72"/>
      <c r="N115" s="14"/>
      <c r="O115" s="13"/>
      <c r="P115" s="85"/>
      <c r="Q115" s="6"/>
      <c r="R115" s="6"/>
    </row>
    <row r="116" spans="2:18" x14ac:dyDescent="0.2">
      <c r="B116" s="6"/>
      <c r="C116" s="6"/>
      <c r="D116" s="70"/>
      <c r="E116" s="70"/>
      <c r="F116" s="71"/>
      <c r="G116" s="81"/>
      <c r="H116" s="15"/>
      <c r="I116" s="15"/>
      <c r="J116" s="74"/>
      <c r="K116" s="95"/>
      <c r="L116" s="15"/>
      <c r="M116" s="72"/>
      <c r="N116" s="14"/>
      <c r="O116" s="13"/>
      <c r="P116" s="85"/>
      <c r="Q116" s="6"/>
      <c r="R116" s="6"/>
    </row>
    <row r="117" spans="2:18" x14ac:dyDescent="0.2">
      <c r="B117" s="6"/>
      <c r="C117" s="6"/>
      <c r="D117" s="70"/>
      <c r="E117" s="70"/>
      <c r="F117" s="71"/>
      <c r="G117" s="81"/>
      <c r="H117" s="15"/>
      <c r="I117" s="15"/>
      <c r="J117" s="74"/>
      <c r="K117" s="95"/>
      <c r="L117" s="15"/>
      <c r="M117" s="72"/>
      <c r="N117" s="14"/>
      <c r="O117" s="13"/>
      <c r="P117" s="85"/>
      <c r="Q117" s="6"/>
      <c r="R117" s="6"/>
    </row>
    <row r="118" spans="2:18" x14ac:dyDescent="0.2">
      <c r="B118" s="6"/>
      <c r="C118" s="6"/>
      <c r="D118" s="70"/>
      <c r="E118" s="70"/>
      <c r="F118" s="71"/>
      <c r="G118" s="81"/>
      <c r="H118" s="15"/>
      <c r="I118" s="15"/>
      <c r="J118" s="74"/>
      <c r="K118" s="95"/>
      <c r="L118" s="15"/>
      <c r="M118" s="72"/>
      <c r="N118" s="14"/>
      <c r="O118" s="13"/>
      <c r="P118" s="85"/>
      <c r="Q118" s="6"/>
      <c r="R118" s="6"/>
    </row>
    <row r="119" spans="2:18" x14ac:dyDescent="0.2">
      <c r="B119" s="6"/>
      <c r="C119" s="6"/>
      <c r="D119" s="70"/>
      <c r="E119" s="70"/>
      <c r="F119" s="71"/>
      <c r="G119" s="81"/>
      <c r="H119" s="7"/>
      <c r="I119" s="7"/>
      <c r="J119" s="74"/>
      <c r="K119" s="95"/>
      <c r="L119" s="15"/>
      <c r="M119" s="72"/>
      <c r="N119" s="14"/>
      <c r="O119" s="13"/>
      <c r="P119" s="85"/>
      <c r="Q119" s="6"/>
      <c r="R119" s="6"/>
    </row>
    <row r="120" spans="2:18" x14ac:dyDescent="0.2">
      <c r="B120" s="6"/>
      <c r="C120" s="6"/>
      <c r="D120" s="70"/>
      <c r="E120" s="70"/>
      <c r="F120" s="71"/>
      <c r="G120" s="81"/>
      <c r="H120" s="7"/>
      <c r="I120" s="7"/>
      <c r="J120" s="74"/>
      <c r="K120" s="95"/>
      <c r="L120" s="15"/>
      <c r="M120" s="72"/>
      <c r="N120" s="14"/>
      <c r="O120" s="13"/>
      <c r="P120" s="85"/>
      <c r="Q120" s="6"/>
      <c r="R120" s="6"/>
    </row>
    <row r="121" spans="2:18" x14ac:dyDescent="0.2">
      <c r="B121" s="6"/>
      <c r="C121" s="6"/>
      <c r="D121" s="70"/>
      <c r="E121" s="70"/>
      <c r="F121" s="71"/>
      <c r="G121" s="81"/>
      <c r="H121" s="7"/>
      <c r="I121" s="7"/>
      <c r="J121" s="74"/>
      <c r="K121" s="95"/>
      <c r="L121" s="15"/>
      <c r="M121" s="72"/>
      <c r="N121" s="14"/>
      <c r="O121" s="5"/>
      <c r="P121" s="85"/>
      <c r="Q121" s="6"/>
      <c r="R121" s="6"/>
    </row>
    <row r="122" spans="2:18" x14ac:dyDescent="0.2">
      <c r="B122" s="6"/>
      <c r="C122" s="6"/>
      <c r="D122" s="70"/>
      <c r="E122" s="70"/>
      <c r="F122" s="71"/>
      <c r="G122" s="81"/>
      <c r="H122" s="7"/>
      <c r="I122" s="7"/>
      <c r="J122" s="74"/>
      <c r="K122" s="95"/>
      <c r="L122" s="15"/>
      <c r="M122" s="72"/>
      <c r="N122" s="14"/>
      <c r="O122" s="5"/>
      <c r="P122" s="85"/>
      <c r="Q122" s="6"/>
      <c r="R122" s="6"/>
    </row>
    <row r="123" spans="2:18" x14ac:dyDescent="0.2">
      <c r="B123" s="6"/>
      <c r="C123" s="6"/>
      <c r="D123" s="70"/>
      <c r="E123" s="70"/>
      <c r="F123" s="71"/>
      <c r="G123" s="81"/>
      <c r="H123" s="7"/>
      <c r="I123" s="7"/>
      <c r="J123" s="74"/>
      <c r="K123" s="95"/>
      <c r="L123" s="15"/>
      <c r="M123" s="72"/>
      <c r="N123" s="14"/>
      <c r="O123" s="5"/>
      <c r="P123" s="85"/>
      <c r="Q123" s="6"/>
      <c r="R123" s="6"/>
    </row>
    <row r="124" spans="2:18" x14ac:dyDescent="0.2">
      <c r="B124" s="6"/>
      <c r="C124" s="6"/>
      <c r="D124" s="70"/>
      <c r="E124" s="70"/>
      <c r="F124" s="71"/>
      <c r="G124" s="81"/>
      <c r="H124" s="7"/>
      <c r="I124" s="7"/>
      <c r="J124" s="74"/>
      <c r="K124" s="95"/>
      <c r="L124" s="15"/>
      <c r="M124" s="72"/>
      <c r="N124" s="14"/>
      <c r="O124" s="5"/>
      <c r="P124" s="85"/>
      <c r="Q124" s="6"/>
      <c r="R124" s="6"/>
    </row>
    <row r="125" spans="2:18" x14ac:dyDescent="0.2">
      <c r="B125" s="6"/>
      <c r="C125" s="6"/>
      <c r="D125" s="70"/>
      <c r="E125" s="70"/>
      <c r="F125" s="71"/>
      <c r="G125" s="81"/>
      <c r="H125" s="7"/>
      <c r="I125" s="7"/>
      <c r="J125" s="74"/>
      <c r="K125" s="95"/>
      <c r="L125" s="15"/>
      <c r="M125" s="72"/>
      <c r="N125" s="14"/>
      <c r="O125" s="5"/>
      <c r="P125" s="85"/>
      <c r="Q125" s="6"/>
      <c r="R125" s="6"/>
    </row>
    <row r="126" spans="2:18" x14ac:dyDescent="0.2">
      <c r="B126" s="6"/>
      <c r="C126" s="6"/>
      <c r="D126" s="70"/>
      <c r="E126" s="70"/>
      <c r="F126" s="71"/>
      <c r="G126" s="81"/>
      <c r="H126" s="7"/>
      <c r="I126" s="7"/>
      <c r="J126" s="74"/>
      <c r="K126" s="95"/>
      <c r="L126" s="15"/>
      <c r="M126" s="72"/>
      <c r="N126" s="14"/>
      <c r="O126" s="5"/>
      <c r="P126" s="85"/>
      <c r="Q126" s="6"/>
      <c r="R126" s="6"/>
    </row>
    <row r="127" spans="2:18" x14ac:dyDescent="0.2">
      <c r="B127" s="6"/>
      <c r="C127" s="6"/>
      <c r="D127" s="70"/>
      <c r="E127" s="70"/>
      <c r="F127" s="71"/>
      <c r="G127" s="81"/>
      <c r="H127" s="7"/>
      <c r="I127" s="7"/>
      <c r="J127" s="74"/>
      <c r="K127" s="95"/>
      <c r="L127" s="15"/>
      <c r="M127" s="72"/>
      <c r="N127" s="14"/>
      <c r="O127" s="5"/>
      <c r="P127" s="85"/>
      <c r="Q127" s="6"/>
      <c r="R127" s="6"/>
    </row>
    <row r="128" spans="2:18" x14ac:dyDescent="0.2">
      <c r="B128" s="6"/>
      <c r="C128" s="6"/>
      <c r="D128" s="70"/>
      <c r="E128" s="70"/>
      <c r="F128" s="71"/>
      <c r="G128" s="81"/>
      <c r="H128" s="7"/>
      <c r="I128" s="7"/>
      <c r="J128" s="74"/>
      <c r="K128" s="95"/>
      <c r="L128" s="15"/>
      <c r="M128" s="72"/>
      <c r="N128" s="14"/>
      <c r="O128" s="5"/>
      <c r="P128" s="85"/>
      <c r="Q128" s="6"/>
      <c r="R128" s="6"/>
    </row>
    <row r="129" spans="2:18" x14ac:dyDescent="0.2">
      <c r="B129" s="6"/>
      <c r="C129" s="6"/>
      <c r="D129" s="70"/>
      <c r="E129" s="70"/>
      <c r="F129" s="71"/>
      <c r="G129" s="81"/>
      <c r="H129" s="7"/>
      <c r="I129" s="7"/>
      <c r="J129" s="74"/>
      <c r="K129" s="95"/>
      <c r="L129" s="15"/>
      <c r="M129" s="72"/>
      <c r="N129" s="14"/>
      <c r="O129" s="5"/>
      <c r="P129" s="85"/>
      <c r="Q129" s="6"/>
      <c r="R129" s="6"/>
    </row>
    <row r="130" spans="2:18" x14ac:dyDescent="0.2">
      <c r="B130" s="6"/>
      <c r="C130" s="6"/>
      <c r="D130" s="70"/>
      <c r="E130" s="70"/>
      <c r="F130" s="71"/>
      <c r="G130" s="81"/>
      <c r="H130" s="7"/>
      <c r="I130" s="7"/>
      <c r="J130" s="74"/>
      <c r="K130" s="95"/>
      <c r="L130" s="15"/>
      <c r="M130" s="72"/>
      <c r="N130" s="14"/>
      <c r="O130" s="5"/>
      <c r="P130" s="85"/>
      <c r="Q130" s="6"/>
      <c r="R130" s="6"/>
    </row>
    <row r="131" spans="2:18" x14ac:dyDescent="0.2">
      <c r="B131" s="6"/>
      <c r="C131" s="6"/>
      <c r="D131" s="70"/>
      <c r="E131" s="70"/>
      <c r="F131" s="71"/>
      <c r="G131" s="81"/>
      <c r="H131" s="7"/>
      <c r="I131" s="7"/>
      <c r="J131" s="74"/>
      <c r="K131" s="95"/>
      <c r="L131" s="15"/>
      <c r="M131" s="72"/>
      <c r="N131" s="14"/>
      <c r="O131" s="5"/>
      <c r="P131" s="85"/>
      <c r="Q131" s="6"/>
      <c r="R131" s="6"/>
    </row>
    <row r="132" spans="2:18" x14ac:dyDescent="0.2">
      <c r="B132" s="6"/>
      <c r="C132" s="6"/>
      <c r="D132" s="70"/>
      <c r="E132" s="70"/>
      <c r="F132" s="71"/>
      <c r="G132" s="81"/>
      <c r="H132" s="7"/>
      <c r="I132" s="7"/>
      <c r="J132" s="74"/>
      <c r="K132" s="95"/>
      <c r="L132" s="15"/>
      <c r="M132" s="72"/>
      <c r="N132" s="14"/>
      <c r="O132" s="5"/>
      <c r="P132" s="85"/>
      <c r="Q132" s="6"/>
      <c r="R132" s="6"/>
    </row>
    <row r="133" spans="2:18" s="9" customFormat="1" x14ac:dyDescent="0.2">
      <c r="B133" s="10"/>
      <c r="C133" s="11"/>
      <c r="D133" s="63"/>
      <c r="E133" s="11"/>
      <c r="F133" s="65"/>
      <c r="G133" s="12"/>
      <c r="H133" s="41"/>
      <c r="I133" s="30"/>
      <c r="J133" s="30"/>
      <c r="K133" s="97"/>
      <c r="L133" s="11"/>
      <c r="M133" s="11"/>
      <c r="N133" s="11"/>
      <c r="O133" s="11"/>
      <c r="P133" s="82"/>
    </row>
    <row r="134" spans="2:18" s="9" customFormat="1" x14ac:dyDescent="0.2">
      <c r="B134" s="10"/>
      <c r="C134" s="11"/>
      <c r="D134" s="63"/>
      <c r="E134" s="11"/>
      <c r="F134" s="65"/>
      <c r="G134" s="12"/>
      <c r="H134" s="41"/>
      <c r="I134" s="30"/>
      <c r="J134" s="30"/>
      <c r="K134" s="97"/>
      <c r="L134" s="11"/>
      <c r="M134" s="11"/>
      <c r="N134" s="11"/>
      <c r="O134" s="11"/>
      <c r="P134" s="82"/>
    </row>
    <row r="135" spans="2:18" s="9" customFormat="1" x14ac:dyDescent="0.2">
      <c r="B135" s="10"/>
      <c r="C135" s="11"/>
      <c r="D135" s="63"/>
      <c r="E135" s="11"/>
      <c r="F135" s="65"/>
      <c r="G135" s="12"/>
      <c r="H135" s="41"/>
      <c r="I135" s="30"/>
      <c r="J135" s="30"/>
      <c r="K135" s="97"/>
      <c r="L135" s="11"/>
      <c r="M135" s="11"/>
      <c r="N135" s="11"/>
      <c r="O135" s="11"/>
      <c r="P135" s="82"/>
    </row>
    <row r="136" spans="2:18" s="9" customFormat="1" x14ac:dyDescent="0.2">
      <c r="B136" s="10"/>
      <c r="C136" s="11"/>
      <c r="D136" s="63"/>
      <c r="E136" s="11"/>
      <c r="F136" s="65"/>
      <c r="G136" s="12"/>
      <c r="H136" s="41"/>
      <c r="I136" s="30"/>
      <c r="J136" s="30"/>
      <c r="K136" s="97"/>
      <c r="L136" s="11"/>
      <c r="M136" s="11"/>
      <c r="N136" s="11"/>
      <c r="O136" s="11"/>
      <c r="P136" s="82"/>
    </row>
    <row r="137" spans="2:18" s="9" customFormat="1" x14ac:dyDescent="0.2">
      <c r="B137" s="10"/>
      <c r="C137" s="11"/>
      <c r="D137" s="63"/>
      <c r="E137" s="11"/>
      <c r="F137" s="65"/>
      <c r="G137" s="12"/>
      <c r="H137" s="41"/>
      <c r="I137" s="30"/>
      <c r="J137" s="30"/>
      <c r="K137" s="97"/>
      <c r="L137" s="11"/>
      <c r="M137" s="11"/>
      <c r="N137" s="11"/>
      <c r="O137" s="11"/>
      <c r="P137" s="82"/>
    </row>
    <row r="138" spans="2:18" s="9" customFormat="1" x14ac:dyDescent="0.2">
      <c r="B138" s="10"/>
      <c r="C138" s="11"/>
      <c r="D138" s="63"/>
      <c r="E138" s="11"/>
      <c r="F138" s="65"/>
      <c r="G138" s="12"/>
      <c r="H138" s="41"/>
      <c r="I138" s="30"/>
      <c r="J138" s="30"/>
      <c r="K138" s="97"/>
      <c r="L138" s="11"/>
      <c r="M138" s="11"/>
      <c r="N138" s="11"/>
      <c r="O138" s="11"/>
      <c r="P138" s="82"/>
    </row>
    <row r="139" spans="2:18" s="9" customFormat="1" x14ac:dyDescent="0.2">
      <c r="B139" s="10"/>
      <c r="C139" s="11"/>
      <c r="D139" s="63"/>
      <c r="E139" s="11"/>
      <c r="F139" s="65"/>
      <c r="G139" s="12"/>
      <c r="H139" s="41"/>
      <c r="I139" s="30"/>
      <c r="J139" s="30"/>
      <c r="K139" s="97"/>
      <c r="L139" s="11"/>
      <c r="M139" s="11"/>
      <c r="N139" s="11"/>
      <c r="O139" s="11"/>
      <c r="P139" s="82"/>
    </row>
    <row r="140" spans="2:18" s="9" customFormat="1" x14ac:dyDescent="0.2">
      <c r="B140" s="10"/>
      <c r="C140" s="11"/>
      <c r="D140" s="63"/>
      <c r="E140" s="11"/>
      <c r="F140" s="65"/>
      <c r="G140" s="12"/>
      <c r="H140" s="41"/>
      <c r="I140" s="30"/>
      <c r="J140" s="30"/>
      <c r="K140" s="97"/>
      <c r="L140" s="11"/>
      <c r="M140" s="11"/>
      <c r="N140" s="11"/>
      <c r="O140" s="11"/>
      <c r="P140" s="82"/>
    </row>
    <row r="141" spans="2:18" s="9" customFormat="1" x14ac:dyDescent="0.2">
      <c r="B141" s="10"/>
      <c r="C141" s="11"/>
      <c r="D141" s="63"/>
      <c r="E141" s="11"/>
      <c r="F141" s="65"/>
      <c r="G141" s="12"/>
      <c r="H141" s="41"/>
      <c r="I141" s="30"/>
      <c r="J141" s="30"/>
      <c r="K141" s="97"/>
      <c r="L141" s="11"/>
      <c r="M141" s="11"/>
      <c r="N141" s="11"/>
      <c r="O141" s="11"/>
      <c r="P141" s="82"/>
    </row>
    <row r="142" spans="2:18" s="9" customFormat="1" x14ac:dyDescent="0.2">
      <c r="B142" s="10"/>
      <c r="C142" s="11"/>
      <c r="D142" s="63"/>
      <c r="E142" s="11"/>
      <c r="F142" s="65"/>
      <c r="G142" s="12"/>
      <c r="H142" s="41"/>
      <c r="I142" s="30"/>
      <c r="J142" s="30"/>
      <c r="K142" s="97"/>
      <c r="L142" s="11"/>
      <c r="M142" s="11"/>
      <c r="N142" s="11"/>
      <c r="O142" s="11"/>
      <c r="P142" s="82"/>
    </row>
    <row r="143" spans="2:18" s="9" customFormat="1" x14ac:dyDescent="0.2">
      <c r="B143" s="10"/>
      <c r="C143" s="11"/>
      <c r="D143" s="63"/>
      <c r="E143" s="11"/>
      <c r="F143" s="65"/>
      <c r="G143" s="12"/>
      <c r="H143" s="41"/>
      <c r="I143" s="30"/>
      <c r="J143" s="30"/>
      <c r="K143" s="97"/>
      <c r="L143" s="11"/>
      <c r="M143" s="11"/>
      <c r="N143" s="11"/>
      <c r="O143" s="11"/>
      <c r="P143" s="82"/>
    </row>
    <row r="144" spans="2:18" s="9" customFormat="1" x14ac:dyDescent="0.2">
      <c r="B144" s="10"/>
      <c r="C144" s="11"/>
      <c r="D144" s="63"/>
      <c r="E144" s="11"/>
      <c r="F144" s="65"/>
      <c r="G144" s="12"/>
      <c r="H144" s="41"/>
      <c r="I144" s="30"/>
      <c r="J144" s="30"/>
      <c r="K144" s="97"/>
      <c r="L144" s="11"/>
      <c r="M144" s="11"/>
      <c r="N144" s="11"/>
      <c r="O144" s="11"/>
      <c r="P144" s="82"/>
    </row>
    <row r="145" spans="2:16" s="9" customFormat="1" x14ac:dyDescent="0.2">
      <c r="B145" s="10"/>
      <c r="C145" s="11"/>
      <c r="D145" s="63"/>
      <c r="E145" s="11"/>
      <c r="F145" s="65"/>
      <c r="G145" s="12"/>
      <c r="H145" s="41"/>
      <c r="I145" s="30"/>
      <c r="J145" s="30"/>
      <c r="K145" s="97"/>
      <c r="L145" s="11"/>
      <c r="M145" s="11"/>
      <c r="N145" s="11"/>
      <c r="O145" s="11"/>
      <c r="P145" s="82"/>
    </row>
    <row r="146" spans="2:16" s="9" customFormat="1" x14ac:dyDescent="0.2">
      <c r="B146" s="10"/>
      <c r="C146" s="11"/>
      <c r="D146" s="63"/>
      <c r="E146" s="11"/>
      <c r="F146" s="65"/>
      <c r="G146" s="12"/>
      <c r="H146" s="41"/>
      <c r="I146" s="30"/>
      <c r="J146" s="30"/>
      <c r="K146" s="97"/>
      <c r="L146" s="11"/>
      <c r="M146" s="11"/>
      <c r="N146" s="11"/>
      <c r="O146" s="11"/>
      <c r="P146" s="82"/>
    </row>
    <row r="147" spans="2:16" s="9" customFormat="1" x14ac:dyDescent="0.2">
      <c r="B147" s="10"/>
      <c r="C147" s="11"/>
      <c r="D147" s="63"/>
      <c r="E147" s="11"/>
      <c r="F147" s="65"/>
      <c r="G147" s="12"/>
      <c r="H147" s="41"/>
      <c r="I147" s="30"/>
      <c r="J147" s="30"/>
      <c r="K147" s="97"/>
      <c r="L147" s="11"/>
      <c r="M147" s="11"/>
      <c r="N147" s="11"/>
      <c r="O147" s="11"/>
      <c r="P147" s="82"/>
    </row>
    <row r="148" spans="2:16" s="9" customFormat="1" x14ac:dyDescent="0.2">
      <c r="B148" s="10"/>
      <c r="C148" s="11"/>
      <c r="D148" s="63"/>
      <c r="E148" s="11"/>
      <c r="F148" s="65"/>
      <c r="G148" s="12"/>
      <c r="H148" s="41"/>
      <c r="I148" s="30"/>
      <c r="J148" s="30"/>
      <c r="K148" s="97"/>
      <c r="L148" s="11"/>
      <c r="M148" s="11"/>
      <c r="N148" s="11"/>
      <c r="O148" s="11"/>
      <c r="P148" s="82"/>
    </row>
    <row r="149" spans="2:16" s="9" customFormat="1" x14ac:dyDescent="0.2">
      <c r="B149" s="10"/>
      <c r="C149" s="11"/>
      <c r="D149" s="63"/>
      <c r="E149" s="11"/>
      <c r="F149" s="65"/>
      <c r="G149" s="12"/>
      <c r="H149" s="41"/>
      <c r="I149" s="30"/>
      <c r="J149" s="30"/>
      <c r="K149" s="97"/>
      <c r="L149" s="11"/>
      <c r="M149" s="11"/>
      <c r="N149" s="11"/>
      <c r="O149" s="11"/>
      <c r="P149" s="82"/>
    </row>
    <row r="150" spans="2:16" s="9" customFormat="1" x14ac:dyDescent="0.2">
      <c r="B150" s="10"/>
      <c r="C150" s="11"/>
      <c r="D150" s="63"/>
      <c r="E150" s="11"/>
      <c r="F150" s="65"/>
      <c r="G150" s="12"/>
      <c r="H150" s="41"/>
      <c r="I150" s="30"/>
      <c r="J150" s="30"/>
      <c r="K150" s="97"/>
      <c r="L150" s="11"/>
      <c r="M150" s="11"/>
      <c r="N150" s="11"/>
      <c r="O150" s="11"/>
      <c r="P150" s="82"/>
    </row>
    <row r="151" spans="2:16" s="9" customFormat="1" x14ac:dyDescent="0.2">
      <c r="B151" s="10"/>
      <c r="C151" s="11"/>
      <c r="D151" s="63"/>
      <c r="E151" s="11"/>
      <c r="F151" s="65"/>
      <c r="G151" s="12"/>
      <c r="H151" s="41"/>
      <c r="I151" s="30"/>
      <c r="J151" s="30"/>
      <c r="K151" s="97"/>
      <c r="L151" s="11"/>
      <c r="M151" s="11"/>
      <c r="N151" s="11"/>
      <c r="O151" s="11"/>
      <c r="P151" s="82"/>
    </row>
    <row r="152" spans="2:16" s="9" customFormat="1" x14ac:dyDescent="0.2">
      <c r="B152" s="10"/>
      <c r="C152" s="11"/>
      <c r="D152" s="63"/>
      <c r="E152" s="11"/>
      <c r="F152" s="65"/>
      <c r="G152" s="12"/>
      <c r="H152" s="41"/>
      <c r="I152" s="30"/>
      <c r="J152" s="30"/>
      <c r="K152" s="97"/>
      <c r="L152" s="11"/>
      <c r="M152" s="11"/>
      <c r="N152" s="11"/>
      <c r="O152" s="11"/>
      <c r="P152" s="82"/>
    </row>
    <row r="153" spans="2:16" s="9" customFormat="1" x14ac:dyDescent="0.2">
      <c r="B153" s="10"/>
      <c r="C153" s="11"/>
      <c r="D153" s="63"/>
      <c r="E153" s="11"/>
      <c r="F153" s="65"/>
      <c r="G153" s="12"/>
      <c r="H153" s="41"/>
      <c r="I153" s="30"/>
      <c r="J153" s="30"/>
      <c r="K153" s="97"/>
      <c r="L153" s="11"/>
      <c r="M153" s="11"/>
      <c r="N153" s="11"/>
      <c r="O153" s="11"/>
      <c r="P153" s="82"/>
    </row>
    <row r="154" spans="2:16" s="9" customFormat="1" x14ac:dyDescent="0.2">
      <c r="B154" s="10"/>
      <c r="C154" s="11"/>
      <c r="D154" s="63"/>
      <c r="E154" s="11"/>
      <c r="F154" s="65"/>
      <c r="G154" s="12"/>
      <c r="H154" s="41"/>
      <c r="I154" s="30"/>
      <c r="J154" s="30"/>
      <c r="K154" s="97"/>
      <c r="L154" s="11"/>
      <c r="M154" s="11"/>
      <c r="N154" s="11"/>
      <c r="O154" s="11"/>
      <c r="P154" s="82"/>
    </row>
    <row r="155" spans="2:16" s="9" customFormat="1" x14ac:dyDescent="0.2">
      <c r="B155" s="10"/>
      <c r="C155" s="11"/>
      <c r="D155" s="63"/>
      <c r="E155" s="11"/>
      <c r="F155" s="65"/>
      <c r="G155" s="12"/>
      <c r="H155" s="41"/>
      <c r="I155" s="30"/>
      <c r="J155" s="30"/>
      <c r="K155" s="97"/>
      <c r="L155" s="11"/>
      <c r="M155" s="11"/>
      <c r="N155" s="11"/>
      <c r="O155" s="11"/>
      <c r="P155" s="82"/>
    </row>
    <row r="156" spans="2:16" s="9" customFormat="1" x14ac:dyDescent="0.2">
      <c r="B156" s="10"/>
      <c r="C156" s="11"/>
      <c r="D156" s="63"/>
      <c r="E156" s="11"/>
      <c r="F156" s="65"/>
      <c r="G156" s="12"/>
      <c r="H156" s="41"/>
      <c r="I156" s="30"/>
      <c r="J156" s="30"/>
      <c r="K156" s="97"/>
      <c r="L156" s="11"/>
      <c r="M156" s="11"/>
      <c r="N156" s="11"/>
      <c r="O156" s="11"/>
      <c r="P156" s="82"/>
    </row>
    <row r="157" spans="2:16" s="9" customFormat="1" x14ac:dyDescent="0.2">
      <c r="B157" s="10"/>
      <c r="C157" s="11"/>
      <c r="D157" s="63"/>
      <c r="E157" s="11"/>
      <c r="F157" s="65"/>
      <c r="G157" s="12"/>
      <c r="H157" s="41"/>
      <c r="I157" s="30"/>
      <c r="J157" s="30"/>
      <c r="K157" s="97"/>
      <c r="L157" s="11"/>
      <c r="M157" s="11"/>
      <c r="N157" s="11"/>
      <c r="O157" s="11"/>
      <c r="P157" s="82"/>
    </row>
    <row r="158" spans="2:16" s="9" customFormat="1" x14ac:dyDescent="0.2">
      <c r="B158" s="10"/>
      <c r="C158" s="11"/>
      <c r="D158" s="63"/>
      <c r="E158" s="11"/>
      <c r="F158" s="65"/>
      <c r="G158" s="12"/>
      <c r="H158" s="41"/>
      <c r="I158" s="30"/>
      <c r="J158" s="30"/>
      <c r="K158" s="97"/>
      <c r="L158" s="11"/>
      <c r="M158" s="11"/>
      <c r="N158" s="11"/>
      <c r="O158" s="11"/>
      <c r="P158" s="82"/>
    </row>
    <row r="159" spans="2:16" s="9" customFormat="1" x14ac:dyDescent="0.2">
      <c r="B159" s="10"/>
      <c r="C159" s="11"/>
      <c r="D159" s="63"/>
      <c r="E159" s="11"/>
      <c r="F159" s="65"/>
      <c r="G159" s="12"/>
      <c r="H159" s="41"/>
      <c r="I159" s="30"/>
      <c r="J159" s="30"/>
      <c r="K159" s="97"/>
      <c r="L159" s="11"/>
      <c r="M159" s="11"/>
      <c r="N159" s="11"/>
      <c r="O159" s="11"/>
      <c r="P159" s="82"/>
    </row>
    <row r="160" spans="2:16" s="9" customFormat="1" x14ac:dyDescent="0.2">
      <c r="B160" s="10"/>
      <c r="C160" s="11"/>
      <c r="D160" s="63"/>
      <c r="E160" s="11"/>
      <c r="F160" s="65"/>
      <c r="G160" s="12"/>
      <c r="H160" s="41"/>
      <c r="I160" s="30"/>
      <c r="J160" s="30"/>
      <c r="K160" s="97"/>
      <c r="L160" s="11"/>
      <c r="M160" s="11"/>
      <c r="N160" s="11"/>
      <c r="O160" s="11"/>
      <c r="P160" s="82"/>
    </row>
    <row r="161" spans="2:16" s="9" customFormat="1" x14ac:dyDescent="0.2">
      <c r="B161" s="10"/>
      <c r="C161" s="11"/>
      <c r="D161" s="63"/>
      <c r="E161" s="11"/>
      <c r="F161" s="65"/>
      <c r="G161" s="12"/>
      <c r="H161" s="41"/>
      <c r="I161" s="30"/>
      <c r="J161" s="30"/>
      <c r="K161" s="97"/>
      <c r="L161" s="11"/>
      <c r="M161" s="11"/>
      <c r="N161" s="11"/>
      <c r="O161" s="11"/>
      <c r="P161" s="82"/>
    </row>
    <row r="162" spans="2:16" s="9" customFormat="1" x14ac:dyDescent="0.2">
      <c r="B162" s="10"/>
      <c r="C162" s="11"/>
      <c r="D162" s="63"/>
      <c r="E162" s="11"/>
      <c r="F162" s="65"/>
      <c r="G162" s="12"/>
      <c r="H162" s="41"/>
      <c r="I162" s="30"/>
      <c r="J162" s="30"/>
      <c r="K162" s="97"/>
      <c r="L162" s="11"/>
      <c r="M162" s="11"/>
      <c r="N162" s="11"/>
      <c r="O162" s="11"/>
      <c r="P162" s="82"/>
    </row>
    <row r="163" spans="2:16" s="9" customFormat="1" x14ac:dyDescent="0.2">
      <c r="B163" s="10"/>
      <c r="C163" s="11"/>
      <c r="D163" s="63"/>
      <c r="E163" s="11"/>
      <c r="F163" s="65"/>
      <c r="G163" s="12"/>
      <c r="H163" s="41"/>
      <c r="I163" s="30"/>
      <c r="J163" s="30"/>
      <c r="K163" s="97"/>
      <c r="L163" s="11"/>
      <c r="M163" s="11"/>
      <c r="N163" s="11"/>
      <c r="O163" s="11"/>
      <c r="P163" s="82"/>
    </row>
    <row r="164" spans="2:16" s="9" customFormat="1" x14ac:dyDescent="0.2">
      <c r="B164" s="10"/>
      <c r="C164" s="11"/>
      <c r="D164" s="63"/>
      <c r="E164" s="11"/>
      <c r="F164" s="65"/>
      <c r="G164" s="12"/>
      <c r="H164" s="41"/>
      <c r="I164" s="30"/>
      <c r="J164" s="30"/>
      <c r="K164" s="97"/>
      <c r="L164" s="11"/>
      <c r="M164" s="11"/>
      <c r="N164" s="11"/>
      <c r="O164" s="11"/>
      <c r="P164" s="82"/>
    </row>
    <row r="165" spans="2:16" s="9" customFormat="1" x14ac:dyDescent="0.2">
      <c r="B165" s="10"/>
      <c r="C165" s="11"/>
      <c r="D165" s="63"/>
      <c r="E165" s="11"/>
      <c r="F165" s="65"/>
      <c r="G165" s="12"/>
      <c r="H165" s="41"/>
      <c r="I165" s="30"/>
      <c r="J165" s="30"/>
      <c r="K165" s="97"/>
      <c r="L165" s="11"/>
      <c r="M165" s="11"/>
      <c r="N165" s="11"/>
      <c r="O165" s="11"/>
      <c r="P165" s="82"/>
    </row>
    <row r="166" spans="2:16" s="9" customFormat="1" x14ac:dyDescent="0.2">
      <c r="B166" s="10"/>
      <c r="C166" s="11"/>
      <c r="D166" s="63"/>
      <c r="E166" s="11"/>
      <c r="F166" s="65"/>
      <c r="G166" s="12"/>
      <c r="H166" s="41"/>
      <c r="I166" s="30"/>
      <c r="J166" s="30"/>
      <c r="K166" s="97"/>
      <c r="L166" s="11"/>
      <c r="M166" s="11"/>
      <c r="N166" s="11"/>
      <c r="O166" s="11"/>
      <c r="P166" s="82"/>
    </row>
    <row r="167" spans="2:16" s="9" customFormat="1" x14ac:dyDescent="0.2">
      <c r="B167" s="10"/>
      <c r="C167" s="11"/>
      <c r="D167" s="63"/>
      <c r="E167" s="11"/>
      <c r="F167" s="65"/>
      <c r="G167" s="12"/>
      <c r="H167" s="41"/>
      <c r="I167" s="30"/>
      <c r="J167" s="30"/>
      <c r="K167" s="97"/>
      <c r="L167" s="11"/>
      <c r="M167" s="11"/>
      <c r="N167" s="11"/>
      <c r="O167" s="11"/>
      <c r="P167" s="82"/>
    </row>
    <row r="168" spans="2:16" s="9" customFormat="1" x14ac:dyDescent="0.2">
      <c r="B168" s="10"/>
      <c r="C168" s="11"/>
      <c r="D168" s="63"/>
      <c r="E168" s="11"/>
      <c r="F168" s="65"/>
      <c r="G168" s="12"/>
      <c r="H168" s="41"/>
      <c r="I168" s="30"/>
      <c r="J168" s="30"/>
      <c r="K168" s="97"/>
      <c r="L168" s="11"/>
      <c r="M168" s="11"/>
      <c r="N168" s="11"/>
      <c r="O168" s="11"/>
      <c r="P168" s="82"/>
    </row>
    <row r="169" spans="2:16" s="9" customFormat="1" x14ac:dyDescent="0.2">
      <c r="B169" s="10"/>
      <c r="C169" s="11"/>
      <c r="D169" s="63"/>
      <c r="E169" s="11"/>
      <c r="F169" s="65"/>
      <c r="G169" s="12"/>
      <c r="H169" s="41"/>
      <c r="I169" s="30"/>
      <c r="J169" s="30"/>
      <c r="K169" s="97"/>
      <c r="L169" s="11"/>
      <c r="M169" s="11"/>
      <c r="N169" s="11"/>
      <c r="O169" s="11"/>
      <c r="P169" s="82"/>
    </row>
    <row r="170" spans="2:16" s="9" customFormat="1" x14ac:dyDescent="0.2">
      <c r="B170" s="10"/>
      <c r="C170" s="11"/>
      <c r="D170" s="63"/>
      <c r="E170" s="11"/>
      <c r="F170" s="65"/>
      <c r="G170" s="12"/>
      <c r="H170" s="41"/>
      <c r="I170" s="30"/>
      <c r="J170" s="30"/>
      <c r="K170" s="97"/>
      <c r="L170" s="11"/>
      <c r="M170" s="11"/>
      <c r="N170" s="11"/>
      <c r="O170" s="11"/>
      <c r="P170" s="82"/>
    </row>
    <row r="171" spans="2:16" s="9" customFormat="1" x14ac:dyDescent="0.2">
      <c r="B171" s="10"/>
      <c r="C171" s="11"/>
      <c r="D171" s="63"/>
      <c r="E171" s="11"/>
      <c r="F171" s="65"/>
      <c r="G171" s="12"/>
      <c r="H171" s="41"/>
      <c r="I171" s="30"/>
      <c r="J171" s="30"/>
      <c r="K171" s="97"/>
      <c r="L171" s="11"/>
      <c r="M171" s="11"/>
      <c r="N171" s="11"/>
      <c r="O171" s="11"/>
      <c r="P171" s="82"/>
    </row>
    <row r="172" spans="2:16" s="9" customFormat="1" x14ac:dyDescent="0.2">
      <c r="B172" s="10"/>
      <c r="C172" s="11"/>
      <c r="D172" s="63"/>
      <c r="E172" s="11"/>
      <c r="F172" s="65"/>
      <c r="G172" s="12"/>
      <c r="H172" s="41"/>
      <c r="I172" s="30"/>
      <c r="J172" s="30"/>
      <c r="K172" s="97"/>
      <c r="L172" s="11"/>
      <c r="M172" s="11"/>
      <c r="N172" s="11"/>
      <c r="O172" s="11"/>
      <c r="P172" s="82"/>
    </row>
    <row r="173" spans="2:16" s="9" customFormat="1" x14ac:dyDescent="0.2">
      <c r="B173" s="10"/>
      <c r="C173" s="11"/>
      <c r="D173" s="63"/>
      <c r="E173" s="11"/>
      <c r="F173" s="65"/>
      <c r="G173" s="12"/>
      <c r="H173" s="41"/>
      <c r="I173" s="30"/>
      <c r="J173" s="30"/>
      <c r="K173" s="97"/>
      <c r="L173" s="11"/>
      <c r="M173" s="11"/>
      <c r="N173" s="11"/>
      <c r="O173" s="11"/>
      <c r="P173" s="82"/>
    </row>
    <row r="174" spans="2:16" s="9" customFormat="1" x14ac:dyDescent="0.2">
      <c r="B174" s="10"/>
      <c r="C174" s="11"/>
      <c r="D174" s="63"/>
      <c r="E174" s="11"/>
      <c r="F174" s="65"/>
      <c r="G174" s="12"/>
      <c r="H174" s="41"/>
      <c r="I174" s="30"/>
      <c r="J174" s="30"/>
      <c r="K174" s="97"/>
      <c r="L174" s="11"/>
      <c r="M174" s="11"/>
      <c r="N174" s="11"/>
      <c r="O174" s="11"/>
      <c r="P174" s="82"/>
    </row>
    <row r="175" spans="2:16" s="9" customFormat="1" x14ac:dyDescent="0.2">
      <c r="B175" s="10"/>
      <c r="C175" s="11"/>
      <c r="D175" s="63"/>
      <c r="E175" s="11"/>
      <c r="F175" s="65"/>
      <c r="G175" s="12"/>
      <c r="H175" s="41"/>
      <c r="I175" s="30"/>
      <c r="J175" s="30"/>
      <c r="K175" s="97"/>
      <c r="L175" s="11"/>
      <c r="M175" s="11"/>
      <c r="N175" s="11"/>
      <c r="O175" s="11"/>
      <c r="P175" s="82"/>
    </row>
    <row r="176" spans="2:16" s="9" customFormat="1" x14ac:dyDescent="0.2">
      <c r="B176" s="10"/>
      <c r="C176" s="11"/>
      <c r="D176" s="63"/>
      <c r="E176" s="11"/>
      <c r="F176" s="65"/>
      <c r="G176" s="12"/>
      <c r="H176" s="41"/>
      <c r="I176" s="30"/>
      <c r="J176" s="30"/>
      <c r="K176" s="97"/>
      <c r="L176" s="11"/>
      <c r="M176" s="11"/>
      <c r="N176" s="11"/>
      <c r="O176" s="11"/>
      <c r="P176" s="82"/>
    </row>
    <row r="177" spans="2:16" s="9" customFormat="1" x14ac:dyDescent="0.2">
      <c r="B177" s="10"/>
      <c r="C177" s="11"/>
      <c r="D177" s="63"/>
      <c r="E177" s="11"/>
      <c r="F177" s="65"/>
      <c r="G177" s="12"/>
      <c r="H177" s="41"/>
      <c r="I177" s="30"/>
      <c r="J177" s="30"/>
      <c r="K177" s="97"/>
      <c r="L177" s="11"/>
      <c r="M177" s="11"/>
      <c r="N177" s="11"/>
      <c r="O177" s="11"/>
      <c r="P177" s="82"/>
    </row>
    <row r="178" spans="2:16" s="9" customFormat="1" x14ac:dyDescent="0.2">
      <c r="B178" s="10"/>
      <c r="C178" s="11"/>
      <c r="D178" s="63"/>
      <c r="E178" s="11"/>
      <c r="F178" s="65"/>
      <c r="G178" s="12"/>
      <c r="H178" s="41"/>
      <c r="I178" s="30"/>
      <c r="J178" s="30"/>
      <c r="K178" s="97"/>
      <c r="L178" s="11"/>
      <c r="M178" s="11"/>
      <c r="N178" s="11"/>
      <c r="O178" s="11"/>
      <c r="P178" s="82"/>
    </row>
    <row r="179" spans="2:16" s="9" customFormat="1" x14ac:dyDescent="0.2">
      <c r="B179" s="10"/>
      <c r="C179" s="11"/>
      <c r="D179" s="63"/>
      <c r="E179" s="11"/>
      <c r="F179" s="65"/>
      <c r="G179" s="12"/>
      <c r="H179" s="41"/>
      <c r="I179" s="30"/>
      <c r="J179" s="30"/>
      <c r="K179" s="97"/>
      <c r="L179" s="11"/>
      <c r="M179" s="11"/>
      <c r="N179" s="11"/>
      <c r="O179" s="11"/>
      <c r="P179" s="82"/>
    </row>
    <row r="180" spans="2:16" s="9" customFormat="1" x14ac:dyDescent="0.2">
      <c r="B180" s="10"/>
      <c r="C180" s="11"/>
      <c r="D180" s="63"/>
      <c r="E180" s="11"/>
      <c r="F180" s="65"/>
      <c r="G180" s="12"/>
      <c r="H180" s="41"/>
      <c r="I180" s="30"/>
      <c r="J180" s="30"/>
      <c r="K180" s="97"/>
      <c r="L180" s="11"/>
      <c r="M180" s="11"/>
      <c r="N180" s="11"/>
      <c r="O180" s="11"/>
      <c r="P180" s="82"/>
    </row>
    <row r="181" spans="2:16" s="9" customFormat="1" x14ac:dyDescent="0.2">
      <c r="B181" s="10"/>
      <c r="C181" s="11"/>
      <c r="D181" s="63"/>
      <c r="E181" s="11"/>
      <c r="F181" s="65"/>
      <c r="G181" s="12"/>
      <c r="H181" s="41"/>
      <c r="I181" s="30"/>
      <c r="J181" s="30"/>
      <c r="K181" s="97"/>
      <c r="L181" s="11"/>
      <c r="M181" s="11"/>
      <c r="N181" s="11"/>
      <c r="O181" s="11"/>
      <c r="P181" s="82"/>
    </row>
    <row r="182" spans="2:16" s="9" customFormat="1" x14ac:dyDescent="0.2">
      <c r="B182" s="10"/>
      <c r="C182" s="11"/>
      <c r="D182" s="63"/>
      <c r="E182" s="11"/>
      <c r="F182" s="65"/>
      <c r="G182" s="12"/>
      <c r="H182" s="41"/>
      <c r="I182" s="30"/>
      <c r="J182" s="30"/>
      <c r="K182" s="97"/>
      <c r="L182" s="11"/>
      <c r="M182" s="11"/>
      <c r="N182" s="11"/>
      <c r="O182" s="11"/>
      <c r="P182" s="82"/>
    </row>
    <row r="183" spans="2:16" s="9" customFormat="1" x14ac:dyDescent="0.2">
      <c r="B183" s="10"/>
      <c r="C183" s="11"/>
      <c r="D183" s="63"/>
      <c r="E183" s="11"/>
      <c r="F183" s="65"/>
      <c r="G183" s="12"/>
      <c r="H183" s="41"/>
      <c r="I183" s="30"/>
      <c r="J183" s="30"/>
      <c r="K183" s="97"/>
      <c r="L183" s="11"/>
      <c r="M183" s="11"/>
      <c r="N183" s="11"/>
      <c r="O183" s="11"/>
      <c r="P183" s="82"/>
    </row>
    <row r="184" spans="2:16" s="9" customFormat="1" x14ac:dyDescent="0.2">
      <c r="B184" s="10"/>
      <c r="C184" s="11"/>
      <c r="D184" s="63"/>
      <c r="E184" s="11"/>
      <c r="F184" s="65"/>
      <c r="G184" s="12"/>
      <c r="H184" s="41"/>
      <c r="I184" s="30"/>
      <c r="J184" s="30"/>
      <c r="K184" s="97"/>
      <c r="L184" s="11"/>
      <c r="M184" s="11"/>
      <c r="N184" s="11"/>
      <c r="O184" s="11"/>
      <c r="P184" s="82"/>
    </row>
    <row r="185" spans="2:16" s="9" customFormat="1" x14ac:dyDescent="0.2">
      <c r="B185" s="10"/>
      <c r="C185" s="11"/>
      <c r="D185" s="63"/>
      <c r="E185" s="11"/>
      <c r="F185" s="65"/>
      <c r="G185" s="12"/>
      <c r="H185" s="41"/>
      <c r="I185" s="30"/>
      <c r="J185" s="30"/>
      <c r="K185" s="97"/>
      <c r="L185" s="11"/>
      <c r="M185" s="11"/>
      <c r="N185" s="11"/>
      <c r="O185" s="11"/>
      <c r="P185" s="82"/>
    </row>
    <row r="186" spans="2:16" s="9" customFormat="1" x14ac:dyDescent="0.2">
      <c r="B186" s="10"/>
      <c r="C186" s="11"/>
      <c r="D186" s="63"/>
      <c r="E186" s="11"/>
      <c r="F186" s="65"/>
      <c r="G186" s="12"/>
      <c r="H186" s="41"/>
      <c r="I186" s="30"/>
      <c r="J186" s="30"/>
      <c r="K186" s="97"/>
      <c r="L186" s="11"/>
      <c r="M186" s="11"/>
      <c r="N186" s="11"/>
      <c r="O186" s="11"/>
      <c r="P186" s="82"/>
    </row>
    <row r="187" spans="2:16" s="9" customFormat="1" x14ac:dyDescent="0.2">
      <c r="B187" s="10"/>
      <c r="C187" s="11"/>
      <c r="D187" s="63"/>
      <c r="E187" s="11"/>
      <c r="F187" s="65"/>
      <c r="G187" s="12"/>
      <c r="H187" s="41"/>
      <c r="I187" s="30"/>
      <c r="J187" s="30"/>
      <c r="K187" s="97"/>
      <c r="L187" s="11"/>
      <c r="M187" s="11"/>
      <c r="N187" s="11"/>
      <c r="O187" s="11"/>
      <c r="P187" s="82"/>
    </row>
    <row r="188" spans="2:16" s="9" customFormat="1" x14ac:dyDescent="0.2">
      <c r="B188" s="10"/>
      <c r="C188" s="11"/>
      <c r="D188" s="63"/>
      <c r="E188" s="11"/>
      <c r="F188" s="65"/>
      <c r="G188" s="12"/>
      <c r="H188" s="41"/>
      <c r="I188" s="30"/>
      <c r="J188" s="30"/>
      <c r="K188" s="97"/>
      <c r="L188" s="11"/>
      <c r="M188" s="11"/>
      <c r="N188" s="11"/>
      <c r="O188" s="11"/>
      <c r="P188" s="82"/>
    </row>
    <row r="189" spans="2:16" s="9" customFormat="1" x14ac:dyDescent="0.2">
      <c r="B189" s="10"/>
      <c r="C189" s="11"/>
      <c r="D189" s="63"/>
      <c r="E189" s="11"/>
      <c r="F189" s="65"/>
      <c r="G189" s="12"/>
      <c r="H189" s="41"/>
      <c r="I189" s="30"/>
      <c r="J189" s="30"/>
      <c r="K189" s="97"/>
      <c r="L189" s="11"/>
      <c r="M189" s="11"/>
      <c r="N189" s="11"/>
      <c r="O189" s="11"/>
      <c r="P189" s="82"/>
    </row>
    <row r="190" spans="2:16" s="9" customFormat="1" x14ac:dyDescent="0.2">
      <c r="B190" s="10"/>
      <c r="C190" s="11"/>
      <c r="D190" s="63"/>
      <c r="E190" s="11"/>
      <c r="F190" s="65"/>
      <c r="G190" s="12"/>
      <c r="H190" s="41"/>
      <c r="I190" s="30"/>
      <c r="J190" s="30"/>
      <c r="K190" s="97"/>
      <c r="L190" s="11"/>
      <c r="M190" s="11"/>
      <c r="N190" s="11"/>
      <c r="O190" s="11"/>
      <c r="P190" s="82"/>
    </row>
    <row r="191" spans="2:16" s="9" customFormat="1" x14ac:dyDescent="0.2">
      <c r="B191" s="10"/>
      <c r="C191" s="11"/>
      <c r="D191" s="63"/>
      <c r="E191" s="11"/>
      <c r="F191" s="65"/>
      <c r="G191" s="12"/>
      <c r="H191" s="41"/>
      <c r="I191" s="30"/>
      <c r="J191" s="30"/>
      <c r="K191" s="97"/>
      <c r="L191" s="11"/>
      <c r="M191" s="11"/>
      <c r="N191" s="11"/>
      <c r="O191" s="11"/>
      <c r="P191" s="82"/>
    </row>
    <row r="192" spans="2:16" s="9" customFormat="1" x14ac:dyDescent="0.2">
      <c r="B192" s="10"/>
      <c r="C192" s="11"/>
      <c r="D192" s="63"/>
      <c r="E192" s="11"/>
      <c r="F192" s="65"/>
      <c r="G192" s="12"/>
      <c r="H192" s="41"/>
      <c r="I192" s="30"/>
      <c r="J192" s="30"/>
      <c r="K192" s="97"/>
      <c r="L192" s="11"/>
      <c r="M192" s="11"/>
      <c r="N192" s="11"/>
      <c r="O192" s="11"/>
      <c r="P192" s="82"/>
    </row>
    <row r="193" spans="2:16" s="9" customFormat="1" x14ac:dyDescent="0.2">
      <c r="B193" s="10"/>
      <c r="C193" s="11"/>
      <c r="D193" s="63"/>
      <c r="E193" s="11"/>
      <c r="F193" s="65"/>
      <c r="G193" s="12"/>
      <c r="H193" s="41"/>
      <c r="I193" s="30"/>
      <c r="J193" s="30"/>
      <c r="K193" s="97"/>
      <c r="L193" s="11"/>
      <c r="M193" s="11"/>
      <c r="N193" s="11"/>
      <c r="O193" s="11"/>
      <c r="P193" s="82"/>
    </row>
    <row r="194" spans="2:16" s="9" customFormat="1" x14ac:dyDescent="0.2">
      <c r="B194" s="10"/>
      <c r="C194" s="11"/>
      <c r="D194" s="63"/>
      <c r="E194" s="11"/>
      <c r="F194" s="65"/>
      <c r="G194" s="12"/>
      <c r="H194" s="41"/>
      <c r="I194" s="30"/>
      <c r="J194" s="30"/>
      <c r="K194" s="97"/>
      <c r="L194" s="11"/>
      <c r="M194" s="11"/>
      <c r="N194" s="11"/>
      <c r="O194" s="11"/>
      <c r="P194" s="82"/>
    </row>
    <row r="195" spans="2:16" s="9" customFormat="1" x14ac:dyDescent="0.2">
      <c r="B195" s="10"/>
      <c r="C195" s="11"/>
      <c r="D195" s="63"/>
      <c r="E195" s="11"/>
      <c r="F195" s="65"/>
      <c r="G195" s="12"/>
      <c r="H195" s="41"/>
      <c r="I195" s="30"/>
      <c r="J195" s="30"/>
      <c r="K195" s="97"/>
      <c r="L195" s="11"/>
      <c r="M195" s="11"/>
      <c r="N195" s="11"/>
      <c r="O195" s="11"/>
      <c r="P195" s="82"/>
    </row>
    <row r="196" spans="2:16" s="9" customFormat="1" x14ac:dyDescent="0.2">
      <c r="B196" s="10"/>
      <c r="C196" s="11"/>
      <c r="D196" s="63"/>
      <c r="E196" s="11"/>
      <c r="F196" s="65"/>
      <c r="G196" s="12"/>
      <c r="H196" s="41"/>
      <c r="I196" s="30"/>
      <c r="J196" s="30"/>
      <c r="K196" s="97"/>
      <c r="L196" s="11"/>
      <c r="M196" s="11"/>
      <c r="N196" s="11"/>
      <c r="O196" s="11"/>
      <c r="P196" s="82"/>
    </row>
    <row r="197" spans="2:16" s="9" customFormat="1" x14ac:dyDescent="0.2">
      <c r="B197" s="10"/>
      <c r="C197" s="11"/>
      <c r="D197" s="63"/>
      <c r="E197" s="11"/>
      <c r="F197" s="65"/>
      <c r="G197" s="12"/>
      <c r="H197" s="41"/>
      <c r="I197" s="30"/>
      <c r="J197" s="30"/>
      <c r="K197" s="97"/>
      <c r="L197" s="11"/>
      <c r="M197" s="11"/>
      <c r="N197" s="11"/>
      <c r="O197" s="11"/>
      <c r="P197" s="82"/>
    </row>
    <row r="198" spans="2:16" s="9" customFormat="1" x14ac:dyDescent="0.2">
      <c r="B198" s="10"/>
      <c r="C198" s="11"/>
      <c r="D198" s="63"/>
      <c r="E198" s="11"/>
      <c r="F198" s="65"/>
      <c r="G198" s="12"/>
      <c r="H198" s="41"/>
      <c r="I198" s="30"/>
      <c r="J198" s="30"/>
      <c r="K198" s="97"/>
      <c r="L198" s="11"/>
      <c r="M198" s="11"/>
      <c r="N198" s="11"/>
      <c r="O198" s="11"/>
      <c r="P198" s="82"/>
    </row>
    <row r="199" spans="2:16" s="9" customFormat="1" x14ac:dyDescent="0.2">
      <c r="B199" s="10"/>
      <c r="C199" s="11"/>
      <c r="D199" s="63"/>
      <c r="E199" s="11"/>
      <c r="F199" s="65"/>
      <c r="G199" s="12"/>
      <c r="H199" s="41"/>
      <c r="I199" s="30"/>
      <c r="J199" s="30"/>
      <c r="K199" s="97"/>
      <c r="L199" s="11"/>
      <c r="M199" s="11"/>
      <c r="N199" s="11"/>
      <c r="O199" s="11"/>
      <c r="P199" s="82"/>
    </row>
    <row r="200" spans="2:16" s="9" customFormat="1" x14ac:dyDescent="0.2">
      <c r="B200" s="10"/>
      <c r="C200" s="11"/>
      <c r="D200" s="63"/>
      <c r="E200" s="11"/>
      <c r="F200" s="65"/>
      <c r="G200" s="12"/>
      <c r="H200" s="41"/>
      <c r="I200" s="30"/>
      <c r="J200" s="30"/>
      <c r="K200" s="97"/>
      <c r="L200" s="11"/>
      <c r="M200" s="11"/>
      <c r="N200" s="11"/>
      <c r="O200" s="11"/>
      <c r="P200" s="82"/>
    </row>
    <row r="201" spans="2:16" s="9" customFormat="1" x14ac:dyDescent="0.2">
      <c r="B201" s="10"/>
      <c r="C201" s="11"/>
      <c r="D201" s="63"/>
      <c r="E201" s="11"/>
      <c r="F201" s="65"/>
      <c r="G201" s="12"/>
      <c r="H201" s="41"/>
      <c r="I201" s="30"/>
      <c r="J201" s="30"/>
      <c r="K201" s="97"/>
      <c r="L201" s="11"/>
      <c r="M201" s="11"/>
      <c r="N201" s="11"/>
      <c r="O201" s="11"/>
      <c r="P201" s="82"/>
    </row>
    <row r="202" spans="2:16" s="9" customFormat="1" x14ac:dyDescent="0.2">
      <c r="B202" s="10"/>
      <c r="C202" s="11"/>
      <c r="D202" s="63"/>
      <c r="E202" s="11"/>
      <c r="F202" s="65"/>
      <c r="G202" s="12"/>
      <c r="H202" s="41"/>
      <c r="I202" s="30"/>
      <c r="J202" s="30"/>
      <c r="K202" s="97"/>
      <c r="L202" s="11"/>
      <c r="M202" s="11"/>
      <c r="N202" s="11"/>
      <c r="O202" s="11"/>
      <c r="P202" s="82"/>
    </row>
    <row r="203" spans="2:16" s="9" customFormat="1" x14ac:dyDescent="0.2">
      <c r="B203" s="10"/>
      <c r="C203" s="11"/>
      <c r="D203" s="63"/>
      <c r="E203" s="11"/>
      <c r="F203" s="65"/>
      <c r="G203" s="12"/>
      <c r="H203" s="41"/>
      <c r="I203" s="30"/>
      <c r="J203" s="30"/>
      <c r="K203" s="97"/>
      <c r="L203" s="11"/>
      <c r="M203" s="11"/>
      <c r="N203" s="11"/>
      <c r="O203" s="11"/>
      <c r="P203" s="82"/>
    </row>
    <row r="204" spans="2:16" s="9" customFormat="1" x14ac:dyDescent="0.2">
      <c r="B204" s="10"/>
      <c r="C204" s="11"/>
      <c r="D204" s="63"/>
      <c r="E204" s="11"/>
      <c r="F204" s="65"/>
      <c r="G204" s="12"/>
      <c r="H204" s="41"/>
      <c r="I204" s="30"/>
      <c r="J204" s="30"/>
      <c r="K204" s="97"/>
      <c r="L204" s="11"/>
      <c r="M204" s="11"/>
      <c r="N204" s="11"/>
      <c r="O204" s="11"/>
      <c r="P204" s="82"/>
    </row>
    <row r="205" spans="2:16" s="9" customFormat="1" x14ac:dyDescent="0.2">
      <c r="B205" s="10"/>
      <c r="C205" s="11"/>
      <c r="D205" s="63"/>
      <c r="E205" s="11"/>
      <c r="F205" s="65"/>
      <c r="G205" s="12"/>
      <c r="H205" s="41"/>
      <c r="I205" s="30"/>
      <c r="J205" s="30"/>
      <c r="K205" s="97"/>
      <c r="L205" s="11"/>
      <c r="M205" s="11"/>
      <c r="N205" s="11"/>
      <c r="O205" s="11"/>
      <c r="P205" s="82"/>
    </row>
    <row r="206" spans="2:16" s="9" customFormat="1" x14ac:dyDescent="0.2">
      <c r="B206" s="10"/>
      <c r="C206" s="11"/>
      <c r="D206" s="63"/>
      <c r="E206" s="11"/>
      <c r="F206" s="65"/>
      <c r="G206" s="12"/>
      <c r="H206" s="41"/>
      <c r="I206" s="30"/>
      <c r="J206" s="30"/>
      <c r="K206" s="97"/>
      <c r="L206" s="11"/>
      <c r="M206" s="11"/>
      <c r="N206" s="11"/>
      <c r="O206" s="11"/>
      <c r="P206" s="82"/>
    </row>
    <row r="207" spans="2:16" s="9" customFormat="1" x14ac:dyDescent="0.2">
      <c r="B207" s="10"/>
      <c r="C207" s="11"/>
      <c r="D207" s="63"/>
      <c r="E207" s="11"/>
      <c r="F207" s="65"/>
      <c r="G207" s="12"/>
      <c r="H207" s="41"/>
      <c r="I207" s="30"/>
      <c r="J207" s="30"/>
      <c r="K207" s="97"/>
      <c r="L207" s="11"/>
      <c r="M207" s="11"/>
      <c r="N207" s="11"/>
      <c r="O207" s="11"/>
      <c r="P207" s="82"/>
    </row>
    <row r="208" spans="2:16" s="9" customFormat="1" x14ac:dyDescent="0.2">
      <c r="B208" s="10"/>
      <c r="C208" s="11"/>
      <c r="D208" s="63"/>
      <c r="E208" s="11"/>
      <c r="F208" s="65"/>
      <c r="G208" s="12"/>
      <c r="H208" s="41"/>
      <c r="I208" s="30"/>
      <c r="J208" s="30"/>
      <c r="K208" s="97"/>
      <c r="L208" s="11"/>
      <c r="M208" s="11"/>
      <c r="N208" s="11"/>
      <c r="O208" s="11"/>
      <c r="P208" s="82"/>
    </row>
    <row r="209" spans="2:16" s="9" customFormat="1" x14ac:dyDescent="0.2">
      <c r="B209" s="10"/>
      <c r="C209" s="11"/>
      <c r="D209" s="63"/>
      <c r="E209" s="11"/>
      <c r="F209" s="65"/>
      <c r="G209" s="12"/>
      <c r="H209" s="41"/>
      <c r="I209" s="30"/>
      <c r="J209" s="30"/>
      <c r="K209" s="97"/>
      <c r="L209" s="11"/>
      <c r="M209" s="11"/>
      <c r="N209" s="11"/>
      <c r="O209" s="11"/>
      <c r="P209" s="82"/>
    </row>
    <row r="210" spans="2:16" s="9" customFormat="1" x14ac:dyDescent="0.2">
      <c r="B210" s="10"/>
      <c r="C210" s="11"/>
      <c r="D210" s="63"/>
      <c r="E210" s="11"/>
      <c r="F210" s="65"/>
      <c r="G210" s="12"/>
      <c r="H210" s="41"/>
      <c r="I210" s="30"/>
      <c r="J210" s="30"/>
      <c r="K210" s="97"/>
      <c r="L210" s="11"/>
      <c r="M210" s="11"/>
      <c r="N210" s="11"/>
      <c r="O210" s="11"/>
      <c r="P210" s="82"/>
    </row>
    <row r="211" spans="2:16" s="9" customFormat="1" x14ac:dyDescent="0.2">
      <c r="B211" s="10"/>
      <c r="C211" s="11"/>
      <c r="D211" s="63"/>
      <c r="E211" s="11"/>
      <c r="F211" s="65"/>
      <c r="G211" s="12"/>
      <c r="H211" s="41"/>
      <c r="I211" s="30"/>
      <c r="J211" s="30"/>
      <c r="K211" s="97"/>
      <c r="L211" s="11"/>
      <c r="M211" s="11"/>
      <c r="N211" s="11"/>
      <c r="O211" s="11"/>
      <c r="P211" s="82"/>
    </row>
    <row r="212" spans="2:16" s="9" customFormat="1" x14ac:dyDescent="0.2">
      <c r="B212" s="10"/>
      <c r="C212" s="11"/>
      <c r="D212" s="63"/>
      <c r="E212" s="11"/>
      <c r="F212" s="65"/>
      <c r="G212" s="12"/>
      <c r="H212" s="41"/>
      <c r="I212" s="30"/>
      <c r="J212" s="30"/>
      <c r="K212" s="97"/>
      <c r="L212" s="11"/>
      <c r="M212" s="11"/>
      <c r="N212" s="11"/>
      <c r="O212" s="11"/>
      <c r="P212" s="82"/>
    </row>
    <row r="213" spans="2:16" s="9" customFormat="1" x14ac:dyDescent="0.2">
      <c r="B213" s="10"/>
      <c r="C213" s="11"/>
      <c r="D213" s="63"/>
      <c r="E213" s="11"/>
      <c r="F213" s="65"/>
      <c r="G213" s="12"/>
      <c r="H213" s="41"/>
      <c r="I213" s="30"/>
      <c r="J213" s="30"/>
      <c r="K213" s="97"/>
      <c r="L213" s="11"/>
      <c r="M213" s="11"/>
      <c r="N213" s="11"/>
      <c r="O213" s="11"/>
      <c r="P213" s="82"/>
    </row>
    <row r="214" spans="2:16" s="9" customFormat="1" x14ac:dyDescent="0.2">
      <c r="B214" s="10"/>
      <c r="C214" s="11"/>
      <c r="D214" s="63"/>
      <c r="E214" s="11"/>
      <c r="F214" s="65"/>
      <c r="G214" s="12"/>
      <c r="H214" s="41"/>
      <c r="I214" s="30"/>
      <c r="J214" s="30"/>
      <c r="K214" s="97"/>
      <c r="L214" s="11"/>
      <c r="M214" s="11"/>
      <c r="N214" s="11"/>
      <c r="O214" s="11"/>
      <c r="P214" s="82"/>
    </row>
    <row r="215" spans="2:16" s="9" customFormat="1" x14ac:dyDescent="0.2">
      <c r="B215" s="10"/>
      <c r="C215" s="11"/>
      <c r="D215" s="63"/>
      <c r="E215" s="11"/>
      <c r="F215" s="65"/>
      <c r="G215" s="12"/>
      <c r="H215" s="41"/>
      <c r="I215" s="30"/>
      <c r="J215" s="30"/>
      <c r="K215" s="97"/>
      <c r="L215" s="11"/>
      <c r="M215" s="11"/>
      <c r="N215" s="11"/>
      <c r="O215" s="11"/>
      <c r="P215" s="82"/>
    </row>
    <row r="216" spans="2:16" s="9" customFormat="1" x14ac:dyDescent="0.2">
      <c r="B216" s="10"/>
      <c r="C216" s="11"/>
      <c r="D216" s="63"/>
      <c r="E216" s="11"/>
      <c r="F216" s="65"/>
      <c r="G216" s="12"/>
      <c r="H216" s="41"/>
      <c r="I216" s="30"/>
      <c r="J216" s="30"/>
      <c r="K216" s="97"/>
      <c r="L216" s="11"/>
      <c r="M216" s="11"/>
      <c r="N216" s="11"/>
      <c r="O216" s="11"/>
      <c r="P216" s="82"/>
    </row>
    <row r="217" spans="2:16" s="9" customFormat="1" x14ac:dyDescent="0.2">
      <c r="B217" s="10"/>
      <c r="C217" s="11"/>
      <c r="D217" s="63"/>
      <c r="E217" s="11"/>
      <c r="F217" s="65"/>
      <c r="G217" s="12"/>
      <c r="H217" s="41"/>
      <c r="I217" s="30"/>
      <c r="J217" s="30"/>
      <c r="K217" s="97"/>
      <c r="L217" s="11"/>
      <c r="M217" s="11"/>
      <c r="N217" s="11"/>
      <c r="O217" s="11"/>
      <c r="P217" s="82"/>
    </row>
    <row r="218" spans="2:16" s="9" customFormat="1" x14ac:dyDescent="0.2">
      <c r="B218" s="10"/>
      <c r="C218" s="11"/>
      <c r="D218" s="63"/>
      <c r="E218" s="11"/>
      <c r="F218" s="65"/>
      <c r="G218" s="12"/>
      <c r="H218" s="41"/>
      <c r="I218" s="30"/>
      <c r="J218" s="30"/>
      <c r="K218" s="97"/>
      <c r="L218" s="11"/>
      <c r="M218" s="11"/>
      <c r="N218" s="11"/>
      <c r="O218" s="11"/>
      <c r="P218" s="82"/>
    </row>
    <row r="219" spans="2:16" s="9" customFormat="1" x14ac:dyDescent="0.2">
      <c r="B219" s="10"/>
      <c r="C219" s="11"/>
      <c r="D219" s="63"/>
      <c r="E219" s="11"/>
      <c r="F219" s="65"/>
      <c r="G219" s="12"/>
      <c r="H219" s="41"/>
      <c r="I219" s="30"/>
      <c r="J219" s="30"/>
      <c r="K219" s="97"/>
      <c r="L219" s="11"/>
      <c r="M219" s="11"/>
      <c r="N219" s="11"/>
      <c r="O219" s="11"/>
      <c r="P219" s="82"/>
    </row>
    <row r="220" spans="2:16" s="9" customFormat="1" x14ac:dyDescent="0.2">
      <c r="B220" s="10"/>
      <c r="C220" s="11"/>
      <c r="D220" s="63"/>
      <c r="E220" s="11"/>
      <c r="F220" s="65"/>
      <c r="G220" s="12"/>
      <c r="H220" s="41"/>
      <c r="I220" s="30"/>
      <c r="J220" s="30"/>
      <c r="K220" s="97"/>
      <c r="L220" s="11"/>
      <c r="M220" s="11"/>
      <c r="N220" s="11"/>
      <c r="O220" s="11"/>
      <c r="P220" s="82"/>
    </row>
    <row r="221" spans="2:16" s="9" customFormat="1" x14ac:dyDescent="0.2">
      <c r="B221" s="10"/>
      <c r="C221" s="11"/>
      <c r="D221" s="63"/>
      <c r="E221" s="11"/>
      <c r="F221" s="65"/>
      <c r="G221" s="12"/>
      <c r="H221" s="41"/>
      <c r="I221" s="30"/>
      <c r="J221" s="30"/>
      <c r="K221" s="97"/>
      <c r="L221" s="11"/>
      <c r="M221" s="11"/>
      <c r="N221" s="11"/>
      <c r="O221" s="11"/>
      <c r="P221" s="82"/>
    </row>
    <row r="222" spans="2:16" s="9" customFormat="1" x14ac:dyDescent="0.2">
      <c r="B222" s="10"/>
      <c r="C222" s="11"/>
      <c r="D222" s="63"/>
      <c r="E222" s="11"/>
      <c r="F222" s="65"/>
      <c r="G222" s="12"/>
      <c r="H222" s="41"/>
      <c r="I222" s="30"/>
      <c r="J222" s="30"/>
      <c r="K222" s="97"/>
      <c r="L222" s="11"/>
      <c r="M222" s="11"/>
      <c r="N222" s="11"/>
      <c r="O222" s="11"/>
      <c r="P222" s="82"/>
    </row>
    <row r="223" spans="2:16" s="9" customFormat="1" x14ac:dyDescent="0.2">
      <c r="B223" s="10"/>
      <c r="C223" s="11"/>
      <c r="D223" s="63"/>
      <c r="E223" s="11"/>
      <c r="F223" s="65"/>
      <c r="G223" s="12"/>
      <c r="H223" s="41"/>
      <c r="I223" s="30"/>
      <c r="J223" s="30"/>
      <c r="K223" s="97"/>
      <c r="L223" s="11"/>
      <c r="M223" s="11"/>
      <c r="N223" s="11"/>
      <c r="O223" s="11"/>
      <c r="P223" s="82"/>
    </row>
    <row r="224" spans="2:16" s="9" customFormat="1" x14ac:dyDescent="0.2">
      <c r="B224" s="10"/>
      <c r="C224" s="11"/>
      <c r="D224" s="63"/>
      <c r="E224" s="11"/>
      <c r="F224" s="65"/>
      <c r="G224" s="12"/>
      <c r="H224" s="41"/>
      <c r="I224" s="30"/>
      <c r="J224" s="30"/>
      <c r="K224" s="97"/>
      <c r="L224" s="11"/>
      <c r="M224" s="11"/>
      <c r="N224" s="11"/>
      <c r="O224" s="11"/>
      <c r="P224" s="82"/>
    </row>
    <row r="225" spans="2:16" s="9" customFormat="1" x14ac:dyDescent="0.2">
      <c r="B225" s="10"/>
      <c r="C225" s="11"/>
      <c r="D225" s="63"/>
      <c r="E225" s="11"/>
      <c r="F225" s="65"/>
      <c r="G225" s="12"/>
      <c r="H225" s="41"/>
      <c r="I225" s="30"/>
      <c r="J225" s="30"/>
      <c r="K225" s="97"/>
      <c r="L225" s="11"/>
      <c r="M225" s="11"/>
      <c r="N225" s="11"/>
      <c r="O225" s="11"/>
      <c r="P225" s="82"/>
    </row>
    <row r="226" spans="2:16" s="9" customFormat="1" x14ac:dyDescent="0.2">
      <c r="B226" s="10"/>
      <c r="C226" s="11"/>
      <c r="D226" s="63"/>
      <c r="E226" s="11"/>
      <c r="F226" s="65"/>
      <c r="G226" s="12"/>
      <c r="H226" s="41"/>
      <c r="I226" s="30"/>
      <c r="J226" s="30"/>
      <c r="K226" s="97"/>
      <c r="L226" s="11"/>
      <c r="M226" s="11"/>
      <c r="N226" s="11"/>
      <c r="O226" s="11"/>
      <c r="P226" s="82"/>
    </row>
    <row r="227" spans="2:16" s="9" customFormat="1" x14ac:dyDescent="0.2">
      <c r="B227" s="10"/>
      <c r="C227" s="11"/>
      <c r="D227" s="63"/>
      <c r="E227" s="11"/>
      <c r="F227" s="65"/>
      <c r="G227" s="12"/>
      <c r="H227" s="41"/>
      <c r="I227" s="30"/>
      <c r="J227" s="30"/>
      <c r="K227" s="97"/>
      <c r="L227" s="11"/>
      <c r="M227" s="11"/>
      <c r="N227" s="11"/>
      <c r="O227" s="11"/>
      <c r="P227" s="82"/>
    </row>
    <row r="228" spans="2:16" s="9" customFormat="1" x14ac:dyDescent="0.2">
      <c r="B228" s="10"/>
      <c r="C228" s="11"/>
      <c r="D228" s="63"/>
      <c r="E228" s="11"/>
      <c r="F228" s="65"/>
      <c r="G228" s="12"/>
      <c r="H228" s="41"/>
      <c r="I228" s="30"/>
      <c r="J228" s="30"/>
      <c r="K228" s="97"/>
      <c r="L228" s="11"/>
      <c r="M228" s="11"/>
      <c r="N228" s="11"/>
      <c r="O228" s="11"/>
      <c r="P228" s="82"/>
    </row>
    <row r="229" spans="2:16" s="9" customFormat="1" x14ac:dyDescent="0.2">
      <c r="B229" s="10"/>
      <c r="C229" s="11"/>
      <c r="D229" s="63"/>
      <c r="E229" s="11"/>
      <c r="F229" s="65"/>
      <c r="G229" s="12"/>
      <c r="H229" s="41"/>
      <c r="I229" s="30"/>
      <c r="J229" s="30"/>
      <c r="K229" s="97"/>
      <c r="L229" s="11"/>
      <c r="M229" s="11"/>
      <c r="N229" s="11"/>
      <c r="O229" s="11"/>
      <c r="P229" s="82"/>
    </row>
    <row r="230" spans="2:16" s="9" customFormat="1" x14ac:dyDescent="0.2">
      <c r="B230" s="10"/>
      <c r="C230" s="11"/>
      <c r="D230" s="63"/>
      <c r="E230" s="11"/>
      <c r="F230" s="65"/>
      <c r="G230" s="12"/>
      <c r="H230" s="41"/>
      <c r="I230" s="30"/>
      <c r="J230" s="30"/>
      <c r="K230" s="97"/>
      <c r="L230" s="11"/>
      <c r="M230" s="11"/>
      <c r="N230" s="11"/>
      <c r="O230" s="11"/>
      <c r="P230" s="82"/>
    </row>
    <row r="231" spans="2:16" s="9" customFormat="1" x14ac:dyDescent="0.2">
      <c r="B231" s="10"/>
      <c r="C231" s="11"/>
      <c r="D231" s="63"/>
      <c r="E231" s="11"/>
      <c r="F231" s="65"/>
      <c r="G231" s="12"/>
      <c r="H231" s="41"/>
      <c r="I231" s="30"/>
      <c r="J231" s="30"/>
      <c r="K231" s="97"/>
      <c r="L231" s="11"/>
      <c r="M231" s="11"/>
      <c r="N231" s="11"/>
      <c r="O231" s="11"/>
      <c r="P231" s="82"/>
    </row>
    <row r="232" spans="2:16" s="9" customFormat="1" x14ac:dyDescent="0.2">
      <c r="B232" s="10"/>
      <c r="C232" s="11"/>
      <c r="D232" s="63"/>
      <c r="E232" s="11"/>
      <c r="F232" s="65"/>
      <c r="G232" s="12"/>
      <c r="H232" s="41"/>
      <c r="I232" s="30"/>
      <c r="J232" s="30"/>
      <c r="K232" s="97"/>
      <c r="L232" s="11"/>
      <c r="M232" s="11"/>
      <c r="N232" s="11"/>
      <c r="O232" s="11"/>
      <c r="P232" s="82"/>
    </row>
    <row r="233" spans="2:16" s="9" customFormat="1" x14ac:dyDescent="0.2">
      <c r="B233" s="10"/>
      <c r="C233" s="11"/>
      <c r="D233" s="63"/>
      <c r="E233" s="11"/>
      <c r="F233" s="65"/>
      <c r="G233" s="12"/>
      <c r="H233" s="41"/>
      <c r="I233" s="30"/>
      <c r="J233" s="30"/>
      <c r="K233" s="97"/>
      <c r="L233" s="11"/>
      <c r="M233" s="11"/>
      <c r="N233" s="11"/>
      <c r="O233" s="11"/>
      <c r="P233" s="82"/>
    </row>
    <row r="234" spans="2:16" s="9" customFormat="1" x14ac:dyDescent="0.2">
      <c r="B234" s="10"/>
      <c r="C234" s="11"/>
      <c r="D234" s="63"/>
      <c r="E234" s="11"/>
      <c r="F234" s="65"/>
      <c r="G234" s="12"/>
      <c r="H234" s="41"/>
      <c r="I234" s="30"/>
      <c r="J234" s="30"/>
      <c r="K234" s="97"/>
      <c r="L234" s="11"/>
      <c r="M234" s="11"/>
      <c r="N234" s="11"/>
      <c r="O234" s="11"/>
      <c r="P234" s="82"/>
    </row>
    <row r="235" spans="2:16" s="9" customFormat="1" x14ac:dyDescent="0.2">
      <c r="B235" s="10"/>
      <c r="C235" s="11"/>
      <c r="D235" s="63"/>
      <c r="E235" s="11"/>
      <c r="F235" s="65"/>
      <c r="G235" s="12"/>
      <c r="H235" s="41"/>
      <c r="I235" s="30"/>
      <c r="J235" s="30"/>
      <c r="K235" s="97"/>
      <c r="L235" s="11"/>
      <c r="M235" s="11"/>
      <c r="N235" s="11"/>
      <c r="O235" s="11"/>
      <c r="P235" s="82"/>
    </row>
    <row r="236" spans="2:16" s="9" customFormat="1" x14ac:dyDescent="0.2">
      <c r="B236" s="10"/>
      <c r="C236" s="11"/>
      <c r="D236" s="63"/>
      <c r="E236" s="11"/>
      <c r="F236" s="65"/>
      <c r="G236" s="12"/>
      <c r="H236" s="41"/>
      <c r="I236" s="30"/>
      <c r="J236" s="30"/>
      <c r="K236" s="97"/>
      <c r="L236" s="11"/>
      <c r="M236" s="11"/>
      <c r="N236" s="11"/>
      <c r="O236" s="11"/>
      <c r="P236" s="82"/>
    </row>
    <row r="237" spans="2:16" s="9" customFormat="1" x14ac:dyDescent="0.2">
      <c r="B237" s="10"/>
      <c r="C237" s="11"/>
      <c r="D237" s="63"/>
      <c r="E237" s="11"/>
      <c r="F237" s="65"/>
      <c r="G237" s="12"/>
      <c r="H237" s="41"/>
      <c r="I237" s="30"/>
      <c r="J237" s="30"/>
      <c r="K237" s="97"/>
      <c r="L237" s="11"/>
      <c r="M237" s="11"/>
      <c r="N237" s="11"/>
      <c r="O237" s="11"/>
      <c r="P237" s="82"/>
    </row>
    <row r="238" spans="2:16" s="9" customFormat="1" x14ac:dyDescent="0.2">
      <c r="B238" s="10"/>
      <c r="C238" s="11"/>
      <c r="D238" s="63"/>
      <c r="E238" s="11"/>
      <c r="F238" s="65"/>
      <c r="G238" s="12"/>
      <c r="H238" s="41"/>
      <c r="I238" s="30"/>
      <c r="J238" s="30"/>
      <c r="K238" s="97"/>
      <c r="L238" s="11"/>
      <c r="M238" s="11"/>
      <c r="N238" s="11"/>
      <c r="O238" s="11"/>
      <c r="P238" s="82"/>
    </row>
    <row r="239" spans="2:16" s="9" customFormat="1" x14ac:dyDescent="0.2">
      <c r="B239" s="10"/>
      <c r="C239" s="11"/>
      <c r="D239" s="63"/>
      <c r="E239" s="11"/>
      <c r="F239" s="65"/>
      <c r="G239" s="12"/>
      <c r="H239" s="41"/>
      <c r="I239" s="30"/>
      <c r="J239" s="30"/>
      <c r="K239" s="97"/>
      <c r="L239" s="11"/>
      <c r="M239" s="11"/>
      <c r="N239" s="11"/>
      <c r="O239" s="11"/>
      <c r="P239" s="82"/>
    </row>
    <row r="240" spans="2:16" s="9" customFormat="1" x14ac:dyDescent="0.2">
      <c r="B240" s="10"/>
      <c r="C240" s="11"/>
      <c r="D240" s="63"/>
      <c r="E240" s="11"/>
      <c r="F240" s="65"/>
      <c r="G240" s="12"/>
      <c r="H240" s="41"/>
      <c r="I240" s="30"/>
      <c r="J240" s="30"/>
      <c r="K240" s="97"/>
      <c r="L240" s="11"/>
      <c r="M240" s="11"/>
      <c r="N240" s="11"/>
      <c r="O240" s="11"/>
      <c r="P240" s="82"/>
    </row>
    <row r="241" spans="2:16" s="9" customFormat="1" x14ac:dyDescent="0.2">
      <c r="B241" s="10"/>
      <c r="C241" s="11"/>
      <c r="D241" s="63"/>
      <c r="E241" s="11"/>
      <c r="F241" s="65"/>
      <c r="G241" s="12"/>
      <c r="H241" s="41"/>
      <c r="I241" s="30"/>
      <c r="J241" s="30"/>
      <c r="K241" s="97"/>
      <c r="L241" s="11"/>
      <c r="M241" s="11"/>
      <c r="N241" s="11"/>
      <c r="O241" s="11"/>
      <c r="P241" s="82"/>
    </row>
    <row r="242" spans="2:16" s="9" customFormat="1" x14ac:dyDescent="0.2">
      <c r="B242" s="10"/>
      <c r="C242" s="11"/>
      <c r="D242" s="63"/>
      <c r="E242" s="11"/>
      <c r="F242" s="65"/>
      <c r="G242" s="12"/>
      <c r="H242" s="41"/>
      <c r="I242" s="30"/>
      <c r="J242" s="30"/>
      <c r="K242" s="97"/>
      <c r="L242" s="11"/>
      <c r="M242" s="11"/>
      <c r="N242" s="11"/>
      <c r="O242" s="11"/>
      <c r="P242" s="82"/>
    </row>
    <row r="243" spans="2:16" s="9" customFormat="1" x14ac:dyDescent="0.2">
      <c r="B243" s="10"/>
      <c r="C243" s="11"/>
      <c r="D243" s="63"/>
      <c r="E243" s="11"/>
      <c r="F243" s="65"/>
      <c r="G243" s="12"/>
      <c r="H243" s="41"/>
      <c r="I243" s="30"/>
      <c r="J243" s="30"/>
      <c r="K243" s="97"/>
      <c r="L243" s="11"/>
      <c r="M243" s="11"/>
      <c r="N243" s="11"/>
      <c r="O243" s="11"/>
      <c r="P243" s="82"/>
    </row>
    <row r="244" spans="2:16" s="9" customFormat="1" x14ac:dyDescent="0.2">
      <c r="B244" s="10"/>
      <c r="C244" s="11"/>
      <c r="D244" s="63"/>
      <c r="E244" s="11"/>
      <c r="F244" s="65"/>
      <c r="G244" s="12"/>
      <c r="H244" s="41"/>
      <c r="I244" s="30"/>
      <c r="J244" s="30"/>
      <c r="K244" s="97"/>
      <c r="L244" s="11"/>
      <c r="M244" s="11"/>
      <c r="N244" s="11"/>
      <c r="O244" s="11"/>
      <c r="P244" s="82"/>
    </row>
    <row r="245" spans="2:16" s="9" customFormat="1" x14ac:dyDescent="0.2">
      <c r="B245" s="10"/>
      <c r="C245" s="11"/>
      <c r="D245" s="63"/>
      <c r="E245" s="11"/>
      <c r="F245" s="65"/>
      <c r="G245" s="12"/>
      <c r="H245" s="41"/>
      <c r="I245" s="30"/>
      <c r="J245" s="30"/>
      <c r="K245" s="97"/>
      <c r="L245" s="11"/>
      <c r="M245" s="11"/>
      <c r="N245" s="11"/>
      <c r="O245" s="11"/>
      <c r="P245" s="82"/>
    </row>
    <row r="246" spans="2:16" s="9" customFormat="1" x14ac:dyDescent="0.2">
      <c r="B246" s="10"/>
      <c r="C246" s="11"/>
      <c r="D246" s="63"/>
      <c r="E246" s="11"/>
      <c r="F246" s="65"/>
      <c r="G246" s="12"/>
      <c r="H246" s="41"/>
      <c r="I246" s="30"/>
      <c r="J246" s="30"/>
      <c r="K246" s="97"/>
      <c r="L246" s="11"/>
      <c r="M246" s="11"/>
      <c r="N246" s="11"/>
      <c r="O246" s="11"/>
      <c r="P246" s="82"/>
    </row>
    <row r="247" spans="2:16" s="9" customFormat="1" x14ac:dyDescent="0.2">
      <c r="B247" s="10"/>
      <c r="C247" s="11"/>
      <c r="D247" s="63"/>
      <c r="E247" s="11"/>
      <c r="F247" s="65"/>
      <c r="G247" s="12"/>
      <c r="H247" s="41"/>
      <c r="I247" s="30"/>
      <c r="J247" s="30"/>
      <c r="K247" s="97"/>
      <c r="L247" s="11"/>
      <c r="M247" s="11"/>
      <c r="N247" s="11"/>
      <c r="O247" s="11"/>
      <c r="P247" s="82"/>
    </row>
    <row r="248" spans="2:16" s="9" customFormat="1" x14ac:dyDescent="0.2">
      <c r="B248" s="10"/>
      <c r="C248" s="11"/>
      <c r="D248" s="63"/>
      <c r="E248" s="11"/>
      <c r="F248" s="65"/>
      <c r="G248" s="12"/>
      <c r="H248" s="41"/>
      <c r="I248" s="30"/>
      <c r="J248" s="30"/>
      <c r="K248" s="97"/>
      <c r="L248" s="11"/>
      <c r="M248" s="11"/>
      <c r="N248" s="11"/>
      <c r="O248" s="11"/>
      <c r="P248" s="82"/>
    </row>
    <row r="249" spans="2:16" s="9" customFormat="1" x14ac:dyDescent="0.2">
      <c r="B249" s="10"/>
      <c r="C249" s="11"/>
      <c r="D249" s="63"/>
      <c r="E249" s="11"/>
      <c r="F249" s="65"/>
      <c r="G249" s="12"/>
      <c r="H249" s="41"/>
      <c r="I249" s="30"/>
      <c r="J249" s="30"/>
      <c r="K249" s="97"/>
      <c r="L249" s="11"/>
      <c r="M249" s="11"/>
      <c r="N249" s="11"/>
      <c r="O249" s="11"/>
      <c r="P249" s="82"/>
    </row>
    <row r="250" spans="2:16" s="9" customFormat="1" x14ac:dyDescent="0.2">
      <c r="B250" s="10"/>
      <c r="C250" s="11"/>
      <c r="D250" s="63"/>
      <c r="E250" s="11"/>
      <c r="F250" s="65"/>
      <c r="G250" s="12"/>
      <c r="H250" s="41"/>
      <c r="I250" s="30"/>
      <c r="J250" s="30"/>
      <c r="K250" s="97"/>
      <c r="L250" s="11"/>
      <c r="M250" s="11"/>
      <c r="N250" s="11"/>
      <c r="O250" s="11"/>
      <c r="P250" s="82"/>
    </row>
    <row r="251" spans="2:16" s="9" customFormat="1" x14ac:dyDescent="0.2">
      <c r="B251" s="10"/>
      <c r="C251" s="11"/>
      <c r="D251" s="63"/>
      <c r="E251" s="11"/>
      <c r="F251" s="65"/>
      <c r="G251" s="12"/>
      <c r="H251" s="41"/>
      <c r="I251" s="30"/>
      <c r="J251" s="30"/>
      <c r="K251" s="97"/>
      <c r="L251" s="11"/>
      <c r="M251" s="11"/>
      <c r="N251" s="11"/>
      <c r="O251" s="11"/>
      <c r="P251" s="82"/>
    </row>
    <row r="252" spans="2:16" s="9" customFormat="1" x14ac:dyDescent="0.2">
      <c r="B252" s="10"/>
      <c r="C252" s="11"/>
      <c r="D252" s="63"/>
      <c r="E252" s="11"/>
      <c r="F252" s="65"/>
      <c r="G252" s="12"/>
      <c r="H252" s="41"/>
      <c r="I252" s="30"/>
      <c r="J252" s="30"/>
      <c r="K252" s="97"/>
      <c r="L252" s="11"/>
      <c r="M252" s="11"/>
      <c r="N252" s="11"/>
      <c r="O252" s="11"/>
      <c r="P252" s="82"/>
    </row>
    <row r="253" spans="2:16" s="9" customFormat="1" x14ac:dyDescent="0.2">
      <c r="B253" s="10"/>
      <c r="C253" s="11"/>
      <c r="D253" s="63"/>
      <c r="E253" s="11"/>
      <c r="F253" s="65"/>
      <c r="G253" s="12"/>
      <c r="H253" s="41"/>
      <c r="I253" s="30"/>
      <c r="J253" s="30"/>
      <c r="K253" s="97"/>
      <c r="L253" s="11"/>
      <c r="M253" s="11"/>
      <c r="N253" s="11"/>
      <c r="O253" s="11"/>
      <c r="P253" s="82"/>
    </row>
    <row r="254" spans="2:16" s="9" customFormat="1" x14ac:dyDescent="0.2">
      <c r="B254" s="10"/>
      <c r="C254" s="11"/>
      <c r="D254" s="63"/>
      <c r="E254" s="11"/>
      <c r="F254" s="65"/>
      <c r="G254" s="12"/>
      <c r="H254" s="41"/>
      <c r="I254" s="30"/>
      <c r="J254" s="30"/>
      <c r="K254" s="97"/>
      <c r="L254" s="11"/>
      <c r="M254" s="11"/>
      <c r="N254" s="11"/>
      <c r="O254" s="11"/>
      <c r="P254" s="82"/>
    </row>
    <row r="255" spans="2:16" s="9" customFormat="1" x14ac:dyDescent="0.2">
      <c r="B255" s="10"/>
      <c r="C255" s="11"/>
      <c r="D255" s="63"/>
      <c r="E255" s="11"/>
      <c r="F255" s="65"/>
      <c r="G255" s="12"/>
      <c r="H255" s="41"/>
      <c r="I255" s="30"/>
      <c r="J255" s="30"/>
      <c r="K255" s="97"/>
      <c r="L255" s="11"/>
      <c r="M255" s="11"/>
      <c r="N255" s="11"/>
      <c r="O255" s="11"/>
      <c r="P255" s="82"/>
    </row>
    <row r="256" spans="2:16" s="9" customFormat="1" x14ac:dyDescent="0.2">
      <c r="B256" s="10"/>
      <c r="C256" s="11"/>
      <c r="D256" s="63"/>
      <c r="E256" s="11"/>
      <c r="F256" s="65"/>
      <c r="G256" s="12"/>
      <c r="H256" s="41"/>
      <c r="I256" s="30"/>
      <c r="J256" s="30"/>
      <c r="K256" s="97"/>
      <c r="L256" s="11"/>
      <c r="M256" s="11"/>
      <c r="N256" s="11"/>
      <c r="O256" s="11"/>
      <c r="P256" s="82"/>
    </row>
    <row r="257" spans="2:16" s="9" customFormat="1" x14ac:dyDescent="0.2">
      <c r="B257" s="10"/>
      <c r="C257" s="11"/>
      <c r="D257" s="63"/>
      <c r="E257" s="11"/>
      <c r="F257" s="65"/>
      <c r="G257" s="12"/>
      <c r="H257" s="41"/>
      <c r="I257" s="30"/>
      <c r="J257" s="30"/>
      <c r="K257" s="97"/>
      <c r="L257" s="11"/>
      <c r="M257" s="11"/>
      <c r="N257" s="11"/>
      <c r="O257" s="11"/>
      <c r="P257" s="82"/>
    </row>
    <row r="258" spans="2:16" s="9" customFormat="1" x14ac:dyDescent="0.2">
      <c r="B258" s="10"/>
      <c r="C258" s="11"/>
      <c r="D258" s="63"/>
      <c r="E258" s="11"/>
      <c r="F258" s="65"/>
      <c r="G258" s="12"/>
      <c r="H258" s="41"/>
      <c r="I258" s="30"/>
      <c r="J258" s="30"/>
      <c r="K258" s="97"/>
      <c r="L258" s="11"/>
      <c r="M258" s="11"/>
      <c r="N258" s="11"/>
      <c r="O258" s="11"/>
      <c r="P258" s="82"/>
    </row>
    <row r="259" spans="2:16" s="9" customFormat="1" x14ac:dyDescent="0.2">
      <c r="B259" s="10"/>
      <c r="C259" s="11"/>
      <c r="D259" s="63"/>
      <c r="E259" s="11"/>
      <c r="F259" s="65"/>
      <c r="G259" s="12"/>
      <c r="H259" s="41"/>
      <c r="I259" s="30"/>
      <c r="J259" s="30"/>
      <c r="K259" s="97"/>
      <c r="L259" s="11"/>
      <c r="M259" s="11"/>
      <c r="N259" s="11"/>
      <c r="O259" s="11"/>
      <c r="P259" s="82"/>
    </row>
    <row r="260" spans="2:16" s="9" customFormat="1" x14ac:dyDescent="0.2">
      <c r="B260" s="10"/>
      <c r="C260" s="11"/>
      <c r="D260" s="63"/>
      <c r="E260" s="11"/>
      <c r="F260" s="65"/>
      <c r="G260" s="12"/>
      <c r="H260" s="41"/>
      <c r="I260" s="30"/>
      <c r="J260" s="30"/>
      <c r="K260" s="97"/>
      <c r="L260" s="11"/>
      <c r="M260" s="11"/>
      <c r="N260" s="11"/>
      <c r="O260" s="11"/>
      <c r="P260" s="82"/>
    </row>
    <row r="261" spans="2:16" s="9" customFormat="1" x14ac:dyDescent="0.2">
      <c r="B261" s="10"/>
      <c r="C261" s="11"/>
      <c r="D261" s="63"/>
      <c r="E261" s="11"/>
      <c r="F261" s="65"/>
      <c r="G261" s="12"/>
      <c r="H261" s="41"/>
      <c r="I261" s="30"/>
      <c r="J261" s="30"/>
      <c r="K261" s="97"/>
      <c r="L261" s="11"/>
      <c r="M261" s="11"/>
      <c r="N261" s="11"/>
      <c r="O261" s="11"/>
      <c r="P261" s="82"/>
    </row>
    <row r="262" spans="2:16" s="9" customFormat="1" x14ac:dyDescent="0.2">
      <c r="B262" s="10"/>
      <c r="C262" s="11"/>
      <c r="D262" s="63"/>
      <c r="E262" s="11"/>
      <c r="F262" s="65"/>
      <c r="G262" s="12"/>
      <c r="H262" s="41"/>
      <c r="I262" s="30"/>
      <c r="J262" s="30"/>
      <c r="K262" s="97"/>
      <c r="L262" s="11"/>
      <c r="M262" s="11"/>
      <c r="N262" s="11"/>
      <c r="O262" s="11"/>
      <c r="P262" s="82"/>
    </row>
    <row r="263" spans="2:16" s="9" customFormat="1" x14ac:dyDescent="0.2">
      <c r="B263" s="10"/>
      <c r="C263" s="11"/>
      <c r="D263" s="63"/>
      <c r="E263" s="11"/>
      <c r="F263" s="65"/>
      <c r="G263" s="12"/>
      <c r="H263" s="41"/>
      <c r="I263" s="30"/>
      <c r="J263" s="30"/>
      <c r="K263" s="97"/>
      <c r="L263" s="11"/>
      <c r="M263" s="11"/>
      <c r="N263" s="11"/>
      <c r="O263" s="11"/>
      <c r="P263" s="82"/>
    </row>
    <row r="264" spans="2:16" s="9" customFormat="1" x14ac:dyDescent="0.2">
      <c r="B264" s="10"/>
      <c r="C264" s="11"/>
      <c r="D264" s="63"/>
      <c r="E264" s="11"/>
      <c r="F264" s="65"/>
      <c r="G264" s="12"/>
      <c r="H264" s="41"/>
      <c r="I264" s="30"/>
      <c r="J264" s="30"/>
      <c r="K264" s="97"/>
      <c r="L264" s="11"/>
      <c r="M264" s="11"/>
      <c r="N264" s="11"/>
      <c r="O264" s="11"/>
      <c r="P264" s="82"/>
    </row>
    <row r="265" spans="2:16" s="9" customFormat="1" x14ac:dyDescent="0.2">
      <c r="B265" s="10"/>
      <c r="C265" s="11"/>
      <c r="D265" s="63"/>
      <c r="E265" s="11"/>
      <c r="F265" s="65"/>
      <c r="G265" s="12"/>
      <c r="H265" s="41"/>
      <c r="I265" s="30"/>
      <c r="J265" s="30"/>
      <c r="K265" s="97"/>
      <c r="L265" s="11"/>
      <c r="M265" s="11"/>
      <c r="N265" s="11"/>
      <c r="O265" s="11"/>
      <c r="P265" s="82"/>
    </row>
    <row r="266" spans="2:16" s="9" customFormat="1" x14ac:dyDescent="0.2">
      <c r="B266" s="10"/>
      <c r="C266" s="11"/>
      <c r="D266" s="63"/>
      <c r="E266" s="11"/>
      <c r="F266" s="65"/>
      <c r="G266" s="12"/>
      <c r="H266" s="41"/>
      <c r="I266" s="30"/>
      <c r="J266" s="30"/>
      <c r="K266" s="97"/>
      <c r="L266" s="11"/>
      <c r="M266" s="11"/>
      <c r="N266" s="11"/>
      <c r="O266" s="11"/>
      <c r="P266" s="82"/>
    </row>
    <row r="267" spans="2:16" s="9" customFormat="1" x14ac:dyDescent="0.2">
      <c r="B267" s="10"/>
      <c r="C267" s="11"/>
      <c r="D267" s="63"/>
      <c r="E267" s="11"/>
      <c r="F267" s="65"/>
      <c r="G267" s="12"/>
      <c r="H267" s="41"/>
      <c r="I267" s="30"/>
      <c r="J267" s="30"/>
      <c r="K267" s="97"/>
      <c r="L267" s="11"/>
      <c r="M267" s="11"/>
      <c r="N267" s="11"/>
      <c r="O267" s="11"/>
      <c r="P267" s="82"/>
    </row>
    <row r="268" spans="2:16" s="9" customFormat="1" x14ac:dyDescent="0.2">
      <c r="B268" s="10"/>
      <c r="C268" s="11"/>
      <c r="D268" s="63"/>
      <c r="E268" s="11"/>
      <c r="F268" s="65"/>
      <c r="G268" s="12"/>
      <c r="H268" s="41"/>
      <c r="I268" s="30"/>
      <c r="J268" s="30"/>
      <c r="K268" s="97"/>
      <c r="L268" s="11"/>
      <c r="M268" s="11"/>
      <c r="N268" s="11"/>
      <c r="O268" s="11"/>
      <c r="P268" s="82"/>
    </row>
    <row r="269" spans="2:16" s="9" customFormat="1" x14ac:dyDescent="0.2">
      <c r="B269" s="10"/>
      <c r="C269" s="11"/>
      <c r="D269" s="63"/>
      <c r="E269" s="11"/>
      <c r="F269" s="65"/>
      <c r="G269" s="12"/>
      <c r="H269" s="41"/>
      <c r="I269" s="30"/>
      <c r="J269" s="30"/>
      <c r="K269" s="97"/>
      <c r="L269" s="11"/>
      <c r="M269" s="11"/>
      <c r="N269" s="11"/>
      <c r="O269" s="11"/>
      <c r="P269" s="82"/>
    </row>
    <row r="270" spans="2:16" s="9" customFormat="1" x14ac:dyDescent="0.2">
      <c r="B270" s="10"/>
      <c r="C270" s="11"/>
      <c r="D270" s="63"/>
      <c r="E270" s="11"/>
      <c r="F270" s="65"/>
      <c r="G270" s="12"/>
      <c r="H270" s="41"/>
      <c r="I270" s="30"/>
      <c r="J270" s="30"/>
      <c r="K270" s="97"/>
      <c r="L270" s="11"/>
      <c r="M270" s="11"/>
      <c r="N270" s="11"/>
      <c r="O270" s="11"/>
      <c r="P270" s="82"/>
    </row>
    <row r="271" spans="2:16" s="9" customFormat="1" x14ac:dyDescent="0.2">
      <c r="B271" s="10"/>
      <c r="C271" s="11"/>
      <c r="D271" s="63"/>
      <c r="E271" s="11"/>
      <c r="F271" s="65"/>
      <c r="G271" s="12"/>
      <c r="H271" s="41"/>
      <c r="I271" s="30"/>
      <c r="J271" s="30"/>
      <c r="K271" s="97"/>
      <c r="L271" s="11"/>
      <c r="M271" s="11"/>
      <c r="N271" s="11"/>
      <c r="O271" s="11"/>
      <c r="P271" s="82"/>
    </row>
    <row r="272" spans="2:16" s="9" customFormat="1" x14ac:dyDescent="0.2">
      <c r="B272" s="10"/>
      <c r="C272" s="11"/>
      <c r="D272" s="63"/>
      <c r="E272" s="11"/>
      <c r="F272" s="65"/>
      <c r="G272" s="12"/>
      <c r="H272" s="41"/>
      <c r="I272" s="30"/>
      <c r="J272" s="30"/>
      <c r="K272" s="97"/>
      <c r="L272" s="11"/>
      <c r="M272" s="11"/>
      <c r="N272" s="11"/>
      <c r="O272" s="11"/>
      <c r="P272" s="82"/>
    </row>
    <row r="273" spans="2:16" s="9" customFormat="1" x14ac:dyDescent="0.2">
      <c r="B273" s="10"/>
      <c r="C273" s="11"/>
      <c r="D273" s="63"/>
      <c r="E273" s="11"/>
      <c r="F273" s="65"/>
      <c r="G273" s="12"/>
      <c r="H273" s="41"/>
      <c r="I273" s="30"/>
      <c r="J273" s="30"/>
      <c r="K273" s="97"/>
      <c r="L273" s="11"/>
      <c r="M273" s="11"/>
      <c r="N273" s="11"/>
      <c r="O273" s="11"/>
      <c r="P273" s="82"/>
    </row>
    <row r="274" spans="2:16" s="9" customFormat="1" x14ac:dyDescent="0.2">
      <c r="B274" s="10"/>
      <c r="C274" s="11"/>
      <c r="D274" s="63"/>
      <c r="E274" s="11"/>
      <c r="F274" s="65"/>
      <c r="G274" s="12"/>
      <c r="H274" s="41"/>
      <c r="I274" s="30"/>
      <c r="J274" s="30"/>
      <c r="K274" s="97"/>
      <c r="L274" s="11"/>
      <c r="M274" s="11"/>
      <c r="N274" s="11"/>
      <c r="O274" s="11"/>
      <c r="P274" s="82"/>
    </row>
    <row r="275" spans="2:16" s="9" customFormat="1" x14ac:dyDescent="0.2">
      <c r="B275" s="10"/>
      <c r="C275" s="11"/>
      <c r="D275" s="63"/>
      <c r="E275" s="11"/>
      <c r="F275" s="65"/>
      <c r="G275" s="12"/>
      <c r="H275" s="41"/>
      <c r="I275" s="30"/>
      <c r="J275" s="30"/>
      <c r="K275" s="97"/>
      <c r="L275" s="11"/>
      <c r="M275" s="11"/>
      <c r="N275" s="11"/>
      <c r="O275" s="11"/>
      <c r="P275" s="82"/>
    </row>
    <row r="276" spans="2:16" s="9" customFormat="1" x14ac:dyDescent="0.2">
      <c r="B276" s="10"/>
      <c r="C276" s="11"/>
      <c r="D276" s="63"/>
      <c r="E276" s="11"/>
      <c r="F276" s="65"/>
      <c r="G276" s="12"/>
      <c r="H276" s="41"/>
      <c r="I276" s="30"/>
      <c r="J276" s="30"/>
      <c r="K276" s="97"/>
      <c r="L276" s="11"/>
      <c r="M276" s="11"/>
      <c r="N276" s="11"/>
      <c r="O276" s="11"/>
      <c r="P276" s="82"/>
    </row>
    <row r="277" spans="2:16" s="9" customFormat="1" x14ac:dyDescent="0.2">
      <c r="B277" s="10"/>
      <c r="C277" s="11"/>
      <c r="D277" s="63"/>
      <c r="E277" s="11"/>
      <c r="F277" s="65"/>
      <c r="G277" s="12"/>
      <c r="H277" s="41"/>
      <c r="I277" s="30"/>
      <c r="J277" s="30"/>
      <c r="K277" s="97"/>
      <c r="L277" s="11"/>
      <c r="M277" s="11"/>
      <c r="N277" s="11"/>
      <c r="O277" s="11"/>
      <c r="P277" s="82"/>
    </row>
    <row r="278" spans="2:16" s="9" customFormat="1" x14ac:dyDescent="0.2">
      <c r="B278" s="10"/>
      <c r="C278" s="11"/>
      <c r="D278" s="63"/>
      <c r="E278" s="11"/>
      <c r="F278" s="65"/>
      <c r="G278" s="12"/>
      <c r="H278" s="41"/>
      <c r="I278" s="30"/>
      <c r="J278" s="30"/>
      <c r="K278" s="97"/>
      <c r="L278" s="11"/>
      <c r="M278" s="11"/>
      <c r="N278" s="11"/>
      <c r="O278" s="11"/>
      <c r="P278" s="82"/>
    </row>
    <row r="279" spans="2:16" s="9" customFormat="1" x14ac:dyDescent="0.2">
      <c r="B279" s="10"/>
      <c r="C279" s="11"/>
      <c r="D279" s="63"/>
      <c r="E279" s="11"/>
      <c r="F279" s="65"/>
      <c r="G279" s="12"/>
      <c r="H279" s="41"/>
      <c r="I279" s="30"/>
      <c r="J279" s="30"/>
      <c r="K279" s="97"/>
      <c r="L279" s="11"/>
      <c r="M279" s="11"/>
      <c r="N279" s="11"/>
      <c r="O279" s="11"/>
      <c r="P279" s="82"/>
    </row>
    <row r="280" spans="2:16" s="9" customFormat="1" x14ac:dyDescent="0.2">
      <c r="B280" s="10"/>
      <c r="C280" s="11"/>
      <c r="D280" s="63"/>
      <c r="E280" s="11"/>
      <c r="F280" s="65"/>
      <c r="G280" s="12"/>
      <c r="H280" s="41"/>
      <c r="I280" s="30"/>
      <c r="J280" s="30"/>
      <c r="K280" s="97"/>
      <c r="L280" s="11"/>
      <c r="M280" s="11"/>
      <c r="N280" s="11"/>
      <c r="O280" s="11"/>
      <c r="P280" s="82"/>
    </row>
    <row r="281" spans="2:16" s="9" customFormat="1" x14ac:dyDescent="0.2">
      <c r="B281" s="10"/>
      <c r="C281" s="11"/>
      <c r="D281" s="63"/>
      <c r="E281" s="11"/>
      <c r="F281" s="65"/>
      <c r="G281" s="12"/>
      <c r="H281" s="41"/>
      <c r="I281" s="30"/>
      <c r="J281" s="30"/>
      <c r="K281" s="97"/>
      <c r="L281" s="11"/>
      <c r="M281" s="11"/>
      <c r="N281" s="11"/>
      <c r="O281" s="11"/>
      <c r="P281" s="82"/>
    </row>
    <row r="282" spans="2:16" s="9" customFormat="1" x14ac:dyDescent="0.2">
      <c r="B282" s="10"/>
      <c r="C282" s="11"/>
      <c r="D282" s="63"/>
      <c r="E282" s="11"/>
      <c r="F282" s="65"/>
      <c r="G282" s="12"/>
      <c r="H282" s="41"/>
      <c r="I282" s="30"/>
      <c r="J282" s="30"/>
      <c r="K282" s="97"/>
      <c r="L282" s="11"/>
      <c r="M282" s="11"/>
      <c r="N282" s="11"/>
      <c r="O282" s="11"/>
      <c r="P282" s="82"/>
    </row>
    <row r="283" spans="2:16" s="9" customFormat="1" x14ac:dyDescent="0.2">
      <c r="B283" s="10"/>
      <c r="C283" s="11"/>
      <c r="D283" s="63"/>
      <c r="E283" s="11"/>
      <c r="F283" s="65"/>
      <c r="G283" s="12"/>
      <c r="H283" s="41"/>
      <c r="I283" s="30"/>
      <c r="J283" s="30"/>
      <c r="K283" s="97"/>
      <c r="L283" s="11"/>
      <c r="M283" s="11"/>
      <c r="N283" s="11"/>
      <c r="O283" s="11"/>
      <c r="P283" s="82"/>
    </row>
    <row r="284" spans="2:16" s="9" customFormat="1" x14ac:dyDescent="0.2">
      <c r="B284" s="10"/>
      <c r="C284" s="11"/>
      <c r="D284" s="63"/>
      <c r="E284" s="11"/>
      <c r="F284" s="65"/>
      <c r="G284" s="12"/>
      <c r="H284" s="41"/>
      <c r="I284" s="30"/>
      <c r="J284" s="30"/>
      <c r="K284" s="97"/>
      <c r="L284" s="11"/>
      <c r="M284" s="11"/>
      <c r="N284" s="11"/>
      <c r="O284" s="11"/>
      <c r="P284" s="82"/>
    </row>
    <row r="285" spans="2:16" s="9" customFormat="1" x14ac:dyDescent="0.2">
      <c r="B285" s="10"/>
      <c r="C285" s="11"/>
      <c r="D285" s="63"/>
      <c r="E285" s="11"/>
      <c r="F285" s="65"/>
      <c r="G285" s="12"/>
      <c r="H285" s="41"/>
      <c r="I285" s="30"/>
      <c r="J285" s="30"/>
      <c r="K285" s="97"/>
      <c r="L285" s="11"/>
      <c r="M285" s="11"/>
      <c r="N285" s="11"/>
      <c r="O285" s="11"/>
      <c r="P285" s="82"/>
    </row>
    <row r="286" spans="2:16" s="9" customFormat="1" x14ac:dyDescent="0.2">
      <c r="B286" s="10"/>
      <c r="C286" s="11"/>
      <c r="D286" s="63"/>
      <c r="E286" s="11"/>
      <c r="F286" s="65"/>
      <c r="G286" s="12"/>
      <c r="H286" s="41"/>
      <c r="I286" s="30"/>
      <c r="J286" s="30"/>
      <c r="K286" s="97"/>
      <c r="L286" s="11"/>
      <c r="M286" s="11"/>
      <c r="N286" s="11"/>
      <c r="O286" s="11"/>
      <c r="P286" s="82"/>
    </row>
    <row r="287" spans="2:16" s="9" customFormat="1" x14ac:dyDescent="0.2">
      <c r="B287" s="10"/>
      <c r="C287" s="11"/>
      <c r="D287" s="63"/>
      <c r="E287" s="11"/>
      <c r="F287" s="65"/>
      <c r="G287" s="12"/>
      <c r="H287" s="41"/>
      <c r="I287" s="30"/>
      <c r="J287" s="30"/>
      <c r="K287" s="97"/>
      <c r="L287" s="11"/>
      <c r="M287" s="11"/>
      <c r="N287" s="11"/>
      <c r="O287" s="11"/>
      <c r="P287" s="82"/>
    </row>
    <row r="288" spans="2:16" s="9" customFormat="1" x14ac:dyDescent="0.2">
      <c r="B288" s="10"/>
      <c r="C288" s="11"/>
      <c r="D288" s="63"/>
      <c r="E288" s="11"/>
      <c r="F288" s="65"/>
      <c r="G288" s="12"/>
      <c r="H288" s="41"/>
      <c r="I288" s="30"/>
      <c r="J288" s="30"/>
      <c r="K288" s="97"/>
      <c r="L288" s="11"/>
      <c r="M288" s="11"/>
      <c r="N288" s="11"/>
      <c r="O288" s="11"/>
      <c r="P288" s="82"/>
    </row>
    <row r="289" spans="2:16" s="9" customFormat="1" x14ac:dyDescent="0.2">
      <c r="B289" s="10"/>
      <c r="C289" s="11"/>
      <c r="D289" s="63"/>
      <c r="E289" s="11"/>
      <c r="F289" s="65"/>
      <c r="G289" s="12"/>
      <c r="H289" s="41"/>
      <c r="I289" s="30"/>
      <c r="J289" s="30"/>
      <c r="K289" s="97"/>
      <c r="L289" s="11"/>
      <c r="M289" s="11"/>
      <c r="N289" s="11"/>
      <c r="O289" s="11"/>
      <c r="P289" s="82"/>
    </row>
    <row r="290" spans="2:16" s="9" customFormat="1" x14ac:dyDescent="0.2">
      <c r="B290" s="10"/>
      <c r="C290" s="11"/>
      <c r="D290" s="63"/>
      <c r="E290" s="11"/>
      <c r="F290" s="65"/>
      <c r="G290" s="12"/>
      <c r="H290" s="41"/>
      <c r="I290" s="30"/>
      <c r="J290" s="30"/>
      <c r="K290" s="97"/>
      <c r="L290" s="11"/>
      <c r="M290" s="11"/>
      <c r="N290" s="11"/>
      <c r="O290" s="11"/>
      <c r="P290" s="82"/>
    </row>
    <row r="291" spans="2:16" s="9" customFormat="1" x14ac:dyDescent="0.2">
      <c r="B291" s="10"/>
      <c r="C291" s="11"/>
      <c r="D291" s="63"/>
      <c r="E291" s="11"/>
      <c r="F291" s="65"/>
      <c r="G291" s="12"/>
      <c r="H291" s="41"/>
      <c r="I291" s="30"/>
      <c r="J291" s="30"/>
      <c r="K291" s="97"/>
      <c r="L291" s="11"/>
      <c r="M291" s="11"/>
      <c r="N291" s="11"/>
      <c r="O291" s="11"/>
      <c r="P291" s="82"/>
    </row>
    <row r="292" spans="2:16" s="9" customFormat="1" x14ac:dyDescent="0.2">
      <c r="B292" s="10"/>
      <c r="C292" s="11"/>
      <c r="D292" s="63"/>
      <c r="E292" s="11"/>
      <c r="F292" s="65"/>
      <c r="G292" s="12"/>
      <c r="H292" s="41"/>
      <c r="I292" s="30"/>
      <c r="J292" s="30"/>
      <c r="K292" s="97"/>
      <c r="L292" s="11"/>
      <c r="M292" s="11"/>
      <c r="N292" s="11"/>
      <c r="O292" s="11"/>
      <c r="P292" s="82"/>
    </row>
    <row r="293" spans="2:16" s="9" customFormat="1" x14ac:dyDescent="0.2">
      <c r="B293" s="10"/>
      <c r="C293" s="11"/>
      <c r="D293" s="63"/>
      <c r="E293" s="11"/>
      <c r="F293" s="65"/>
      <c r="G293" s="12"/>
      <c r="H293" s="41"/>
      <c r="I293" s="30"/>
      <c r="J293" s="30"/>
      <c r="K293" s="97"/>
      <c r="L293" s="11"/>
      <c r="M293" s="11"/>
      <c r="N293" s="11"/>
      <c r="O293" s="11"/>
      <c r="P293" s="82"/>
    </row>
    <row r="294" spans="2:16" s="9" customFormat="1" x14ac:dyDescent="0.2">
      <c r="B294" s="10"/>
      <c r="C294" s="11"/>
      <c r="D294" s="63"/>
      <c r="E294" s="11"/>
      <c r="F294" s="65"/>
      <c r="G294" s="12"/>
      <c r="H294" s="41"/>
      <c r="I294" s="30"/>
      <c r="J294" s="30"/>
      <c r="K294" s="97"/>
      <c r="L294" s="11"/>
      <c r="M294" s="11"/>
      <c r="N294" s="11"/>
      <c r="O294" s="11"/>
      <c r="P294" s="82"/>
    </row>
    <row r="295" spans="2:16" s="9" customFormat="1" x14ac:dyDescent="0.2">
      <c r="B295" s="10"/>
      <c r="C295" s="11"/>
      <c r="D295" s="63"/>
      <c r="E295" s="11"/>
      <c r="F295" s="65"/>
      <c r="G295" s="12"/>
      <c r="H295" s="41"/>
      <c r="I295" s="30"/>
      <c r="J295" s="30"/>
      <c r="K295" s="97"/>
      <c r="L295" s="11"/>
      <c r="M295" s="11"/>
      <c r="N295" s="11"/>
      <c r="O295" s="11"/>
      <c r="P295" s="82"/>
    </row>
    <row r="296" spans="2:16" s="9" customFormat="1" x14ac:dyDescent="0.2">
      <c r="B296" s="10"/>
      <c r="C296" s="11"/>
      <c r="D296" s="63"/>
      <c r="E296" s="11"/>
      <c r="F296" s="65"/>
      <c r="G296" s="12"/>
      <c r="H296" s="41"/>
      <c r="I296" s="30"/>
      <c r="J296" s="30"/>
      <c r="K296" s="97"/>
      <c r="L296" s="11"/>
      <c r="M296" s="11"/>
      <c r="N296" s="11"/>
      <c r="O296" s="11"/>
      <c r="P296" s="82"/>
    </row>
    <row r="297" spans="2:16" s="9" customFormat="1" x14ac:dyDescent="0.2">
      <c r="B297" s="10"/>
      <c r="C297" s="11"/>
      <c r="D297" s="63"/>
      <c r="E297" s="11"/>
      <c r="F297" s="65"/>
      <c r="G297" s="12"/>
      <c r="H297" s="41"/>
      <c r="I297" s="30"/>
      <c r="J297" s="30"/>
      <c r="K297" s="97"/>
      <c r="L297" s="11"/>
      <c r="M297" s="11"/>
      <c r="N297" s="11"/>
      <c r="O297" s="11"/>
      <c r="P297" s="82"/>
    </row>
    <row r="298" spans="2:16" s="9" customFormat="1" x14ac:dyDescent="0.2">
      <c r="B298" s="10"/>
      <c r="C298" s="11"/>
      <c r="D298" s="63"/>
      <c r="E298" s="11"/>
      <c r="F298" s="65"/>
      <c r="G298" s="12"/>
      <c r="H298" s="41"/>
      <c r="I298" s="30"/>
      <c r="J298" s="30"/>
      <c r="K298" s="97"/>
      <c r="L298" s="11"/>
      <c r="M298" s="11"/>
      <c r="N298" s="11"/>
      <c r="O298" s="11"/>
      <c r="P298" s="82"/>
    </row>
    <row r="299" spans="2:16" s="9" customFormat="1" x14ac:dyDescent="0.2">
      <c r="B299" s="10"/>
      <c r="C299" s="11"/>
      <c r="D299" s="63"/>
      <c r="E299" s="11"/>
      <c r="F299" s="65"/>
      <c r="G299" s="12"/>
      <c r="H299" s="41"/>
      <c r="I299" s="30"/>
      <c r="J299" s="30"/>
      <c r="K299" s="97"/>
      <c r="L299" s="11"/>
      <c r="M299" s="11"/>
      <c r="N299" s="11"/>
      <c r="O299" s="11"/>
      <c r="P299" s="82"/>
    </row>
    <row r="300" spans="2:16" s="9" customFormat="1" x14ac:dyDescent="0.2">
      <c r="B300" s="10"/>
      <c r="C300" s="11"/>
      <c r="D300" s="63"/>
      <c r="E300" s="11"/>
      <c r="F300" s="65"/>
      <c r="G300" s="12"/>
      <c r="H300" s="41"/>
      <c r="I300" s="30"/>
      <c r="J300" s="30"/>
      <c r="K300" s="97"/>
      <c r="L300" s="11"/>
      <c r="M300" s="11"/>
      <c r="N300" s="11"/>
      <c r="O300" s="11"/>
      <c r="P300" s="82"/>
    </row>
    <row r="301" spans="2:16" s="9" customFormat="1" x14ac:dyDescent="0.2">
      <c r="B301" s="10"/>
      <c r="C301" s="11"/>
      <c r="D301" s="63"/>
      <c r="E301" s="11"/>
      <c r="F301" s="65"/>
      <c r="G301" s="12"/>
      <c r="H301" s="41"/>
      <c r="I301" s="30"/>
      <c r="J301" s="30"/>
      <c r="K301" s="97"/>
      <c r="L301" s="11"/>
      <c r="M301" s="11"/>
      <c r="N301" s="11"/>
      <c r="O301" s="11"/>
      <c r="P301" s="82"/>
    </row>
    <row r="302" spans="2:16" s="9" customFormat="1" x14ac:dyDescent="0.2">
      <c r="B302" s="10"/>
      <c r="C302" s="11"/>
      <c r="D302" s="63"/>
      <c r="E302" s="11"/>
      <c r="F302" s="65"/>
      <c r="G302" s="12"/>
      <c r="H302" s="41"/>
      <c r="I302" s="30"/>
      <c r="J302" s="30"/>
      <c r="K302" s="97"/>
      <c r="L302" s="11"/>
      <c r="M302" s="11"/>
      <c r="N302" s="11"/>
      <c r="O302" s="11"/>
      <c r="P302" s="82"/>
    </row>
    <row r="303" spans="2:16" s="9" customFormat="1" x14ac:dyDescent="0.2">
      <c r="B303" s="10"/>
      <c r="C303" s="11"/>
      <c r="D303" s="63"/>
      <c r="E303" s="11"/>
      <c r="F303" s="65"/>
      <c r="G303" s="12"/>
      <c r="H303" s="41"/>
      <c r="I303" s="30"/>
      <c r="J303" s="30"/>
      <c r="K303" s="97"/>
      <c r="L303" s="11"/>
      <c r="M303" s="11"/>
      <c r="N303" s="11"/>
      <c r="O303" s="11"/>
      <c r="P303" s="82"/>
    </row>
    <row r="304" spans="2:16" s="9" customFormat="1" x14ac:dyDescent="0.2">
      <c r="B304" s="10"/>
      <c r="C304" s="11"/>
      <c r="D304" s="63"/>
      <c r="E304" s="11"/>
      <c r="F304" s="65"/>
      <c r="G304" s="12"/>
      <c r="H304" s="41"/>
      <c r="I304" s="30"/>
      <c r="J304" s="30"/>
      <c r="K304" s="97"/>
      <c r="L304" s="11"/>
      <c r="M304" s="11"/>
      <c r="N304" s="11"/>
      <c r="O304" s="11"/>
      <c r="P304" s="82"/>
    </row>
    <row r="305" spans="2:16" s="9" customFormat="1" x14ac:dyDescent="0.2">
      <c r="B305" s="10"/>
      <c r="C305" s="11"/>
      <c r="D305" s="63"/>
      <c r="E305" s="11"/>
      <c r="F305" s="65"/>
      <c r="G305" s="12"/>
      <c r="H305" s="41"/>
      <c r="I305" s="30"/>
      <c r="J305" s="30"/>
      <c r="K305" s="97"/>
      <c r="L305" s="11"/>
      <c r="M305" s="11"/>
      <c r="N305" s="11"/>
      <c r="O305" s="11"/>
      <c r="P305" s="82"/>
    </row>
    <row r="306" spans="2:16" s="9" customFormat="1" x14ac:dyDescent="0.2">
      <c r="B306" s="10"/>
      <c r="C306" s="11"/>
      <c r="D306" s="63"/>
      <c r="E306" s="11"/>
      <c r="F306" s="65"/>
      <c r="G306" s="12"/>
      <c r="H306" s="41"/>
      <c r="I306" s="30"/>
      <c r="J306" s="30"/>
      <c r="K306" s="97"/>
      <c r="L306" s="11"/>
      <c r="M306" s="11"/>
      <c r="N306" s="11"/>
      <c r="O306" s="11"/>
      <c r="P306" s="82"/>
    </row>
    <row r="307" spans="2:16" s="9" customFormat="1" x14ac:dyDescent="0.2">
      <c r="B307" s="10"/>
      <c r="C307" s="11"/>
      <c r="D307" s="63"/>
      <c r="E307" s="11"/>
      <c r="F307" s="65"/>
      <c r="G307" s="12"/>
      <c r="H307" s="41"/>
      <c r="I307" s="30"/>
      <c r="J307" s="30"/>
      <c r="K307" s="97"/>
      <c r="L307" s="11"/>
      <c r="M307" s="11"/>
      <c r="N307" s="11"/>
      <c r="O307" s="11"/>
      <c r="P307" s="82"/>
    </row>
    <row r="308" spans="2:16" s="9" customFormat="1" x14ac:dyDescent="0.2">
      <c r="B308" s="10"/>
      <c r="C308" s="11"/>
      <c r="D308" s="63"/>
      <c r="E308" s="11"/>
      <c r="F308" s="65"/>
      <c r="G308" s="12"/>
      <c r="H308" s="41"/>
      <c r="I308" s="30"/>
      <c r="J308" s="30"/>
      <c r="K308" s="97"/>
      <c r="L308" s="11"/>
      <c r="M308" s="11"/>
      <c r="N308" s="11"/>
      <c r="O308" s="11"/>
      <c r="P308" s="82"/>
    </row>
    <row r="309" spans="2:16" s="9" customFormat="1" x14ac:dyDescent="0.2">
      <c r="B309" s="10"/>
      <c r="C309" s="11"/>
      <c r="D309" s="63"/>
      <c r="E309" s="11"/>
      <c r="F309" s="65"/>
      <c r="G309" s="12"/>
      <c r="H309" s="41"/>
      <c r="I309" s="30"/>
      <c r="J309" s="30"/>
      <c r="K309" s="97"/>
      <c r="L309" s="11"/>
      <c r="M309" s="11"/>
      <c r="N309" s="11"/>
      <c r="O309" s="11"/>
      <c r="P309" s="82"/>
    </row>
    <row r="310" spans="2:16" s="9" customFormat="1" x14ac:dyDescent="0.2">
      <c r="B310" s="10"/>
      <c r="C310" s="11"/>
      <c r="D310" s="63"/>
      <c r="E310" s="11"/>
      <c r="F310" s="65"/>
      <c r="G310" s="12"/>
      <c r="H310" s="41"/>
      <c r="I310" s="30"/>
      <c r="J310" s="30"/>
      <c r="K310" s="97"/>
      <c r="L310" s="11"/>
      <c r="M310" s="11"/>
      <c r="N310" s="11"/>
      <c r="O310" s="11"/>
      <c r="P310" s="82"/>
    </row>
    <row r="311" spans="2:16" s="9" customFormat="1" x14ac:dyDescent="0.2">
      <c r="B311" s="10"/>
      <c r="C311" s="11"/>
      <c r="D311" s="63"/>
      <c r="E311" s="11"/>
      <c r="F311" s="65"/>
      <c r="G311" s="12"/>
      <c r="H311" s="41"/>
      <c r="I311" s="30"/>
      <c r="J311" s="30"/>
      <c r="K311" s="97"/>
      <c r="L311" s="11"/>
      <c r="M311" s="11"/>
      <c r="N311" s="11"/>
      <c r="O311" s="11"/>
      <c r="P311" s="82"/>
    </row>
    <row r="312" spans="2:16" s="9" customFormat="1" x14ac:dyDescent="0.2">
      <c r="B312" s="10"/>
      <c r="C312" s="11"/>
      <c r="D312" s="63"/>
      <c r="E312" s="11"/>
      <c r="F312" s="65"/>
      <c r="G312" s="12"/>
      <c r="H312" s="41"/>
      <c r="I312" s="30"/>
      <c r="J312" s="30"/>
      <c r="K312" s="97"/>
      <c r="L312" s="11"/>
      <c r="M312" s="11"/>
      <c r="N312" s="11"/>
      <c r="O312" s="11"/>
      <c r="P312" s="82"/>
    </row>
    <row r="313" spans="2:16" s="9" customFormat="1" x14ac:dyDescent="0.2">
      <c r="B313" s="10"/>
      <c r="C313" s="11"/>
      <c r="D313" s="63"/>
      <c r="E313" s="11"/>
      <c r="F313" s="65"/>
      <c r="G313" s="12"/>
      <c r="H313" s="41"/>
      <c r="I313" s="30"/>
      <c r="J313" s="30"/>
      <c r="K313" s="97"/>
      <c r="L313" s="11"/>
      <c r="M313" s="11"/>
      <c r="N313" s="11"/>
      <c r="O313" s="11"/>
      <c r="P313" s="82"/>
    </row>
    <row r="314" spans="2:16" s="9" customFormat="1" x14ac:dyDescent="0.2">
      <c r="B314" s="10"/>
      <c r="C314" s="11"/>
      <c r="D314" s="63"/>
      <c r="E314" s="11"/>
      <c r="F314" s="65"/>
      <c r="G314" s="12"/>
      <c r="H314" s="41"/>
      <c r="I314" s="30"/>
      <c r="J314" s="30"/>
      <c r="K314" s="97"/>
      <c r="L314" s="11"/>
      <c r="M314" s="11"/>
      <c r="N314" s="11"/>
      <c r="O314" s="11"/>
      <c r="P314" s="82"/>
    </row>
    <row r="315" spans="2:16" s="9" customFormat="1" x14ac:dyDescent="0.2">
      <c r="B315" s="10"/>
      <c r="C315" s="11"/>
      <c r="D315" s="63"/>
      <c r="E315" s="11"/>
      <c r="F315" s="65"/>
      <c r="G315" s="12"/>
      <c r="H315" s="41"/>
      <c r="I315" s="30"/>
      <c r="J315" s="30"/>
      <c r="K315" s="97"/>
      <c r="L315" s="11"/>
      <c r="M315" s="11"/>
      <c r="N315" s="11"/>
      <c r="O315" s="11"/>
      <c r="P315" s="82"/>
    </row>
    <row r="316" spans="2:16" s="9" customFormat="1" x14ac:dyDescent="0.2">
      <c r="B316" s="10"/>
      <c r="C316" s="11"/>
      <c r="D316" s="63"/>
      <c r="E316" s="11"/>
      <c r="F316" s="65"/>
      <c r="G316" s="12"/>
      <c r="H316" s="41"/>
      <c r="I316" s="30"/>
      <c r="J316" s="30"/>
      <c r="K316" s="97"/>
      <c r="L316" s="11"/>
      <c r="M316" s="11"/>
      <c r="N316" s="11"/>
      <c r="O316" s="11"/>
      <c r="P316" s="82"/>
    </row>
    <row r="317" spans="2:16" s="9" customFormat="1" x14ac:dyDescent="0.2">
      <c r="B317" s="10"/>
      <c r="C317" s="11"/>
      <c r="D317" s="63"/>
      <c r="E317" s="11"/>
      <c r="F317" s="65"/>
      <c r="G317" s="12"/>
      <c r="H317" s="41"/>
      <c r="I317" s="30"/>
      <c r="J317" s="30"/>
      <c r="K317" s="97"/>
      <c r="L317" s="11"/>
      <c r="M317" s="11"/>
      <c r="N317" s="11"/>
      <c r="O317" s="11"/>
      <c r="P317" s="82"/>
    </row>
    <row r="318" spans="2:16" s="9" customFormat="1" x14ac:dyDescent="0.2">
      <c r="B318" s="10"/>
      <c r="C318" s="11"/>
      <c r="D318" s="63"/>
      <c r="E318" s="11"/>
      <c r="F318" s="65"/>
      <c r="G318" s="12"/>
      <c r="H318" s="41"/>
      <c r="I318" s="30"/>
      <c r="J318" s="30"/>
      <c r="K318" s="97"/>
      <c r="L318" s="11"/>
      <c r="M318" s="11"/>
      <c r="N318" s="11"/>
      <c r="O318" s="11"/>
      <c r="P318" s="82"/>
    </row>
    <row r="319" spans="2:16" s="9" customFormat="1" x14ac:dyDescent="0.2">
      <c r="B319" s="10"/>
      <c r="C319" s="11"/>
      <c r="D319" s="63"/>
      <c r="E319" s="11"/>
      <c r="F319" s="65"/>
      <c r="G319" s="12"/>
      <c r="H319" s="41"/>
      <c r="I319" s="30"/>
      <c r="J319" s="30"/>
      <c r="K319" s="97"/>
      <c r="L319" s="11"/>
      <c r="M319" s="11"/>
      <c r="N319" s="11"/>
      <c r="O319" s="11"/>
      <c r="P319" s="82"/>
    </row>
    <row r="320" spans="2:16" s="9" customFormat="1" x14ac:dyDescent="0.2">
      <c r="B320" s="10"/>
      <c r="C320" s="11"/>
      <c r="D320" s="63"/>
      <c r="E320" s="11"/>
      <c r="F320" s="65"/>
      <c r="G320" s="12"/>
      <c r="H320" s="41"/>
      <c r="I320" s="30"/>
      <c r="J320" s="30"/>
      <c r="K320" s="97"/>
      <c r="L320" s="11"/>
      <c r="M320" s="11"/>
      <c r="N320" s="11"/>
      <c r="O320" s="11"/>
      <c r="P320" s="82"/>
    </row>
    <row r="321" spans="2:16" s="9" customFormat="1" x14ac:dyDescent="0.2">
      <c r="B321" s="10"/>
      <c r="C321" s="11"/>
      <c r="D321" s="63"/>
      <c r="E321" s="11"/>
      <c r="F321" s="65"/>
      <c r="G321" s="12"/>
      <c r="H321" s="41"/>
      <c r="I321" s="30"/>
      <c r="J321" s="30"/>
      <c r="K321" s="97"/>
      <c r="L321" s="11"/>
      <c r="M321" s="11"/>
      <c r="N321" s="11"/>
      <c r="O321" s="11"/>
      <c r="P321" s="82"/>
    </row>
    <row r="322" spans="2:16" s="9" customFormat="1" x14ac:dyDescent="0.2">
      <c r="B322" s="10"/>
      <c r="C322" s="11"/>
      <c r="D322" s="63"/>
      <c r="E322" s="11"/>
      <c r="F322" s="65"/>
      <c r="G322" s="12"/>
      <c r="H322" s="41"/>
      <c r="I322" s="30"/>
      <c r="J322" s="30"/>
      <c r="K322" s="97"/>
      <c r="L322" s="11"/>
      <c r="M322" s="11"/>
      <c r="N322" s="11"/>
      <c r="O322" s="11"/>
      <c r="P322" s="82"/>
    </row>
    <row r="323" spans="2:16" s="9" customFormat="1" x14ac:dyDescent="0.2">
      <c r="B323" s="10"/>
      <c r="C323" s="11"/>
      <c r="D323" s="63"/>
      <c r="E323" s="11"/>
      <c r="F323" s="65"/>
      <c r="G323" s="12"/>
      <c r="H323" s="41"/>
      <c r="I323" s="30"/>
      <c r="J323" s="30"/>
      <c r="K323" s="97"/>
      <c r="L323" s="11"/>
      <c r="M323" s="11"/>
      <c r="N323" s="11"/>
      <c r="O323" s="11"/>
      <c r="P323" s="82"/>
    </row>
    <row r="324" spans="2:16" s="9" customFormat="1" x14ac:dyDescent="0.2">
      <c r="B324" s="10"/>
      <c r="C324" s="11"/>
      <c r="D324" s="63"/>
      <c r="E324" s="11"/>
      <c r="F324" s="65"/>
      <c r="G324" s="12"/>
      <c r="H324" s="41"/>
      <c r="I324" s="30"/>
      <c r="J324" s="30"/>
      <c r="K324" s="97"/>
      <c r="L324" s="11"/>
      <c r="M324" s="11"/>
      <c r="N324" s="11"/>
      <c r="O324" s="11"/>
      <c r="P324" s="82"/>
    </row>
    <row r="325" spans="2:16" s="9" customFormat="1" x14ac:dyDescent="0.2">
      <c r="B325" s="10"/>
      <c r="C325" s="11"/>
      <c r="D325" s="63"/>
      <c r="E325" s="11"/>
      <c r="F325" s="65"/>
      <c r="G325" s="12"/>
      <c r="H325" s="41"/>
      <c r="I325" s="30"/>
      <c r="J325" s="30"/>
      <c r="K325" s="97"/>
      <c r="L325" s="11"/>
      <c r="M325" s="11"/>
      <c r="N325" s="11"/>
      <c r="O325" s="11"/>
      <c r="P325" s="82"/>
    </row>
    <row r="326" spans="2:16" s="9" customFormat="1" x14ac:dyDescent="0.2">
      <c r="B326" s="10"/>
      <c r="C326" s="11"/>
      <c r="D326" s="63"/>
      <c r="E326" s="11"/>
      <c r="F326" s="65"/>
      <c r="G326" s="12"/>
      <c r="H326" s="41"/>
      <c r="I326" s="30"/>
      <c r="J326" s="30"/>
      <c r="K326" s="97"/>
      <c r="L326" s="11"/>
      <c r="M326" s="11"/>
      <c r="N326" s="11"/>
      <c r="O326" s="11"/>
      <c r="P326" s="82"/>
    </row>
    <row r="327" spans="2:16" s="9" customFormat="1" x14ac:dyDescent="0.2">
      <c r="B327" s="10"/>
      <c r="C327" s="11"/>
      <c r="D327" s="63"/>
      <c r="E327" s="11"/>
      <c r="F327" s="65"/>
      <c r="G327" s="12"/>
      <c r="H327" s="41"/>
      <c r="I327" s="30"/>
      <c r="J327" s="30"/>
      <c r="K327" s="97"/>
      <c r="L327" s="11"/>
      <c r="M327" s="11"/>
      <c r="N327" s="11"/>
      <c r="O327" s="11"/>
      <c r="P327" s="82"/>
    </row>
    <row r="328" spans="2:16" s="9" customFormat="1" x14ac:dyDescent="0.2">
      <c r="B328" s="10"/>
      <c r="C328" s="11"/>
      <c r="D328" s="63"/>
      <c r="E328" s="11"/>
      <c r="F328" s="65"/>
      <c r="G328" s="12"/>
      <c r="H328" s="41"/>
      <c r="I328" s="30"/>
      <c r="J328" s="30"/>
      <c r="K328" s="97"/>
      <c r="L328" s="11"/>
      <c r="M328" s="11"/>
      <c r="N328" s="11"/>
      <c r="O328" s="11"/>
      <c r="P328" s="82"/>
    </row>
    <row r="329" spans="2:16" s="9" customFormat="1" x14ac:dyDescent="0.2">
      <c r="B329" s="10"/>
      <c r="C329" s="11"/>
      <c r="D329" s="63"/>
      <c r="E329" s="11"/>
      <c r="F329" s="65"/>
      <c r="G329" s="12"/>
      <c r="H329" s="41"/>
      <c r="I329" s="30"/>
      <c r="J329" s="30"/>
      <c r="K329" s="97"/>
      <c r="L329" s="11"/>
      <c r="M329" s="11"/>
      <c r="N329" s="11"/>
      <c r="O329" s="11"/>
      <c r="P329" s="82"/>
    </row>
    <row r="330" spans="2:16" s="9" customFormat="1" x14ac:dyDescent="0.2">
      <c r="B330" s="10"/>
      <c r="C330" s="11"/>
      <c r="D330" s="63"/>
      <c r="E330" s="11"/>
      <c r="F330" s="65"/>
      <c r="G330" s="12"/>
      <c r="H330" s="41"/>
      <c r="I330" s="30"/>
      <c r="J330" s="30"/>
      <c r="K330" s="97"/>
      <c r="L330" s="11"/>
      <c r="M330" s="11"/>
      <c r="N330" s="11"/>
      <c r="O330" s="11"/>
      <c r="P330" s="82"/>
    </row>
    <row r="331" spans="2:16" s="9" customFormat="1" x14ac:dyDescent="0.2">
      <c r="B331" s="10"/>
      <c r="C331" s="11"/>
      <c r="D331" s="63"/>
      <c r="E331" s="11"/>
      <c r="F331" s="65"/>
      <c r="G331" s="12"/>
      <c r="H331" s="41"/>
      <c r="I331" s="30"/>
      <c r="J331" s="30"/>
      <c r="K331" s="97"/>
      <c r="L331" s="11"/>
      <c r="M331" s="11"/>
      <c r="N331" s="11"/>
      <c r="O331" s="11"/>
      <c r="P331" s="82"/>
    </row>
    <row r="332" spans="2:16" s="9" customFormat="1" x14ac:dyDescent="0.2">
      <c r="B332" s="10"/>
      <c r="C332" s="11"/>
      <c r="D332" s="63"/>
      <c r="E332" s="11"/>
      <c r="F332" s="65"/>
      <c r="G332" s="12"/>
      <c r="H332" s="41"/>
      <c r="I332" s="30"/>
      <c r="J332" s="30"/>
      <c r="K332" s="97"/>
      <c r="L332" s="11"/>
      <c r="M332" s="11"/>
      <c r="N332" s="11"/>
      <c r="O332" s="11"/>
      <c r="P332" s="82"/>
    </row>
    <row r="333" spans="2:16" s="9" customFormat="1" x14ac:dyDescent="0.2">
      <c r="B333" s="10"/>
      <c r="C333" s="11"/>
      <c r="D333" s="63"/>
      <c r="E333" s="11"/>
      <c r="F333" s="65"/>
      <c r="G333" s="12"/>
      <c r="H333" s="41"/>
      <c r="I333" s="30"/>
      <c r="J333" s="30"/>
      <c r="K333" s="97"/>
      <c r="L333" s="11"/>
      <c r="M333" s="11"/>
      <c r="N333" s="11"/>
      <c r="O333" s="11"/>
      <c r="P333" s="82"/>
    </row>
    <row r="334" spans="2:16" s="9" customFormat="1" x14ac:dyDescent="0.2">
      <c r="B334" s="10"/>
      <c r="C334" s="11"/>
      <c r="D334" s="63"/>
      <c r="E334" s="11"/>
      <c r="F334" s="65"/>
      <c r="G334" s="12"/>
      <c r="H334" s="41"/>
      <c r="I334" s="30"/>
      <c r="J334" s="30"/>
      <c r="K334" s="97"/>
      <c r="L334" s="11"/>
      <c r="M334" s="11"/>
      <c r="N334" s="11"/>
      <c r="O334" s="11"/>
      <c r="P334" s="82"/>
    </row>
    <row r="335" spans="2:16" s="9" customFormat="1" x14ac:dyDescent="0.2">
      <c r="B335" s="10"/>
      <c r="C335" s="11"/>
      <c r="D335" s="63"/>
      <c r="E335" s="11"/>
      <c r="F335" s="65"/>
      <c r="G335" s="12"/>
      <c r="H335" s="41"/>
      <c r="I335" s="30"/>
      <c r="J335" s="30"/>
      <c r="K335" s="97"/>
      <c r="L335" s="11"/>
      <c r="M335" s="11"/>
      <c r="N335" s="11"/>
      <c r="O335" s="11"/>
      <c r="P335" s="82"/>
    </row>
    <row r="336" spans="2:16" s="9" customFormat="1" x14ac:dyDescent="0.2">
      <c r="B336" s="10"/>
      <c r="C336" s="11"/>
      <c r="D336" s="63"/>
      <c r="E336" s="11"/>
      <c r="F336" s="65"/>
      <c r="G336" s="12"/>
      <c r="H336" s="41"/>
      <c r="I336" s="30"/>
      <c r="J336" s="30"/>
      <c r="K336" s="97"/>
      <c r="L336" s="11"/>
      <c r="M336" s="11"/>
      <c r="N336" s="11"/>
      <c r="O336" s="11"/>
      <c r="P336" s="82"/>
    </row>
    <row r="337" spans="2:16" s="9" customFormat="1" x14ac:dyDescent="0.2">
      <c r="B337" s="10"/>
      <c r="C337" s="11"/>
      <c r="D337" s="63"/>
      <c r="E337" s="11"/>
      <c r="F337" s="65"/>
      <c r="G337" s="12"/>
      <c r="H337" s="41"/>
      <c r="I337" s="30"/>
      <c r="J337" s="30"/>
      <c r="K337" s="97"/>
      <c r="L337" s="11"/>
      <c r="M337" s="11"/>
      <c r="N337" s="11"/>
      <c r="O337" s="11"/>
      <c r="P337" s="82"/>
    </row>
    <row r="338" spans="2:16" s="9" customFormat="1" x14ac:dyDescent="0.2">
      <c r="B338" s="10"/>
      <c r="C338" s="11"/>
      <c r="D338" s="63"/>
      <c r="E338" s="11"/>
      <c r="F338" s="65"/>
      <c r="G338" s="12"/>
      <c r="H338" s="41"/>
      <c r="I338" s="30"/>
      <c r="J338" s="30"/>
      <c r="K338" s="97"/>
      <c r="L338" s="11"/>
      <c r="M338" s="11"/>
      <c r="N338" s="11"/>
      <c r="O338" s="11"/>
      <c r="P338" s="82"/>
    </row>
    <row r="339" spans="2:16" s="9" customFormat="1" x14ac:dyDescent="0.2">
      <c r="B339" s="10"/>
      <c r="C339" s="11"/>
      <c r="D339" s="63"/>
      <c r="E339" s="11"/>
      <c r="F339" s="65"/>
      <c r="G339" s="12"/>
      <c r="H339" s="41"/>
      <c r="I339" s="30"/>
      <c r="J339" s="30"/>
      <c r="K339" s="97"/>
      <c r="L339" s="11"/>
      <c r="M339" s="11"/>
      <c r="N339" s="11"/>
      <c r="O339" s="11"/>
      <c r="P339" s="82"/>
    </row>
    <row r="340" spans="2:16" s="9" customFormat="1" x14ac:dyDescent="0.2">
      <c r="B340" s="10"/>
      <c r="C340" s="11"/>
      <c r="D340" s="63"/>
      <c r="E340" s="11"/>
      <c r="F340" s="65"/>
      <c r="G340" s="12"/>
      <c r="H340" s="41"/>
      <c r="I340" s="30"/>
      <c r="J340" s="30"/>
      <c r="K340" s="97"/>
      <c r="L340" s="11"/>
      <c r="M340" s="11"/>
      <c r="N340" s="11"/>
      <c r="O340" s="11"/>
      <c r="P340" s="82"/>
    </row>
    <row r="341" spans="2:16" s="9" customFormat="1" x14ac:dyDescent="0.2">
      <c r="B341" s="10"/>
      <c r="C341" s="11"/>
      <c r="D341" s="63"/>
      <c r="E341" s="11"/>
      <c r="F341" s="65"/>
      <c r="G341" s="12"/>
      <c r="H341" s="41"/>
      <c r="I341" s="30"/>
      <c r="J341" s="30"/>
      <c r="K341" s="97"/>
      <c r="L341" s="11"/>
      <c r="M341" s="11"/>
      <c r="N341" s="11"/>
      <c r="O341" s="11"/>
      <c r="P341" s="82"/>
    </row>
    <row r="342" spans="2:16" s="9" customFormat="1" x14ac:dyDescent="0.2">
      <c r="B342" s="10"/>
      <c r="C342" s="11"/>
      <c r="D342" s="63"/>
      <c r="E342" s="11"/>
      <c r="F342" s="65"/>
      <c r="G342" s="12"/>
      <c r="H342" s="41"/>
      <c r="I342" s="30"/>
      <c r="J342" s="30"/>
      <c r="K342" s="97"/>
      <c r="L342" s="11"/>
      <c r="M342" s="11"/>
      <c r="N342" s="11"/>
      <c r="O342" s="11"/>
      <c r="P342" s="82"/>
    </row>
    <row r="343" spans="2:16" s="9" customFormat="1" x14ac:dyDescent="0.2">
      <c r="B343" s="10"/>
      <c r="C343" s="11"/>
      <c r="D343" s="63"/>
      <c r="E343" s="11"/>
      <c r="F343" s="65"/>
      <c r="G343" s="12"/>
      <c r="H343" s="41"/>
      <c r="I343" s="30"/>
      <c r="J343" s="30"/>
      <c r="K343" s="97"/>
      <c r="L343" s="11"/>
      <c r="M343" s="11"/>
      <c r="N343" s="11"/>
      <c r="O343" s="11"/>
      <c r="P343" s="82"/>
    </row>
    <row r="344" spans="2:16" s="9" customFormat="1" x14ac:dyDescent="0.2">
      <c r="B344" s="10"/>
      <c r="C344" s="11"/>
      <c r="D344" s="63"/>
      <c r="E344" s="11"/>
      <c r="F344" s="65"/>
      <c r="G344" s="12"/>
      <c r="H344" s="41"/>
      <c r="I344" s="30"/>
      <c r="J344" s="30"/>
      <c r="K344" s="97"/>
      <c r="L344" s="11"/>
      <c r="M344" s="11"/>
      <c r="N344" s="11"/>
      <c r="O344" s="11"/>
      <c r="P344" s="82"/>
    </row>
    <row r="345" spans="2:16" s="9" customFormat="1" x14ac:dyDescent="0.2">
      <c r="B345" s="10"/>
      <c r="C345" s="11"/>
      <c r="D345" s="63"/>
      <c r="E345" s="11"/>
      <c r="F345" s="65"/>
      <c r="G345" s="12"/>
      <c r="H345" s="41"/>
      <c r="I345" s="30"/>
      <c r="J345" s="30"/>
      <c r="K345" s="97"/>
      <c r="L345" s="11"/>
      <c r="M345" s="11"/>
      <c r="N345" s="11"/>
      <c r="O345" s="11"/>
      <c r="P345" s="82"/>
    </row>
    <row r="346" spans="2:16" s="9" customFormat="1" x14ac:dyDescent="0.2">
      <c r="B346" s="10"/>
      <c r="C346" s="11"/>
      <c r="D346" s="63"/>
      <c r="E346" s="11"/>
      <c r="F346" s="65"/>
      <c r="G346" s="12"/>
      <c r="H346" s="41"/>
      <c r="I346" s="30"/>
      <c r="J346" s="30"/>
      <c r="K346" s="97"/>
      <c r="L346" s="11"/>
      <c r="M346" s="11"/>
      <c r="N346" s="11"/>
      <c r="O346" s="11"/>
      <c r="P346" s="82"/>
    </row>
    <row r="347" spans="2:16" s="9" customFormat="1" x14ac:dyDescent="0.2">
      <c r="B347" s="10"/>
      <c r="C347" s="11"/>
      <c r="D347" s="63"/>
      <c r="E347" s="11"/>
      <c r="F347" s="65"/>
      <c r="G347" s="12"/>
      <c r="H347" s="41"/>
      <c r="I347" s="30"/>
      <c r="J347" s="30"/>
      <c r="K347" s="97"/>
      <c r="L347" s="11"/>
      <c r="M347" s="11"/>
      <c r="N347" s="11"/>
      <c r="O347" s="11"/>
      <c r="P347" s="82"/>
    </row>
    <row r="348" spans="2:16" s="9" customFormat="1" x14ac:dyDescent="0.2">
      <c r="B348" s="10"/>
      <c r="C348" s="11"/>
      <c r="D348" s="63"/>
      <c r="E348" s="11"/>
      <c r="F348" s="65"/>
      <c r="G348" s="12"/>
      <c r="H348" s="41"/>
      <c r="I348" s="30"/>
      <c r="J348" s="30"/>
      <c r="K348" s="97"/>
      <c r="L348" s="11"/>
      <c r="M348" s="11"/>
      <c r="N348" s="11"/>
      <c r="O348" s="11"/>
      <c r="P348" s="82"/>
    </row>
    <row r="349" spans="2:16" s="9" customFormat="1" x14ac:dyDescent="0.2">
      <c r="B349" s="10"/>
      <c r="C349" s="11"/>
      <c r="D349" s="63"/>
      <c r="E349" s="11"/>
      <c r="F349" s="65"/>
      <c r="G349" s="12"/>
      <c r="H349" s="41"/>
      <c r="I349" s="30"/>
      <c r="J349" s="30"/>
      <c r="K349" s="97"/>
      <c r="L349" s="11"/>
      <c r="M349" s="11"/>
      <c r="N349" s="11"/>
      <c r="O349" s="11"/>
      <c r="P349" s="82"/>
    </row>
    <row r="350" spans="2:16" s="9" customFormat="1" x14ac:dyDescent="0.2">
      <c r="B350" s="10"/>
      <c r="C350" s="11"/>
      <c r="D350" s="63"/>
      <c r="E350" s="11"/>
      <c r="F350" s="65"/>
      <c r="G350" s="12"/>
      <c r="H350" s="41"/>
      <c r="I350" s="30"/>
      <c r="J350" s="30"/>
      <c r="K350" s="97"/>
      <c r="L350" s="11"/>
      <c r="M350" s="11"/>
      <c r="N350" s="11"/>
      <c r="O350" s="11"/>
      <c r="P350" s="82"/>
    </row>
    <row r="351" spans="2:16" s="9" customFormat="1" x14ac:dyDescent="0.2">
      <c r="B351" s="10"/>
      <c r="C351" s="11"/>
      <c r="D351" s="63"/>
      <c r="E351" s="11"/>
      <c r="F351" s="65"/>
      <c r="G351" s="12"/>
      <c r="H351" s="41"/>
      <c r="I351" s="30"/>
      <c r="J351" s="30"/>
      <c r="K351" s="97"/>
      <c r="L351" s="11"/>
      <c r="M351" s="11"/>
      <c r="N351" s="11"/>
      <c r="O351" s="11"/>
      <c r="P351" s="82"/>
    </row>
    <row r="352" spans="2:16" s="9" customFormat="1" x14ac:dyDescent="0.2">
      <c r="B352" s="10"/>
      <c r="C352" s="11"/>
      <c r="D352" s="63"/>
      <c r="E352" s="11"/>
      <c r="F352" s="65"/>
      <c r="G352" s="12"/>
      <c r="H352" s="41"/>
      <c r="I352" s="30"/>
      <c r="J352" s="30"/>
      <c r="K352" s="97"/>
      <c r="L352" s="11"/>
      <c r="M352" s="11"/>
      <c r="N352" s="11"/>
      <c r="O352" s="11"/>
      <c r="P352" s="82"/>
    </row>
    <row r="353" spans="2:16" s="9" customFormat="1" x14ac:dyDescent="0.2">
      <c r="B353" s="10"/>
      <c r="C353" s="11"/>
      <c r="D353" s="63"/>
      <c r="E353" s="11"/>
      <c r="F353" s="65"/>
      <c r="G353" s="12"/>
      <c r="H353" s="41"/>
      <c r="I353" s="30"/>
      <c r="J353" s="30"/>
      <c r="K353" s="97"/>
      <c r="L353" s="11"/>
      <c r="M353" s="11"/>
      <c r="N353" s="11"/>
      <c r="O353" s="11"/>
      <c r="P353" s="82"/>
    </row>
    <row r="354" spans="2:16" s="9" customFormat="1" x14ac:dyDescent="0.2">
      <c r="B354" s="10"/>
      <c r="C354" s="11"/>
      <c r="D354" s="63"/>
      <c r="E354" s="11"/>
      <c r="F354" s="65"/>
      <c r="G354" s="12"/>
      <c r="H354" s="41"/>
      <c r="I354" s="30"/>
      <c r="J354" s="30"/>
      <c r="K354" s="97"/>
      <c r="L354" s="11"/>
      <c r="M354" s="11"/>
      <c r="N354" s="11"/>
      <c r="O354" s="11"/>
      <c r="P354" s="82"/>
    </row>
    <row r="355" spans="2:16" s="9" customFormat="1" x14ac:dyDescent="0.2">
      <c r="B355" s="10"/>
      <c r="C355" s="11"/>
      <c r="D355" s="63"/>
      <c r="E355" s="11"/>
      <c r="F355" s="65"/>
      <c r="G355" s="12"/>
      <c r="H355" s="41"/>
      <c r="I355" s="30"/>
      <c r="J355" s="30"/>
      <c r="K355" s="97"/>
      <c r="L355" s="11"/>
      <c r="M355" s="11"/>
      <c r="N355" s="11"/>
      <c r="O355" s="11"/>
      <c r="P355" s="82"/>
    </row>
    <row r="356" spans="2:16" s="9" customFormat="1" x14ac:dyDescent="0.2">
      <c r="B356" s="10"/>
      <c r="C356" s="11"/>
      <c r="D356" s="63"/>
      <c r="E356" s="11"/>
      <c r="F356" s="65"/>
      <c r="G356" s="12"/>
      <c r="H356" s="41"/>
      <c r="I356" s="30"/>
      <c r="J356" s="30"/>
      <c r="K356" s="97"/>
      <c r="L356" s="11"/>
      <c r="M356" s="11"/>
      <c r="N356" s="11"/>
      <c r="O356" s="11"/>
      <c r="P356" s="82"/>
    </row>
    <row r="357" spans="2:16" s="9" customFormat="1" x14ac:dyDescent="0.2">
      <c r="B357" s="10"/>
      <c r="C357" s="11"/>
      <c r="D357" s="63"/>
      <c r="E357" s="11"/>
      <c r="F357" s="65"/>
      <c r="G357" s="12"/>
      <c r="H357" s="41"/>
      <c r="I357" s="30"/>
      <c r="J357" s="30"/>
      <c r="K357" s="97"/>
      <c r="L357" s="11"/>
      <c r="M357" s="11"/>
      <c r="N357" s="11"/>
      <c r="O357" s="11"/>
      <c r="P357" s="82"/>
    </row>
    <row r="358" spans="2:16" s="9" customFormat="1" x14ac:dyDescent="0.2">
      <c r="B358" s="10"/>
      <c r="C358" s="11"/>
      <c r="D358" s="63"/>
      <c r="E358" s="11"/>
      <c r="F358" s="65"/>
      <c r="G358" s="12"/>
      <c r="H358" s="41"/>
      <c r="I358" s="30"/>
      <c r="J358" s="30"/>
      <c r="K358" s="97"/>
      <c r="L358" s="11"/>
      <c r="M358" s="11"/>
      <c r="N358" s="11"/>
      <c r="O358" s="11"/>
      <c r="P358" s="82"/>
    </row>
    <row r="359" spans="2:16" s="9" customFormat="1" x14ac:dyDescent="0.2">
      <c r="B359" s="10"/>
      <c r="C359" s="11"/>
      <c r="D359" s="63"/>
      <c r="E359" s="11"/>
      <c r="F359" s="65"/>
      <c r="G359" s="12"/>
      <c r="H359" s="41"/>
      <c r="I359" s="30"/>
      <c r="J359" s="30"/>
      <c r="K359" s="97"/>
      <c r="L359" s="11"/>
      <c r="M359" s="11"/>
      <c r="N359" s="11"/>
      <c r="O359" s="11"/>
      <c r="P359" s="82"/>
    </row>
    <row r="360" spans="2:16" s="9" customFormat="1" x14ac:dyDescent="0.2">
      <c r="B360" s="10"/>
      <c r="C360" s="11"/>
      <c r="D360" s="63"/>
      <c r="E360" s="11"/>
      <c r="F360" s="65"/>
      <c r="G360" s="12"/>
      <c r="H360" s="41"/>
      <c r="I360" s="30"/>
      <c r="J360" s="30"/>
      <c r="K360" s="97"/>
      <c r="L360" s="11"/>
      <c r="M360" s="11"/>
      <c r="N360" s="11"/>
      <c r="O360" s="11"/>
      <c r="P360" s="82"/>
    </row>
    <row r="361" spans="2:16" s="9" customFormat="1" x14ac:dyDescent="0.2">
      <c r="B361" s="10"/>
      <c r="C361" s="11"/>
      <c r="D361" s="63"/>
      <c r="E361" s="11"/>
      <c r="F361" s="65"/>
      <c r="G361" s="12"/>
      <c r="H361" s="41"/>
      <c r="I361" s="30"/>
      <c r="J361" s="30"/>
      <c r="K361" s="97"/>
      <c r="L361" s="11"/>
      <c r="M361" s="11"/>
      <c r="N361" s="11"/>
      <c r="O361" s="11"/>
      <c r="P361" s="82"/>
    </row>
    <row r="362" spans="2:16" s="9" customFormat="1" x14ac:dyDescent="0.2">
      <c r="B362" s="10"/>
      <c r="C362" s="11"/>
      <c r="D362" s="63"/>
      <c r="E362" s="11"/>
      <c r="F362" s="65"/>
      <c r="G362" s="12"/>
      <c r="H362" s="41"/>
      <c r="I362" s="30"/>
      <c r="J362" s="30"/>
      <c r="K362" s="97"/>
      <c r="L362" s="11"/>
      <c r="M362" s="11"/>
      <c r="N362" s="11"/>
      <c r="O362" s="11"/>
      <c r="P362" s="82"/>
    </row>
    <row r="363" spans="2:16" s="9" customFormat="1" x14ac:dyDescent="0.2">
      <c r="B363" s="10"/>
      <c r="C363" s="11"/>
      <c r="D363" s="63"/>
      <c r="E363" s="11"/>
      <c r="F363" s="65"/>
      <c r="G363" s="12"/>
      <c r="H363" s="41"/>
      <c r="I363" s="30"/>
      <c r="J363" s="30"/>
      <c r="K363" s="97"/>
      <c r="L363" s="11"/>
      <c r="M363" s="11"/>
      <c r="N363" s="11"/>
      <c r="O363" s="11"/>
      <c r="P363" s="82"/>
    </row>
    <row r="364" spans="2:16" s="9" customFormat="1" x14ac:dyDescent="0.2">
      <c r="B364" s="10"/>
      <c r="C364" s="11"/>
      <c r="D364" s="63"/>
      <c r="E364" s="11"/>
      <c r="F364" s="65"/>
      <c r="G364" s="12"/>
      <c r="H364" s="41"/>
      <c r="I364" s="30"/>
      <c r="J364" s="30"/>
      <c r="K364" s="97"/>
      <c r="L364" s="11"/>
      <c r="M364" s="11"/>
      <c r="N364" s="11"/>
      <c r="O364" s="11"/>
      <c r="P364" s="82"/>
    </row>
    <row r="365" spans="2:16" s="9" customFormat="1" x14ac:dyDescent="0.2">
      <c r="B365" s="10"/>
      <c r="C365" s="11"/>
      <c r="D365" s="63"/>
      <c r="E365" s="11"/>
      <c r="F365" s="65"/>
      <c r="G365" s="12"/>
      <c r="H365" s="41"/>
      <c r="I365" s="30"/>
      <c r="J365" s="30"/>
      <c r="K365" s="97"/>
      <c r="L365" s="11"/>
      <c r="M365" s="11"/>
      <c r="N365" s="11"/>
      <c r="O365" s="11"/>
      <c r="P365" s="82"/>
    </row>
    <row r="366" spans="2:16" s="9" customFormat="1" x14ac:dyDescent="0.2">
      <c r="B366" s="10"/>
      <c r="C366" s="11"/>
      <c r="D366" s="63"/>
      <c r="E366" s="11"/>
      <c r="F366" s="65"/>
      <c r="G366" s="12"/>
      <c r="H366" s="41"/>
      <c r="I366" s="30"/>
      <c r="J366" s="30"/>
      <c r="K366" s="97"/>
      <c r="L366" s="11"/>
      <c r="M366" s="11"/>
      <c r="N366" s="11"/>
      <c r="O366" s="11"/>
      <c r="P366" s="82"/>
    </row>
    <row r="367" spans="2:16" s="9" customFormat="1" x14ac:dyDescent="0.2">
      <c r="B367" s="10"/>
      <c r="C367" s="11"/>
      <c r="D367" s="63"/>
      <c r="E367" s="11"/>
      <c r="F367" s="65"/>
      <c r="G367" s="12"/>
      <c r="H367" s="41"/>
      <c r="I367" s="30"/>
      <c r="J367" s="30"/>
      <c r="K367" s="97"/>
      <c r="L367" s="11"/>
      <c r="M367" s="11"/>
      <c r="N367" s="11"/>
      <c r="O367" s="11"/>
      <c r="P367" s="82"/>
    </row>
    <row r="368" spans="2:16" s="9" customFormat="1" x14ac:dyDescent="0.2">
      <c r="B368" s="10"/>
      <c r="C368" s="11"/>
      <c r="D368" s="63"/>
      <c r="E368" s="11"/>
      <c r="F368" s="65"/>
      <c r="G368" s="12"/>
      <c r="H368" s="41"/>
      <c r="I368" s="30"/>
      <c r="J368" s="30"/>
      <c r="K368" s="97"/>
      <c r="L368" s="11"/>
      <c r="M368" s="11"/>
      <c r="N368" s="11"/>
      <c r="O368" s="11"/>
      <c r="P368" s="82"/>
    </row>
    <row r="369" spans="2:16" s="9" customFormat="1" x14ac:dyDescent="0.2">
      <c r="B369" s="10"/>
      <c r="C369" s="11"/>
      <c r="D369" s="63"/>
      <c r="E369" s="11"/>
      <c r="F369" s="65"/>
      <c r="G369" s="12"/>
      <c r="H369" s="41"/>
      <c r="I369" s="30"/>
      <c r="J369" s="30"/>
      <c r="K369" s="97"/>
      <c r="L369" s="11"/>
      <c r="M369" s="11"/>
      <c r="N369" s="11"/>
      <c r="O369" s="11"/>
      <c r="P369" s="82"/>
    </row>
    <row r="370" spans="2:16" s="9" customFormat="1" x14ac:dyDescent="0.2">
      <c r="B370" s="10"/>
      <c r="C370" s="11"/>
      <c r="D370" s="63"/>
      <c r="E370" s="11"/>
      <c r="F370" s="65"/>
      <c r="G370" s="12"/>
      <c r="H370" s="41"/>
      <c r="I370" s="30"/>
      <c r="J370" s="30"/>
      <c r="K370" s="97"/>
      <c r="L370" s="11"/>
      <c r="M370" s="11"/>
      <c r="N370" s="11"/>
      <c r="O370" s="11"/>
      <c r="P370" s="82"/>
    </row>
    <row r="371" spans="2:16" s="9" customFormat="1" x14ac:dyDescent="0.2">
      <c r="B371" s="10"/>
      <c r="C371" s="11"/>
      <c r="D371" s="63"/>
      <c r="E371" s="11"/>
      <c r="F371" s="65"/>
      <c r="G371" s="12"/>
      <c r="H371" s="41"/>
      <c r="I371" s="30"/>
      <c r="J371" s="30"/>
      <c r="K371" s="97"/>
      <c r="L371" s="11"/>
      <c r="M371" s="11"/>
      <c r="N371" s="11"/>
      <c r="O371" s="11"/>
      <c r="P371" s="82"/>
    </row>
    <row r="372" spans="2:16" s="9" customFormat="1" x14ac:dyDescent="0.2">
      <c r="B372" s="10"/>
      <c r="C372" s="11"/>
      <c r="D372" s="63"/>
      <c r="E372" s="11"/>
      <c r="F372" s="65"/>
      <c r="G372" s="12"/>
      <c r="H372" s="41"/>
      <c r="I372" s="30"/>
      <c r="J372" s="30"/>
      <c r="K372" s="97"/>
      <c r="L372" s="11"/>
      <c r="M372" s="11"/>
      <c r="N372" s="11"/>
      <c r="O372" s="11"/>
      <c r="P372" s="82"/>
    </row>
    <row r="373" spans="2:16" s="9" customFormat="1" x14ac:dyDescent="0.2">
      <c r="B373" s="10"/>
      <c r="C373" s="11"/>
      <c r="D373" s="63"/>
      <c r="E373" s="11"/>
      <c r="F373" s="65"/>
      <c r="G373" s="12"/>
      <c r="H373" s="41"/>
      <c r="I373" s="30"/>
      <c r="J373" s="30"/>
      <c r="K373" s="97"/>
      <c r="L373" s="11"/>
      <c r="M373" s="11"/>
      <c r="N373" s="11"/>
      <c r="O373" s="11"/>
      <c r="P373" s="82"/>
    </row>
    <row r="374" spans="2:16" s="9" customFormat="1" x14ac:dyDescent="0.2">
      <c r="B374" s="10"/>
      <c r="C374" s="11"/>
      <c r="D374" s="63"/>
      <c r="E374" s="11"/>
      <c r="F374" s="65"/>
      <c r="G374" s="12"/>
      <c r="H374" s="41"/>
      <c r="I374" s="30"/>
      <c r="J374" s="30"/>
      <c r="K374" s="97"/>
      <c r="L374" s="11"/>
      <c r="M374" s="11"/>
      <c r="N374" s="11"/>
      <c r="O374" s="11"/>
      <c r="P374" s="82"/>
    </row>
    <row r="375" spans="2:16" s="9" customFormat="1" x14ac:dyDescent="0.2">
      <c r="B375" s="10"/>
      <c r="C375" s="11"/>
      <c r="D375" s="63"/>
      <c r="E375" s="11"/>
      <c r="F375" s="65"/>
      <c r="G375" s="12"/>
      <c r="H375" s="41"/>
      <c r="I375" s="30"/>
      <c r="J375" s="30"/>
      <c r="K375" s="97"/>
      <c r="L375" s="11"/>
      <c r="M375" s="11"/>
      <c r="N375" s="11"/>
      <c r="O375" s="11"/>
      <c r="P375" s="82"/>
    </row>
    <row r="376" spans="2:16" s="9" customFormat="1" x14ac:dyDescent="0.2">
      <c r="B376" s="10"/>
      <c r="C376" s="11"/>
      <c r="D376" s="63"/>
      <c r="E376" s="11"/>
      <c r="F376" s="65"/>
      <c r="G376" s="12"/>
      <c r="H376" s="41"/>
      <c r="I376" s="30"/>
      <c r="J376" s="30"/>
      <c r="K376" s="97"/>
      <c r="L376" s="11"/>
      <c r="M376" s="11"/>
      <c r="N376" s="11"/>
      <c r="O376" s="11"/>
      <c r="P376" s="82"/>
    </row>
    <row r="377" spans="2:16" s="9" customFormat="1" x14ac:dyDescent="0.2">
      <c r="B377" s="10"/>
      <c r="C377" s="11"/>
      <c r="D377" s="63"/>
      <c r="E377" s="11"/>
      <c r="F377" s="65"/>
      <c r="G377" s="12"/>
      <c r="H377" s="41"/>
      <c r="I377" s="30"/>
      <c r="J377" s="30"/>
      <c r="K377" s="97"/>
      <c r="L377" s="11"/>
      <c r="M377" s="11"/>
      <c r="N377" s="11"/>
      <c r="O377" s="11"/>
      <c r="P377" s="82"/>
    </row>
    <row r="378" spans="2:16" s="9" customFormat="1" x14ac:dyDescent="0.2">
      <c r="B378" s="10"/>
      <c r="C378" s="11"/>
      <c r="D378" s="63"/>
      <c r="E378" s="11"/>
      <c r="F378" s="65"/>
      <c r="G378" s="12"/>
      <c r="H378" s="41"/>
      <c r="I378" s="30"/>
      <c r="J378" s="30"/>
      <c r="K378" s="97"/>
      <c r="L378" s="11"/>
      <c r="M378" s="11"/>
      <c r="N378" s="11"/>
      <c r="O378" s="11"/>
      <c r="P378" s="82"/>
    </row>
    <row r="379" spans="2:16" s="9" customFormat="1" x14ac:dyDescent="0.2">
      <c r="B379" s="10"/>
      <c r="C379" s="11"/>
      <c r="D379" s="63"/>
      <c r="E379" s="11"/>
      <c r="F379" s="65"/>
      <c r="G379" s="12"/>
      <c r="H379" s="41"/>
      <c r="I379" s="30"/>
      <c r="J379" s="30"/>
      <c r="K379" s="97"/>
      <c r="L379" s="11"/>
      <c r="M379" s="11"/>
      <c r="N379" s="11"/>
      <c r="O379" s="11"/>
      <c r="P379" s="82"/>
    </row>
    <row r="380" spans="2:16" s="9" customFormat="1" x14ac:dyDescent="0.2">
      <c r="B380" s="10"/>
      <c r="C380" s="11"/>
      <c r="D380" s="63"/>
      <c r="E380" s="11"/>
      <c r="F380" s="65"/>
      <c r="G380" s="12"/>
      <c r="H380" s="41"/>
      <c r="I380" s="30"/>
      <c r="J380" s="30"/>
      <c r="K380" s="97"/>
      <c r="L380" s="11"/>
      <c r="M380" s="11"/>
      <c r="N380" s="11"/>
      <c r="O380" s="11"/>
      <c r="P380" s="82"/>
    </row>
    <row r="381" spans="2:16" s="9" customFormat="1" x14ac:dyDescent="0.2">
      <c r="B381" s="10"/>
      <c r="C381" s="11"/>
      <c r="D381" s="63"/>
      <c r="E381" s="11"/>
      <c r="F381" s="65"/>
      <c r="G381" s="12"/>
      <c r="H381" s="41"/>
      <c r="I381" s="30"/>
      <c r="J381" s="30"/>
      <c r="K381" s="97"/>
      <c r="L381" s="11"/>
      <c r="M381" s="11"/>
      <c r="N381" s="11"/>
      <c r="O381" s="11"/>
      <c r="P381" s="82"/>
    </row>
    <row r="382" spans="2:16" s="9" customFormat="1" x14ac:dyDescent="0.2">
      <c r="B382" s="10"/>
      <c r="C382" s="11"/>
      <c r="D382" s="63"/>
      <c r="E382" s="11"/>
      <c r="F382" s="65"/>
      <c r="G382" s="12"/>
      <c r="H382" s="41"/>
      <c r="I382" s="30"/>
      <c r="J382" s="30"/>
      <c r="K382" s="97"/>
      <c r="L382" s="11"/>
      <c r="M382" s="11"/>
      <c r="N382" s="11"/>
      <c r="O382" s="11"/>
      <c r="P382" s="82"/>
    </row>
    <row r="383" spans="2:16" s="9" customFormat="1" x14ac:dyDescent="0.2">
      <c r="B383" s="10"/>
      <c r="C383" s="11"/>
      <c r="D383" s="63"/>
      <c r="E383" s="11"/>
      <c r="F383" s="65"/>
      <c r="G383" s="12"/>
      <c r="H383" s="41"/>
      <c r="I383" s="30"/>
      <c r="J383" s="30"/>
      <c r="K383" s="97"/>
      <c r="L383" s="11"/>
      <c r="M383" s="11"/>
      <c r="N383" s="11"/>
      <c r="O383" s="11"/>
      <c r="P383" s="82"/>
    </row>
    <row r="384" spans="2:16" s="9" customFormat="1" x14ac:dyDescent="0.2">
      <c r="B384" s="10"/>
      <c r="C384" s="11"/>
      <c r="D384" s="63"/>
      <c r="E384" s="11"/>
      <c r="F384" s="65"/>
      <c r="G384" s="12"/>
      <c r="H384" s="41"/>
      <c r="I384" s="30"/>
      <c r="J384" s="30"/>
      <c r="K384" s="97"/>
      <c r="L384" s="11"/>
      <c r="M384" s="11"/>
      <c r="N384" s="11"/>
      <c r="O384" s="11"/>
      <c r="P384" s="82"/>
    </row>
    <row r="385" spans="2:16" s="9" customFormat="1" x14ac:dyDescent="0.2">
      <c r="B385" s="10"/>
      <c r="C385" s="11"/>
      <c r="D385" s="63"/>
      <c r="E385" s="11"/>
      <c r="F385" s="65"/>
      <c r="G385" s="12"/>
      <c r="H385" s="41"/>
      <c r="I385" s="30"/>
      <c r="J385" s="30"/>
      <c r="K385" s="97"/>
      <c r="L385" s="11"/>
      <c r="M385" s="11"/>
      <c r="N385" s="11"/>
      <c r="O385" s="11"/>
      <c r="P385" s="82"/>
    </row>
    <row r="386" spans="2:16" s="9" customFormat="1" x14ac:dyDescent="0.2">
      <c r="B386" s="10"/>
      <c r="C386" s="11"/>
      <c r="D386" s="63"/>
      <c r="E386" s="11"/>
      <c r="F386" s="65"/>
      <c r="G386" s="12"/>
      <c r="H386" s="41"/>
      <c r="I386" s="30"/>
      <c r="J386" s="30"/>
      <c r="K386" s="97"/>
      <c r="L386" s="11"/>
      <c r="M386" s="11"/>
      <c r="N386" s="11"/>
      <c r="O386" s="11"/>
      <c r="P386" s="82"/>
    </row>
    <row r="387" spans="2:16" s="9" customFormat="1" x14ac:dyDescent="0.2">
      <c r="B387" s="10"/>
      <c r="C387" s="11"/>
      <c r="D387" s="63"/>
      <c r="E387" s="11"/>
      <c r="F387" s="65"/>
      <c r="G387" s="12"/>
      <c r="H387" s="41"/>
      <c r="I387" s="30"/>
      <c r="J387" s="30"/>
      <c r="K387" s="97"/>
      <c r="L387" s="11"/>
      <c r="M387" s="11"/>
      <c r="N387" s="11"/>
      <c r="O387" s="11"/>
      <c r="P387" s="82"/>
    </row>
    <row r="388" spans="2:16" s="9" customFormat="1" x14ac:dyDescent="0.2">
      <c r="B388" s="10"/>
      <c r="C388" s="11"/>
      <c r="D388" s="63"/>
      <c r="E388" s="11"/>
      <c r="F388" s="65"/>
      <c r="G388" s="12"/>
      <c r="H388" s="41"/>
      <c r="I388" s="30"/>
      <c r="J388" s="30"/>
      <c r="K388" s="97"/>
      <c r="L388" s="11"/>
      <c r="M388" s="11"/>
      <c r="N388" s="11"/>
      <c r="O388" s="11"/>
      <c r="P388" s="82"/>
    </row>
    <row r="389" spans="2:16" s="9" customFormat="1" x14ac:dyDescent="0.2">
      <c r="B389" s="10"/>
      <c r="C389" s="11"/>
      <c r="D389" s="63"/>
      <c r="E389" s="11"/>
      <c r="F389" s="65"/>
      <c r="G389" s="12"/>
      <c r="H389" s="41"/>
      <c r="I389" s="30"/>
      <c r="J389" s="30"/>
      <c r="K389" s="97"/>
      <c r="L389" s="11"/>
      <c r="M389" s="11"/>
      <c r="N389" s="11"/>
      <c r="O389" s="11"/>
      <c r="P389" s="82"/>
    </row>
    <row r="390" spans="2:16" s="9" customFormat="1" x14ac:dyDescent="0.2">
      <c r="B390" s="10"/>
      <c r="C390" s="11"/>
      <c r="D390" s="63"/>
      <c r="E390" s="11"/>
      <c r="F390" s="65"/>
      <c r="G390" s="12"/>
      <c r="H390" s="41"/>
      <c r="I390" s="30"/>
      <c r="J390" s="30"/>
      <c r="K390" s="97"/>
      <c r="L390" s="11"/>
      <c r="M390" s="11"/>
      <c r="N390" s="11"/>
      <c r="O390" s="11"/>
      <c r="P390" s="82"/>
    </row>
    <row r="391" spans="2:16" s="9" customFormat="1" x14ac:dyDescent="0.2">
      <c r="B391" s="10"/>
      <c r="C391" s="11"/>
      <c r="D391" s="63"/>
      <c r="E391" s="11"/>
      <c r="F391" s="65"/>
      <c r="G391" s="12"/>
      <c r="H391" s="41"/>
      <c r="I391" s="30"/>
      <c r="J391" s="30"/>
      <c r="K391" s="97"/>
      <c r="L391" s="11"/>
      <c r="M391" s="11"/>
      <c r="N391" s="11"/>
      <c r="O391" s="11"/>
      <c r="P391" s="82"/>
    </row>
    <row r="392" spans="2:16" s="9" customFormat="1" x14ac:dyDescent="0.2">
      <c r="B392" s="10"/>
      <c r="C392" s="11"/>
      <c r="D392" s="63"/>
      <c r="E392" s="11"/>
      <c r="F392" s="65"/>
      <c r="G392" s="12"/>
      <c r="H392" s="41"/>
      <c r="I392" s="30"/>
      <c r="J392" s="30"/>
      <c r="K392" s="97"/>
      <c r="L392" s="11"/>
      <c r="M392" s="11"/>
      <c r="N392" s="11"/>
      <c r="O392" s="11"/>
      <c r="P392" s="82"/>
    </row>
    <row r="393" spans="2:16" s="9" customFormat="1" x14ac:dyDescent="0.2">
      <c r="B393" s="10"/>
      <c r="C393" s="11"/>
      <c r="D393" s="63"/>
      <c r="E393" s="11"/>
      <c r="F393" s="65"/>
      <c r="G393" s="12"/>
      <c r="H393" s="41"/>
      <c r="I393" s="30"/>
      <c r="J393" s="30"/>
      <c r="K393" s="97"/>
      <c r="L393" s="11"/>
      <c r="M393" s="11"/>
      <c r="N393" s="11"/>
      <c r="O393" s="11"/>
      <c r="P393" s="82"/>
    </row>
    <row r="394" spans="2:16" s="9" customFormat="1" x14ac:dyDescent="0.2">
      <c r="B394" s="10"/>
      <c r="C394" s="11"/>
      <c r="D394" s="63"/>
      <c r="E394" s="11"/>
      <c r="F394" s="65"/>
      <c r="G394" s="12"/>
      <c r="H394" s="41"/>
      <c r="I394" s="30"/>
      <c r="J394" s="30"/>
      <c r="K394" s="97"/>
      <c r="L394" s="11"/>
      <c r="M394" s="11"/>
      <c r="N394" s="11"/>
      <c r="O394" s="11"/>
      <c r="P394" s="82"/>
    </row>
    <row r="395" spans="2:16" s="9" customFormat="1" x14ac:dyDescent="0.2">
      <c r="B395" s="10"/>
      <c r="C395" s="11"/>
      <c r="D395" s="63"/>
      <c r="E395" s="11"/>
      <c r="F395" s="65"/>
      <c r="G395" s="12"/>
      <c r="H395" s="41"/>
      <c r="I395" s="30"/>
      <c r="J395" s="30"/>
      <c r="K395" s="97"/>
      <c r="L395" s="11"/>
      <c r="M395" s="11"/>
      <c r="N395" s="11"/>
      <c r="O395" s="11"/>
      <c r="P395" s="82"/>
    </row>
    <row r="396" spans="2:16" s="9" customFormat="1" x14ac:dyDescent="0.2">
      <c r="B396" s="10"/>
      <c r="C396" s="11"/>
      <c r="D396" s="63"/>
      <c r="E396" s="11"/>
      <c r="F396" s="65"/>
      <c r="G396" s="12"/>
      <c r="H396" s="41"/>
      <c r="I396" s="30"/>
      <c r="J396" s="30"/>
      <c r="K396" s="97"/>
      <c r="L396" s="11"/>
      <c r="M396" s="11"/>
      <c r="N396" s="11"/>
      <c r="O396" s="11"/>
      <c r="P396" s="82"/>
    </row>
    <row r="397" spans="2:16" s="9" customFormat="1" x14ac:dyDescent="0.2">
      <c r="B397" s="10"/>
      <c r="C397" s="11"/>
      <c r="D397" s="63"/>
      <c r="E397" s="11"/>
      <c r="F397" s="65"/>
      <c r="G397" s="12"/>
      <c r="H397" s="41"/>
      <c r="I397" s="30"/>
      <c r="J397" s="30"/>
      <c r="K397" s="97"/>
      <c r="L397" s="11"/>
      <c r="M397" s="11"/>
      <c r="N397" s="11"/>
      <c r="O397" s="11"/>
      <c r="P397" s="82"/>
    </row>
    <row r="398" spans="2:16" s="9" customFormat="1" x14ac:dyDescent="0.2">
      <c r="B398" s="10"/>
      <c r="C398" s="11"/>
      <c r="D398" s="63"/>
      <c r="E398" s="11"/>
      <c r="F398" s="65"/>
      <c r="G398" s="12"/>
      <c r="H398" s="41"/>
      <c r="I398" s="30"/>
      <c r="J398" s="30"/>
      <c r="K398" s="97"/>
      <c r="L398" s="11"/>
      <c r="M398" s="11"/>
      <c r="N398" s="11"/>
      <c r="O398" s="11"/>
      <c r="P398" s="82"/>
    </row>
    <row r="399" spans="2:16" s="9" customFormat="1" x14ac:dyDescent="0.2">
      <c r="B399" s="10"/>
      <c r="C399" s="11"/>
      <c r="D399" s="63"/>
      <c r="E399" s="11"/>
      <c r="F399" s="65"/>
      <c r="G399" s="12"/>
      <c r="H399" s="41"/>
      <c r="I399" s="30"/>
      <c r="J399" s="30"/>
      <c r="K399" s="97"/>
      <c r="L399" s="11"/>
      <c r="M399" s="11"/>
      <c r="N399" s="11"/>
      <c r="O399" s="11"/>
      <c r="P399" s="82"/>
    </row>
    <row r="400" spans="2:16" s="9" customFormat="1" x14ac:dyDescent="0.2">
      <c r="B400" s="10"/>
      <c r="C400" s="11"/>
      <c r="D400" s="63"/>
      <c r="E400" s="11"/>
      <c r="F400" s="65"/>
      <c r="G400" s="12"/>
      <c r="H400" s="41"/>
      <c r="I400" s="30"/>
      <c r="J400" s="30"/>
      <c r="K400" s="97"/>
      <c r="L400" s="11"/>
      <c r="M400" s="11"/>
      <c r="N400" s="11"/>
      <c r="O400" s="11"/>
      <c r="P400" s="82"/>
    </row>
    <row r="401" spans="2:16" s="9" customFormat="1" x14ac:dyDescent="0.2">
      <c r="B401" s="10"/>
      <c r="C401" s="11"/>
      <c r="D401" s="63"/>
      <c r="E401" s="11"/>
      <c r="F401" s="65"/>
      <c r="G401" s="12"/>
      <c r="H401" s="41"/>
      <c r="I401" s="30"/>
      <c r="J401" s="30"/>
      <c r="K401" s="97"/>
      <c r="L401" s="11"/>
      <c r="M401" s="11"/>
      <c r="N401" s="11"/>
      <c r="O401" s="11"/>
      <c r="P401" s="82"/>
    </row>
    <row r="402" spans="2:16" s="9" customFormat="1" x14ac:dyDescent="0.2">
      <c r="B402" s="10"/>
      <c r="C402" s="11"/>
      <c r="D402" s="63"/>
      <c r="E402" s="11"/>
      <c r="F402" s="65"/>
      <c r="G402" s="12"/>
      <c r="H402" s="41"/>
      <c r="I402" s="30"/>
      <c r="J402" s="30"/>
      <c r="K402" s="97"/>
      <c r="L402" s="11"/>
      <c r="M402" s="11"/>
      <c r="N402" s="11"/>
      <c r="O402" s="11"/>
      <c r="P402" s="82"/>
    </row>
    <row r="403" spans="2:16" s="9" customFormat="1" x14ac:dyDescent="0.2">
      <c r="B403" s="10"/>
      <c r="C403" s="11"/>
      <c r="D403" s="63"/>
      <c r="E403" s="11"/>
      <c r="F403" s="65"/>
      <c r="G403" s="12"/>
      <c r="H403" s="41"/>
      <c r="I403" s="30"/>
      <c r="J403" s="30"/>
      <c r="K403" s="97"/>
      <c r="L403" s="11"/>
      <c r="M403" s="11"/>
      <c r="N403" s="11"/>
      <c r="O403" s="11"/>
      <c r="P403" s="82"/>
    </row>
    <row r="404" spans="2:16" s="9" customFormat="1" x14ac:dyDescent="0.2">
      <c r="B404" s="10"/>
      <c r="C404" s="11"/>
      <c r="D404" s="63"/>
      <c r="E404" s="11"/>
      <c r="F404" s="65"/>
      <c r="G404" s="12"/>
      <c r="H404" s="41"/>
      <c r="I404" s="30"/>
      <c r="J404" s="30"/>
      <c r="K404" s="97"/>
      <c r="L404" s="11"/>
      <c r="M404" s="11"/>
      <c r="N404" s="11"/>
      <c r="O404" s="11"/>
      <c r="P404" s="82"/>
    </row>
    <row r="405" spans="2:16" s="9" customFormat="1" x14ac:dyDescent="0.2">
      <c r="B405" s="10"/>
      <c r="C405" s="11"/>
      <c r="D405" s="63"/>
      <c r="E405" s="11"/>
      <c r="F405" s="65"/>
      <c r="G405" s="12"/>
      <c r="H405" s="41"/>
      <c r="I405" s="30"/>
      <c r="J405" s="30"/>
      <c r="K405" s="97"/>
      <c r="L405" s="11"/>
      <c r="M405" s="11"/>
      <c r="N405" s="11"/>
      <c r="O405" s="11"/>
      <c r="P405" s="82"/>
    </row>
    <row r="406" spans="2:16" s="9" customFormat="1" x14ac:dyDescent="0.2">
      <c r="B406" s="10"/>
      <c r="C406" s="11"/>
      <c r="D406" s="63"/>
      <c r="E406" s="11"/>
      <c r="F406" s="65"/>
      <c r="G406" s="12"/>
      <c r="H406" s="41"/>
      <c r="I406" s="30"/>
      <c r="J406" s="30"/>
      <c r="K406" s="97"/>
      <c r="L406" s="11"/>
      <c r="M406" s="11"/>
      <c r="N406" s="11"/>
      <c r="O406" s="11"/>
      <c r="P406" s="82"/>
    </row>
    <row r="407" spans="2:16" s="9" customFormat="1" x14ac:dyDescent="0.2">
      <c r="B407" s="10"/>
      <c r="C407" s="11"/>
      <c r="D407" s="63"/>
      <c r="E407" s="11"/>
      <c r="F407" s="65"/>
      <c r="G407" s="12"/>
      <c r="H407" s="41"/>
      <c r="I407" s="30"/>
      <c r="J407" s="30"/>
      <c r="K407" s="97"/>
      <c r="L407" s="11"/>
      <c r="M407" s="11"/>
      <c r="N407" s="11"/>
      <c r="O407" s="11"/>
      <c r="P407" s="82"/>
    </row>
    <row r="408" spans="2:16" s="9" customFormat="1" x14ac:dyDescent="0.2">
      <c r="B408" s="10"/>
      <c r="C408" s="11"/>
      <c r="D408" s="63"/>
      <c r="E408" s="11"/>
      <c r="F408" s="65"/>
      <c r="G408" s="12"/>
      <c r="H408" s="41"/>
      <c r="I408" s="30"/>
      <c r="J408" s="30"/>
      <c r="K408" s="97"/>
      <c r="L408" s="11"/>
      <c r="M408" s="11"/>
      <c r="N408" s="11"/>
      <c r="O408" s="11"/>
      <c r="P408" s="82"/>
    </row>
    <row r="409" spans="2:16" s="9" customFormat="1" x14ac:dyDescent="0.2">
      <c r="B409" s="10"/>
      <c r="C409" s="11"/>
      <c r="D409" s="63"/>
      <c r="E409" s="11"/>
      <c r="F409" s="65"/>
      <c r="G409" s="12"/>
      <c r="H409" s="41"/>
      <c r="I409" s="30"/>
      <c r="J409" s="30"/>
      <c r="K409" s="97"/>
      <c r="L409" s="11"/>
      <c r="M409" s="11"/>
      <c r="N409" s="11"/>
      <c r="O409" s="11"/>
      <c r="P409" s="82"/>
    </row>
    <row r="410" spans="2:16" s="9" customFormat="1" x14ac:dyDescent="0.2">
      <c r="B410" s="10"/>
      <c r="C410" s="11"/>
      <c r="D410" s="63"/>
      <c r="E410" s="11"/>
      <c r="F410" s="65"/>
      <c r="G410" s="12"/>
      <c r="H410" s="41"/>
      <c r="I410" s="30"/>
      <c r="J410" s="30"/>
      <c r="K410" s="97"/>
      <c r="L410" s="11"/>
      <c r="M410" s="11"/>
      <c r="N410" s="11"/>
      <c r="O410" s="11"/>
      <c r="P410" s="82"/>
    </row>
    <row r="411" spans="2:16" s="9" customFormat="1" x14ac:dyDescent="0.2">
      <c r="B411" s="10"/>
      <c r="C411" s="11"/>
      <c r="D411" s="63"/>
      <c r="E411" s="11"/>
      <c r="F411" s="65"/>
      <c r="G411" s="12"/>
      <c r="H411" s="41"/>
      <c r="I411" s="30"/>
      <c r="J411" s="30"/>
      <c r="K411" s="97"/>
      <c r="L411" s="11"/>
      <c r="M411" s="11"/>
      <c r="N411" s="11"/>
      <c r="O411" s="11"/>
      <c r="P411" s="82"/>
    </row>
    <row r="412" spans="2:16" s="9" customFormat="1" x14ac:dyDescent="0.2">
      <c r="B412" s="10"/>
      <c r="C412" s="11"/>
      <c r="D412" s="63"/>
      <c r="E412" s="11"/>
      <c r="F412" s="65"/>
      <c r="G412" s="12"/>
      <c r="H412" s="41"/>
      <c r="I412" s="30"/>
      <c r="J412" s="30"/>
      <c r="K412" s="97"/>
      <c r="L412" s="11"/>
      <c r="M412" s="11"/>
      <c r="N412" s="11"/>
      <c r="O412" s="11"/>
      <c r="P412" s="82"/>
    </row>
    <row r="413" spans="2:16" s="9" customFormat="1" x14ac:dyDescent="0.2">
      <c r="B413" s="10"/>
      <c r="C413" s="11"/>
      <c r="D413" s="63"/>
      <c r="E413" s="11"/>
      <c r="F413" s="65"/>
      <c r="G413" s="12"/>
      <c r="H413" s="41"/>
      <c r="I413" s="30"/>
      <c r="J413" s="30"/>
      <c r="K413" s="97"/>
      <c r="L413" s="11"/>
      <c r="M413" s="11"/>
      <c r="N413" s="11"/>
      <c r="O413" s="11"/>
      <c r="P413" s="82"/>
    </row>
    <row r="414" spans="2:16" s="9" customFormat="1" x14ac:dyDescent="0.2">
      <c r="B414" s="10"/>
      <c r="C414" s="11"/>
      <c r="D414" s="63"/>
      <c r="E414" s="11"/>
      <c r="F414" s="65"/>
      <c r="G414" s="12"/>
      <c r="H414" s="41"/>
      <c r="I414" s="30"/>
      <c r="J414" s="30"/>
      <c r="K414" s="97"/>
      <c r="L414" s="11"/>
      <c r="M414" s="11"/>
      <c r="N414" s="11"/>
      <c r="O414" s="11"/>
      <c r="P414" s="82"/>
    </row>
    <row r="415" spans="2:16" s="9" customFormat="1" x14ac:dyDescent="0.2">
      <c r="B415" s="10"/>
      <c r="C415" s="11"/>
      <c r="D415" s="63"/>
      <c r="E415" s="11"/>
      <c r="F415" s="65"/>
      <c r="G415" s="12"/>
      <c r="H415" s="41"/>
      <c r="I415" s="30"/>
      <c r="J415" s="30"/>
      <c r="K415" s="97"/>
      <c r="L415" s="11"/>
      <c r="M415" s="11"/>
      <c r="N415" s="11"/>
      <c r="O415" s="11"/>
      <c r="P415" s="82"/>
    </row>
    <row r="416" spans="2:16" s="9" customFormat="1" x14ac:dyDescent="0.2">
      <c r="B416" s="10"/>
      <c r="C416" s="11"/>
      <c r="D416" s="63"/>
      <c r="E416" s="11"/>
      <c r="F416" s="65"/>
      <c r="G416" s="12"/>
      <c r="H416" s="41"/>
      <c r="I416" s="30"/>
      <c r="J416" s="30"/>
      <c r="K416" s="97"/>
      <c r="L416" s="11"/>
      <c r="M416" s="11"/>
      <c r="N416" s="11"/>
      <c r="O416" s="11"/>
      <c r="P416" s="82"/>
    </row>
    <row r="417" spans="2:16" s="9" customFormat="1" x14ac:dyDescent="0.2">
      <c r="B417" s="10"/>
      <c r="C417" s="11"/>
      <c r="D417" s="63"/>
      <c r="E417" s="11"/>
      <c r="F417" s="65"/>
      <c r="G417" s="12"/>
      <c r="H417" s="41"/>
      <c r="I417" s="30"/>
      <c r="J417" s="30"/>
      <c r="K417" s="97"/>
      <c r="L417" s="11"/>
      <c r="M417" s="11"/>
      <c r="N417" s="11"/>
      <c r="O417" s="11"/>
      <c r="P417" s="82"/>
    </row>
    <row r="418" spans="2:16" s="9" customFormat="1" x14ac:dyDescent="0.2">
      <c r="B418" s="10"/>
      <c r="C418" s="11"/>
      <c r="D418" s="63"/>
      <c r="E418" s="11"/>
      <c r="F418" s="65"/>
      <c r="G418" s="12"/>
      <c r="H418" s="41"/>
      <c r="I418" s="30"/>
      <c r="J418" s="30"/>
      <c r="K418" s="97"/>
      <c r="L418" s="11"/>
      <c r="M418" s="11"/>
      <c r="N418" s="11"/>
      <c r="O418" s="11"/>
      <c r="P418" s="82"/>
    </row>
    <row r="419" spans="2:16" s="9" customFormat="1" x14ac:dyDescent="0.2">
      <c r="B419" s="10"/>
      <c r="C419" s="11"/>
      <c r="D419" s="63"/>
      <c r="E419" s="11"/>
      <c r="F419" s="65"/>
      <c r="G419" s="12"/>
      <c r="H419" s="41"/>
      <c r="I419" s="30"/>
      <c r="J419" s="30"/>
      <c r="K419" s="97"/>
      <c r="L419" s="11"/>
      <c r="M419" s="11"/>
      <c r="N419" s="11"/>
      <c r="O419" s="11"/>
      <c r="P419" s="82"/>
    </row>
    <row r="420" spans="2:16" s="9" customFormat="1" x14ac:dyDescent="0.2">
      <c r="B420" s="10"/>
      <c r="C420" s="11"/>
      <c r="D420" s="63"/>
      <c r="E420" s="11"/>
      <c r="F420" s="65"/>
      <c r="G420" s="12"/>
      <c r="H420" s="41"/>
      <c r="I420" s="30"/>
      <c r="J420" s="30"/>
      <c r="K420" s="97"/>
      <c r="L420" s="11"/>
      <c r="M420" s="11"/>
      <c r="N420" s="11"/>
      <c r="O420" s="11"/>
      <c r="P420" s="82"/>
    </row>
    <row r="421" spans="2:16" s="9" customFormat="1" x14ac:dyDescent="0.2">
      <c r="B421" s="10"/>
      <c r="C421" s="11"/>
      <c r="D421" s="63"/>
      <c r="E421" s="11"/>
      <c r="F421" s="65"/>
      <c r="G421" s="12"/>
      <c r="H421" s="41"/>
      <c r="I421" s="30"/>
      <c r="J421" s="30"/>
      <c r="K421" s="97"/>
      <c r="L421" s="11"/>
      <c r="M421" s="11"/>
      <c r="N421" s="11"/>
      <c r="O421" s="11"/>
      <c r="P421" s="82"/>
    </row>
    <row r="422" spans="2:16" s="9" customFormat="1" x14ac:dyDescent="0.2">
      <c r="B422" s="10"/>
      <c r="C422" s="11"/>
      <c r="D422" s="63"/>
      <c r="E422" s="11"/>
      <c r="F422" s="65"/>
      <c r="G422" s="12"/>
      <c r="H422" s="41"/>
      <c r="I422" s="30"/>
      <c r="J422" s="30"/>
      <c r="K422" s="97"/>
      <c r="L422" s="11"/>
      <c r="M422" s="11"/>
      <c r="N422" s="11"/>
      <c r="O422" s="11"/>
      <c r="P422" s="82"/>
    </row>
    <row r="423" spans="2:16" s="9" customFormat="1" x14ac:dyDescent="0.2">
      <c r="B423" s="10"/>
      <c r="C423" s="11"/>
      <c r="D423" s="63"/>
      <c r="E423" s="11"/>
      <c r="F423" s="65"/>
      <c r="G423" s="12"/>
      <c r="H423" s="41"/>
      <c r="I423" s="30"/>
      <c r="J423" s="30"/>
      <c r="K423" s="97"/>
      <c r="L423" s="11"/>
      <c r="M423" s="11"/>
      <c r="N423" s="11"/>
      <c r="O423" s="11"/>
      <c r="P423" s="82"/>
    </row>
    <row r="424" spans="2:16" s="9" customFormat="1" x14ac:dyDescent="0.2">
      <c r="B424" s="10"/>
      <c r="C424" s="11"/>
      <c r="D424" s="63"/>
      <c r="E424" s="11"/>
      <c r="F424" s="65"/>
      <c r="G424" s="12"/>
      <c r="H424" s="41"/>
      <c r="I424" s="30"/>
      <c r="J424" s="30"/>
      <c r="K424" s="97"/>
      <c r="L424" s="11"/>
      <c r="M424" s="11"/>
      <c r="N424" s="11"/>
      <c r="O424" s="11"/>
      <c r="P424" s="82"/>
    </row>
    <row r="425" spans="2:16" s="9" customFormat="1" x14ac:dyDescent="0.2">
      <c r="B425" s="10"/>
      <c r="C425" s="11"/>
      <c r="D425" s="63"/>
      <c r="E425" s="11"/>
      <c r="F425" s="65"/>
      <c r="G425" s="12"/>
      <c r="H425" s="41"/>
      <c r="I425" s="30"/>
      <c r="J425" s="30"/>
      <c r="K425" s="97"/>
      <c r="L425" s="11"/>
      <c r="M425" s="11"/>
      <c r="N425" s="11"/>
      <c r="O425" s="11"/>
      <c r="P425" s="82"/>
    </row>
    <row r="426" spans="2:16" s="9" customFormat="1" x14ac:dyDescent="0.2">
      <c r="B426" s="10"/>
      <c r="C426" s="11"/>
      <c r="D426" s="63"/>
      <c r="E426" s="11"/>
      <c r="F426" s="65"/>
      <c r="G426" s="12"/>
      <c r="H426" s="41"/>
      <c r="I426" s="30"/>
      <c r="J426" s="30"/>
      <c r="K426" s="97"/>
      <c r="L426" s="11"/>
      <c r="M426" s="11"/>
      <c r="N426" s="11"/>
      <c r="O426" s="11"/>
      <c r="P426" s="82"/>
    </row>
    <row r="427" spans="2:16" s="9" customFormat="1" x14ac:dyDescent="0.2">
      <c r="B427" s="10"/>
      <c r="C427" s="11"/>
      <c r="D427" s="63"/>
      <c r="E427" s="11"/>
      <c r="F427" s="65"/>
      <c r="G427" s="12"/>
      <c r="H427" s="41"/>
      <c r="I427" s="30"/>
      <c r="J427" s="30"/>
      <c r="K427" s="97"/>
      <c r="L427" s="11"/>
      <c r="M427" s="11"/>
      <c r="N427" s="11"/>
      <c r="O427" s="11"/>
      <c r="P427" s="82"/>
    </row>
    <row r="428" spans="2:16" s="9" customFormat="1" x14ac:dyDescent="0.2">
      <c r="B428" s="10"/>
      <c r="C428" s="11"/>
      <c r="D428" s="63"/>
      <c r="E428" s="11"/>
      <c r="F428" s="65"/>
      <c r="G428" s="12"/>
      <c r="H428" s="41"/>
      <c r="I428" s="30"/>
      <c r="J428" s="30"/>
      <c r="K428" s="97"/>
      <c r="L428" s="11"/>
      <c r="M428" s="11"/>
      <c r="N428" s="11"/>
      <c r="O428" s="11"/>
      <c r="P428" s="82"/>
    </row>
    <row r="429" spans="2:16" s="9" customFormat="1" x14ac:dyDescent="0.2">
      <c r="B429" s="10"/>
      <c r="C429" s="11"/>
      <c r="D429" s="63"/>
      <c r="E429" s="11"/>
      <c r="F429" s="65"/>
      <c r="G429" s="12"/>
      <c r="H429" s="41"/>
      <c r="I429" s="30"/>
      <c r="J429" s="30"/>
      <c r="K429" s="97"/>
      <c r="L429" s="11"/>
      <c r="M429" s="11"/>
      <c r="N429" s="11"/>
      <c r="O429" s="11"/>
      <c r="P429" s="82"/>
    </row>
    <row r="430" spans="2:16" s="9" customFormat="1" x14ac:dyDescent="0.2">
      <c r="B430" s="10"/>
      <c r="C430" s="11"/>
      <c r="D430" s="63"/>
      <c r="E430" s="11"/>
      <c r="F430" s="65"/>
      <c r="G430" s="12"/>
      <c r="H430" s="41"/>
      <c r="I430" s="30"/>
      <c r="J430" s="30"/>
      <c r="K430" s="97"/>
      <c r="L430" s="11"/>
      <c r="M430" s="11"/>
      <c r="N430" s="11"/>
      <c r="O430" s="11"/>
      <c r="P430" s="82"/>
    </row>
    <row r="431" spans="2:16" s="9" customFormat="1" x14ac:dyDescent="0.2">
      <c r="B431" s="10"/>
      <c r="C431" s="11"/>
      <c r="D431" s="63"/>
      <c r="E431" s="11"/>
      <c r="F431" s="65"/>
      <c r="G431" s="12"/>
      <c r="H431" s="41"/>
      <c r="I431" s="30"/>
      <c r="J431" s="30"/>
      <c r="K431" s="97"/>
      <c r="L431" s="11"/>
      <c r="M431" s="11"/>
      <c r="N431" s="11"/>
      <c r="O431" s="11"/>
      <c r="P431" s="82"/>
    </row>
    <row r="432" spans="2:16" s="9" customFormat="1" x14ac:dyDescent="0.2">
      <c r="B432" s="10"/>
      <c r="C432" s="11"/>
      <c r="D432" s="63"/>
      <c r="E432" s="11"/>
      <c r="F432" s="65"/>
      <c r="G432" s="12"/>
      <c r="H432" s="41"/>
      <c r="I432" s="30"/>
      <c r="J432" s="30"/>
      <c r="K432" s="97"/>
      <c r="L432" s="11"/>
      <c r="M432" s="11"/>
      <c r="N432" s="11"/>
      <c r="O432" s="11"/>
      <c r="P432" s="82"/>
    </row>
    <row r="433" spans="2:16" s="9" customFormat="1" x14ac:dyDescent="0.2">
      <c r="B433" s="10"/>
      <c r="C433" s="11"/>
      <c r="D433" s="63"/>
      <c r="E433" s="11"/>
      <c r="F433" s="65"/>
      <c r="G433" s="12"/>
      <c r="H433" s="41"/>
      <c r="I433" s="30"/>
      <c r="J433" s="30"/>
      <c r="K433" s="97"/>
      <c r="L433" s="11"/>
      <c r="M433" s="11"/>
      <c r="N433" s="11"/>
      <c r="O433" s="11"/>
      <c r="P433" s="82"/>
    </row>
    <row r="434" spans="2:16" s="9" customFormat="1" x14ac:dyDescent="0.2">
      <c r="B434" s="10"/>
      <c r="C434" s="11"/>
      <c r="D434" s="63"/>
      <c r="E434" s="11"/>
      <c r="F434" s="65"/>
      <c r="G434" s="12"/>
      <c r="H434" s="41"/>
      <c r="I434" s="30"/>
      <c r="J434" s="30"/>
      <c r="K434" s="97"/>
      <c r="L434" s="11"/>
      <c r="M434" s="11"/>
      <c r="N434" s="11"/>
      <c r="O434" s="11"/>
      <c r="P434" s="82"/>
    </row>
    <row r="435" spans="2:16" s="9" customFormat="1" x14ac:dyDescent="0.2">
      <c r="B435" s="10"/>
      <c r="C435" s="11"/>
      <c r="D435" s="63"/>
      <c r="E435" s="11"/>
      <c r="F435" s="65"/>
      <c r="G435" s="12"/>
      <c r="H435" s="41"/>
      <c r="I435" s="30"/>
      <c r="J435" s="30"/>
      <c r="K435" s="97"/>
      <c r="L435" s="11"/>
      <c r="M435" s="11"/>
      <c r="N435" s="11"/>
      <c r="O435" s="11"/>
      <c r="P435" s="82"/>
    </row>
    <row r="436" spans="2:16" s="9" customFormat="1" x14ac:dyDescent="0.2">
      <c r="B436" s="10"/>
      <c r="C436" s="11"/>
      <c r="D436" s="63"/>
      <c r="E436" s="11"/>
      <c r="F436" s="65"/>
      <c r="G436" s="12"/>
      <c r="H436" s="41"/>
      <c r="I436" s="30"/>
      <c r="J436" s="30"/>
      <c r="K436" s="97"/>
      <c r="L436" s="11"/>
      <c r="M436" s="11"/>
      <c r="N436" s="11"/>
      <c r="O436" s="11"/>
      <c r="P436" s="82"/>
    </row>
    <row r="437" spans="2:16" s="9" customFormat="1" x14ac:dyDescent="0.2">
      <c r="B437" s="10"/>
      <c r="C437" s="11"/>
      <c r="D437" s="63"/>
      <c r="E437" s="11"/>
      <c r="F437" s="65"/>
      <c r="G437" s="12"/>
      <c r="H437" s="41"/>
      <c r="I437" s="30"/>
      <c r="J437" s="30"/>
      <c r="K437" s="97"/>
      <c r="L437" s="11"/>
      <c r="M437" s="11"/>
      <c r="N437" s="11"/>
      <c r="O437" s="11"/>
      <c r="P437" s="82"/>
    </row>
    <row r="438" spans="2:16" s="9" customFormat="1" x14ac:dyDescent="0.2">
      <c r="B438" s="10"/>
      <c r="C438" s="11"/>
      <c r="D438" s="63"/>
      <c r="E438" s="11"/>
      <c r="F438" s="65"/>
      <c r="G438" s="12"/>
      <c r="H438" s="41"/>
      <c r="I438" s="30"/>
      <c r="J438" s="30"/>
      <c r="K438" s="97"/>
      <c r="L438" s="11"/>
      <c r="M438" s="11"/>
      <c r="N438" s="11"/>
      <c r="O438" s="11"/>
      <c r="P438" s="82"/>
    </row>
    <row r="439" spans="2:16" s="9" customFormat="1" x14ac:dyDescent="0.2">
      <c r="B439" s="10"/>
      <c r="C439" s="11"/>
      <c r="D439" s="63"/>
      <c r="E439" s="11"/>
      <c r="F439" s="65"/>
      <c r="G439" s="12"/>
      <c r="H439" s="41"/>
      <c r="I439" s="30"/>
      <c r="J439" s="30"/>
      <c r="K439" s="97"/>
      <c r="L439" s="11"/>
      <c r="M439" s="11"/>
      <c r="N439" s="11"/>
      <c r="O439" s="11"/>
      <c r="P439" s="82"/>
    </row>
    <row r="440" spans="2:16" s="9" customFormat="1" x14ac:dyDescent="0.2">
      <c r="B440" s="10"/>
      <c r="C440" s="11"/>
      <c r="D440" s="63"/>
      <c r="E440" s="11"/>
      <c r="F440" s="65"/>
      <c r="G440" s="12"/>
      <c r="H440" s="41"/>
      <c r="I440" s="30"/>
      <c r="J440" s="30"/>
      <c r="K440" s="97"/>
      <c r="L440" s="11"/>
      <c r="M440" s="11"/>
      <c r="N440" s="11"/>
      <c r="O440" s="11"/>
      <c r="P440" s="82"/>
    </row>
    <row r="441" spans="2:16" s="9" customFormat="1" x14ac:dyDescent="0.2">
      <c r="B441" s="10"/>
      <c r="C441" s="11"/>
      <c r="D441" s="63"/>
      <c r="E441" s="11"/>
      <c r="F441" s="65"/>
      <c r="G441" s="12"/>
      <c r="H441" s="41"/>
      <c r="I441" s="30"/>
      <c r="J441" s="30"/>
      <c r="K441" s="97"/>
      <c r="L441" s="11"/>
      <c r="M441" s="11"/>
      <c r="N441" s="11"/>
      <c r="O441" s="11"/>
      <c r="P441" s="82"/>
    </row>
    <row r="442" spans="2:16" s="9" customFormat="1" x14ac:dyDescent="0.2">
      <c r="B442" s="10"/>
      <c r="C442" s="11"/>
      <c r="D442" s="63"/>
      <c r="E442" s="11"/>
      <c r="F442" s="65"/>
      <c r="G442" s="12"/>
      <c r="H442" s="41"/>
      <c r="I442" s="30"/>
      <c r="J442" s="30"/>
      <c r="K442" s="97"/>
      <c r="L442" s="11"/>
      <c r="M442" s="11"/>
      <c r="N442" s="11"/>
      <c r="O442" s="11"/>
      <c r="P442" s="82"/>
    </row>
    <row r="443" spans="2:16" s="9" customFormat="1" x14ac:dyDescent="0.2">
      <c r="B443" s="10"/>
      <c r="C443" s="11"/>
      <c r="D443" s="63"/>
      <c r="E443" s="11"/>
      <c r="F443" s="65"/>
      <c r="G443" s="12"/>
      <c r="H443" s="41"/>
      <c r="I443" s="30"/>
      <c r="J443" s="30"/>
      <c r="K443" s="97"/>
      <c r="L443" s="11"/>
      <c r="M443" s="11"/>
      <c r="N443" s="11"/>
      <c r="O443" s="11"/>
      <c r="P443" s="82"/>
    </row>
    <row r="444" spans="2:16" s="9" customFormat="1" x14ac:dyDescent="0.2">
      <c r="B444" s="10"/>
      <c r="C444" s="11"/>
      <c r="D444" s="63"/>
      <c r="E444" s="11"/>
      <c r="F444" s="65"/>
      <c r="G444" s="12"/>
      <c r="H444" s="41"/>
      <c r="I444" s="30"/>
      <c r="J444" s="30"/>
      <c r="K444" s="97"/>
      <c r="L444" s="11"/>
      <c r="M444" s="11"/>
      <c r="N444" s="11"/>
      <c r="O444" s="11"/>
      <c r="P444" s="82"/>
    </row>
    <row r="445" spans="2:16" s="9" customFormat="1" x14ac:dyDescent="0.2">
      <c r="B445" s="10"/>
      <c r="C445" s="11"/>
      <c r="D445" s="63"/>
      <c r="E445" s="11"/>
      <c r="F445" s="65"/>
      <c r="G445" s="12"/>
      <c r="H445" s="41"/>
      <c r="I445" s="30"/>
      <c r="J445" s="30"/>
      <c r="K445" s="97"/>
      <c r="L445" s="11"/>
      <c r="M445" s="11"/>
      <c r="N445" s="11"/>
      <c r="O445" s="11"/>
      <c r="P445" s="82"/>
    </row>
    <row r="446" spans="2:16" s="9" customFormat="1" x14ac:dyDescent="0.2">
      <c r="B446" s="10"/>
      <c r="C446" s="11"/>
      <c r="D446" s="63"/>
      <c r="E446" s="11"/>
      <c r="F446" s="65"/>
      <c r="G446" s="12"/>
      <c r="H446" s="41"/>
      <c r="I446" s="30"/>
      <c r="J446" s="30"/>
      <c r="K446" s="97"/>
      <c r="L446" s="11"/>
      <c r="M446" s="11"/>
      <c r="N446" s="11"/>
      <c r="O446" s="11"/>
      <c r="P446" s="82"/>
    </row>
    <row r="447" spans="2:16" s="9" customFormat="1" x14ac:dyDescent="0.2">
      <c r="B447" s="10"/>
      <c r="C447" s="11"/>
      <c r="D447" s="63"/>
      <c r="E447" s="11"/>
      <c r="F447" s="65"/>
      <c r="G447" s="12"/>
      <c r="H447" s="41"/>
      <c r="I447" s="30"/>
      <c r="J447" s="30"/>
      <c r="K447" s="97"/>
      <c r="L447" s="11"/>
      <c r="M447" s="11"/>
      <c r="N447" s="11"/>
      <c r="O447" s="11"/>
      <c r="P447" s="82"/>
    </row>
    <row r="448" spans="2:16" s="9" customFormat="1" x14ac:dyDescent="0.2">
      <c r="B448" s="10"/>
      <c r="C448" s="11"/>
      <c r="D448" s="63"/>
      <c r="E448" s="11"/>
      <c r="F448" s="65"/>
      <c r="G448" s="12"/>
      <c r="H448" s="41"/>
      <c r="I448" s="30"/>
      <c r="J448" s="30"/>
      <c r="K448" s="97"/>
      <c r="L448" s="11"/>
      <c r="M448" s="11"/>
      <c r="N448" s="11"/>
      <c r="O448" s="11"/>
      <c r="P448" s="82"/>
    </row>
    <row r="449" spans="2:16" s="9" customFormat="1" x14ac:dyDescent="0.2">
      <c r="B449" s="10"/>
      <c r="C449" s="11"/>
      <c r="D449" s="63"/>
      <c r="E449" s="11"/>
      <c r="F449" s="65"/>
      <c r="G449" s="12"/>
      <c r="H449" s="41"/>
      <c r="I449" s="30"/>
      <c r="J449" s="30"/>
      <c r="K449" s="97"/>
      <c r="L449" s="11"/>
      <c r="M449" s="11"/>
      <c r="N449" s="11"/>
      <c r="O449" s="11"/>
      <c r="P449" s="82"/>
    </row>
    <row r="450" spans="2:16" s="9" customFormat="1" x14ac:dyDescent="0.2">
      <c r="B450" s="10"/>
      <c r="C450" s="11"/>
      <c r="D450" s="63"/>
      <c r="E450" s="11"/>
      <c r="F450" s="65"/>
      <c r="G450" s="12"/>
      <c r="H450" s="41"/>
      <c r="I450" s="30"/>
      <c r="J450" s="30"/>
      <c r="K450" s="97"/>
      <c r="L450" s="11"/>
      <c r="M450" s="11"/>
      <c r="N450" s="11"/>
      <c r="O450" s="11"/>
      <c r="P450" s="82"/>
    </row>
    <row r="451" spans="2:16" s="9" customFormat="1" x14ac:dyDescent="0.2">
      <c r="B451" s="10"/>
      <c r="C451" s="11"/>
      <c r="D451" s="63"/>
      <c r="E451" s="11"/>
      <c r="F451" s="65"/>
      <c r="G451" s="12"/>
      <c r="H451" s="41"/>
      <c r="I451" s="30"/>
      <c r="J451" s="30"/>
      <c r="K451" s="97"/>
      <c r="L451" s="11"/>
      <c r="M451" s="11"/>
      <c r="N451" s="11"/>
      <c r="O451" s="11"/>
      <c r="P451" s="82"/>
    </row>
    <row r="452" spans="2:16" s="9" customFormat="1" x14ac:dyDescent="0.2">
      <c r="B452" s="10"/>
      <c r="C452" s="11"/>
      <c r="D452" s="63"/>
      <c r="E452" s="11"/>
      <c r="F452" s="65"/>
      <c r="G452" s="12"/>
      <c r="H452" s="41"/>
      <c r="I452" s="30"/>
      <c r="J452" s="30"/>
      <c r="K452" s="97"/>
      <c r="L452" s="11"/>
      <c r="M452" s="11"/>
      <c r="N452" s="11"/>
      <c r="O452" s="11"/>
      <c r="P452" s="82"/>
    </row>
    <row r="453" spans="2:16" s="9" customFormat="1" x14ac:dyDescent="0.2">
      <c r="B453" s="10"/>
      <c r="C453" s="11"/>
      <c r="D453" s="63"/>
      <c r="E453" s="11"/>
      <c r="F453" s="65"/>
      <c r="G453" s="12"/>
      <c r="H453" s="41"/>
      <c r="I453" s="30"/>
      <c r="J453" s="30"/>
      <c r="K453" s="97"/>
      <c r="L453" s="11"/>
      <c r="M453" s="11"/>
      <c r="N453" s="11"/>
      <c r="O453" s="11"/>
      <c r="P453" s="82"/>
    </row>
    <row r="454" spans="2:16" s="9" customFormat="1" x14ac:dyDescent="0.2">
      <c r="B454" s="10"/>
      <c r="C454" s="11"/>
      <c r="D454" s="63"/>
      <c r="E454" s="11"/>
      <c r="F454" s="65"/>
      <c r="G454" s="12"/>
      <c r="H454" s="41"/>
      <c r="I454" s="30"/>
      <c r="J454" s="30"/>
      <c r="K454" s="97"/>
      <c r="L454" s="11"/>
      <c r="M454" s="11"/>
      <c r="N454" s="11"/>
      <c r="O454" s="11"/>
      <c r="P454" s="82"/>
    </row>
    <row r="455" spans="2:16" s="9" customFormat="1" x14ac:dyDescent="0.2">
      <c r="B455" s="10"/>
      <c r="C455" s="11"/>
      <c r="D455" s="63"/>
      <c r="E455" s="11"/>
      <c r="F455" s="65"/>
      <c r="G455" s="12"/>
      <c r="H455" s="41"/>
      <c r="I455" s="30"/>
      <c r="J455" s="30"/>
      <c r="K455" s="97"/>
      <c r="L455" s="11"/>
      <c r="M455" s="11"/>
      <c r="N455" s="11"/>
      <c r="O455" s="11"/>
      <c r="P455" s="82"/>
    </row>
    <row r="456" spans="2:16" s="9" customFormat="1" x14ac:dyDescent="0.2">
      <c r="B456" s="10"/>
      <c r="C456" s="11"/>
      <c r="D456" s="63"/>
      <c r="E456" s="11"/>
      <c r="F456" s="65"/>
      <c r="G456" s="12"/>
      <c r="H456" s="41"/>
      <c r="I456" s="30"/>
      <c r="J456" s="30"/>
      <c r="K456" s="97"/>
      <c r="L456" s="11"/>
      <c r="M456" s="11"/>
      <c r="N456" s="11"/>
      <c r="O456" s="11"/>
      <c r="P456" s="82"/>
    </row>
    <row r="457" spans="2:16" s="9" customFormat="1" x14ac:dyDescent="0.2">
      <c r="B457" s="10"/>
      <c r="C457" s="11"/>
      <c r="D457" s="63"/>
      <c r="E457" s="11"/>
      <c r="F457" s="65"/>
      <c r="G457" s="12"/>
      <c r="H457" s="41"/>
      <c r="I457" s="30"/>
      <c r="J457" s="30"/>
      <c r="K457" s="97"/>
      <c r="L457" s="11"/>
      <c r="M457" s="11"/>
      <c r="N457" s="11"/>
      <c r="O457" s="11"/>
      <c r="P457" s="82"/>
    </row>
    <row r="458" spans="2:16" s="9" customFormat="1" x14ac:dyDescent="0.2">
      <c r="B458" s="10"/>
      <c r="C458" s="11"/>
      <c r="D458" s="63"/>
      <c r="E458" s="11"/>
      <c r="F458" s="65"/>
      <c r="G458" s="12"/>
      <c r="H458" s="41"/>
      <c r="I458" s="30"/>
      <c r="J458" s="30"/>
      <c r="K458" s="97"/>
      <c r="L458" s="11"/>
      <c r="M458" s="11"/>
      <c r="N458" s="11"/>
      <c r="O458" s="11"/>
      <c r="P458" s="82"/>
    </row>
    <row r="459" spans="2:16" s="9" customFormat="1" x14ac:dyDescent="0.2">
      <c r="B459" s="10"/>
      <c r="C459" s="11"/>
      <c r="D459" s="63"/>
      <c r="E459" s="11"/>
      <c r="F459" s="65"/>
      <c r="G459" s="12"/>
      <c r="H459" s="41"/>
      <c r="I459" s="30"/>
      <c r="J459" s="30"/>
      <c r="K459" s="97"/>
      <c r="L459" s="11"/>
      <c r="M459" s="11"/>
      <c r="N459" s="11"/>
      <c r="O459" s="11"/>
      <c r="P459" s="82"/>
    </row>
    <row r="460" spans="2:16" s="9" customFormat="1" x14ac:dyDescent="0.2">
      <c r="B460" s="10"/>
      <c r="C460" s="11"/>
      <c r="D460" s="63"/>
      <c r="E460" s="11"/>
      <c r="F460" s="65"/>
      <c r="G460" s="12"/>
      <c r="H460" s="41"/>
      <c r="I460" s="30"/>
      <c r="J460" s="30"/>
      <c r="K460" s="97"/>
      <c r="L460" s="11"/>
      <c r="M460" s="11"/>
      <c r="N460" s="11"/>
      <c r="O460" s="11"/>
      <c r="P460" s="82"/>
    </row>
    <row r="461" spans="2:16" s="9" customFormat="1" x14ac:dyDescent="0.2">
      <c r="B461" s="10"/>
      <c r="C461" s="11"/>
      <c r="D461" s="63"/>
      <c r="E461" s="11"/>
      <c r="F461" s="65"/>
      <c r="G461" s="12"/>
      <c r="H461" s="41"/>
      <c r="I461" s="30"/>
      <c r="J461" s="30"/>
      <c r="K461" s="97"/>
      <c r="L461" s="11"/>
      <c r="M461" s="11"/>
      <c r="N461" s="11"/>
      <c r="O461" s="11"/>
      <c r="P461" s="82"/>
    </row>
    <row r="462" spans="2:16" s="9" customFormat="1" x14ac:dyDescent="0.2">
      <c r="B462" s="10"/>
      <c r="C462" s="11"/>
      <c r="D462" s="63"/>
      <c r="E462" s="11"/>
      <c r="F462" s="65"/>
      <c r="G462" s="12"/>
      <c r="H462" s="41"/>
      <c r="I462" s="30"/>
      <c r="J462" s="30"/>
      <c r="K462" s="97"/>
      <c r="L462" s="11"/>
      <c r="M462" s="11"/>
      <c r="N462" s="11"/>
      <c r="O462" s="11"/>
      <c r="P462" s="82"/>
    </row>
    <row r="463" spans="2:16" s="9" customFormat="1" x14ac:dyDescent="0.2">
      <c r="B463" s="10"/>
      <c r="C463" s="11"/>
      <c r="D463" s="63"/>
      <c r="E463" s="11"/>
      <c r="F463" s="65"/>
      <c r="G463" s="12"/>
      <c r="H463" s="41"/>
      <c r="I463" s="30"/>
      <c r="J463" s="30"/>
      <c r="K463" s="97"/>
      <c r="L463" s="11"/>
      <c r="M463" s="11"/>
      <c r="N463" s="11"/>
      <c r="O463" s="11"/>
      <c r="P463" s="82"/>
    </row>
    <row r="464" spans="2:16" s="9" customFormat="1" x14ac:dyDescent="0.2">
      <c r="B464" s="10"/>
      <c r="C464" s="11"/>
      <c r="D464" s="63"/>
      <c r="E464" s="11"/>
      <c r="F464" s="65"/>
      <c r="G464" s="12"/>
      <c r="H464" s="41"/>
      <c r="I464" s="30"/>
      <c r="J464" s="30"/>
      <c r="K464" s="97"/>
      <c r="L464" s="11"/>
      <c r="M464" s="11"/>
      <c r="N464" s="11"/>
      <c r="O464" s="11"/>
      <c r="P464" s="82"/>
    </row>
    <row r="465" spans="2:16" s="9" customFormat="1" x14ac:dyDescent="0.2">
      <c r="B465" s="10"/>
      <c r="C465" s="11"/>
      <c r="D465" s="63"/>
      <c r="E465" s="11"/>
      <c r="F465" s="65"/>
      <c r="G465" s="12"/>
      <c r="H465" s="41"/>
      <c r="I465" s="30"/>
      <c r="J465" s="30"/>
      <c r="K465" s="97"/>
      <c r="L465" s="11"/>
      <c r="M465" s="11"/>
      <c r="N465" s="11"/>
      <c r="O465" s="11"/>
      <c r="P465" s="82"/>
    </row>
    <row r="466" spans="2:16" s="9" customFormat="1" x14ac:dyDescent="0.2">
      <c r="B466" s="10"/>
      <c r="C466" s="11"/>
      <c r="D466" s="63"/>
      <c r="E466" s="11"/>
      <c r="F466" s="65"/>
      <c r="G466" s="12"/>
      <c r="H466" s="41"/>
      <c r="I466" s="30"/>
      <c r="J466" s="30"/>
      <c r="K466" s="97"/>
      <c r="L466" s="11"/>
      <c r="M466" s="11"/>
      <c r="N466" s="11"/>
      <c r="O466" s="11"/>
      <c r="P466" s="82"/>
    </row>
    <row r="467" spans="2:16" s="9" customFormat="1" x14ac:dyDescent="0.2">
      <c r="B467" s="10"/>
      <c r="C467" s="11"/>
      <c r="D467" s="63"/>
      <c r="E467" s="11"/>
      <c r="F467" s="65"/>
      <c r="G467" s="12"/>
      <c r="H467" s="41"/>
      <c r="I467" s="30"/>
      <c r="J467" s="30"/>
      <c r="K467" s="97"/>
      <c r="L467" s="11"/>
      <c r="M467" s="11"/>
      <c r="N467" s="11"/>
      <c r="O467" s="11"/>
      <c r="P467" s="82"/>
    </row>
    <row r="468" spans="2:16" s="9" customFormat="1" x14ac:dyDescent="0.2">
      <c r="B468" s="10"/>
      <c r="C468" s="11"/>
      <c r="D468" s="63"/>
      <c r="E468" s="11"/>
      <c r="F468" s="65"/>
      <c r="G468" s="12"/>
      <c r="H468" s="41"/>
      <c r="I468" s="30"/>
      <c r="J468" s="30"/>
      <c r="K468" s="97"/>
      <c r="L468" s="11"/>
      <c r="M468" s="11"/>
      <c r="N468" s="11"/>
      <c r="O468" s="11"/>
      <c r="P468" s="82"/>
    </row>
    <row r="469" spans="2:16" s="9" customFormat="1" x14ac:dyDescent="0.2">
      <c r="B469" s="10"/>
      <c r="C469" s="11"/>
      <c r="D469" s="63"/>
      <c r="E469" s="11"/>
      <c r="F469" s="65"/>
      <c r="G469" s="12"/>
      <c r="H469" s="41"/>
      <c r="I469" s="30"/>
      <c r="J469" s="30"/>
      <c r="K469" s="97"/>
      <c r="L469" s="11"/>
      <c r="M469" s="11"/>
      <c r="N469" s="11"/>
      <c r="O469" s="11"/>
      <c r="P469" s="82"/>
    </row>
    <row r="470" spans="2:16" s="9" customFormat="1" x14ac:dyDescent="0.2">
      <c r="B470" s="10"/>
      <c r="C470" s="11"/>
      <c r="D470" s="63"/>
      <c r="E470" s="11"/>
      <c r="F470" s="65"/>
      <c r="G470" s="12"/>
      <c r="H470" s="41"/>
      <c r="I470" s="30"/>
      <c r="J470" s="30"/>
      <c r="K470" s="97"/>
      <c r="L470" s="11"/>
      <c r="M470" s="11"/>
      <c r="N470" s="11"/>
      <c r="O470" s="11"/>
      <c r="P470" s="82"/>
    </row>
    <row r="471" spans="2:16" s="9" customFormat="1" x14ac:dyDescent="0.2">
      <c r="B471" s="10"/>
      <c r="C471" s="11"/>
      <c r="D471" s="63"/>
      <c r="E471" s="11"/>
      <c r="F471" s="65"/>
      <c r="G471" s="12"/>
      <c r="H471" s="41"/>
      <c r="I471" s="30"/>
      <c r="J471" s="30"/>
      <c r="K471" s="97"/>
      <c r="L471" s="11"/>
      <c r="M471" s="11"/>
      <c r="N471" s="11"/>
      <c r="O471" s="11"/>
      <c r="P471" s="82"/>
    </row>
    <row r="472" spans="2:16" s="9" customFormat="1" x14ac:dyDescent="0.2">
      <c r="B472" s="10"/>
      <c r="C472" s="11"/>
      <c r="D472" s="63"/>
      <c r="E472" s="11"/>
      <c r="F472" s="65"/>
      <c r="G472" s="12"/>
      <c r="H472" s="41"/>
      <c r="I472" s="30"/>
      <c r="J472" s="30"/>
      <c r="K472" s="97"/>
      <c r="L472" s="11"/>
      <c r="M472" s="11"/>
      <c r="N472" s="11"/>
      <c r="O472" s="11"/>
      <c r="P472" s="82"/>
    </row>
    <row r="473" spans="2:16" s="9" customFormat="1" x14ac:dyDescent="0.2">
      <c r="B473" s="10"/>
      <c r="C473" s="11"/>
      <c r="D473" s="63"/>
      <c r="E473" s="11"/>
      <c r="F473" s="65"/>
      <c r="G473" s="12"/>
      <c r="H473" s="41"/>
      <c r="I473" s="30"/>
      <c r="J473" s="30"/>
      <c r="K473" s="97"/>
      <c r="L473" s="11"/>
      <c r="M473" s="11"/>
      <c r="N473" s="11"/>
      <c r="O473" s="11"/>
      <c r="P473" s="82"/>
    </row>
    <row r="474" spans="2:16" s="9" customFormat="1" x14ac:dyDescent="0.2">
      <c r="B474" s="10"/>
      <c r="C474" s="11"/>
      <c r="D474" s="63"/>
      <c r="E474" s="11"/>
      <c r="F474" s="65"/>
      <c r="G474" s="12"/>
      <c r="H474" s="41"/>
      <c r="I474" s="30"/>
      <c r="J474" s="30"/>
      <c r="K474" s="97"/>
      <c r="L474" s="11"/>
      <c r="M474" s="11"/>
      <c r="N474" s="11"/>
      <c r="O474" s="11"/>
      <c r="P474" s="82"/>
    </row>
    <row r="475" spans="2:16" s="9" customFormat="1" x14ac:dyDescent="0.2">
      <c r="B475" s="10"/>
      <c r="C475" s="11"/>
      <c r="D475" s="63"/>
      <c r="E475" s="11"/>
      <c r="F475" s="65"/>
      <c r="G475" s="12"/>
      <c r="H475" s="41"/>
      <c r="I475" s="30"/>
      <c r="J475" s="30"/>
      <c r="K475" s="97"/>
      <c r="L475" s="11"/>
      <c r="M475" s="11"/>
      <c r="N475" s="11"/>
      <c r="O475" s="11"/>
      <c r="P475" s="82"/>
    </row>
    <row r="476" spans="2:16" s="9" customFormat="1" x14ac:dyDescent="0.2">
      <c r="B476" s="10"/>
      <c r="C476" s="11"/>
      <c r="D476" s="63"/>
      <c r="E476" s="11"/>
      <c r="F476" s="65"/>
      <c r="G476" s="12"/>
      <c r="H476" s="41"/>
      <c r="I476" s="30"/>
      <c r="J476" s="30"/>
      <c r="K476" s="97"/>
      <c r="L476" s="11"/>
      <c r="M476" s="11"/>
      <c r="N476" s="11"/>
      <c r="O476" s="11"/>
      <c r="P476" s="82"/>
    </row>
    <row r="477" spans="2:16" s="9" customFormat="1" x14ac:dyDescent="0.2">
      <c r="B477" s="10"/>
      <c r="C477" s="11"/>
      <c r="D477" s="63"/>
      <c r="E477" s="11"/>
      <c r="F477" s="65"/>
      <c r="G477" s="12"/>
      <c r="H477" s="41"/>
      <c r="I477" s="30"/>
      <c r="J477" s="30"/>
      <c r="K477" s="97"/>
      <c r="L477" s="11"/>
      <c r="M477" s="11"/>
      <c r="N477" s="11"/>
      <c r="O477" s="11"/>
      <c r="P477" s="82"/>
    </row>
    <row r="478" spans="2:16" s="9" customFormat="1" x14ac:dyDescent="0.2">
      <c r="B478" s="10"/>
      <c r="C478" s="11"/>
      <c r="D478" s="63"/>
      <c r="E478" s="11"/>
      <c r="F478" s="65"/>
      <c r="G478" s="12"/>
      <c r="H478" s="41"/>
      <c r="I478" s="30"/>
      <c r="J478" s="30"/>
      <c r="K478" s="97"/>
      <c r="L478" s="11"/>
      <c r="M478" s="11"/>
      <c r="N478" s="11"/>
      <c r="O478" s="11"/>
      <c r="P478" s="82"/>
    </row>
    <row r="479" spans="2:16" s="9" customFormat="1" x14ac:dyDescent="0.2">
      <c r="B479" s="10"/>
      <c r="C479" s="11"/>
      <c r="D479" s="63"/>
      <c r="E479" s="11"/>
      <c r="F479" s="65"/>
      <c r="G479" s="12"/>
      <c r="H479" s="41"/>
      <c r="I479" s="30"/>
      <c r="J479" s="30"/>
      <c r="K479" s="97"/>
      <c r="L479" s="11"/>
      <c r="M479" s="11"/>
      <c r="N479" s="11"/>
      <c r="O479" s="11"/>
      <c r="P479" s="82"/>
    </row>
    <row r="480" spans="2:16" s="9" customFormat="1" x14ac:dyDescent="0.2">
      <c r="B480" s="10"/>
      <c r="C480" s="11"/>
      <c r="D480" s="63"/>
      <c r="E480" s="11"/>
      <c r="F480" s="65"/>
      <c r="G480" s="12"/>
      <c r="H480" s="41"/>
      <c r="I480" s="30"/>
      <c r="J480" s="30"/>
      <c r="K480" s="97"/>
      <c r="L480" s="11"/>
      <c r="M480" s="11"/>
      <c r="N480" s="11"/>
      <c r="O480" s="11"/>
      <c r="P480" s="82"/>
    </row>
    <row r="481" spans="2:16" s="9" customFormat="1" x14ac:dyDescent="0.2">
      <c r="B481" s="10"/>
      <c r="C481" s="11"/>
      <c r="D481" s="63"/>
      <c r="E481" s="11"/>
      <c r="F481" s="65"/>
      <c r="G481" s="12"/>
      <c r="H481" s="41"/>
      <c r="I481" s="30"/>
      <c r="J481" s="30"/>
      <c r="K481" s="97"/>
      <c r="L481" s="11"/>
      <c r="M481" s="11"/>
      <c r="N481" s="11"/>
      <c r="O481" s="11"/>
      <c r="P481" s="82"/>
    </row>
    <row r="482" spans="2:16" s="9" customFormat="1" x14ac:dyDescent="0.2">
      <c r="B482" s="10"/>
      <c r="C482" s="11"/>
      <c r="D482" s="63"/>
      <c r="E482" s="11"/>
      <c r="F482" s="65"/>
      <c r="G482" s="12"/>
      <c r="H482" s="41"/>
      <c r="I482" s="30"/>
      <c r="J482" s="30"/>
      <c r="K482" s="97"/>
      <c r="L482" s="11"/>
      <c r="M482" s="11"/>
      <c r="N482" s="11"/>
      <c r="O482" s="11"/>
      <c r="P482" s="82"/>
    </row>
    <row r="483" spans="2:16" s="9" customFormat="1" x14ac:dyDescent="0.2">
      <c r="B483" s="10"/>
      <c r="C483" s="11"/>
      <c r="D483" s="63"/>
      <c r="E483" s="11"/>
      <c r="F483" s="65"/>
      <c r="G483" s="12"/>
      <c r="H483" s="41"/>
      <c r="I483" s="30"/>
      <c r="J483" s="30"/>
      <c r="K483" s="97"/>
      <c r="L483" s="11"/>
      <c r="M483" s="11"/>
      <c r="N483" s="11"/>
      <c r="O483" s="11"/>
      <c r="P483" s="82"/>
    </row>
    <row r="484" spans="2:16" s="9" customFormat="1" x14ac:dyDescent="0.2">
      <c r="B484" s="10"/>
      <c r="C484" s="11"/>
      <c r="D484" s="63"/>
      <c r="E484" s="11"/>
      <c r="F484" s="65"/>
      <c r="G484" s="12"/>
      <c r="H484" s="41"/>
      <c r="I484" s="30"/>
      <c r="J484" s="30"/>
      <c r="K484" s="97"/>
      <c r="L484" s="11"/>
      <c r="M484" s="11"/>
      <c r="N484" s="11"/>
      <c r="O484" s="11"/>
      <c r="P484" s="82"/>
    </row>
    <row r="485" spans="2:16" s="9" customFormat="1" x14ac:dyDescent="0.2">
      <c r="B485" s="10"/>
      <c r="C485" s="11"/>
      <c r="D485" s="63"/>
      <c r="E485" s="11"/>
      <c r="F485" s="65"/>
      <c r="G485" s="12"/>
      <c r="H485" s="41"/>
      <c r="I485" s="30"/>
      <c r="J485" s="30"/>
      <c r="K485" s="97"/>
      <c r="L485" s="11"/>
      <c r="M485" s="11"/>
      <c r="N485" s="11"/>
      <c r="O485" s="11"/>
      <c r="P485" s="82"/>
    </row>
    <row r="486" spans="2:16" s="9" customFormat="1" x14ac:dyDescent="0.2">
      <c r="B486" s="10"/>
      <c r="C486" s="11"/>
      <c r="D486" s="63"/>
      <c r="E486" s="11"/>
      <c r="F486" s="65"/>
      <c r="G486" s="12"/>
      <c r="H486" s="41"/>
      <c r="I486" s="30"/>
      <c r="J486" s="30"/>
      <c r="K486" s="97"/>
      <c r="L486" s="11"/>
      <c r="M486" s="11"/>
      <c r="N486" s="11"/>
      <c r="O486" s="11"/>
      <c r="P486" s="82"/>
    </row>
    <row r="487" spans="2:16" s="9" customFormat="1" x14ac:dyDescent="0.2">
      <c r="B487" s="10"/>
      <c r="C487" s="11"/>
      <c r="D487" s="63"/>
      <c r="E487" s="11"/>
      <c r="F487" s="65"/>
      <c r="G487" s="12"/>
      <c r="H487" s="41"/>
      <c r="I487" s="30"/>
      <c r="J487" s="30"/>
      <c r="K487" s="97"/>
      <c r="L487" s="11"/>
      <c r="M487" s="11"/>
      <c r="N487" s="11"/>
      <c r="O487" s="11"/>
      <c r="P487" s="82"/>
    </row>
    <row r="488" spans="2:16" s="9" customFormat="1" x14ac:dyDescent="0.2">
      <c r="B488" s="10"/>
      <c r="C488" s="11"/>
      <c r="D488" s="63"/>
      <c r="E488" s="11"/>
      <c r="F488" s="65"/>
      <c r="G488" s="12"/>
      <c r="H488" s="41"/>
      <c r="I488" s="30"/>
      <c r="J488" s="30"/>
      <c r="K488" s="97"/>
      <c r="L488" s="11"/>
      <c r="M488" s="11"/>
      <c r="N488" s="11"/>
      <c r="O488" s="11"/>
      <c r="P488" s="82"/>
    </row>
    <row r="489" spans="2:16" s="9" customFormat="1" x14ac:dyDescent="0.2">
      <c r="B489" s="10"/>
      <c r="C489" s="11"/>
      <c r="D489" s="63"/>
      <c r="E489" s="11"/>
      <c r="F489" s="65"/>
      <c r="G489" s="12"/>
      <c r="H489" s="41"/>
      <c r="I489" s="30"/>
      <c r="J489" s="30"/>
      <c r="K489" s="97"/>
      <c r="L489" s="11"/>
      <c r="M489" s="11"/>
      <c r="N489" s="11"/>
      <c r="O489" s="11"/>
      <c r="P489" s="82"/>
    </row>
    <row r="490" spans="2:16" s="9" customFormat="1" x14ac:dyDescent="0.2">
      <c r="B490" s="10"/>
      <c r="C490" s="11"/>
      <c r="D490" s="63"/>
      <c r="E490" s="11"/>
      <c r="F490" s="65"/>
      <c r="G490" s="12"/>
      <c r="H490" s="41"/>
      <c r="I490" s="30"/>
      <c r="J490" s="30"/>
      <c r="K490" s="97"/>
      <c r="L490" s="11"/>
      <c r="M490" s="11"/>
      <c r="N490" s="11"/>
      <c r="O490" s="11"/>
      <c r="P490" s="82"/>
    </row>
    <row r="491" spans="2:16" s="9" customFormat="1" x14ac:dyDescent="0.2">
      <c r="B491" s="10"/>
      <c r="C491" s="11"/>
      <c r="D491" s="63"/>
      <c r="E491" s="11"/>
      <c r="F491" s="65"/>
      <c r="G491" s="12"/>
      <c r="H491" s="41"/>
      <c r="I491" s="30"/>
      <c r="J491" s="30"/>
      <c r="K491" s="97"/>
      <c r="L491" s="11"/>
      <c r="M491" s="11"/>
      <c r="N491" s="11"/>
      <c r="O491" s="11"/>
      <c r="P491" s="82"/>
    </row>
    <row r="492" spans="2:16" s="9" customFormat="1" x14ac:dyDescent="0.2">
      <c r="B492" s="10"/>
      <c r="C492" s="11"/>
      <c r="D492" s="63"/>
      <c r="E492" s="11"/>
      <c r="F492" s="65"/>
      <c r="G492" s="12"/>
      <c r="H492" s="41"/>
      <c r="I492" s="30"/>
      <c r="J492" s="30"/>
      <c r="K492" s="97"/>
      <c r="L492" s="11"/>
      <c r="M492" s="11"/>
      <c r="N492" s="11"/>
      <c r="O492" s="11"/>
      <c r="P492" s="82"/>
    </row>
    <row r="493" spans="2:16" s="9" customFormat="1" x14ac:dyDescent="0.2">
      <c r="B493" s="10"/>
      <c r="C493" s="11"/>
      <c r="D493" s="63"/>
      <c r="E493" s="11"/>
      <c r="F493" s="65"/>
      <c r="G493" s="12"/>
      <c r="H493" s="41"/>
      <c r="I493" s="30"/>
      <c r="J493" s="30"/>
      <c r="K493" s="97"/>
      <c r="L493" s="11"/>
      <c r="M493" s="11"/>
      <c r="N493" s="11"/>
      <c r="O493" s="11"/>
      <c r="P493" s="82"/>
    </row>
    <row r="494" spans="2:16" s="9" customFormat="1" x14ac:dyDescent="0.2">
      <c r="B494" s="10"/>
      <c r="C494" s="11"/>
      <c r="D494" s="63"/>
      <c r="E494" s="11"/>
      <c r="F494" s="65"/>
      <c r="G494" s="12"/>
      <c r="H494" s="41"/>
      <c r="I494" s="30"/>
      <c r="J494" s="30"/>
      <c r="K494" s="97"/>
      <c r="L494" s="11"/>
      <c r="M494" s="11"/>
      <c r="N494" s="11"/>
      <c r="O494" s="11"/>
      <c r="P494" s="82"/>
    </row>
    <row r="495" spans="2:16" s="9" customFormat="1" x14ac:dyDescent="0.2">
      <c r="B495" s="10"/>
      <c r="C495" s="11"/>
      <c r="D495" s="63"/>
      <c r="E495" s="11"/>
      <c r="F495" s="65"/>
      <c r="G495" s="12"/>
      <c r="H495" s="41"/>
      <c r="I495" s="30"/>
      <c r="J495" s="30"/>
      <c r="K495" s="97"/>
      <c r="L495" s="11"/>
      <c r="M495" s="11"/>
      <c r="N495" s="11"/>
      <c r="O495" s="11"/>
      <c r="P495" s="82"/>
    </row>
    <row r="496" spans="2:16" s="9" customFormat="1" x14ac:dyDescent="0.2">
      <c r="B496" s="10"/>
      <c r="C496" s="11"/>
      <c r="D496" s="63"/>
      <c r="E496" s="11"/>
      <c r="F496" s="65"/>
      <c r="G496" s="12"/>
      <c r="H496" s="41"/>
      <c r="I496" s="30"/>
      <c r="J496" s="30"/>
      <c r="K496" s="97"/>
      <c r="L496" s="11"/>
      <c r="M496" s="11"/>
      <c r="N496" s="11"/>
      <c r="O496" s="11"/>
      <c r="P496" s="82"/>
    </row>
    <row r="497" spans="2:16" s="9" customFormat="1" x14ac:dyDescent="0.2">
      <c r="B497" s="10"/>
      <c r="C497" s="11"/>
      <c r="D497" s="63"/>
      <c r="E497" s="11"/>
      <c r="F497" s="65"/>
      <c r="G497" s="12"/>
      <c r="H497" s="41"/>
      <c r="I497" s="30"/>
      <c r="J497" s="30"/>
      <c r="K497" s="97"/>
      <c r="L497" s="11"/>
      <c r="M497" s="11"/>
      <c r="N497" s="11"/>
      <c r="O497" s="11"/>
      <c r="P497" s="82"/>
    </row>
    <row r="498" spans="2:16" s="9" customFormat="1" x14ac:dyDescent="0.2">
      <c r="B498" s="10"/>
      <c r="C498" s="11"/>
      <c r="D498" s="63"/>
      <c r="E498" s="11"/>
      <c r="F498" s="65"/>
      <c r="G498" s="12"/>
      <c r="H498" s="41"/>
      <c r="I498" s="30"/>
      <c r="J498" s="30"/>
      <c r="K498" s="97"/>
      <c r="L498" s="11"/>
      <c r="M498" s="11"/>
      <c r="N498" s="11"/>
      <c r="O498" s="11"/>
      <c r="P498" s="82"/>
    </row>
    <row r="499" spans="2:16" s="9" customFormat="1" x14ac:dyDescent="0.2">
      <c r="B499" s="10"/>
      <c r="C499" s="11"/>
      <c r="D499" s="63"/>
      <c r="E499" s="11"/>
      <c r="F499" s="65"/>
      <c r="G499" s="12"/>
      <c r="H499" s="41"/>
      <c r="I499" s="30"/>
      <c r="J499" s="30"/>
      <c r="K499" s="97"/>
      <c r="L499" s="11"/>
      <c r="M499" s="11"/>
      <c r="N499" s="11"/>
      <c r="O499" s="11"/>
      <c r="P499" s="82"/>
    </row>
    <row r="500" spans="2:16" s="9" customFormat="1" x14ac:dyDescent="0.2">
      <c r="B500" s="10"/>
      <c r="C500" s="11"/>
      <c r="D500" s="63"/>
      <c r="E500" s="11"/>
      <c r="F500" s="65"/>
      <c r="G500" s="12"/>
      <c r="H500" s="41"/>
      <c r="I500" s="30"/>
      <c r="J500" s="30"/>
      <c r="K500" s="97"/>
      <c r="L500" s="11"/>
      <c r="M500" s="11"/>
      <c r="N500" s="11"/>
      <c r="O500" s="11"/>
      <c r="P500" s="82"/>
    </row>
    <row r="501" spans="2:16" s="9" customFormat="1" x14ac:dyDescent="0.2">
      <c r="B501" s="10"/>
      <c r="C501" s="11"/>
      <c r="D501" s="63"/>
      <c r="E501" s="11"/>
      <c r="F501" s="65"/>
      <c r="G501" s="12"/>
      <c r="H501" s="41"/>
      <c r="I501" s="30"/>
      <c r="J501" s="30"/>
      <c r="K501" s="97"/>
      <c r="L501" s="11"/>
      <c r="M501" s="11"/>
      <c r="N501" s="11"/>
      <c r="O501" s="11"/>
      <c r="P501" s="82"/>
    </row>
    <row r="502" spans="2:16" s="9" customFormat="1" x14ac:dyDescent="0.2">
      <c r="B502" s="10"/>
      <c r="C502" s="11"/>
      <c r="D502" s="63"/>
      <c r="E502" s="11"/>
      <c r="F502" s="65"/>
      <c r="G502" s="12"/>
      <c r="H502" s="41"/>
      <c r="I502" s="30"/>
      <c r="J502" s="30"/>
      <c r="K502" s="97"/>
      <c r="L502" s="11"/>
      <c r="M502" s="11"/>
      <c r="N502" s="11"/>
      <c r="O502" s="11"/>
      <c r="P502" s="82"/>
    </row>
    <row r="503" spans="2:16" s="9" customFormat="1" x14ac:dyDescent="0.2">
      <c r="B503" s="10"/>
      <c r="C503" s="11"/>
      <c r="D503" s="63"/>
      <c r="E503" s="11"/>
      <c r="F503" s="65"/>
      <c r="G503" s="12"/>
      <c r="H503" s="41"/>
      <c r="I503" s="30"/>
      <c r="J503" s="30"/>
      <c r="K503" s="97"/>
      <c r="L503" s="11"/>
      <c r="M503" s="11"/>
      <c r="N503" s="11"/>
      <c r="O503" s="11"/>
      <c r="P503" s="82"/>
    </row>
    <row r="504" spans="2:16" s="9" customFormat="1" x14ac:dyDescent="0.2">
      <c r="B504" s="10"/>
      <c r="C504" s="11"/>
      <c r="D504" s="63"/>
      <c r="E504" s="11"/>
      <c r="F504" s="65"/>
      <c r="G504" s="12"/>
      <c r="H504" s="41"/>
      <c r="I504" s="30"/>
      <c r="J504" s="30"/>
      <c r="K504" s="97"/>
      <c r="L504" s="11"/>
      <c r="M504" s="11"/>
      <c r="N504" s="11"/>
      <c r="O504" s="11"/>
      <c r="P504" s="82"/>
    </row>
    <row r="505" spans="2:16" s="9" customFormat="1" x14ac:dyDescent="0.2">
      <c r="B505" s="10"/>
      <c r="C505" s="11"/>
      <c r="D505" s="63"/>
      <c r="E505" s="11"/>
      <c r="F505" s="65"/>
      <c r="G505" s="12"/>
      <c r="H505" s="41"/>
      <c r="I505" s="30"/>
      <c r="J505" s="30"/>
      <c r="K505" s="97"/>
      <c r="L505" s="11"/>
      <c r="M505" s="11"/>
      <c r="N505" s="11"/>
      <c r="O505" s="11"/>
      <c r="P505" s="82"/>
    </row>
    <row r="506" spans="2:16" s="9" customFormat="1" x14ac:dyDescent="0.2">
      <c r="B506" s="10"/>
      <c r="C506" s="11"/>
      <c r="D506" s="63"/>
      <c r="E506" s="11"/>
      <c r="F506" s="65"/>
      <c r="G506" s="12"/>
      <c r="H506" s="41"/>
      <c r="I506" s="30"/>
      <c r="J506" s="30"/>
      <c r="K506" s="97"/>
      <c r="L506" s="11"/>
      <c r="M506" s="11"/>
      <c r="N506" s="11"/>
      <c r="O506" s="11"/>
      <c r="P506" s="82"/>
    </row>
    <row r="507" spans="2:16" s="9" customFormat="1" x14ac:dyDescent="0.2">
      <c r="B507" s="10"/>
      <c r="C507" s="11"/>
      <c r="D507" s="63"/>
      <c r="E507" s="11"/>
      <c r="F507" s="65"/>
      <c r="G507" s="12"/>
      <c r="H507" s="41"/>
      <c r="I507" s="30"/>
      <c r="J507" s="30"/>
      <c r="K507" s="97"/>
      <c r="L507" s="11"/>
      <c r="M507" s="11"/>
      <c r="N507" s="11"/>
      <c r="O507" s="11"/>
      <c r="P507" s="82"/>
    </row>
    <row r="508" spans="2:16" s="9" customFormat="1" x14ac:dyDescent="0.2">
      <c r="B508" s="10"/>
      <c r="C508" s="11"/>
      <c r="D508" s="63"/>
      <c r="E508" s="11"/>
      <c r="F508" s="65"/>
      <c r="G508" s="12"/>
      <c r="H508" s="41"/>
      <c r="I508" s="30"/>
      <c r="J508" s="30"/>
      <c r="K508" s="97"/>
      <c r="L508" s="11"/>
      <c r="M508" s="11"/>
      <c r="N508" s="11"/>
      <c r="O508" s="11"/>
      <c r="P508" s="82"/>
    </row>
    <row r="509" spans="2:16" s="9" customFormat="1" x14ac:dyDescent="0.2">
      <c r="B509" s="10"/>
      <c r="C509" s="11"/>
      <c r="D509" s="63"/>
      <c r="E509" s="11"/>
      <c r="F509" s="65"/>
      <c r="G509" s="12"/>
      <c r="H509" s="41"/>
      <c r="I509" s="30"/>
      <c r="J509" s="30"/>
      <c r="K509" s="97"/>
      <c r="L509" s="11"/>
      <c r="M509" s="11"/>
      <c r="N509" s="11"/>
      <c r="O509" s="11"/>
      <c r="P509" s="82"/>
    </row>
    <row r="510" spans="2:16" s="9" customFormat="1" x14ac:dyDescent="0.2">
      <c r="B510" s="10"/>
      <c r="C510" s="11"/>
      <c r="D510" s="63"/>
      <c r="E510" s="11"/>
      <c r="F510" s="65"/>
      <c r="G510" s="12"/>
      <c r="H510" s="41"/>
      <c r="I510" s="30"/>
      <c r="J510" s="30"/>
      <c r="K510" s="97"/>
      <c r="L510" s="11"/>
      <c r="M510" s="11"/>
      <c r="N510" s="11"/>
      <c r="O510" s="11"/>
      <c r="P510" s="82"/>
    </row>
    <row r="511" spans="2:16" s="9" customFormat="1" x14ac:dyDescent="0.2">
      <c r="B511" s="10"/>
      <c r="C511" s="11"/>
      <c r="D511" s="63"/>
      <c r="E511" s="11"/>
      <c r="F511" s="65"/>
      <c r="G511" s="12"/>
      <c r="H511" s="41"/>
      <c r="I511" s="30"/>
      <c r="J511" s="30"/>
      <c r="K511" s="97"/>
      <c r="L511" s="11"/>
      <c r="M511" s="11"/>
      <c r="N511" s="11"/>
      <c r="O511" s="11"/>
      <c r="P511" s="82"/>
    </row>
    <row r="512" spans="2:16" s="9" customFormat="1" x14ac:dyDescent="0.2">
      <c r="B512" s="10"/>
      <c r="C512" s="11"/>
      <c r="D512" s="63"/>
      <c r="E512" s="11"/>
      <c r="F512" s="65"/>
      <c r="G512" s="12"/>
      <c r="H512" s="41"/>
      <c r="I512" s="30"/>
      <c r="J512" s="30"/>
      <c r="K512" s="97"/>
      <c r="L512" s="11"/>
      <c r="M512" s="11"/>
      <c r="N512" s="11"/>
      <c r="O512" s="11"/>
      <c r="P512" s="82"/>
    </row>
    <row r="513" spans="2:16" s="9" customFormat="1" x14ac:dyDescent="0.2">
      <c r="B513" s="10"/>
      <c r="C513" s="11"/>
      <c r="D513" s="63"/>
      <c r="E513" s="11"/>
      <c r="F513" s="65"/>
      <c r="G513" s="12"/>
      <c r="H513" s="41"/>
      <c r="I513" s="30"/>
      <c r="J513" s="30"/>
      <c r="K513" s="97"/>
      <c r="L513" s="11"/>
      <c r="M513" s="11"/>
      <c r="N513" s="11"/>
      <c r="O513" s="11"/>
      <c r="P513" s="82"/>
    </row>
    <row r="514" spans="2:16" s="9" customFormat="1" x14ac:dyDescent="0.2">
      <c r="B514" s="10"/>
      <c r="C514" s="11"/>
      <c r="D514" s="63"/>
      <c r="E514" s="11"/>
      <c r="F514" s="65"/>
      <c r="G514" s="12"/>
      <c r="H514" s="41"/>
      <c r="I514" s="30"/>
      <c r="J514" s="30"/>
      <c r="K514" s="97"/>
      <c r="L514" s="11"/>
      <c r="M514" s="11"/>
      <c r="N514" s="11"/>
      <c r="O514" s="11"/>
      <c r="P514" s="82"/>
    </row>
    <row r="515" spans="2:16" s="9" customFormat="1" x14ac:dyDescent="0.2">
      <c r="B515" s="10"/>
      <c r="C515" s="11"/>
      <c r="D515" s="63"/>
      <c r="E515" s="11"/>
      <c r="F515" s="65"/>
      <c r="G515" s="12"/>
      <c r="H515" s="41"/>
      <c r="I515" s="30"/>
      <c r="J515" s="30"/>
      <c r="K515" s="97"/>
      <c r="L515" s="11"/>
      <c r="M515" s="11"/>
      <c r="N515" s="11"/>
      <c r="O515" s="11"/>
      <c r="P515" s="82"/>
    </row>
    <row r="516" spans="2:16" s="9" customFormat="1" x14ac:dyDescent="0.2">
      <c r="B516" s="10"/>
      <c r="C516" s="11"/>
      <c r="D516" s="63"/>
      <c r="E516" s="11"/>
      <c r="F516" s="65"/>
      <c r="G516" s="12"/>
      <c r="H516" s="41"/>
      <c r="I516" s="30"/>
      <c r="J516" s="30"/>
      <c r="K516" s="97"/>
      <c r="L516" s="11"/>
      <c r="M516" s="11"/>
      <c r="N516" s="11"/>
      <c r="O516" s="11"/>
      <c r="P516" s="82"/>
    </row>
    <row r="517" spans="2:16" s="9" customFormat="1" x14ac:dyDescent="0.2">
      <c r="B517" s="10"/>
      <c r="C517" s="11"/>
      <c r="D517" s="63"/>
      <c r="E517" s="11"/>
      <c r="F517" s="65"/>
      <c r="G517" s="12"/>
      <c r="H517" s="41"/>
      <c r="I517" s="30"/>
      <c r="J517" s="30"/>
      <c r="K517" s="97"/>
      <c r="L517" s="11"/>
      <c r="M517" s="11"/>
      <c r="N517" s="11"/>
      <c r="O517" s="11"/>
      <c r="P517" s="82"/>
    </row>
    <row r="518" spans="2:16" s="9" customFormat="1" x14ac:dyDescent="0.2">
      <c r="B518" s="10"/>
      <c r="C518" s="11"/>
      <c r="D518" s="63"/>
      <c r="E518" s="11"/>
      <c r="F518" s="65"/>
      <c r="G518" s="12"/>
      <c r="H518" s="41"/>
      <c r="I518" s="30"/>
      <c r="J518" s="30"/>
      <c r="K518" s="97"/>
      <c r="L518" s="11"/>
      <c r="M518" s="11"/>
      <c r="N518" s="11"/>
      <c r="O518" s="11"/>
      <c r="P518" s="82"/>
    </row>
    <row r="519" spans="2:16" s="9" customFormat="1" x14ac:dyDescent="0.2">
      <c r="B519" s="10"/>
      <c r="C519" s="11"/>
      <c r="D519" s="63"/>
      <c r="E519" s="11"/>
      <c r="F519" s="65"/>
      <c r="G519" s="12"/>
      <c r="H519" s="41"/>
      <c r="I519" s="30"/>
      <c r="J519" s="30"/>
      <c r="K519" s="97"/>
      <c r="L519" s="11"/>
      <c r="M519" s="11"/>
      <c r="N519" s="11"/>
      <c r="O519" s="11"/>
      <c r="P519" s="82"/>
    </row>
    <row r="520" spans="2:16" s="9" customFormat="1" x14ac:dyDescent="0.2">
      <c r="B520" s="10"/>
      <c r="C520" s="11"/>
      <c r="D520" s="63"/>
      <c r="E520" s="11"/>
      <c r="F520" s="65"/>
      <c r="G520" s="12"/>
      <c r="H520" s="41"/>
      <c r="I520" s="30"/>
      <c r="J520" s="30"/>
      <c r="K520" s="97"/>
      <c r="L520" s="11"/>
      <c r="M520" s="11"/>
      <c r="N520" s="11"/>
      <c r="O520" s="11"/>
      <c r="P520" s="82"/>
    </row>
    <row r="521" spans="2:16" s="9" customFormat="1" x14ac:dyDescent="0.2">
      <c r="B521" s="10"/>
      <c r="C521" s="11"/>
      <c r="D521" s="63"/>
      <c r="E521" s="11"/>
      <c r="F521" s="65"/>
      <c r="G521" s="12"/>
      <c r="H521" s="41"/>
      <c r="I521" s="30"/>
      <c r="J521" s="30"/>
      <c r="K521" s="97"/>
      <c r="L521" s="11"/>
      <c r="M521" s="11"/>
      <c r="N521" s="11"/>
      <c r="O521" s="11"/>
      <c r="P521" s="82"/>
    </row>
    <row r="522" spans="2:16" s="9" customFormat="1" x14ac:dyDescent="0.2">
      <c r="B522" s="10"/>
      <c r="C522" s="11"/>
      <c r="D522" s="63"/>
      <c r="E522" s="11"/>
      <c r="F522" s="65"/>
      <c r="G522" s="12"/>
      <c r="H522" s="41"/>
      <c r="I522" s="30"/>
      <c r="J522" s="30"/>
      <c r="K522" s="97"/>
      <c r="L522" s="11"/>
      <c r="M522" s="11"/>
      <c r="N522" s="11"/>
      <c r="O522" s="11"/>
      <c r="P522" s="82"/>
    </row>
    <row r="523" spans="2:16" s="9" customFormat="1" x14ac:dyDescent="0.2">
      <c r="B523" s="10"/>
      <c r="C523" s="11"/>
      <c r="D523" s="63"/>
      <c r="E523" s="11"/>
      <c r="F523" s="65"/>
      <c r="G523" s="12"/>
      <c r="H523" s="41"/>
      <c r="I523" s="30"/>
      <c r="J523" s="30"/>
      <c r="K523" s="97"/>
      <c r="L523" s="11"/>
      <c r="M523" s="11"/>
      <c r="N523" s="11"/>
      <c r="O523" s="11"/>
      <c r="P523" s="82"/>
    </row>
    <row r="524" spans="2:16" s="9" customFormat="1" x14ac:dyDescent="0.2">
      <c r="B524" s="10"/>
      <c r="C524" s="11"/>
      <c r="D524" s="63"/>
      <c r="E524" s="11"/>
      <c r="F524" s="65"/>
      <c r="G524" s="12"/>
      <c r="H524" s="41"/>
      <c r="I524" s="30"/>
      <c r="J524" s="30"/>
      <c r="K524" s="97"/>
      <c r="L524" s="11"/>
      <c r="M524" s="11"/>
      <c r="N524" s="11"/>
      <c r="O524" s="11"/>
      <c r="P524" s="82"/>
    </row>
    <row r="525" spans="2:16" s="9" customFormat="1" x14ac:dyDescent="0.2">
      <c r="B525" s="10"/>
      <c r="C525" s="11"/>
      <c r="D525" s="63"/>
      <c r="E525" s="11"/>
      <c r="F525" s="65"/>
      <c r="G525" s="12"/>
      <c r="H525" s="41"/>
      <c r="I525" s="30"/>
      <c r="J525" s="30"/>
      <c r="K525" s="97"/>
      <c r="L525" s="11"/>
      <c r="M525" s="11"/>
      <c r="N525" s="11"/>
      <c r="O525" s="11"/>
      <c r="P525" s="82"/>
    </row>
    <row r="526" spans="2:16" s="9" customFormat="1" x14ac:dyDescent="0.2">
      <c r="B526" s="10"/>
      <c r="C526" s="11"/>
      <c r="D526" s="63"/>
      <c r="E526" s="11"/>
      <c r="F526" s="65"/>
      <c r="G526" s="12"/>
      <c r="H526" s="41"/>
      <c r="I526" s="30"/>
      <c r="J526" s="30"/>
      <c r="K526" s="97"/>
      <c r="L526" s="11"/>
      <c r="M526" s="11"/>
      <c r="N526" s="11"/>
      <c r="O526" s="11"/>
      <c r="P526" s="82"/>
    </row>
    <row r="527" spans="2:16" s="9" customFormat="1" x14ac:dyDescent="0.2">
      <c r="B527" s="10"/>
      <c r="C527" s="11"/>
      <c r="D527" s="63"/>
      <c r="E527" s="11"/>
      <c r="F527" s="65"/>
      <c r="G527" s="12"/>
      <c r="H527" s="41"/>
      <c r="I527" s="30"/>
      <c r="J527" s="30"/>
      <c r="K527" s="97"/>
      <c r="L527" s="11"/>
      <c r="M527" s="11"/>
      <c r="N527" s="11"/>
      <c r="O527" s="11"/>
      <c r="P527" s="82"/>
    </row>
    <row r="528" spans="2:16" s="9" customFormat="1" x14ac:dyDescent="0.2">
      <c r="B528" s="10"/>
      <c r="C528" s="11"/>
      <c r="D528" s="63"/>
      <c r="E528" s="11"/>
      <c r="F528" s="65"/>
      <c r="G528" s="12"/>
      <c r="H528" s="41"/>
      <c r="I528" s="30"/>
      <c r="J528" s="30"/>
      <c r="K528" s="97"/>
      <c r="L528" s="11"/>
      <c r="M528" s="11"/>
      <c r="N528" s="11"/>
      <c r="O528" s="11"/>
      <c r="P528" s="82"/>
    </row>
    <row r="529" spans="2:16" s="9" customFormat="1" x14ac:dyDescent="0.2">
      <c r="B529" s="10"/>
      <c r="C529" s="11"/>
      <c r="D529" s="63"/>
      <c r="E529" s="11"/>
      <c r="F529" s="65"/>
      <c r="G529" s="12"/>
      <c r="H529" s="41"/>
      <c r="I529" s="30"/>
      <c r="J529" s="30"/>
      <c r="K529" s="97"/>
      <c r="L529" s="11"/>
      <c r="M529" s="11"/>
      <c r="N529" s="11"/>
      <c r="O529" s="11"/>
      <c r="P529" s="82"/>
    </row>
    <row r="530" spans="2:16" s="9" customFormat="1" x14ac:dyDescent="0.2">
      <c r="B530" s="10"/>
      <c r="C530" s="11"/>
      <c r="D530" s="63"/>
      <c r="E530" s="11"/>
      <c r="F530" s="65"/>
      <c r="G530" s="12"/>
      <c r="H530" s="41"/>
      <c r="I530" s="30"/>
      <c r="J530" s="30"/>
      <c r="K530" s="97"/>
      <c r="L530" s="11"/>
      <c r="M530" s="11"/>
      <c r="N530" s="11"/>
      <c r="O530" s="11"/>
      <c r="P530" s="82"/>
    </row>
    <row r="531" spans="2:16" s="9" customFormat="1" x14ac:dyDescent="0.2">
      <c r="B531" s="10"/>
      <c r="C531" s="11"/>
      <c r="D531" s="63"/>
      <c r="E531" s="11"/>
      <c r="F531" s="65"/>
      <c r="G531" s="12"/>
      <c r="H531" s="41"/>
      <c r="I531" s="30"/>
      <c r="J531" s="30"/>
      <c r="K531" s="97"/>
      <c r="L531" s="11"/>
      <c r="M531" s="11"/>
      <c r="N531" s="11"/>
      <c r="O531" s="11"/>
      <c r="P531" s="82"/>
    </row>
    <row r="532" spans="2:16" s="9" customFormat="1" x14ac:dyDescent="0.2">
      <c r="B532" s="10"/>
      <c r="C532" s="11"/>
      <c r="D532" s="63"/>
      <c r="E532" s="11"/>
      <c r="F532" s="65"/>
      <c r="G532" s="12"/>
      <c r="H532" s="41"/>
      <c r="I532" s="30"/>
      <c r="J532" s="30"/>
      <c r="K532" s="97"/>
      <c r="L532" s="11"/>
      <c r="M532" s="11"/>
      <c r="N532" s="11"/>
      <c r="O532" s="11"/>
      <c r="P532" s="82"/>
    </row>
    <row r="533" spans="2:16" s="9" customFormat="1" x14ac:dyDescent="0.2">
      <c r="B533" s="10"/>
      <c r="C533" s="11"/>
      <c r="D533" s="63"/>
      <c r="E533" s="11"/>
      <c r="F533" s="65"/>
      <c r="G533" s="12"/>
      <c r="H533" s="41"/>
      <c r="I533" s="30"/>
      <c r="J533" s="30"/>
      <c r="K533" s="97"/>
      <c r="L533" s="11"/>
      <c r="M533" s="11"/>
      <c r="N533" s="11"/>
      <c r="O533" s="11"/>
      <c r="P533" s="82"/>
    </row>
    <row r="534" spans="2:16" s="9" customFormat="1" x14ac:dyDescent="0.2">
      <c r="B534" s="10"/>
      <c r="C534" s="11"/>
      <c r="D534" s="63"/>
      <c r="E534" s="11"/>
      <c r="F534" s="65"/>
      <c r="G534" s="12"/>
      <c r="H534" s="41"/>
      <c r="I534" s="30"/>
      <c r="J534" s="30"/>
      <c r="K534" s="97"/>
      <c r="L534" s="11"/>
      <c r="M534" s="11"/>
      <c r="N534" s="11"/>
      <c r="O534" s="11"/>
      <c r="P534" s="82"/>
    </row>
    <row r="535" spans="2:16" s="9" customFormat="1" x14ac:dyDescent="0.2">
      <c r="B535" s="10"/>
      <c r="C535" s="11"/>
      <c r="D535" s="63"/>
      <c r="E535" s="11"/>
      <c r="F535" s="65"/>
      <c r="G535" s="12"/>
      <c r="H535" s="41"/>
      <c r="I535" s="30"/>
      <c r="J535" s="30"/>
      <c r="K535" s="97"/>
      <c r="L535" s="11"/>
      <c r="M535" s="11"/>
      <c r="N535" s="11"/>
      <c r="O535" s="11"/>
      <c r="P535" s="82"/>
    </row>
    <row r="536" spans="2:16" s="9" customFormat="1" x14ac:dyDescent="0.2">
      <c r="B536" s="10"/>
      <c r="C536" s="11"/>
      <c r="D536" s="63"/>
      <c r="E536" s="11"/>
      <c r="F536" s="65"/>
      <c r="G536" s="12"/>
      <c r="H536" s="41"/>
      <c r="I536" s="30"/>
      <c r="J536" s="30"/>
      <c r="K536" s="97"/>
      <c r="L536" s="11"/>
      <c r="M536" s="11"/>
      <c r="N536" s="11"/>
      <c r="O536" s="11"/>
      <c r="P536" s="82"/>
    </row>
    <row r="537" spans="2:16" s="9" customFormat="1" x14ac:dyDescent="0.2">
      <c r="B537" s="10"/>
      <c r="C537" s="11"/>
      <c r="D537" s="63"/>
      <c r="E537" s="11"/>
      <c r="F537" s="65"/>
      <c r="G537" s="12"/>
      <c r="H537" s="41"/>
      <c r="I537" s="30"/>
      <c r="J537" s="30"/>
      <c r="K537" s="97"/>
      <c r="L537" s="11"/>
      <c r="M537" s="11"/>
      <c r="N537" s="11"/>
      <c r="O537" s="11"/>
      <c r="P537" s="82"/>
    </row>
    <row r="538" spans="2:16" s="9" customFormat="1" x14ac:dyDescent="0.2">
      <c r="B538" s="10"/>
      <c r="C538" s="11"/>
      <c r="D538" s="63"/>
      <c r="E538" s="11"/>
      <c r="F538" s="65"/>
      <c r="G538" s="12"/>
      <c r="H538" s="41"/>
      <c r="I538" s="30"/>
      <c r="J538" s="30"/>
      <c r="K538" s="97"/>
      <c r="L538" s="11"/>
      <c r="M538" s="11"/>
      <c r="N538" s="11"/>
      <c r="O538" s="11"/>
      <c r="P538" s="82"/>
    </row>
    <row r="539" spans="2:16" s="9" customFormat="1" x14ac:dyDescent="0.2">
      <c r="B539" s="10"/>
      <c r="C539" s="11"/>
      <c r="D539" s="63"/>
      <c r="E539" s="11"/>
      <c r="F539" s="65"/>
      <c r="G539" s="12"/>
      <c r="H539" s="41"/>
      <c r="I539" s="30"/>
      <c r="J539" s="30"/>
      <c r="K539" s="97"/>
      <c r="L539" s="11"/>
      <c r="M539" s="11"/>
      <c r="N539" s="11"/>
      <c r="O539" s="11"/>
      <c r="P539" s="82"/>
    </row>
    <row r="540" spans="2:16" s="9" customFormat="1" x14ac:dyDescent="0.2">
      <c r="B540" s="10"/>
      <c r="C540" s="11"/>
      <c r="D540" s="63"/>
      <c r="E540" s="11"/>
      <c r="F540" s="65"/>
      <c r="G540" s="12"/>
      <c r="H540" s="41"/>
      <c r="I540" s="30"/>
      <c r="J540" s="30"/>
      <c r="K540" s="97"/>
      <c r="L540" s="11"/>
      <c r="M540" s="11"/>
      <c r="N540" s="11"/>
      <c r="O540" s="11"/>
      <c r="P540" s="82"/>
    </row>
    <row r="541" spans="2:16" s="9" customFormat="1" x14ac:dyDescent="0.2">
      <c r="B541" s="10"/>
      <c r="C541" s="11"/>
      <c r="D541" s="63"/>
      <c r="E541" s="11"/>
      <c r="F541" s="65"/>
      <c r="G541" s="12"/>
      <c r="H541" s="41"/>
      <c r="I541" s="30"/>
      <c r="J541" s="30"/>
      <c r="K541" s="97"/>
      <c r="L541" s="11"/>
      <c r="M541" s="11"/>
      <c r="N541" s="11"/>
      <c r="O541" s="11"/>
      <c r="P541" s="82"/>
    </row>
    <row r="542" spans="2:16" s="9" customFormat="1" x14ac:dyDescent="0.2">
      <c r="B542" s="10"/>
      <c r="C542" s="11"/>
      <c r="D542" s="63"/>
      <c r="E542" s="11"/>
      <c r="F542" s="65"/>
      <c r="G542" s="12"/>
      <c r="H542" s="41"/>
      <c r="I542" s="30"/>
      <c r="J542" s="30"/>
      <c r="K542" s="97"/>
      <c r="L542" s="11"/>
      <c r="M542" s="11"/>
      <c r="N542" s="11"/>
      <c r="O542" s="11"/>
      <c r="P542" s="82"/>
    </row>
    <row r="543" spans="2:16" s="9" customFormat="1" x14ac:dyDescent="0.2">
      <c r="B543" s="10"/>
      <c r="C543" s="11"/>
      <c r="D543" s="63"/>
      <c r="E543" s="11"/>
      <c r="F543" s="65"/>
      <c r="G543" s="12"/>
      <c r="H543" s="41"/>
      <c r="I543" s="30"/>
      <c r="J543" s="30"/>
      <c r="K543" s="97"/>
      <c r="L543" s="11"/>
      <c r="M543" s="11"/>
      <c r="N543" s="11"/>
      <c r="O543" s="11"/>
      <c r="P543" s="82"/>
    </row>
    <row r="544" spans="2:16" s="9" customFormat="1" x14ac:dyDescent="0.2">
      <c r="B544" s="10"/>
      <c r="C544" s="11"/>
      <c r="D544" s="63"/>
      <c r="E544" s="11"/>
      <c r="F544" s="65"/>
      <c r="G544" s="12"/>
      <c r="H544" s="41"/>
      <c r="I544" s="30"/>
      <c r="J544" s="30"/>
      <c r="K544" s="97"/>
      <c r="L544" s="11"/>
      <c r="M544" s="11"/>
      <c r="N544" s="11"/>
      <c r="O544" s="11"/>
      <c r="P544" s="82"/>
    </row>
    <row r="545" spans="2:16" s="9" customFormat="1" x14ac:dyDescent="0.2">
      <c r="B545" s="10"/>
      <c r="C545" s="11"/>
      <c r="D545" s="63"/>
      <c r="E545" s="11"/>
      <c r="F545" s="65"/>
      <c r="G545" s="12"/>
      <c r="H545" s="41"/>
      <c r="I545" s="30"/>
      <c r="J545" s="30"/>
      <c r="K545" s="97"/>
      <c r="L545" s="11"/>
      <c r="M545" s="11"/>
      <c r="N545" s="11"/>
      <c r="O545" s="11"/>
      <c r="P545" s="82"/>
    </row>
    <row r="546" spans="2:16" s="9" customFormat="1" x14ac:dyDescent="0.2">
      <c r="B546" s="10"/>
      <c r="C546" s="11"/>
      <c r="D546" s="63"/>
      <c r="E546" s="11"/>
      <c r="F546" s="65"/>
      <c r="G546" s="12"/>
      <c r="H546" s="41"/>
      <c r="I546" s="30"/>
      <c r="J546" s="30"/>
      <c r="K546" s="97"/>
      <c r="L546" s="11"/>
      <c r="M546" s="11"/>
      <c r="N546" s="11"/>
      <c r="O546" s="11"/>
      <c r="P546" s="82"/>
    </row>
    <row r="547" spans="2:16" s="9" customFormat="1" x14ac:dyDescent="0.2">
      <c r="B547" s="10"/>
      <c r="C547" s="11"/>
      <c r="D547" s="63"/>
      <c r="E547" s="11"/>
      <c r="F547" s="65"/>
      <c r="G547" s="12"/>
      <c r="H547" s="41"/>
      <c r="I547" s="30"/>
      <c r="J547" s="30"/>
      <c r="K547" s="97"/>
      <c r="L547" s="11"/>
      <c r="M547" s="11"/>
      <c r="N547" s="11"/>
      <c r="O547" s="11"/>
      <c r="P547" s="82"/>
    </row>
    <row r="548" spans="2:16" s="9" customFormat="1" x14ac:dyDescent="0.2">
      <c r="B548" s="10"/>
      <c r="C548" s="11"/>
      <c r="D548" s="63"/>
      <c r="E548" s="11"/>
      <c r="F548" s="65"/>
      <c r="G548" s="12"/>
      <c r="H548" s="41"/>
      <c r="I548" s="30"/>
      <c r="J548" s="30"/>
      <c r="K548" s="97"/>
      <c r="L548" s="11"/>
      <c r="M548" s="11"/>
      <c r="N548" s="11"/>
      <c r="O548" s="11"/>
      <c r="P548" s="82"/>
    </row>
    <row r="549" spans="2:16" s="9" customFormat="1" x14ac:dyDescent="0.2">
      <c r="B549" s="10"/>
      <c r="C549" s="11"/>
      <c r="D549" s="63"/>
      <c r="E549" s="11"/>
      <c r="F549" s="65"/>
      <c r="G549" s="12"/>
      <c r="H549" s="41"/>
      <c r="I549" s="30"/>
      <c r="J549" s="30"/>
      <c r="K549" s="97"/>
      <c r="L549" s="11"/>
      <c r="M549" s="11"/>
      <c r="N549" s="11"/>
      <c r="O549" s="11"/>
      <c r="P549" s="82"/>
    </row>
    <row r="550" spans="2:16" s="9" customFormat="1" x14ac:dyDescent="0.2">
      <c r="B550" s="10"/>
      <c r="C550" s="11"/>
      <c r="D550" s="63"/>
      <c r="E550" s="11"/>
      <c r="F550" s="65"/>
      <c r="G550" s="12"/>
      <c r="H550" s="41"/>
      <c r="I550" s="30"/>
      <c r="J550" s="30"/>
      <c r="K550" s="97"/>
      <c r="L550" s="11"/>
      <c r="M550" s="11"/>
      <c r="N550" s="11"/>
      <c r="O550" s="11"/>
      <c r="P550" s="82"/>
    </row>
    <row r="551" spans="2:16" s="9" customFormat="1" x14ac:dyDescent="0.2">
      <c r="B551" s="10"/>
      <c r="C551" s="11"/>
      <c r="D551" s="63"/>
      <c r="E551" s="11"/>
      <c r="F551" s="65"/>
      <c r="G551" s="12"/>
      <c r="H551" s="41"/>
      <c r="I551" s="30"/>
      <c r="J551" s="30"/>
      <c r="K551" s="97"/>
      <c r="L551" s="11"/>
      <c r="M551" s="11"/>
      <c r="N551" s="11"/>
      <c r="O551" s="11"/>
      <c r="P551" s="82"/>
    </row>
    <row r="552" spans="2:16" s="9" customFormat="1" x14ac:dyDescent="0.2">
      <c r="B552" s="10"/>
      <c r="C552" s="11"/>
      <c r="D552" s="63"/>
      <c r="E552" s="11"/>
      <c r="F552" s="65"/>
      <c r="G552" s="12"/>
      <c r="H552" s="41"/>
      <c r="I552" s="30"/>
      <c r="J552" s="30"/>
      <c r="K552" s="97"/>
      <c r="L552" s="11"/>
      <c r="M552" s="11"/>
      <c r="N552" s="11"/>
      <c r="O552" s="11"/>
      <c r="P552" s="82"/>
    </row>
    <row r="553" spans="2:16" s="9" customFormat="1" x14ac:dyDescent="0.2">
      <c r="B553" s="10"/>
      <c r="C553" s="11"/>
      <c r="D553" s="63"/>
      <c r="E553" s="11"/>
      <c r="F553" s="65"/>
      <c r="G553" s="12"/>
      <c r="H553" s="41"/>
      <c r="I553" s="30"/>
      <c r="J553" s="30"/>
      <c r="K553" s="97"/>
      <c r="L553" s="11"/>
      <c r="M553" s="11"/>
      <c r="N553" s="11"/>
      <c r="O553" s="11"/>
      <c r="P553" s="82"/>
    </row>
    <row r="554" spans="2:16" s="9" customFormat="1" x14ac:dyDescent="0.2">
      <c r="B554" s="10"/>
      <c r="C554" s="11"/>
      <c r="D554" s="63"/>
      <c r="E554" s="11"/>
      <c r="F554" s="65"/>
      <c r="G554" s="12"/>
      <c r="H554" s="41"/>
      <c r="I554" s="30"/>
      <c r="J554" s="30"/>
      <c r="K554" s="97"/>
      <c r="L554" s="11"/>
      <c r="M554" s="11"/>
      <c r="N554" s="11"/>
      <c r="O554" s="11"/>
      <c r="P554" s="82"/>
    </row>
    <row r="555" spans="2:16" s="9" customFormat="1" x14ac:dyDescent="0.2">
      <c r="B555" s="10"/>
      <c r="C555" s="11"/>
      <c r="D555" s="63"/>
      <c r="E555" s="11"/>
      <c r="F555" s="65"/>
      <c r="G555" s="12"/>
      <c r="H555" s="41"/>
      <c r="I555" s="30"/>
      <c r="J555" s="30"/>
      <c r="K555" s="97"/>
      <c r="L555" s="11"/>
      <c r="M555" s="11"/>
      <c r="N555" s="11"/>
      <c r="O555" s="11"/>
      <c r="P555" s="82"/>
    </row>
    <row r="556" spans="2:16" s="9" customFormat="1" x14ac:dyDescent="0.2">
      <c r="B556" s="10"/>
      <c r="C556" s="11"/>
      <c r="D556" s="63"/>
      <c r="E556" s="11"/>
      <c r="F556" s="65"/>
      <c r="G556" s="12"/>
      <c r="H556" s="41"/>
      <c r="I556" s="30"/>
      <c r="J556" s="30"/>
      <c r="K556" s="97"/>
      <c r="L556" s="11"/>
      <c r="M556" s="11"/>
      <c r="N556" s="11"/>
      <c r="O556" s="11"/>
      <c r="P556" s="82"/>
    </row>
    <row r="557" spans="2:16" s="9" customFormat="1" x14ac:dyDescent="0.2">
      <c r="B557" s="10"/>
      <c r="C557" s="11"/>
      <c r="D557" s="63"/>
      <c r="E557" s="11"/>
      <c r="F557" s="65"/>
      <c r="G557" s="12"/>
      <c r="H557" s="41"/>
      <c r="I557" s="30"/>
      <c r="J557" s="30"/>
      <c r="K557" s="97"/>
      <c r="L557" s="11"/>
      <c r="M557" s="11"/>
      <c r="N557" s="11"/>
      <c r="O557" s="11"/>
      <c r="P557" s="82"/>
    </row>
    <row r="558" spans="2:16" s="9" customFormat="1" x14ac:dyDescent="0.2">
      <c r="B558" s="10"/>
      <c r="C558" s="11"/>
      <c r="D558" s="63"/>
      <c r="E558" s="11"/>
      <c r="F558" s="65"/>
      <c r="G558" s="12"/>
      <c r="H558" s="41"/>
      <c r="I558" s="30"/>
      <c r="J558" s="30"/>
      <c r="K558" s="97"/>
      <c r="L558" s="11"/>
      <c r="M558" s="11"/>
      <c r="N558" s="11"/>
      <c r="O558" s="11"/>
      <c r="P558" s="82"/>
    </row>
    <row r="559" spans="2:16" s="9" customFormat="1" x14ac:dyDescent="0.2">
      <c r="B559" s="10"/>
      <c r="C559" s="11"/>
      <c r="D559" s="63"/>
      <c r="E559" s="11"/>
      <c r="F559" s="65"/>
      <c r="G559" s="12"/>
      <c r="H559" s="41"/>
      <c r="I559" s="30"/>
      <c r="J559" s="30"/>
      <c r="K559" s="97"/>
      <c r="L559" s="11"/>
      <c r="M559" s="11"/>
      <c r="N559" s="11"/>
      <c r="O559" s="11"/>
      <c r="P559" s="82"/>
    </row>
    <row r="560" spans="2:16" s="9" customFormat="1" x14ac:dyDescent="0.2">
      <c r="B560" s="10"/>
      <c r="C560" s="11"/>
      <c r="D560" s="63"/>
      <c r="E560" s="11"/>
      <c r="F560" s="65"/>
      <c r="G560" s="12"/>
      <c r="H560" s="41"/>
      <c r="I560" s="30"/>
      <c r="J560" s="30"/>
      <c r="K560" s="97"/>
      <c r="L560" s="11"/>
      <c r="M560" s="11"/>
      <c r="N560" s="11"/>
      <c r="O560" s="11"/>
      <c r="P560" s="82"/>
    </row>
    <row r="561" spans="2:16" s="9" customFormat="1" x14ac:dyDescent="0.2">
      <c r="B561" s="10"/>
      <c r="C561" s="11"/>
      <c r="D561" s="63"/>
      <c r="E561" s="11"/>
      <c r="F561" s="65"/>
      <c r="G561" s="12"/>
      <c r="H561" s="41"/>
      <c r="I561" s="30"/>
      <c r="J561" s="30"/>
      <c r="K561" s="97"/>
      <c r="L561" s="11"/>
      <c r="M561" s="11"/>
      <c r="N561" s="11"/>
      <c r="O561" s="11"/>
      <c r="P561" s="82"/>
    </row>
    <row r="562" spans="2:16" s="9" customFormat="1" x14ac:dyDescent="0.2">
      <c r="B562" s="10"/>
      <c r="C562" s="11"/>
      <c r="D562" s="63"/>
      <c r="E562" s="11"/>
      <c r="F562" s="65"/>
      <c r="G562" s="12"/>
      <c r="H562" s="41"/>
      <c r="I562" s="30"/>
      <c r="J562" s="30"/>
      <c r="K562" s="97"/>
      <c r="L562" s="11"/>
      <c r="M562" s="11"/>
      <c r="N562" s="11"/>
      <c r="O562" s="11"/>
      <c r="P562" s="82"/>
    </row>
    <row r="563" spans="2:16" s="9" customFormat="1" x14ac:dyDescent="0.2">
      <c r="B563" s="10"/>
      <c r="C563" s="11"/>
      <c r="D563" s="63"/>
      <c r="E563" s="11"/>
      <c r="F563" s="65"/>
      <c r="G563" s="12"/>
      <c r="H563" s="41"/>
      <c r="I563" s="30"/>
      <c r="J563" s="30"/>
      <c r="K563" s="97"/>
      <c r="L563" s="11"/>
      <c r="M563" s="11"/>
      <c r="N563" s="11"/>
      <c r="O563" s="11"/>
      <c r="P563" s="82"/>
    </row>
    <row r="564" spans="2:16" s="9" customFormat="1" x14ac:dyDescent="0.2">
      <c r="B564" s="10"/>
      <c r="C564" s="11"/>
      <c r="D564" s="63"/>
      <c r="E564" s="11"/>
      <c r="F564" s="65"/>
      <c r="G564" s="12"/>
      <c r="H564" s="41"/>
      <c r="I564" s="30"/>
      <c r="J564" s="30"/>
      <c r="K564" s="97"/>
      <c r="L564" s="11"/>
      <c r="M564" s="11"/>
      <c r="N564" s="11"/>
      <c r="O564" s="11"/>
      <c r="P564" s="82"/>
    </row>
    <row r="565" spans="2:16" s="9" customFormat="1" x14ac:dyDescent="0.2">
      <c r="B565" s="10"/>
      <c r="C565" s="11"/>
      <c r="D565" s="63"/>
      <c r="E565" s="11"/>
      <c r="F565" s="65"/>
      <c r="G565" s="12"/>
      <c r="H565" s="41"/>
      <c r="I565" s="30"/>
      <c r="J565" s="30"/>
      <c r="K565" s="97"/>
      <c r="L565" s="11"/>
      <c r="M565" s="11"/>
      <c r="N565" s="11"/>
      <c r="O565" s="11"/>
      <c r="P565" s="82"/>
    </row>
    <row r="566" spans="2:16" s="9" customFormat="1" x14ac:dyDescent="0.2">
      <c r="B566" s="10"/>
      <c r="C566" s="11"/>
      <c r="D566" s="63"/>
      <c r="E566" s="11"/>
      <c r="F566" s="65"/>
      <c r="G566" s="12"/>
      <c r="H566" s="41"/>
      <c r="I566" s="30"/>
      <c r="J566" s="30"/>
      <c r="K566" s="97"/>
      <c r="L566" s="11"/>
      <c r="M566" s="11"/>
      <c r="N566" s="11"/>
      <c r="O566" s="11"/>
      <c r="P566" s="82"/>
    </row>
    <row r="567" spans="2:16" s="9" customFormat="1" x14ac:dyDescent="0.2">
      <c r="B567" s="10"/>
      <c r="C567" s="11"/>
      <c r="D567" s="63"/>
      <c r="E567" s="11"/>
      <c r="F567" s="65"/>
      <c r="G567" s="12"/>
      <c r="H567" s="41"/>
      <c r="I567" s="30"/>
      <c r="J567" s="30"/>
      <c r="K567" s="97"/>
      <c r="L567" s="11"/>
      <c r="M567" s="11"/>
      <c r="N567" s="11"/>
      <c r="O567" s="11"/>
      <c r="P567" s="82"/>
    </row>
    <row r="568" spans="2:16" s="9" customFormat="1" x14ac:dyDescent="0.2">
      <c r="B568" s="10"/>
      <c r="C568" s="11"/>
      <c r="D568" s="63"/>
      <c r="E568" s="11"/>
      <c r="F568" s="65"/>
      <c r="G568" s="12"/>
      <c r="H568" s="41"/>
      <c r="I568" s="30"/>
      <c r="J568" s="30"/>
      <c r="K568" s="97"/>
      <c r="L568" s="11"/>
      <c r="M568" s="11"/>
      <c r="N568" s="11"/>
      <c r="O568" s="11"/>
      <c r="P568" s="82"/>
    </row>
    <row r="569" spans="2:16" s="9" customFormat="1" x14ac:dyDescent="0.2">
      <c r="B569" s="10"/>
      <c r="C569" s="11"/>
      <c r="D569" s="63"/>
      <c r="E569" s="11"/>
      <c r="F569" s="65"/>
      <c r="G569" s="12"/>
      <c r="H569" s="41"/>
      <c r="I569" s="30"/>
      <c r="J569" s="30"/>
      <c r="K569" s="97"/>
      <c r="L569" s="11"/>
      <c r="M569" s="11"/>
      <c r="N569" s="11"/>
      <c r="O569" s="11"/>
      <c r="P569" s="82"/>
    </row>
    <row r="570" spans="2:16" s="9" customFormat="1" x14ac:dyDescent="0.2">
      <c r="B570" s="10"/>
      <c r="C570" s="11"/>
      <c r="D570" s="63"/>
      <c r="E570" s="11"/>
      <c r="F570" s="65"/>
      <c r="G570" s="12"/>
      <c r="H570" s="41"/>
      <c r="I570" s="30"/>
      <c r="J570" s="30"/>
      <c r="K570" s="97"/>
      <c r="L570" s="11"/>
      <c r="M570" s="11"/>
      <c r="N570" s="11"/>
      <c r="O570" s="11"/>
      <c r="P570" s="82"/>
    </row>
    <row r="571" spans="2:16" s="9" customFormat="1" x14ac:dyDescent="0.2">
      <c r="B571" s="10"/>
      <c r="C571" s="11"/>
      <c r="D571" s="63"/>
      <c r="E571" s="11"/>
      <c r="F571" s="65"/>
      <c r="G571" s="12"/>
      <c r="H571" s="41"/>
      <c r="I571" s="30"/>
      <c r="J571" s="30"/>
      <c r="K571" s="97"/>
      <c r="L571" s="11"/>
      <c r="M571" s="11"/>
      <c r="N571" s="11"/>
      <c r="O571" s="11"/>
      <c r="P571" s="82"/>
    </row>
    <row r="572" spans="2:16" s="9" customFormat="1" x14ac:dyDescent="0.2">
      <c r="B572" s="10"/>
      <c r="C572" s="11"/>
      <c r="D572" s="63"/>
      <c r="E572" s="11"/>
      <c r="F572" s="65"/>
      <c r="G572" s="12"/>
      <c r="H572" s="41"/>
      <c r="I572" s="30"/>
      <c r="J572" s="30"/>
      <c r="K572" s="97"/>
      <c r="L572" s="11"/>
      <c r="M572" s="11"/>
      <c r="N572" s="11"/>
      <c r="O572" s="11"/>
      <c r="P572" s="82"/>
    </row>
    <row r="573" spans="2:16" s="9" customFormat="1" x14ac:dyDescent="0.2">
      <c r="B573" s="10"/>
      <c r="C573" s="11"/>
      <c r="D573" s="63"/>
      <c r="E573" s="11"/>
      <c r="F573" s="65"/>
      <c r="G573" s="12"/>
      <c r="H573" s="41"/>
      <c r="I573" s="30"/>
      <c r="J573" s="30"/>
      <c r="K573" s="97"/>
      <c r="L573" s="11"/>
      <c r="M573" s="11"/>
      <c r="N573" s="11"/>
      <c r="O573" s="11"/>
      <c r="P573" s="82"/>
    </row>
    <row r="574" spans="2:16" s="9" customFormat="1" x14ac:dyDescent="0.2">
      <c r="B574" s="10"/>
      <c r="C574" s="11"/>
      <c r="D574" s="63"/>
      <c r="E574" s="11"/>
      <c r="F574" s="65"/>
      <c r="G574" s="12"/>
      <c r="H574" s="41"/>
      <c r="I574" s="30"/>
      <c r="J574" s="30"/>
      <c r="K574" s="97"/>
      <c r="L574" s="11"/>
      <c r="M574" s="11"/>
      <c r="N574" s="11"/>
      <c r="O574" s="11"/>
      <c r="P574" s="82"/>
    </row>
    <row r="575" spans="2:16" s="9" customFormat="1" x14ac:dyDescent="0.2">
      <c r="B575" s="10"/>
      <c r="C575" s="11"/>
      <c r="D575" s="63"/>
      <c r="E575" s="11"/>
      <c r="F575" s="65"/>
      <c r="G575" s="12"/>
      <c r="H575" s="41"/>
      <c r="I575" s="30"/>
      <c r="J575" s="30"/>
      <c r="K575" s="97"/>
      <c r="L575" s="11"/>
      <c r="M575" s="11"/>
      <c r="N575" s="11"/>
      <c r="O575" s="11"/>
      <c r="P575" s="82"/>
    </row>
    <row r="576" spans="2:16" s="9" customFormat="1" x14ac:dyDescent="0.2">
      <c r="B576" s="10"/>
      <c r="C576" s="11"/>
      <c r="D576" s="63"/>
      <c r="E576" s="11"/>
      <c r="F576" s="65"/>
      <c r="G576" s="12"/>
      <c r="H576" s="41"/>
      <c r="I576" s="30"/>
      <c r="J576" s="30"/>
      <c r="K576" s="97"/>
      <c r="L576" s="11"/>
      <c r="M576" s="11"/>
      <c r="N576" s="11"/>
      <c r="O576" s="11"/>
      <c r="P576" s="82"/>
    </row>
    <row r="577" spans="2:16" s="9" customFormat="1" x14ac:dyDescent="0.2">
      <c r="B577" s="10"/>
      <c r="C577" s="11"/>
      <c r="D577" s="63"/>
      <c r="E577" s="11"/>
      <c r="F577" s="65"/>
      <c r="G577" s="12"/>
      <c r="H577" s="41"/>
      <c r="I577" s="30"/>
      <c r="J577" s="30"/>
      <c r="K577" s="97"/>
      <c r="L577" s="11"/>
      <c r="M577" s="11"/>
      <c r="N577" s="11"/>
      <c r="O577" s="11"/>
      <c r="P577" s="82"/>
    </row>
    <row r="578" spans="2:16" s="9" customFormat="1" x14ac:dyDescent="0.2">
      <c r="B578" s="10"/>
      <c r="C578" s="11"/>
      <c r="D578" s="63"/>
      <c r="E578" s="11"/>
      <c r="F578" s="65"/>
      <c r="G578" s="12"/>
      <c r="H578" s="41"/>
      <c r="I578" s="30"/>
      <c r="J578" s="30"/>
      <c r="K578" s="97"/>
      <c r="L578" s="11"/>
      <c r="M578" s="11"/>
      <c r="N578" s="11"/>
      <c r="O578" s="11"/>
      <c r="P578" s="82"/>
    </row>
    <row r="579" spans="2:16" s="9" customFormat="1" x14ac:dyDescent="0.2">
      <c r="B579" s="10"/>
      <c r="C579" s="11"/>
      <c r="D579" s="63"/>
      <c r="E579" s="11"/>
      <c r="F579" s="65"/>
      <c r="G579" s="12"/>
      <c r="H579" s="41"/>
      <c r="I579" s="30"/>
      <c r="J579" s="30"/>
      <c r="K579" s="97"/>
      <c r="L579" s="11"/>
      <c r="M579" s="11"/>
      <c r="N579" s="11"/>
      <c r="O579" s="11"/>
      <c r="P579" s="82"/>
    </row>
    <row r="580" spans="2:16" s="9" customFormat="1" x14ac:dyDescent="0.2">
      <c r="B580" s="10"/>
      <c r="C580" s="11"/>
      <c r="D580" s="63"/>
      <c r="E580" s="11"/>
      <c r="F580" s="65"/>
      <c r="G580" s="12"/>
      <c r="H580" s="41"/>
      <c r="I580" s="30"/>
      <c r="J580" s="30"/>
      <c r="K580" s="97"/>
      <c r="L580" s="11"/>
      <c r="M580" s="11"/>
      <c r="N580" s="11"/>
      <c r="O580" s="11"/>
      <c r="P580" s="82"/>
    </row>
    <row r="581" spans="2:16" s="9" customFormat="1" x14ac:dyDescent="0.2">
      <c r="B581" s="10"/>
      <c r="C581" s="11"/>
      <c r="D581" s="63"/>
      <c r="E581" s="11"/>
      <c r="F581" s="65"/>
      <c r="G581" s="12"/>
      <c r="H581" s="41"/>
      <c r="I581" s="30"/>
      <c r="J581" s="30"/>
      <c r="K581" s="97"/>
      <c r="L581" s="11"/>
      <c r="M581" s="11"/>
      <c r="N581" s="11"/>
      <c r="O581" s="11"/>
      <c r="P581" s="82"/>
    </row>
    <row r="582" spans="2:16" s="9" customFormat="1" x14ac:dyDescent="0.2">
      <c r="B582" s="10"/>
      <c r="C582" s="11"/>
      <c r="D582" s="63"/>
      <c r="E582" s="11"/>
      <c r="F582" s="65"/>
      <c r="G582" s="12"/>
      <c r="H582" s="41"/>
      <c r="I582" s="30"/>
      <c r="J582" s="30"/>
      <c r="K582" s="97"/>
      <c r="L582" s="11"/>
      <c r="M582" s="11"/>
      <c r="N582" s="11"/>
      <c r="O582" s="11"/>
      <c r="P582" s="82"/>
    </row>
    <row r="583" spans="2:16" s="9" customFormat="1" x14ac:dyDescent="0.2">
      <c r="B583" s="10"/>
      <c r="C583" s="11"/>
      <c r="D583" s="63"/>
      <c r="E583" s="11"/>
      <c r="F583" s="65"/>
      <c r="G583" s="12"/>
      <c r="H583" s="41"/>
      <c r="I583" s="30"/>
      <c r="J583" s="30"/>
      <c r="K583" s="97"/>
      <c r="L583" s="11"/>
      <c r="M583" s="11"/>
      <c r="N583" s="11"/>
      <c r="O583" s="11"/>
      <c r="P583" s="82"/>
    </row>
    <row r="584" spans="2:16" s="9" customFormat="1" x14ac:dyDescent="0.2">
      <c r="B584" s="10"/>
      <c r="C584" s="11"/>
      <c r="D584" s="63"/>
      <c r="E584" s="11"/>
      <c r="F584" s="65"/>
      <c r="G584" s="12"/>
      <c r="H584" s="41"/>
      <c r="I584" s="30"/>
      <c r="J584" s="30"/>
      <c r="K584" s="97"/>
      <c r="L584" s="11"/>
      <c r="M584" s="11"/>
      <c r="N584" s="11"/>
      <c r="O584" s="11"/>
      <c r="P584" s="82"/>
    </row>
    <row r="585" spans="2:16" s="9" customFormat="1" x14ac:dyDescent="0.2">
      <c r="B585" s="10"/>
      <c r="C585" s="11"/>
      <c r="D585" s="63"/>
      <c r="E585" s="11"/>
      <c r="F585" s="65"/>
      <c r="G585" s="12"/>
      <c r="H585" s="41"/>
      <c r="I585" s="30"/>
      <c r="J585" s="30"/>
      <c r="K585" s="97"/>
      <c r="L585" s="11"/>
      <c r="M585" s="11"/>
      <c r="N585" s="11"/>
      <c r="O585" s="11"/>
      <c r="P585" s="82"/>
    </row>
    <row r="586" spans="2:16" s="9" customFormat="1" x14ac:dyDescent="0.2">
      <c r="B586" s="10"/>
      <c r="C586" s="11"/>
      <c r="D586" s="63"/>
      <c r="E586" s="11"/>
      <c r="F586" s="65"/>
      <c r="G586" s="12"/>
      <c r="H586" s="41"/>
      <c r="I586" s="30"/>
      <c r="J586" s="30"/>
      <c r="K586" s="97"/>
      <c r="L586" s="11"/>
      <c r="M586" s="11"/>
      <c r="N586" s="11"/>
      <c r="O586" s="11"/>
      <c r="P586" s="82"/>
    </row>
    <row r="587" spans="2:16" s="9" customFormat="1" x14ac:dyDescent="0.2">
      <c r="B587" s="10"/>
      <c r="C587" s="11"/>
      <c r="D587" s="63"/>
      <c r="E587" s="11"/>
      <c r="F587" s="65"/>
      <c r="G587" s="12"/>
      <c r="H587" s="41"/>
      <c r="I587" s="30"/>
      <c r="J587" s="30"/>
      <c r="K587" s="97"/>
      <c r="L587" s="11"/>
      <c r="M587" s="11"/>
      <c r="N587" s="11"/>
      <c r="O587" s="11"/>
      <c r="P587" s="82"/>
    </row>
    <row r="588" spans="2:16" s="9" customFormat="1" x14ac:dyDescent="0.2">
      <c r="B588" s="10"/>
      <c r="C588" s="11"/>
      <c r="D588" s="63"/>
      <c r="E588" s="11"/>
      <c r="F588" s="65"/>
      <c r="G588" s="12"/>
      <c r="H588" s="41"/>
      <c r="I588" s="30"/>
      <c r="J588" s="30"/>
      <c r="K588" s="97"/>
      <c r="L588" s="11"/>
      <c r="M588" s="11"/>
      <c r="N588" s="11"/>
      <c r="O588" s="11"/>
      <c r="P588" s="82"/>
    </row>
    <row r="589" spans="2:16" s="9" customFormat="1" x14ac:dyDescent="0.2">
      <c r="B589" s="10"/>
      <c r="C589" s="11"/>
      <c r="D589" s="63"/>
      <c r="E589" s="11"/>
      <c r="F589" s="65"/>
      <c r="G589" s="12"/>
      <c r="H589" s="41"/>
      <c r="I589" s="30"/>
      <c r="J589" s="30"/>
      <c r="K589" s="97"/>
      <c r="L589" s="11"/>
      <c r="M589" s="11"/>
      <c r="N589" s="11"/>
      <c r="O589" s="11"/>
      <c r="P589" s="82"/>
    </row>
    <row r="590" spans="2:16" s="9" customFormat="1" x14ac:dyDescent="0.2">
      <c r="B590" s="10"/>
      <c r="C590" s="11"/>
      <c r="D590" s="63"/>
      <c r="E590" s="11"/>
      <c r="F590" s="65"/>
      <c r="G590" s="12"/>
      <c r="H590" s="41"/>
      <c r="I590" s="30"/>
      <c r="J590" s="30"/>
      <c r="K590" s="97"/>
      <c r="L590" s="11"/>
      <c r="M590" s="11"/>
      <c r="N590" s="11"/>
      <c r="O590" s="11"/>
      <c r="P590" s="82"/>
    </row>
    <row r="591" spans="2:16" s="9" customFormat="1" x14ac:dyDescent="0.2">
      <c r="B591" s="10"/>
      <c r="C591" s="11"/>
      <c r="D591" s="63"/>
      <c r="E591" s="11"/>
      <c r="F591" s="65"/>
      <c r="G591" s="12"/>
      <c r="H591" s="41"/>
      <c r="I591" s="30"/>
      <c r="J591" s="30"/>
      <c r="K591" s="97"/>
      <c r="L591" s="11"/>
      <c r="M591" s="11"/>
      <c r="N591" s="11"/>
      <c r="O591" s="11"/>
      <c r="P591" s="82"/>
    </row>
    <row r="592" spans="2:16" s="9" customFormat="1" x14ac:dyDescent="0.2">
      <c r="B592" s="10"/>
      <c r="C592" s="11"/>
      <c r="D592" s="63"/>
      <c r="E592" s="11"/>
      <c r="F592" s="65"/>
      <c r="G592" s="12"/>
      <c r="H592" s="41"/>
      <c r="I592" s="30"/>
      <c r="J592" s="30"/>
      <c r="K592" s="97"/>
      <c r="L592" s="11"/>
      <c r="M592" s="11"/>
      <c r="N592" s="11"/>
      <c r="O592" s="11"/>
      <c r="P592" s="82"/>
    </row>
    <row r="593" spans="2:16" s="9" customFormat="1" x14ac:dyDescent="0.2">
      <c r="B593" s="10"/>
      <c r="C593" s="11"/>
      <c r="D593" s="63"/>
      <c r="E593" s="11"/>
      <c r="F593" s="65"/>
      <c r="G593" s="12"/>
      <c r="H593" s="41"/>
      <c r="I593" s="30"/>
      <c r="J593" s="30"/>
      <c r="K593" s="97"/>
      <c r="L593" s="11"/>
      <c r="M593" s="11"/>
      <c r="N593" s="11"/>
      <c r="O593" s="11"/>
      <c r="P593" s="82"/>
    </row>
    <row r="594" spans="2:16" s="9" customFormat="1" x14ac:dyDescent="0.2">
      <c r="B594" s="10"/>
      <c r="C594" s="11"/>
      <c r="D594" s="63"/>
      <c r="E594" s="11"/>
      <c r="F594" s="65"/>
      <c r="G594" s="12"/>
      <c r="H594" s="41"/>
      <c r="I594" s="30"/>
      <c r="J594" s="30"/>
      <c r="K594" s="97"/>
      <c r="L594" s="11"/>
      <c r="M594" s="11"/>
      <c r="N594" s="11"/>
      <c r="O594" s="11"/>
      <c r="P594" s="82"/>
    </row>
    <row r="595" spans="2:16" s="9" customFormat="1" x14ac:dyDescent="0.2">
      <c r="B595" s="10"/>
      <c r="C595" s="11"/>
      <c r="D595" s="63"/>
      <c r="E595" s="11"/>
      <c r="F595" s="65"/>
      <c r="G595" s="12"/>
      <c r="H595" s="41"/>
      <c r="I595" s="30"/>
      <c r="J595" s="30"/>
      <c r="K595" s="97"/>
      <c r="L595" s="11"/>
      <c r="M595" s="11"/>
      <c r="N595" s="11"/>
      <c r="O595" s="11"/>
      <c r="P595" s="82"/>
    </row>
    <row r="596" spans="2:16" s="9" customFormat="1" x14ac:dyDescent="0.2">
      <c r="B596" s="10"/>
      <c r="C596" s="11"/>
      <c r="D596" s="63"/>
      <c r="E596" s="11"/>
      <c r="F596" s="65"/>
      <c r="G596" s="12"/>
      <c r="H596" s="41"/>
      <c r="I596" s="30"/>
      <c r="J596" s="30"/>
      <c r="K596" s="97"/>
      <c r="L596" s="11"/>
      <c r="M596" s="11"/>
      <c r="N596" s="11"/>
      <c r="O596" s="11"/>
      <c r="P596" s="82"/>
    </row>
    <row r="597" spans="2:16" s="9" customFormat="1" x14ac:dyDescent="0.2">
      <c r="B597" s="10"/>
      <c r="C597" s="11"/>
      <c r="D597" s="63"/>
      <c r="E597" s="11"/>
      <c r="F597" s="65"/>
      <c r="G597" s="12"/>
      <c r="H597" s="41"/>
      <c r="I597" s="30"/>
      <c r="J597" s="30"/>
      <c r="K597" s="97"/>
      <c r="L597" s="11"/>
      <c r="M597" s="11"/>
      <c r="N597" s="11"/>
      <c r="O597" s="11"/>
      <c r="P597" s="82"/>
    </row>
    <row r="598" spans="2:16" s="9" customFormat="1" x14ac:dyDescent="0.2">
      <c r="B598" s="10"/>
      <c r="C598" s="11"/>
      <c r="D598" s="63"/>
      <c r="E598" s="11"/>
      <c r="F598" s="65"/>
      <c r="G598" s="12"/>
      <c r="H598" s="41"/>
      <c r="I598" s="30"/>
      <c r="J598" s="30"/>
      <c r="K598" s="97"/>
      <c r="L598" s="11"/>
      <c r="M598" s="11"/>
      <c r="N598" s="11"/>
      <c r="O598" s="11"/>
      <c r="P598" s="82"/>
    </row>
    <row r="599" spans="2:16" s="9" customFormat="1" x14ac:dyDescent="0.2">
      <c r="B599" s="10"/>
      <c r="C599" s="11"/>
      <c r="D599" s="63"/>
      <c r="E599" s="11"/>
      <c r="F599" s="65"/>
      <c r="G599" s="12"/>
      <c r="H599" s="41"/>
      <c r="I599" s="30"/>
      <c r="J599" s="30"/>
      <c r="K599" s="97"/>
      <c r="L599" s="11"/>
      <c r="M599" s="11"/>
      <c r="N599" s="11"/>
      <c r="O599" s="11"/>
      <c r="P599" s="82"/>
    </row>
    <row r="600" spans="2:16" s="9" customFormat="1" x14ac:dyDescent="0.2">
      <c r="B600" s="10"/>
      <c r="C600" s="11"/>
      <c r="D600" s="63"/>
      <c r="E600" s="11"/>
      <c r="F600" s="65"/>
      <c r="G600" s="12"/>
      <c r="H600" s="41"/>
      <c r="I600" s="30"/>
      <c r="J600" s="30"/>
      <c r="K600" s="97"/>
      <c r="L600" s="11"/>
      <c r="M600" s="11"/>
      <c r="N600" s="11"/>
      <c r="O600" s="11"/>
      <c r="P600" s="82"/>
    </row>
    <row r="601" spans="2:16" s="9" customFormat="1" x14ac:dyDescent="0.2">
      <c r="B601" s="10"/>
      <c r="C601" s="11"/>
      <c r="D601" s="63"/>
      <c r="E601" s="11"/>
      <c r="F601" s="65"/>
      <c r="G601" s="12"/>
      <c r="H601" s="41"/>
      <c r="I601" s="30"/>
      <c r="J601" s="30"/>
      <c r="K601" s="97"/>
      <c r="L601" s="11"/>
      <c r="M601" s="11"/>
      <c r="N601" s="11"/>
      <c r="O601" s="11"/>
      <c r="P601" s="82"/>
    </row>
    <row r="602" spans="2:16" s="9" customFormat="1" x14ac:dyDescent="0.2">
      <c r="B602" s="10"/>
      <c r="C602" s="11"/>
      <c r="D602" s="63"/>
      <c r="E602" s="11"/>
      <c r="F602" s="65"/>
      <c r="G602" s="12"/>
      <c r="H602" s="41"/>
      <c r="I602" s="30"/>
      <c r="J602" s="30"/>
      <c r="K602" s="97"/>
      <c r="L602" s="11"/>
      <c r="M602" s="11"/>
      <c r="N602" s="11"/>
      <c r="O602" s="11"/>
      <c r="P602" s="82"/>
    </row>
    <row r="603" spans="2:16" s="9" customFormat="1" x14ac:dyDescent="0.2">
      <c r="B603" s="10"/>
      <c r="C603" s="11"/>
      <c r="D603" s="63"/>
      <c r="E603" s="11"/>
      <c r="F603" s="65"/>
      <c r="G603" s="12"/>
      <c r="H603" s="41"/>
      <c r="I603" s="30"/>
      <c r="J603" s="30"/>
      <c r="K603" s="97"/>
      <c r="L603" s="11"/>
      <c r="M603" s="11"/>
      <c r="N603" s="11"/>
      <c r="O603" s="11"/>
      <c r="P603" s="82"/>
    </row>
    <row r="604" spans="2:16" s="9" customFormat="1" x14ac:dyDescent="0.2">
      <c r="B604" s="10"/>
      <c r="C604" s="11"/>
      <c r="D604" s="63"/>
      <c r="E604" s="11"/>
      <c r="F604" s="65"/>
      <c r="G604" s="12"/>
      <c r="H604" s="41"/>
      <c r="I604" s="30"/>
      <c r="J604" s="30"/>
      <c r="K604" s="97"/>
      <c r="L604" s="11"/>
      <c r="M604" s="11"/>
      <c r="N604" s="11"/>
      <c r="O604" s="11"/>
      <c r="P604" s="82"/>
    </row>
    <row r="605" spans="2:16" s="9" customFormat="1" x14ac:dyDescent="0.2">
      <c r="B605" s="10"/>
      <c r="C605" s="11"/>
      <c r="D605" s="63"/>
      <c r="E605" s="11"/>
      <c r="F605" s="65"/>
      <c r="G605" s="12"/>
      <c r="H605" s="41"/>
      <c r="I605" s="30"/>
      <c r="J605" s="30"/>
      <c r="K605" s="97"/>
      <c r="L605" s="11"/>
      <c r="M605" s="11"/>
      <c r="N605" s="11"/>
      <c r="O605" s="11"/>
      <c r="P605" s="82"/>
    </row>
    <row r="606" spans="2:16" s="9" customFormat="1" x14ac:dyDescent="0.2">
      <c r="B606" s="10"/>
      <c r="C606" s="11"/>
      <c r="D606" s="63"/>
      <c r="E606" s="11"/>
      <c r="F606" s="65"/>
      <c r="G606" s="12"/>
      <c r="H606" s="41"/>
      <c r="I606" s="30"/>
      <c r="J606" s="30"/>
      <c r="K606" s="97"/>
      <c r="L606" s="11"/>
      <c r="M606" s="11"/>
      <c r="N606" s="11"/>
      <c r="O606" s="11"/>
      <c r="P606" s="82"/>
    </row>
    <row r="607" spans="2:16" s="9" customFormat="1" x14ac:dyDescent="0.2">
      <c r="B607" s="10"/>
      <c r="C607" s="11"/>
      <c r="D607" s="63"/>
      <c r="E607" s="11"/>
      <c r="F607" s="65"/>
      <c r="G607" s="12"/>
      <c r="H607" s="41"/>
      <c r="I607" s="30"/>
      <c r="J607" s="30"/>
      <c r="K607" s="97"/>
      <c r="L607" s="11"/>
      <c r="M607" s="11"/>
      <c r="N607" s="11"/>
      <c r="O607" s="11"/>
      <c r="P607" s="82"/>
    </row>
    <row r="608" spans="2:16" s="9" customFormat="1" x14ac:dyDescent="0.2">
      <c r="B608" s="10"/>
      <c r="C608" s="11"/>
      <c r="D608" s="63"/>
      <c r="E608" s="11"/>
      <c r="F608" s="65"/>
      <c r="G608" s="12"/>
      <c r="H608" s="41"/>
      <c r="I608" s="30"/>
      <c r="J608" s="30"/>
      <c r="K608" s="97"/>
      <c r="L608" s="11"/>
      <c r="M608" s="11"/>
      <c r="N608" s="11"/>
      <c r="O608" s="11"/>
      <c r="P608" s="82"/>
    </row>
    <row r="609" spans="2:16" s="9" customFormat="1" x14ac:dyDescent="0.2">
      <c r="B609" s="10"/>
      <c r="C609" s="11"/>
      <c r="D609" s="63"/>
      <c r="E609" s="11"/>
      <c r="F609" s="65"/>
      <c r="G609" s="12"/>
      <c r="H609" s="41"/>
      <c r="I609" s="30"/>
      <c r="J609" s="30"/>
      <c r="K609" s="97"/>
      <c r="L609" s="11"/>
      <c r="M609" s="11"/>
      <c r="N609" s="11"/>
      <c r="O609" s="11"/>
      <c r="P609" s="82"/>
    </row>
    <row r="610" spans="2:16" s="9" customFormat="1" x14ac:dyDescent="0.2">
      <c r="B610" s="10"/>
      <c r="C610" s="11"/>
      <c r="D610" s="63"/>
      <c r="E610" s="11"/>
      <c r="F610" s="65"/>
      <c r="G610" s="12"/>
      <c r="H610" s="41"/>
      <c r="I610" s="30"/>
      <c r="J610" s="30"/>
      <c r="K610" s="97"/>
      <c r="L610" s="11"/>
      <c r="M610" s="11"/>
      <c r="N610" s="11"/>
      <c r="O610" s="11"/>
      <c r="P610" s="82"/>
    </row>
    <row r="611" spans="2:16" s="9" customFormat="1" x14ac:dyDescent="0.2">
      <c r="B611" s="10"/>
      <c r="C611" s="11"/>
      <c r="D611" s="63"/>
      <c r="E611" s="11"/>
      <c r="F611" s="65"/>
      <c r="G611" s="12"/>
      <c r="H611" s="41"/>
      <c r="I611" s="30"/>
      <c r="J611" s="30"/>
      <c r="K611" s="97"/>
      <c r="L611" s="11"/>
      <c r="M611" s="11"/>
      <c r="N611" s="11"/>
      <c r="O611" s="11"/>
      <c r="P611" s="82"/>
    </row>
    <row r="612" spans="2:16" s="9" customFormat="1" x14ac:dyDescent="0.2">
      <c r="B612" s="10"/>
      <c r="C612" s="11"/>
      <c r="D612" s="63"/>
      <c r="E612" s="11"/>
      <c r="F612" s="65"/>
      <c r="G612" s="12"/>
      <c r="H612" s="41"/>
      <c r="I612" s="30"/>
      <c r="J612" s="30"/>
      <c r="K612" s="97"/>
      <c r="L612" s="11"/>
      <c r="M612" s="11"/>
      <c r="N612" s="11"/>
      <c r="O612" s="11"/>
      <c r="P612" s="82"/>
    </row>
    <row r="613" spans="2:16" s="9" customFormat="1" x14ac:dyDescent="0.2">
      <c r="B613" s="10"/>
      <c r="C613" s="11"/>
      <c r="D613" s="63"/>
      <c r="E613" s="11"/>
      <c r="F613" s="65"/>
      <c r="G613" s="12"/>
      <c r="H613" s="41"/>
      <c r="I613" s="30"/>
      <c r="J613" s="30"/>
      <c r="K613" s="97"/>
      <c r="L613" s="11"/>
      <c r="M613" s="11"/>
      <c r="N613" s="11"/>
      <c r="O613" s="11"/>
      <c r="P613" s="82"/>
    </row>
    <row r="614" spans="2:16" s="9" customFormat="1" x14ac:dyDescent="0.2">
      <c r="B614" s="10"/>
      <c r="C614" s="11"/>
      <c r="D614" s="63"/>
      <c r="E614" s="11"/>
      <c r="F614" s="65"/>
      <c r="G614" s="12"/>
      <c r="H614" s="41"/>
      <c r="I614" s="30"/>
      <c r="J614" s="30"/>
      <c r="K614" s="97"/>
      <c r="L614" s="11"/>
      <c r="M614" s="11"/>
      <c r="N614" s="11"/>
      <c r="O614" s="11"/>
      <c r="P614" s="82"/>
    </row>
    <row r="615" spans="2:16" s="9" customFormat="1" x14ac:dyDescent="0.2">
      <c r="B615" s="10"/>
      <c r="C615" s="11"/>
      <c r="D615" s="63"/>
      <c r="E615" s="11"/>
      <c r="F615" s="65"/>
      <c r="G615" s="12"/>
      <c r="H615" s="41"/>
      <c r="I615" s="30"/>
      <c r="J615" s="30"/>
      <c r="K615" s="97"/>
      <c r="L615" s="11"/>
      <c r="M615" s="11"/>
      <c r="N615" s="11"/>
      <c r="O615" s="11"/>
      <c r="P615" s="82"/>
    </row>
    <row r="616" spans="2:16" s="9" customFormat="1" x14ac:dyDescent="0.2">
      <c r="B616" s="10"/>
      <c r="C616" s="11"/>
      <c r="D616" s="63"/>
      <c r="E616" s="11"/>
      <c r="F616" s="65"/>
      <c r="G616" s="12"/>
      <c r="H616" s="41"/>
      <c r="I616" s="30"/>
      <c r="J616" s="30"/>
      <c r="K616" s="97"/>
      <c r="L616" s="11"/>
      <c r="M616" s="11"/>
      <c r="N616" s="11"/>
      <c r="O616" s="11"/>
      <c r="P616" s="82"/>
    </row>
    <row r="617" spans="2:16" s="9" customFormat="1" x14ac:dyDescent="0.2">
      <c r="B617" s="10"/>
      <c r="C617" s="11"/>
      <c r="D617" s="63"/>
      <c r="E617" s="11"/>
      <c r="F617" s="65"/>
      <c r="G617" s="12"/>
      <c r="H617" s="41"/>
      <c r="I617" s="30"/>
      <c r="J617" s="30"/>
      <c r="K617" s="97"/>
      <c r="L617" s="11"/>
      <c r="M617" s="11"/>
      <c r="N617" s="11"/>
      <c r="O617" s="11"/>
      <c r="P617" s="82"/>
    </row>
    <row r="618" spans="2:16" s="9" customFormat="1" x14ac:dyDescent="0.2">
      <c r="B618" s="10"/>
      <c r="C618" s="11"/>
      <c r="D618" s="63"/>
      <c r="E618" s="11"/>
      <c r="F618" s="65"/>
      <c r="G618" s="12"/>
      <c r="H618" s="41"/>
      <c r="I618" s="30"/>
      <c r="J618" s="30"/>
      <c r="K618" s="97"/>
      <c r="L618" s="11"/>
      <c r="M618" s="11"/>
      <c r="N618" s="11"/>
      <c r="O618" s="11"/>
      <c r="P618" s="82"/>
    </row>
    <row r="619" spans="2:16" s="9" customFormat="1" x14ac:dyDescent="0.2">
      <c r="B619" s="10"/>
      <c r="C619" s="11"/>
      <c r="D619" s="63"/>
      <c r="E619" s="11"/>
      <c r="F619" s="65"/>
      <c r="G619" s="12"/>
      <c r="H619" s="41"/>
      <c r="I619" s="30"/>
      <c r="J619" s="30"/>
      <c r="K619" s="97"/>
      <c r="L619" s="11"/>
      <c r="M619" s="11"/>
      <c r="N619" s="11"/>
      <c r="O619" s="11"/>
      <c r="P619" s="82"/>
    </row>
    <row r="620" spans="2:16" s="9" customFormat="1" x14ac:dyDescent="0.2">
      <c r="B620" s="10"/>
      <c r="C620" s="11"/>
      <c r="D620" s="63"/>
      <c r="E620" s="11"/>
      <c r="F620" s="65"/>
      <c r="G620" s="12"/>
      <c r="H620" s="41"/>
      <c r="I620" s="30"/>
      <c r="J620" s="30"/>
      <c r="K620" s="97"/>
      <c r="L620" s="11"/>
      <c r="M620" s="11"/>
      <c r="N620" s="11"/>
      <c r="O620" s="11"/>
      <c r="P620" s="82"/>
    </row>
    <row r="621" spans="2:16" s="9" customFormat="1" x14ac:dyDescent="0.2">
      <c r="B621" s="10"/>
      <c r="C621" s="11"/>
      <c r="D621" s="63"/>
      <c r="E621" s="11"/>
      <c r="F621" s="65"/>
      <c r="G621" s="12"/>
      <c r="H621" s="41"/>
      <c r="I621" s="30"/>
      <c r="J621" s="30"/>
      <c r="K621" s="97"/>
      <c r="L621" s="11"/>
      <c r="M621" s="11"/>
      <c r="N621" s="11"/>
      <c r="O621" s="11"/>
      <c r="P621" s="82"/>
    </row>
    <row r="622" spans="2:16" s="9" customFormat="1" x14ac:dyDescent="0.2">
      <c r="B622" s="10"/>
      <c r="C622" s="11"/>
      <c r="D622" s="63"/>
      <c r="E622" s="11"/>
      <c r="F622" s="65"/>
      <c r="G622" s="12"/>
      <c r="H622" s="41"/>
      <c r="I622" s="30"/>
      <c r="J622" s="30"/>
      <c r="K622" s="97"/>
      <c r="L622" s="11"/>
      <c r="M622" s="11"/>
      <c r="N622" s="11"/>
      <c r="O622" s="11"/>
      <c r="P622" s="82"/>
    </row>
    <row r="623" spans="2:16" s="9" customFormat="1" x14ac:dyDescent="0.2">
      <c r="B623" s="10"/>
      <c r="C623" s="11"/>
      <c r="D623" s="63"/>
      <c r="E623" s="11"/>
      <c r="F623" s="65"/>
      <c r="G623" s="12"/>
      <c r="H623" s="41"/>
      <c r="I623" s="30"/>
      <c r="J623" s="30"/>
      <c r="K623" s="97"/>
      <c r="L623" s="11"/>
      <c r="M623" s="11"/>
      <c r="N623" s="11"/>
      <c r="O623" s="11"/>
      <c r="P623" s="82"/>
    </row>
    <row r="624" spans="2:16" s="9" customFormat="1" x14ac:dyDescent="0.2">
      <c r="B624" s="10"/>
      <c r="C624" s="11"/>
      <c r="D624" s="63"/>
      <c r="E624" s="11"/>
      <c r="F624" s="65"/>
      <c r="G624" s="12"/>
      <c r="H624" s="41"/>
      <c r="I624" s="30"/>
      <c r="J624" s="30"/>
      <c r="K624" s="97"/>
      <c r="L624" s="11"/>
      <c r="M624" s="11"/>
      <c r="N624" s="11"/>
      <c r="O624" s="11"/>
      <c r="P624" s="82"/>
    </row>
    <row r="625" spans="2:16" s="9" customFormat="1" x14ac:dyDescent="0.2">
      <c r="B625" s="10"/>
      <c r="C625" s="11"/>
      <c r="D625" s="63"/>
      <c r="E625" s="11"/>
      <c r="F625" s="65"/>
      <c r="G625" s="12"/>
      <c r="H625" s="41"/>
      <c r="I625" s="30"/>
      <c r="J625" s="30"/>
      <c r="K625" s="97"/>
      <c r="L625" s="11"/>
      <c r="M625" s="11"/>
      <c r="N625" s="11"/>
      <c r="O625" s="11"/>
      <c r="P625" s="82"/>
    </row>
    <row r="626" spans="2:16" s="9" customFormat="1" x14ac:dyDescent="0.2">
      <c r="B626" s="10"/>
      <c r="C626" s="11"/>
      <c r="D626" s="63"/>
      <c r="E626" s="11"/>
      <c r="F626" s="65"/>
      <c r="G626" s="12"/>
      <c r="H626" s="41"/>
      <c r="I626" s="30"/>
      <c r="J626" s="30"/>
      <c r="K626" s="97"/>
      <c r="L626" s="11"/>
      <c r="M626" s="11"/>
      <c r="N626" s="11"/>
      <c r="O626" s="11"/>
      <c r="P626" s="82"/>
    </row>
    <row r="627" spans="2:16" s="9" customFormat="1" x14ac:dyDescent="0.2">
      <c r="B627" s="10"/>
      <c r="C627" s="11"/>
      <c r="D627" s="63"/>
      <c r="E627" s="11"/>
      <c r="F627" s="65"/>
      <c r="G627" s="12"/>
      <c r="H627" s="41"/>
      <c r="I627" s="30"/>
      <c r="J627" s="30"/>
      <c r="K627" s="97"/>
      <c r="L627" s="11"/>
      <c r="M627" s="11"/>
      <c r="N627" s="11"/>
      <c r="O627" s="11"/>
      <c r="P627" s="82"/>
    </row>
    <row r="628" spans="2:16" s="9" customFormat="1" x14ac:dyDescent="0.2">
      <c r="B628" s="10"/>
      <c r="C628" s="11"/>
      <c r="D628" s="63"/>
      <c r="E628" s="11"/>
      <c r="F628" s="65"/>
      <c r="G628" s="12"/>
      <c r="H628" s="41"/>
      <c r="I628" s="30"/>
      <c r="J628" s="30"/>
      <c r="K628" s="97"/>
      <c r="L628" s="11"/>
      <c r="M628" s="11"/>
      <c r="N628" s="11"/>
      <c r="O628" s="11"/>
      <c r="P628" s="82"/>
    </row>
    <row r="629" spans="2:16" s="9" customFormat="1" x14ac:dyDescent="0.2">
      <c r="B629" s="10"/>
      <c r="C629" s="11"/>
      <c r="D629" s="63"/>
      <c r="E629" s="11"/>
      <c r="F629" s="65"/>
      <c r="G629" s="12"/>
      <c r="H629" s="41"/>
      <c r="I629" s="30"/>
      <c r="J629" s="30"/>
      <c r="K629" s="97"/>
      <c r="L629" s="11"/>
      <c r="M629" s="11"/>
      <c r="N629" s="11"/>
      <c r="O629" s="11"/>
      <c r="P629" s="82"/>
    </row>
    <row r="630" spans="2:16" s="9" customFormat="1" x14ac:dyDescent="0.2">
      <c r="B630" s="10"/>
      <c r="C630" s="11"/>
      <c r="D630" s="63"/>
      <c r="E630" s="11"/>
      <c r="F630" s="65"/>
      <c r="G630" s="12"/>
      <c r="H630" s="41"/>
      <c r="I630" s="30"/>
      <c r="J630" s="30"/>
      <c r="K630" s="97"/>
      <c r="L630" s="11"/>
      <c r="M630" s="11"/>
      <c r="N630" s="11"/>
      <c r="O630" s="11"/>
      <c r="P630" s="82"/>
    </row>
    <row r="631" spans="2:16" s="9" customFormat="1" x14ac:dyDescent="0.2">
      <c r="B631" s="10"/>
      <c r="C631" s="11"/>
      <c r="D631" s="63"/>
      <c r="E631" s="11"/>
      <c r="F631" s="65"/>
      <c r="G631" s="12"/>
      <c r="H631" s="41"/>
      <c r="I631" s="30"/>
      <c r="J631" s="30"/>
      <c r="K631" s="97"/>
      <c r="L631" s="11"/>
      <c r="M631" s="11"/>
      <c r="N631" s="11"/>
      <c r="O631" s="11"/>
      <c r="P631" s="82"/>
    </row>
    <row r="632" spans="2:16" s="9" customFormat="1" x14ac:dyDescent="0.2">
      <c r="B632" s="10"/>
      <c r="C632" s="11"/>
      <c r="D632" s="63"/>
      <c r="E632" s="11"/>
      <c r="F632" s="65"/>
      <c r="G632" s="12"/>
      <c r="H632" s="41"/>
      <c r="I632" s="30"/>
      <c r="J632" s="30"/>
      <c r="K632" s="97"/>
      <c r="L632" s="11"/>
      <c r="M632" s="11"/>
      <c r="N632" s="11"/>
      <c r="O632" s="11"/>
      <c r="P632" s="82"/>
    </row>
    <row r="633" spans="2:16" s="9" customFormat="1" x14ac:dyDescent="0.2">
      <c r="B633" s="10"/>
      <c r="C633" s="11"/>
      <c r="D633" s="63"/>
      <c r="E633" s="11"/>
      <c r="F633" s="65"/>
      <c r="G633" s="12"/>
      <c r="H633" s="41"/>
      <c r="I633" s="30"/>
      <c r="J633" s="30"/>
      <c r="K633" s="97"/>
      <c r="L633" s="11"/>
      <c r="M633" s="11"/>
      <c r="N633" s="11"/>
      <c r="O633" s="11"/>
      <c r="P633" s="82"/>
    </row>
    <row r="634" spans="2:16" s="9" customFormat="1" x14ac:dyDescent="0.2">
      <c r="B634" s="10"/>
      <c r="C634" s="11"/>
      <c r="D634" s="63"/>
      <c r="E634" s="11"/>
      <c r="F634" s="65"/>
      <c r="G634" s="12"/>
      <c r="H634" s="41"/>
      <c r="I634" s="30"/>
      <c r="J634" s="30"/>
      <c r="K634" s="97"/>
      <c r="L634" s="11"/>
      <c r="M634" s="11"/>
      <c r="N634" s="11"/>
      <c r="O634" s="11"/>
      <c r="P634" s="82"/>
    </row>
    <row r="635" spans="2:16" s="9" customFormat="1" x14ac:dyDescent="0.2">
      <c r="B635" s="10"/>
      <c r="C635" s="11"/>
      <c r="D635" s="63"/>
      <c r="E635" s="11"/>
      <c r="F635" s="65"/>
      <c r="G635" s="12"/>
      <c r="H635" s="41"/>
      <c r="I635" s="30"/>
      <c r="J635" s="30"/>
      <c r="K635" s="97"/>
      <c r="L635" s="11"/>
      <c r="M635" s="11"/>
      <c r="N635" s="11"/>
      <c r="O635" s="11"/>
      <c r="P635" s="82"/>
    </row>
    <row r="636" spans="2:16" s="9" customFormat="1" x14ac:dyDescent="0.2">
      <c r="B636" s="10"/>
      <c r="C636" s="11"/>
      <c r="D636" s="63"/>
      <c r="E636" s="11"/>
      <c r="F636" s="65"/>
      <c r="G636" s="12"/>
      <c r="H636" s="41"/>
      <c r="I636" s="30"/>
      <c r="J636" s="30"/>
      <c r="K636" s="97"/>
      <c r="L636" s="11"/>
      <c r="M636" s="11"/>
      <c r="N636" s="11"/>
      <c r="O636" s="11"/>
      <c r="P636" s="82"/>
    </row>
    <row r="637" spans="2:16" s="9" customFormat="1" x14ac:dyDescent="0.2">
      <c r="B637" s="10"/>
      <c r="C637" s="11"/>
      <c r="D637" s="63"/>
      <c r="E637" s="11"/>
      <c r="F637" s="65"/>
      <c r="G637" s="12"/>
      <c r="H637" s="41"/>
      <c r="I637" s="30"/>
      <c r="J637" s="30"/>
      <c r="K637" s="97"/>
      <c r="L637" s="11"/>
      <c r="M637" s="11"/>
      <c r="N637" s="11"/>
      <c r="O637" s="11"/>
      <c r="P637" s="82"/>
    </row>
    <row r="638" spans="2:16" s="9" customFormat="1" x14ac:dyDescent="0.2">
      <c r="B638" s="10"/>
      <c r="C638" s="11"/>
      <c r="D638" s="63"/>
      <c r="E638" s="11"/>
      <c r="F638" s="65"/>
      <c r="G638" s="12"/>
      <c r="H638" s="41"/>
      <c r="I638" s="30"/>
      <c r="J638" s="30"/>
      <c r="K638" s="97"/>
      <c r="L638" s="11"/>
      <c r="M638" s="11"/>
      <c r="N638" s="11"/>
      <c r="O638" s="11"/>
      <c r="P638" s="82"/>
    </row>
    <row r="639" spans="2:16" s="9" customFormat="1" x14ac:dyDescent="0.2">
      <c r="B639" s="10"/>
      <c r="C639" s="11"/>
      <c r="D639" s="63"/>
      <c r="E639" s="11"/>
      <c r="F639" s="65"/>
      <c r="G639" s="12"/>
      <c r="H639" s="41"/>
      <c r="I639" s="30"/>
      <c r="J639" s="30"/>
      <c r="K639" s="97"/>
      <c r="L639" s="11"/>
      <c r="M639" s="11"/>
      <c r="N639" s="11"/>
      <c r="O639" s="11"/>
      <c r="P639" s="82"/>
    </row>
    <row r="640" spans="2:16" s="9" customFormat="1" x14ac:dyDescent="0.2">
      <c r="B640" s="10"/>
      <c r="C640" s="11"/>
      <c r="D640" s="63"/>
      <c r="E640" s="11"/>
      <c r="F640" s="65"/>
      <c r="G640" s="12"/>
      <c r="H640" s="41"/>
      <c r="I640" s="30"/>
      <c r="J640" s="30"/>
      <c r="K640" s="97"/>
      <c r="L640" s="11"/>
      <c r="M640" s="11"/>
      <c r="N640" s="11"/>
      <c r="O640" s="11"/>
      <c r="P640" s="82"/>
    </row>
    <row r="641" spans="2:16" s="9" customFormat="1" x14ac:dyDescent="0.2">
      <c r="B641" s="10"/>
      <c r="C641" s="11"/>
      <c r="D641" s="63"/>
      <c r="E641" s="11"/>
      <c r="F641" s="65"/>
      <c r="G641" s="12"/>
      <c r="H641" s="41"/>
      <c r="I641" s="30"/>
      <c r="J641" s="30"/>
      <c r="K641" s="97"/>
      <c r="L641" s="11"/>
      <c r="M641" s="11"/>
      <c r="N641" s="11"/>
      <c r="O641" s="11"/>
      <c r="P641" s="82"/>
    </row>
    <row r="642" spans="2:16" s="9" customFormat="1" x14ac:dyDescent="0.2">
      <c r="B642" s="10"/>
      <c r="C642" s="11"/>
      <c r="D642" s="63"/>
      <c r="E642" s="11"/>
      <c r="F642" s="65"/>
      <c r="G642" s="12"/>
      <c r="H642" s="41"/>
      <c r="I642" s="30"/>
      <c r="J642" s="30"/>
      <c r="K642" s="97"/>
      <c r="L642" s="11"/>
      <c r="M642" s="11"/>
      <c r="N642" s="11"/>
      <c r="O642" s="11"/>
      <c r="P642" s="82"/>
    </row>
    <row r="643" spans="2:16" s="9" customFormat="1" x14ac:dyDescent="0.2">
      <c r="B643" s="10"/>
      <c r="C643" s="11"/>
      <c r="D643" s="63"/>
      <c r="E643" s="11"/>
      <c r="F643" s="65"/>
      <c r="G643" s="12"/>
      <c r="H643" s="41"/>
      <c r="I643" s="30"/>
      <c r="J643" s="30"/>
      <c r="K643" s="97"/>
      <c r="L643" s="11"/>
      <c r="M643" s="11"/>
      <c r="N643" s="11"/>
      <c r="O643" s="11"/>
      <c r="P643" s="82"/>
    </row>
    <row r="644" spans="2:16" s="9" customFormat="1" x14ac:dyDescent="0.2">
      <c r="B644" s="10"/>
      <c r="C644" s="11"/>
      <c r="D644" s="63"/>
      <c r="E644" s="11"/>
      <c r="F644" s="65"/>
      <c r="G644" s="12"/>
      <c r="H644" s="41"/>
      <c r="I644" s="30"/>
      <c r="J644" s="30"/>
      <c r="K644" s="97"/>
      <c r="L644" s="11"/>
      <c r="M644" s="11"/>
      <c r="N644" s="11"/>
      <c r="O644" s="11"/>
      <c r="P644" s="82"/>
    </row>
    <row r="645" spans="2:16" s="9" customFormat="1" x14ac:dyDescent="0.2">
      <c r="B645" s="10"/>
      <c r="C645" s="11"/>
      <c r="D645" s="63"/>
      <c r="E645" s="11"/>
      <c r="F645" s="65"/>
      <c r="G645" s="12"/>
      <c r="H645" s="41"/>
      <c r="I645" s="30"/>
      <c r="J645" s="30"/>
      <c r="K645" s="97"/>
      <c r="L645" s="11"/>
      <c r="M645" s="11"/>
      <c r="N645" s="11"/>
      <c r="O645" s="11"/>
      <c r="P645" s="82"/>
    </row>
    <row r="646" spans="2:16" s="9" customFormat="1" x14ac:dyDescent="0.2">
      <c r="B646" s="10"/>
      <c r="C646" s="11"/>
      <c r="D646" s="63"/>
      <c r="E646" s="11"/>
      <c r="F646" s="65"/>
      <c r="G646" s="12"/>
      <c r="H646" s="41"/>
      <c r="I646" s="30"/>
      <c r="J646" s="30"/>
      <c r="K646" s="97"/>
      <c r="L646" s="11"/>
      <c r="M646" s="11"/>
      <c r="N646" s="11"/>
      <c r="O646" s="11"/>
      <c r="P646" s="82"/>
    </row>
    <row r="647" spans="2:16" s="9" customFormat="1" x14ac:dyDescent="0.2">
      <c r="B647" s="10"/>
      <c r="C647" s="11"/>
      <c r="D647" s="63"/>
      <c r="E647" s="11"/>
      <c r="F647" s="65"/>
      <c r="G647" s="12"/>
      <c r="H647" s="41"/>
      <c r="I647" s="30"/>
      <c r="J647" s="30"/>
      <c r="K647" s="97"/>
      <c r="L647" s="11"/>
      <c r="M647" s="11"/>
      <c r="N647" s="11"/>
      <c r="O647" s="11"/>
      <c r="P647" s="82"/>
    </row>
    <row r="648" spans="2:16" s="9" customFormat="1" x14ac:dyDescent="0.2">
      <c r="B648" s="10"/>
      <c r="C648" s="11"/>
      <c r="D648" s="63"/>
      <c r="E648" s="11"/>
      <c r="F648" s="65"/>
      <c r="G648" s="12"/>
      <c r="H648" s="41"/>
      <c r="I648" s="30"/>
      <c r="J648" s="30"/>
      <c r="K648" s="97"/>
      <c r="L648" s="11"/>
      <c r="M648" s="11"/>
      <c r="N648" s="11"/>
      <c r="O648" s="11"/>
      <c r="P648" s="82"/>
    </row>
    <row r="649" spans="2:16" s="9" customFormat="1" x14ac:dyDescent="0.2">
      <c r="B649" s="10"/>
      <c r="C649" s="11"/>
      <c r="D649" s="63"/>
      <c r="E649" s="11"/>
      <c r="F649" s="65"/>
      <c r="G649" s="12"/>
      <c r="H649" s="41"/>
      <c r="I649" s="30"/>
      <c r="J649" s="30"/>
      <c r="K649" s="97"/>
      <c r="L649" s="11"/>
      <c r="M649" s="11"/>
      <c r="N649" s="11"/>
      <c r="O649" s="11"/>
      <c r="P649" s="82"/>
    </row>
    <row r="650" spans="2:16" s="9" customFormat="1" x14ac:dyDescent="0.2">
      <c r="B650" s="10"/>
      <c r="C650" s="11"/>
      <c r="D650" s="63"/>
      <c r="E650" s="11"/>
      <c r="F650" s="65"/>
      <c r="G650" s="12"/>
      <c r="H650" s="41"/>
      <c r="I650" s="30"/>
      <c r="J650" s="30"/>
      <c r="K650" s="97"/>
      <c r="L650" s="11"/>
      <c r="M650" s="11"/>
      <c r="N650" s="11"/>
      <c r="O650" s="11"/>
      <c r="P650" s="82"/>
    </row>
    <row r="651" spans="2:16" s="9" customFormat="1" x14ac:dyDescent="0.2">
      <c r="B651" s="10"/>
      <c r="C651" s="11"/>
      <c r="D651" s="63"/>
      <c r="E651" s="11"/>
      <c r="F651" s="65"/>
      <c r="G651" s="12"/>
      <c r="H651" s="41"/>
      <c r="I651" s="30"/>
      <c r="J651" s="30"/>
      <c r="K651" s="97"/>
      <c r="L651" s="11"/>
      <c r="M651" s="11"/>
      <c r="N651" s="11"/>
      <c r="O651" s="11"/>
      <c r="P651" s="82"/>
    </row>
    <row r="652" spans="2:16" s="9" customFormat="1" x14ac:dyDescent="0.2">
      <c r="B652" s="10"/>
      <c r="C652" s="11"/>
      <c r="D652" s="63"/>
      <c r="E652" s="11"/>
      <c r="F652" s="65"/>
      <c r="G652" s="12"/>
      <c r="H652" s="41"/>
      <c r="I652" s="30"/>
      <c r="J652" s="30"/>
      <c r="K652" s="97"/>
      <c r="L652" s="11"/>
      <c r="M652" s="11"/>
      <c r="N652" s="11"/>
      <c r="O652" s="11"/>
      <c r="P652" s="82"/>
    </row>
    <row r="653" spans="2:16" s="9" customFormat="1" x14ac:dyDescent="0.2">
      <c r="B653" s="10"/>
      <c r="C653" s="11"/>
      <c r="D653" s="63"/>
      <c r="E653" s="11"/>
      <c r="F653" s="65"/>
      <c r="G653" s="12"/>
      <c r="H653" s="41"/>
      <c r="I653" s="30"/>
      <c r="J653" s="30"/>
      <c r="K653" s="97"/>
      <c r="L653" s="11"/>
      <c r="M653" s="11"/>
      <c r="N653" s="11"/>
      <c r="O653" s="11"/>
      <c r="P653" s="82"/>
    </row>
    <row r="654" spans="2:16" s="9" customFormat="1" x14ac:dyDescent="0.2">
      <c r="B654" s="10"/>
      <c r="C654" s="11"/>
      <c r="D654" s="63"/>
      <c r="E654" s="11"/>
      <c r="F654" s="65"/>
      <c r="G654" s="12"/>
      <c r="H654" s="41"/>
      <c r="I654" s="30"/>
      <c r="J654" s="30"/>
      <c r="K654" s="97"/>
      <c r="L654" s="11"/>
      <c r="M654" s="11"/>
      <c r="N654" s="11"/>
      <c r="O654" s="11"/>
      <c r="P654" s="82"/>
    </row>
    <row r="655" spans="2:16" s="9" customFormat="1" x14ac:dyDescent="0.2">
      <c r="B655" s="10"/>
      <c r="C655" s="11"/>
      <c r="D655" s="63"/>
      <c r="E655" s="11"/>
      <c r="F655" s="65"/>
      <c r="G655" s="12"/>
      <c r="H655" s="41"/>
      <c r="I655" s="30"/>
      <c r="J655" s="30"/>
      <c r="K655" s="97"/>
      <c r="L655" s="11"/>
      <c r="M655" s="11"/>
      <c r="N655" s="11"/>
      <c r="O655" s="11"/>
      <c r="P655" s="82"/>
    </row>
    <row r="656" spans="2:16" s="9" customFormat="1" x14ac:dyDescent="0.2">
      <c r="B656" s="10"/>
      <c r="C656" s="11"/>
      <c r="D656" s="63"/>
      <c r="E656" s="11"/>
      <c r="F656" s="65"/>
      <c r="G656" s="12"/>
      <c r="H656" s="41"/>
      <c r="I656" s="30"/>
      <c r="J656" s="30"/>
      <c r="K656" s="97"/>
      <c r="L656" s="11"/>
      <c r="M656" s="11"/>
      <c r="N656" s="11"/>
      <c r="O656" s="11"/>
      <c r="P656" s="82"/>
    </row>
    <row r="657" spans="2:16" s="9" customFormat="1" x14ac:dyDescent="0.2">
      <c r="B657" s="10"/>
      <c r="C657" s="11"/>
      <c r="D657" s="63"/>
      <c r="E657" s="11"/>
      <c r="F657" s="65"/>
      <c r="G657" s="12"/>
      <c r="H657" s="41"/>
      <c r="I657" s="30"/>
      <c r="J657" s="30"/>
      <c r="K657" s="97"/>
      <c r="L657" s="11"/>
      <c r="M657" s="11"/>
      <c r="N657" s="11"/>
      <c r="O657" s="11"/>
      <c r="P657" s="82"/>
    </row>
    <row r="658" spans="2:16" s="9" customFormat="1" x14ac:dyDescent="0.2">
      <c r="B658" s="10"/>
      <c r="C658" s="11"/>
      <c r="D658" s="63"/>
      <c r="E658" s="11"/>
      <c r="F658" s="65"/>
      <c r="G658" s="12"/>
      <c r="H658" s="41"/>
      <c r="I658" s="30"/>
      <c r="J658" s="30"/>
      <c r="K658" s="97"/>
      <c r="L658" s="11"/>
      <c r="M658" s="11"/>
      <c r="N658" s="11"/>
      <c r="O658" s="11"/>
      <c r="P658" s="82"/>
    </row>
    <row r="659" spans="2:16" s="9" customFormat="1" x14ac:dyDescent="0.2">
      <c r="B659" s="10"/>
      <c r="C659" s="11"/>
      <c r="D659" s="63"/>
      <c r="E659" s="11"/>
      <c r="F659" s="65"/>
      <c r="G659" s="12"/>
      <c r="H659" s="41"/>
      <c r="I659" s="30"/>
      <c r="J659" s="30"/>
      <c r="K659" s="97"/>
      <c r="L659" s="11"/>
      <c r="M659" s="11"/>
      <c r="N659" s="11"/>
      <c r="O659" s="11"/>
      <c r="P659" s="82"/>
    </row>
    <row r="660" spans="2:16" s="9" customFormat="1" x14ac:dyDescent="0.2">
      <c r="B660" s="10"/>
      <c r="C660" s="11"/>
      <c r="D660" s="63"/>
      <c r="E660" s="11"/>
      <c r="F660" s="65"/>
      <c r="G660" s="12"/>
      <c r="H660" s="41"/>
      <c r="I660" s="30"/>
      <c r="J660" s="30"/>
      <c r="K660" s="97"/>
      <c r="L660" s="11"/>
      <c r="M660" s="11"/>
      <c r="N660" s="11"/>
      <c r="O660" s="11"/>
      <c r="P660" s="82"/>
    </row>
    <row r="661" spans="2:16" s="9" customFormat="1" x14ac:dyDescent="0.2">
      <c r="B661" s="10"/>
      <c r="C661" s="11"/>
      <c r="D661" s="63"/>
      <c r="E661" s="11"/>
      <c r="F661" s="65"/>
      <c r="G661" s="12"/>
      <c r="H661" s="41"/>
      <c r="I661" s="30"/>
      <c r="J661" s="30"/>
      <c r="K661" s="97"/>
      <c r="L661" s="11"/>
      <c r="M661" s="11"/>
      <c r="N661" s="11"/>
      <c r="O661" s="11"/>
      <c r="P661" s="82"/>
    </row>
    <row r="662" spans="2:16" s="9" customFormat="1" x14ac:dyDescent="0.2">
      <c r="B662" s="10"/>
      <c r="C662" s="11"/>
      <c r="D662" s="63"/>
      <c r="E662" s="11"/>
      <c r="F662" s="65"/>
      <c r="G662" s="12"/>
      <c r="H662" s="41"/>
      <c r="I662" s="30"/>
      <c r="J662" s="30"/>
      <c r="K662" s="97"/>
      <c r="L662" s="11"/>
      <c r="M662" s="11"/>
      <c r="N662" s="11"/>
      <c r="O662" s="11"/>
      <c r="P662" s="82"/>
    </row>
    <row r="663" spans="2:16" s="9" customFormat="1" x14ac:dyDescent="0.2">
      <c r="B663" s="10"/>
      <c r="C663" s="11"/>
      <c r="D663" s="63"/>
      <c r="E663" s="11"/>
      <c r="F663" s="65"/>
      <c r="G663" s="12"/>
      <c r="H663" s="41"/>
      <c r="I663" s="30"/>
      <c r="J663" s="30"/>
      <c r="K663" s="97"/>
      <c r="L663" s="11"/>
      <c r="M663" s="11"/>
      <c r="N663" s="11"/>
      <c r="O663" s="11"/>
      <c r="P663" s="82"/>
    </row>
    <row r="664" spans="2:16" s="9" customFormat="1" x14ac:dyDescent="0.2">
      <c r="B664" s="10"/>
      <c r="C664" s="11"/>
      <c r="D664" s="63"/>
      <c r="E664" s="11"/>
      <c r="F664" s="65"/>
      <c r="G664" s="12"/>
      <c r="H664" s="41"/>
      <c r="I664" s="30"/>
      <c r="J664" s="30"/>
      <c r="K664" s="97"/>
      <c r="L664" s="11"/>
      <c r="M664" s="11"/>
      <c r="N664" s="11"/>
      <c r="O664" s="11"/>
      <c r="P664" s="82"/>
    </row>
    <row r="665" spans="2:16" s="9" customFormat="1" x14ac:dyDescent="0.2">
      <c r="B665" s="10"/>
      <c r="C665" s="11"/>
      <c r="D665" s="63"/>
      <c r="E665" s="11"/>
      <c r="F665" s="65"/>
      <c r="G665" s="12"/>
      <c r="H665" s="41"/>
      <c r="I665" s="30"/>
      <c r="J665" s="30"/>
      <c r="K665" s="97"/>
      <c r="L665" s="11"/>
      <c r="M665" s="11"/>
      <c r="N665" s="11"/>
      <c r="O665" s="11"/>
      <c r="P665" s="82"/>
    </row>
    <row r="666" spans="2:16" s="9" customFormat="1" x14ac:dyDescent="0.2">
      <c r="B666" s="10"/>
      <c r="C666" s="11"/>
      <c r="D666" s="63"/>
      <c r="E666" s="11"/>
      <c r="F666" s="65"/>
      <c r="G666" s="12"/>
      <c r="H666" s="41"/>
      <c r="I666" s="30"/>
      <c r="J666" s="30"/>
      <c r="K666" s="97"/>
      <c r="L666" s="11"/>
      <c r="M666" s="11"/>
      <c r="N666" s="11"/>
      <c r="O666" s="11"/>
      <c r="P666" s="82"/>
    </row>
    <row r="667" spans="2:16" s="9" customFormat="1" x14ac:dyDescent="0.2">
      <c r="B667" s="10"/>
      <c r="C667" s="11"/>
      <c r="D667" s="63"/>
      <c r="E667" s="11"/>
      <c r="F667" s="65"/>
      <c r="G667" s="12"/>
      <c r="H667" s="41"/>
      <c r="I667" s="30"/>
      <c r="J667" s="30"/>
      <c r="K667" s="97"/>
      <c r="L667" s="11"/>
      <c r="M667" s="11"/>
      <c r="N667" s="11"/>
      <c r="O667" s="11"/>
      <c r="P667" s="82"/>
    </row>
    <row r="668" spans="2:16" s="9" customFormat="1" x14ac:dyDescent="0.2">
      <c r="B668" s="10"/>
      <c r="C668" s="11"/>
      <c r="D668" s="63"/>
      <c r="E668" s="11"/>
      <c r="F668" s="65"/>
      <c r="G668" s="12"/>
      <c r="H668" s="41"/>
      <c r="I668" s="30"/>
      <c r="J668" s="30"/>
      <c r="K668" s="97"/>
      <c r="L668" s="11"/>
      <c r="M668" s="11"/>
      <c r="N668" s="11"/>
      <c r="O668" s="11"/>
      <c r="P668" s="82"/>
    </row>
    <row r="669" spans="2:16" s="9" customFormat="1" x14ac:dyDescent="0.2">
      <c r="B669" s="10"/>
      <c r="C669" s="11"/>
      <c r="D669" s="63"/>
      <c r="E669" s="11"/>
      <c r="F669" s="65"/>
      <c r="G669" s="12"/>
      <c r="H669" s="41"/>
      <c r="I669" s="30"/>
      <c r="J669" s="30"/>
      <c r="K669" s="97"/>
      <c r="L669" s="11"/>
      <c r="M669" s="11"/>
      <c r="N669" s="11"/>
      <c r="O669" s="11"/>
      <c r="P669" s="82"/>
    </row>
    <row r="670" spans="2:16" s="9" customFormat="1" x14ac:dyDescent="0.2">
      <c r="B670" s="10"/>
      <c r="C670" s="11"/>
      <c r="D670" s="63"/>
      <c r="E670" s="11"/>
      <c r="F670" s="65"/>
      <c r="G670" s="12"/>
      <c r="H670" s="41"/>
      <c r="I670" s="30"/>
      <c r="J670" s="30"/>
      <c r="K670" s="97"/>
      <c r="L670" s="11"/>
      <c r="M670" s="11"/>
      <c r="N670" s="11"/>
      <c r="O670" s="11"/>
      <c r="P670" s="82"/>
    </row>
    <row r="671" spans="2:16" s="9" customFormat="1" x14ac:dyDescent="0.2">
      <c r="B671" s="10"/>
      <c r="C671" s="11"/>
      <c r="D671" s="63"/>
      <c r="E671" s="11"/>
      <c r="F671" s="65"/>
      <c r="G671" s="12"/>
      <c r="H671" s="41"/>
      <c r="I671" s="30"/>
      <c r="J671" s="30"/>
      <c r="K671" s="97"/>
      <c r="L671" s="11"/>
      <c r="M671" s="11"/>
      <c r="N671" s="11"/>
      <c r="O671" s="11"/>
      <c r="P671" s="82"/>
    </row>
    <row r="672" spans="2:16" s="9" customFormat="1" x14ac:dyDescent="0.2">
      <c r="B672" s="10"/>
      <c r="C672" s="11"/>
      <c r="D672" s="63"/>
      <c r="E672" s="11"/>
      <c r="F672" s="65"/>
      <c r="G672" s="12"/>
      <c r="H672" s="41"/>
      <c r="I672" s="30"/>
      <c r="J672" s="30"/>
      <c r="K672" s="97"/>
      <c r="L672" s="11"/>
      <c r="M672" s="11"/>
      <c r="N672" s="11"/>
      <c r="O672" s="11"/>
      <c r="P672" s="82"/>
    </row>
    <row r="673" spans="2:16" s="9" customFormat="1" x14ac:dyDescent="0.2">
      <c r="B673" s="10"/>
      <c r="C673" s="11"/>
      <c r="D673" s="63"/>
      <c r="E673" s="11"/>
      <c r="F673" s="65"/>
      <c r="G673" s="12"/>
      <c r="H673" s="41"/>
      <c r="I673" s="30"/>
      <c r="J673" s="30"/>
      <c r="K673" s="97"/>
      <c r="L673" s="11"/>
      <c r="M673" s="11"/>
      <c r="N673" s="11"/>
      <c r="O673" s="11"/>
      <c r="P673" s="82"/>
    </row>
    <row r="674" spans="2:16" s="9" customFormat="1" x14ac:dyDescent="0.2">
      <c r="B674" s="10"/>
      <c r="C674" s="11"/>
      <c r="D674" s="63"/>
      <c r="E674" s="11"/>
      <c r="F674" s="65"/>
      <c r="G674" s="12"/>
      <c r="H674" s="41"/>
      <c r="I674" s="30"/>
      <c r="J674" s="30"/>
      <c r="K674" s="97"/>
      <c r="L674" s="11"/>
      <c r="M674" s="11"/>
      <c r="N674" s="11"/>
      <c r="O674" s="11"/>
      <c r="P674" s="82"/>
    </row>
    <row r="675" spans="2:16" s="9" customFormat="1" x14ac:dyDescent="0.2">
      <c r="B675" s="10"/>
      <c r="C675" s="11"/>
      <c r="D675" s="63"/>
      <c r="E675" s="11"/>
      <c r="F675" s="65"/>
      <c r="G675" s="12"/>
      <c r="H675" s="41"/>
      <c r="I675" s="30"/>
      <c r="J675" s="30"/>
      <c r="K675" s="97"/>
      <c r="L675" s="11"/>
      <c r="M675" s="11"/>
      <c r="N675" s="11"/>
      <c r="O675" s="11"/>
      <c r="P675" s="82"/>
    </row>
    <row r="676" spans="2:16" s="9" customFormat="1" x14ac:dyDescent="0.2">
      <c r="B676" s="10"/>
      <c r="C676" s="11"/>
      <c r="D676" s="63"/>
      <c r="E676" s="11"/>
      <c r="F676" s="65"/>
      <c r="G676" s="12"/>
      <c r="H676" s="41"/>
      <c r="I676" s="30"/>
      <c r="J676" s="30"/>
      <c r="K676" s="97"/>
      <c r="L676" s="11"/>
      <c r="M676" s="11"/>
      <c r="N676" s="11"/>
      <c r="O676" s="11"/>
      <c r="P676" s="82"/>
    </row>
    <row r="677" spans="2:16" s="9" customFormat="1" x14ac:dyDescent="0.2">
      <c r="B677" s="10"/>
      <c r="C677" s="11"/>
      <c r="D677" s="63"/>
      <c r="E677" s="11"/>
      <c r="F677" s="65"/>
      <c r="G677" s="12"/>
      <c r="H677" s="41"/>
      <c r="I677" s="30"/>
      <c r="J677" s="30"/>
      <c r="K677" s="97"/>
      <c r="L677" s="11"/>
      <c r="M677" s="11"/>
      <c r="N677" s="11"/>
      <c r="O677" s="11"/>
      <c r="P677" s="82"/>
    </row>
    <row r="678" spans="2:16" s="9" customFormat="1" x14ac:dyDescent="0.2">
      <c r="B678" s="10"/>
      <c r="C678" s="11"/>
      <c r="D678" s="63"/>
      <c r="E678" s="11"/>
      <c r="F678" s="65"/>
      <c r="G678" s="12"/>
      <c r="H678" s="41"/>
      <c r="I678" s="30"/>
      <c r="J678" s="30"/>
      <c r="K678" s="97"/>
      <c r="L678" s="11"/>
      <c r="M678" s="11"/>
      <c r="N678" s="11"/>
      <c r="O678" s="11"/>
      <c r="P678" s="82"/>
    </row>
    <row r="679" spans="2:16" s="9" customFormat="1" x14ac:dyDescent="0.2">
      <c r="B679" s="10"/>
      <c r="C679" s="11"/>
      <c r="D679" s="63"/>
      <c r="E679" s="11"/>
      <c r="F679" s="65"/>
      <c r="G679" s="12"/>
      <c r="H679" s="41"/>
      <c r="I679" s="30"/>
      <c r="J679" s="30"/>
      <c r="K679" s="97"/>
      <c r="L679" s="11"/>
      <c r="M679" s="11"/>
      <c r="N679" s="11"/>
      <c r="O679" s="11"/>
      <c r="P679" s="82"/>
    </row>
    <row r="680" spans="2:16" s="9" customFormat="1" x14ac:dyDescent="0.2">
      <c r="B680" s="10"/>
      <c r="C680" s="11"/>
      <c r="D680" s="63"/>
      <c r="E680" s="11"/>
      <c r="F680" s="65"/>
      <c r="G680" s="12"/>
      <c r="H680" s="41"/>
      <c r="I680" s="30"/>
      <c r="J680" s="30"/>
      <c r="K680" s="97"/>
      <c r="L680" s="11"/>
      <c r="M680" s="11"/>
      <c r="N680" s="11"/>
      <c r="O680" s="11"/>
      <c r="P680" s="82"/>
    </row>
    <row r="681" spans="2:16" s="9" customFormat="1" x14ac:dyDescent="0.2">
      <c r="B681" s="10"/>
      <c r="C681" s="11"/>
      <c r="D681" s="63"/>
      <c r="E681" s="11"/>
      <c r="F681" s="65"/>
      <c r="G681" s="12"/>
      <c r="H681" s="41"/>
      <c r="I681" s="30"/>
      <c r="J681" s="30"/>
      <c r="K681" s="97"/>
      <c r="L681" s="11"/>
      <c r="M681" s="11"/>
      <c r="N681" s="11"/>
      <c r="O681" s="11"/>
      <c r="P681" s="82"/>
    </row>
    <row r="682" spans="2:16" s="9" customFormat="1" x14ac:dyDescent="0.2">
      <c r="B682" s="10"/>
      <c r="C682" s="11"/>
      <c r="D682" s="63"/>
      <c r="E682" s="11"/>
      <c r="F682" s="65"/>
      <c r="G682" s="12"/>
      <c r="H682" s="41"/>
      <c r="I682" s="30"/>
      <c r="J682" s="30"/>
      <c r="K682" s="97"/>
      <c r="L682" s="11"/>
      <c r="M682" s="11"/>
      <c r="N682" s="11"/>
      <c r="O682" s="11"/>
      <c r="P682" s="82"/>
    </row>
    <row r="683" spans="2:16" s="9" customFormat="1" x14ac:dyDescent="0.2">
      <c r="B683" s="10"/>
      <c r="C683" s="11"/>
      <c r="D683" s="63"/>
      <c r="E683" s="11"/>
      <c r="F683" s="65"/>
      <c r="G683" s="12"/>
      <c r="H683" s="41"/>
      <c r="I683" s="30"/>
      <c r="J683" s="30"/>
      <c r="K683" s="97"/>
      <c r="L683" s="11"/>
      <c r="M683" s="11"/>
      <c r="N683" s="11"/>
      <c r="O683" s="11"/>
      <c r="P683" s="82"/>
    </row>
    <row r="684" spans="2:16" s="9" customFormat="1" x14ac:dyDescent="0.2">
      <c r="B684" s="10"/>
      <c r="C684" s="11"/>
      <c r="D684" s="63"/>
      <c r="E684" s="11"/>
      <c r="F684" s="65"/>
      <c r="G684" s="12"/>
      <c r="H684" s="41"/>
      <c r="I684" s="30"/>
      <c r="J684" s="30"/>
      <c r="K684" s="97"/>
      <c r="L684" s="11"/>
      <c r="M684" s="11"/>
      <c r="N684" s="11"/>
      <c r="O684" s="11"/>
      <c r="P684" s="82"/>
    </row>
    <row r="685" spans="2:16" s="9" customFormat="1" x14ac:dyDescent="0.2">
      <c r="B685" s="10"/>
      <c r="C685" s="11"/>
      <c r="D685" s="63"/>
      <c r="E685" s="11"/>
      <c r="F685" s="65"/>
      <c r="G685" s="12"/>
      <c r="H685" s="41"/>
      <c r="I685" s="30"/>
      <c r="J685" s="30"/>
      <c r="K685" s="97"/>
      <c r="L685" s="11"/>
      <c r="M685" s="11"/>
      <c r="N685" s="11"/>
      <c r="O685" s="11"/>
      <c r="P685" s="82"/>
    </row>
    <row r="686" spans="2:16" s="9" customFormat="1" x14ac:dyDescent="0.2">
      <c r="B686" s="10"/>
      <c r="C686" s="11"/>
      <c r="D686" s="63"/>
      <c r="E686" s="11"/>
      <c r="F686" s="65"/>
      <c r="G686" s="12"/>
      <c r="H686" s="41"/>
      <c r="I686" s="30"/>
      <c r="J686" s="30"/>
      <c r="K686" s="97"/>
      <c r="L686" s="11"/>
      <c r="M686" s="11"/>
      <c r="N686" s="11"/>
      <c r="O686" s="11"/>
      <c r="P686" s="82"/>
    </row>
    <row r="687" spans="2:16" s="9" customFormat="1" x14ac:dyDescent="0.2">
      <c r="B687" s="10"/>
      <c r="C687" s="11"/>
      <c r="D687" s="63"/>
      <c r="E687" s="11"/>
      <c r="F687" s="65"/>
      <c r="G687" s="12"/>
      <c r="H687" s="41"/>
      <c r="I687" s="30"/>
      <c r="J687" s="30"/>
      <c r="K687" s="97"/>
      <c r="L687" s="11"/>
      <c r="M687" s="11"/>
      <c r="N687" s="11"/>
      <c r="O687" s="11"/>
      <c r="P687" s="82"/>
    </row>
    <row r="688" spans="2:16" s="9" customFormat="1" x14ac:dyDescent="0.2">
      <c r="B688" s="10"/>
      <c r="C688" s="11"/>
      <c r="D688" s="63"/>
      <c r="E688" s="11"/>
      <c r="F688" s="65"/>
      <c r="G688" s="12"/>
      <c r="H688" s="41"/>
      <c r="I688" s="30"/>
      <c r="J688" s="30"/>
      <c r="K688" s="97"/>
      <c r="L688" s="11"/>
      <c r="M688" s="11"/>
      <c r="N688" s="11"/>
      <c r="O688" s="11"/>
      <c r="P688" s="82"/>
    </row>
    <row r="689" spans="2:16" s="9" customFormat="1" x14ac:dyDescent="0.2">
      <c r="B689" s="10"/>
      <c r="C689" s="11"/>
      <c r="D689" s="63"/>
      <c r="E689" s="11"/>
      <c r="F689" s="65"/>
      <c r="G689" s="12"/>
      <c r="H689" s="41"/>
      <c r="I689" s="30"/>
      <c r="J689" s="30"/>
      <c r="K689" s="97"/>
      <c r="L689" s="11"/>
      <c r="M689" s="11"/>
      <c r="N689" s="11"/>
      <c r="O689" s="11"/>
      <c r="P689" s="82"/>
    </row>
    <row r="690" spans="2:16" s="9" customFormat="1" x14ac:dyDescent="0.2">
      <c r="B690" s="10"/>
      <c r="C690" s="11"/>
      <c r="D690" s="63"/>
      <c r="E690" s="11"/>
      <c r="F690" s="65"/>
      <c r="G690" s="12"/>
      <c r="H690" s="41"/>
      <c r="I690" s="30"/>
      <c r="J690" s="30"/>
      <c r="K690" s="97"/>
      <c r="L690" s="11"/>
      <c r="M690" s="11"/>
      <c r="N690" s="11"/>
      <c r="O690" s="11"/>
      <c r="P690" s="82"/>
    </row>
    <row r="691" spans="2:16" s="9" customFormat="1" x14ac:dyDescent="0.2">
      <c r="B691" s="10"/>
      <c r="C691" s="11"/>
      <c r="D691" s="63"/>
      <c r="E691" s="11"/>
      <c r="F691" s="65"/>
      <c r="G691" s="12"/>
      <c r="H691" s="41"/>
      <c r="I691" s="30"/>
      <c r="J691" s="30"/>
      <c r="K691" s="97"/>
      <c r="L691" s="11"/>
      <c r="M691" s="11"/>
      <c r="N691" s="11"/>
      <c r="O691" s="11"/>
      <c r="P691" s="82"/>
    </row>
    <row r="692" spans="2:16" s="9" customFormat="1" x14ac:dyDescent="0.2">
      <c r="B692" s="10"/>
      <c r="C692" s="11"/>
      <c r="D692" s="63"/>
      <c r="E692" s="11"/>
      <c r="F692" s="65"/>
      <c r="G692" s="12"/>
      <c r="H692" s="41"/>
      <c r="I692" s="30"/>
      <c r="J692" s="30"/>
      <c r="K692" s="97"/>
      <c r="L692" s="11"/>
      <c r="M692" s="11"/>
      <c r="N692" s="11"/>
      <c r="O692" s="11"/>
      <c r="P692" s="82"/>
    </row>
    <row r="693" spans="2:16" s="9" customFormat="1" x14ac:dyDescent="0.2">
      <c r="B693" s="10"/>
      <c r="C693" s="11"/>
      <c r="D693" s="63"/>
      <c r="E693" s="11"/>
      <c r="F693" s="65"/>
      <c r="G693" s="12"/>
      <c r="H693" s="41"/>
      <c r="I693" s="30"/>
      <c r="J693" s="30"/>
      <c r="K693" s="97"/>
      <c r="L693" s="11"/>
      <c r="M693" s="11"/>
      <c r="N693" s="11"/>
      <c r="O693" s="11"/>
      <c r="P693" s="82"/>
    </row>
    <row r="694" spans="2:16" s="9" customFormat="1" x14ac:dyDescent="0.2">
      <c r="B694" s="10"/>
      <c r="C694" s="11"/>
      <c r="D694" s="63"/>
      <c r="E694" s="11"/>
      <c r="F694" s="65"/>
      <c r="G694" s="12"/>
      <c r="H694" s="41"/>
      <c r="I694" s="30"/>
      <c r="J694" s="30"/>
      <c r="K694" s="97"/>
      <c r="L694" s="11"/>
      <c r="M694" s="11"/>
      <c r="N694" s="11"/>
      <c r="O694" s="11"/>
      <c r="P694" s="82"/>
    </row>
    <row r="695" spans="2:16" s="9" customFormat="1" x14ac:dyDescent="0.2">
      <c r="B695" s="10"/>
      <c r="C695" s="11"/>
      <c r="D695" s="63"/>
      <c r="E695" s="11"/>
      <c r="F695" s="65"/>
      <c r="G695" s="12"/>
      <c r="H695" s="41"/>
      <c r="I695" s="30"/>
      <c r="J695" s="30"/>
      <c r="K695" s="97"/>
      <c r="L695" s="11"/>
      <c r="M695" s="11"/>
      <c r="N695" s="11"/>
      <c r="O695" s="11"/>
      <c r="P695" s="82"/>
    </row>
    <row r="696" spans="2:16" s="9" customFormat="1" x14ac:dyDescent="0.2">
      <c r="B696" s="10"/>
      <c r="C696" s="11"/>
      <c r="D696" s="63"/>
      <c r="E696" s="11"/>
      <c r="F696" s="65"/>
      <c r="G696" s="12"/>
      <c r="H696" s="41"/>
      <c r="I696" s="30"/>
      <c r="J696" s="30"/>
      <c r="K696" s="97"/>
      <c r="L696" s="11"/>
      <c r="M696" s="11"/>
      <c r="N696" s="11"/>
      <c r="O696" s="11"/>
      <c r="P696" s="82"/>
    </row>
    <row r="697" spans="2:16" s="9" customFormat="1" x14ac:dyDescent="0.2">
      <c r="B697" s="10"/>
      <c r="C697" s="11"/>
      <c r="D697" s="63"/>
      <c r="E697" s="11"/>
      <c r="F697" s="65"/>
      <c r="G697" s="12"/>
      <c r="H697" s="41"/>
      <c r="I697" s="30"/>
      <c r="J697" s="30"/>
      <c r="K697" s="97"/>
      <c r="L697" s="11"/>
      <c r="M697" s="11"/>
      <c r="N697" s="11"/>
      <c r="O697" s="11"/>
      <c r="P697" s="82"/>
    </row>
    <row r="698" spans="2:16" s="9" customFormat="1" x14ac:dyDescent="0.2">
      <c r="B698" s="10"/>
      <c r="C698" s="11"/>
      <c r="D698" s="63"/>
      <c r="E698" s="11"/>
      <c r="F698" s="65"/>
      <c r="G698" s="12"/>
      <c r="H698" s="41"/>
      <c r="I698" s="30"/>
      <c r="J698" s="30"/>
      <c r="K698" s="97"/>
      <c r="L698" s="11"/>
      <c r="M698" s="11"/>
      <c r="N698" s="11"/>
      <c r="O698" s="11"/>
      <c r="P698" s="82"/>
    </row>
    <row r="699" spans="2:16" s="9" customFormat="1" x14ac:dyDescent="0.2">
      <c r="B699" s="10"/>
      <c r="C699" s="11"/>
      <c r="D699" s="63"/>
      <c r="E699" s="11"/>
      <c r="F699" s="65"/>
      <c r="G699" s="12"/>
      <c r="H699" s="41"/>
      <c r="I699" s="30"/>
      <c r="J699" s="30"/>
      <c r="K699" s="97"/>
      <c r="L699" s="11"/>
      <c r="M699" s="11"/>
      <c r="N699" s="11"/>
      <c r="O699" s="11"/>
      <c r="P699" s="82"/>
    </row>
    <row r="700" spans="2:16" s="9" customFormat="1" x14ac:dyDescent="0.2">
      <c r="B700" s="10"/>
      <c r="C700" s="11"/>
      <c r="D700" s="63"/>
      <c r="E700" s="11"/>
      <c r="F700" s="65"/>
      <c r="G700" s="12"/>
      <c r="H700" s="41"/>
      <c r="I700" s="30"/>
      <c r="J700" s="30"/>
      <c r="K700" s="97"/>
      <c r="L700" s="11"/>
      <c r="M700" s="11"/>
      <c r="N700" s="11"/>
      <c r="O700" s="11"/>
      <c r="P700" s="82"/>
    </row>
    <row r="701" spans="2:16" s="9" customFormat="1" x14ac:dyDescent="0.2">
      <c r="B701" s="10"/>
      <c r="C701" s="11"/>
      <c r="D701" s="63"/>
      <c r="E701" s="11"/>
      <c r="F701" s="65"/>
      <c r="G701" s="12"/>
      <c r="H701" s="41"/>
      <c r="I701" s="30"/>
      <c r="J701" s="30"/>
      <c r="K701" s="97"/>
      <c r="L701" s="11"/>
      <c r="M701" s="11"/>
      <c r="N701" s="11"/>
      <c r="O701" s="11"/>
      <c r="P701" s="82"/>
    </row>
    <row r="702" spans="2:16" s="9" customFormat="1" x14ac:dyDescent="0.2">
      <c r="B702" s="10"/>
      <c r="C702" s="11"/>
      <c r="D702" s="63"/>
      <c r="E702" s="11"/>
      <c r="F702" s="65"/>
      <c r="G702" s="12"/>
      <c r="H702" s="41"/>
      <c r="I702" s="30"/>
      <c r="J702" s="30"/>
      <c r="K702" s="97"/>
      <c r="L702" s="11"/>
      <c r="M702" s="11"/>
      <c r="N702" s="11"/>
      <c r="O702" s="11"/>
      <c r="P702" s="82"/>
    </row>
    <row r="703" spans="2:16" s="9" customFormat="1" x14ac:dyDescent="0.2">
      <c r="B703" s="10"/>
      <c r="C703" s="11"/>
      <c r="D703" s="63"/>
      <c r="E703" s="11"/>
      <c r="F703" s="65"/>
      <c r="G703" s="12"/>
      <c r="H703" s="41"/>
      <c r="I703" s="30"/>
      <c r="J703" s="30"/>
      <c r="K703" s="97"/>
      <c r="L703" s="11"/>
      <c r="M703" s="11"/>
      <c r="N703" s="11"/>
      <c r="O703" s="11"/>
      <c r="P703" s="82"/>
    </row>
    <row r="704" spans="2:16" s="9" customFormat="1" x14ac:dyDescent="0.2">
      <c r="B704" s="10"/>
      <c r="C704" s="11"/>
      <c r="D704" s="63"/>
      <c r="E704" s="11"/>
      <c r="F704" s="65"/>
      <c r="G704" s="12"/>
      <c r="H704" s="41"/>
      <c r="I704" s="30"/>
      <c r="J704" s="30"/>
      <c r="K704" s="97"/>
      <c r="L704" s="11"/>
      <c r="M704" s="11"/>
      <c r="N704" s="11"/>
      <c r="O704" s="11"/>
      <c r="P704" s="82"/>
    </row>
    <row r="705" spans="2:16" s="9" customFormat="1" x14ac:dyDescent="0.2">
      <c r="B705" s="10"/>
      <c r="C705" s="11"/>
      <c r="D705" s="63"/>
      <c r="E705" s="11"/>
      <c r="F705" s="65"/>
      <c r="G705" s="12"/>
      <c r="H705" s="41"/>
      <c r="I705" s="30"/>
      <c r="J705" s="30"/>
      <c r="K705" s="97"/>
      <c r="L705" s="11"/>
      <c r="M705" s="11"/>
      <c r="N705" s="11"/>
      <c r="O705" s="11"/>
      <c r="P705" s="82"/>
    </row>
    <row r="706" spans="2:16" s="9" customFormat="1" x14ac:dyDescent="0.2">
      <c r="B706" s="10"/>
      <c r="C706" s="11"/>
      <c r="D706" s="63"/>
      <c r="E706" s="11"/>
      <c r="F706" s="65"/>
      <c r="G706" s="12"/>
      <c r="H706" s="41"/>
      <c r="I706" s="30"/>
      <c r="J706" s="30"/>
      <c r="K706" s="97"/>
      <c r="L706" s="11"/>
      <c r="M706" s="11"/>
      <c r="N706" s="11"/>
      <c r="O706" s="11"/>
      <c r="P706" s="82"/>
    </row>
    <row r="707" spans="2:16" s="9" customFormat="1" x14ac:dyDescent="0.2">
      <c r="B707" s="10"/>
      <c r="C707" s="11"/>
      <c r="D707" s="63"/>
      <c r="E707" s="11"/>
      <c r="F707" s="65"/>
      <c r="G707" s="12"/>
      <c r="H707" s="41"/>
      <c r="I707" s="30"/>
      <c r="J707" s="30"/>
      <c r="K707" s="97"/>
      <c r="L707" s="11"/>
      <c r="M707" s="11"/>
      <c r="N707" s="11"/>
      <c r="O707" s="11"/>
      <c r="P707" s="82"/>
    </row>
    <row r="708" spans="2:16" s="9" customFormat="1" x14ac:dyDescent="0.2">
      <c r="B708" s="10"/>
      <c r="C708" s="11"/>
      <c r="D708" s="63"/>
      <c r="E708" s="11"/>
      <c r="F708" s="65"/>
      <c r="G708" s="12"/>
      <c r="H708" s="41"/>
      <c r="I708" s="30"/>
      <c r="J708" s="30"/>
      <c r="K708" s="97"/>
      <c r="L708" s="11"/>
      <c r="M708" s="11"/>
      <c r="N708" s="11"/>
      <c r="O708" s="11"/>
      <c r="P708" s="82"/>
    </row>
    <row r="709" spans="2:16" s="9" customFormat="1" x14ac:dyDescent="0.2">
      <c r="B709" s="10"/>
      <c r="C709" s="11"/>
      <c r="D709" s="63"/>
      <c r="E709" s="11"/>
      <c r="F709" s="65"/>
      <c r="G709" s="12"/>
      <c r="H709" s="41"/>
      <c r="I709" s="30"/>
      <c r="J709" s="30"/>
      <c r="K709" s="97"/>
      <c r="L709" s="11"/>
      <c r="M709" s="11"/>
      <c r="N709" s="11"/>
      <c r="O709" s="11"/>
      <c r="P709" s="82"/>
    </row>
    <row r="710" spans="2:16" s="9" customFormat="1" x14ac:dyDescent="0.2">
      <c r="B710" s="10"/>
      <c r="C710" s="11"/>
      <c r="D710" s="63"/>
      <c r="E710" s="11"/>
      <c r="F710" s="65"/>
      <c r="G710" s="12"/>
      <c r="H710" s="41"/>
      <c r="I710" s="30"/>
      <c r="J710" s="30"/>
      <c r="K710" s="97"/>
      <c r="L710" s="11"/>
      <c r="M710" s="11"/>
      <c r="N710" s="11"/>
      <c r="O710" s="11"/>
      <c r="P710" s="82"/>
    </row>
    <row r="711" spans="2:16" s="9" customFormat="1" x14ac:dyDescent="0.2">
      <c r="B711" s="10"/>
      <c r="C711" s="11"/>
      <c r="D711" s="63"/>
      <c r="E711" s="11"/>
      <c r="F711" s="65"/>
      <c r="G711" s="12"/>
      <c r="H711" s="41"/>
      <c r="I711" s="30"/>
      <c r="J711" s="30"/>
      <c r="K711" s="97"/>
      <c r="L711" s="11"/>
      <c r="M711" s="11"/>
      <c r="N711" s="11"/>
      <c r="O711" s="11"/>
      <c r="P711" s="82"/>
    </row>
    <row r="712" spans="2:16" s="9" customFormat="1" x14ac:dyDescent="0.2">
      <c r="B712" s="10"/>
      <c r="C712" s="11"/>
      <c r="D712" s="63"/>
      <c r="E712" s="11"/>
      <c r="F712" s="65"/>
      <c r="G712" s="12"/>
      <c r="H712" s="41"/>
      <c r="I712" s="30"/>
      <c r="J712" s="30"/>
      <c r="K712" s="97"/>
      <c r="L712" s="11"/>
      <c r="M712" s="11"/>
      <c r="N712" s="11"/>
      <c r="O712" s="11"/>
      <c r="P712" s="82"/>
    </row>
    <row r="713" spans="2:16" s="9" customFormat="1" x14ac:dyDescent="0.2">
      <c r="B713" s="10"/>
      <c r="C713" s="11"/>
      <c r="D713" s="63"/>
      <c r="E713" s="11"/>
      <c r="F713" s="65"/>
      <c r="G713" s="12"/>
      <c r="H713" s="41"/>
      <c r="I713" s="30"/>
      <c r="J713" s="30"/>
      <c r="K713" s="97"/>
      <c r="L713" s="11"/>
      <c r="M713" s="11"/>
      <c r="N713" s="11"/>
      <c r="O713" s="11"/>
      <c r="P713" s="82"/>
    </row>
    <row r="714" spans="2:16" s="9" customFormat="1" x14ac:dyDescent="0.2">
      <c r="B714" s="10"/>
      <c r="C714" s="11"/>
      <c r="D714" s="63"/>
      <c r="E714" s="11"/>
      <c r="F714" s="65"/>
      <c r="G714" s="12"/>
      <c r="H714" s="41"/>
      <c r="I714" s="30"/>
      <c r="J714" s="30"/>
      <c r="K714" s="97"/>
      <c r="L714" s="11"/>
      <c r="M714" s="11"/>
      <c r="N714" s="11"/>
      <c r="O714" s="11"/>
      <c r="P714" s="82"/>
    </row>
    <row r="715" spans="2:16" s="9" customFormat="1" x14ac:dyDescent="0.2">
      <c r="B715" s="10"/>
      <c r="C715" s="11"/>
      <c r="D715" s="63"/>
      <c r="E715" s="11"/>
      <c r="F715" s="65"/>
      <c r="G715" s="12"/>
      <c r="H715" s="41"/>
      <c r="I715" s="30"/>
      <c r="J715" s="30"/>
      <c r="K715" s="97"/>
      <c r="L715" s="11"/>
      <c r="M715" s="11"/>
      <c r="N715" s="11"/>
      <c r="O715" s="11"/>
      <c r="P715" s="82"/>
    </row>
    <row r="716" spans="2:16" s="9" customFormat="1" x14ac:dyDescent="0.2">
      <c r="B716" s="10"/>
      <c r="C716" s="11"/>
      <c r="D716" s="63"/>
      <c r="E716" s="11"/>
      <c r="F716" s="65"/>
      <c r="G716" s="12"/>
      <c r="H716" s="41"/>
      <c r="I716" s="30"/>
      <c r="J716" s="30"/>
      <c r="K716" s="97"/>
      <c r="L716" s="11"/>
      <c r="M716" s="11"/>
      <c r="N716" s="11"/>
      <c r="O716" s="11"/>
      <c r="P716" s="82"/>
    </row>
    <row r="717" spans="2:16" s="9" customFormat="1" x14ac:dyDescent="0.2">
      <c r="B717" s="10"/>
      <c r="C717" s="11"/>
      <c r="D717" s="63"/>
      <c r="E717" s="11"/>
      <c r="F717" s="65"/>
      <c r="G717" s="12"/>
      <c r="H717" s="41"/>
      <c r="I717" s="30"/>
      <c r="J717" s="30"/>
      <c r="K717" s="97"/>
      <c r="L717" s="11"/>
      <c r="M717" s="11"/>
      <c r="N717" s="11"/>
      <c r="O717" s="11"/>
      <c r="P717" s="82"/>
    </row>
    <row r="718" spans="2:16" s="9" customFormat="1" x14ac:dyDescent="0.2">
      <c r="B718" s="10"/>
      <c r="C718" s="11"/>
      <c r="D718" s="63"/>
      <c r="E718" s="11"/>
      <c r="F718" s="65"/>
      <c r="G718" s="12"/>
      <c r="H718" s="41"/>
      <c r="I718" s="30"/>
      <c r="J718" s="30"/>
      <c r="K718" s="97"/>
      <c r="L718" s="11"/>
      <c r="M718" s="11"/>
      <c r="N718" s="11"/>
      <c r="O718" s="11"/>
      <c r="P718" s="82"/>
    </row>
    <row r="719" spans="2:16" s="9" customFormat="1" x14ac:dyDescent="0.2">
      <c r="B719" s="10"/>
      <c r="C719" s="11"/>
      <c r="D719" s="63"/>
      <c r="E719" s="11"/>
      <c r="F719" s="65"/>
      <c r="G719" s="12"/>
      <c r="H719" s="41"/>
      <c r="I719" s="30"/>
      <c r="J719" s="30"/>
      <c r="K719" s="97"/>
      <c r="L719" s="11"/>
      <c r="M719" s="11"/>
      <c r="N719" s="11"/>
      <c r="O719" s="11"/>
      <c r="P719" s="82"/>
    </row>
    <row r="720" spans="2:16" s="9" customFormat="1" x14ac:dyDescent="0.2">
      <c r="B720" s="10"/>
      <c r="C720" s="11"/>
      <c r="D720" s="63"/>
      <c r="E720" s="11"/>
      <c r="F720" s="65"/>
      <c r="G720" s="12"/>
      <c r="H720" s="41"/>
      <c r="I720" s="30"/>
      <c r="J720" s="30"/>
      <c r="K720" s="97"/>
      <c r="L720" s="11"/>
      <c r="M720" s="11"/>
      <c r="N720" s="11"/>
      <c r="O720" s="11"/>
      <c r="P720" s="82"/>
    </row>
    <row r="721" spans="2:16" s="9" customFormat="1" x14ac:dyDescent="0.2">
      <c r="B721" s="10"/>
      <c r="C721" s="11"/>
      <c r="D721" s="63"/>
      <c r="E721" s="11"/>
      <c r="F721" s="65"/>
      <c r="G721" s="12"/>
      <c r="H721" s="41"/>
      <c r="I721" s="30"/>
      <c r="J721" s="30"/>
      <c r="K721" s="97"/>
      <c r="L721" s="11"/>
      <c r="M721" s="11"/>
      <c r="N721" s="11"/>
      <c r="O721" s="11"/>
      <c r="P721" s="82"/>
    </row>
    <row r="722" spans="2:16" s="9" customFormat="1" x14ac:dyDescent="0.2">
      <c r="B722" s="10"/>
      <c r="C722" s="11"/>
      <c r="D722" s="63"/>
      <c r="E722" s="11"/>
      <c r="F722" s="65"/>
      <c r="G722" s="12"/>
      <c r="H722" s="41"/>
      <c r="I722" s="30"/>
      <c r="J722" s="30"/>
      <c r="K722" s="97"/>
      <c r="L722" s="11"/>
      <c r="M722" s="11"/>
      <c r="N722" s="11"/>
      <c r="O722" s="11"/>
      <c r="P722" s="82"/>
    </row>
    <row r="723" spans="2:16" s="9" customFormat="1" x14ac:dyDescent="0.2">
      <c r="B723" s="10"/>
      <c r="C723" s="11"/>
      <c r="D723" s="63"/>
      <c r="E723" s="11"/>
      <c r="F723" s="65"/>
      <c r="G723" s="12"/>
      <c r="H723" s="41"/>
      <c r="I723" s="30"/>
      <c r="J723" s="30"/>
      <c r="K723" s="97"/>
      <c r="L723" s="11"/>
      <c r="M723" s="11"/>
      <c r="N723" s="11"/>
      <c r="O723" s="11"/>
      <c r="P723" s="82"/>
    </row>
    <row r="724" spans="2:16" s="9" customFormat="1" x14ac:dyDescent="0.2">
      <c r="B724" s="10"/>
      <c r="C724" s="11"/>
      <c r="D724" s="63"/>
      <c r="E724" s="11"/>
      <c r="F724" s="65"/>
      <c r="G724" s="12"/>
      <c r="H724" s="41"/>
      <c r="I724" s="30"/>
      <c r="J724" s="30"/>
      <c r="K724" s="97"/>
      <c r="L724" s="11"/>
      <c r="M724" s="11"/>
      <c r="N724" s="11"/>
      <c r="O724" s="11"/>
      <c r="P724" s="82"/>
    </row>
    <row r="725" spans="2:16" s="9" customFormat="1" x14ac:dyDescent="0.2">
      <c r="B725" s="10"/>
      <c r="C725" s="11"/>
      <c r="D725" s="63"/>
      <c r="E725" s="11"/>
      <c r="F725" s="65"/>
      <c r="G725" s="12"/>
      <c r="H725" s="41"/>
      <c r="I725" s="30"/>
      <c r="J725" s="30"/>
      <c r="K725" s="97"/>
      <c r="L725" s="11"/>
      <c r="M725" s="11"/>
      <c r="N725" s="11"/>
      <c r="O725" s="11"/>
      <c r="P725" s="82"/>
    </row>
    <row r="726" spans="2:16" s="9" customFormat="1" x14ac:dyDescent="0.2">
      <c r="B726" s="10"/>
      <c r="C726" s="11"/>
      <c r="D726" s="63"/>
      <c r="E726" s="11"/>
      <c r="F726" s="65"/>
      <c r="G726" s="12"/>
      <c r="H726" s="41"/>
      <c r="I726" s="30"/>
      <c r="J726" s="30"/>
      <c r="K726" s="97"/>
      <c r="L726" s="11"/>
      <c r="M726" s="11"/>
      <c r="N726" s="11"/>
      <c r="O726" s="11"/>
      <c r="P726" s="82"/>
    </row>
    <row r="727" spans="2:16" s="9" customFormat="1" x14ac:dyDescent="0.2">
      <c r="B727" s="10"/>
      <c r="C727" s="11"/>
      <c r="D727" s="63"/>
      <c r="E727" s="11"/>
      <c r="F727" s="65"/>
      <c r="G727" s="12"/>
      <c r="H727" s="41"/>
      <c r="I727" s="30"/>
      <c r="J727" s="30"/>
      <c r="K727" s="97"/>
      <c r="L727" s="11"/>
      <c r="M727" s="11"/>
      <c r="N727" s="11"/>
      <c r="O727" s="11"/>
      <c r="P727" s="82"/>
    </row>
    <row r="728" spans="2:16" s="9" customFormat="1" x14ac:dyDescent="0.2">
      <c r="B728" s="10"/>
      <c r="C728" s="11"/>
      <c r="D728" s="63"/>
      <c r="E728" s="11"/>
      <c r="F728" s="65"/>
      <c r="G728" s="12"/>
      <c r="H728" s="41"/>
      <c r="I728" s="30"/>
      <c r="J728" s="30"/>
      <c r="K728" s="97"/>
      <c r="L728" s="11"/>
      <c r="M728" s="11"/>
      <c r="N728" s="11"/>
      <c r="O728" s="11"/>
      <c r="P728" s="82"/>
    </row>
    <row r="729" spans="2:16" s="9" customFormat="1" x14ac:dyDescent="0.2">
      <c r="B729" s="10"/>
      <c r="C729" s="11"/>
      <c r="D729" s="63"/>
      <c r="E729" s="11"/>
      <c r="F729" s="65"/>
      <c r="G729" s="12"/>
      <c r="H729" s="41"/>
      <c r="I729" s="30"/>
      <c r="J729" s="30"/>
      <c r="K729" s="97"/>
      <c r="L729" s="11"/>
      <c r="M729" s="11"/>
      <c r="N729" s="11"/>
      <c r="O729" s="11"/>
      <c r="P729" s="82"/>
    </row>
    <row r="730" spans="2:16" s="9" customFormat="1" x14ac:dyDescent="0.2">
      <c r="B730" s="10"/>
      <c r="C730" s="11"/>
      <c r="D730" s="63"/>
      <c r="E730" s="11"/>
      <c r="F730" s="65"/>
      <c r="G730" s="12"/>
      <c r="H730" s="41"/>
      <c r="I730" s="30"/>
      <c r="J730" s="30"/>
      <c r="K730" s="97"/>
      <c r="L730" s="11"/>
      <c r="M730" s="11"/>
      <c r="N730" s="11"/>
      <c r="O730" s="11"/>
      <c r="P730" s="82"/>
    </row>
    <row r="731" spans="2:16" s="9" customFormat="1" x14ac:dyDescent="0.2">
      <c r="B731" s="10"/>
      <c r="C731" s="11"/>
      <c r="D731" s="63"/>
      <c r="E731" s="11"/>
      <c r="F731" s="65"/>
      <c r="G731" s="12"/>
      <c r="H731" s="41"/>
      <c r="I731" s="30"/>
      <c r="J731" s="30"/>
      <c r="K731" s="97"/>
      <c r="L731" s="11"/>
      <c r="M731" s="11"/>
      <c r="N731" s="11"/>
      <c r="O731" s="11"/>
      <c r="P731" s="82"/>
    </row>
    <row r="732" spans="2:16" s="9" customFormat="1" x14ac:dyDescent="0.2">
      <c r="B732" s="10"/>
      <c r="C732" s="11"/>
      <c r="D732" s="63"/>
      <c r="E732" s="11"/>
      <c r="F732" s="65"/>
      <c r="G732" s="12"/>
      <c r="H732" s="41"/>
      <c r="I732" s="30"/>
      <c r="J732" s="30"/>
      <c r="K732" s="97"/>
      <c r="L732" s="11"/>
      <c r="M732" s="11"/>
      <c r="N732" s="11"/>
      <c r="O732" s="11"/>
      <c r="P732" s="82"/>
    </row>
    <row r="733" spans="2:16" s="9" customFormat="1" x14ac:dyDescent="0.2">
      <c r="B733" s="10"/>
      <c r="C733" s="11"/>
      <c r="D733" s="63"/>
      <c r="E733" s="11"/>
      <c r="F733" s="65"/>
      <c r="G733" s="12"/>
      <c r="H733" s="41"/>
      <c r="I733" s="30"/>
      <c r="J733" s="30"/>
      <c r="K733" s="97"/>
      <c r="L733" s="11"/>
      <c r="M733" s="11"/>
      <c r="N733" s="11"/>
      <c r="O733" s="11"/>
      <c r="P733" s="82"/>
    </row>
    <row r="734" spans="2:16" s="9" customFormat="1" x14ac:dyDescent="0.2">
      <c r="B734" s="10"/>
      <c r="C734" s="11"/>
      <c r="D734" s="63"/>
      <c r="E734" s="11"/>
      <c r="F734" s="65"/>
      <c r="G734" s="12"/>
      <c r="H734" s="41"/>
      <c r="I734" s="30"/>
      <c r="J734" s="30"/>
      <c r="K734" s="97"/>
      <c r="L734" s="11"/>
      <c r="M734" s="11"/>
      <c r="N734" s="11"/>
      <c r="O734" s="11"/>
      <c r="P734" s="82"/>
    </row>
    <row r="735" spans="2:16" s="9" customFormat="1" x14ac:dyDescent="0.2">
      <c r="B735" s="10"/>
      <c r="C735" s="11"/>
      <c r="D735" s="63"/>
      <c r="E735" s="11"/>
      <c r="F735" s="65"/>
      <c r="G735" s="12"/>
      <c r="H735" s="41"/>
      <c r="I735" s="30"/>
      <c r="J735" s="30"/>
      <c r="K735" s="97"/>
      <c r="L735" s="11"/>
      <c r="M735" s="11"/>
      <c r="N735" s="11"/>
      <c r="O735" s="11"/>
      <c r="P735" s="82"/>
    </row>
    <row r="736" spans="2:16" s="9" customFormat="1" x14ac:dyDescent="0.2">
      <c r="B736" s="10"/>
      <c r="C736" s="11"/>
      <c r="D736" s="63"/>
      <c r="E736" s="11"/>
      <c r="F736" s="65"/>
      <c r="G736" s="12"/>
      <c r="H736" s="41"/>
      <c r="I736" s="30"/>
      <c r="J736" s="30"/>
      <c r="K736" s="97"/>
      <c r="L736" s="11"/>
      <c r="M736" s="11"/>
      <c r="N736" s="11"/>
      <c r="O736" s="11"/>
      <c r="P736" s="82"/>
    </row>
    <row r="737" spans="2:16" s="9" customFormat="1" x14ac:dyDescent="0.2">
      <c r="B737" s="10"/>
      <c r="C737" s="11"/>
      <c r="D737" s="63"/>
      <c r="E737" s="11"/>
      <c r="F737" s="65"/>
      <c r="G737" s="12"/>
      <c r="H737" s="41"/>
      <c r="I737" s="30"/>
      <c r="J737" s="30"/>
      <c r="K737" s="97"/>
      <c r="L737" s="11"/>
      <c r="M737" s="11"/>
      <c r="N737" s="11"/>
      <c r="O737" s="11"/>
      <c r="P737" s="82"/>
    </row>
    <row r="738" spans="2:16" s="9" customFormat="1" x14ac:dyDescent="0.2">
      <c r="B738" s="10"/>
      <c r="C738" s="11"/>
      <c r="D738" s="63"/>
      <c r="E738" s="11"/>
      <c r="F738" s="65"/>
      <c r="G738" s="12"/>
      <c r="H738" s="41"/>
      <c r="I738" s="30"/>
      <c r="J738" s="30"/>
      <c r="K738" s="97"/>
      <c r="L738" s="11"/>
      <c r="M738" s="11"/>
      <c r="N738" s="11"/>
      <c r="O738" s="11"/>
      <c r="P738" s="82"/>
    </row>
    <row r="739" spans="2:16" s="9" customFormat="1" x14ac:dyDescent="0.2">
      <c r="B739" s="10"/>
      <c r="C739" s="11"/>
      <c r="D739" s="63"/>
      <c r="E739" s="11"/>
      <c r="F739" s="65"/>
      <c r="G739" s="12"/>
      <c r="H739" s="41"/>
      <c r="I739" s="30"/>
      <c r="J739" s="30"/>
      <c r="K739" s="97"/>
      <c r="L739" s="11"/>
      <c r="M739" s="11"/>
      <c r="N739" s="11"/>
      <c r="O739" s="11"/>
      <c r="P739" s="82"/>
    </row>
    <row r="740" spans="2:16" s="9" customFormat="1" x14ac:dyDescent="0.2">
      <c r="B740" s="10"/>
      <c r="C740" s="11"/>
      <c r="D740" s="63"/>
      <c r="E740" s="11"/>
      <c r="F740" s="65"/>
      <c r="G740" s="12"/>
      <c r="H740" s="41"/>
      <c r="I740" s="30"/>
      <c r="J740" s="30"/>
      <c r="K740" s="97"/>
      <c r="L740" s="11"/>
      <c r="M740" s="11"/>
      <c r="N740" s="11"/>
      <c r="O740" s="11"/>
      <c r="P740" s="82"/>
    </row>
    <row r="741" spans="2:16" s="9" customFormat="1" x14ac:dyDescent="0.2">
      <c r="B741" s="10"/>
      <c r="C741" s="11"/>
      <c r="D741" s="63"/>
      <c r="E741" s="11"/>
      <c r="F741" s="65"/>
      <c r="G741" s="12"/>
      <c r="H741" s="41"/>
      <c r="I741" s="30"/>
      <c r="J741" s="30"/>
      <c r="K741" s="97"/>
      <c r="L741" s="11"/>
      <c r="M741" s="11"/>
      <c r="N741" s="11"/>
      <c r="O741" s="11"/>
      <c r="P741" s="82"/>
    </row>
    <row r="742" spans="2:16" s="9" customFormat="1" x14ac:dyDescent="0.2">
      <c r="B742" s="10"/>
      <c r="C742" s="11"/>
      <c r="D742" s="63"/>
      <c r="E742" s="11"/>
      <c r="F742" s="65"/>
      <c r="G742" s="12"/>
      <c r="H742" s="41"/>
      <c r="I742" s="30"/>
      <c r="J742" s="30"/>
      <c r="K742" s="97"/>
      <c r="L742" s="11"/>
      <c r="M742" s="11"/>
      <c r="N742" s="11"/>
      <c r="O742" s="11"/>
      <c r="P742" s="82"/>
    </row>
    <row r="743" spans="2:16" s="9" customFormat="1" x14ac:dyDescent="0.2">
      <c r="B743" s="10"/>
      <c r="C743" s="11"/>
      <c r="D743" s="63"/>
      <c r="E743" s="11"/>
      <c r="F743" s="65"/>
      <c r="G743" s="12"/>
      <c r="H743" s="41"/>
      <c r="I743" s="30"/>
      <c r="J743" s="30"/>
      <c r="K743" s="97"/>
      <c r="L743" s="11"/>
      <c r="M743" s="11"/>
      <c r="N743" s="11"/>
      <c r="O743" s="11"/>
      <c r="P743" s="82"/>
    </row>
    <row r="744" spans="2:16" s="9" customFormat="1" x14ac:dyDescent="0.2">
      <c r="B744" s="10"/>
      <c r="C744" s="11"/>
      <c r="D744" s="63"/>
      <c r="E744" s="11"/>
      <c r="F744" s="65"/>
      <c r="G744" s="12"/>
      <c r="H744" s="41"/>
      <c r="I744" s="30"/>
      <c r="J744" s="30"/>
      <c r="K744" s="97"/>
      <c r="L744" s="11"/>
      <c r="M744" s="11"/>
      <c r="N744" s="11"/>
      <c r="O744" s="11"/>
      <c r="P744" s="82"/>
    </row>
    <row r="745" spans="2:16" s="9" customFormat="1" x14ac:dyDescent="0.2">
      <c r="B745" s="10"/>
      <c r="C745" s="11"/>
      <c r="D745" s="63"/>
      <c r="E745" s="11"/>
      <c r="F745" s="65"/>
      <c r="G745" s="12"/>
      <c r="H745" s="41"/>
      <c r="I745" s="30"/>
      <c r="J745" s="30"/>
      <c r="K745" s="97"/>
      <c r="L745" s="11"/>
      <c r="M745" s="11"/>
      <c r="N745" s="11"/>
      <c r="O745" s="11"/>
      <c r="P745" s="82"/>
    </row>
    <row r="746" spans="2:16" s="9" customFormat="1" x14ac:dyDescent="0.2">
      <c r="B746" s="10"/>
      <c r="C746" s="11"/>
      <c r="D746" s="63"/>
      <c r="E746" s="11"/>
      <c r="F746" s="65"/>
      <c r="G746" s="12"/>
      <c r="H746" s="41"/>
      <c r="I746" s="30"/>
      <c r="J746" s="30"/>
      <c r="K746" s="97"/>
      <c r="L746" s="11"/>
      <c r="M746" s="11"/>
      <c r="N746" s="11"/>
      <c r="O746" s="11"/>
      <c r="P746" s="82"/>
    </row>
    <row r="747" spans="2:16" s="9" customFormat="1" x14ac:dyDescent="0.2">
      <c r="B747" s="10"/>
      <c r="C747" s="11"/>
      <c r="D747" s="63"/>
      <c r="E747" s="11"/>
      <c r="F747" s="65"/>
      <c r="G747" s="12"/>
      <c r="H747" s="41"/>
      <c r="I747" s="30"/>
      <c r="J747" s="30"/>
      <c r="K747" s="97"/>
      <c r="L747" s="11"/>
      <c r="M747" s="11"/>
      <c r="N747" s="11"/>
      <c r="O747" s="11"/>
      <c r="P747" s="82"/>
    </row>
    <row r="748" spans="2:16" s="9" customFormat="1" x14ac:dyDescent="0.2">
      <c r="B748" s="10"/>
      <c r="C748" s="11"/>
      <c r="D748" s="63"/>
      <c r="E748" s="11"/>
      <c r="F748" s="65"/>
      <c r="G748" s="12"/>
      <c r="H748" s="41"/>
      <c r="I748" s="30"/>
      <c r="J748" s="30"/>
      <c r="K748" s="97"/>
      <c r="L748" s="11"/>
      <c r="M748" s="11"/>
      <c r="N748" s="11"/>
      <c r="O748" s="11"/>
      <c r="P748" s="82"/>
    </row>
    <row r="749" spans="2:16" s="9" customFormat="1" x14ac:dyDescent="0.2">
      <c r="B749" s="10"/>
      <c r="C749" s="11"/>
      <c r="D749" s="63"/>
      <c r="E749" s="11"/>
      <c r="F749" s="65"/>
      <c r="G749" s="12"/>
      <c r="H749" s="41"/>
      <c r="I749" s="30"/>
      <c r="J749" s="30"/>
      <c r="K749" s="97"/>
      <c r="L749" s="11"/>
      <c r="M749" s="11"/>
      <c r="N749" s="11"/>
      <c r="O749" s="11"/>
      <c r="P749" s="82"/>
    </row>
    <row r="750" spans="2:16" s="9" customFormat="1" x14ac:dyDescent="0.2">
      <c r="B750" s="10"/>
      <c r="C750" s="11"/>
      <c r="D750" s="63"/>
      <c r="E750" s="11"/>
      <c r="F750" s="65"/>
      <c r="G750" s="12"/>
      <c r="H750" s="41"/>
      <c r="I750" s="30"/>
      <c r="J750" s="30"/>
      <c r="K750" s="97"/>
      <c r="L750" s="11"/>
      <c r="M750" s="11"/>
      <c r="N750" s="11"/>
      <c r="O750" s="11"/>
      <c r="P750" s="82"/>
    </row>
    <row r="751" spans="2:16" s="9" customFormat="1" x14ac:dyDescent="0.2">
      <c r="B751" s="10"/>
      <c r="C751" s="11"/>
      <c r="D751" s="63"/>
      <c r="E751" s="11"/>
      <c r="F751" s="65"/>
      <c r="G751" s="12"/>
      <c r="H751" s="41"/>
      <c r="I751" s="30"/>
      <c r="J751" s="30"/>
      <c r="K751" s="97"/>
      <c r="L751" s="11"/>
      <c r="M751" s="11"/>
      <c r="N751" s="11"/>
      <c r="O751" s="11"/>
      <c r="P751" s="82"/>
    </row>
    <row r="752" spans="2:16" s="9" customFormat="1" x14ac:dyDescent="0.2">
      <c r="B752" s="10"/>
      <c r="C752" s="11"/>
      <c r="D752" s="63"/>
      <c r="E752" s="11"/>
      <c r="F752" s="65"/>
      <c r="G752" s="12"/>
      <c r="H752" s="41"/>
      <c r="I752" s="30"/>
      <c r="J752" s="30"/>
      <c r="K752" s="97"/>
      <c r="L752" s="11"/>
      <c r="M752" s="11"/>
      <c r="N752" s="11"/>
      <c r="O752" s="11"/>
      <c r="P752" s="82"/>
    </row>
    <row r="753" spans="2:16" s="9" customFormat="1" x14ac:dyDescent="0.2">
      <c r="B753" s="10"/>
      <c r="C753" s="11"/>
      <c r="D753" s="63"/>
      <c r="E753" s="11"/>
      <c r="F753" s="65"/>
      <c r="G753" s="12"/>
      <c r="H753" s="41"/>
      <c r="I753" s="30"/>
      <c r="J753" s="30"/>
      <c r="K753" s="97"/>
      <c r="L753" s="11"/>
      <c r="M753" s="11"/>
      <c r="N753" s="11"/>
      <c r="O753" s="11"/>
      <c r="P753" s="82"/>
    </row>
    <row r="754" spans="2:16" s="9" customFormat="1" x14ac:dyDescent="0.2">
      <c r="B754" s="10"/>
      <c r="C754" s="11"/>
      <c r="D754" s="63"/>
      <c r="E754" s="11"/>
      <c r="F754" s="65"/>
      <c r="G754" s="12"/>
      <c r="H754" s="41"/>
      <c r="I754" s="30"/>
      <c r="J754" s="30"/>
      <c r="K754" s="97"/>
      <c r="L754" s="11"/>
      <c r="M754" s="11"/>
      <c r="N754" s="11"/>
      <c r="O754" s="11"/>
      <c r="P754" s="82"/>
    </row>
    <row r="755" spans="2:16" s="9" customFormat="1" x14ac:dyDescent="0.2">
      <c r="B755" s="10"/>
      <c r="C755" s="11"/>
      <c r="D755" s="63"/>
      <c r="E755" s="11"/>
      <c r="F755" s="65"/>
      <c r="G755" s="12"/>
      <c r="H755" s="41"/>
      <c r="I755" s="30"/>
      <c r="J755" s="30"/>
      <c r="K755" s="97"/>
      <c r="L755" s="11"/>
      <c r="M755" s="11"/>
      <c r="N755" s="11"/>
      <c r="O755" s="11"/>
      <c r="P755" s="82"/>
    </row>
    <row r="756" spans="2:16" s="9" customFormat="1" x14ac:dyDescent="0.2">
      <c r="B756" s="10"/>
      <c r="C756" s="11"/>
      <c r="D756" s="63"/>
      <c r="E756" s="11"/>
      <c r="F756" s="65"/>
      <c r="G756" s="12"/>
      <c r="H756" s="41"/>
      <c r="I756" s="30"/>
      <c r="J756" s="30"/>
      <c r="K756" s="97"/>
      <c r="L756" s="11"/>
      <c r="M756" s="11"/>
      <c r="N756" s="11"/>
      <c r="O756" s="11"/>
      <c r="P756" s="82"/>
    </row>
    <row r="757" spans="2:16" s="9" customFormat="1" x14ac:dyDescent="0.2">
      <c r="B757" s="10"/>
      <c r="C757" s="11"/>
      <c r="D757" s="63"/>
      <c r="E757" s="11"/>
      <c r="F757" s="65"/>
      <c r="G757" s="12"/>
      <c r="H757" s="41"/>
      <c r="I757" s="30"/>
      <c r="J757" s="30"/>
      <c r="K757" s="97"/>
      <c r="L757" s="11"/>
      <c r="M757" s="11"/>
      <c r="N757" s="11"/>
      <c r="O757" s="11"/>
      <c r="P757" s="82"/>
    </row>
    <row r="758" spans="2:16" s="9" customFormat="1" x14ac:dyDescent="0.2">
      <c r="B758" s="10"/>
      <c r="C758" s="11"/>
      <c r="D758" s="63"/>
      <c r="E758" s="11"/>
      <c r="F758" s="65"/>
      <c r="G758" s="12"/>
      <c r="H758" s="41"/>
      <c r="I758" s="30"/>
      <c r="J758" s="30"/>
      <c r="K758" s="97"/>
      <c r="L758" s="11"/>
      <c r="M758" s="11"/>
      <c r="N758" s="11"/>
      <c r="O758" s="11"/>
      <c r="P758" s="82"/>
    </row>
    <row r="759" spans="2:16" s="9" customFormat="1" x14ac:dyDescent="0.2">
      <c r="B759" s="10"/>
      <c r="C759" s="11"/>
      <c r="D759" s="63"/>
      <c r="E759" s="11"/>
      <c r="F759" s="65"/>
      <c r="G759" s="12"/>
      <c r="H759" s="41"/>
      <c r="I759" s="30"/>
      <c r="J759" s="30"/>
      <c r="K759" s="97"/>
      <c r="L759" s="11"/>
      <c r="M759" s="11"/>
      <c r="N759" s="11"/>
      <c r="O759" s="11"/>
      <c r="P759" s="82"/>
    </row>
    <row r="760" spans="2:16" s="9" customFormat="1" x14ac:dyDescent="0.2">
      <c r="B760" s="10"/>
      <c r="C760" s="11"/>
      <c r="D760" s="63"/>
      <c r="E760" s="11"/>
      <c r="F760" s="65"/>
      <c r="G760" s="12"/>
      <c r="H760" s="41"/>
      <c r="I760" s="30"/>
      <c r="J760" s="30"/>
      <c r="K760" s="97"/>
      <c r="L760" s="11"/>
      <c r="M760" s="11"/>
      <c r="N760" s="11"/>
      <c r="O760" s="11"/>
      <c r="P760" s="82"/>
    </row>
    <row r="761" spans="2:16" s="9" customFormat="1" x14ac:dyDescent="0.2">
      <c r="B761" s="10"/>
      <c r="C761" s="11"/>
      <c r="D761" s="63"/>
      <c r="E761" s="11"/>
      <c r="F761" s="65"/>
      <c r="G761" s="12"/>
      <c r="H761" s="41"/>
      <c r="I761" s="30"/>
      <c r="J761" s="30"/>
      <c r="K761" s="97"/>
      <c r="L761" s="11"/>
      <c r="M761" s="11"/>
      <c r="N761" s="11"/>
      <c r="O761" s="11"/>
      <c r="P761" s="82"/>
    </row>
    <row r="762" spans="2:16" s="9" customFormat="1" x14ac:dyDescent="0.2">
      <c r="B762" s="10"/>
      <c r="C762" s="11"/>
      <c r="D762" s="63"/>
      <c r="E762" s="11"/>
      <c r="F762" s="65"/>
      <c r="G762" s="12"/>
      <c r="H762" s="41"/>
      <c r="I762" s="30"/>
      <c r="J762" s="30"/>
      <c r="K762" s="97"/>
      <c r="L762" s="11"/>
      <c r="M762" s="11"/>
      <c r="N762" s="11"/>
      <c r="O762" s="11"/>
      <c r="P762" s="82"/>
    </row>
    <row r="763" spans="2:16" s="9" customFormat="1" x14ac:dyDescent="0.2">
      <c r="B763" s="10"/>
      <c r="C763" s="11"/>
      <c r="D763" s="63"/>
      <c r="E763" s="11"/>
      <c r="F763" s="65"/>
      <c r="G763" s="12"/>
      <c r="H763" s="41"/>
      <c r="I763" s="30"/>
      <c r="J763" s="30"/>
      <c r="K763" s="97"/>
      <c r="L763" s="11"/>
      <c r="M763" s="11"/>
      <c r="N763" s="11"/>
      <c r="O763" s="11"/>
      <c r="P763" s="82"/>
    </row>
    <row r="764" spans="2:16" s="9" customFormat="1" x14ac:dyDescent="0.2">
      <c r="B764" s="10"/>
      <c r="C764" s="11"/>
      <c r="D764" s="63"/>
      <c r="E764" s="11"/>
      <c r="F764" s="65"/>
      <c r="G764" s="12"/>
      <c r="H764" s="41"/>
      <c r="I764" s="30"/>
      <c r="J764" s="30"/>
      <c r="K764" s="97"/>
      <c r="L764" s="11"/>
      <c r="M764" s="11"/>
      <c r="N764" s="11"/>
      <c r="O764" s="11"/>
      <c r="P764" s="82"/>
    </row>
    <row r="765" spans="2:16" s="9" customFormat="1" x14ac:dyDescent="0.2">
      <c r="B765" s="10"/>
      <c r="C765" s="11"/>
      <c r="D765" s="63"/>
      <c r="E765" s="11"/>
      <c r="F765" s="65"/>
      <c r="G765" s="12"/>
      <c r="H765" s="41"/>
      <c r="I765" s="30"/>
      <c r="J765" s="30"/>
      <c r="K765" s="97"/>
      <c r="L765" s="11"/>
      <c r="M765" s="11"/>
      <c r="N765" s="11"/>
      <c r="O765" s="11"/>
      <c r="P765" s="82"/>
    </row>
    <row r="766" spans="2:16" s="9" customFormat="1" x14ac:dyDescent="0.2">
      <c r="B766" s="10"/>
      <c r="C766" s="11"/>
      <c r="D766" s="63"/>
      <c r="E766" s="11"/>
      <c r="F766" s="65"/>
      <c r="G766" s="12"/>
      <c r="H766" s="41"/>
      <c r="I766" s="30"/>
      <c r="J766" s="30"/>
      <c r="K766" s="97"/>
      <c r="L766" s="11"/>
      <c r="M766" s="11"/>
      <c r="N766" s="11"/>
      <c r="O766" s="11"/>
      <c r="P766" s="82"/>
    </row>
    <row r="767" spans="2:16" s="9" customFormat="1" x14ac:dyDescent="0.2">
      <c r="B767" s="10"/>
      <c r="C767" s="11"/>
      <c r="D767" s="63"/>
      <c r="E767" s="11"/>
      <c r="F767" s="65"/>
      <c r="G767" s="12"/>
      <c r="H767" s="41"/>
      <c r="I767" s="30"/>
      <c r="J767" s="30"/>
      <c r="K767" s="97"/>
      <c r="L767" s="11"/>
      <c r="M767" s="11"/>
      <c r="N767" s="11"/>
      <c r="O767" s="11"/>
      <c r="P767" s="82"/>
    </row>
    <row r="768" spans="2:16" s="9" customFormat="1" x14ac:dyDescent="0.2">
      <c r="B768" s="10"/>
      <c r="C768" s="11"/>
      <c r="D768" s="63"/>
      <c r="E768" s="11"/>
      <c r="F768" s="65"/>
      <c r="G768" s="12"/>
      <c r="H768" s="41"/>
      <c r="I768" s="30"/>
      <c r="J768" s="30"/>
      <c r="K768" s="97"/>
      <c r="L768" s="11"/>
      <c r="M768" s="11"/>
      <c r="N768" s="11"/>
      <c r="O768" s="11"/>
      <c r="P768" s="82"/>
    </row>
    <row r="769" spans="2:16" s="9" customFormat="1" x14ac:dyDescent="0.2">
      <c r="B769" s="10"/>
      <c r="C769" s="11"/>
      <c r="D769" s="63"/>
      <c r="E769" s="11"/>
      <c r="F769" s="65"/>
      <c r="G769" s="12"/>
      <c r="H769" s="41"/>
      <c r="I769" s="30"/>
      <c r="J769" s="30"/>
      <c r="K769" s="97"/>
      <c r="L769" s="11"/>
      <c r="M769" s="11"/>
      <c r="N769" s="11"/>
      <c r="O769" s="11"/>
      <c r="P769" s="82"/>
    </row>
    <row r="770" spans="2:16" s="9" customFormat="1" x14ac:dyDescent="0.2">
      <c r="B770" s="10"/>
      <c r="C770" s="11"/>
      <c r="D770" s="63"/>
      <c r="E770" s="11"/>
      <c r="F770" s="65"/>
      <c r="G770" s="12"/>
      <c r="H770" s="41"/>
      <c r="I770" s="30"/>
      <c r="J770" s="30"/>
      <c r="K770" s="97"/>
      <c r="L770" s="11"/>
      <c r="M770" s="11"/>
      <c r="N770" s="11"/>
      <c r="O770" s="11"/>
      <c r="P770" s="82"/>
    </row>
    <row r="771" spans="2:16" s="9" customFormat="1" x14ac:dyDescent="0.2">
      <c r="B771" s="10"/>
      <c r="C771" s="11"/>
      <c r="D771" s="63"/>
      <c r="E771" s="11"/>
      <c r="F771" s="65"/>
      <c r="G771" s="12"/>
      <c r="H771" s="41"/>
      <c r="I771" s="30"/>
      <c r="J771" s="30"/>
      <c r="K771" s="97"/>
      <c r="L771" s="11"/>
      <c r="M771" s="11"/>
      <c r="N771" s="11"/>
      <c r="O771" s="11"/>
      <c r="P771" s="82"/>
    </row>
    <row r="772" spans="2:16" s="9" customFormat="1" x14ac:dyDescent="0.2">
      <c r="B772" s="10"/>
      <c r="C772" s="11"/>
      <c r="D772" s="63"/>
      <c r="E772" s="11"/>
      <c r="F772" s="65"/>
      <c r="G772" s="12"/>
      <c r="H772" s="41"/>
      <c r="I772" s="30"/>
      <c r="J772" s="30"/>
      <c r="K772" s="97"/>
      <c r="L772" s="11"/>
      <c r="M772" s="11"/>
      <c r="N772" s="11"/>
      <c r="O772" s="11"/>
      <c r="P772" s="82"/>
    </row>
    <row r="773" spans="2:16" s="9" customFormat="1" x14ac:dyDescent="0.2">
      <c r="B773" s="10"/>
      <c r="C773" s="11"/>
      <c r="D773" s="63"/>
      <c r="E773" s="11"/>
      <c r="F773" s="65"/>
      <c r="G773" s="12"/>
      <c r="H773" s="41"/>
      <c r="I773" s="30"/>
      <c r="J773" s="30"/>
      <c r="K773" s="97"/>
      <c r="L773" s="11"/>
      <c r="M773" s="11"/>
      <c r="N773" s="11"/>
      <c r="O773" s="11"/>
      <c r="P773" s="82"/>
    </row>
    <row r="774" spans="2:16" s="9" customFormat="1" x14ac:dyDescent="0.2">
      <c r="B774" s="10"/>
      <c r="C774" s="11"/>
      <c r="D774" s="63"/>
      <c r="E774" s="11"/>
      <c r="F774" s="65"/>
      <c r="G774" s="12"/>
      <c r="H774" s="41"/>
      <c r="I774" s="30"/>
      <c r="J774" s="30"/>
      <c r="K774" s="97"/>
      <c r="L774" s="11"/>
      <c r="M774" s="11"/>
      <c r="N774" s="11"/>
      <c r="O774" s="11"/>
      <c r="P774" s="82"/>
    </row>
    <row r="775" spans="2:16" s="9" customFormat="1" x14ac:dyDescent="0.2">
      <c r="B775" s="10"/>
      <c r="C775" s="11"/>
      <c r="D775" s="63"/>
      <c r="E775" s="11"/>
      <c r="F775" s="65"/>
      <c r="G775" s="12"/>
      <c r="H775" s="41"/>
      <c r="I775" s="30"/>
      <c r="J775" s="30"/>
      <c r="K775" s="97"/>
      <c r="L775" s="11"/>
      <c r="M775" s="11"/>
      <c r="N775" s="11"/>
      <c r="O775" s="11"/>
      <c r="P775" s="82"/>
    </row>
    <row r="776" spans="2:16" s="9" customFormat="1" x14ac:dyDescent="0.2">
      <c r="B776" s="10"/>
      <c r="C776" s="11"/>
      <c r="D776" s="63"/>
      <c r="E776" s="11"/>
      <c r="F776" s="65"/>
      <c r="G776" s="12"/>
      <c r="H776" s="41"/>
      <c r="I776" s="30"/>
      <c r="J776" s="30"/>
      <c r="K776" s="97"/>
      <c r="L776" s="11"/>
      <c r="M776" s="11"/>
      <c r="N776" s="11"/>
      <c r="O776" s="11"/>
      <c r="P776" s="82"/>
    </row>
    <row r="777" spans="2:16" s="9" customFormat="1" x14ac:dyDescent="0.2">
      <c r="B777" s="10"/>
      <c r="C777" s="11"/>
      <c r="D777" s="63"/>
      <c r="E777" s="11"/>
      <c r="F777" s="65"/>
      <c r="G777" s="12"/>
      <c r="H777" s="41"/>
      <c r="I777" s="30"/>
      <c r="J777" s="30"/>
      <c r="K777" s="97"/>
      <c r="L777" s="11"/>
      <c r="M777" s="11"/>
      <c r="N777" s="11"/>
      <c r="O777" s="11"/>
      <c r="P777" s="82"/>
    </row>
    <row r="778" spans="2:16" s="9" customFormat="1" x14ac:dyDescent="0.2">
      <c r="B778" s="10"/>
      <c r="C778" s="11"/>
      <c r="D778" s="63"/>
      <c r="E778" s="11"/>
      <c r="F778" s="65"/>
      <c r="G778" s="12"/>
      <c r="H778" s="41"/>
      <c r="I778" s="30"/>
      <c r="J778" s="30"/>
      <c r="K778" s="97"/>
      <c r="L778" s="11"/>
      <c r="M778" s="11"/>
      <c r="N778" s="11"/>
      <c r="O778" s="11"/>
      <c r="P778" s="82"/>
    </row>
    <row r="779" spans="2:16" s="9" customFormat="1" x14ac:dyDescent="0.2">
      <c r="B779" s="10"/>
      <c r="C779" s="11"/>
      <c r="D779" s="63"/>
      <c r="E779" s="11"/>
      <c r="F779" s="65"/>
      <c r="G779" s="12"/>
      <c r="H779" s="41"/>
      <c r="I779" s="30"/>
      <c r="J779" s="30"/>
      <c r="K779" s="97"/>
      <c r="L779" s="11"/>
      <c r="M779" s="11"/>
      <c r="N779" s="11"/>
      <c r="O779" s="11"/>
      <c r="P779" s="82"/>
    </row>
    <row r="780" spans="2:16" s="9" customFormat="1" x14ac:dyDescent="0.2">
      <c r="B780" s="10"/>
      <c r="C780" s="11"/>
      <c r="D780" s="63"/>
      <c r="E780" s="11"/>
      <c r="F780" s="65"/>
      <c r="G780" s="12"/>
      <c r="H780" s="41"/>
      <c r="I780" s="30"/>
      <c r="J780" s="30"/>
      <c r="K780" s="97"/>
      <c r="L780" s="11"/>
      <c r="M780" s="11"/>
      <c r="N780" s="11"/>
      <c r="O780" s="11"/>
      <c r="P780" s="82"/>
    </row>
    <row r="781" spans="2:16" s="9" customFormat="1" x14ac:dyDescent="0.2">
      <c r="B781" s="10"/>
      <c r="C781" s="11"/>
      <c r="D781" s="63"/>
      <c r="E781" s="11"/>
      <c r="F781" s="65"/>
      <c r="G781" s="12"/>
      <c r="H781" s="41"/>
      <c r="I781" s="30"/>
      <c r="J781" s="30"/>
      <c r="K781" s="97"/>
      <c r="L781" s="11"/>
      <c r="M781" s="11"/>
      <c r="N781" s="11"/>
      <c r="O781" s="11"/>
      <c r="P781" s="82"/>
    </row>
    <row r="782" spans="2:16" s="9" customFormat="1" x14ac:dyDescent="0.2">
      <c r="B782" s="10"/>
      <c r="C782" s="11"/>
      <c r="D782" s="63"/>
      <c r="E782" s="11"/>
      <c r="F782" s="65"/>
      <c r="G782" s="12"/>
      <c r="H782" s="41"/>
      <c r="I782" s="30"/>
      <c r="J782" s="30"/>
      <c r="K782" s="97"/>
      <c r="L782" s="11"/>
      <c r="M782" s="11"/>
      <c r="N782" s="11"/>
      <c r="O782" s="11"/>
      <c r="P782" s="82"/>
    </row>
    <row r="783" spans="2:16" s="9" customFormat="1" x14ac:dyDescent="0.2">
      <c r="B783" s="10"/>
      <c r="C783" s="11"/>
      <c r="D783" s="63"/>
      <c r="E783" s="11"/>
      <c r="F783" s="65"/>
      <c r="G783" s="12"/>
      <c r="H783" s="41"/>
      <c r="I783" s="30"/>
      <c r="J783" s="30"/>
      <c r="K783" s="97"/>
      <c r="L783" s="11"/>
      <c r="M783" s="11"/>
      <c r="N783" s="11"/>
      <c r="O783" s="11"/>
      <c r="P783" s="82"/>
    </row>
    <row r="784" spans="2:16" s="9" customFormat="1" x14ac:dyDescent="0.2">
      <c r="B784" s="10"/>
      <c r="C784" s="11"/>
      <c r="D784" s="63"/>
      <c r="E784" s="11"/>
      <c r="F784" s="65"/>
      <c r="G784" s="12"/>
      <c r="H784" s="41"/>
      <c r="I784" s="30"/>
      <c r="J784" s="30"/>
      <c r="K784" s="97"/>
      <c r="L784" s="11"/>
      <c r="M784" s="11"/>
      <c r="N784" s="11"/>
      <c r="O784" s="11"/>
      <c r="P784" s="82"/>
    </row>
    <row r="785" spans="2:16" s="9" customFormat="1" x14ac:dyDescent="0.2">
      <c r="B785" s="10"/>
      <c r="C785" s="11"/>
      <c r="D785" s="63"/>
      <c r="E785" s="11"/>
      <c r="F785" s="65"/>
      <c r="G785" s="12"/>
      <c r="H785" s="41"/>
      <c r="I785" s="30"/>
      <c r="J785" s="30"/>
      <c r="K785" s="97"/>
      <c r="L785" s="11"/>
      <c r="M785" s="11"/>
      <c r="N785" s="11"/>
      <c r="O785" s="11"/>
      <c r="P785" s="82"/>
    </row>
    <row r="786" spans="2:16" s="9" customFormat="1" x14ac:dyDescent="0.2">
      <c r="B786" s="10"/>
      <c r="C786" s="11"/>
      <c r="D786" s="63"/>
      <c r="E786" s="11"/>
      <c r="F786" s="65"/>
      <c r="G786" s="12"/>
      <c r="H786" s="41"/>
      <c r="I786" s="30"/>
      <c r="J786" s="30"/>
      <c r="K786" s="97"/>
      <c r="L786" s="11"/>
      <c r="M786" s="11"/>
      <c r="N786" s="11"/>
      <c r="O786" s="11"/>
      <c r="P786" s="82"/>
    </row>
    <row r="787" spans="2:16" s="9" customFormat="1" x14ac:dyDescent="0.2">
      <c r="B787" s="10"/>
      <c r="C787" s="11"/>
      <c r="D787" s="63"/>
      <c r="E787" s="11"/>
      <c r="F787" s="65"/>
      <c r="G787" s="12"/>
      <c r="H787" s="41"/>
      <c r="I787" s="30"/>
      <c r="J787" s="30"/>
      <c r="K787" s="97"/>
      <c r="L787" s="11"/>
      <c r="M787" s="11"/>
      <c r="N787" s="11"/>
      <c r="O787" s="11"/>
      <c r="P787" s="82"/>
    </row>
    <row r="788" spans="2:16" s="9" customFormat="1" x14ac:dyDescent="0.2">
      <c r="B788" s="10"/>
      <c r="C788" s="11"/>
      <c r="D788" s="63"/>
      <c r="E788" s="11"/>
      <c r="F788" s="65"/>
      <c r="G788" s="12"/>
      <c r="H788" s="41"/>
      <c r="I788" s="30"/>
      <c r="J788" s="30"/>
      <c r="K788" s="97"/>
      <c r="L788" s="11"/>
      <c r="M788" s="11"/>
      <c r="N788" s="11"/>
      <c r="O788" s="11"/>
      <c r="P788" s="82"/>
    </row>
    <row r="789" spans="2:16" s="9" customFormat="1" x14ac:dyDescent="0.2">
      <c r="B789" s="10"/>
      <c r="C789" s="11"/>
      <c r="D789" s="63"/>
      <c r="E789" s="11"/>
      <c r="F789" s="65"/>
      <c r="G789" s="12"/>
      <c r="H789" s="41"/>
      <c r="I789" s="30"/>
      <c r="J789" s="30"/>
      <c r="K789" s="97"/>
      <c r="L789" s="11"/>
      <c r="M789" s="11"/>
      <c r="N789" s="11"/>
      <c r="O789" s="11"/>
      <c r="P789" s="82"/>
    </row>
    <row r="790" spans="2:16" s="9" customFormat="1" x14ac:dyDescent="0.2">
      <c r="B790" s="10"/>
      <c r="C790" s="11"/>
      <c r="D790" s="63"/>
      <c r="E790" s="11"/>
      <c r="F790" s="65"/>
      <c r="G790" s="12"/>
      <c r="H790" s="41"/>
      <c r="I790" s="30"/>
      <c r="J790" s="30"/>
      <c r="K790" s="97"/>
      <c r="L790" s="11"/>
      <c r="M790" s="11"/>
      <c r="N790" s="11"/>
      <c r="O790" s="11"/>
      <c r="P790" s="82"/>
    </row>
    <row r="791" spans="2:16" s="9" customFormat="1" x14ac:dyDescent="0.2">
      <c r="B791" s="10"/>
      <c r="C791" s="11"/>
      <c r="D791" s="63"/>
      <c r="E791" s="11"/>
      <c r="F791" s="65"/>
      <c r="G791" s="12"/>
      <c r="H791" s="41"/>
      <c r="I791" s="30"/>
      <c r="J791" s="30"/>
      <c r="K791" s="97"/>
      <c r="L791" s="11"/>
      <c r="M791" s="11"/>
      <c r="N791" s="11"/>
      <c r="O791" s="11"/>
      <c r="P791" s="82"/>
    </row>
    <row r="792" spans="2:16" s="9" customFormat="1" x14ac:dyDescent="0.2">
      <c r="B792" s="10"/>
      <c r="C792" s="11"/>
      <c r="D792" s="63"/>
      <c r="E792" s="11"/>
      <c r="F792" s="65"/>
      <c r="G792" s="12"/>
      <c r="H792" s="41"/>
      <c r="I792" s="30"/>
      <c r="J792" s="30"/>
      <c r="K792" s="97"/>
      <c r="L792" s="11"/>
      <c r="M792" s="11"/>
      <c r="N792" s="11"/>
      <c r="O792" s="11"/>
      <c r="P792" s="82"/>
    </row>
    <row r="793" spans="2:16" s="9" customFormat="1" x14ac:dyDescent="0.2">
      <c r="B793" s="10"/>
      <c r="C793" s="11"/>
      <c r="D793" s="63"/>
      <c r="E793" s="11"/>
      <c r="F793" s="65"/>
      <c r="G793" s="12"/>
      <c r="H793" s="41"/>
      <c r="I793" s="30"/>
      <c r="J793" s="30"/>
      <c r="K793" s="97"/>
      <c r="L793" s="11"/>
      <c r="M793" s="11"/>
      <c r="N793" s="11"/>
      <c r="O793" s="11"/>
      <c r="P793" s="82"/>
    </row>
    <row r="794" spans="2:16" s="9" customFormat="1" x14ac:dyDescent="0.2">
      <c r="B794" s="10"/>
      <c r="C794" s="11"/>
      <c r="D794" s="63"/>
      <c r="E794" s="11"/>
      <c r="F794" s="65"/>
      <c r="G794" s="12"/>
      <c r="H794" s="41"/>
      <c r="I794" s="30"/>
      <c r="J794" s="30"/>
      <c r="K794" s="97"/>
      <c r="L794" s="11"/>
      <c r="M794" s="11"/>
      <c r="N794" s="11"/>
      <c r="O794" s="11"/>
      <c r="P794" s="82"/>
    </row>
    <row r="795" spans="2:16" s="9" customFormat="1" x14ac:dyDescent="0.2">
      <c r="B795" s="10"/>
      <c r="C795" s="11"/>
      <c r="D795" s="63"/>
      <c r="E795" s="11"/>
      <c r="F795" s="65"/>
      <c r="G795" s="12"/>
      <c r="H795" s="41"/>
      <c r="I795" s="30"/>
      <c r="J795" s="30"/>
      <c r="K795" s="97"/>
      <c r="L795" s="11"/>
      <c r="M795" s="11"/>
      <c r="N795" s="11"/>
      <c r="O795" s="11"/>
      <c r="P795" s="82"/>
    </row>
    <row r="796" spans="2:16" s="9" customFormat="1" x14ac:dyDescent="0.2">
      <c r="B796" s="10"/>
      <c r="C796" s="11"/>
      <c r="D796" s="63"/>
      <c r="E796" s="11"/>
      <c r="F796" s="65"/>
      <c r="G796" s="12"/>
      <c r="H796" s="41"/>
      <c r="I796" s="30"/>
      <c r="J796" s="30"/>
      <c r="K796" s="97"/>
      <c r="L796" s="11"/>
      <c r="M796" s="11"/>
      <c r="N796" s="11"/>
      <c r="O796" s="11"/>
      <c r="P796" s="82"/>
    </row>
    <row r="797" spans="2:16" s="9" customFormat="1" x14ac:dyDescent="0.2">
      <c r="B797" s="10"/>
      <c r="C797" s="11"/>
      <c r="D797" s="63"/>
      <c r="E797" s="11"/>
      <c r="F797" s="65"/>
      <c r="G797" s="12"/>
      <c r="H797" s="41"/>
      <c r="I797" s="30"/>
      <c r="J797" s="30"/>
      <c r="K797" s="97"/>
      <c r="L797" s="11"/>
      <c r="M797" s="11"/>
      <c r="N797" s="11"/>
      <c r="O797" s="11"/>
      <c r="P797" s="82"/>
    </row>
    <row r="798" spans="2:16" s="9" customFormat="1" x14ac:dyDescent="0.2">
      <c r="B798" s="10"/>
      <c r="C798" s="11"/>
      <c r="D798" s="63"/>
      <c r="E798" s="11"/>
      <c r="F798" s="65"/>
      <c r="G798" s="12"/>
      <c r="H798" s="41"/>
      <c r="I798" s="30"/>
      <c r="J798" s="30"/>
      <c r="K798" s="97"/>
      <c r="L798" s="11"/>
      <c r="M798" s="11"/>
      <c r="N798" s="11"/>
      <c r="O798" s="11"/>
      <c r="P798" s="82"/>
    </row>
    <row r="799" spans="2:16" s="9" customFormat="1" x14ac:dyDescent="0.2">
      <c r="B799" s="10"/>
      <c r="C799" s="11"/>
      <c r="D799" s="63"/>
      <c r="E799" s="11"/>
      <c r="F799" s="65"/>
      <c r="G799" s="12"/>
      <c r="H799" s="41"/>
      <c r="I799" s="30"/>
      <c r="J799" s="30"/>
      <c r="K799" s="97"/>
      <c r="L799" s="11"/>
      <c r="M799" s="11"/>
      <c r="N799" s="11"/>
      <c r="O799" s="11"/>
      <c r="P799" s="82"/>
    </row>
    <row r="800" spans="2:16" s="9" customFormat="1" x14ac:dyDescent="0.2">
      <c r="B800" s="10"/>
      <c r="C800" s="11"/>
      <c r="D800" s="63"/>
      <c r="E800" s="11"/>
      <c r="F800" s="65"/>
      <c r="G800" s="12"/>
      <c r="H800" s="41"/>
      <c r="I800" s="30"/>
      <c r="J800" s="30"/>
      <c r="K800" s="97"/>
      <c r="L800" s="11"/>
      <c r="M800" s="11"/>
      <c r="N800" s="11"/>
      <c r="O800" s="11"/>
      <c r="P800" s="82"/>
    </row>
    <row r="801" spans="2:16" s="9" customFormat="1" x14ac:dyDescent="0.2">
      <c r="B801" s="10"/>
      <c r="C801" s="11"/>
      <c r="D801" s="63"/>
      <c r="E801" s="11"/>
      <c r="F801" s="65"/>
      <c r="G801" s="12"/>
      <c r="H801" s="41"/>
      <c r="I801" s="30"/>
      <c r="J801" s="30"/>
      <c r="K801" s="97"/>
      <c r="L801" s="11"/>
      <c r="M801" s="11"/>
      <c r="N801" s="11"/>
      <c r="O801" s="11"/>
      <c r="P801" s="82"/>
    </row>
    <row r="802" spans="2:16" s="9" customFormat="1" x14ac:dyDescent="0.2">
      <c r="B802" s="10"/>
      <c r="C802" s="11"/>
      <c r="D802" s="63"/>
      <c r="E802" s="11"/>
      <c r="F802" s="65"/>
      <c r="G802" s="12"/>
      <c r="H802" s="41"/>
      <c r="I802" s="30"/>
      <c r="J802" s="30"/>
      <c r="K802" s="97"/>
      <c r="L802" s="11"/>
      <c r="M802" s="11"/>
      <c r="N802" s="11"/>
      <c r="O802" s="11"/>
      <c r="P802" s="82"/>
    </row>
    <row r="803" spans="2:16" s="9" customFormat="1" x14ac:dyDescent="0.2">
      <c r="B803" s="10"/>
      <c r="C803" s="11"/>
      <c r="D803" s="63"/>
      <c r="E803" s="11"/>
      <c r="F803" s="65"/>
      <c r="G803" s="12"/>
      <c r="H803" s="41"/>
      <c r="I803" s="30"/>
      <c r="J803" s="30"/>
      <c r="K803" s="97"/>
      <c r="L803" s="11"/>
      <c r="M803" s="11"/>
      <c r="N803" s="11"/>
      <c r="O803" s="11"/>
      <c r="P803" s="82"/>
    </row>
    <row r="804" spans="2:16" s="9" customFormat="1" x14ac:dyDescent="0.2">
      <c r="B804" s="10"/>
      <c r="C804" s="11"/>
      <c r="D804" s="63"/>
      <c r="E804" s="11"/>
      <c r="F804" s="65"/>
      <c r="G804" s="12"/>
      <c r="H804" s="41"/>
      <c r="I804" s="30"/>
      <c r="J804" s="30"/>
      <c r="K804" s="97"/>
      <c r="L804" s="11"/>
      <c r="M804" s="11"/>
      <c r="N804" s="11"/>
      <c r="O804" s="11"/>
      <c r="P804" s="82"/>
    </row>
    <row r="805" spans="2:16" s="9" customFormat="1" x14ac:dyDescent="0.2">
      <c r="B805" s="10"/>
      <c r="C805" s="11"/>
      <c r="D805" s="63"/>
      <c r="E805" s="11"/>
      <c r="F805" s="65"/>
      <c r="G805" s="12"/>
      <c r="H805" s="41"/>
      <c r="I805" s="30"/>
      <c r="J805" s="30"/>
      <c r="K805" s="97"/>
      <c r="L805" s="11"/>
      <c r="M805" s="11"/>
      <c r="N805" s="11"/>
      <c r="O805" s="11"/>
      <c r="P805" s="82"/>
    </row>
    <row r="806" spans="2:16" s="9" customFormat="1" x14ac:dyDescent="0.2">
      <c r="B806" s="10"/>
      <c r="C806" s="11"/>
      <c r="D806" s="63"/>
      <c r="E806" s="11"/>
      <c r="F806" s="65"/>
      <c r="G806" s="12"/>
      <c r="H806" s="41"/>
      <c r="I806" s="30"/>
      <c r="J806" s="30"/>
      <c r="K806" s="97"/>
      <c r="L806" s="11"/>
      <c r="M806" s="11"/>
      <c r="N806" s="11"/>
      <c r="O806" s="11"/>
      <c r="P806" s="82"/>
    </row>
    <row r="807" spans="2:16" s="9" customFormat="1" x14ac:dyDescent="0.2">
      <c r="B807" s="10"/>
      <c r="C807" s="11"/>
      <c r="D807" s="63"/>
      <c r="E807" s="11"/>
      <c r="F807" s="65"/>
      <c r="G807" s="12"/>
      <c r="H807" s="41"/>
      <c r="I807" s="30"/>
      <c r="J807" s="30"/>
      <c r="K807" s="97"/>
      <c r="L807" s="11"/>
      <c r="M807" s="11"/>
      <c r="N807" s="11"/>
      <c r="O807" s="11"/>
      <c r="P807" s="82"/>
    </row>
    <row r="808" spans="2:16" s="9" customFormat="1" x14ac:dyDescent="0.2">
      <c r="B808" s="10"/>
      <c r="C808" s="11"/>
      <c r="D808" s="63"/>
      <c r="E808" s="11"/>
      <c r="F808" s="65"/>
      <c r="G808" s="12"/>
      <c r="H808" s="41"/>
      <c r="I808" s="30"/>
      <c r="J808" s="30"/>
      <c r="K808" s="97"/>
      <c r="L808" s="11"/>
      <c r="M808" s="11"/>
      <c r="N808" s="11"/>
      <c r="O808" s="11"/>
      <c r="P808" s="82"/>
    </row>
    <row r="809" spans="2:16" s="9" customFormat="1" x14ac:dyDescent="0.2">
      <c r="B809" s="10"/>
      <c r="C809" s="11"/>
      <c r="D809" s="63"/>
      <c r="E809" s="11"/>
      <c r="F809" s="65"/>
      <c r="G809" s="12"/>
      <c r="H809" s="41"/>
      <c r="I809" s="30"/>
      <c r="J809" s="30"/>
      <c r="K809" s="97"/>
      <c r="L809" s="11"/>
      <c r="M809" s="11"/>
      <c r="N809" s="11"/>
      <c r="O809" s="11"/>
      <c r="P809" s="82"/>
    </row>
    <row r="810" spans="2:16" s="9" customFormat="1" x14ac:dyDescent="0.2">
      <c r="B810" s="10"/>
      <c r="C810" s="11"/>
      <c r="D810" s="63"/>
      <c r="E810" s="11"/>
      <c r="F810" s="65"/>
      <c r="G810" s="12"/>
      <c r="H810" s="41"/>
      <c r="I810" s="30"/>
      <c r="J810" s="30"/>
      <c r="K810" s="97"/>
      <c r="L810" s="11"/>
      <c r="M810" s="11"/>
      <c r="N810" s="11"/>
      <c r="O810" s="11"/>
      <c r="P810" s="82"/>
    </row>
    <row r="811" spans="2:16" s="9" customFormat="1" x14ac:dyDescent="0.2">
      <c r="B811" s="10"/>
      <c r="C811" s="11"/>
      <c r="D811" s="63"/>
      <c r="E811" s="11"/>
      <c r="F811" s="65"/>
      <c r="G811" s="12"/>
      <c r="H811" s="41"/>
      <c r="I811" s="30"/>
      <c r="J811" s="30"/>
      <c r="K811" s="97"/>
      <c r="L811" s="11"/>
      <c r="M811" s="11"/>
      <c r="N811" s="11"/>
      <c r="O811" s="11"/>
      <c r="P811" s="82"/>
    </row>
    <row r="812" spans="2:16" s="9" customFormat="1" x14ac:dyDescent="0.2">
      <c r="B812" s="10"/>
      <c r="C812" s="11"/>
      <c r="D812" s="63"/>
      <c r="E812" s="11"/>
      <c r="F812" s="65"/>
      <c r="G812" s="12"/>
      <c r="H812" s="41"/>
      <c r="I812" s="30"/>
      <c r="J812" s="30"/>
      <c r="K812" s="97"/>
      <c r="L812" s="11"/>
      <c r="M812" s="11"/>
      <c r="N812" s="11"/>
      <c r="O812" s="11"/>
      <c r="P812" s="82"/>
    </row>
    <row r="813" spans="2:16" s="9" customFormat="1" x14ac:dyDescent="0.2">
      <c r="B813" s="10"/>
      <c r="C813" s="11"/>
      <c r="D813" s="63"/>
      <c r="E813" s="11"/>
      <c r="F813" s="65"/>
      <c r="G813" s="12"/>
      <c r="H813" s="41"/>
      <c r="I813" s="30"/>
      <c r="J813" s="30"/>
      <c r="K813" s="97"/>
      <c r="L813" s="11"/>
      <c r="M813" s="11"/>
      <c r="N813" s="11"/>
      <c r="O813" s="11"/>
      <c r="P813" s="82"/>
    </row>
    <row r="814" spans="2:16" s="9" customFormat="1" x14ac:dyDescent="0.2">
      <c r="B814" s="10"/>
      <c r="C814" s="11"/>
      <c r="D814" s="63"/>
      <c r="E814" s="11"/>
      <c r="F814" s="65"/>
      <c r="G814" s="12"/>
      <c r="H814" s="41"/>
      <c r="I814" s="30"/>
      <c r="J814" s="30"/>
      <c r="K814" s="97"/>
      <c r="L814" s="11"/>
      <c r="M814" s="11"/>
      <c r="N814" s="11"/>
      <c r="O814" s="11"/>
      <c r="P814" s="82"/>
    </row>
    <row r="815" spans="2:16" s="9" customFormat="1" x14ac:dyDescent="0.2">
      <c r="B815" s="10"/>
      <c r="C815" s="11"/>
      <c r="D815" s="63"/>
      <c r="E815" s="11"/>
      <c r="F815" s="65"/>
      <c r="G815" s="12"/>
      <c r="H815" s="41"/>
      <c r="I815" s="30"/>
      <c r="J815" s="30"/>
      <c r="K815" s="97"/>
      <c r="L815" s="11"/>
      <c r="M815" s="11"/>
      <c r="N815" s="11"/>
      <c r="O815" s="11"/>
      <c r="P815" s="82"/>
    </row>
    <row r="816" spans="2:16" s="9" customFormat="1" x14ac:dyDescent="0.2">
      <c r="B816" s="10"/>
      <c r="C816" s="11"/>
      <c r="D816" s="63"/>
      <c r="E816" s="11"/>
      <c r="F816" s="65"/>
      <c r="G816" s="12"/>
      <c r="H816" s="41"/>
      <c r="I816" s="30"/>
      <c r="J816" s="30"/>
      <c r="K816" s="97"/>
      <c r="L816" s="11"/>
      <c r="M816" s="11"/>
      <c r="N816" s="11"/>
      <c r="O816" s="11"/>
      <c r="P816" s="82"/>
    </row>
    <row r="817" spans="2:16" s="9" customFormat="1" x14ac:dyDescent="0.2">
      <c r="B817" s="10"/>
      <c r="C817" s="11"/>
      <c r="D817" s="63"/>
      <c r="E817" s="11"/>
      <c r="F817" s="65"/>
      <c r="G817" s="12"/>
      <c r="H817" s="41"/>
      <c r="I817" s="30"/>
      <c r="J817" s="30"/>
      <c r="K817" s="97"/>
      <c r="L817" s="11"/>
      <c r="M817" s="11"/>
      <c r="N817" s="11"/>
      <c r="O817" s="11"/>
      <c r="P817" s="82"/>
    </row>
    <row r="818" spans="2:16" s="9" customFormat="1" x14ac:dyDescent="0.2">
      <c r="B818" s="10"/>
      <c r="C818" s="11"/>
      <c r="D818" s="63"/>
      <c r="E818" s="11"/>
      <c r="F818" s="65"/>
      <c r="G818" s="12"/>
      <c r="H818" s="41"/>
      <c r="I818" s="30"/>
      <c r="J818" s="30"/>
      <c r="K818" s="97"/>
      <c r="L818" s="11"/>
      <c r="M818" s="11"/>
      <c r="N818" s="11"/>
      <c r="O818" s="11"/>
      <c r="P818" s="82"/>
    </row>
    <row r="819" spans="2:16" s="9" customFormat="1" x14ac:dyDescent="0.2">
      <c r="B819" s="10"/>
      <c r="C819" s="11"/>
      <c r="D819" s="63"/>
      <c r="E819" s="11"/>
      <c r="F819" s="65"/>
      <c r="G819" s="12"/>
      <c r="H819" s="41"/>
      <c r="I819" s="30"/>
      <c r="J819" s="30"/>
      <c r="K819" s="97"/>
      <c r="L819" s="11"/>
      <c r="M819" s="11"/>
      <c r="N819" s="11"/>
      <c r="O819" s="11"/>
      <c r="P819" s="82"/>
    </row>
    <row r="820" spans="2:16" s="9" customFormat="1" x14ac:dyDescent="0.2">
      <c r="B820" s="10"/>
      <c r="C820" s="11"/>
      <c r="D820" s="63"/>
      <c r="E820" s="11"/>
      <c r="F820" s="65"/>
      <c r="G820" s="12"/>
      <c r="H820" s="41"/>
      <c r="I820" s="30"/>
      <c r="J820" s="30"/>
      <c r="K820" s="97"/>
      <c r="L820" s="11"/>
      <c r="M820" s="11"/>
      <c r="N820" s="11"/>
      <c r="O820" s="11"/>
      <c r="P820" s="82"/>
    </row>
    <row r="821" spans="2:16" s="9" customFormat="1" x14ac:dyDescent="0.2">
      <c r="B821" s="10"/>
      <c r="C821" s="11"/>
      <c r="D821" s="63"/>
      <c r="E821" s="11"/>
      <c r="F821" s="65"/>
      <c r="G821" s="12"/>
      <c r="H821" s="41"/>
      <c r="I821" s="30"/>
      <c r="J821" s="30"/>
      <c r="K821" s="97"/>
      <c r="L821" s="11"/>
      <c r="M821" s="11"/>
      <c r="N821" s="11"/>
      <c r="O821" s="11"/>
      <c r="P821" s="82"/>
    </row>
    <row r="822" spans="2:16" s="9" customFormat="1" x14ac:dyDescent="0.2">
      <c r="B822" s="10"/>
      <c r="C822" s="11"/>
      <c r="D822" s="63"/>
      <c r="E822" s="11"/>
      <c r="F822" s="65"/>
      <c r="G822" s="12"/>
      <c r="H822" s="41"/>
      <c r="I822" s="30"/>
      <c r="J822" s="30"/>
      <c r="K822" s="97"/>
      <c r="L822" s="11"/>
      <c r="M822" s="11"/>
      <c r="N822" s="11"/>
      <c r="O822" s="11"/>
      <c r="P822" s="82"/>
    </row>
    <row r="823" spans="2:16" s="9" customFormat="1" x14ac:dyDescent="0.2">
      <c r="B823" s="10"/>
      <c r="C823" s="11"/>
      <c r="D823" s="63"/>
      <c r="E823" s="11"/>
      <c r="F823" s="65"/>
      <c r="G823" s="12"/>
      <c r="H823" s="41"/>
      <c r="I823" s="30"/>
      <c r="J823" s="30"/>
      <c r="K823" s="97"/>
      <c r="L823" s="11"/>
      <c r="M823" s="11"/>
      <c r="N823" s="11"/>
      <c r="O823" s="11"/>
      <c r="P823" s="82"/>
    </row>
    <row r="824" spans="2:16" s="9" customFormat="1" x14ac:dyDescent="0.2">
      <c r="B824" s="10"/>
      <c r="C824" s="11"/>
      <c r="D824" s="63"/>
      <c r="E824" s="11"/>
      <c r="F824" s="65"/>
      <c r="G824" s="12"/>
      <c r="H824" s="41"/>
      <c r="I824" s="30"/>
      <c r="J824" s="30"/>
      <c r="K824" s="97"/>
      <c r="L824" s="11"/>
      <c r="M824" s="11"/>
      <c r="N824" s="11"/>
      <c r="O824" s="11"/>
      <c r="P824" s="82"/>
    </row>
    <row r="825" spans="2:16" s="9" customFormat="1" x14ac:dyDescent="0.2">
      <c r="B825" s="10"/>
      <c r="C825" s="11"/>
      <c r="D825" s="63"/>
      <c r="E825" s="11"/>
      <c r="F825" s="65"/>
      <c r="G825" s="12"/>
      <c r="H825" s="41"/>
      <c r="I825" s="30"/>
      <c r="J825" s="30"/>
      <c r="K825" s="97"/>
      <c r="L825" s="11"/>
      <c r="M825" s="11"/>
      <c r="N825" s="11"/>
      <c r="O825" s="11"/>
      <c r="P825" s="82"/>
    </row>
    <row r="826" spans="2:16" s="9" customFormat="1" x14ac:dyDescent="0.2">
      <c r="B826" s="10"/>
      <c r="C826" s="11"/>
      <c r="D826" s="63"/>
      <c r="E826" s="11"/>
      <c r="F826" s="65"/>
      <c r="G826" s="12"/>
      <c r="H826" s="41"/>
      <c r="I826" s="30"/>
      <c r="J826" s="30"/>
      <c r="K826" s="97"/>
      <c r="L826" s="11"/>
      <c r="M826" s="11"/>
      <c r="N826" s="11"/>
      <c r="O826" s="11"/>
      <c r="P826" s="82"/>
    </row>
    <row r="827" spans="2:16" s="9" customFormat="1" x14ac:dyDescent="0.2">
      <c r="B827" s="10"/>
      <c r="C827" s="11"/>
      <c r="D827" s="63"/>
      <c r="E827" s="11"/>
      <c r="F827" s="65"/>
      <c r="G827" s="12"/>
      <c r="H827" s="41"/>
      <c r="I827" s="30"/>
      <c r="J827" s="30"/>
      <c r="K827" s="97"/>
      <c r="L827" s="11"/>
      <c r="M827" s="11"/>
      <c r="N827" s="11"/>
      <c r="O827" s="11"/>
      <c r="P827" s="82"/>
    </row>
    <row r="828" spans="2:16" s="9" customFormat="1" x14ac:dyDescent="0.2">
      <c r="B828" s="10"/>
      <c r="C828" s="11"/>
      <c r="D828" s="63"/>
      <c r="E828" s="11"/>
      <c r="F828" s="65"/>
      <c r="G828" s="12"/>
      <c r="H828" s="41"/>
      <c r="I828" s="30"/>
      <c r="J828" s="30"/>
      <c r="K828" s="97"/>
      <c r="L828" s="11"/>
      <c r="M828" s="11"/>
      <c r="N828" s="11"/>
      <c r="O828" s="11"/>
      <c r="P828" s="82"/>
    </row>
    <row r="829" spans="2:16" s="9" customFormat="1" x14ac:dyDescent="0.2">
      <c r="B829" s="10"/>
      <c r="C829" s="11"/>
      <c r="D829" s="63"/>
      <c r="E829" s="11"/>
      <c r="F829" s="65"/>
      <c r="G829" s="12"/>
      <c r="H829" s="41"/>
      <c r="I829" s="30"/>
      <c r="J829" s="30"/>
      <c r="K829" s="97"/>
      <c r="L829" s="11"/>
      <c r="M829" s="11"/>
      <c r="N829" s="11"/>
      <c r="O829" s="11"/>
      <c r="P829" s="82"/>
    </row>
    <row r="830" spans="2:16" s="9" customFormat="1" x14ac:dyDescent="0.2">
      <c r="B830" s="10"/>
      <c r="C830" s="11"/>
      <c r="D830" s="63"/>
      <c r="E830" s="11"/>
      <c r="F830" s="65"/>
      <c r="G830" s="12"/>
      <c r="H830" s="41"/>
      <c r="I830" s="30"/>
      <c r="J830" s="30"/>
      <c r="K830" s="97"/>
      <c r="L830" s="11"/>
      <c r="M830" s="11"/>
      <c r="N830" s="11"/>
      <c r="O830" s="11"/>
      <c r="P830" s="82"/>
    </row>
    <row r="831" spans="2:16" s="9" customFormat="1" x14ac:dyDescent="0.2">
      <c r="B831" s="10"/>
      <c r="C831" s="11"/>
      <c r="D831" s="63"/>
      <c r="E831" s="11"/>
      <c r="F831" s="65"/>
      <c r="G831" s="12"/>
      <c r="H831" s="41"/>
      <c r="I831" s="30"/>
      <c r="J831" s="30"/>
      <c r="K831" s="97"/>
      <c r="L831" s="11"/>
      <c r="M831" s="11"/>
      <c r="N831" s="11"/>
      <c r="O831" s="11"/>
      <c r="P831" s="82"/>
    </row>
    <row r="832" spans="2:16" s="9" customFormat="1" x14ac:dyDescent="0.2">
      <c r="B832" s="10"/>
      <c r="C832" s="11"/>
      <c r="D832" s="63"/>
      <c r="E832" s="11"/>
      <c r="F832" s="65"/>
      <c r="G832" s="12"/>
      <c r="H832" s="41"/>
      <c r="I832" s="30"/>
      <c r="J832" s="30"/>
      <c r="K832" s="97"/>
      <c r="L832" s="11"/>
      <c r="M832" s="11"/>
      <c r="N832" s="11"/>
      <c r="O832" s="11"/>
      <c r="P832" s="82"/>
    </row>
    <row r="833" spans="2:16" s="9" customFormat="1" x14ac:dyDescent="0.2">
      <c r="B833" s="10"/>
      <c r="C833" s="11"/>
      <c r="D833" s="63"/>
      <c r="E833" s="11"/>
      <c r="F833" s="65"/>
      <c r="G833" s="12"/>
      <c r="H833" s="41"/>
      <c r="I833" s="30"/>
      <c r="J833" s="30"/>
      <c r="K833" s="97"/>
      <c r="L833" s="11"/>
      <c r="M833" s="11"/>
      <c r="N833" s="11"/>
      <c r="O833" s="11"/>
      <c r="P833" s="82"/>
    </row>
    <row r="834" spans="2:16" s="9" customFormat="1" x14ac:dyDescent="0.2">
      <c r="B834" s="10"/>
      <c r="C834" s="11"/>
      <c r="D834" s="63"/>
      <c r="E834" s="11"/>
      <c r="F834" s="65"/>
      <c r="G834" s="12"/>
      <c r="H834" s="41"/>
      <c r="I834" s="30"/>
      <c r="J834" s="30"/>
      <c r="K834" s="97"/>
      <c r="L834" s="11"/>
      <c r="M834" s="11"/>
      <c r="N834" s="11"/>
      <c r="O834" s="11"/>
      <c r="P834" s="82"/>
    </row>
    <row r="835" spans="2:16" s="9" customFormat="1" x14ac:dyDescent="0.2">
      <c r="B835" s="10"/>
      <c r="C835" s="11"/>
      <c r="D835" s="63"/>
      <c r="E835" s="11"/>
      <c r="F835" s="65"/>
      <c r="G835" s="12"/>
      <c r="H835" s="41"/>
      <c r="I835" s="30"/>
      <c r="J835" s="30"/>
      <c r="K835" s="97"/>
      <c r="L835" s="11"/>
      <c r="M835" s="11"/>
      <c r="N835" s="11"/>
      <c r="O835" s="11"/>
      <c r="P835" s="82"/>
    </row>
    <row r="836" spans="2:16" s="9" customFormat="1" x14ac:dyDescent="0.2">
      <c r="B836" s="10"/>
      <c r="C836" s="11"/>
      <c r="D836" s="63"/>
      <c r="E836" s="11"/>
      <c r="F836" s="65"/>
      <c r="G836" s="12"/>
      <c r="H836" s="41"/>
      <c r="I836" s="30"/>
      <c r="J836" s="30"/>
      <c r="K836" s="97"/>
      <c r="L836" s="11"/>
      <c r="M836" s="11"/>
      <c r="N836" s="11"/>
      <c r="O836" s="11"/>
      <c r="P836" s="82"/>
    </row>
    <row r="837" spans="2:16" s="9" customFormat="1" x14ac:dyDescent="0.2">
      <c r="B837" s="10"/>
      <c r="C837" s="11"/>
      <c r="D837" s="63"/>
      <c r="E837" s="11"/>
      <c r="F837" s="65"/>
      <c r="G837" s="12"/>
      <c r="H837" s="41"/>
      <c r="I837" s="30"/>
      <c r="J837" s="30"/>
      <c r="K837" s="97"/>
      <c r="L837" s="11"/>
      <c r="M837" s="11"/>
      <c r="N837" s="11"/>
      <c r="O837" s="11"/>
      <c r="P837" s="82"/>
    </row>
    <row r="838" spans="2:16" s="9" customFormat="1" x14ac:dyDescent="0.2">
      <c r="B838" s="10"/>
      <c r="C838" s="11"/>
      <c r="D838" s="63"/>
      <c r="E838" s="11"/>
      <c r="F838" s="65"/>
      <c r="G838" s="12"/>
      <c r="H838" s="41"/>
      <c r="I838" s="30"/>
      <c r="J838" s="30"/>
      <c r="K838" s="97"/>
      <c r="L838" s="11"/>
      <c r="M838" s="11"/>
      <c r="N838" s="11"/>
      <c r="O838" s="11"/>
      <c r="P838" s="82"/>
    </row>
    <row r="839" spans="2:16" s="9" customFormat="1" x14ac:dyDescent="0.2">
      <c r="B839" s="10"/>
      <c r="C839" s="11"/>
      <c r="D839" s="63"/>
      <c r="E839" s="11"/>
      <c r="F839" s="65"/>
      <c r="G839" s="12"/>
      <c r="H839" s="41"/>
      <c r="I839" s="30"/>
      <c r="J839" s="30"/>
      <c r="K839" s="97"/>
      <c r="L839" s="11"/>
      <c r="M839" s="11"/>
      <c r="N839" s="11"/>
      <c r="O839" s="11"/>
      <c r="P839" s="82"/>
    </row>
    <row r="840" spans="2:16" s="9" customFormat="1" x14ac:dyDescent="0.2">
      <c r="B840" s="10"/>
      <c r="C840" s="11"/>
      <c r="D840" s="63"/>
      <c r="E840" s="11"/>
      <c r="F840" s="65"/>
      <c r="G840" s="12"/>
      <c r="H840" s="41"/>
      <c r="I840" s="30"/>
      <c r="J840" s="30"/>
      <c r="K840" s="97"/>
      <c r="L840" s="11"/>
      <c r="M840" s="11"/>
      <c r="N840" s="11"/>
      <c r="O840" s="11"/>
      <c r="P840" s="82"/>
    </row>
    <row r="841" spans="2:16" s="9" customFormat="1" x14ac:dyDescent="0.2">
      <c r="B841" s="10"/>
      <c r="C841" s="11"/>
      <c r="D841" s="63"/>
      <c r="E841" s="11"/>
      <c r="F841" s="65"/>
      <c r="G841" s="12"/>
      <c r="H841" s="41"/>
      <c r="I841" s="30"/>
      <c r="J841" s="30"/>
      <c r="K841" s="97"/>
      <c r="L841" s="11"/>
      <c r="M841" s="11"/>
      <c r="N841" s="11"/>
      <c r="O841" s="11"/>
      <c r="P841" s="82"/>
    </row>
    <row r="842" spans="2:16" s="9" customFormat="1" x14ac:dyDescent="0.2">
      <c r="B842" s="10"/>
      <c r="C842" s="11"/>
      <c r="D842" s="63"/>
      <c r="E842" s="11"/>
      <c r="F842" s="65"/>
      <c r="G842" s="12"/>
      <c r="H842" s="41"/>
      <c r="I842" s="30"/>
      <c r="J842" s="30"/>
      <c r="K842" s="97"/>
      <c r="L842" s="11"/>
      <c r="M842" s="11"/>
      <c r="N842" s="11"/>
      <c r="O842" s="11"/>
      <c r="P842" s="82"/>
    </row>
    <row r="843" spans="2:16" s="9" customFormat="1" x14ac:dyDescent="0.2">
      <c r="B843" s="10"/>
      <c r="C843" s="11"/>
      <c r="D843" s="63"/>
      <c r="E843" s="11"/>
      <c r="F843" s="65"/>
      <c r="G843" s="12"/>
      <c r="H843" s="41"/>
      <c r="I843" s="30"/>
      <c r="J843" s="30"/>
      <c r="K843" s="97"/>
      <c r="L843" s="11"/>
      <c r="M843" s="11"/>
      <c r="N843" s="11"/>
      <c r="O843" s="11"/>
      <c r="P843" s="82"/>
    </row>
    <row r="844" spans="2:16" s="9" customFormat="1" x14ac:dyDescent="0.2">
      <c r="B844" s="10"/>
      <c r="C844" s="11"/>
      <c r="D844" s="63"/>
      <c r="E844" s="11"/>
      <c r="F844" s="65"/>
      <c r="G844" s="12"/>
      <c r="H844" s="41"/>
      <c r="I844" s="30"/>
      <c r="J844" s="30"/>
      <c r="K844" s="97"/>
      <c r="L844" s="11"/>
      <c r="M844" s="11"/>
      <c r="N844" s="11"/>
      <c r="O844" s="11"/>
      <c r="P844" s="82"/>
    </row>
    <row r="845" spans="2:16" s="9" customFormat="1" x14ac:dyDescent="0.2">
      <c r="B845" s="10"/>
      <c r="C845" s="11"/>
      <c r="D845" s="63"/>
      <c r="E845" s="11"/>
      <c r="F845" s="65"/>
      <c r="G845" s="12"/>
      <c r="H845" s="41"/>
      <c r="I845" s="30"/>
      <c r="J845" s="30"/>
      <c r="K845" s="97"/>
      <c r="L845" s="11"/>
      <c r="M845" s="11"/>
      <c r="N845" s="11"/>
      <c r="O845" s="11"/>
      <c r="P845" s="82"/>
    </row>
    <row r="846" spans="2:16" s="9" customFormat="1" x14ac:dyDescent="0.2">
      <c r="B846" s="10"/>
      <c r="C846" s="11"/>
      <c r="D846" s="63"/>
      <c r="E846" s="11"/>
      <c r="F846" s="65"/>
      <c r="G846" s="12"/>
      <c r="H846" s="41"/>
      <c r="I846" s="30"/>
      <c r="J846" s="30"/>
      <c r="K846" s="97"/>
      <c r="L846" s="11"/>
      <c r="M846" s="11"/>
      <c r="N846" s="11"/>
      <c r="O846" s="11"/>
      <c r="P846" s="82"/>
    </row>
    <row r="847" spans="2:16" s="9" customFormat="1" x14ac:dyDescent="0.2">
      <c r="B847" s="10"/>
      <c r="C847" s="11"/>
      <c r="D847" s="63"/>
      <c r="E847" s="11"/>
      <c r="F847" s="65"/>
      <c r="G847" s="12"/>
      <c r="H847" s="41"/>
      <c r="I847" s="30"/>
      <c r="J847" s="30"/>
      <c r="K847" s="97"/>
      <c r="L847" s="11"/>
      <c r="M847" s="11"/>
      <c r="N847" s="11"/>
      <c r="O847" s="11"/>
      <c r="P847" s="82"/>
    </row>
    <row r="848" spans="2:16" s="9" customFormat="1" x14ac:dyDescent="0.2">
      <c r="B848" s="10"/>
      <c r="C848" s="11"/>
      <c r="D848" s="63"/>
      <c r="E848" s="11"/>
      <c r="F848" s="65"/>
      <c r="G848" s="12"/>
      <c r="H848" s="41"/>
      <c r="I848" s="30"/>
      <c r="J848" s="30"/>
      <c r="K848" s="97"/>
      <c r="L848" s="11"/>
      <c r="M848" s="11"/>
      <c r="N848" s="11"/>
      <c r="O848" s="11"/>
      <c r="P848" s="82"/>
    </row>
    <row r="849" spans="2:16" s="9" customFormat="1" x14ac:dyDescent="0.2">
      <c r="B849" s="10"/>
      <c r="C849" s="11"/>
      <c r="D849" s="63"/>
      <c r="E849" s="11"/>
      <c r="F849" s="65"/>
      <c r="G849" s="12"/>
      <c r="H849" s="41"/>
      <c r="I849" s="30"/>
      <c r="J849" s="30"/>
      <c r="K849" s="97"/>
      <c r="L849" s="11"/>
      <c r="M849" s="11"/>
      <c r="N849" s="11"/>
      <c r="O849" s="11"/>
      <c r="P849" s="82"/>
    </row>
    <row r="850" spans="2:16" s="9" customFormat="1" x14ac:dyDescent="0.2">
      <c r="B850" s="10"/>
      <c r="C850" s="11"/>
      <c r="D850" s="63"/>
      <c r="E850" s="11"/>
      <c r="F850" s="65"/>
      <c r="G850" s="12"/>
      <c r="H850" s="41"/>
      <c r="I850" s="30"/>
      <c r="J850" s="30"/>
      <c r="K850" s="97"/>
      <c r="L850" s="11"/>
      <c r="M850" s="11"/>
      <c r="N850" s="11"/>
      <c r="O850" s="11"/>
      <c r="P850" s="82"/>
    </row>
    <row r="851" spans="2:16" s="9" customFormat="1" x14ac:dyDescent="0.2">
      <c r="B851" s="10"/>
      <c r="C851" s="11"/>
      <c r="D851" s="63"/>
      <c r="E851" s="11"/>
      <c r="F851" s="65"/>
      <c r="G851" s="12"/>
      <c r="H851" s="41"/>
      <c r="I851" s="30"/>
      <c r="J851" s="30"/>
      <c r="K851" s="97"/>
      <c r="L851" s="11"/>
      <c r="M851" s="11"/>
      <c r="N851" s="11"/>
      <c r="O851" s="11"/>
      <c r="P851" s="82"/>
    </row>
    <row r="852" spans="2:16" s="9" customFormat="1" x14ac:dyDescent="0.2">
      <c r="B852" s="10"/>
      <c r="C852" s="11"/>
      <c r="D852" s="63"/>
      <c r="E852" s="11"/>
      <c r="F852" s="65"/>
      <c r="G852" s="12"/>
      <c r="H852" s="41"/>
      <c r="I852" s="30"/>
      <c r="J852" s="30"/>
      <c r="K852" s="97"/>
      <c r="L852" s="11"/>
      <c r="M852" s="11"/>
      <c r="N852" s="11"/>
      <c r="O852" s="11"/>
      <c r="P852" s="82"/>
    </row>
    <row r="853" spans="2:16" s="9" customFormat="1" x14ac:dyDescent="0.2">
      <c r="B853" s="10"/>
      <c r="C853" s="11"/>
      <c r="D853" s="63"/>
      <c r="E853" s="11"/>
      <c r="F853" s="65"/>
      <c r="G853" s="12"/>
      <c r="H853" s="41"/>
      <c r="I853" s="30"/>
      <c r="J853" s="30"/>
      <c r="K853" s="97"/>
      <c r="L853" s="11"/>
      <c r="M853" s="11"/>
      <c r="N853" s="11"/>
      <c r="O853" s="11"/>
      <c r="P853" s="82"/>
    </row>
    <row r="854" spans="2:16" s="9" customFormat="1" x14ac:dyDescent="0.2">
      <c r="B854" s="10"/>
      <c r="C854" s="11"/>
      <c r="D854" s="63"/>
      <c r="E854" s="11"/>
      <c r="F854" s="65"/>
      <c r="G854" s="12"/>
      <c r="H854" s="41"/>
      <c r="I854" s="30"/>
      <c r="J854" s="30"/>
      <c r="K854" s="97"/>
      <c r="L854" s="11"/>
      <c r="M854" s="11"/>
      <c r="N854" s="11"/>
      <c r="O854" s="11"/>
      <c r="P854" s="82"/>
    </row>
    <row r="855" spans="2:16" s="9" customFormat="1" x14ac:dyDescent="0.2">
      <c r="B855" s="10"/>
      <c r="C855" s="11"/>
      <c r="D855" s="63"/>
      <c r="E855" s="11"/>
      <c r="F855" s="65"/>
      <c r="G855" s="12"/>
      <c r="H855" s="41"/>
      <c r="I855" s="30"/>
      <c r="J855" s="30"/>
      <c r="K855" s="97"/>
      <c r="L855" s="11"/>
      <c r="M855" s="11"/>
      <c r="N855" s="11"/>
      <c r="O855" s="11"/>
      <c r="P855" s="82"/>
    </row>
    <row r="856" spans="2:16" s="9" customFormat="1" x14ac:dyDescent="0.2">
      <c r="B856" s="10"/>
      <c r="C856" s="11"/>
      <c r="D856" s="63"/>
      <c r="E856" s="11"/>
      <c r="F856" s="65"/>
      <c r="G856" s="12"/>
      <c r="H856" s="41"/>
      <c r="I856" s="30"/>
      <c r="J856" s="30"/>
      <c r="K856" s="97"/>
      <c r="L856" s="11"/>
      <c r="M856" s="11"/>
      <c r="N856" s="11"/>
      <c r="O856" s="11"/>
      <c r="P856" s="82"/>
    </row>
    <row r="857" spans="2:16" s="9" customFormat="1" x14ac:dyDescent="0.2">
      <c r="B857" s="10"/>
      <c r="C857" s="11"/>
      <c r="D857" s="63"/>
      <c r="E857" s="11"/>
      <c r="F857" s="65"/>
      <c r="G857" s="12"/>
      <c r="H857" s="41"/>
      <c r="I857" s="30"/>
      <c r="J857" s="30"/>
      <c r="K857" s="97"/>
      <c r="L857" s="11"/>
      <c r="M857" s="11"/>
      <c r="N857" s="11"/>
      <c r="O857" s="11"/>
      <c r="P857" s="82"/>
    </row>
    <row r="858" spans="2:16" s="9" customFormat="1" x14ac:dyDescent="0.2">
      <c r="B858" s="10"/>
      <c r="C858" s="11"/>
      <c r="D858" s="63"/>
      <c r="E858" s="11"/>
      <c r="F858" s="65"/>
      <c r="G858" s="12"/>
      <c r="H858" s="41"/>
      <c r="I858" s="30"/>
      <c r="J858" s="30"/>
      <c r="K858" s="97"/>
      <c r="L858" s="11"/>
      <c r="M858" s="11"/>
      <c r="N858" s="11"/>
      <c r="O858" s="11"/>
      <c r="P858" s="82"/>
    </row>
    <row r="859" spans="2:16" s="9" customFormat="1" x14ac:dyDescent="0.2">
      <c r="B859" s="10"/>
      <c r="C859" s="11"/>
      <c r="D859" s="63"/>
      <c r="E859" s="11"/>
      <c r="F859" s="65"/>
      <c r="G859" s="12"/>
      <c r="H859" s="41"/>
      <c r="I859" s="30"/>
      <c r="J859" s="30"/>
      <c r="K859" s="97"/>
      <c r="L859" s="11"/>
      <c r="M859" s="11"/>
      <c r="N859" s="11"/>
      <c r="O859" s="11"/>
      <c r="P859" s="82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allgemein!$B$3:$B$11</xm:f>
          </x14:formula1>
          <xm:sqref>L3:L38 L40:L132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70"/>
  <sheetViews>
    <sheetView workbookViewId="0">
      <pane ySplit="2" topLeftCell="A48" activePane="bottomLeft" state="frozen"/>
      <selection pane="bottomLeft" activeCell="A41" sqref="A41:XFD41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62" customWidth="1"/>
    <col min="5" max="5" width="9.5703125" style="151" customWidth="1"/>
    <col min="6" max="6" width="12.7109375" style="66" customWidth="1"/>
    <col min="7" max="7" width="13.28515625" style="3" customWidth="1"/>
    <col min="8" max="8" width="13.28515625" style="42" customWidth="1"/>
    <col min="9" max="9" width="13.28515625" style="31" customWidth="1"/>
    <col min="10" max="10" width="10" style="31" bestFit="1" customWidth="1"/>
    <col min="11" max="11" width="10" style="98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84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67"/>
      <c r="E1" s="149"/>
      <c r="F1" s="69"/>
      <c r="G1" s="80"/>
      <c r="H1" s="29"/>
      <c r="I1" s="29"/>
      <c r="J1" s="29"/>
      <c r="K1" s="93"/>
      <c r="L1" s="68"/>
      <c r="P1" s="82"/>
    </row>
    <row r="2" spans="2:20" ht="32.25" x14ac:dyDescent="0.2">
      <c r="B2" s="4" t="s">
        <v>0</v>
      </c>
      <c r="C2" s="4" t="s">
        <v>8</v>
      </c>
      <c r="D2" s="61" t="s">
        <v>958</v>
      </c>
      <c r="E2" s="8" t="s">
        <v>719</v>
      </c>
      <c r="F2" s="64" t="s">
        <v>684</v>
      </c>
      <c r="G2" s="5" t="s">
        <v>361</v>
      </c>
      <c r="H2" s="5" t="s">
        <v>362</v>
      </c>
      <c r="I2" s="5" t="s">
        <v>7</v>
      </c>
      <c r="J2" s="73" t="s">
        <v>6</v>
      </c>
      <c r="K2" s="94" t="s">
        <v>683</v>
      </c>
      <c r="L2" s="5" t="s">
        <v>5</v>
      </c>
      <c r="M2" s="5" t="s">
        <v>685</v>
      </c>
      <c r="N2" s="5" t="s">
        <v>686</v>
      </c>
      <c r="O2" s="5" t="s">
        <v>1</v>
      </c>
      <c r="P2" s="158" t="s">
        <v>2</v>
      </c>
      <c r="Q2" s="159"/>
      <c r="R2" s="4" t="s">
        <v>3</v>
      </c>
      <c r="S2" s="27" t="s">
        <v>360</v>
      </c>
      <c r="T2" s="27">
        <v>2017</v>
      </c>
    </row>
    <row r="3" spans="2:20" x14ac:dyDescent="0.2">
      <c r="B3" s="13" t="s">
        <v>1143</v>
      </c>
      <c r="C3" s="13" t="s">
        <v>1180</v>
      </c>
      <c r="D3" s="70">
        <v>24.1</v>
      </c>
      <c r="E3" s="70">
        <v>0.9</v>
      </c>
      <c r="F3" s="71">
        <v>857</v>
      </c>
      <c r="G3" s="15">
        <v>1.851</v>
      </c>
      <c r="H3" s="15">
        <v>5.5659999999999998</v>
      </c>
      <c r="I3" s="15">
        <v>5.5279999999999996</v>
      </c>
      <c r="J3" s="74">
        <f t="shared" ref="J3" si="0">H3-I3</f>
        <v>3.8000000000000256E-2</v>
      </c>
      <c r="K3" s="95">
        <f t="shared" ref="K3" si="1">(F3*(273.15+D3)/273.15)/(M3*N3)</f>
        <v>7.7717752760998229</v>
      </c>
      <c r="L3" s="15" t="s">
        <v>335</v>
      </c>
      <c r="M3" s="72">
        <f>VLOOKUP(L3,allgemein!$B$3:$C$11,2,FALSE)</f>
        <v>3</v>
      </c>
      <c r="N3" s="14">
        <v>40</v>
      </c>
      <c r="O3" s="13" t="s">
        <v>1145</v>
      </c>
      <c r="P3" s="21" t="s">
        <v>1149</v>
      </c>
      <c r="Q3" s="44"/>
      <c r="R3" s="6"/>
    </row>
    <row r="4" spans="2:20" x14ac:dyDescent="0.2">
      <c r="B4" s="13"/>
      <c r="C4" s="13" t="s">
        <v>41</v>
      </c>
      <c r="D4" s="70"/>
      <c r="E4" s="70"/>
      <c r="F4" s="71"/>
      <c r="G4" s="15">
        <v>1.8580000000000001</v>
      </c>
      <c r="H4" s="15"/>
      <c r="I4" s="15"/>
      <c r="J4" s="74"/>
      <c r="K4" s="95"/>
      <c r="L4" s="15"/>
      <c r="M4" s="14"/>
      <c r="N4" s="14"/>
      <c r="O4" s="13"/>
      <c r="P4" s="15" t="s">
        <v>41</v>
      </c>
      <c r="Q4" s="44"/>
      <c r="R4" s="6"/>
    </row>
    <row r="5" spans="2:20" x14ac:dyDescent="0.2">
      <c r="B5" s="13"/>
      <c r="C5" s="13" t="s">
        <v>41</v>
      </c>
      <c r="D5" s="70"/>
      <c r="E5" s="70"/>
      <c r="F5" s="71"/>
      <c r="G5" s="15">
        <v>1.857</v>
      </c>
      <c r="H5" s="15"/>
      <c r="I5" s="15"/>
      <c r="J5" s="74"/>
      <c r="K5" s="95"/>
      <c r="L5" s="15"/>
      <c r="M5" s="72"/>
      <c r="N5" s="14"/>
      <c r="O5" s="13"/>
      <c r="P5" s="13" t="s">
        <v>41</v>
      </c>
      <c r="Q5" s="44"/>
      <c r="R5" s="6"/>
    </row>
    <row r="6" spans="2:20" x14ac:dyDescent="0.2">
      <c r="B6" s="13" t="s">
        <v>1183</v>
      </c>
      <c r="C6" s="13" t="s">
        <v>1062</v>
      </c>
      <c r="D6" s="70">
        <v>24.2</v>
      </c>
      <c r="E6" s="70">
        <v>0.4</v>
      </c>
      <c r="F6" s="71">
        <v>286</v>
      </c>
      <c r="G6" s="15"/>
      <c r="H6" s="15">
        <v>1.86</v>
      </c>
      <c r="I6" s="15">
        <v>1.8480000000000001</v>
      </c>
      <c r="J6" s="74">
        <f t="shared" ref="J6" si="2">H6-I6</f>
        <v>1.2000000000000011E-2</v>
      </c>
      <c r="K6" s="95">
        <f t="shared" ref="K6" si="3">(F6*(273.15+D6)/273.15)/(M6*N6)</f>
        <v>7.783461468057844</v>
      </c>
      <c r="L6" s="15" t="s">
        <v>328</v>
      </c>
      <c r="M6" s="72">
        <f>VLOOKUP(L6,allgemein!$B$3:$C$11,2,FALSE)</f>
        <v>1</v>
      </c>
      <c r="N6" s="14">
        <v>40</v>
      </c>
      <c r="O6" s="13" t="s">
        <v>1171</v>
      </c>
      <c r="P6" s="83" t="s">
        <v>1196</v>
      </c>
      <c r="Q6" s="44"/>
      <c r="R6" s="6"/>
    </row>
    <row r="7" spans="2:20" x14ac:dyDescent="0.2">
      <c r="B7" s="13" t="s">
        <v>1184</v>
      </c>
      <c r="C7" s="13" t="s">
        <v>1144</v>
      </c>
      <c r="D7" s="70">
        <v>24.6</v>
      </c>
      <c r="E7" s="70">
        <v>0.8</v>
      </c>
      <c r="F7" s="71">
        <v>285</v>
      </c>
      <c r="G7" s="15"/>
      <c r="H7" s="15">
        <v>1.849</v>
      </c>
      <c r="I7" s="15">
        <v>1.8360000000000001</v>
      </c>
      <c r="J7" s="74">
        <f t="shared" ref="J7:J12" si="4">H7-I7</f>
        <v>1.2999999999999901E-2</v>
      </c>
      <c r="K7" s="95">
        <f t="shared" ref="K7:K12" si="5">(F7*(273.15+D7)/273.15)/(M7*N7)</f>
        <v>7.7666803953871506</v>
      </c>
      <c r="L7" s="15" t="s">
        <v>328</v>
      </c>
      <c r="M7" s="72">
        <f>VLOOKUP(L7,allgemein!$B$3:$C$11,2,FALSE)</f>
        <v>1</v>
      </c>
      <c r="N7" s="14">
        <v>40</v>
      </c>
      <c r="O7" s="13" t="s">
        <v>41</v>
      </c>
      <c r="P7" s="22" t="s">
        <v>41</v>
      </c>
      <c r="Q7" s="44"/>
      <c r="R7" s="6"/>
    </row>
    <row r="8" spans="2:20" x14ac:dyDescent="0.2">
      <c r="B8" s="13" t="s">
        <v>1185</v>
      </c>
      <c r="C8" s="13" t="s">
        <v>41</v>
      </c>
      <c r="D8" s="70">
        <v>24.3</v>
      </c>
      <c r="E8" s="70">
        <v>0.7</v>
      </c>
      <c r="F8" s="71">
        <v>285</v>
      </c>
      <c r="G8" s="15"/>
      <c r="H8" s="15">
        <v>1.847</v>
      </c>
      <c r="I8" s="15">
        <v>1.8340000000000001</v>
      </c>
      <c r="J8" s="74">
        <f t="shared" si="4"/>
        <v>1.2999999999999901E-2</v>
      </c>
      <c r="K8" s="95">
        <f t="shared" si="5"/>
        <v>7.7588550247116972</v>
      </c>
      <c r="L8" s="15" t="s">
        <v>328</v>
      </c>
      <c r="M8" s="72">
        <f>VLOOKUP(L8,allgemein!$B$3:$C$11,2,FALSE)</f>
        <v>1</v>
      </c>
      <c r="N8" s="14">
        <v>40</v>
      </c>
      <c r="O8" s="13" t="s">
        <v>41</v>
      </c>
      <c r="P8" s="22" t="s">
        <v>41</v>
      </c>
      <c r="Q8" s="44"/>
      <c r="R8" s="6"/>
    </row>
    <row r="9" spans="2:20" x14ac:dyDescent="0.2">
      <c r="B9" s="13" t="s">
        <v>1186</v>
      </c>
      <c r="C9" s="13" t="s">
        <v>1180</v>
      </c>
      <c r="D9" s="13">
        <v>24.4</v>
      </c>
      <c r="E9" s="14">
        <v>1.2</v>
      </c>
      <c r="F9" s="13">
        <v>285</v>
      </c>
      <c r="G9" s="13"/>
      <c r="H9" s="13">
        <v>1.8540000000000001</v>
      </c>
      <c r="I9" s="13">
        <v>1.843</v>
      </c>
      <c r="J9" s="74">
        <f t="shared" si="4"/>
        <v>1.1000000000000121E-2</v>
      </c>
      <c r="K9" s="95">
        <f t="shared" si="5"/>
        <v>7.7614634816035135</v>
      </c>
      <c r="L9" s="15" t="s">
        <v>328</v>
      </c>
      <c r="M9" s="72">
        <f>VLOOKUP(L9,allgemein!$B$3:$C$11,2,FALSE)</f>
        <v>1</v>
      </c>
      <c r="N9" s="14">
        <v>40</v>
      </c>
      <c r="O9" s="13" t="s">
        <v>41</v>
      </c>
      <c r="P9" s="13"/>
      <c r="Q9" s="44"/>
      <c r="R9" s="6"/>
    </row>
    <row r="10" spans="2:20" x14ac:dyDescent="0.2">
      <c r="B10" s="13" t="s">
        <v>1187</v>
      </c>
      <c r="C10" s="13" t="s">
        <v>41</v>
      </c>
      <c r="D10" s="13">
        <v>24.6</v>
      </c>
      <c r="E10" s="14">
        <v>0.9</v>
      </c>
      <c r="F10" s="13">
        <v>286</v>
      </c>
      <c r="G10" s="13"/>
      <c r="H10" s="13">
        <v>1.845</v>
      </c>
      <c r="I10" s="13">
        <v>1.8340000000000001</v>
      </c>
      <c r="J10" s="74">
        <f t="shared" si="4"/>
        <v>1.0999999999999899E-2</v>
      </c>
      <c r="K10" s="95">
        <f t="shared" si="5"/>
        <v>7.7939319055464038</v>
      </c>
      <c r="L10" s="15" t="s">
        <v>328</v>
      </c>
      <c r="M10" s="72">
        <f>VLOOKUP(L10,allgemein!$B$3:$C$11,2,FALSE)</f>
        <v>1</v>
      </c>
      <c r="N10" s="14">
        <v>40</v>
      </c>
      <c r="O10" s="13" t="s">
        <v>41</v>
      </c>
      <c r="P10" s="13"/>
      <c r="Q10" s="13"/>
      <c r="R10" s="6"/>
    </row>
    <row r="11" spans="2:20" x14ac:dyDescent="0.2">
      <c r="B11" s="13" t="s">
        <v>1188</v>
      </c>
      <c r="C11" s="13" t="s">
        <v>41</v>
      </c>
      <c r="D11" s="13">
        <v>24.8</v>
      </c>
      <c r="E11" s="14">
        <v>1</v>
      </c>
      <c r="F11" s="13">
        <v>286</v>
      </c>
      <c r="G11" s="13"/>
      <c r="H11" s="13">
        <v>1.8540000000000001</v>
      </c>
      <c r="I11" s="13">
        <v>1.8420000000000001</v>
      </c>
      <c r="J11" s="74">
        <f t="shared" si="4"/>
        <v>1.2000000000000011E-2</v>
      </c>
      <c r="K11" s="95">
        <f t="shared" si="5"/>
        <v>7.7991671242906833</v>
      </c>
      <c r="L11" s="15" t="s">
        <v>328</v>
      </c>
      <c r="M11" s="72">
        <f>VLOOKUP(L11,allgemein!$B$3:$C$11,2,FALSE)</f>
        <v>1</v>
      </c>
      <c r="N11" s="14">
        <v>40</v>
      </c>
      <c r="O11" s="13" t="s">
        <v>41</v>
      </c>
      <c r="P11" s="13"/>
      <c r="Q11" s="44"/>
      <c r="R11" s="6"/>
    </row>
    <row r="12" spans="2:20" x14ac:dyDescent="0.2">
      <c r="B12" s="13" t="s">
        <v>1189</v>
      </c>
      <c r="C12" s="13" t="s">
        <v>41</v>
      </c>
      <c r="D12" s="70">
        <v>24.5</v>
      </c>
      <c r="E12" s="70">
        <v>0.6</v>
      </c>
      <c r="F12" s="71">
        <v>287</v>
      </c>
      <c r="G12" s="15"/>
      <c r="H12" s="15">
        <v>1.859</v>
      </c>
      <c r="I12" s="15">
        <v>1.8460000000000001</v>
      </c>
      <c r="J12" s="74">
        <f t="shared" si="4"/>
        <v>1.2999999999999901E-2</v>
      </c>
      <c r="K12" s="95">
        <f t="shared" si="5"/>
        <v>7.8185566538531948</v>
      </c>
      <c r="L12" s="15" t="s">
        <v>328</v>
      </c>
      <c r="M12" s="72">
        <f>VLOOKUP(L12,allgemein!$B$3:$C$11,2,FALSE)</f>
        <v>1</v>
      </c>
      <c r="N12" s="14">
        <v>40</v>
      </c>
      <c r="O12" s="13" t="s">
        <v>41</v>
      </c>
      <c r="P12" s="21"/>
      <c r="Q12" s="13"/>
      <c r="R12" s="6"/>
    </row>
    <row r="13" spans="2:20" x14ac:dyDescent="0.2">
      <c r="B13" s="13" t="s">
        <v>1190</v>
      </c>
      <c r="C13" s="13" t="s">
        <v>41</v>
      </c>
      <c r="D13" s="70">
        <v>24.2</v>
      </c>
      <c r="E13" s="70">
        <v>0.3</v>
      </c>
      <c r="F13" s="71">
        <v>285</v>
      </c>
      <c r="G13" s="15"/>
      <c r="H13" s="15">
        <v>1.8520000000000001</v>
      </c>
      <c r="I13" s="15">
        <v>1.841</v>
      </c>
      <c r="J13" s="74">
        <f t="shared" ref="J13:J14" si="6">H13-I13</f>
        <v>1.1000000000000121E-2</v>
      </c>
      <c r="K13" s="95">
        <f t="shared" ref="K13:K14" si="7">(F13*(273.15+D13)/273.15)/(M13*N13)</f>
        <v>7.7562465678198791</v>
      </c>
      <c r="L13" s="15" t="s">
        <v>328</v>
      </c>
      <c r="M13" s="72">
        <f>VLOOKUP(L13,allgemein!$B$3:$C$11,2,FALSE)</f>
        <v>1</v>
      </c>
      <c r="N13" s="14">
        <v>40</v>
      </c>
      <c r="O13" s="13" t="s">
        <v>41</v>
      </c>
      <c r="P13" s="23"/>
      <c r="Q13" s="13"/>
      <c r="R13" s="6"/>
    </row>
    <row r="14" spans="2:20" x14ac:dyDescent="0.2">
      <c r="B14" s="13" t="s">
        <v>1191</v>
      </c>
      <c r="C14" s="13" t="s">
        <v>1195</v>
      </c>
      <c r="D14" s="70">
        <v>24.7</v>
      </c>
      <c r="E14" s="70">
        <v>0.4</v>
      </c>
      <c r="F14" s="71">
        <v>574</v>
      </c>
      <c r="G14" s="15">
        <v>1.86</v>
      </c>
      <c r="H14" s="15">
        <v>3.7160000000000002</v>
      </c>
      <c r="I14" s="15">
        <v>3.6909999999999998</v>
      </c>
      <c r="J14" s="74">
        <f t="shared" si="6"/>
        <v>2.5000000000000355E-2</v>
      </c>
      <c r="K14" s="95">
        <f t="shared" si="7"/>
        <v>7.8238101775581184</v>
      </c>
      <c r="L14" s="15" t="s">
        <v>323</v>
      </c>
      <c r="M14" s="72">
        <f>VLOOKUP(L14,allgemein!$B$3:$C$11,2,FALSE)</f>
        <v>2</v>
      </c>
      <c r="N14" s="14">
        <v>40</v>
      </c>
      <c r="O14" s="13" t="s">
        <v>1235</v>
      </c>
      <c r="P14" s="23"/>
      <c r="Q14" s="44"/>
      <c r="R14" s="6"/>
    </row>
    <row r="15" spans="2:20" x14ac:dyDescent="0.2">
      <c r="B15" s="13"/>
      <c r="C15" s="13" t="s">
        <v>41</v>
      </c>
      <c r="D15" s="70"/>
      <c r="E15" s="70"/>
      <c r="F15" s="71"/>
      <c r="G15" s="15">
        <v>1.8560000000000001</v>
      </c>
      <c r="H15" s="15"/>
      <c r="I15" s="15"/>
      <c r="J15" s="74"/>
      <c r="K15" s="95"/>
      <c r="L15" s="15"/>
      <c r="M15" s="72"/>
      <c r="N15" s="14"/>
      <c r="O15" s="13"/>
      <c r="P15" s="23"/>
      <c r="Q15" s="13"/>
      <c r="R15" s="6"/>
    </row>
    <row r="16" spans="2:20" x14ac:dyDescent="0.2">
      <c r="B16" s="13" t="s">
        <v>1192</v>
      </c>
      <c r="C16" s="13" t="s">
        <v>41</v>
      </c>
      <c r="D16" s="70">
        <v>24.9</v>
      </c>
      <c r="E16" s="70">
        <v>0.4</v>
      </c>
      <c r="F16" s="71">
        <v>574</v>
      </c>
      <c r="G16" s="15">
        <v>1.8460000000000001</v>
      </c>
      <c r="H16" s="15">
        <v>3.6880000000000002</v>
      </c>
      <c r="I16" s="15">
        <v>3.6629999999999998</v>
      </c>
      <c r="J16" s="74">
        <f t="shared" ref="J16" si="8">H16-I16</f>
        <v>2.5000000000000355E-2</v>
      </c>
      <c r="K16" s="95">
        <f t="shared" ref="K16" si="9">(F16*(273.15+D16)/273.15)/(M16*N16)</f>
        <v>7.8290637012630429</v>
      </c>
      <c r="L16" s="15" t="s">
        <v>323</v>
      </c>
      <c r="M16" s="72">
        <f>VLOOKUP(L16,allgemein!$B$3:$C$11,2,FALSE)</f>
        <v>2</v>
      </c>
      <c r="N16" s="14">
        <v>40</v>
      </c>
      <c r="O16" s="13" t="s">
        <v>41</v>
      </c>
      <c r="P16" s="23"/>
      <c r="Q16" s="13"/>
      <c r="R16" s="6"/>
    </row>
    <row r="17" spans="2:18" x14ac:dyDescent="0.2">
      <c r="B17" s="13"/>
      <c r="C17" s="13" t="s">
        <v>41</v>
      </c>
      <c r="D17" s="70"/>
      <c r="E17" s="70"/>
      <c r="F17" s="71"/>
      <c r="G17" s="15">
        <v>1.8420000000000001</v>
      </c>
      <c r="H17" s="15"/>
      <c r="I17" s="15"/>
      <c r="J17" s="74"/>
      <c r="K17" s="95"/>
      <c r="L17" s="15"/>
      <c r="M17" s="72"/>
      <c r="N17" s="14"/>
      <c r="O17" s="13"/>
      <c r="P17" s="23"/>
      <c r="Q17" s="13"/>
      <c r="R17" s="6"/>
    </row>
    <row r="18" spans="2:18" x14ac:dyDescent="0.2">
      <c r="B18" s="13" t="s">
        <v>1193</v>
      </c>
      <c r="C18" s="13" t="s">
        <v>41</v>
      </c>
      <c r="D18" s="70">
        <v>25</v>
      </c>
      <c r="E18" s="70">
        <v>0.4</v>
      </c>
      <c r="F18" s="71">
        <v>573</v>
      </c>
      <c r="G18" s="15">
        <v>1.847</v>
      </c>
      <c r="H18" s="15">
        <v>3.694</v>
      </c>
      <c r="I18" s="15">
        <v>3.6680000000000001</v>
      </c>
      <c r="J18" s="74">
        <f t="shared" ref="J18:J20" si="10">H18-I18</f>
        <v>2.5999999999999801E-2</v>
      </c>
      <c r="K18" s="95">
        <f t="shared" ref="K18:K20" si="11">(F18*(273.15+D18)/273.15)/(M18*N18)</f>
        <v>7.8180464030752335</v>
      </c>
      <c r="L18" s="15" t="s">
        <v>323</v>
      </c>
      <c r="M18" s="72">
        <f>VLOOKUP(L18,allgemein!$B$3:$C$11,2,FALSE)</f>
        <v>2</v>
      </c>
      <c r="N18" s="14">
        <v>40</v>
      </c>
      <c r="O18" s="13" t="s">
        <v>41</v>
      </c>
      <c r="P18" s="13"/>
      <c r="Q18" s="13"/>
      <c r="R18" s="6"/>
    </row>
    <row r="19" spans="2:18" x14ac:dyDescent="0.2">
      <c r="B19" s="13"/>
      <c r="C19" s="13" t="s">
        <v>41</v>
      </c>
      <c r="D19" s="70"/>
      <c r="E19" s="70"/>
      <c r="F19" s="71"/>
      <c r="G19" s="15">
        <v>1.847</v>
      </c>
      <c r="H19" s="15"/>
      <c r="I19" s="15"/>
      <c r="J19" s="74"/>
      <c r="K19" s="95"/>
      <c r="L19" s="15"/>
      <c r="M19" s="72"/>
      <c r="N19" s="14"/>
      <c r="O19" s="13"/>
      <c r="P19" s="23"/>
      <c r="Q19" s="13"/>
      <c r="R19" s="6"/>
    </row>
    <row r="20" spans="2:18" x14ac:dyDescent="0.2">
      <c r="B20" s="13" t="s">
        <v>1194</v>
      </c>
      <c r="C20" s="13" t="s">
        <v>41</v>
      </c>
      <c r="D20" s="70">
        <v>25.1</v>
      </c>
      <c r="E20" s="70">
        <v>0.4</v>
      </c>
      <c r="F20" s="71">
        <v>573</v>
      </c>
      <c r="G20" s="15">
        <v>1.8460000000000001</v>
      </c>
      <c r="H20" s="15">
        <v>3.69</v>
      </c>
      <c r="I20" s="15">
        <v>3.6659999999999999</v>
      </c>
      <c r="J20" s="74">
        <f t="shared" si="10"/>
        <v>2.4000000000000021E-2</v>
      </c>
      <c r="K20" s="95">
        <f t="shared" si="11"/>
        <v>7.8206685886875347</v>
      </c>
      <c r="L20" s="15" t="s">
        <v>323</v>
      </c>
      <c r="M20" s="72">
        <f>VLOOKUP(L20,allgemein!$B$3:$C$11,2,FALSE)</f>
        <v>2</v>
      </c>
      <c r="N20" s="14">
        <v>40</v>
      </c>
      <c r="O20" s="13" t="s">
        <v>41</v>
      </c>
      <c r="P20" s="23"/>
      <c r="Q20" s="13"/>
      <c r="R20" s="6"/>
    </row>
    <row r="21" spans="2:18" x14ac:dyDescent="0.2">
      <c r="B21" s="13"/>
      <c r="C21" s="13" t="s">
        <v>41</v>
      </c>
      <c r="D21" s="70"/>
      <c r="E21" s="70"/>
      <c r="F21" s="71"/>
      <c r="G21" s="15">
        <v>1.8440000000000001</v>
      </c>
      <c r="H21" s="15"/>
      <c r="I21" s="15"/>
      <c r="J21" s="74"/>
      <c r="K21" s="95"/>
      <c r="L21" s="15"/>
      <c r="M21" s="72"/>
      <c r="N21" s="14"/>
      <c r="O21" s="13"/>
      <c r="P21" s="21"/>
      <c r="Q21" s="44"/>
      <c r="R21" s="6"/>
    </row>
    <row r="22" spans="2:18" x14ac:dyDescent="0.2">
      <c r="B22" s="13" t="s">
        <v>371</v>
      </c>
      <c r="C22" s="13" t="s">
        <v>295</v>
      </c>
      <c r="D22" s="70">
        <v>23.2</v>
      </c>
      <c r="E22" s="70">
        <v>1.5</v>
      </c>
      <c r="F22" s="71">
        <v>176</v>
      </c>
      <c r="G22" s="15"/>
      <c r="H22" s="15">
        <v>1.988</v>
      </c>
      <c r="I22" s="15">
        <v>1.9630000000000001</v>
      </c>
      <c r="J22" s="74">
        <f t="shared" ref="J22" si="12">H22-I22</f>
        <v>2.4999999999999911E-2</v>
      </c>
      <c r="K22" s="95">
        <f t="shared" ref="K22" si="13">(F22*(273.15+D22)/273.15)/(M22*N22)</f>
        <v>7.6379425224235762</v>
      </c>
      <c r="L22" s="15" t="s">
        <v>728</v>
      </c>
      <c r="M22" s="72">
        <f>VLOOKUP(L22,allgemein!$B$3:$C$11,2,FALSE)</f>
        <v>1</v>
      </c>
      <c r="N22" s="14">
        <v>25</v>
      </c>
      <c r="O22" s="13" t="s">
        <v>1236</v>
      </c>
      <c r="P22" s="15"/>
      <c r="Q22" s="13"/>
      <c r="R22" s="6"/>
    </row>
    <row r="23" spans="2:18" x14ac:dyDescent="0.2">
      <c r="B23" s="13" t="s">
        <v>41</v>
      </c>
      <c r="C23" s="13"/>
      <c r="D23" s="70">
        <v>22.6</v>
      </c>
      <c r="E23" s="70">
        <v>1.2</v>
      </c>
      <c r="F23" s="71">
        <v>175</v>
      </c>
      <c r="G23" s="15"/>
      <c r="H23" s="15">
        <v>2.0049999999999999</v>
      </c>
      <c r="I23" s="15">
        <v>1.9810000000000001</v>
      </c>
      <c r="J23" s="74">
        <f t="shared" ref="J23" si="14">H23-I23</f>
        <v>2.3999999999999799E-2</v>
      </c>
      <c r="K23" s="95">
        <f t="shared" ref="K23" si="15">(F23*(273.15+D23)/273.15)/(M23*N23)</f>
        <v>7.5791689547867476</v>
      </c>
      <c r="L23" s="15" t="s">
        <v>728</v>
      </c>
      <c r="M23" s="72">
        <f>VLOOKUP(L23,allgemein!$B$3:$C$11,2,FALSE)</f>
        <v>1</v>
      </c>
      <c r="N23" s="14">
        <v>25</v>
      </c>
      <c r="O23" s="13"/>
      <c r="P23" s="15"/>
      <c r="Q23" s="13"/>
      <c r="R23" s="6"/>
    </row>
    <row r="24" spans="2:18" x14ac:dyDescent="0.2">
      <c r="B24" s="13" t="s">
        <v>41</v>
      </c>
      <c r="C24" s="13"/>
      <c r="D24" s="70">
        <v>22.5</v>
      </c>
      <c r="E24" s="70">
        <v>0.1</v>
      </c>
      <c r="F24" s="71">
        <v>177</v>
      </c>
      <c r="G24" s="15"/>
      <c r="H24" s="15">
        <v>1.875</v>
      </c>
      <c r="I24" s="15">
        <v>1.867</v>
      </c>
      <c r="J24" s="74">
        <f t="shared" ref="J24" si="16">H24-I24</f>
        <v>8.0000000000000071E-3</v>
      </c>
      <c r="K24" s="95">
        <f t="shared" ref="K24" si="17">(F24*(273.15+D24)/273.15)/(M24*N24)</f>
        <v>7.6631960461285011</v>
      </c>
      <c r="L24" s="15" t="s">
        <v>728</v>
      </c>
      <c r="M24" s="72">
        <f>VLOOKUP(L24,allgemein!$B$3:$C$11,2,FALSE)</f>
        <v>1</v>
      </c>
      <c r="N24" s="14">
        <v>25</v>
      </c>
      <c r="O24" s="13"/>
      <c r="P24" s="155" t="s">
        <v>1237</v>
      </c>
      <c r="Q24" s="13"/>
      <c r="R24" s="6"/>
    </row>
    <row r="25" spans="2:18" x14ac:dyDescent="0.2">
      <c r="B25" s="13" t="s">
        <v>400</v>
      </c>
      <c r="C25" s="13" t="s">
        <v>405</v>
      </c>
      <c r="D25" s="70">
        <v>22.3</v>
      </c>
      <c r="E25" s="70">
        <v>0.8</v>
      </c>
      <c r="F25" s="71">
        <v>176</v>
      </c>
      <c r="G25" s="15"/>
      <c r="H25" s="15">
        <v>1.8959999999999999</v>
      </c>
      <c r="I25" s="15">
        <v>1.8620000000000001</v>
      </c>
      <c r="J25" s="74">
        <f t="shared" ref="J25:J35" si="18">H25-I25</f>
        <v>3.3999999999999808E-2</v>
      </c>
      <c r="K25" s="95">
        <f t="shared" ref="K25:K35" si="19">(F25*(273.15+D25)/273.15)/(M25*N25)</f>
        <v>7.6147464762950765</v>
      </c>
      <c r="L25" s="15" t="s">
        <v>728</v>
      </c>
      <c r="M25" s="72">
        <f>VLOOKUP(L25,allgemein!$B$3:$C$11,2,FALSE)</f>
        <v>1</v>
      </c>
      <c r="N25" s="14">
        <v>25</v>
      </c>
      <c r="O25" s="13" t="s">
        <v>41</v>
      </c>
      <c r="P25" s="13"/>
      <c r="Q25" s="13"/>
      <c r="R25" s="6"/>
    </row>
    <row r="26" spans="2:18" x14ac:dyDescent="0.2">
      <c r="B26" s="13"/>
      <c r="C26" s="13"/>
      <c r="D26" s="70">
        <v>22.3</v>
      </c>
      <c r="E26" s="70">
        <v>0</v>
      </c>
      <c r="F26" s="71">
        <v>177</v>
      </c>
      <c r="G26" s="15"/>
      <c r="H26" s="15">
        <v>1.88</v>
      </c>
      <c r="I26" s="15">
        <v>1.8720000000000001</v>
      </c>
      <c r="J26" s="74">
        <f t="shared" si="18"/>
        <v>7.9999999999997851E-3</v>
      </c>
      <c r="K26" s="95">
        <f t="shared" si="19"/>
        <v>7.658012081274026</v>
      </c>
      <c r="L26" s="15" t="s">
        <v>728</v>
      </c>
      <c r="M26" s="72">
        <f>VLOOKUP(L26,allgemein!$B$3:$C$11,2,FALSE)</f>
        <v>1</v>
      </c>
      <c r="N26" s="14">
        <v>25</v>
      </c>
      <c r="O26" s="13"/>
      <c r="P26" s="155" t="s">
        <v>1237</v>
      </c>
      <c r="Q26" s="13"/>
      <c r="R26" s="6"/>
    </row>
    <row r="27" spans="2:18" x14ac:dyDescent="0.2">
      <c r="B27" s="13" t="s">
        <v>406</v>
      </c>
      <c r="C27" s="13" t="s">
        <v>41</v>
      </c>
      <c r="D27" s="70">
        <v>22</v>
      </c>
      <c r="E27" s="70">
        <v>1.5</v>
      </c>
      <c r="F27" s="71">
        <v>175</v>
      </c>
      <c r="G27" s="15"/>
      <c r="H27" s="15">
        <v>2.0920000000000001</v>
      </c>
      <c r="I27" s="15">
        <v>2.0129999999999999</v>
      </c>
      <c r="J27" s="74">
        <f t="shared" si="18"/>
        <v>7.9000000000000181E-2</v>
      </c>
      <c r="K27" s="95">
        <f t="shared" si="19"/>
        <v>7.5637927878455056</v>
      </c>
      <c r="L27" s="15" t="s">
        <v>728</v>
      </c>
      <c r="M27" s="72">
        <f>VLOOKUP(L27,allgemein!$B$3:$C$11,2,FALSE)</f>
        <v>1</v>
      </c>
      <c r="N27" s="14">
        <v>25</v>
      </c>
      <c r="O27" s="13" t="s">
        <v>41</v>
      </c>
      <c r="P27" s="23"/>
      <c r="Q27" s="44"/>
      <c r="R27" s="6"/>
    </row>
    <row r="28" spans="2:18" x14ac:dyDescent="0.2">
      <c r="B28" s="13" t="s">
        <v>41</v>
      </c>
      <c r="C28" s="13"/>
      <c r="D28" s="70">
        <v>21.9</v>
      </c>
      <c r="E28" s="70">
        <v>1.5</v>
      </c>
      <c r="F28" s="71">
        <v>175</v>
      </c>
      <c r="G28" s="15"/>
      <c r="H28" s="15">
        <v>2.0649999999999999</v>
      </c>
      <c r="I28" s="15">
        <v>1.992</v>
      </c>
      <c r="J28" s="74">
        <f t="shared" ref="J28:J29" si="20">H28-I28</f>
        <v>7.2999999999999954E-2</v>
      </c>
      <c r="K28" s="95">
        <f t="shared" ref="K28:K29" si="21">(F28*(273.15+D28)/273.15)/(M28*N28)</f>
        <v>7.5612300933552987</v>
      </c>
      <c r="L28" s="15" t="s">
        <v>728</v>
      </c>
      <c r="M28" s="72">
        <f>VLOOKUP(L28,allgemein!$B$3:$C$11,2,FALSE)</f>
        <v>1</v>
      </c>
      <c r="N28" s="14">
        <v>25</v>
      </c>
      <c r="O28" s="13"/>
      <c r="P28" s="44"/>
      <c r="Q28" s="44"/>
      <c r="R28" s="6"/>
    </row>
    <row r="29" spans="2:18" x14ac:dyDescent="0.2">
      <c r="B29" s="13" t="s">
        <v>41</v>
      </c>
      <c r="C29" s="13"/>
      <c r="D29" s="70">
        <v>22.3</v>
      </c>
      <c r="E29" s="70">
        <v>0.4</v>
      </c>
      <c r="F29" s="71">
        <v>176</v>
      </c>
      <c r="G29" s="15"/>
      <c r="H29" s="15">
        <v>1.8540000000000001</v>
      </c>
      <c r="I29" s="15">
        <v>1.847</v>
      </c>
      <c r="J29" s="74">
        <f t="shared" si="20"/>
        <v>7.0000000000001172E-3</v>
      </c>
      <c r="K29" s="95">
        <f t="shared" si="21"/>
        <v>7.6147464762950765</v>
      </c>
      <c r="L29" s="15" t="s">
        <v>728</v>
      </c>
      <c r="M29" s="72">
        <f>VLOOKUP(L29,allgemein!$B$3:$C$11,2,FALSE)</f>
        <v>1</v>
      </c>
      <c r="N29" s="14">
        <v>25</v>
      </c>
      <c r="O29" s="13"/>
      <c r="P29" s="155" t="s">
        <v>1237</v>
      </c>
      <c r="Q29" s="44"/>
      <c r="R29" s="6"/>
    </row>
    <row r="30" spans="2:18" x14ac:dyDescent="0.2">
      <c r="B30" s="13" t="s">
        <v>474</v>
      </c>
      <c r="C30" s="13" t="s">
        <v>478</v>
      </c>
      <c r="D30" s="70">
        <v>21.2</v>
      </c>
      <c r="E30" s="70">
        <v>0.2</v>
      </c>
      <c r="F30" s="71">
        <v>176</v>
      </c>
      <c r="G30" s="15"/>
      <c r="H30" s="15">
        <v>1.931</v>
      </c>
      <c r="I30" s="15">
        <v>1.9059999999999999</v>
      </c>
      <c r="J30" s="74">
        <f t="shared" si="18"/>
        <v>2.5000000000000133E-2</v>
      </c>
      <c r="K30" s="95">
        <f>(F30*(273.15+D30)/273.15)/(M30*N30)</f>
        <v>7.5863957532491302</v>
      </c>
      <c r="L30" s="15" t="s">
        <v>728</v>
      </c>
      <c r="M30" s="72">
        <f>VLOOKUP(L30,allgemein!$B$3:$C$11,2,FALSE)</f>
        <v>1</v>
      </c>
      <c r="N30" s="14">
        <v>25</v>
      </c>
      <c r="O30" s="13" t="s">
        <v>41</v>
      </c>
      <c r="P30" s="44"/>
      <c r="Q30" s="13"/>
      <c r="R30" s="6"/>
    </row>
    <row r="31" spans="2:18" x14ac:dyDescent="0.2">
      <c r="B31" s="13"/>
      <c r="C31" s="13"/>
      <c r="D31" s="70">
        <v>26.4</v>
      </c>
      <c r="E31" s="70">
        <v>0.6</v>
      </c>
      <c r="F31" s="71">
        <v>177</v>
      </c>
      <c r="G31" s="15"/>
      <c r="H31" s="15">
        <v>1.82</v>
      </c>
      <c r="I31" s="15">
        <v>1.8120000000000001</v>
      </c>
      <c r="J31" s="74">
        <f t="shared" si="18"/>
        <v>8.0000000000000071E-3</v>
      </c>
      <c r="K31" s="95">
        <f t="shared" ref="K31" si="22">(F31*(273.15+D31)/273.15)/(M31*N31)</f>
        <v>7.7642833607907731</v>
      </c>
      <c r="L31" s="15" t="s">
        <v>728</v>
      </c>
      <c r="M31" s="72">
        <f>VLOOKUP(L31,allgemein!$B$3:$C$11,2,FALSE)</f>
        <v>1</v>
      </c>
      <c r="N31" s="14">
        <v>25</v>
      </c>
      <c r="O31" s="13"/>
      <c r="P31" s="155" t="s">
        <v>1237</v>
      </c>
      <c r="Q31" s="13"/>
      <c r="R31" s="6"/>
    </row>
    <row r="32" spans="2:18" x14ac:dyDescent="0.2">
      <c r="B32" s="13" t="s">
        <v>477</v>
      </c>
      <c r="C32" s="13" t="s">
        <v>41</v>
      </c>
      <c r="D32" s="70">
        <v>21.2</v>
      </c>
      <c r="E32" s="70">
        <v>0.7</v>
      </c>
      <c r="F32" s="71">
        <v>175</v>
      </c>
      <c r="G32" s="15"/>
      <c r="H32" s="15">
        <v>1.8819999999999999</v>
      </c>
      <c r="I32" s="15">
        <v>1.8660000000000001</v>
      </c>
      <c r="J32" s="74">
        <f t="shared" si="18"/>
        <v>1.5999999999999792E-2</v>
      </c>
      <c r="K32" s="95">
        <f t="shared" si="19"/>
        <v>7.5432912319238508</v>
      </c>
      <c r="L32" s="15" t="s">
        <v>728</v>
      </c>
      <c r="M32" s="72">
        <f>VLOOKUP(L32,allgemein!$B$3:$C$11,2,FALSE)</f>
        <v>1</v>
      </c>
      <c r="N32" s="14">
        <v>25</v>
      </c>
      <c r="O32" s="13" t="s">
        <v>41</v>
      </c>
      <c r="P32" s="23"/>
      <c r="Q32" s="13"/>
      <c r="R32" s="6"/>
    </row>
    <row r="33" spans="2:18" x14ac:dyDescent="0.2">
      <c r="B33" s="13" t="s">
        <v>41</v>
      </c>
      <c r="C33" s="13"/>
      <c r="D33" s="70">
        <v>22.4</v>
      </c>
      <c r="E33" s="70">
        <v>0</v>
      </c>
      <c r="F33" s="71">
        <v>177</v>
      </c>
      <c r="G33" s="15"/>
      <c r="H33" s="15">
        <v>1.877</v>
      </c>
      <c r="I33" s="15">
        <v>1.8660000000000001</v>
      </c>
      <c r="J33" s="74">
        <f t="shared" si="18"/>
        <v>1.0999999999999899E-2</v>
      </c>
      <c r="K33" s="95">
        <f t="shared" si="19"/>
        <v>7.6606040637012622</v>
      </c>
      <c r="L33" s="15" t="s">
        <v>728</v>
      </c>
      <c r="M33" s="72">
        <f>VLOOKUP(L33,allgemein!$B$3:$C$11,2,FALSE)</f>
        <v>1</v>
      </c>
      <c r="N33" s="14">
        <v>25</v>
      </c>
      <c r="O33" s="13"/>
      <c r="P33" s="155" t="s">
        <v>1237</v>
      </c>
      <c r="Q33" s="13"/>
      <c r="R33" s="6"/>
    </row>
    <row r="34" spans="2:18" x14ac:dyDescent="0.2">
      <c r="B34" s="13" t="s">
        <v>491</v>
      </c>
      <c r="C34" s="13" t="s">
        <v>478</v>
      </c>
      <c r="D34" s="70">
        <v>21.2</v>
      </c>
      <c r="E34" s="70">
        <v>0.6</v>
      </c>
      <c r="F34" s="71">
        <v>175</v>
      </c>
      <c r="G34" s="15"/>
      <c r="H34" s="15">
        <v>1.99</v>
      </c>
      <c r="I34" s="15">
        <v>1.9350000000000001</v>
      </c>
      <c r="J34" s="74">
        <f t="shared" si="18"/>
        <v>5.4999999999999938E-2</v>
      </c>
      <c r="K34" s="95">
        <f t="shared" si="19"/>
        <v>7.5432912319238508</v>
      </c>
      <c r="L34" s="15" t="s">
        <v>728</v>
      </c>
      <c r="M34" s="72">
        <f>VLOOKUP(L34,allgemein!$B$3:$C$11,2,FALSE)</f>
        <v>1</v>
      </c>
      <c r="N34" s="14">
        <v>25</v>
      </c>
      <c r="O34" s="13" t="s">
        <v>41</v>
      </c>
      <c r="P34" s="86"/>
      <c r="Q34" s="13"/>
      <c r="R34" s="6"/>
    </row>
    <row r="35" spans="2:18" x14ac:dyDescent="0.2">
      <c r="B35" s="13" t="s">
        <v>41</v>
      </c>
      <c r="C35" s="13"/>
      <c r="D35" s="70">
        <v>22.5</v>
      </c>
      <c r="E35" s="70">
        <v>0</v>
      </c>
      <c r="F35" s="71">
        <v>177</v>
      </c>
      <c r="G35" s="15"/>
      <c r="H35" s="15">
        <v>1.87</v>
      </c>
      <c r="I35" s="15">
        <v>1.86</v>
      </c>
      <c r="J35" s="74">
        <f t="shared" si="18"/>
        <v>1.0000000000000009E-2</v>
      </c>
      <c r="K35" s="95">
        <f t="shared" si="19"/>
        <v>7.6631960461285011</v>
      </c>
      <c r="L35" s="15" t="s">
        <v>728</v>
      </c>
      <c r="M35" s="72">
        <f>VLOOKUP(L35,allgemein!$B$3:$C$11,2,FALSE)</f>
        <v>1</v>
      </c>
      <c r="N35" s="14">
        <v>25</v>
      </c>
      <c r="O35" s="13"/>
      <c r="P35" s="155" t="s">
        <v>1237</v>
      </c>
      <c r="Q35" s="13"/>
      <c r="R35" s="6"/>
    </row>
    <row r="36" spans="2:18" x14ac:dyDescent="0.2">
      <c r="B36" s="13" t="s">
        <v>175</v>
      </c>
      <c r="C36" s="13" t="s">
        <v>167</v>
      </c>
      <c r="D36" s="70">
        <v>22.7</v>
      </c>
      <c r="E36" s="70" t="s">
        <v>1205</v>
      </c>
      <c r="F36" s="71" t="s">
        <v>1203</v>
      </c>
      <c r="G36" s="15"/>
      <c r="H36" s="15" t="s">
        <v>1203</v>
      </c>
      <c r="I36" s="15" t="s">
        <v>1203</v>
      </c>
      <c r="J36" s="92" t="s">
        <v>1203</v>
      </c>
      <c r="K36" s="96" t="s">
        <v>1203</v>
      </c>
      <c r="L36" s="15" t="s">
        <v>728</v>
      </c>
      <c r="M36" s="72">
        <f>VLOOKUP(L36,allgemein!$B$3:$C$11,2,FALSE)</f>
        <v>1</v>
      </c>
      <c r="N36" s="14">
        <v>25</v>
      </c>
      <c r="O36" s="13" t="s">
        <v>41</v>
      </c>
      <c r="P36" s="23" t="s">
        <v>1197</v>
      </c>
      <c r="Q36" s="13"/>
      <c r="R36" s="6"/>
    </row>
    <row r="37" spans="2:18" x14ac:dyDescent="0.2">
      <c r="B37" s="13" t="s">
        <v>41</v>
      </c>
      <c r="C37" s="13"/>
      <c r="D37" s="70">
        <v>25.3</v>
      </c>
      <c r="E37" s="156">
        <v>22</v>
      </c>
      <c r="F37" s="157">
        <v>163</v>
      </c>
      <c r="G37" s="15"/>
      <c r="H37" s="15">
        <v>1.8260000000000001</v>
      </c>
      <c r="I37" s="15">
        <v>1.821</v>
      </c>
      <c r="J37" s="74">
        <f t="shared" ref="J37" si="23">H37-I37</f>
        <v>5.0000000000001155E-3</v>
      </c>
      <c r="K37" s="95">
        <f t="shared" ref="K37" si="24">(F37*(273.15+D37)/273.15)/(M37*N37)</f>
        <v>7.1239026176093727</v>
      </c>
      <c r="L37" s="15" t="s">
        <v>728</v>
      </c>
      <c r="M37" s="72">
        <f>VLOOKUP(L37,allgemein!$B$3:$C$11,2,FALSE)</f>
        <v>1</v>
      </c>
      <c r="N37" s="14">
        <v>25</v>
      </c>
      <c r="O37" s="13"/>
      <c r="P37" s="155" t="s">
        <v>1237</v>
      </c>
      <c r="Q37" s="13"/>
      <c r="R37" s="6"/>
    </row>
    <row r="38" spans="2:18" x14ac:dyDescent="0.2">
      <c r="B38" s="13" t="s">
        <v>1202</v>
      </c>
      <c r="C38" s="13" t="s">
        <v>1199</v>
      </c>
      <c r="D38" s="71" t="s">
        <v>1203</v>
      </c>
      <c r="E38" s="153" t="s">
        <v>1203</v>
      </c>
      <c r="F38" s="153" t="s">
        <v>1203</v>
      </c>
      <c r="G38" s="154"/>
      <c r="H38" s="154" t="s">
        <v>1203</v>
      </c>
      <c r="I38" s="154" t="s">
        <v>1203</v>
      </c>
      <c r="J38" s="92" t="s">
        <v>1203</v>
      </c>
      <c r="K38" s="96" t="s">
        <v>1203</v>
      </c>
      <c r="L38" s="15" t="s">
        <v>728</v>
      </c>
      <c r="M38" s="72">
        <f>VLOOKUP(L38,allgemein!$B$3:$C$11,2,FALSE)</f>
        <v>1</v>
      </c>
      <c r="N38" s="14">
        <v>25</v>
      </c>
      <c r="O38" s="13" t="s">
        <v>1200</v>
      </c>
      <c r="P38" s="23" t="s">
        <v>1198</v>
      </c>
      <c r="Q38" s="13"/>
      <c r="R38" s="6"/>
    </row>
    <row r="39" spans="2:18" x14ac:dyDescent="0.2">
      <c r="B39" s="13" t="s">
        <v>41</v>
      </c>
      <c r="C39" s="13" t="s">
        <v>1115</v>
      </c>
      <c r="D39" s="70">
        <v>22.6</v>
      </c>
      <c r="E39" s="70">
        <v>0.2</v>
      </c>
      <c r="F39" s="71">
        <v>178</v>
      </c>
      <c r="G39" s="15"/>
      <c r="H39" s="15">
        <v>1.897</v>
      </c>
      <c r="I39" s="15">
        <v>1.885</v>
      </c>
      <c r="J39" s="74">
        <f t="shared" ref="J39" si="25">H39-I39</f>
        <v>1.2000000000000011E-2</v>
      </c>
      <c r="K39" s="95">
        <f t="shared" ref="K39" si="26">(F39*(273.15+D39)/273.15)/(M39*N39)</f>
        <v>7.7090975654402349</v>
      </c>
      <c r="L39" s="15" t="s">
        <v>728</v>
      </c>
      <c r="M39" s="72">
        <f>VLOOKUP(L39,allgemein!$B$3:$C$11,2,FALSE)</f>
        <v>1</v>
      </c>
      <c r="N39" s="14">
        <v>25</v>
      </c>
      <c r="O39" s="13" t="s">
        <v>41</v>
      </c>
      <c r="Q39" s="13"/>
      <c r="R39" s="6"/>
    </row>
    <row r="40" spans="2:18" x14ac:dyDescent="0.2">
      <c r="B40" s="13" t="s">
        <v>258</v>
      </c>
      <c r="C40" s="13" t="s">
        <v>252</v>
      </c>
      <c r="D40" s="70" t="s">
        <v>1240</v>
      </c>
      <c r="E40" s="70" t="s">
        <v>1203</v>
      </c>
      <c r="F40" s="71" t="s">
        <v>1203</v>
      </c>
      <c r="G40" s="15"/>
      <c r="H40" s="15" t="s">
        <v>1239</v>
      </c>
      <c r="I40" s="15" t="s">
        <v>1203</v>
      </c>
      <c r="J40" s="74" t="s">
        <v>1203</v>
      </c>
      <c r="K40" s="95" t="s">
        <v>1203</v>
      </c>
      <c r="L40" s="15" t="s">
        <v>728</v>
      </c>
      <c r="M40" s="72">
        <f>VLOOKUP(L40,allgemein!$B$3:$C$11,2,FALSE)</f>
        <v>1</v>
      </c>
      <c r="N40" s="14">
        <v>25</v>
      </c>
      <c r="O40" s="13"/>
      <c r="P40" s="23" t="s">
        <v>1238</v>
      </c>
      <c r="Q40" s="13"/>
      <c r="R40" s="6"/>
    </row>
    <row r="41" spans="2:18" x14ac:dyDescent="0.2">
      <c r="B41" s="13" t="s">
        <v>41</v>
      </c>
      <c r="C41" s="13" t="s">
        <v>1204</v>
      </c>
      <c r="D41" s="70">
        <v>24.3</v>
      </c>
      <c r="E41" s="70">
        <v>0.9</v>
      </c>
      <c r="F41" s="71">
        <v>178</v>
      </c>
      <c r="G41" s="15"/>
      <c r="H41" s="15">
        <v>1.869</v>
      </c>
      <c r="I41" s="15">
        <v>1.855</v>
      </c>
      <c r="J41" s="74">
        <f t="shared" ref="J41" si="27">H41-I41</f>
        <v>1.4000000000000012E-2</v>
      </c>
      <c r="K41" s="95">
        <f t="shared" ref="K41" si="28">(F41*(273.15+D41)/273.15)/(M41*N41)</f>
        <v>7.7534102141680394</v>
      </c>
      <c r="L41" s="15" t="s">
        <v>728</v>
      </c>
      <c r="M41" s="72">
        <f>VLOOKUP(L41,allgemein!$B$3:$C$11,2,FALSE)</f>
        <v>1</v>
      </c>
      <c r="N41" s="14">
        <v>25</v>
      </c>
      <c r="O41" s="13"/>
      <c r="P41" s="23"/>
      <c r="Q41" s="13"/>
      <c r="R41" s="6"/>
    </row>
    <row r="42" spans="2:18" x14ac:dyDescent="0.2">
      <c r="B42" s="13" t="s">
        <v>1218</v>
      </c>
      <c r="C42" s="13" t="s">
        <v>1195</v>
      </c>
      <c r="D42" s="70">
        <v>24.2</v>
      </c>
      <c r="E42" s="70">
        <v>1.1000000000000001</v>
      </c>
      <c r="F42" s="71">
        <v>286</v>
      </c>
      <c r="G42" s="15"/>
      <c r="H42" s="15">
        <v>1.903</v>
      </c>
      <c r="I42" s="15">
        <v>1.8959999999999999</v>
      </c>
      <c r="J42" s="74">
        <f t="shared" ref="J42:J51" si="29">H42-I42</f>
        <v>7.0000000000001172E-3</v>
      </c>
      <c r="K42" s="95">
        <f t="shared" ref="K42:K51" si="30">(F42*(273.15+D42)/273.15)/(M42*N42)</f>
        <v>7.783461468057844</v>
      </c>
      <c r="L42" s="15" t="s">
        <v>729</v>
      </c>
      <c r="M42" s="72">
        <v>1</v>
      </c>
      <c r="N42" s="14">
        <v>40</v>
      </c>
      <c r="O42" s="13" t="s">
        <v>1201</v>
      </c>
      <c r="P42" s="13" t="s">
        <v>1234</v>
      </c>
      <c r="Q42" s="13"/>
      <c r="R42" s="6"/>
    </row>
    <row r="43" spans="2:18" x14ac:dyDescent="0.2">
      <c r="B43" s="13" t="s">
        <v>1219</v>
      </c>
      <c r="C43" s="13" t="s">
        <v>41</v>
      </c>
      <c r="D43" s="70">
        <v>24.1</v>
      </c>
      <c r="E43" s="70">
        <v>1.3</v>
      </c>
      <c r="F43" s="71">
        <v>285</v>
      </c>
      <c r="G43" s="15"/>
      <c r="H43" s="15">
        <v>1.915</v>
      </c>
      <c r="I43" s="15">
        <v>1.9079999999999999</v>
      </c>
      <c r="J43" s="74">
        <f t="shared" si="29"/>
        <v>7.0000000000001172E-3</v>
      </c>
      <c r="K43" s="95">
        <f t="shared" si="30"/>
        <v>7.7536381109280628</v>
      </c>
      <c r="L43" s="15" t="s">
        <v>729</v>
      </c>
      <c r="M43" s="72">
        <v>1</v>
      </c>
      <c r="N43" s="14">
        <v>40</v>
      </c>
      <c r="O43" s="13" t="s">
        <v>41</v>
      </c>
      <c r="P43" s="13" t="s">
        <v>41</v>
      </c>
      <c r="Q43" s="13"/>
      <c r="R43" s="6"/>
    </row>
    <row r="44" spans="2:18" x14ac:dyDescent="0.2">
      <c r="B44" s="13" t="s">
        <v>1220</v>
      </c>
      <c r="C44" s="13" t="s">
        <v>41</v>
      </c>
      <c r="D44" s="70">
        <v>23.7</v>
      </c>
      <c r="E44" s="70">
        <v>0.5</v>
      </c>
      <c r="F44" s="71">
        <v>286</v>
      </c>
      <c r="G44" s="15"/>
      <c r="H44" s="15">
        <v>1.897</v>
      </c>
      <c r="I44" s="15">
        <v>1.8859999999999999</v>
      </c>
      <c r="J44" s="74">
        <f t="shared" si="29"/>
        <v>1.1000000000000121E-2</v>
      </c>
      <c r="K44" s="95">
        <f t="shared" si="30"/>
        <v>7.770373421197144</v>
      </c>
      <c r="L44" s="15" t="s">
        <v>729</v>
      </c>
      <c r="M44" s="72">
        <v>1</v>
      </c>
      <c r="N44" s="14">
        <v>40</v>
      </c>
      <c r="O44" s="13" t="s">
        <v>41</v>
      </c>
      <c r="P44" s="13" t="s">
        <v>41</v>
      </c>
      <c r="Q44" s="13"/>
      <c r="R44" s="6"/>
    </row>
    <row r="45" spans="2:18" x14ac:dyDescent="0.2">
      <c r="B45" s="13" t="s">
        <v>1221</v>
      </c>
      <c r="C45" s="13" t="s">
        <v>41</v>
      </c>
      <c r="D45" s="70">
        <v>23.7</v>
      </c>
      <c r="E45" s="70">
        <v>0.5</v>
      </c>
      <c r="F45" s="71">
        <v>287</v>
      </c>
      <c r="G45" s="15"/>
      <c r="H45" s="15">
        <v>1.9219999999999999</v>
      </c>
      <c r="I45" s="15">
        <v>1.91</v>
      </c>
      <c r="J45" s="74">
        <f t="shared" si="29"/>
        <v>1.2000000000000011E-2</v>
      </c>
      <c r="K45" s="95">
        <f t="shared" si="30"/>
        <v>7.7975425590334977</v>
      </c>
      <c r="L45" s="15" t="s">
        <v>729</v>
      </c>
      <c r="M45" s="72">
        <v>1</v>
      </c>
      <c r="N45" s="14">
        <v>40</v>
      </c>
      <c r="O45" s="13" t="s">
        <v>41</v>
      </c>
      <c r="P45" s="13" t="s">
        <v>41</v>
      </c>
      <c r="Q45" s="13"/>
      <c r="R45" s="6"/>
    </row>
    <row r="46" spans="2:18" x14ac:dyDescent="0.2">
      <c r="B46" s="13" t="s">
        <v>1222</v>
      </c>
      <c r="C46" s="13" t="s">
        <v>41</v>
      </c>
      <c r="D46" s="70">
        <v>23.6</v>
      </c>
      <c r="E46" s="70">
        <v>0.6</v>
      </c>
      <c r="F46" s="71">
        <v>287</v>
      </c>
      <c r="G46" s="15"/>
      <c r="H46" s="15">
        <v>1.91</v>
      </c>
      <c r="I46" s="15">
        <v>1.8979999999999999</v>
      </c>
      <c r="J46" s="74">
        <f t="shared" si="29"/>
        <v>1.2000000000000011E-2</v>
      </c>
      <c r="K46" s="95">
        <f t="shared" si="30"/>
        <v>7.7949157971810363</v>
      </c>
      <c r="L46" s="15" t="s">
        <v>729</v>
      </c>
      <c r="M46" s="72">
        <v>1</v>
      </c>
      <c r="N46" s="14">
        <v>40</v>
      </c>
      <c r="O46" s="13" t="s">
        <v>41</v>
      </c>
      <c r="P46" s="13" t="s">
        <v>41</v>
      </c>
      <c r="Q46" s="13"/>
      <c r="R46" s="6"/>
    </row>
    <row r="47" spans="2:18" x14ac:dyDescent="0.2">
      <c r="B47" s="13" t="s">
        <v>1223</v>
      </c>
      <c r="C47" s="13" t="s">
        <v>41</v>
      </c>
      <c r="D47" s="70">
        <v>24.3</v>
      </c>
      <c r="E47" s="70">
        <v>0.1</v>
      </c>
      <c r="F47" s="71">
        <v>285</v>
      </c>
      <c r="G47" s="15"/>
      <c r="H47" s="15">
        <v>1.887</v>
      </c>
      <c r="I47" s="15">
        <v>1.877</v>
      </c>
      <c r="J47" s="74">
        <f t="shared" si="29"/>
        <v>1.0000000000000009E-2</v>
      </c>
      <c r="K47" s="95">
        <f t="shared" si="30"/>
        <v>7.7588550247116972</v>
      </c>
      <c r="L47" s="15" t="s">
        <v>729</v>
      </c>
      <c r="M47" s="72">
        <v>1</v>
      </c>
      <c r="N47" s="14">
        <v>40</v>
      </c>
      <c r="O47" s="13" t="s">
        <v>41</v>
      </c>
      <c r="P47" s="13" t="s">
        <v>41</v>
      </c>
      <c r="Q47" s="13"/>
      <c r="R47" s="6"/>
    </row>
    <row r="48" spans="2:18" x14ac:dyDescent="0.2">
      <c r="B48" s="13" t="s">
        <v>1224</v>
      </c>
      <c r="C48" s="13" t="s">
        <v>41</v>
      </c>
      <c r="D48" s="70">
        <v>24.2</v>
      </c>
      <c r="E48" s="70">
        <v>0.4</v>
      </c>
      <c r="F48" s="71">
        <v>285</v>
      </c>
      <c r="G48" s="15"/>
      <c r="H48" s="15">
        <v>1.8979999999999999</v>
      </c>
      <c r="I48" s="15">
        <v>1.889</v>
      </c>
      <c r="J48" s="74">
        <f t="shared" si="29"/>
        <v>8.999999999999897E-3</v>
      </c>
      <c r="K48" s="95">
        <f t="shared" si="30"/>
        <v>7.7562465678198791</v>
      </c>
      <c r="L48" s="15" t="s">
        <v>729</v>
      </c>
      <c r="M48" s="72">
        <v>1</v>
      </c>
      <c r="N48" s="14">
        <v>40</v>
      </c>
      <c r="O48" s="13" t="s">
        <v>41</v>
      </c>
      <c r="P48" s="13" t="s">
        <v>41</v>
      </c>
      <c r="Q48" s="79"/>
      <c r="R48" s="6"/>
    </row>
    <row r="49" spans="2:18" x14ac:dyDescent="0.2">
      <c r="B49" s="13" t="s">
        <v>1225</v>
      </c>
      <c r="C49" s="13" t="s">
        <v>41</v>
      </c>
      <c r="D49" s="70">
        <v>24.3</v>
      </c>
      <c r="E49" s="70">
        <v>0.4</v>
      </c>
      <c r="F49" s="71">
        <v>285</v>
      </c>
      <c r="G49" s="15"/>
      <c r="H49" s="15">
        <v>1.89</v>
      </c>
      <c r="I49" s="15">
        <v>1.88</v>
      </c>
      <c r="J49" s="74">
        <f t="shared" si="29"/>
        <v>1.0000000000000009E-2</v>
      </c>
      <c r="K49" s="95">
        <f t="shared" si="30"/>
        <v>7.7588550247116972</v>
      </c>
      <c r="L49" s="15" t="s">
        <v>729</v>
      </c>
      <c r="M49" s="72">
        <v>1</v>
      </c>
      <c r="N49" s="14">
        <v>40</v>
      </c>
      <c r="O49" s="13" t="s">
        <v>41</v>
      </c>
      <c r="P49" s="13" t="s">
        <v>41</v>
      </c>
      <c r="Q49" s="13"/>
      <c r="R49" s="6"/>
    </row>
    <row r="50" spans="2:18" x14ac:dyDescent="0.2">
      <c r="B50" s="13" t="s">
        <v>1226</v>
      </c>
      <c r="C50" s="13" t="s">
        <v>41</v>
      </c>
      <c r="D50" s="70">
        <v>24.4</v>
      </c>
      <c r="E50" s="70">
        <v>0.4</v>
      </c>
      <c r="F50" s="71">
        <v>286</v>
      </c>
      <c r="G50" s="15"/>
      <c r="H50" s="15">
        <v>1.8979999999999999</v>
      </c>
      <c r="I50" s="15">
        <v>1.887</v>
      </c>
      <c r="J50" s="74">
        <f t="shared" si="29"/>
        <v>1.0999999999999899E-2</v>
      </c>
      <c r="K50" s="95">
        <f t="shared" si="30"/>
        <v>7.7886966868021235</v>
      </c>
      <c r="L50" s="15" t="s">
        <v>729</v>
      </c>
      <c r="M50" s="72">
        <v>1</v>
      </c>
      <c r="N50" s="14">
        <v>40</v>
      </c>
      <c r="O50" s="13" t="s">
        <v>41</v>
      </c>
      <c r="P50" s="13" t="s">
        <v>41</v>
      </c>
      <c r="Q50" s="13"/>
      <c r="R50" s="6"/>
    </row>
    <row r="51" spans="2:18" x14ac:dyDescent="0.2">
      <c r="B51" s="13" t="s">
        <v>1227</v>
      </c>
      <c r="C51" s="13" t="s">
        <v>41</v>
      </c>
      <c r="D51" s="70">
        <v>24.5</v>
      </c>
      <c r="E51" s="70">
        <v>0.1</v>
      </c>
      <c r="F51" s="71">
        <v>286</v>
      </c>
      <c r="G51" s="15"/>
      <c r="H51" s="15">
        <v>1.893</v>
      </c>
      <c r="I51" s="15">
        <v>1.8819999999999999</v>
      </c>
      <c r="J51" s="74">
        <f t="shared" si="29"/>
        <v>1.1000000000000121E-2</v>
      </c>
      <c r="K51" s="95">
        <f t="shared" si="30"/>
        <v>7.7913142961742636</v>
      </c>
      <c r="L51" s="15" t="s">
        <v>729</v>
      </c>
      <c r="M51" s="72">
        <v>1</v>
      </c>
      <c r="N51" s="14">
        <v>40</v>
      </c>
      <c r="O51" s="13" t="s">
        <v>41</v>
      </c>
      <c r="P51" s="13" t="s">
        <v>41</v>
      </c>
      <c r="Q51" s="13"/>
      <c r="R51" s="6"/>
    </row>
    <row r="52" spans="2:18" x14ac:dyDescent="0.2">
      <c r="B52" s="13" t="s">
        <v>1206</v>
      </c>
      <c r="C52" s="13" t="s">
        <v>1115</v>
      </c>
      <c r="D52" s="70">
        <v>22.9</v>
      </c>
      <c r="E52" s="70">
        <v>0.2</v>
      </c>
      <c r="F52" s="71">
        <v>176</v>
      </c>
      <c r="G52" s="15"/>
      <c r="H52" s="15">
        <v>1.897</v>
      </c>
      <c r="I52" s="15">
        <v>1.885</v>
      </c>
      <c r="J52" s="74">
        <f t="shared" ref="J52:J60" si="31">H52-I52</f>
        <v>1.2000000000000011E-2</v>
      </c>
      <c r="K52" s="95">
        <f t="shared" ref="K52:K60" si="32">(F52*(273.15+D52)/273.15)/(M52*N52)</f>
        <v>7.6302105070474093</v>
      </c>
      <c r="L52" s="148" t="s">
        <v>728</v>
      </c>
      <c r="M52" s="72">
        <f>VLOOKUP(L52,allgemein!$B$3:$C$11,2,FALSE)</f>
        <v>1</v>
      </c>
      <c r="N52" s="14">
        <v>25</v>
      </c>
      <c r="O52" s="13" t="s">
        <v>1114</v>
      </c>
      <c r="P52" s="23"/>
      <c r="Q52" s="13"/>
      <c r="R52" s="6"/>
    </row>
    <row r="53" spans="2:18" x14ac:dyDescent="0.2">
      <c r="B53" s="13" t="s">
        <v>1207</v>
      </c>
      <c r="C53" s="13" t="s">
        <v>41</v>
      </c>
      <c r="D53" s="70">
        <v>23</v>
      </c>
      <c r="E53" s="70">
        <v>0.4</v>
      </c>
      <c r="F53" s="71">
        <v>176</v>
      </c>
      <c r="G53" s="15"/>
      <c r="H53" s="15">
        <v>1.887</v>
      </c>
      <c r="I53" s="15">
        <v>1.875</v>
      </c>
      <c r="J53" s="74">
        <f t="shared" si="31"/>
        <v>1.2000000000000011E-2</v>
      </c>
      <c r="K53" s="95">
        <f t="shared" si="32"/>
        <v>7.6327878455061322</v>
      </c>
      <c r="L53" s="148" t="s">
        <v>728</v>
      </c>
      <c r="M53" s="72">
        <f>VLOOKUP(L53,allgemein!$B$3:$C$11,2,FALSE)</f>
        <v>1</v>
      </c>
      <c r="N53" s="14">
        <v>25</v>
      </c>
      <c r="O53" s="13" t="s">
        <v>41</v>
      </c>
      <c r="Q53" s="13"/>
      <c r="R53" s="6"/>
    </row>
    <row r="54" spans="2:18" x14ac:dyDescent="0.2">
      <c r="B54" s="13" t="s">
        <v>1208</v>
      </c>
      <c r="C54" s="13" t="s">
        <v>1204</v>
      </c>
      <c r="D54" s="70">
        <v>23.1</v>
      </c>
      <c r="E54" s="70">
        <v>0.5</v>
      </c>
      <c r="F54" s="71">
        <v>177</v>
      </c>
      <c r="G54" s="15"/>
      <c r="H54" s="15">
        <v>1.89</v>
      </c>
      <c r="I54" s="15">
        <v>1.879</v>
      </c>
      <c r="J54" s="74">
        <f t="shared" si="31"/>
        <v>1.0999999999999899E-2</v>
      </c>
      <c r="K54" s="95">
        <f t="shared" si="32"/>
        <v>7.6787479406919283</v>
      </c>
      <c r="L54" s="148" t="s">
        <v>728</v>
      </c>
      <c r="M54" s="72">
        <f>VLOOKUP(L54,allgemein!$B$3:$C$11,2,FALSE)</f>
        <v>1</v>
      </c>
      <c r="N54" s="14">
        <v>25</v>
      </c>
      <c r="O54" s="13" t="s">
        <v>41</v>
      </c>
      <c r="P54" s="23"/>
      <c r="Q54" s="13"/>
      <c r="R54" s="6"/>
    </row>
    <row r="55" spans="2:18" x14ac:dyDescent="0.2">
      <c r="B55" s="13" t="s">
        <v>1209</v>
      </c>
      <c r="C55" s="13" t="s">
        <v>41</v>
      </c>
      <c r="D55" s="70">
        <v>23.2</v>
      </c>
      <c r="E55" s="70">
        <v>0.5</v>
      </c>
      <c r="F55" s="71">
        <v>178</v>
      </c>
      <c r="G55" s="15"/>
      <c r="H55" s="15">
        <v>1.897</v>
      </c>
      <c r="I55" s="15">
        <v>1.8819999999999999</v>
      </c>
      <c r="J55" s="74">
        <f t="shared" si="31"/>
        <v>1.5000000000000124E-2</v>
      </c>
      <c r="K55" s="95">
        <f t="shared" si="32"/>
        <v>7.7247373238147539</v>
      </c>
      <c r="L55" s="148" t="s">
        <v>728</v>
      </c>
      <c r="M55" s="72">
        <f>VLOOKUP(L55,allgemein!$B$3:$C$11,2,FALSE)</f>
        <v>1</v>
      </c>
      <c r="N55" s="14">
        <v>25</v>
      </c>
      <c r="O55" s="13" t="s">
        <v>41</v>
      </c>
      <c r="P55" s="91"/>
      <c r="Q55" s="13"/>
      <c r="R55" s="6"/>
    </row>
    <row r="56" spans="2:18" x14ac:dyDescent="0.2">
      <c r="B56" s="13" t="s">
        <v>1210</v>
      </c>
      <c r="C56" s="13" t="s">
        <v>41</v>
      </c>
      <c r="D56" s="70">
        <v>23.4</v>
      </c>
      <c r="E56" s="70">
        <v>0.3</v>
      </c>
      <c r="F56" s="71">
        <v>178</v>
      </c>
      <c r="G56" s="15"/>
      <c r="H56" s="15">
        <v>1.889</v>
      </c>
      <c r="I56" s="15">
        <v>1.877</v>
      </c>
      <c r="J56" s="74">
        <f t="shared" si="31"/>
        <v>1.2000000000000011E-2</v>
      </c>
      <c r="K56" s="95">
        <f t="shared" si="32"/>
        <v>7.7299505766062602</v>
      </c>
      <c r="L56" s="148" t="s">
        <v>728</v>
      </c>
      <c r="M56" s="72">
        <f>VLOOKUP(L56,allgemein!$B$3:$C$11,2,FALSE)</f>
        <v>1</v>
      </c>
      <c r="N56" s="14">
        <v>25</v>
      </c>
      <c r="O56" s="13" t="s">
        <v>41</v>
      </c>
      <c r="P56" s="91"/>
      <c r="Q56" s="13"/>
      <c r="R56" s="6"/>
    </row>
    <row r="57" spans="2:18" x14ac:dyDescent="0.2">
      <c r="B57" s="13" t="s">
        <v>1211</v>
      </c>
      <c r="C57" s="13" t="s">
        <v>41</v>
      </c>
      <c r="D57" s="70">
        <v>24</v>
      </c>
      <c r="E57" s="70">
        <v>0.5</v>
      </c>
      <c r="F57" s="71">
        <v>177</v>
      </c>
      <c r="G57" s="15"/>
      <c r="H57" s="15">
        <v>1.8759999999999999</v>
      </c>
      <c r="I57" s="15">
        <v>1.863</v>
      </c>
      <c r="J57" s="74">
        <f t="shared" si="31"/>
        <v>1.2999999999999901E-2</v>
      </c>
      <c r="K57" s="95">
        <f t="shared" si="32"/>
        <v>7.7020757825370678</v>
      </c>
      <c r="L57" s="148" t="s">
        <v>728</v>
      </c>
      <c r="M57" s="72">
        <f>VLOOKUP(L57,allgemein!$B$3:$C$11,2,FALSE)</f>
        <v>1</v>
      </c>
      <c r="N57" s="14">
        <v>25</v>
      </c>
      <c r="O57" s="13" t="s">
        <v>41</v>
      </c>
      <c r="P57" s="91"/>
      <c r="Q57" s="13"/>
      <c r="R57" s="6"/>
    </row>
    <row r="58" spans="2:18" x14ac:dyDescent="0.2">
      <c r="B58" s="13" t="s">
        <v>1212</v>
      </c>
      <c r="C58" s="13" t="s">
        <v>41</v>
      </c>
      <c r="D58" s="70">
        <v>24.4</v>
      </c>
      <c r="E58" s="70">
        <v>0.5</v>
      </c>
      <c r="F58" s="71">
        <v>176</v>
      </c>
      <c r="G58" s="15"/>
      <c r="H58" s="15">
        <v>1.865</v>
      </c>
      <c r="I58" s="15">
        <v>1.853</v>
      </c>
      <c r="J58" s="74">
        <f t="shared" si="31"/>
        <v>1.2000000000000011E-2</v>
      </c>
      <c r="K58" s="95">
        <f t="shared" si="32"/>
        <v>7.6688705839282427</v>
      </c>
      <c r="L58" s="148" t="s">
        <v>728</v>
      </c>
      <c r="M58" s="72">
        <f>VLOOKUP(L58,allgemein!$B$3:$C$11,2,FALSE)</f>
        <v>1</v>
      </c>
      <c r="N58" s="14">
        <v>25</v>
      </c>
      <c r="O58" s="13" t="s">
        <v>41</v>
      </c>
      <c r="P58" s="17"/>
      <c r="Q58" s="13"/>
      <c r="R58" s="6"/>
    </row>
    <row r="59" spans="2:18" x14ac:dyDescent="0.2">
      <c r="B59" s="13" t="s">
        <v>1213</v>
      </c>
      <c r="C59" s="13" t="s">
        <v>41</v>
      </c>
      <c r="D59" s="70">
        <v>24.9</v>
      </c>
      <c r="E59" s="70">
        <v>0.7</v>
      </c>
      <c r="F59" s="71">
        <v>176</v>
      </c>
      <c r="G59" s="15"/>
      <c r="H59" s="15">
        <v>1.871</v>
      </c>
      <c r="I59" s="15">
        <v>1.8540000000000001</v>
      </c>
      <c r="J59" s="74">
        <f t="shared" si="31"/>
        <v>1.6999999999999904E-2</v>
      </c>
      <c r="K59" s="95">
        <f t="shared" si="32"/>
        <v>7.6817572762218553</v>
      </c>
      <c r="L59" s="148" t="s">
        <v>728</v>
      </c>
      <c r="M59" s="72">
        <f>VLOOKUP(L59,allgemein!$B$3:$C$11,2,FALSE)</f>
        <v>1</v>
      </c>
      <c r="N59" s="14">
        <v>25</v>
      </c>
      <c r="O59" s="13" t="s">
        <v>41</v>
      </c>
      <c r="P59" s="91"/>
      <c r="Q59" s="13"/>
      <c r="R59" s="6"/>
    </row>
    <row r="60" spans="2:18" x14ac:dyDescent="0.2">
      <c r="B60" s="13" t="s">
        <v>1214</v>
      </c>
      <c r="C60" s="13" t="s">
        <v>1195</v>
      </c>
      <c r="D60" s="70">
        <v>24.2</v>
      </c>
      <c r="E60" s="70">
        <v>0.3</v>
      </c>
      <c r="F60" s="71">
        <v>855</v>
      </c>
      <c r="G60" s="15">
        <v>1.843</v>
      </c>
      <c r="H60" s="15">
        <v>5.5279999999999996</v>
      </c>
      <c r="I60" s="15">
        <v>5.492</v>
      </c>
      <c r="J60" s="74">
        <f t="shared" si="31"/>
        <v>3.5999999999999588E-2</v>
      </c>
      <c r="K60" s="95">
        <f t="shared" si="32"/>
        <v>7.7562465678198782</v>
      </c>
      <c r="L60" s="15" t="s">
        <v>335</v>
      </c>
      <c r="M60" s="72">
        <f>VLOOKUP(L60,allgemein!$B$3:$C$11,2,FALSE)</f>
        <v>3</v>
      </c>
      <c r="N60" s="14">
        <v>40</v>
      </c>
      <c r="O60" s="13" t="s">
        <v>1171</v>
      </c>
      <c r="P60" s="17"/>
      <c r="Q60" s="13"/>
      <c r="R60" s="6"/>
    </row>
    <row r="61" spans="2:18" x14ac:dyDescent="0.2">
      <c r="B61" s="13"/>
      <c r="C61" s="13" t="s">
        <v>41</v>
      </c>
      <c r="D61" s="70"/>
      <c r="E61" s="70"/>
      <c r="F61" s="71"/>
      <c r="G61" s="15">
        <v>1.8420000000000001</v>
      </c>
      <c r="H61" s="15"/>
      <c r="I61" s="15"/>
      <c r="J61" s="74"/>
      <c r="K61" s="95"/>
      <c r="L61" s="15"/>
      <c r="M61" s="14"/>
      <c r="N61" s="14"/>
      <c r="O61" s="13"/>
      <c r="P61" s="91"/>
      <c r="Q61" s="13"/>
      <c r="R61" s="6"/>
    </row>
    <row r="62" spans="2:18" x14ac:dyDescent="0.2">
      <c r="B62" s="13"/>
      <c r="C62" s="13" t="s">
        <v>1217</v>
      </c>
      <c r="D62" s="70"/>
      <c r="E62" s="70"/>
      <c r="F62" s="71"/>
      <c r="G62" s="15">
        <v>1.843</v>
      </c>
      <c r="H62" s="15"/>
      <c r="I62" s="15"/>
      <c r="J62" s="74"/>
      <c r="K62" s="95"/>
      <c r="L62" s="15"/>
      <c r="M62" s="72"/>
      <c r="N62" s="14"/>
      <c r="O62" s="13"/>
      <c r="P62" s="21"/>
      <c r="Q62" s="13"/>
      <c r="R62" s="6"/>
    </row>
    <row r="63" spans="2:18" x14ac:dyDescent="0.2">
      <c r="B63" s="13" t="s">
        <v>1215</v>
      </c>
      <c r="C63" s="13" t="s">
        <v>41</v>
      </c>
      <c r="D63" s="70">
        <v>25.3</v>
      </c>
      <c r="E63" s="70">
        <v>0.4</v>
      </c>
      <c r="F63" s="71">
        <v>855</v>
      </c>
      <c r="G63" s="15">
        <v>1.833</v>
      </c>
      <c r="H63" s="15">
        <v>5.4980000000000002</v>
      </c>
      <c r="I63" s="15">
        <v>5.4619999999999997</v>
      </c>
      <c r="J63" s="74">
        <f t="shared" ref="J63" si="33">H63-I63</f>
        <v>3.6000000000000476E-2</v>
      </c>
      <c r="K63" s="95">
        <f t="shared" ref="K63" si="34">(F63*(273.15+D63)/273.15)/(M63*N63)</f>
        <v>7.7849395936298738</v>
      </c>
      <c r="L63" s="15" t="s">
        <v>335</v>
      </c>
      <c r="M63" s="72">
        <f>VLOOKUP(L63,allgemein!$B$3:$C$11,2,FALSE)</f>
        <v>3</v>
      </c>
      <c r="N63" s="14">
        <v>40</v>
      </c>
      <c r="O63" s="13" t="s">
        <v>41</v>
      </c>
      <c r="P63" s="21"/>
      <c r="Q63" s="13"/>
      <c r="R63" s="6"/>
    </row>
    <row r="64" spans="2:18" x14ac:dyDescent="0.2">
      <c r="B64" s="13"/>
      <c r="C64" s="13" t="s">
        <v>41</v>
      </c>
      <c r="D64" s="70"/>
      <c r="E64" s="70"/>
      <c r="F64" s="71"/>
      <c r="G64" s="15">
        <v>1.8320000000000001</v>
      </c>
      <c r="H64" s="15"/>
      <c r="I64" s="15"/>
      <c r="J64" s="74"/>
      <c r="K64" s="95"/>
      <c r="L64" s="15"/>
      <c r="M64" s="14"/>
      <c r="N64" s="14"/>
      <c r="O64" s="13"/>
      <c r="P64" s="21"/>
      <c r="Q64" s="13"/>
      <c r="R64" s="6"/>
    </row>
    <row r="65" spans="2:18" x14ac:dyDescent="0.2">
      <c r="B65" s="13"/>
      <c r="C65" s="13" t="s">
        <v>41</v>
      </c>
      <c r="D65" s="70"/>
      <c r="E65" s="70"/>
      <c r="F65" s="71"/>
      <c r="G65" s="15">
        <v>1.8320000000000001</v>
      </c>
      <c r="H65" s="15"/>
      <c r="I65" s="15"/>
      <c r="J65" s="74"/>
      <c r="K65" s="95"/>
      <c r="L65" s="15"/>
      <c r="M65" s="72"/>
      <c r="N65" s="14"/>
      <c r="O65" s="13"/>
      <c r="P65" s="21"/>
      <c r="Q65" s="13"/>
      <c r="R65" s="6"/>
    </row>
    <row r="66" spans="2:18" x14ac:dyDescent="0.2">
      <c r="B66" s="13" t="s">
        <v>1216</v>
      </c>
      <c r="C66" s="13" t="s">
        <v>41</v>
      </c>
      <c r="D66" s="70">
        <v>25.9</v>
      </c>
      <c r="E66" s="70">
        <v>0.6</v>
      </c>
      <c r="F66" s="71">
        <v>855</v>
      </c>
      <c r="G66" s="15">
        <v>1.8280000000000001</v>
      </c>
      <c r="H66" s="15">
        <v>5.4829999999999997</v>
      </c>
      <c r="I66" s="15">
        <v>5.4480000000000004</v>
      </c>
      <c r="J66" s="74">
        <f t="shared" ref="J66" si="35">H66-I66</f>
        <v>3.4999999999999254E-2</v>
      </c>
      <c r="K66" s="95">
        <f t="shared" ref="K66" si="36">(F66*(273.15+D66)/273.15)/(M66*N66)</f>
        <v>7.8005903349807797</v>
      </c>
      <c r="L66" s="15" t="s">
        <v>335</v>
      </c>
      <c r="M66" s="72">
        <f>VLOOKUP(L66,allgemein!$B$3:$C$11,2,FALSE)</f>
        <v>3</v>
      </c>
      <c r="N66" s="14">
        <v>40</v>
      </c>
      <c r="O66" s="13" t="s">
        <v>41</v>
      </c>
      <c r="P66" s="21"/>
      <c r="Q66" s="23"/>
      <c r="R66" s="6"/>
    </row>
    <row r="67" spans="2:18" x14ac:dyDescent="0.2">
      <c r="B67" s="13"/>
      <c r="C67" s="13" t="s">
        <v>41</v>
      </c>
      <c r="D67" s="70"/>
      <c r="E67" s="70"/>
      <c r="F67" s="71"/>
      <c r="G67" s="15">
        <v>1.827</v>
      </c>
      <c r="H67" s="15"/>
      <c r="I67" s="15"/>
      <c r="J67" s="74"/>
      <c r="K67" s="95"/>
      <c r="L67" s="15"/>
      <c r="M67" s="14"/>
      <c r="N67" s="14"/>
      <c r="O67" s="13"/>
      <c r="P67" s="21"/>
      <c r="Q67" s="13"/>
      <c r="R67" s="6"/>
    </row>
    <row r="68" spans="2:18" x14ac:dyDescent="0.2">
      <c r="B68" s="13"/>
      <c r="C68" s="13" t="s">
        <v>41</v>
      </c>
      <c r="D68" s="70"/>
      <c r="E68" s="70"/>
      <c r="F68" s="71"/>
      <c r="G68" s="15">
        <v>1.8280000000000001</v>
      </c>
      <c r="H68" s="15"/>
      <c r="I68" s="15"/>
      <c r="J68" s="74"/>
      <c r="K68" s="95"/>
      <c r="L68" s="15"/>
      <c r="M68" s="72"/>
      <c r="N68" s="14"/>
      <c r="O68" s="13"/>
      <c r="P68" s="21"/>
      <c r="Q68" s="13"/>
      <c r="R68" s="6"/>
    </row>
    <row r="69" spans="2:18" x14ac:dyDescent="0.2">
      <c r="B69" s="13" t="s">
        <v>1228</v>
      </c>
      <c r="C69" s="13" t="s">
        <v>41</v>
      </c>
      <c r="D69" s="70">
        <v>26.2</v>
      </c>
      <c r="E69" s="70">
        <v>0.7</v>
      </c>
      <c r="F69" s="71">
        <v>571</v>
      </c>
      <c r="G69" s="15">
        <v>1.823</v>
      </c>
      <c r="H69" s="15">
        <v>3.6560000000000001</v>
      </c>
      <c r="I69" s="15">
        <v>3.633</v>
      </c>
      <c r="J69" s="74">
        <f t="shared" ref="J69" si="37">H69-I69</f>
        <v>2.3000000000000131E-2</v>
      </c>
      <c r="K69" s="95">
        <f t="shared" ref="K69" si="38">(F69*(273.15+D69)/273.15)/(M69*N69)</f>
        <v>7.8221146805784354</v>
      </c>
      <c r="L69" s="15" t="s">
        <v>323</v>
      </c>
      <c r="M69" s="72">
        <f>VLOOKUP(L69,allgemein!$B$3:$C$11,2,FALSE)</f>
        <v>2</v>
      </c>
      <c r="N69" s="14">
        <v>40</v>
      </c>
      <c r="O69" s="13" t="s">
        <v>1233</v>
      </c>
      <c r="P69" s="21"/>
      <c r="Q69" s="13"/>
      <c r="R69" s="6"/>
    </row>
    <row r="70" spans="2:18" x14ac:dyDescent="0.2">
      <c r="B70" s="13"/>
      <c r="C70" s="13" t="s">
        <v>41</v>
      </c>
      <c r="D70" s="70"/>
      <c r="E70" s="70"/>
      <c r="F70" s="71"/>
      <c r="G70" s="15">
        <v>1.833</v>
      </c>
      <c r="H70" s="15"/>
      <c r="I70" s="15"/>
      <c r="J70" s="74"/>
      <c r="K70" s="95"/>
      <c r="L70" s="15"/>
      <c r="M70" s="72"/>
      <c r="N70" s="14"/>
      <c r="O70" s="13"/>
      <c r="P70" s="21"/>
      <c r="Q70" s="13"/>
      <c r="R70" s="6"/>
    </row>
    <row r="71" spans="2:18" x14ac:dyDescent="0.2">
      <c r="B71" s="13" t="s">
        <v>1229</v>
      </c>
      <c r="C71" s="13" t="s">
        <v>41</v>
      </c>
      <c r="D71" s="70">
        <v>26.3</v>
      </c>
      <c r="E71" s="70">
        <v>0.8</v>
      </c>
      <c r="F71" s="71">
        <v>571</v>
      </c>
      <c r="G71" s="15">
        <v>1.835</v>
      </c>
      <c r="H71" s="15">
        <v>3.681</v>
      </c>
      <c r="I71" s="15">
        <v>3.661</v>
      </c>
      <c r="J71" s="74">
        <f t="shared" ref="J71" si="39">H71-I71</f>
        <v>2.0000000000000018E-2</v>
      </c>
      <c r="K71" s="95">
        <f t="shared" ref="K71" si="40">(F71*(273.15+D71)/273.15)/(M71*N71)</f>
        <v>7.8247277137104145</v>
      </c>
      <c r="L71" s="15" t="s">
        <v>323</v>
      </c>
      <c r="M71" s="72">
        <f>VLOOKUP(L71,allgemein!$B$3:$C$11,2,FALSE)</f>
        <v>2</v>
      </c>
      <c r="N71" s="14">
        <v>40</v>
      </c>
      <c r="O71" s="13" t="s">
        <v>41</v>
      </c>
      <c r="P71" s="23"/>
      <c r="Q71" s="13"/>
      <c r="R71" s="60"/>
    </row>
    <row r="72" spans="2:18" x14ac:dyDescent="0.2">
      <c r="B72" s="13"/>
      <c r="C72" s="13" t="s">
        <v>41</v>
      </c>
      <c r="D72" s="70"/>
      <c r="E72" s="70"/>
      <c r="F72" s="71"/>
      <c r="G72" s="15">
        <v>1.8460000000000001</v>
      </c>
      <c r="H72" s="15"/>
      <c r="I72" s="15"/>
      <c r="J72" s="74"/>
      <c r="K72" s="95"/>
      <c r="L72" s="15"/>
      <c r="M72" s="72"/>
      <c r="N72" s="14"/>
      <c r="O72" s="13"/>
      <c r="P72" s="21"/>
      <c r="Q72" s="13"/>
      <c r="R72" s="6"/>
    </row>
    <row r="73" spans="2:18" x14ac:dyDescent="0.2">
      <c r="B73" s="13" t="s">
        <v>1230</v>
      </c>
      <c r="C73" s="13" t="s">
        <v>41</v>
      </c>
      <c r="D73" s="70">
        <v>26.4</v>
      </c>
      <c r="E73" s="70">
        <v>0.4</v>
      </c>
      <c r="F73" s="71">
        <v>571</v>
      </c>
      <c r="G73" s="15">
        <v>1.833</v>
      </c>
      <c r="H73" s="15">
        <v>3.669</v>
      </c>
      <c r="I73" s="15">
        <v>3.645</v>
      </c>
      <c r="J73" s="74">
        <f t="shared" ref="J73" si="41">H73-I73</f>
        <v>2.4000000000000021E-2</v>
      </c>
      <c r="K73" s="95">
        <f t="shared" ref="K73" si="42">(F73*(273.15+D73)/273.15)/(M73*N73)</f>
        <v>7.8273407468423937</v>
      </c>
      <c r="L73" s="15" t="s">
        <v>323</v>
      </c>
      <c r="M73" s="72">
        <f>VLOOKUP(L73,allgemein!$B$3:$C$11,2,FALSE)</f>
        <v>2</v>
      </c>
      <c r="N73" s="14">
        <v>40</v>
      </c>
      <c r="O73" s="13" t="s">
        <v>41</v>
      </c>
      <c r="P73" s="21"/>
      <c r="Q73" s="13"/>
      <c r="R73" s="6"/>
    </row>
    <row r="74" spans="2:18" x14ac:dyDescent="0.2">
      <c r="B74" s="13"/>
      <c r="C74" s="13" t="s">
        <v>41</v>
      </c>
      <c r="D74" s="70"/>
      <c r="E74" s="70"/>
      <c r="F74" s="71"/>
      <c r="G74" s="15">
        <v>1.8360000000000001</v>
      </c>
      <c r="H74" s="15"/>
      <c r="I74" s="15"/>
      <c r="J74" s="74"/>
      <c r="K74" s="95"/>
      <c r="L74" s="15"/>
      <c r="M74" s="72"/>
      <c r="N74" s="14"/>
      <c r="O74" s="13"/>
      <c r="P74" s="21"/>
      <c r="Q74" s="13"/>
      <c r="R74" s="6"/>
    </row>
    <row r="75" spans="2:18" x14ac:dyDescent="0.2">
      <c r="B75" s="13" t="s">
        <v>1231</v>
      </c>
      <c r="C75" s="13" t="s">
        <v>41</v>
      </c>
      <c r="D75" s="70">
        <v>26.5</v>
      </c>
      <c r="E75" s="70">
        <v>0.7</v>
      </c>
      <c r="F75" s="71">
        <v>571</v>
      </c>
      <c r="G75" s="15">
        <v>1.8240000000000001</v>
      </c>
      <c r="H75" s="15">
        <v>3.653</v>
      </c>
      <c r="I75" s="15">
        <v>3.6320000000000001</v>
      </c>
      <c r="J75" s="74">
        <f t="shared" ref="J75" si="43">H75-I75</f>
        <v>2.0999999999999908E-2</v>
      </c>
      <c r="K75" s="95">
        <f t="shared" ref="K75" si="44">(F75*(273.15+D75)/273.15)/(M75*N75)</f>
        <v>7.8299537799743728</v>
      </c>
      <c r="L75" s="15" t="s">
        <v>323</v>
      </c>
      <c r="M75" s="72">
        <f>VLOOKUP(L75,allgemein!$B$3:$C$11,2,FALSE)</f>
        <v>2</v>
      </c>
      <c r="N75" s="14">
        <v>40</v>
      </c>
      <c r="O75" s="13" t="s">
        <v>41</v>
      </c>
      <c r="P75" s="21"/>
      <c r="Q75" s="13"/>
      <c r="R75" s="6"/>
    </row>
    <row r="76" spans="2:18" x14ac:dyDescent="0.2">
      <c r="B76" s="13"/>
      <c r="C76" s="13" t="s">
        <v>41</v>
      </c>
      <c r="D76" s="70"/>
      <c r="E76" s="70"/>
      <c r="F76" s="71"/>
      <c r="G76" s="15">
        <v>1.829</v>
      </c>
      <c r="H76" s="15"/>
      <c r="I76" s="15"/>
      <c r="J76" s="74"/>
      <c r="K76" s="95"/>
      <c r="L76" s="15"/>
      <c r="M76" s="72"/>
      <c r="N76" s="14"/>
      <c r="O76" s="13"/>
      <c r="Q76" s="13"/>
      <c r="R76" s="6"/>
    </row>
    <row r="77" spans="2:18" x14ac:dyDescent="0.2">
      <c r="B77" s="13" t="s">
        <v>1232</v>
      </c>
      <c r="C77" s="13" t="s">
        <v>41</v>
      </c>
      <c r="D77" s="70">
        <v>26.5</v>
      </c>
      <c r="E77" s="70">
        <v>0.9</v>
      </c>
      <c r="F77" s="71">
        <v>571</v>
      </c>
      <c r="G77" s="15">
        <v>1.83</v>
      </c>
      <c r="H77" s="15">
        <v>3.6579999999999999</v>
      </c>
      <c r="I77" s="15">
        <v>3.6360000000000001</v>
      </c>
      <c r="J77" s="74">
        <f t="shared" ref="J77" si="45">H77-I77</f>
        <v>2.1999999999999797E-2</v>
      </c>
      <c r="K77" s="95">
        <f t="shared" ref="K77" si="46">(F77*(273.15+D77)/273.15)/(M77*N77)</f>
        <v>7.8299537799743728</v>
      </c>
      <c r="L77" s="15" t="s">
        <v>323</v>
      </c>
      <c r="M77" s="72">
        <f>VLOOKUP(L77,allgemein!$B$3:$C$11,2,FALSE)</f>
        <v>2</v>
      </c>
      <c r="N77" s="14">
        <v>40</v>
      </c>
      <c r="O77" s="13" t="s">
        <v>41</v>
      </c>
      <c r="P77" s="21"/>
      <c r="Q77" s="13"/>
      <c r="R77" s="6"/>
    </row>
    <row r="78" spans="2:18" x14ac:dyDescent="0.2">
      <c r="B78" s="13"/>
      <c r="C78" s="13" t="s">
        <v>41</v>
      </c>
      <c r="D78" s="70"/>
      <c r="E78" s="70"/>
      <c r="F78" s="71"/>
      <c r="G78" s="15">
        <v>1.827</v>
      </c>
      <c r="H78" s="15"/>
      <c r="I78" s="15"/>
      <c r="J78" s="74"/>
      <c r="K78" s="95"/>
      <c r="L78" s="15"/>
      <c r="M78" s="72"/>
      <c r="N78" s="14"/>
      <c r="O78" s="13"/>
      <c r="P78" s="23"/>
      <c r="Q78" s="13"/>
      <c r="R78" s="6"/>
    </row>
    <row r="79" spans="2:18" x14ac:dyDescent="0.2">
      <c r="B79" s="13"/>
      <c r="C79" s="13"/>
      <c r="D79" s="70"/>
      <c r="E79" s="70"/>
      <c r="F79" s="71"/>
      <c r="G79" s="15"/>
      <c r="H79" s="15"/>
      <c r="I79" s="15"/>
      <c r="J79" s="74"/>
      <c r="K79" s="95"/>
      <c r="L79" s="15"/>
      <c r="M79" s="72"/>
      <c r="N79" s="14"/>
      <c r="O79" s="13"/>
      <c r="P79" s="21"/>
      <c r="Q79" s="13"/>
      <c r="R79" s="6"/>
    </row>
    <row r="80" spans="2:18" x14ac:dyDescent="0.2">
      <c r="B80" s="13"/>
      <c r="C80" s="13"/>
      <c r="D80" s="70"/>
      <c r="E80" s="70"/>
      <c r="F80" s="71"/>
      <c r="G80" s="15"/>
      <c r="H80" s="15"/>
      <c r="I80" s="15"/>
      <c r="J80" s="74"/>
      <c r="K80" s="95"/>
      <c r="L80" s="15"/>
      <c r="M80" s="72"/>
      <c r="N80" s="14"/>
      <c r="O80" s="13"/>
      <c r="P80" s="23"/>
      <c r="Q80" s="13"/>
      <c r="R80" s="6"/>
    </row>
    <row r="81" spans="2:18" x14ac:dyDescent="0.2">
      <c r="B81" s="13"/>
      <c r="C81" s="13"/>
      <c r="D81" s="70"/>
      <c r="E81" s="70"/>
      <c r="F81" s="71"/>
      <c r="G81" s="15"/>
      <c r="H81" s="15"/>
      <c r="I81" s="15"/>
      <c r="J81" s="74"/>
      <c r="K81" s="95"/>
      <c r="L81" s="15"/>
      <c r="M81" s="72"/>
      <c r="N81" s="14"/>
      <c r="O81" s="13"/>
      <c r="P81" s="23"/>
      <c r="Q81" s="13"/>
      <c r="R81" s="6"/>
    </row>
    <row r="82" spans="2:18" x14ac:dyDescent="0.2">
      <c r="B82" s="13"/>
      <c r="C82" s="13"/>
      <c r="D82" s="70"/>
      <c r="E82" s="70"/>
      <c r="F82" s="71"/>
      <c r="G82" s="15"/>
      <c r="H82" s="15"/>
      <c r="I82" s="15"/>
      <c r="J82" s="74"/>
      <c r="K82" s="95"/>
      <c r="L82" s="15"/>
      <c r="M82" s="72"/>
      <c r="N82" s="14"/>
      <c r="O82" s="13"/>
      <c r="P82" s="23"/>
      <c r="Q82" s="13"/>
      <c r="R82" s="6"/>
    </row>
    <row r="83" spans="2:18" x14ac:dyDescent="0.2">
      <c r="B83" s="13"/>
      <c r="C83" s="13"/>
      <c r="D83" s="70"/>
      <c r="E83" s="70"/>
      <c r="F83" s="71"/>
      <c r="G83" s="15"/>
      <c r="H83" s="15"/>
      <c r="I83" s="15"/>
      <c r="J83" s="74"/>
      <c r="K83" s="95"/>
      <c r="L83" s="15"/>
      <c r="M83" s="72"/>
      <c r="N83" s="14"/>
      <c r="O83" s="13"/>
      <c r="P83" s="23"/>
      <c r="Q83" s="6"/>
      <c r="R83" s="6"/>
    </row>
    <row r="84" spans="2:18" x14ac:dyDescent="0.2">
      <c r="B84" s="13"/>
      <c r="C84" s="13"/>
      <c r="D84" s="70"/>
      <c r="E84" s="70"/>
      <c r="F84" s="71"/>
      <c r="G84" s="15"/>
      <c r="H84" s="15"/>
      <c r="I84" s="15"/>
      <c r="J84" s="74"/>
      <c r="K84" s="95"/>
      <c r="L84" s="15"/>
      <c r="M84" s="72"/>
      <c r="N84" s="14"/>
      <c r="O84" s="13"/>
      <c r="P84" s="85"/>
      <c r="Q84" s="6"/>
      <c r="R84" s="6"/>
    </row>
    <row r="85" spans="2:18" x14ac:dyDescent="0.2">
      <c r="B85" s="13"/>
      <c r="C85" s="13"/>
      <c r="D85" s="70"/>
      <c r="E85" s="70"/>
      <c r="F85" s="71"/>
      <c r="G85" s="15"/>
      <c r="H85" s="15"/>
      <c r="I85" s="15"/>
      <c r="J85" s="74"/>
      <c r="K85" s="95"/>
      <c r="L85" s="15"/>
      <c r="M85" s="72"/>
      <c r="N85" s="14"/>
      <c r="O85" s="13"/>
      <c r="P85" s="85"/>
      <c r="Q85" s="6"/>
      <c r="R85" s="6"/>
    </row>
    <row r="86" spans="2:18" x14ac:dyDescent="0.2">
      <c r="B86" s="13"/>
      <c r="C86" s="13"/>
      <c r="D86" s="70"/>
      <c r="E86" s="70"/>
      <c r="F86" s="71"/>
      <c r="G86" s="15"/>
      <c r="H86" s="15"/>
      <c r="I86" s="15"/>
      <c r="J86" s="74"/>
      <c r="K86" s="95"/>
      <c r="L86" s="15"/>
      <c r="M86" s="72"/>
      <c r="N86" s="14"/>
      <c r="O86" s="13"/>
      <c r="P86" s="85"/>
      <c r="Q86" s="6"/>
      <c r="R86" s="6"/>
    </row>
    <row r="87" spans="2:18" x14ac:dyDescent="0.2">
      <c r="B87" s="13"/>
      <c r="C87" s="13"/>
      <c r="D87" s="70"/>
      <c r="E87" s="70"/>
      <c r="F87" s="71"/>
      <c r="G87" s="15"/>
      <c r="H87" s="15"/>
      <c r="I87" s="15"/>
      <c r="J87" s="74"/>
      <c r="K87" s="95"/>
      <c r="L87" s="15"/>
      <c r="M87" s="72"/>
      <c r="N87" s="14"/>
      <c r="O87" s="13"/>
      <c r="P87" s="85"/>
      <c r="Q87" s="6"/>
      <c r="R87" s="6"/>
    </row>
    <row r="88" spans="2:18" x14ac:dyDescent="0.2">
      <c r="B88" s="13"/>
      <c r="C88" s="13"/>
      <c r="D88" s="70"/>
      <c r="E88" s="70"/>
      <c r="F88" s="71"/>
      <c r="G88" s="15"/>
      <c r="H88" s="15"/>
      <c r="I88" s="15"/>
      <c r="J88" s="74"/>
      <c r="K88" s="95"/>
      <c r="L88" s="15"/>
      <c r="M88" s="72"/>
      <c r="N88" s="14"/>
      <c r="O88" s="13"/>
      <c r="P88" s="85"/>
      <c r="Q88" s="6"/>
      <c r="R88" s="6"/>
    </row>
    <row r="89" spans="2:18" x14ac:dyDescent="0.2">
      <c r="B89" s="13"/>
      <c r="C89" s="13"/>
      <c r="D89" s="70"/>
      <c r="E89" s="70"/>
      <c r="F89" s="71"/>
      <c r="G89" s="15"/>
      <c r="H89" s="15"/>
      <c r="I89" s="15"/>
      <c r="J89" s="74"/>
      <c r="K89" s="95"/>
      <c r="L89" s="15"/>
      <c r="M89" s="72"/>
      <c r="N89" s="14"/>
      <c r="O89" s="13"/>
      <c r="P89" s="85"/>
      <c r="Q89" s="6"/>
      <c r="R89" s="6"/>
    </row>
    <row r="90" spans="2:18" x14ac:dyDescent="0.2">
      <c r="B90" s="13"/>
      <c r="C90" s="13"/>
      <c r="D90" s="70"/>
      <c r="E90" s="70"/>
      <c r="F90" s="71"/>
      <c r="G90" s="15"/>
      <c r="H90" s="15"/>
      <c r="I90" s="15"/>
      <c r="J90" s="74"/>
      <c r="K90" s="95"/>
      <c r="L90" s="15"/>
      <c r="M90" s="72"/>
      <c r="N90" s="14"/>
      <c r="O90" s="13"/>
      <c r="P90" s="85"/>
      <c r="Q90" s="6"/>
      <c r="R90" s="6"/>
    </row>
    <row r="91" spans="2:18" x14ac:dyDescent="0.2">
      <c r="B91" s="13"/>
      <c r="C91" s="13"/>
      <c r="D91" s="70"/>
      <c r="E91" s="70"/>
      <c r="F91" s="71"/>
      <c r="G91" s="15"/>
      <c r="H91" s="15"/>
      <c r="I91" s="15"/>
      <c r="J91" s="74"/>
      <c r="K91" s="95"/>
      <c r="L91" s="15"/>
      <c r="M91" s="72"/>
      <c r="N91" s="14"/>
      <c r="O91" s="13"/>
      <c r="P91" s="85"/>
      <c r="Q91" s="6"/>
      <c r="R91" s="6"/>
    </row>
    <row r="92" spans="2:18" x14ac:dyDescent="0.2">
      <c r="B92" s="13"/>
      <c r="C92" s="13"/>
      <c r="D92" s="70"/>
      <c r="E92" s="70"/>
      <c r="F92" s="71"/>
      <c r="G92" s="15"/>
      <c r="H92" s="15"/>
      <c r="I92" s="15"/>
      <c r="J92" s="74"/>
      <c r="K92" s="95"/>
      <c r="L92" s="15"/>
      <c r="M92" s="72"/>
      <c r="N92" s="14"/>
      <c r="O92" s="13"/>
      <c r="P92" s="85"/>
      <c r="Q92" s="6"/>
      <c r="R92" s="6"/>
    </row>
    <row r="93" spans="2:18" x14ac:dyDescent="0.2">
      <c r="B93" s="13"/>
      <c r="C93" s="13"/>
      <c r="D93" s="70"/>
      <c r="E93" s="70"/>
      <c r="F93" s="71"/>
      <c r="G93" s="15"/>
      <c r="H93" s="15"/>
      <c r="I93" s="15"/>
      <c r="J93" s="74"/>
      <c r="K93" s="95"/>
      <c r="L93" s="15"/>
      <c r="M93" s="72"/>
      <c r="N93" s="14"/>
      <c r="O93" s="13"/>
      <c r="P93" s="85"/>
      <c r="Q93" s="6"/>
      <c r="R93" s="6"/>
    </row>
    <row r="94" spans="2:18" x14ac:dyDescent="0.2">
      <c r="B94" s="13"/>
      <c r="C94" s="13"/>
      <c r="D94" s="70"/>
      <c r="E94" s="70"/>
      <c r="F94" s="71"/>
      <c r="G94" s="15"/>
      <c r="H94" s="15"/>
      <c r="I94" s="15"/>
      <c r="J94" s="74"/>
      <c r="K94" s="95"/>
      <c r="L94" s="15"/>
      <c r="M94" s="72"/>
      <c r="N94" s="14"/>
      <c r="O94" s="13"/>
      <c r="P94" s="85"/>
      <c r="Q94" s="6"/>
      <c r="R94" s="6"/>
    </row>
    <row r="95" spans="2:18" x14ac:dyDescent="0.2">
      <c r="B95" s="13"/>
      <c r="C95" s="13"/>
      <c r="D95" s="70"/>
      <c r="E95" s="70"/>
      <c r="F95" s="71"/>
      <c r="G95" s="15"/>
      <c r="H95" s="15"/>
      <c r="I95" s="15"/>
      <c r="J95" s="74"/>
      <c r="K95" s="95"/>
      <c r="L95" s="15"/>
      <c r="M95" s="72"/>
      <c r="N95" s="14"/>
      <c r="O95" s="13"/>
      <c r="P95" s="85"/>
      <c r="Q95" s="6"/>
      <c r="R95" s="6"/>
    </row>
    <row r="96" spans="2:18" x14ac:dyDescent="0.2">
      <c r="B96" s="13"/>
      <c r="C96" s="13"/>
      <c r="D96" s="70"/>
      <c r="E96" s="70"/>
      <c r="F96" s="71"/>
      <c r="G96" s="15"/>
      <c r="H96" s="15"/>
      <c r="I96" s="15"/>
      <c r="J96" s="74"/>
      <c r="K96" s="95"/>
      <c r="L96" s="15"/>
      <c r="M96" s="72"/>
      <c r="N96" s="14"/>
      <c r="O96" s="13"/>
      <c r="P96" s="85"/>
      <c r="Q96" s="6"/>
      <c r="R96" s="6"/>
    </row>
    <row r="97" spans="2:18" x14ac:dyDescent="0.2">
      <c r="B97" s="13"/>
      <c r="C97" s="13"/>
      <c r="D97" s="70"/>
      <c r="E97" s="70"/>
      <c r="F97" s="71"/>
      <c r="G97" s="15"/>
      <c r="H97" s="15"/>
      <c r="I97" s="15"/>
      <c r="J97" s="74"/>
      <c r="K97" s="95"/>
      <c r="L97" s="15"/>
      <c r="M97" s="72"/>
      <c r="N97" s="14"/>
      <c r="O97" s="13"/>
      <c r="P97" s="85"/>
      <c r="Q97" s="6"/>
      <c r="R97" s="6"/>
    </row>
    <row r="98" spans="2:18" x14ac:dyDescent="0.2">
      <c r="B98" s="13"/>
      <c r="C98" s="13"/>
      <c r="D98" s="70"/>
      <c r="E98" s="70"/>
      <c r="F98" s="71"/>
      <c r="G98" s="15"/>
      <c r="H98" s="15"/>
      <c r="I98" s="15"/>
      <c r="J98" s="74"/>
      <c r="K98" s="95"/>
      <c r="L98" s="15"/>
      <c r="M98" s="72"/>
      <c r="N98" s="14"/>
      <c r="O98" s="13"/>
      <c r="P98" s="85"/>
      <c r="Q98" s="6"/>
      <c r="R98" s="6"/>
    </row>
    <row r="99" spans="2:18" x14ac:dyDescent="0.2">
      <c r="B99" s="13"/>
      <c r="C99" s="13"/>
      <c r="D99" s="70"/>
      <c r="E99" s="70"/>
      <c r="F99" s="71"/>
      <c r="G99" s="15"/>
      <c r="H99" s="15"/>
      <c r="I99" s="15"/>
      <c r="J99" s="74"/>
      <c r="K99" s="95"/>
      <c r="L99" s="15"/>
      <c r="M99" s="72"/>
      <c r="N99" s="14"/>
      <c r="O99" s="13"/>
      <c r="P99" s="85"/>
      <c r="Q99" s="6"/>
      <c r="R99" s="6"/>
    </row>
    <row r="100" spans="2:18" x14ac:dyDescent="0.2">
      <c r="B100" s="13"/>
      <c r="C100" s="13"/>
      <c r="D100" s="70"/>
      <c r="E100" s="70"/>
      <c r="F100" s="71"/>
      <c r="G100" s="15"/>
      <c r="H100" s="15"/>
      <c r="I100" s="15"/>
      <c r="J100" s="74"/>
      <c r="K100" s="95"/>
      <c r="L100" s="15"/>
      <c r="M100" s="72"/>
      <c r="N100" s="14"/>
      <c r="O100" s="13"/>
      <c r="P100" s="85"/>
      <c r="Q100" s="6"/>
      <c r="R100" s="6"/>
    </row>
    <row r="101" spans="2:18" x14ac:dyDescent="0.2">
      <c r="B101" s="13"/>
      <c r="C101" s="13"/>
      <c r="D101" s="70"/>
      <c r="E101" s="70"/>
      <c r="F101" s="71"/>
      <c r="G101" s="15"/>
      <c r="H101" s="15"/>
      <c r="I101" s="15"/>
      <c r="J101" s="74"/>
      <c r="K101" s="95"/>
      <c r="L101" s="15"/>
      <c r="M101" s="72"/>
      <c r="N101" s="14"/>
      <c r="O101" s="13"/>
      <c r="P101" s="85"/>
      <c r="Q101" s="6"/>
      <c r="R101" s="6"/>
    </row>
    <row r="102" spans="2:18" x14ac:dyDescent="0.2">
      <c r="B102" s="13"/>
      <c r="C102" s="13"/>
      <c r="D102" s="70"/>
      <c r="E102" s="70"/>
      <c r="F102" s="71"/>
      <c r="G102" s="15"/>
      <c r="H102" s="15"/>
      <c r="I102" s="15"/>
      <c r="J102" s="74"/>
      <c r="K102" s="95"/>
      <c r="L102" s="15"/>
      <c r="M102" s="72"/>
      <c r="N102" s="14"/>
      <c r="O102" s="13"/>
      <c r="P102" s="85"/>
      <c r="Q102" s="6"/>
      <c r="R102" s="6"/>
    </row>
    <row r="103" spans="2:18" x14ac:dyDescent="0.2">
      <c r="B103" s="13"/>
      <c r="C103" s="13"/>
      <c r="D103" s="70"/>
      <c r="E103" s="70"/>
      <c r="F103" s="71"/>
      <c r="G103" s="15"/>
      <c r="H103" s="15"/>
      <c r="I103" s="15"/>
      <c r="J103" s="74"/>
      <c r="K103" s="95"/>
      <c r="L103" s="15"/>
      <c r="M103" s="72"/>
      <c r="N103" s="14"/>
      <c r="O103" s="13"/>
      <c r="P103" s="13"/>
      <c r="Q103" s="6"/>
      <c r="R103" s="6"/>
    </row>
    <row r="104" spans="2:18" x14ac:dyDescent="0.2">
      <c r="B104" s="13"/>
      <c r="C104" s="13"/>
      <c r="D104" s="70"/>
      <c r="E104" s="70"/>
      <c r="F104" s="71"/>
      <c r="G104" s="15"/>
      <c r="H104" s="15"/>
      <c r="I104" s="15"/>
      <c r="J104" s="74"/>
      <c r="K104" s="95"/>
      <c r="L104" s="15"/>
      <c r="M104" s="72"/>
      <c r="N104" s="14"/>
      <c r="O104" s="13"/>
      <c r="P104" s="13"/>
      <c r="Q104" s="6"/>
      <c r="R104" s="6"/>
    </row>
    <row r="105" spans="2:18" x14ac:dyDescent="0.2">
      <c r="B105" s="13"/>
      <c r="C105" s="13"/>
      <c r="D105" s="70"/>
      <c r="E105" s="70"/>
      <c r="F105" s="71"/>
      <c r="G105" s="15"/>
      <c r="H105" s="15"/>
      <c r="I105" s="15"/>
      <c r="J105" s="74"/>
      <c r="K105" s="95"/>
      <c r="L105" s="15"/>
      <c r="M105" s="72"/>
      <c r="N105" s="14"/>
      <c r="O105" s="13"/>
      <c r="P105" s="13"/>
      <c r="Q105" s="6"/>
      <c r="R105" s="6"/>
    </row>
    <row r="106" spans="2:18" x14ac:dyDescent="0.2">
      <c r="B106" s="13"/>
      <c r="C106" s="13"/>
      <c r="D106" s="70"/>
      <c r="E106" s="70"/>
      <c r="F106" s="71"/>
      <c r="G106" s="15"/>
      <c r="H106" s="15"/>
      <c r="I106" s="15"/>
      <c r="J106" s="74"/>
      <c r="K106" s="95"/>
      <c r="L106" s="15"/>
      <c r="M106" s="72"/>
      <c r="N106" s="14"/>
      <c r="O106" s="13"/>
      <c r="P106" s="85"/>
      <c r="Q106" s="6"/>
      <c r="R106" s="6"/>
    </row>
    <row r="107" spans="2:18" x14ac:dyDescent="0.2">
      <c r="B107" s="13"/>
      <c r="C107" s="13"/>
      <c r="D107" s="70"/>
      <c r="E107" s="70"/>
      <c r="F107" s="71"/>
      <c r="G107" s="15"/>
      <c r="H107" s="15"/>
      <c r="I107" s="15"/>
      <c r="J107" s="74"/>
      <c r="K107" s="95"/>
      <c r="L107" s="15"/>
      <c r="M107" s="72"/>
      <c r="N107" s="14"/>
      <c r="O107" s="13"/>
      <c r="P107" s="21"/>
      <c r="Q107" s="6"/>
      <c r="R107" s="6"/>
    </row>
    <row r="108" spans="2:18" x14ac:dyDescent="0.2">
      <c r="B108" s="13"/>
      <c r="C108" s="13"/>
      <c r="D108" s="70"/>
      <c r="E108" s="70"/>
      <c r="F108" s="71"/>
      <c r="G108" s="15"/>
      <c r="H108" s="15"/>
      <c r="I108" s="15"/>
      <c r="J108" s="74"/>
      <c r="K108" s="95"/>
      <c r="L108" s="15"/>
      <c r="M108" s="72"/>
      <c r="N108" s="14"/>
      <c r="O108" s="13"/>
      <c r="P108" s="23"/>
      <c r="Q108" s="6"/>
      <c r="R108" s="6"/>
    </row>
    <row r="109" spans="2:18" x14ac:dyDescent="0.2">
      <c r="B109" s="13"/>
      <c r="C109" s="13"/>
      <c r="D109" s="70"/>
      <c r="E109" s="70"/>
      <c r="F109" s="71"/>
      <c r="G109" s="15"/>
      <c r="H109" s="15"/>
      <c r="I109" s="15"/>
      <c r="J109" s="74"/>
      <c r="K109" s="95"/>
      <c r="L109" s="15"/>
      <c r="M109" s="72"/>
      <c r="N109" s="14"/>
      <c r="O109" s="13"/>
      <c r="P109" s="91"/>
      <c r="Q109" s="6"/>
      <c r="R109" s="6"/>
    </row>
    <row r="110" spans="2:18" x14ac:dyDescent="0.2">
      <c r="B110" s="13"/>
      <c r="C110" s="13"/>
      <c r="D110" s="70"/>
      <c r="E110" s="70"/>
      <c r="F110" s="71"/>
      <c r="G110" s="15"/>
      <c r="H110" s="15"/>
      <c r="I110" s="15"/>
      <c r="J110" s="74"/>
      <c r="K110" s="95"/>
      <c r="L110" s="15"/>
      <c r="M110" s="72"/>
      <c r="N110" s="14"/>
      <c r="O110" s="13"/>
      <c r="P110" s="91"/>
      <c r="Q110" s="6"/>
      <c r="R110" s="6"/>
    </row>
    <row r="111" spans="2:18" x14ac:dyDescent="0.2">
      <c r="B111" s="13"/>
      <c r="C111" s="13"/>
      <c r="D111" s="70"/>
      <c r="E111" s="70"/>
      <c r="F111" s="71"/>
      <c r="G111" s="15"/>
      <c r="H111" s="15"/>
      <c r="I111" s="15"/>
      <c r="J111" s="74"/>
      <c r="K111" s="95"/>
      <c r="L111" s="15"/>
      <c r="M111" s="72"/>
      <c r="N111" s="14"/>
      <c r="O111" s="13"/>
      <c r="P111" s="91"/>
      <c r="Q111" s="6"/>
      <c r="R111" s="6"/>
    </row>
    <row r="112" spans="2:18" x14ac:dyDescent="0.2">
      <c r="B112" s="13"/>
      <c r="C112" s="13"/>
      <c r="D112" s="70"/>
      <c r="E112" s="70"/>
      <c r="F112" s="71"/>
      <c r="G112" s="15"/>
      <c r="H112" s="15"/>
      <c r="I112" s="15"/>
      <c r="J112" s="74"/>
      <c r="K112" s="95"/>
      <c r="L112" s="15"/>
      <c r="M112" s="72"/>
      <c r="N112" s="14"/>
      <c r="O112" s="13"/>
      <c r="P112" s="91"/>
      <c r="Q112" s="6"/>
      <c r="R112" s="6"/>
    </row>
    <row r="113" spans="2:18" x14ac:dyDescent="0.2">
      <c r="B113" s="13"/>
      <c r="C113" s="13"/>
      <c r="D113" s="70"/>
      <c r="E113" s="70"/>
      <c r="F113" s="71"/>
      <c r="G113" s="15"/>
      <c r="H113" s="15"/>
      <c r="I113" s="15"/>
      <c r="J113" s="74"/>
      <c r="K113" s="95"/>
      <c r="L113" s="15"/>
      <c r="M113" s="72"/>
      <c r="N113" s="14"/>
      <c r="O113" s="13"/>
      <c r="P113" s="17"/>
      <c r="Q113" s="6"/>
      <c r="R113" s="6"/>
    </row>
    <row r="114" spans="2:18" x14ac:dyDescent="0.2">
      <c r="B114" s="13"/>
      <c r="C114" s="13"/>
      <c r="D114" s="70"/>
      <c r="E114" s="70"/>
      <c r="F114" s="71"/>
      <c r="G114" s="15"/>
      <c r="H114" s="15"/>
      <c r="I114" s="15"/>
      <c r="J114" s="74"/>
      <c r="K114" s="95"/>
      <c r="L114" s="15"/>
      <c r="M114" s="72"/>
      <c r="N114" s="14"/>
      <c r="O114" s="13"/>
      <c r="P114" s="91"/>
      <c r="Q114" s="6"/>
      <c r="R114" s="6"/>
    </row>
    <row r="115" spans="2:18" x14ac:dyDescent="0.2">
      <c r="B115" s="13"/>
      <c r="C115" s="13"/>
      <c r="D115" s="70"/>
      <c r="E115" s="70"/>
      <c r="F115" s="71"/>
      <c r="G115" s="15"/>
      <c r="H115" s="15"/>
      <c r="I115" s="15"/>
      <c r="J115" s="74"/>
      <c r="K115" s="95"/>
      <c r="L115" s="15"/>
      <c r="M115" s="72"/>
      <c r="N115" s="14"/>
      <c r="O115" s="13"/>
      <c r="P115" s="17"/>
      <c r="Q115" s="6"/>
      <c r="R115" s="6"/>
    </row>
    <row r="116" spans="2:18" x14ac:dyDescent="0.2">
      <c r="B116" s="13"/>
      <c r="C116" s="13"/>
      <c r="D116" s="70"/>
      <c r="E116" s="70"/>
      <c r="F116" s="71"/>
      <c r="G116" s="15"/>
      <c r="H116" s="15"/>
      <c r="I116" s="15"/>
      <c r="J116" s="74"/>
      <c r="K116" s="95"/>
      <c r="L116" s="15"/>
      <c r="M116" s="72"/>
      <c r="N116" s="14"/>
      <c r="O116" s="13"/>
      <c r="P116" s="91"/>
      <c r="Q116" s="6"/>
      <c r="R116" s="6"/>
    </row>
    <row r="117" spans="2:18" x14ac:dyDescent="0.2">
      <c r="B117" s="13"/>
      <c r="C117" s="13"/>
      <c r="D117" s="70"/>
      <c r="E117" s="70"/>
      <c r="F117" s="71"/>
      <c r="G117" s="15"/>
      <c r="H117" s="15"/>
      <c r="I117" s="15"/>
      <c r="J117" s="74"/>
      <c r="K117" s="95"/>
      <c r="L117" s="15"/>
      <c r="M117" s="72"/>
      <c r="N117" s="14"/>
      <c r="O117" s="13"/>
      <c r="P117" s="21"/>
      <c r="Q117" s="6"/>
      <c r="R117" s="6"/>
    </row>
    <row r="118" spans="2:18" x14ac:dyDescent="0.2">
      <c r="B118" s="13"/>
      <c r="C118" s="13"/>
      <c r="D118" s="70"/>
      <c r="E118" s="70"/>
      <c r="F118" s="71"/>
      <c r="G118" s="15"/>
      <c r="H118" s="15"/>
      <c r="I118" s="15"/>
      <c r="J118" s="74"/>
      <c r="K118" s="95"/>
      <c r="L118" s="15"/>
      <c r="M118" s="72"/>
      <c r="N118" s="14"/>
      <c r="O118" s="13"/>
      <c r="P118" s="21"/>
      <c r="Q118" s="6"/>
      <c r="R118" s="6"/>
    </row>
    <row r="119" spans="2:18" x14ac:dyDescent="0.2">
      <c r="B119" s="6"/>
      <c r="C119" s="6"/>
      <c r="D119" s="70"/>
      <c r="E119" s="70"/>
      <c r="F119" s="71"/>
      <c r="G119" s="81"/>
      <c r="H119" s="15"/>
      <c r="I119" s="15"/>
      <c r="J119" s="74"/>
      <c r="K119" s="95"/>
      <c r="L119" s="15"/>
      <c r="M119" s="72"/>
      <c r="N119" s="14"/>
      <c r="O119" s="13"/>
      <c r="P119" s="85"/>
      <c r="Q119" s="6"/>
      <c r="R119" s="6"/>
    </row>
    <row r="120" spans="2:18" x14ac:dyDescent="0.2">
      <c r="B120" s="13"/>
      <c r="C120" s="6"/>
      <c r="D120" s="70"/>
      <c r="E120" s="70"/>
      <c r="F120" s="71"/>
      <c r="G120" s="81"/>
      <c r="H120" s="15"/>
      <c r="I120" s="15"/>
      <c r="J120" s="74"/>
      <c r="K120" s="95"/>
      <c r="L120" s="15"/>
      <c r="M120" s="72"/>
      <c r="N120" s="14"/>
      <c r="O120" s="13"/>
      <c r="P120" s="85"/>
      <c r="Q120" s="6"/>
      <c r="R120" s="6"/>
    </row>
    <row r="121" spans="2:18" x14ac:dyDescent="0.2">
      <c r="B121" s="6"/>
      <c r="C121" s="6"/>
      <c r="D121" s="70"/>
      <c r="E121" s="70"/>
      <c r="F121" s="71"/>
      <c r="G121" s="81"/>
      <c r="H121" s="15"/>
      <c r="I121" s="15"/>
      <c r="J121" s="74"/>
      <c r="K121" s="95"/>
      <c r="L121" s="15"/>
      <c r="M121" s="72"/>
      <c r="N121" s="14"/>
      <c r="O121" s="13"/>
      <c r="P121" s="85"/>
      <c r="Q121" s="6"/>
      <c r="R121" s="6"/>
    </row>
    <row r="122" spans="2:18" x14ac:dyDescent="0.2">
      <c r="B122" s="6"/>
      <c r="C122" s="6"/>
      <c r="D122" s="70"/>
      <c r="E122" s="70"/>
      <c r="F122" s="71"/>
      <c r="G122" s="81"/>
      <c r="H122" s="15"/>
      <c r="I122" s="15"/>
      <c r="J122" s="74"/>
      <c r="K122" s="95"/>
      <c r="L122" s="15"/>
      <c r="M122" s="72"/>
      <c r="N122" s="14"/>
      <c r="O122" s="13"/>
      <c r="P122" s="85"/>
      <c r="Q122" s="6"/>
      <c r="R122" s="6"/>
    </row>
    <row r="123" spans="2:18" x14ac:dyDescent="0.2">
      <c r="B123" s="6"/>
      <c r="C123" s="6"/>
      <c r="D123" s="70"/>
      <c r="E123" s="70"/>
      <c r="F123" s="71"/>
      <c r="G123" s="81"/>
      <c r="H123" s="15"/>
      <c r="I123" s="15"/>
      <c r="J123" s="74"/>
      <c r="K123" s="95"/>
      <c r="L123" s="15"/>
      <c r="M123" s="72"/>
      <c r="N123" s="14"/>
      <c r="O123" s="13"/>
      <c r="P123" s="85"/>
      <c r="Q123" s="6"/>
      <c r="R123" s="6"/>
    </row>
    <row r="124" spans="2:18" x14ac:dyDescent="0.2">
      <c r="B124" s="6"/>
      <c r="C124" s="6"/>
      <c r="D124" s="70"/>
      <c r="E124" s="70"/>
      <c r="F124" s="71"/>
      <c r="G124" s="81"/>
      <c r="H124" s="15"/>
      <c r="I124" s="15"/>
      <c r="J124" s="74"/>
      <c r="K124" s="95"/>
      <c r="L124" s="15"/>
      <c r="M124" s="72"/>
      <c r="N124" s="14"/>
      <c r="O124" s="13"/>
      <c r="P124" s="85"/>
      <c r="Q124" s="6"/>
      <c r="R124" s="6"/>
    </row>
    <row r="125" spans="2:18" x14ac:dyDescent="0.2">
      <c r="B125" s="6"/>
      <c r="C125" s="6"/>
      <c r="D125" s="70"/>
      <c r="E125" s="70"/>
      <c r="F125" s="71"/>
      <c r="G125" s="81"/>
      <c r="H125" s="15"/>
      <c r="I125" s="15"/>
      <c r="J125" s="74"/>
      <c r="K125" s="95"/>
      <c r="L125" s="15"/>
      <c r="M125" s="72"/>
      <c r="N125" s="14"/>
      <c r="O125" s="13"/>
      <c r="P125" s="85"/>
      <c r="Q125" s="6"/>
      <c r="R125" s="6"/>
    </row>
    <row r="126" spans="2:18" x14ac:dyDescent="0.2">
      <c r="B126" s="6"/>
      <c r="C126" s="6"/>
      <c r="D126" s="70"/>
      <c r="E126" s="70"/>
      <c r="F126" s="71"/>
      <c r="G126" s="81"/>
      <c r="H126" s="15"/>
      <c r="I126" s="15"/>
      <c r="J126" s="74"/>
      <c r="K126" s="95"/>
      <c r="L126" s="15"/>
      <c r="M126" s="72"/>
      <c r="N126" s="14"/>
      <c r="O126" s="13"/>
      <c r="P126" s="85"/>
      <c r="Q126" s="6"/>
      <c r="R126" s="6"/>
    </row>
    <row r="127" spans="2:18" x14ac:dyDescent="0.2">
      <c r="B127" s="6"/>
      <c r="C127" s="6"/>
      <c r="D127" s="70"/>
      <c r="E127" s="70"/>
      <c r="F127" s="71"/>
      <c r="G127" s="81"/>
      <c r="H127" s="15"/>
      <c r="I127" s="15"/>
      <c r="J127" s="74"/>
      <c r="K127" s="95"/>
      <c r="L127" s="15"/>
      <c r="M127" s="72"/>
      <c r="N127" s="14"/>
      <c r="O127" s="13"/>
      <c r="P127" s="85"/>
      <c r="Q127" s="6"/>
      <c r="R127" s="6"/>
    </row>
    <row r="128" spans="2:18" x14ac:dyDescent="0.2">
      <c r="B128" s="6"/>
      <c r="C128" s="6"/>
      <c r="D128" s="70"/>
      <c r="E128" s="70"/>
      <c r="F128" s="71"/>
      <c r="G128" s="81"/>
      <c r="H128" s="15"/>
      <c r="I128" s="15"/>
      <c r="J128" s="74"/>
      <c r="K128" s="95"/>
      <c r="L128" s="15"/>
      <c r="M128" s="72"/>
      <c r="N128" s="14"/>
      <c r="O128" s="13"/>
      <c r="P128" s="85"/>
      <c r="Q128" s="6"/>
      <c r="R128" s="6"/>
    </row>
    <row r="129" spans="2:18" x14ac:dyDescent="0.2">
      <c r="B129" s="6"/>
      <c r="C129" s="6"/>
      <c r="D129" s="70"/>
      <c r="E129" s="70"/>
      <c r="F129" s="71"/>
      <c r="G129" s="81"/>
      <c r="H129" s="15"/>
      <c r="I129" s="15"/>
      <c r="J129" s="74"/>
      <c r="K129" s="95"/>
      <c r="L129" s="15"/>
      <c r="M129" s="72"/>
      <c r="N129" s="14"/>
      <c r="O129" s="13"/>
      <c r="P129" s="85"/>
      <c r="Q129" s="6"/>
      <c r="R129" s="6"/>
    </row>
    <row r="130" spans="2:18" x14ac:dyDescent="0.2">
      <c r="B130" s="6"/>
      <c r="C130" s="6"/>
      <c r="D130" s="70"/>
      <c r="E130" s="70"/>
      <c r="F130" s="71"/>
      <c r="G130" s="81"/>
      <c r="H130" s="7"/>
      <c r="I130" s="7"/>
      <c r="J130" s="74"/>
      <c r="K130" s="95"/>
      <c r="L130" s="15"/>
      <c r="M130" s="72"/>
      <c r="N130" s="14"/>
      <c r="O130" s="13"/>
      <c r="P130" s="85"/>
      <c r="Q130" s="6"/>
      <c r="R130" s="6"/>
    </row>
    <row r="131" spans="2:18" x14ac:dyDescent="0.2">
      <c r="B131" s="6"/>
      <c r="C131" s="6"/>
      <c r="D131" s="70"/>
      <c r="E131" s="70"/>
      <c r="F131" s="71"/>
      <c r="G131" s="81"/>
      <c r="H131" s="7"/>
      <c r="I131" s="7"/>
      <c r="J131" s="74"/>
      <c r="K131" s="95"/>
      <c r="L131" s="15"/>
      <c r="M131" s="72"/>
      <c r="N131" s="14"/>
      <c r="O131" s="13"/>
      <c r="P131" s="85"/>
      <c r="Q131" s="6"/>
      <c r="R131" s="6"/>
    </row>
    <row r="132" spans="2:18" x14ac:dyDescent="0.2">
      <c r="B132" s="6"/>
      <c r="C132" s="6"/>
      <c r="D132" s="70"/>
      <c r="E132" s="70"/>
      <c r="F132" s="71"/>
      <c r="G132" s="81"/>
      <c r="H132" s="7"/>
      <c r="I132" s="7"/>
      <c r="J132" s="74"/>
      <c r="K132" s="95"/>
      <c r="L132" s="15"/>
      <c r="M132" s="72"/>
      <c r="N132" s="14"/>
      <c r="O132" s="5"/>
      <c r="P132" s="85"/>
      <c r="Q132" s="6"/>
      <c r="R132" s="6"/>
    </row>
    <row r="133" spans="2:18" x14ac:dyDescent="0.2">
      <c r="B133" s="6"/>
      <c r="C133" s="6"/>
      <c r="D133" s="70"/>
      <c r="E133" s="70"/>
      <c r="F133" s="71"/>
      <c r="G133" s="81"/>
      <c r="H133" s="7"/>
      <c r="I133" s="7"/>
      <c r="J133" s="74"/>
      <c r="K133" s="95"/>
      <c r="L133" s="15"/>
      <c r="M133" s="72"/>
      <c r="N133" s="14"/>
      <c r="O133" s="5"/>
      <c r="P133" s="85"/>
      <c r="Q133" s="6"/>
      <c r="R133" s="6"/>
    </row>
    <row r="134" spans="2:18" x14ac:dyDescent="0.2">
      <c r="B134" s="6"/>
      <c r="C134" s="6"/>
      <c r="D134" s="70"/>
      <c r="E134" s="70"/>
      <c r="F134" s="71"/>
      <c r="G134" s="81"/>
      <c r="H134" s="7"/>
      <c r="I134" s="7"/>
      <c r="J134" s="74"/>
      <c r="K134" s="95"/>
      <c r="L134" s="15"/>
      <c r="M134" s="72"/>
      <c r="N134" s="14"/>
      <c r="O134" s="5"/>
      <c r="P134" s="85"/>
      <c r="Q134" s="6"/>
      <c r="R134" s="6"/>
    </row>
    <row r="135" spans="2:18" x14ac:dyDescent="0.2">
      <c r="B135" s="6"/>
      <c r="C135" s="6"/>
      <c r="D135" s="70"/>
      <c r="E135" s="70"/>
      <c r="F135" s="71"/>
      <c r="G135" s="81"/>
      <c r="H135" s="7"/>
      <c r="I135" s="7"/>
      <c r="J135" s="74"/>
      <c r="K135" s="95"/>
      <c r="L135" s="15"/>
      <c r="M135" s="72"/>
      <c r="N135" s="14"/>
      <c r="O135" s="5"/>
      <c r="P135" s="85"/>
      <c r="Q135" s="6"/>
      <c r="R135" s="6"/>
    </row>
    <row r="136" spans="2:18" x14ac:dyDescent="0.2">
      <c r="B136" s="6"/>
      <c r="C136" s="6"/>
      <c r="D136" s="70"/>
      <c r="E136" s="70"/>
      <c r="F136" s="71"/>
      <c r="G136" s="81"/>
      <c r="H136" s="7"/>
      <c r="I136" s="7"/>
      <c r="J136" s="74"/>
      <c r="K136" s="95"/>
      <c r="L136" s="15"/>
      <c r="M136" s="72"/>
      <c r="N136" s="14"/>
      <c r="O136" s="5"/>
      <c r="P136" s="85"/>
      <c r="Q136" s="6"/>
      <c r="R136" s="6"/>
    </row>
    <row r="137" spans="2:18" x14ac:dyDescent="0.2">
      <c r="B137" s="6"/>
      <c r="C137" s="6"/>
      <c r="D137" s="70"/>
      <c r="E137" s="70"/>
      <c r="F137" s="71"/>
      <c r="G137" s="81"/>
      <c r="H137" s="7"/>
      <c r="I137" s="7"/>
      <c r="J137" s="74"/>
      <c r="K137" s="95"/>
      <c r="L137" s="15"/>
      <c r="M137" s="72"/>
      <c r="N137" s="14"/>
      <c r="O137" s="5"/>
      <c r="P137" s="85"/>
      <c r="Q137" s="6"/>
      <c r="R137" s="6"/>
    </row>
    <row r="138" spans="2:18" x14ac:dyDescent="0.2">
      <c r="B138" s="6"/>
      <c r="C138" s="6"/>
      <c r="D138" s="70"/>
      <c r="E138" s="70"/>
      <c r="F138" s="71"/>
      <c r="G138" s="81"/>
      <c r="H138" s="7"/>
      <c r="I138" s="7"/>
      <c r="J138" s="74"/>
      <c r="K138" s="95"/>
      <c r="L138" s="15"/>
      <c r="M138" s="72"/>
      <c r="N138" s="14"/>
      <c r="O138" s="5"/>
      <c r="P138" s="85"/>
      <c r="Q138" s="6"/>
      <c r="R138" s="6"/>
    </row>
    <row r="139" spans="2:18" x14ac:dyDescent="0.2">
      <c r="B139" s="6"/>
      <c r="C139" s="6"/>
      <c r="D139" s="70"/>
      <c r="E139" s="70"/>
      <c r="F139" s="71"/>
      <c r="G139" s="81"/>
      <c r="H139" s="7"/>
      <c r="I139" s="7"/>
      <c r="J139" s="74"/>
      <c r="K139" s="95"/>
      <c r="L139" s="15"/>
      <c r="M139" s="72"/>
      <c r="N139" s="14"/>
      <c r="O139" s="5"/>
      <c r="P139" s="85"/>
      <c r="Q139" s="6"/>
      <c r="R139" s="6"/>
    </row>
    <row r="140" spans="2:18" x14ac:dyDescent="0.2">
      <c r="B140" s="6"/>
      <c r="C140" s="6"/>
      <c r="D140" s="70"/>
      <c r="E140" s="70"/>
      <c r="F140" s="71"/>
      <c r="G140" s="81"/>
      <c r="H140" s="7"/>
      <c r="I140" s="7"/>
      <c r="J140" s="74"/>
      <c r="K140" s="95"/>
      <c r="L140" s="15"/>
      <c r="M140" s="72"/>
      <c r="N140" s="14"/>
      <c r="O140" s="5"/>
      <c r="P140" s="85"/>
      <c r="Q140" s="6"/>
      <c r="R140" s="6"/>
    </row>
    <row r="141" spans="2:18" x14ac:dyDescent="0.2">
      <c r="B141" s="6"/>
      <c r="C141" s="6"/>
      <c r="D141" s="70"/>
      <c r="E141" s="70"/>
      <c r="F141" s="71"/>
      <c r="G141" s="81"/>
      <c r="H141" s="7"/>
      <c r="I141" s="7"/>
      <c r="J141" s="74"/>
      <c r="K141" s="95"/>
      <c r="L141" s="15"/>
      <c r="M141" s="72"/>
      <c r="N141" s="14"/>
      <c r="O141" s="5"/>
      <c r="P141" s="85"/>
      <c r="Q141" s="6"/>
      <c r="R141" s="6"/>
    </row>
    <row r="142" spans="2:18" x14ac:dyDescent="0.2">
      <c r="B142" s="6"/>
      <c r="C142" s="6"/>
      <c r="D142" s="70"/>
      <c r="E142" s="70"/>
      <c r="F142" s="71"/>
      <c r="G142" s="81"/>
      <c r="H142" s="7"/>
      <c r="I142" s="7"/>
      <c r="J142" s="74"/>
      <c r="K142" s="95"/>
      <c r="L142" s="15"/>
      <c r="M142" s="72"/>
      <c r="N142" s="14"/>
      <c r="O142" s="5"/>
      <c r="P142" s="85"/>
      <c r="Q142" s="6"/>
      <c r="R142" s="6"/>
    </row>
    <row r="143" spans="2:18" x14ac:dyDescent="0.2">
      <c r="B143" s="6"/>
      <c r="C143" s="6"/>
      <c r="D143" s="70"/>
      <c r="E143" s="70"/>
      <c r="F143" s="71"/>
      <c r="G143" s="81"/>
      <c r="H143" s="7"/>
      <c r="I143" s="7"/>
      <c r="J143" s="74"/>
      <c r="K143" s="95"/>
      <c r="L143" s="15"/>
      <c r="M143" s="72"/>
      <c r="N143" s="14"/>
      <c r="O143" s="5"/>
      <c r="P143" s="85"/>
      <c r="Q143" s="6"/>
      <c r="R143" s="6"/>
    </row>
    <row r="144" spans="2:18" s="9" customFormat="1" x14ac:dyDescent="0.2">
      <c r="B144" s="10"/>
      <c r="C144" s="11"/>
      <c r="D144" s="63"/>
      <c r="E144" s="150"/>
      <c r="F144" s="65"/>
      <c r="G144" s="12"/>
      <c r="H144" s="41"/>
      <c r="I144" s="30"/>
      <c r="J144" s="30"/>
      <c r="K144" s="97"/>
      <c r="L144" s="11"/>
      <c r="M144" s="11"/>
      <c r="N144" s="11"/>
      <c r="O144" s="11"/>
      <c r="P144" s="82"/>
    </row>
    <row r="145" spans="2:16" s="9" customFormat="1" x14ac:dyDescent="0.2">
      <c r="B145" s="10"/>
      <c r="C145" s="11"/>
      <c r="D145" s="63"/>
      <c r="E145" s="150"/>
      <c r="F145" s="65"/>
      <c r="G145" s="12"/>
      <c r="H145" s="41"/>
      <c r="I145" s="30"/>
      <c r="J145" s="30"/>
      <c r="K145" s="97"/>
      <c r="L145" s="11"/>
      <c r="M145" s="11"/>
      <c r="N145" s="11"/>
      <c r="O145" s="11"/>
      <c r="P145" s="82"/>
    </row>
    <row r="146" spans="2:16" s="9" customFormat="1" x14ac:dyDescent="0.2">
      <c r="B146" s="10"/>
      <c r="C146" s="11"/>
      <c r="D146" s="63"/>
      <c r="E146" s="150"/>
      <c r="F146" s="65"/>
      <c r="G146" s="12"/>
      <c r="H146" s="41"/>
      <c r="I146" s="30"/>
      <c r="J146" s="30"/>
      <c r="K146" s="97"/>
      <c r="L146" s="11"/>
      <c r="M146" s="11"/>
      <c r="N146" s="11"/>
      <c r="O146" s="11"/>
      <c r="P146" s="82"/>
    </row>
    <row r="147" spans="2:16" s="9" customFormat="1" x14ac:dyDescent="0.2">
      <c r="B147" s="10"/>
      <c r="C147" s="11"/>
      <c r="D147" s="63"/>
      <c r="E147" s="150"/>
      <c r="F147" s="65"/>
      <c r="G147" s="12"/>
      <c r="H147" s="41"/>
      <c r="I147" s="30"/>
      <c r="J147" s="30"/>
      <c r="K147" s="97"/>
      <c r="L147" s="11"/>
      <c r="M147" s="11"/>
      <c r="N147" s="11"/>
      <c r="O147" s="11"/>
      <c r="P147" s="82"/>
    </row>
    <row r="148" spans="2:16" s="9" customFormat="1" x14ac:dyDescent="0.2">
      <c r="B148" s="10"/>
      <c r="C148" s="11"/>
      <c r="D148" s="63"/>
      <c r="E148" s="150"/>
      <c r="F148" s="65"/>
      <c r="G148" s="12"/>
      <c r="H148" s="41"/>
      <c r="I148" s="30"/>
      <c r="J148" s="30"/>
      <c r="K148" s="97"/>
      <c r="L148" s="11"/>
      <c r="M148" s="11"/>
      <c r="N148" s="11"/>
      <c r="O148" s="11"/>
      <c r="P148" s="82"/>
    </row>
    <row r="149" spans="2:16" s="9" customFormat="1" x14ac:dyDescent="0.2">
      <c r="B149" s="10"/>
      <c r="C149" s="11"/>
      <c r="D149" s="63"/>
      <c r="E149" s="150"/>
      <c r="F149" s="65"/>
      <c r="G149" s="12"/>
      <c r="H149" s="41"/>
      <c r="I149" s="30"/>
      <c r="J149" s="30"/>
      <c r="K149" s="97"/>
      <c r="L149" s="11"/>
      <c r="M149" s="11"/>
      <c r="N149" s="11"/>
      <c r="O149" s="11"/>
      <c r="P149" s="82"/>
    </row>
    <row r="150" spans="2:16" s="9" customFormat="1" x14ac:dyDescent="0.2">
      <c r="B150" s="10"/>
      <c r="C150" s="11"/>
      <c r="D150" s="63"/>
      <c r="E150" s="150"/>
      <c r="F150" s="65"/>
      <c r="G150" s="12"/>
      <c r="H150" s="41"/>
      <c r="I150" s="30"/>
      <c r="J150" s="30"/>
      <c r="K150" s="97"/>
      <c r="L150" s="11"/>
      <c r="M150" s="11"/>
      <c r="N150" s="11"/>
      <c r="O150" s="11"/>
      <c r="P150" s="82"/>
    </row>
    <row r="151" spans="2:16" s="9" customFormat="1" x14ac:dyDescent="0.2">
      <c r="B151" s="10"/>
      <c r="C151" s="11"/>
      <c r="D151" s="63"/>
      <c r="E151" s="150"/>
      <c r="F151" s="65"/>
      <c r="G151" s="12"/>
      <c r="H151" s="41"/>
      <c r="I151" s="30"/>
      <c r="J151" s="30"/>
      <c r="K151" s="97"/>
      <c r="L151" s="11"/>
      <c r="M151" s="11"/>
      <c r="N151" s="11"/>
      <c r="O151" s="11"/>
      <c r="P151" s="82"/>
    </row>
    <row r="152" spans="2:16" s="9" customFormat="1" x14ac:dyDescent="0.2">
      <c r="B152" s="10"/>
      <c r="C152" s="11"/>
      <c r="D152" s="63"/>
      <c r="E152" s="150"/>
      <c r="F152" s="65"/>
      <c r="G152" s="12"/>
      <c r="H152" s="41"/>
      <c r="I152" s="30"/>
      <c r="J152" s="30"/>
      <c r="K152" s="97"/>
      <c r="L152" s="11"/>
      <c r="M152" s="11"/>
      <c r="N152" s="11"/>
      <c r="O152" s="11"/>
      <c r="P152" s="82"/>
    </row>
    <row r="153" spans="2:16" s="9" customFormat="1" x14ac:dyDescent="0.2">
      <c r="B153" s="10"/>
      <c r="C153" s="11"/>
      <c r="D153" s="63"/>
      <c r="E153" s="150"/>
      <c r="F153" s="65"/>
      <c r="G153" s="12"/>
      <c r="H153" s="41"/>
      <c r="I153" s="30"/>
      <c r="J153" s="30"/>
      <c r="K153" s="97"/>
      <c r="L153" s="11"/>
      <c r="M153" s="11"/>
      <c r="N153" s="11"/>
      <c r="O153" s="11"/>
      <c r="P153" s="82"/>
    </row>
    <row r="154" spans="2:16" s="9" customFormat="1" x14ac:dyDescent="0.2">
      <c r="B154" s="10"/>
      <c r="C154" s="11"/>
      <c r="D154" s="63"/>
      <c r="E154" s="150"/>
      <c r="F154" s="65"/>
      <c r="G154" s="12"/>
      <c r="H154" s="41"/>
      <c r="I154" s="30"/>
      <c r="J154" s="30"/>
      <c r="K154" s="97"/>
      <c r="L154" s="11"/>
      <c r="M154" s="11"/>
      <c r="N154" s="11"/>
      <c r="O154" s="11"/>
      <c r="P154" s="82"/>
    </row>
    <row r="155" spans="2:16" s="9" customFormat="1" x14ac:dyDescent="0.2">
      <c r="B155" s="10"/>
      <c r="C155" s="11"/>
      <c r="D155" s="63"/>
      <c r="E155" s="150"/>
      <c r="F155" s="65"/>
      <c r="G155" s="12"/>
      <c r="H155" s="41"/>
      <c r="I155" s="30"/>
      <c r="J155" s="30"/>
      <c r="K155" s="97"/>
      <c r="L155" s="11"/>
      <c r="M155" s="11"/>
      <c r="N155" s="11"/>
      <c r="O155" s="11"/>
      <c r="P155" s="82"/>
    </row>
    <row r="156" spans="2:16" s="9" customFormat="1" x14ac:dyDescent="0.2">
      <c r="B156" s="10"/>
      <c r="C156" s="11"/>
      <c r="D156" s="63"/>
      <c r="E156" s="150"/>
      <c r="F156" s="65"/>
      <c r="G156" s="12"/>
      <c r="H156" s="41"/>
      <c r="I156" s="30"/>
      <c r="J156" s="30"/>
      <c r="K156" s="97"/>
      <c r="L156" s="11"/>
      <c r="M156" s="11"/>
      <c r="N156" s="11"/>
      <c r="O156" s="11"/>
      <c r="P156" s="82"/>
    </row>
    <row r="157" spans="2:16" s="9" customFormat="1" x14ac:dyDescent="0.2">
      <c r="B157" s="10"/>
      <c r="C157" s="11"/>
      <c r="D157" s="63"/>
      <c r="E157" s="150"/>
      <c r="F157" s="65"/>
      <c r="G157" s="12"/>
      <c r="H157" s="41"/>
      <c r="I157" s="30"/>
      <c r="J157" s="30"/>
      <c r="K157" s="97"/>
      <c r="L157" s="11"/>
      <c r="M157" s="11"/>
      <c r="N157" s="11"/>
      <c r="O157" s="11"/>
      <c r="P157" s="82"/>
    </row>
    <row r="158" spans="2:16" s="9" customFormat="1" x14ac:dyDescent="0.2">
      <c r="B158" s="10"/>
      <c r="C158" s="11"/>
      <c r="D158" s="63"/>
      <c r="E158" s="150"/>
      <c r="F158" s="65"/>
      <c r="G158" s="12"/>
      <c r="H158" s="41"/>
      <c r="I158" s="30"/>
      <c r="J158" s="30"/>
      <c r="K158" s="97"/>
      <c r="L158" s="11"/>
      <c r="M158" s="11"/>
      <c r="N158" s="11"/>
      <c r="O158" s="11"/>
      <c r="P158" s="82"/>
    </row>
    <row r="159" spans="2:16" s="9" customFormat="1" x14ac:dyDescent="0.2">
      <c r="B159" s="10"/>
      <c r="C159" s="11"/>
      <c r="D159" s="63"/>
      <c r="E159" s="150"/>
      <c r="F159" s="65"/>
      <c r="G159" s="12"/>
      <c r="H159" s="41"/>
      <c r="I159" s="30"/>
      <c r="J159" s="30"/>
      <c r="K159" s="97"/>
      <c r="L159" s="11"/>
      <c r="M159" s="11"/>
      <c r="N159" s="11"/>
      <c r="O159" s="11"/>
      <c r="P159" s="82"/>
    </row>
    <row r="160" spans="2:16" s="9" customFormat="1" x14ac:dyDescent="0.2">
      <c r="B160" s="10"/>
      <c r="C160" s="11"/>
      <c r="D160" s="63"/>
      <c r="E160" s="150"/>
      <c r="F160" s="65"/>
      <c r="G160" s="12"/>
      <c r="H160" s="41"/>
      <c r="I160" s="30"/>
      <c r="J160" s="30"/>
      <c r="K160" s="97"/>
      <c r="L160" s="11"/>
      <c r="M160" s="11"/>
      <c r="N160" s="11"/>
      <c r="O160" s="11"/>
      <c r="P160" s="82"/>
    </row>
    <row r="161" spans="2:16" s="9" customFormat="1" x14ac:dyDescent="0.2">
      <c r="B161" s="10"/>
      <c r="C161" s="11"/>
      <c r="D161" s="63"/>
      <c r="E161" s="150"/>
      <c r="F161" s="65"/>
      <c r="G161" s="12"/>
      <c r="H161" s="41"/>
      <c r="I161" s="30"/>
      <c r="J161" s="30"/>
      <c r="K161" s="97"/>
      <c r="L161" s="11"/>
      <c r="M161" s="11"/>
      <c r="N161" s="11"/>
      <c r="O161" s="11"/>
      <c r="P161" s="82"/>
    </row>
    <row r="162" spans="2:16" s="9" customFormat="1" x14ac:dyDescent="0.2">
      <c r="B162" s="10"/>
      <c r="C162" s="11"/>
      <c r="D162" s="63"/>
      <c r="E162" s="150"/>
      <c r="F162" s="65"/>
      <c r="G162" s="12"/>
      <c r="H162" s="41"/>
      <c r="I162" s="30"/>
      <c r="J162" s="30"/>
      <c r="K162" s="97"/>
      <c r="L162" s="11"/>
      <c r="M162" s="11"/>
      <c r="N162" s="11"/>
      <c r="O162" s="11"/>
      <c r="P162" s="82"/>
    </row>
    <row r="163" spans="2:16" s="9" customFormat="1" x14ac:dyDescent="0.2">
      <c r="B163" s="10"/>
      <c r="C163" s="11"/>
      <c r="D163" s="63"/>
      <c r="E163" s="150"/>
      <c r="F163" s="65"/>
      <c r="G163" s="12"/>
      <c r="H163" s="41"/>
      <c r="I163" s="30"/>
      <c r="J163" s="30"/>
      <c r="K163" s="97"/>
      <c r="L163" s="11"/>
      <c r="M163" s="11"/>
      <c r="N163" s="11"/>
      <c r="O163" s="11"/>
      <c r="P163" s="82"/>
    </row>
    <row r="164" spans="2:16" s="9" customFormat="1" x14ac:dyDescent="0.2">
      <c r="B164" s="10"/>
      <c r="C164" s="11"/>
      <c r="D164" s="63"/>
      <c r="E164" s="150"/>
      <c r="F164" s="65"/>
      <c r="G164" s="12"/>
      <c r="H164" s="41"/>
      <c r="I164" s="30"/>
      <c r="J164" s="30"/>
      <c r="K164" s="97"/>
      <c r="L164" s="11"/>
      <c r="M164" s="11"/>
      <c r="N164" s="11"/>
      <c r="O164" s="11"/>
      <c r="P164" s="82"/>
    </row>
    <row r="165" spans="2:16" s="9" customFormat="1" x14ac:dyDescent="0.2">
      <c r="B165" s="10"/>
      <c r="C165" s="11"/>
      <c r="D165" s="63"/>
      <c r="E165" s="150"/>
      <c r="F165" s="65"/>
      <c r="G165" s="12"/>
      <c r="H165" s="41"/>
      <c r="I165" s="30"/>
      <c r="J165" s="30"/>
      <c r="K165" s="97"/>
      <c r="L165" s="11"/>
      <c r="M165" s="11"/>
      <c r="N165" s="11"/>
      <c r="O165" s="11"/>
      <c r="P165" s="82"/>
    </row>
    <row r="166" spans="2:16" s="9" customFormat="1" x14ac:dyDescent="0.2">
      <c r="B166" s="10"/>
      <c r="C166" s="11"/>
      <c r="D166" s="63"/>
      <c r="E166" s="150"/>
      <c r="F166" s="65"/>
      <c r="G166" s="12"/>
      <c r="H166" s="41"/>
      <c r="I166" s="30"/>
      <c r="J166" s="30"/>
      <c r="K166" s="97"/>
      <c r="L166" s="11"/>
      <c r="M166" s="11"/>
      <c r="N166" s="11"/>
      <c r="O166" s="11"/>
      <c r="P166" s="82"/>
    </row>
    <row r="167" spans="2:16" s="9" customFormat="1" x14ac:dyDescent="0.2">
      <c r="B167" s="10"/>
      <c r="C167" s="11"/>
      <c r="D167" s="63"/>
      <c r="E167" s="150"/>
      <c r="F167" s="65"/>
      <c r="G167" s="12"/>
      <c r="H167" s="41"/>
      <c r="I167" s="30"/>
      <c r="J167" s="30"/>
      <c r="K167" s="97"/>
      <c r="L167" s="11"/>
      <c r="M167" s="11"/>
      <c r="N167" s="11"/>
      <c r="O167" s="11"/>
      <c r="P167" s="82"/>
    </row>
    <row r="168" spans="2:16" s="9" customFormat="1" x14ac:dyDescent="0.2">
      <c r="B168" s="10"/>
      <c r="C168" s="11"/>
      <c r="D168" s="63"/>
      <c r="E168" s="150"/>
      <c r="F168" s="65"/>
      <c r="G168" s="12"/>
      <c r="H168" s="41"/>
      <c r="I168" s="30"/>
      <c r="J168" s="30"/>
      <c r="K168" s="97"/>
      <c r="L168" s="11"/>
      <c r="M168" s="11"/>
      <c r="N168" s="11"/>
      <c r="O168" s="11"/>
      <c r="P168" s="82"/>
    </row>
    <row r="169" spans="2:16" s="9" customFormat="1" x14ac:dyDescent="0.2">
      <c r="B169" s="10"/>
      <c r="C169" s="11"/>
      <c r="D169" s="63"/>
      <c r="E169" s="150"/>
      <c r="F169" s="65"/>
      <c r="G169" s="12"/>
      <c r="H169" s="41"/>
      <c r="I169" s="30"/>
      <c r="J169" s="30"/>
      <c r="K169" s="97"/>
      <c r="L169" s="11"/>
      <c r="M169" s="11"/>
      <c r="N169" s="11"/>
      <c r="O169" s="11"/>
      <c r="P169" s="82"/>
    </row>
    <row r="170" spans="2:16" s="9" customFormat="1" x14ac:dyDescent="0.2">
      <c r="B170" s="10"/>
      <c r="C170" s="11"/>
      <c r="D170" s="63"/>
      <c r="E170" s="150"/>
      <c r="F170" s="65"/>
      <c r="G170" s="12"/>
      <c r="H170" s="41"/>
      <c r="I170" s="30"/>
      <c r="J170" s="30"/>
      <c r="K170" s="97"/>
      <c r="L170" s="11"/>
      <c r="M170" s="11"/>
      <c r="N170" s="11"/>
      <c r="O170" s="11"/>
      <c r="P170" s="82"/>
    </row>
    <row r="171" spans="2:16" s="9" customFormat="1" x14ac:dyDescent="0.2">
      <c r="B171" s="10"/>
      <c r="C171" s="11"/>
      <c r="D171" s="63"/>
      <c r="E171" s="150"/>
      <c r="F171" s="65"/>
      <c r="G171" s="12"/>
      <c r="H171" s="41"/>
      <c r="I171" s="30"/>
      <c r="J171" s="30"/>
      <c r="K171" s="97"/>
      <c r="L171" s="11"/>
      <c r="M171" s="11"/>
      <c r="N171" s="11"/>
      <c r="O171" s="11"/>
      <c r="P171" s="82"/>
    </row>
    <row r="172" spans="2:16" s="9" customFormat="1" x14ac:dyDescent="0.2">
      <c r="B172" s="10"/>
      <c r="C172" s="11"/>
      <c r="D172" s="63"/>
      <c r="E172" s="150"/>
      <c r="F172" s="65"/>
      <c r="G172" s="12"/>
      <c r="H172" s="41"/>
      <c r="I172" s="30"/>
      <c r="J172" s="30"/>
      <c r="K172" s="97"/>
      <c r="L172" s="11"/>
      <c r="M172" s="11"/>
      <c r="N172" s="11"/>
      <c r="O172" s="11"/>
      <c r="P172" s="82"/>
    </row>
    <row r="173" spans="2:16" s="9" customFormat="1" x14ac:dyDescent="0.2">
      <c r="B173" s="10"/>
      <c r="C173" s="11"/>
      <c r="D173" s="63"/>
      <c r="E173" s="150"/>
      <c r="F173" s="65"/>
      <c r="G173" s="12"/>
      <c r="H173" s="41"/>
      <c r="I173" s="30"/>
      <c r="J173" s="30"/>
      <c r="K173" s="97"/>
      <c r="L173" s="11"/>
      <c r="M173" s="11"/>
      <c r="N173" s="11"/>
      <c r="O173" s="11"/>
      <c r="P173" s="82"/>
    </row>
    <row r="174" spans="2:16" s="9" customFormat="1" x14ac:dyDescent="0.2">
      <c r="B174" s="10"/>
      <c r="C174" s="11"/>
      <c r="D174" s="63"/>
      <c r="E174" s="150"/>
      <c r="F174" s="65"/>
      <c r="G174" s="12"/>
      <c r="H174" s="41"/>
      <c r="I174" s="30"/>
      <c r="J174" s="30"/>
      <c r="K174" s="97"/>
      <c r="L174" s="11"/>
      <c r="M174" s="11"/>
      <c r="N174" s="11"/>
      <c r="O174" s="11"/>
      <c r="P174" s="82"/>
    </row>
    <row r="175" spans="2:16" s="9" customFormat="1" x14ac:dyDescent="0.2">
      <c r="B175" s="10"/>
      <c r="C175" s="11"/>
      <c r="D175" s="63"/>
      <c r="E175" s="150"/>
      <c r="F175" s="65"/>
      <c r="G175" s="12"/>
      <c r="H175" s="41"/>
      <c r="I175" s="30"/>
      <c r="J175" s="30"/>
      <c r="K175" s="97"/>
      <c r="L175" s="11"/>
      <c r="M175" s="11"/>
      <c r="N175" s="11"/>
      <c r="O175" s="11"/>
      <c r="P175" s="82"/>
    </row>
    <row r="176" spans="2:16" s="9" customFormat="1" x14ac:dyDescent="0.2">
      <c r="B176" s="10"/>
      <c r="C176" s="11"/>
      <c r="D176" s="63"/>
      <c r="E176" s="150"/>
      <c r="F176" s="65"/>
      <c r="G176" s="12"/>
      <c r="H176" s="41"/>
      <c r="I176" s="30"/>
      <c r="J176" s="30"/>
      <c r="K176" s="97"/>
      <c r="L176" s="11"/>
      <c r="M176" s="11"/>
      <c r="N176" s="11"/>
      <c r="O176" s="11"/>
      <c r="P176" s="82"/>
    </row>
    <row r="177" spans="2:16" s="9" customFormat="1" x14ac:dyDescent="0.2">
      <c r="B177" s="10"/>
      <c r="C177" s="11"/>
      <c r="D177" s="63"/>
      <c r="E177" s="150"/>
      <c r="F177" s="65"/>
      <c r="G177" s="12"/>
      <c r="H177" s="41"/>
      <c r="I177" s="30"/>
      <c r="J177" s="30"/>
      <c r="K177" s="97"/>
      <c r="L177" s="11"/>
      <c r="M177" s="11"/>
      <c r="N177" s="11"/>
      <c r="O177" s="11"/>
      <c r="P177" s="82"/>
    </row>
    <row r="178" spans="2:16" s="9" customFormat="1" x14ac:dyDescent="0.2">
      <c r="B178" s="10"/>
      <c r="C178" s="11"/>
      <c r="D178" s="63"/>
      <c r="E178" s="150"/>
      <c r="F178" s="65"/>
      <c r="G178" s="12"/>
      <c r="H178" s="41"/>
      <c r="I178" s="30"/>
      <c r="J178" s="30"/>
      <c r="K178" s="97"/>
      <c r="L178" s="11"/>
      <c r="M178" s="11"/>
      <c r="N178" s="11"/>
      <c r="O178" s="11"/>
      <c r="P178" s="82"/>
    </row>
    <row r="179" spans="2:16" s="9" customFormat="1" x14ac:dyDescent="0.2">
      <c r="B179" s="10"/>
      <c r="C179" s="11"/>
      <c r="D179" s="63"/>
      <c r="E179" s="150"/>
      <c r="F179" s="65"/>
      <c r="G179" s="12"/>
      <c r="H179" s="41"/>
      <c r="I179" s="30"/>
      <c r="J179" s="30"/>
      <c r="K179" s="97"/>
      <c r="L179" s="11"/>
      <c r="M179" s="11"/>
      <c r="N179" s="11"/>
      <c r="O179" s="11"/>
      <c r="P179" s="82"/>
    </row>
    <row r="180" spans="2:16" s="9" customFormat="1" x14ac:dyDescent="0.2">
      <c r="B180" s="10"/>
      <c r="C180" s="11"/>
      <c r="D180" s="63"/>
      <c r="E180" s="150"/>
      <c r="F180" s="65"/>
      <c r="G180" s="12"/>
      <c r="H180" s="41"/>
      <c r="I180" s="30"/>
      <c r="J180" s="30"/>
      <c r="K180" s="97"/>
      <c r="L180" s="11"/>
      <c r="M180" s="11"/>
      <c r="N180" s="11"/>
      <c r="O180" s="11"/>
      <c r="P180" s="82"/>
    </row>
    <row r="181" spans="2:16" s="9" customFormat="1" x14ac:dyDescent="0.2">
      <c r="B181" s="10"/>
      <c r="C181" s="11"/>
      <c r="D181" s="63"/>
      <c r="E181" s="150"/>
      <c r="F181" s="65"/>
      <c r="G181" s="12"/>
      <c r="H181" s="41"/>
      <c r="I181" s="30"/>
      <c r="J181" s="30"/>
      <c r="K181" s="97"/>
      <c r="L181" s="11"/>
      <c r="M181" s="11"/>
      <c r="N181" s="11"/>
      <c r="O181" s="11"/>
      <c r="P181" s="82"/>
    </row>
    <row r="182" spans="2:16" s="9" customFormat="1" x14ac:dyDescent="0.2">
      <c r="B182" s="10"/>
      <c r="C182" s="11"/>
      <c r="D182" s="63"/>
      <c r="E182" s="150"/>
      <c r="F182" s="65"/>
      <c r="G182" s="12"/>
      <c r="H182" s="41"/>
      <c r="I182" s="30"/>
      <c r="J182" s="30"/>
      <c r="K182" s="97"/>
      <c r="L182" s="11"/>
      <c r="M182" s="11"/>
      <c r="N182" s="11"/>
      <c r="O182" s="11"/>
      <c r="P182" s="82"/>
    </row>
    <row r="183" spans="2:16" s="9" customFormat="1" x14ac:dyDescent="0.2">
      <c r="B183" s="10"/>
      <c r="C183" s="11"/>
      <c r="D183" s="63"/>
      <c r="E183" s="150"/>
      <c r="F183" s="65"/>
      <c r="G183" s="12"/>
      <c r="H183" s="41"/>
      <c r="I183" s="30"/>
      <c r="J183" s="30"/>
      <c r="K183" s="97"/>
      <c r="L183" s="11"/>
      <c r="M183" s="11"/>
      <c r="N183" s="11"/>
      <c r="O183" s="11"/>
      <c r="P183" s="82"/>
    </row>
    <row r="184" spans="2:16" s="9" customFormat="1" x14ac:dyDescent="0.2">
      <c r="B184" s="10"/>
      <c r="C184" s="11"/>
      <c r="D184" s="63"/>
      <c r="E184" s="150"/>
      <c r="F184" s="65"/>
      <c r="G184" s="12"/>
      <c r="H184" s="41"/>
      <c r="I184" s="30"/>
      <c r="J184" s="30"/>
      <c r="K184" s="97"/>
      <c r="L184" s="11"/>
      <c r="M184" s="11"/>
      <c r="N184" s="11"/>
      <c r="O184" s="11"/>
      <c r="P184" s="82"/>
    </row>
    <row r="185" spans="2:16" s="9" customFormat="1" x14ac:dyDescent="0.2">
      <c r="B185" s="10"/>
      <c r="C185" s="11"/>
      <c r="D185" s="63"/>
      <c r="E185" s="150"/>
      <c r="F185" s="65"/>
      <c r="G185" s="12"/>
      <c r="H185" s="41"/>
      <c r="I185" s="30"/>
      <c r="J185" s="30"/>
      <c r="K185" s="97"/>
      <c r="L185" s="11"/>
      <c r="M185" s="11"/>
      <c r="N185" s="11"/>
      <c r="O185" s="11"/>
      <c r="P185" s="82"/>
    </row>
    <row r="186" spans="2:16" s="9" customFormat="1" x14ac:dyDescent="0.2">
      <c r="B186" s="10"/>
      <c r="C186" s="11"/>
      <c r="D186" s="63"/>
      <c r="E186" s="150"/>
      <c r="F186" s="65"/>
      <c r="G186" s="12"/>
      <c r="H186" s="41"/>
      <c r="I186" s="30"/>
      <c r="J186" s="30"/>
      <c r="K186" s="97"/>
      <c r="L186" s="11"/>
      <c r="M186" s="11"/>
      <c r="N186" s="11"/>
      <c r="O186" s="11"/>
      <c r="P186" s="82"/>
    </row>
    <row r="187" spans="2:16" s="9" customFormat="1" x14ac:dyDescent="0.2">
      <c r="B187" s="10"/>
      <c r="C187" s="11"/>
      <c r="D187" s="63"/>
      <c r="E187" s="150"/>
      <c r="F187" s="65"/>
      <c r="G187" s="12"/>
      <c r="H187" s="41"/>
      <c r="I187" s="30"/>
      <c r="J187" s="30"/>
      <c r="K187" s="97"/>
      <c r="L187" s="11"/>
      <c r="M187" s="11"/>
      <c r="N187" s="11"/>
      <c r="O187" s="11"/>
      <c r="P187" s="82"/>
    </row>
    <row r="188" spans="2:16" s="9" customFormat="1" x14ac:dyDescent="0.2">
      <c r="B188" s="10"/>
      <c r="C188" s="11"/>
      <c r="D188" s="63"/>
      <c r="E188" s="150"/>
      <c r="F188" s="65"/>
      <c r="G188" s="12"/>
      <c r="H188" s="41"/>
      <c r="I188" s="30"/>
      <c r="J188" s="30"/>
      <c r="K188" s="97"/>
      <c r="L188" s="11"/>
      <c r="M188" s="11"/>
      <c r="N188" s="11"/>
      <c r="O188" s="11"/>
      <c r="P188" s="82"/>
    </row>
    <row r="189" spans="2:16" s="9" customFormat="1" x14ac:dyDescent="0.2">
      <c r="B189" s="10"/>
      <c r="C189" s="11"/>
      <c r="D189" s="63"/>
      <c r="E189" s="150"/>
      <c r="F189" s="65"/>
      <c r="G189" s="12"/>
      <c r="H189" s="41"/>
      <c r="I189" s="30"/>
      <c r="J189" s="30"/>
      <c r="K189" s="97"/>
      <c r="L189" s="11"/>
      <c r="M189" s="11"/>
      <c r="N189" s="11"/>
      <c r="O189" s="11"/>
      <c r="P189" s="82"/>
    </row>
    <row r="190" spans="2:16" s="9" customFormat="1" x14ac:dyDescent="0.2">
      <c r="B190" s="10"/>
      <c r="C190" s="11"/>
      <c r="D190" s="63"/>
      <c r="E190" s="150"/>
      <c r="F190" s="65"/>
      <c r="G190" s="12"/>
      <c r="H190" s="41"/>
      <c r="I190" s="30"/>
      <c r="J190" s="30"/>
      <c r="K190" s="97"/>
      <c r="L190" s="11"/>
      <c r="M190" s="11"/>
      <c r="N190" s="11"/>
      <c r="O190" s="11"/>
      <c r="P190" s="82"/>
    </row>
    <row r="191" spans="2:16" s="9" customFormat="1" x14ac:dyDescent="0.2">
      <c r="B191" s="10"/>
      <c r="C191" s="11"/>
      <c r="D191" s="63"/>
      <c r="E191" s="150"/>
      <c r="F191" s="65"/>
      <c r="G191" s="12"/>
      <c r="H191" s="41"/>
      <c r="I191" s="30"/>
      <c r="J191" s="30"/>
      <c r="K191" s="97"/>
      <c r="L191" s="11"/>
      <c r="M191" s="11"/>
      <c r="N191" s="11"/>
      <c r="O191" s="11"/>
      <c r="P191" s="82"/>
    </row>
    <row r="192" spans="2:16" s="9" customFormat="1" x14ac:dyDescent="0.2">
      <c r="B192" s="10"/>
      <c r="C192" s="11"/>
      <c r="D192" s="63"/>
      <c r="E192" s="150"/>
      <c r="F192" s="65"/>
      <c r="G192" s="12"/>
      <c r="H192" s="41"/>
      <c r="I192" s="30"/>
      <c r="J192" s="30"/>
      <c r="K192" s="97"/>
      <c r="L192" s="11"/>
      <c r="M192" s="11"/>
      <c r="N192" s="11"/>
      <c r="O192" s="11"/>
      <c r="P192" s="82"/>
    </row>
    <row r="193" spans="2:16" s="9" customFormat="1" x14ac:dyDescent="0.2">
      <c r="B193" s="10"/>
      <c r="C193" s="11"/>
      <c r="D193" s="63"/>
      <c r="E193" s="150"/>
      <c r="F193" s="65"/>
      <c r="G193" s="12"/>
      <c r="H193" s="41"/>
      <c r="I193" s="30"/>
      <c r="J193" s="30"/>
      <c r="K193" s="97"/>
      <c r="L193" s="11"/>
      <c r="M193" s="11"/>
      <c r="N193" s="11"/>
      <c r="O193" s="11"/>
      <c r="P193" s="82"/>
    </row>
    <row r="194" spans="2:16" s="9" customFormat="1" x14ac:dyDescent="0.2">
      <c r="B194" s="10"/>
      <c r="C194" s="11"/>
      <c r="D194" s="63"/>
      <c r="E194" s="150"/>
      <c r="F194" s="65"/>
      <c r="G194" s="12"/>
      <c r="H194" s="41"/>
      <c r="I194" s="30"/>
      <c r="J194" s="30"/>
      <c r="K194" s="97"/>
      <c r="L194" s="11"/>
      <c r="M194" s="11"/>
      <c r="N194" s="11"/>
      <c r="O194" s="11"/>
      <c r="P194" s="82"/>
    </row>
    <row r="195" spans="2:16" s="9" customFormat="1" x14ac:dyDescent="0.2">
      <c r="B195" s="10"/>
      <c r="C195" s="11"/>
      <c r="D195" s="63"/>
      <c r="E195" s="150"/>
      <c r="F195" s="65"/>
      <c r="G195" s="12"/>
      <c r="H195" s="41"/>
      <c r="I195" s="30"/>
      <c r="J195" s="30"/>
      <c r="K195" s="97"/>
      <c r="L195" s="11"/>
      <c r="M195" s="11"/>
      <c r="N195" s="11"/>
      <c r="O195" s="11"/>
      <c r="P195" s="82"/>
    </row>
    <row r="196" spans="2:16" s="9" customFormat="1" x14ac:dyDescent="0.2">
      <c r="B196" s="10"/>
      <c r="C196" s="11"/>
      <c r="D196" s="63"/>
      <c r="E196" s="150"/>
      <c r="F196" s="65"/>
      <c r="G196" s="12"/>
      <c r="H196" s="41"/>
      <c r="I196" s="30"/>
      <c r="J196" s="30"/>
      <c r="K196" s="97"/>
      <c r="L196" s="11"/>
      <c r="M196" s="11"/>
      <c r="N196" s="11"/>
      <c r="O196" s="11"/>
      <c r="P196" s="82"/>
    </row>
    <row r="197" spans="2:16" s="9" customFormat="1" x14ac:dyDescent="0.2">
      <c r="B197" s="10"/>
      <c r="C197" s="11"/>
      <c r="D197" s="63"/>
      <c r="E197" s="150"/>
      <c r="F197" s="65"/>
      <c r="G197" s="12"/>
      <c r="H197" s="41"/>
      <c r="I197" s="30"/>
      <c r="J197" s="30"/>
      <c r="K197" s="97"/>
      <c r="L197" s="11"/>
      <c r="M197" s="11"/>
      <c r="N197" s="11"/>
      <c r="O197" s="11"/>
      <c r="P197" s="82"/>
    </row>
    <row r="198" spans="2:16" s="9" customFormat="1" x14ac:dyDescent="0.2">
      <c r="B198" s="10"/>
      <c r="C198" s="11"/>
      <c r="D198" s="63"/>
      <c r="E198" s="150"/>
      <c r="F198" s="65"/>
      <c r="G198" s="12"/>
      <c r="H198" s="41"/>
      <c r="I198" s="30"/>
      <c r="J198" s="30"/>
      <c r="K198" s="97"/>
      <c r="L198" s="11"/>
      <c r="M198" s="11"/>
      <c r="N198" s="11"/>
      <c r="O198" s="11"/>
      <c r="P198" s="82"/>
    </row>
    <row r="199" spans="2:16" s="9" customFormat="1" x14ac:dyDescent="0.2">
      <c r="B199" s="10"/>
      <c r="C199" s="11"/>
      <c r="D199" s="63"/>
      <c r="E199" s="150"/>
      <c r="F199" s="65"/>
      <c r="G199" s="12"/>
      <c r="H199" s="41"/>
      <c r="I199" s="30"/>
      <c r="J199" s="30"/>
      <c r="K199" s="97"/>
      <c r="L199" s="11"/>
      <c r="M199" s="11"/>
      <c r="N199" s="11"/>
      <c r="O199" s="11"/>
      <c r="P199" s="82"/>
    </row>
    <row r="200" spans="2:16" s="9" customFormat="1" x14ac:dyDescent="0.2">
      <c r="B200" s="10"/>
      <c r="C200" s="11"/>
      <c r="D200" s="63"/>
      <c r="E200" s="150"/>
      <c r="F200" s="65"/>
      <c r="G200" s="12"/>
      <c r="H200" s="41"/>
      <c r="I200" s="30"/>
      <c r="J200" s="30"/>
      <c r="K200" s="97"/>
      <c r="L200" s="11"/>
      <c r="M200" s="11"/>
      <c r="N200" s="11"/>
      <c r="O200" s="11"/>
      <c r="P200" s="82"/>
    </row>
    <row r="201" spans="2:16" s="9" customFormat="1" x14ac:dyDescent="0.2">
      <c r="B201" s="10"/>
      <c r="C201" s="11"/>
      <c r="D201" s="63"/>
      <c r="E201" s="150"/>
      <c r="F201" s="65"/>
      <c r="G201" s="12"/>
      <c r="H201" s="41"/>
      <c r="I201" s="30"/>
      <c r="J201" s="30"/>
      <c r="K201" s="97"/>
      <c r="L201" s="11"/>
      <c r="M201" s="11"/>
      <c r="N201" s="11"/>
      <c r="O201" s="11"/>
      <c r="P201" s="82"/>
    </row>
    <row r="202" spans="2:16" s="9" customFormat="1" x14ac:dyDescent="0.2">
      <c r="B202" s="10"/>
      <c r="C202" s="11"/>
      <c r="D202" s="63"/>
      <c r="E202" s="150"/>
      <c r="F202" s="65"/>
      <c r="G202" s="12"/>
      <c r="H202" s="41"/>
      <c r="I202" s="30"/>
      <c r="J202" s="30"/>
      <c r="K202" s="97"/>
      <c r="L202" s="11"/>
      <c r="M202" s="11"/>
      <c r="N202" s="11"/>
      <c r="O202" s="11"/>
      <c r="P202" s="82"/>
    </row>
    <row r="203" spans="2:16" s="9" customFormat="1" x14ac:dyDescent="0.2">
      <c r="B203" s="10"/>
      <c r="C203" s="11"/>
      <c r="D203" s="63"/>
      <c r="E203" s="150"/>
      <c r="F203" s="65"/>
      <c r="G203" s="12"/>
      <c r="H203" s="41"/>
      <c r="I203" s="30"/>
      <c r="J203" s="30"/>
      <c r="K203" s="97"/>
      <c r="L203" s="11"/>
      <c r="M203" s="11"/>
      <c r="N203" s="11"/>
      <c r="O203" s="11"/>
      <c r="P203" s="82"/>
    </row>
    <row r="204" spans="2:16" s="9" customFormat="1" x14ac:dyDescent="0.2">
      <c r="B204" s="10"/>
      <c r="C204" s="11"/>
      <c r="D204" s="63"/>
      <c r="E204" s="150"/>
      <c r="F204" s="65"/>
      <c r="G204" s="12"/>
      <c r="H204" s="41"/>
      <c r="I204" s="30"/>
      <c r="J204" s="30"/>
      <c r="K204" s="97"/>
      <c r="L204" s="11"/>
      <c r="M204" s="11"/>
      <c r="N204" s="11"/>
      <c r="O204" s="11"/>
      <c r="P204" s="82"/>
    </row>
    <row r="205" spans="2:16" s="9" customFormat="1" x14ac:dyDescent="0.2">
      <c r="B205" s="10"/>
      <c r="C205" s="11"/>
      <c r="D205" s="63"/>
      <c r="E205" s="150"/>
      <c r="F205" s="65"/>
      <c r="G205" s="12"/>
      <c r="H205" s="41"/>
      <c r="I205" s="30"/>
      <c r="J205" s="30"/>
      <c r="K205" s="97"/>
      <c r="L205" s="11"/>
      <c r="M205" s="11"/>
      <c r="N205" s="11"/>
      <c r="O205" s="11"/>
      <c r="P205" s="82"/>
    </row>
    <row r="206" spans="2:16" s="9" customFormat="1" x14ac:dyDescent="0.2">
      <c r="B206" s="10"/>
      <c r="C206" s="11"/>
      <c r="D206" s="63"/>
      <c r="E206" s="150"/>
      <c r="F206" s="65"/>
      <c r="G206" s="12"/>
      <c r="H206" s="41"/>
      <c r="I206" s="30"/>
      <c r="J206" s="30"/>
      <c r="K206" s="97"/>
      <c r="L206" s="11"/>
      <c r="M206" s="11"/>
      <c r="N206" s="11"/>
      <c r="O206" s="11"/>
      <c r="P206" s="82"/>
    </row>
    <row r="207" spans="2:16" s="9" customFormat="1" x14ac:dyDescent="0.2">
      <c r="B207" s="10"/>
      <c r="C207" s="11"/>
      <c r="D207" s="63"/>
      <c r="E207" s="150"/>
      <c r="F207" s="65"/>
      <c r="G207" s="12"/>
      <c r="H207" s="41"/>
      <c r="I207" s="30"/>
      <c r="J207" s="30"/>
      <c r="K207" s="97"/>
      <c r="L207" s="11"/>
      <c r="M207" s="11"/>
      <c r="N207" s="11"/>
      <c r="O207" s="11"/>
      <c r="P207" s="82"/>
    </row>
    <row r="208" spans="2:16" s="9" customFormat="1" x14ac:dyDescent="0.2">
      <c r="B208" s="10"/>
      <c r="C208" s="11"/>
      <c r="D208" s="63"/>
      <c r="E208" s="150"/>
      <c r="F208" s="65"/>
      <c r="G208" s="12"/>
      <c r="H208" s="41"/>
      <c r="I208" s="30"/>
      <c r="J208" s="30"/>
      <c r="K208" s="97"/>
      <c r="L208" s="11"/>
      <c r="M208" s="11"/>
      <c r="N208" s="11"/>
      <c r="O208" s="11"/>
      <c r="P208" s="82"/>
    </row>
    <row r="209" spans="2:16" s="9" customFormat="1" x14ac:dyDescent="0.2">
      <c r="B209" s="10"/>
      <c r="C209" s="11"/>
      <c r="D209" s="63"/>
      <c r="E209" s="150"/>
      <c r="F209" s="65"/>
      <c r="G209" s="12"/>
      <c r="H209" s="41"/>
      <c r="I209" s="30"/>
      <c r="J209" s="30"/>
      <c r="K209" s="97"/>
      <c r="L209" s="11"/>
      <c r="M209" s="11"/>
      <c r="N209" s="11"/>
      <c r="O209" s="11"/>
      <c r="P209" s="82"/>
    </row>
    <row r="210" spans="2:16" s="9" customFormat="1" x14ac:dyDescent="0.2">
      <c r="B210" s="10"/>
      <c r="C210" s="11"/>
      <c r="D210" s="63"/>
      <c r="E210" s="150"/>
      <c r="F210" s="65"/>
      <c r="G210" s="12"/>
      <c r="H210" s="41"/>
      <c r="I210" s="30"/>
      <c r="J210" s="30"/>
      <c r="K210" s="97"/>
      <c r="L210" s="11"/>
      <c r="M210" s="11"/>
      <c r="N210" s="11"/>
      <c r="O210" s="11"/>
      <c r="P210" s="82"/>
    </row>
    <row r="211" spans="2:16" s="9" customFormat="1" x14ac:dyDescent="0.2">
      <c r="B211" s="10"/>
      <c r="C211" s="11"/>
      <c r="D211" s="63"/>
      <c r="E211" s="150"/>
      <c r="F211" s="65"/>
      <c r="G211" s="12"/>
      <c r="H211" s="41"/>
      <c r="I211" s="30"/>
      <c r="J211" s="30"/>
      <c r="K211" s="97"/>
      <c r="L211" s="11"/>
      <c r="M211" s="11"/>
      <c r="N211" s="11"/>
      <c r="O211" s="11"/>
      <c r="P211" s="82"/>
    </row>
    <row r="212" spans="2:16" s="9" customFormat="1" x14ac:dyDescent="0.2">
      <c r="B212" s="10"/>
      <c r="C212" s="11"/>
      <c r="D212" s="63"/>
      <c r="E212" s="150"/>
      <c r="F212" s="65"/>
      <c r="G212" s="12"/>
      <c r="H212" s="41"/>
      <c r="I212" s="30"/>
      <c r="J212" s="30"/>
      <c r="K212" s="97"/>
      <c r="L212" s="11"/>
      <c r="M212" s="11"/>
      <c r="N212" s="11"/>
      <c r="O212" s="11"/>
      <c r="P212" s="82"/>
    </row>
    <row r="213" spans="2:16" s="9" customFormat="1" x14ac:dyDescent="0.2">
      <c r="B213" s="10"/>
      <c r="C213" s="11"/>
      <c r="D213" s="63"/>
      <c r="E213" s="150"/>
      <c r="F213" s="65"/>
      <c r="G213" s="12"/>
      <c r="H213" s="41"/>
      <c r="I213" s="30"/>
      <c r="J213" s="30"/>
      <c r="K213" s="97"/>
      <c r="L213" s="11"/>
      <c r="M213" s="11"/>
      <c r="N213" s="11"/>
      <c r="O213" s="11"/>
      <c r="P213" s="82"/>
    </row>
    <row r="214" spans="2:16" s="9" customFormat="1" x14ac:dyDescent="0.2">
      <c r="B214" s="10"/>
      <c r="C214" s="11"/>
      <c r="D214" s="63"/>
      <c r="E214" s="150"/>
      <c r="F214" s="65"/>
      <c r="G214" s="12"/>
      <c r="H214" s="41"/>
      <c r="I214" s="30"/>
      <c r="J214" s="30"/>
      <c r="K214" s="97"/>
      <c r="L214" s="11"/>
      <c r="M214" s="11"/>
      <c r="N214" s="11"/>
      <c r="O214" s="11"/>
      <c r="P214" s="82"/>
    </row>
    <row r="215" spans="2:16" s="9" customFormat="1" x14ac:dyDescent="0.2">
      <c r="B215" s="10"/>
      <c r="C215" s="11"/>
      <c r="D215" s="63"/>
      <c r="E215" s="150"/>
      <c r="F215" s="65"/>
      <c r="G215" s="12"/>
      <c r="H215" s="41"/>
      <c r="I215" s="30"/>
      <c r="J215" s="30"/>
      <c r="K215" s="97"/>
      <c r="L215" s="11"/>
      <c r="M215" s="11"/>
      <c r="N215" s="11"/>
      <c r="O215" s="11"/>
      <c r="P215" s="82"/>
    </row>
    <row r="216" spans="2:16" s="9" customFormat="1" x14ac:dyDescent="0.2">
      <c r="B216" s="10"/>
      <c r="C216" s="11"/>
      <c r="D216" s="63"/>
      <c r="E216" s="150"/>
      <c r="F216" s="65"/>
      <c r="G216" s="12"/>
      <c r="H216" s="41"/>
      <c r="I216" s="30"/>
      <c r="J216" s="30"/>
      <c r="K216" s="97"/>
      <c r="L216" s="11"/>
      <c r="M216" s="11"/>
      <c r="N216" s="11"/>
      <c r="O216" s="11"/>
      <c r="P216" s="82"/>
    </row>
    <row r="217" spans="2:16" s="9" customFormat="1" x14ac:dyDescent="0.2">
      <c r="B217" s="10"/>
      <c r="C217" s="11"/>
      <c r="D217" s="63"/>
      <c r="E217" s="150"/>
      <c r="F217" s="65"/>
      <c r="G217" s="12"/>
      <c r="H217" s="41"/>
      <c r="I217" s="30"/>
      <c r="J217" s="30"/>
      <c r="K217" s="97"/>
      <c r="L217" s="11"/>
      <c r="M217" s="11"/>
      <c r="N217" s="11"/>
      <c r="O217" s="11"/>
      <c r="P217" s="82"/>
    </row>
    <row r="218" spans="2:16" s="9" customFormat="1" x14ac:dyDescent="0.2">
      <c r="B218" s="10"/>
      <c r="C218" s="11"/>
      <c r="D218" s="63"/>
      <c r="E218" s="150"/>
      <c r="F218" s="65"/>
      <c r="G218" s="12"/>
      <c r="H218" s="41"/>
      <c r="I218" s="30"/>
      <c r="J218" s="30"/>
      <c r="K218" s="97"/>
      <c r="L218" s="11"/>
      <c r="M218" s="11"/>
      <c r="N218" s="11"/>
      <c r="O218" s="11"/>
      <c r="P218" s="82"/>
    </row>
    <row r="219" spans="2:16" s="9" customFormat="1" x14ac:dyDescent="0.2">
      <c r="B219" s="10"/>
      <c r="C219" s="11"/>
      <c r="D219" s="63"/>
      <c r="E219" s="150"/>
      <c r="F219" s="65"/>
      <c r="G219" s="12"/>
      <c r="H219" s="41"/>
      <c r="I219" s="30"/>
      <c r="J219" s="30"/>
      <c r="K219" s="97"/>
      <c r="L219" s="11"/>
      <c r="M219" s="11"/>
      <c r="N219" s="11"/>
      <c r="O219" s="11"/>
      <c r="P219" s="82"/>
    </row>
    <row r="220" spans="2:16" s="9" customFormat="1" x14ac:dyDescent="0.2">
      <c r="B220" s="10"/>
      <c r="C220" s="11"/>
      <c r="D220" s="63"/>
      <c r="E220" s="150"/>
      <c r="F220" s="65"/>
      <c r="G220" s="12"/>
      <c r="H220" s="41"/>
      <c r="I220" s="30"/>
      <c r="J220" s="30"/>
      <c r="K220" s="97"/>
      <c r="L220" s="11"/>
      <c r="M220" s="11"/>
      <c r="N220" s="11"/>
      <c r="O220" s="11"/>
      <c r="P220" s="82"/>
    </row>
    <row r="221" spans="2:16" s="9" customFormat="1" x14ac:dyDescent="0.2">
      <c r="B221" s="10"/>
      <c r="C221" s="11"/>
      <c r="D221" s="63"/>
      <c r="E221" s="150"/>
      <c r="F221" s="65"/>
      <c r="G221" s="12"/>
      <c r="H221" s="41"/>
      <c r="I221" s="30"/>
      <c r="J221" s="30"/>
      <c r="K221" s="97"/>
      <c r="L221" s="11"/>
      <c r="M221" s="11"/>
      <c r="N221" s="11"/>
      <c r="O221" s="11"/>
      <c r="P221" s="82"/>
    </row>
    <row r="222" spans="2:16" s="9" customFormat="1" x14ac:dyDescent="0.2">
      <c r="B222" s="10"/>
      <c r="C222" s="11"/>
      <c r="D222" s="63"/>
      <c r="E222" s="150"/>
      <c r="F222" s="65"/>
      <c r="G222" s="12"/>
      <c r="H222" s="41"/>
      <c r="I222" s="30"/>
      <c r="J222" s="30"/>
      <c r="K222" s="97"/>
      <c r="L222" s="11"/>
      <c r="M222" s="11"/>
      <c r="N222" s="11"/>
      <c r="O222" s="11"/>
      <c r="P222" s="82"/>
    </row>
    <row r="223" spans="2:16" s="9" customFormat="1" x14ac:dyDescent="0.2">
      <c r="B223" s="10"/>
      <c r="C223" s="11"/>
      <c r="D223" s="63"/>
      <c r="E223" s="150"/>
      <c r="F223" s="65"/>
      <c r="G223" s="12"/>
      <c r="H223" s="41"/>
      <c r="I223" s="30"/>
      <c r="J223" s="30"/>
      <c r="K223" s="97"/>
      <c r="L223" s="11"/>
      <c r="M223" s="11"/>
      <c r="N223" s="11"/>
      <c r="O223" s="11"/>
      <c r="P223" s="82"/>
    </row>
    <row r="224" spans="2:16" s="9" customFormat="1" x14ac:dyDescent="0.2">
      <c r="B224" s="10"/>
      <c r="C224" s="11"/>
      <c r="D224" s="63"/>
      <c r="E224" s="150"/>
      <c r="F224" s="65"/>
      <c r="G224" s="12"/>
      <c r="H224" s="41"/>
      <c r="I224" s="30"/>
      <c r="J224" s="30"/>
      <c r="K224" s="97"/>
      <c r="L224" s="11"/>
      <c r="M224" s="11"/>
      <c r="N224" s="11"/>
      <c r="O224" s="11"/>
      <c r="P224" s="82"/>
    </row>
    <row r="225" spans="2:16" s="9" customFormat="1" x14ac:dyDescent="0.2">
      <c r="B225" s="10"/>
      <c r="C225" s="11"/>
      <c r="D225" s="63"/>
      <c r="E225" s="150"/>
      <c r="F225" s="65"/>
      <c r="G225" s="12"/>
      <c r="H225" s="41"/>
      <c r="I225" s="30"/>
      <c r="J225" s="30"/>
      <c r="K225" s="97"/>
      <c r="L225" s="11"/>
      <c r="M225" s="11"/>
      <c r="N225" s="11"/>
      <c r="O225" s="11"/>
      <c r="P225" s="82"/>
    </row>
    <row r="226" spans="2:16" s="9" customFormat="1" x14ac:dyDescent="0.2">
      <c r="B226" s="10"/>
      <c r="C226" s="11"/>
      <c r="D226" s="63"/>
      <c r="E226" s="150"/>
      <c r="F226" s="65"/>
      <c r="G226" s="12"/>
      <c r="H226" s="41"/>
      <c r="I226" s="30"/>
      <c r="J226" s="30"/>
      <c r="K226" s="97"/>
      <c r="L226" s="11"/>
      <c r="M226" s="11"/>
      <c r="N226" s="11"/>
      <c r="O226" s="11"/>
      <c r="P226" s="82"/>
    </row>
    <row r="227" spans="2:16" s="9" customFormat="1" x14ac:dyDescent="0.2">
      <c r="B227" s="10"/>
      <c r="C227" s="11"/>
      <c r="D227" s="63"/>
      <c r="E227" s="150"/>
      <c r="F227" s="65"/>
      <c r="G227" s="12"/>
      <c r="H227" s="41"/>
      <c r="I227" s="30"/>
      <c r="J227" s="30"/>
      <c r="K227" s="97"/>
      <c r="L227" s="11"/>
      <c r="M227" s="11"/>
      <c r="N227" s="11"/>
      <c r="O227" s="11"/>
      <c r="P227" s="82"/>
    </row>
    <row r="228" spans="2:16" s="9" customFormat="1" x14ac:dyDescent="0.2">
      <c r="B228" s="10"/>
      <c r="C228" s="11"/>
      <c r="D228" s="63"/>
      <c r="E228" s="150"/>
      <c r="F228" s="65"/>
      <c r="G228" s="12"/>
      <c r="H228" s="41"/>
      <c r="I228" s="30"/>
      <c r="J228" s="30"/>
      <c r="K228" s="97"/>
      <c r="L228" s="11"/>
      <c r="M228" s="11"/>
      <c r="N228" s="11"/>
      <c r="O228" s="11"/>
      <c r="P228" s="82"/>
    </row>
    <row r="229" spans="2:16" s="9" customFormat="1" x14ac:dyDescent="0.2">
      <c r="B229" s="10"/>
      <c r="C229" s="11"/>
      <c r="D229" s="63"/>
      <c r="E229" s="150"/>
      <c r="F229" s="65"/>
      <c r="G229" s="12"/>
      <c r="H229" s="41"/>
      <c r="I229" s="30"/>
      <c r="J229" s="30"/>
      <c r="K229" s="97"/>
      <c r="L229" s="11"/>
      <c r="M229" s="11"/>
      <c r="N229" s="11"/>
      <c r="O229" s="11"/>
      <c r="P229" s="82"/>
    </row>
    <row r="230" spans="2:16" s="9" customFormat="1" x14ac:dyDescent="0.2">
      <c r="B230" s="10"/>
      <c r="C230" s="11"/>
      <c r="D230" s="63"/>
      <c r="E230" s="150"/>
      <c r="F230" s="65"/>
      <c r="G230" s="12"/>
      <c r="H230" s="41"/>
      <c r="I230" s="30"/>
      <c r="J230" s="30"/>
      <c r="K230" s="97"/>
      <c r="L230" s="11"/>
      <c r="M230" s="11"/>
      <c r="N230" s="11"/>
      <c r="O230" s="11"/>
      <c r="P230" s="82"/>
    </row>
    <row r="231" spans="2:16" s="9" customFormat="1" x14ac:dyDescent="0.2">
      <c r="B231" s="10"/>
      <c r="C231" s="11"/>
      <c r="D231" s="63"/>
      <c r="E231" s="150"/>
      <c r="F231" s="65"/>
      <c r="G231" s="12"/>
      <c r="H231" s="41"/>
      <c r="I231" s="30"/>
      <c r="J231" s="30"/>
      <c r="K231" s="97"/>
      <c r="L231" s="11"/>
      <c r="M231" s="11"/>
      <c r="N231" s="11"/>
      <c r="O231" s="11"/>
      <c r="P231" s="82"/>
    </row>
    <row r="232" spans="2:16" s="9" customFormat="1" x14ac:dyDescent="0.2">
      <c r="B232" s="10"/>
      <c r="C232" s="11"/>
      <c r="D232" s="63"/>
      <c r="E232" s="150"/>
      <c r="F232" s="65"/>
      <c r="G232" s="12"/>
      <c r="H232" s="41"/>
      <c r="I232" s="30"/>
      <c r="J232" s="30"/>
      <c r="K232" s="97"/>
      <c r="L232" s="11"/>
      <c r="M232" s="11"/>
      <c r="N232" s="11"/>
      <c r="O232" s="11"/>
      <c r="P232" s="82"/>
    </row>
    <row r="233" spans="2:16" s="9" customFormat="1" x14ac:dyDescent="0.2">
      <c r="B233" s="10"/>
      <c r="C233" s="11"/>
      <c r="D233" s="63"/>
      <c r="E233" s="150"/>
      <c r="F233" s="65"/>
      <c r="G233" s="12"/>
      <c r="H233" s="41"/>
      <c r="I233" s="30"/>
      <c r="J233" s="30"/>
      <c r="K233" s="97"/>
      <c r="L233" s="11"/>
      <c r="M233" s="11"/>
      <c r="N233" s="11"/>
      <c r="O233" s="11"/>
      <c r="P233" s="82"/>
    </row>
    <row r="234" spans="2:16" s="9" customFormat="1" x14ac:dyDescent="0.2">
      <c r="B234" s="10"/>
      <c r="C234" s="11"/>
      <c r="D234" s="63"/>
      <c r="E234" s="150"/>
      <c r="F234" s="65"/>
      <c r="G234" s="12"/>
      <c r="H234" s="41"/>
      <c r="I234" s="30"/>
      <c r="J234" s="30"/>
      <c r="K234" s="97"/>
      <c r="L234" s="11"/>
      <c r="M234" s="11"/>
      <c r="N234" s="11"/>
      <c r="O234" s="11"/>
      <c r="P234" s="82"/>
    </row>
    <row r="235" spans="2:16" s="9" customFormat="1" x14ac:dyDescent="0.2">
      <c r="B235" s="10"/>
      <c r="C235" s="11"/>
      <c r="D235" s="63"/>
      <c r="E235" s="150"/>
      <c r="F235" s="65"/>
      <c r="G235" s="12"/>
      <c r="H235" s="41"/>
      <c r="I235" s="30"/>
      <c r="J235" s="30"/>
      <c r="K235" s="97"/>
      <c r="L235" s="11"/>
      <c r="M235" s="11"/>
      <c r="N235" s="11"/>
      <c r="O235" s="11"/>
      <c r="P235" s="82"/>
    </row>
    <row r="236" spans="2:16" s="9" customFormat="1" x14ac:dyDescent="0.2">
      <c r="B236" s="10"/>
      <c r="C236" s="11"/>
      <c r="D236" s="63"/>
      <c r="E236" s="150"/>
      <c r="F236" s="65"/>
      <c r="G236" s="12"/>
      <c r="H236" s="41"/>
      <c r="I236" s="30"/>
      <c r="J236" s="30"/>
      <c r="K236" s="97"/>
      <c r="L236" s="11"/>
      <c r="M236" s="11"/>
      <c r="N236" s="11"/>
      <c r="O236" s="11"/>
      <c r="P236" s="82"/>
    </row>
    <row r="237" spans="2:16" s="9" customFormat="1" x14ac:dyDescent="0.2">
      <c r="B237" s="10"/>
      <c r="C237" s="11"/>
      <c r="D237" s="63"/>
      <c r="E237" s="150"/>
      <c r="F237" s="65"/>
      <c r="G237" s="12"/>
      <c r="H237" s="41"/>
      <c r="I237" s="30"/>
      <c r="J237" s="30"/>
      <c r="K237" s="97"/>
      <c r="L237" s="11"/>
      <c r="M237" s="11"/>
      <c r="N237" s="11"/>
      <c r="O237" s="11"/>
      <c r="P237" s="82"/>
    </row>
    <row r="238" spans="2:16" s="9" customFormat="1" x14ac:dyDescent="0.2">
      <c r="B238" s="10"/>
      <c r="C238" s="11"/>
      <c r="D238" s="63"/>
      <c r="E238" s="150"/>
      <c r="F238" s="65"/>
      <c r="G238" s="12"/>
      <c r="H238" s="41"/>
      <c r="I238" s="30"/>
      <c r="J238" s="30"/>
      <c r="K238" s="97"/>
      <c r="L238" s="11"/>
      <c r="M238" s="11"/>
      <c r="N238" s="11"/>
      <c r="O238" s="11"/>
      <c r="P238" s="82"/>
    </row>
    <row r="239" spans="2:16" s="9" customFormat="1" x14ac:dyDescent="0.2">
      <c r="B239" s="10"/>
      <c r="C239" s="11"/>
      <c r="D239" s="63"/>
      <c r="E239" s="150"/>
      <c r="F239" s="65"/>
      <c r="G239" s="12"/>
      <c r="H239" s="41"/>
      <c r="I239" s="30"/>
      <c r="J239" s="30"/>
      <c r="K239" s="97"/>
      <c r="L239" s="11"/>
      <c r="M239" s="11"/>
      <c r="N239" s="11"/>
      <c r="O239" s="11"/>
      <c r="P239" s="82"/>
    </row>
    <row r="240" spans="2:16" s="9" customFormat="1" x14ac:dyDescent="0.2">
      <c r="B240" s="10"/>
      <c r="C240" s="11"/>
      <c r="D240" s="63"/>
      <c r="E240" s="150"/>
      <c r="F240" s="65"/>
      <c r="G240" s="12"/>
      <c r="H240" s="41"/>
      <c r="I240" s="30"/>
      <c r="J240" s="30"/>
      <c r="K240" s="97"/>
      <c r="L240" s="11"/>
      <c r="M240" s="11"/>
      <c r="N240" s="11"/>
      <c r="O240" s="11"/>
      <c r="P240" s="82"/>
    </row>
    <row r="241" spans="2:16" s="9" customFormat="1" x14ac:dyDescent="0.2">
      <c r="B241" s="10"/>
      <c r="C241" s="11"/>
      <c r="D241" s="63"/>
      <c r="E241" s="150"/>
      <c r="F241" s="65"/>
      <c r="G241" s="12"/>
      <c r="H241" s="41"/>
      <c r="I241" s="30"/>
      <c r="J241" s="30"/>
      <c r="K241" s="97"/>
      <c r="L241" s="11"/>
      <c r="M241" s="11"/>
      <c r="N241" s="11"/>
      <c r="O241" s="11"/>
      <c r="P241" s="82"/>
    </row>
    <row r="242" spans="2:16" s="9" customFormat="1" x14ac:dyDescent="0.2">
      <c r="B242" s="10"/>
      <c r="C242" s="11"/>
      <c r="D242" s="63"/>
      <c r="E242" s="150"/>
      <c r="F242" s="65"/>
      <c r="G242" s="12"/>
      <c r="H242" s="41"/>
      <c r="I242" s="30"/>
      <c r="J242" s="30"/>
      <c r="K242" s="97"/>
      <c r="L242" s="11"/>
      <c r="M242" s="11"/>
      <c r="N242" s="11"/>
      <c r="O242" s="11"/>
      <c r="P242" s="82"/>
    </row>
    <row r="243" spans="2:16" s="9" customFormat="1" x14ac:dyDescent="0.2">
      <c r="B243" s="10"/>
      <c r="C243" s="11"/>
      <c r="D243" s="63"/>
      <c r="E243" s="150"/>
      <c r="F243" s="65"/>
      <c r="G243" s="12"/>
      <c r="H243" s="41"/>
      <c r="I243" s="30"/>
      <c r="J243" s="30"/>
      <c r="K243" s="97"/>
      <c r="L243" s="11"/>
      <c r="M243" s="11"/>
      <c r="N243" s="11"/>
      <c r="O243" s="11"/>
      <c r="P243" s="82"/>
    </row>
    <row r="244" spans="2:16" s="9" customFormat="1" x14ac:dyDescent="0.2">
      <c r="B244" s="10"/>
      <c r="C244" s="11"/>
      <c r="D244" s="63"/>
      <c r="E244" s="150"/>
      <c r="F244" s="65"/>
      <c r="G244" s="12"/>
      <c r="H244" s="41"/>
      <c r="I244" s="30"/>
      <c r="J244" s="30"/>
      <c r="K244" s="97"/>
      <c r="L244" s="11"/>
      <c r="M244" s="11"/>
      <c r="N244" s="11"/>
      <c r="O244" s="11"/>
      <c r="P244" s="82"/>
    </row>
    <row r="245" spans="2:16" s="9" customFormat="1" x14ac:dyDescent="0.2">
      <c r="B245" s="10"/>
      <c r="C245" s="11"/>
      <c r="D245" s="63"/>
      <c r="E245" s="150"/>
      <c r="F245" s="65"/>
      <c r="G245" s="12"/>
      <c r="H245" s="41"/>
      <c r="I245" s="30"/>
      <c r="J245" s="30"/>
      <c r="K245" s="97"/>
      <c r="L245" s="11"/>
      <c r="M245" s="11"/>
      <c r="N245" s="11"/>
      <c r="O245" s="11"/>
      <c r="P245" s="82"/>
    </row>
    <row r="246" spans="2:16" s="9" customFormat="1" x14ac:dyDescent="0.2">
      <c r="B246" s="10"/>
      <c r="C246" s="11"/>
      <c r="D246" s="63"/>
      <c r="E246" s="150"/>
      <c r="F246" s="65"/>
      <c r="G246" s="12"/>
      <c r="H246" s="41"/>
      <c r="I246" s="30"/>
      <c r="J246" s="30"/>
      <c r="K246" s="97"/>
      <c r="L246" s="11"/>
      <c r="M246" s="11"/>
      <c r="N246" s="11"/>
      <c r="O246" s="11"/>
      <c r="P246" s="82"/>
    </row>
    <row r="247" spans="2:16" s="9" customFormat="1" x14ac:dyDescent="0.2">
      <c r="B247" s="10"/>
      <c r="C247" s="11"/>
      <c r="D247" s="63"/>
      <c r="E247" s="150"/>
      <c r="F247" s="65"/>
      <c r="G247" s="12"/>
      <c r="H247" s="41"/>
      <c r="I247" s="30"/>
      <c r="J247" s="30"/>
      <c r="K247" s="97"/>
      <c r="L247" s="11"/>
      <c r="M247" s="11"/>
      <c r="N247" s="11"/>
      <c r="O247" s="11"/>
      <c r="P247" s="82"/>
    </row>
    <row r="248" spans="2:16" s="9" customFormat="1" x14ac:dyDescent="0.2">
      <c r="B248" s="10"/>
      <c r="C248" s="11"/>
      <c r="D248" s="63"/>
      <c r="E248" s="150"/>
      <c r="F248" s="65"/>
      <c r="G248" s="12"/>
      <c r="H248" s="41"/>
      <c r="I248" s="30"/>
      <c r="J248" s="30"/>
      <c r="K248" s="97"/>
      <c r="L248" s="11"/>
      <c r="M248" s="11"/>
      <c r="N248" s="11"/>
      <c r="O248" s="11"/>
      <c r="P248" s="82"/>
    </row>
    <row r="249" spans="2:16" s="9" customFormat="1" x14ac:dyDescent="0.2">
      <c r="B249" s="10"/>
      <c r="C249" s="11"/>
      <c r="D249" s="63"/>
      <c r="E249" s="150"/>
      <c r="F249" s="65"/>
      <c r="G249" s="12"/>
      <c r="H249" s="41"/>
      <c r="I249" s="30"/>
      <c r="J249" s="30"/>
      <c r="K249" s="97"/>
      <c r="L249" s="11"/>
      <c r="M249" s="11"/>
      <c r="N249" s="11"/>
      <c r="O249" s="11"/>
      <c r="P249" s="82"/>
    </row>
    <row r="250" spans="2:16" s="9" customFormat="1" x14ac:dyDescent="0.2">
      <c r="B250" s="10"/>
      <c r="C250" s="11"/>
      <c r="D250" s="63"/>
      <c r="E250" s="150"/>
      <c r="F250" s="65"/>
      <c r="G250" s="12"/>
      <c r="H250" s="41"/>
      <c r="I250" s="30"/>
      <c r="J250" s="30"/>
      <c r="K250" s="97"/>
      <c r="L250" s="11"/>
      <c r="M250" s="11"/>
      <c r="N250" s="11"/>
      <c r="O250" s="11"/>
      <c r="P250" s="82"/>
    </row>
    <row r="251" spans="2:16" s="9" customFormat="1" x14ac:dyDescent="0.2">
      <c r="B251" s="10"/>
      <c r="C251" s="11"/>
      <c r="D251" s="63"/>
      <c r="E251" s="150"/>
      <c r="F251" s="65"/>
      <c r="G251" s="12"/>
      <c r="H251" s="41"/>
      <c r="I251" s="30"/>
      <c r="J251" s="30"/>
      <c r="K251" s="97"/>
      <c r="L251" s="11"/>
      <c r="M251" s="11"/>
      <c r="N251" s="11"/>
      <c r="O251" s="11"/>
      <c r="P251" s="82"/>
    </row>
    <row r="252" spans="2:16" s="9" customFormat="1" x14ac:dyDescent="0.2">
      <c r="B252" s="10"/>
      <c r="C252" s="11"/>
      <c r="D252" s="63"/>
      <c r="E252" s="150"/>
      <c r="F252" s="65"/>
      <c r="G252" s="12"/>
      <c r="H252" s="41"/>
      <c r="I252" s="30"/>
      <c r="J252" s="30"/>
      <c r="K252" s="97"/>
      <c r="L252" s="11"/>
      <c r="M252" s="11"/>
      <c r="N252" s="11"/>
      <c r="O252" s="11"/>
      <c r="P252" s="82"/>
    </row>
    <row r="253" spans="2:16" s="9" customFormat="1" x14ac:dyDescent="0.2">
      <c r="B253" s="10"/>
      <c r="C253" s="11"/>
      <c r="D253" s="63"/>
      <c r="E253" s="150"/>
      <c r="F253" s="65"/>
      <c r="G253" s="12"/>
      <c r="H253" s="41"/>
      <c r="I253" s="30"/>
      <c r="J253" s="30"/>
      <c r="K253" s="97"/>
      <c r="L253" s="11"/>
      <c r="M253" s="11"/>
      <c r="N253" s="11"/>
      <c r="O253" s="11"/>
      <c r="P253" s="82"/>
    </row>
    <row r="254" spans="2:16" s="9" customFormat="1" x14ac:dyDescent="0.2">
      <c r="B254" s="10"/>
      <c r="C254" s="11"/>
      <c r="D254" s="63"/>
      <c r="E254" s="150"/>
      <c r="F254" s="65"/>
      <c r="G254" s="12"/>
      <c r="H254" s="41"/>
      <c r="I254" s="30"/>
      <c r="J254" s="30"/>
      <c r="K254" s="97"/>
      <c r="L254" s="11"/>
      <c r="M254" s="11"/>
      <c r="N254" s="11"/>
      <c r="O254" s="11"/>
      <c r="P254" s="82"/>
    </row>
    <row r="255" spans="2:16" s="9" customFormat="1" x14ac:dyDescent="0.2">
      <c r="B255" s="10"/>
      <c r="C255" s="11"/>
      <c r="D255" s="63"/>
      <c r="E255" s="150"/>
      <c r="F255" s="65"/>
      <c r="G255" s="12"/>
      <c r="H255" s="41"/>
      <c r="I255" s="30"/>
      <c r="J255" s="30"/>
      <c r="K255" s="97"/>
      <c r="L255" s="11"/>
      <c r="M255" s="11"/>
      <c r="N255" s="11"/>
      <c r="O255" s="11"/>
      <c r="P255" s="82"/>
    </row>
    <row r="256" spans="2:16" s="9" customFormat="1" x14ac:dyDescent="0.2">
      <c r="B256" s="10"/>
      <c r="C256" s="11"/>
      <c r="D256" s="63"/>
      <c r="E256" s="150"/>
      <c r="F256" s="65"/>
      <c r="G256" s="12"/>
      <c r="H256" s="41"/>
      <c r="I256" s="30"/>
      <c r="J256" s="30"/>
      <c r="K256" s="97"/>
      <c r="L256" s="11"/>
      <c r="M256" s="11"/>
      <c r="N256" s="11"/>
      <c r="O256" s="11"/>
      <c r="P256" s="82"/>
    </row>
    <row r="257" spans="2:16" s="9" customFormat="1" x14ac:dyDescent="0.2">
      <c r="B257" s="10"/>
      <c r="C257" s="11"/>
      <c r="D257" s="63"/>
      <c r="E257" s="150"/>
      <c r="F257" s="65"/>
      <c r="G257" s="12"/>
      <c r="H257" s="41"/>
      <c r="I257" s="30"/>
      <c r="J257" s="30"/>
      <c r="K257" s="97"/>
      <c r="L257" s="11"/>
      <c r="M257" s="11"/>
      <c r="N257" s="11"/>
      <c r="O257" s="11"/>
      <c r="P257" s="82"/>
    </row>
    <row r="258" spans="2:16" s="9" customFormat="1" x14ac:dyDescent="0.2">
      <c r="B258" s="10"/>
      <c r="C258" s="11"/>
      <c r="D258" s="63"/>
      <c r="E258" s="150"/>
      <c r="F258" s="65"/>
      <c r="G258" s="12"/>
      <c r="H258" s="41"/>
      <c r="I258" s="30"/>
      <c r="J258" s="30"/>
      <c r="K258" s="97"/>
      <c r="L258" s="11"/>
      <c r="M258" s="11"/>
      <c r="N258" s="11"/>
      <c r="O258" s="11"/>
      <c r="P258" s="82"/>
    </row>
    <row r="259" spans="2:16" s="9" customFormat="1" x14ac:dyDescent="0.2">
      <c r="B259" s="10"/>
      <c r="C259" s="11"/>
      <c r="D259" s="63"/>
      <c r="E259" s="150"/>
      <c r="F259" s="65"/>
      <c r="G259" s="12"/>
      <c r="H259" s="41"/>
      <c r="I259" s="30"/>
      <c r="J259" s="30"/>
      <c r="K259" s="97"/>
      <c r="L259" s="11"/>
      <c r="M259" s="11"/>
      <c r="N259" s="11"/>
      <c r="O259" s="11"/>
      <c r="P259" s="82"/>
    </row>
    <row r="260" spans="2:16" s="9" customFormat="1" x14ac:dyDescent="0.2">
      <c r="B260" s="10"/>
      <c r="C260" s="11"/>
      <c r="D260" s="63"/>
      <c r="E260" s="150"/>
      <c r="F260" s="65"/>
      <c r="G260" s="12"/>
      <c r="H260" s="41"/>
      <c r="I260" s="30"/>
      <c r="J260" s="30"/>
      <c r="K260" s="97"/>
      <c r="L260" s="11"/>
      <c r="M260" s="11"/>
      <c r="N260" s="11"/>
      <c r="O260" s="11"/>
      <c r="P260" s="82"/>
    </row>
    <row r="261" spans="2:16" s="9" customFormat="1" x14ac:dyDescent="0.2">
      <c r="B261" s="10"/>
      <c r="C261" s="11"/>
      <c r="D261" s="63"/>
      <c r="E261" s="150"/>
      <c r="F261" s="65"/>
      <c r="G261" s="12"/>
      <c r="H261" s="41"/>
      <c r="I261" s="30"/>
      <c r="J261" s="30"/>
      <c r="K261" s="97"/>
      <c r="L261" s="11"/>
      <c r="M261" s="11"/>
      <c r="N261" s="11"/>
      <c r="O261" s="11"/>
      <c r="P261" s="82"/>
    </row>
    <row r="262" spans="2:16" s="9" customFormat="1" x14ac:dyDescent="0.2">
      <c r="B262" s="10"/>
      <c r="C262" s="11"/>
      <c r="D262" s="63"/>
      <c r="E262" s="150"/>
      <c r="F262" s="65"/>
      <c r="G262" s="12"/>
      <c r="H262" s="41"/>
      <c r="I262" s="30"/>
      <c r="J262" s="30"/>
      <c r="K262" s="97"/>
      <c r="L262" s="11"/>
      <c r="M262" s="11"/>
      <c r="N262" s="11"/>
      <c r="O262" s="11"/>
      <c r="P262" s="82"/>
    </row>
    <row r="263" spans="2:16" s="9" customFormat="1" x14ac:dyDescent="0.2">
      <c r="B263" s="10"/>
      <c r="C263" s="11"/>
      <c r="D263" s="63"/>
      <c r="E263" s="150"/>
      <c r="F263" s="65"/>
      <c r="G263" s="12"/>
      <c r="H263" s="41"/>
      <c r="I263" s="30"/>
      <c r="J263" s="30"/>
      <c r="K263" s="97"/>
      <c r="L263" s="11"/>
      <c r="M263" s="11"/>
      <c r="N263" s="11"/>
      <c r="O263" s="11"/>
      <c r="P263" s="82"/>
    </row>
    <row r="264" spans="2:16" s="9" customFormat="1" x14ac:dyDescent="0.2">
      <c r="B264" s="10"/>
      <c r="C264" s="11"/>
      <c r="D264" s="63"/>
      <c r="E264" s="150"/>
      <c r="F264" s="65"/>
      <c r="G264" s="12"/>
      <c r="H264" s="41"/>
      <c r="I264" s="30"/>
      <c r="J264" s="30"/>
      <c r="K264" s="97"/>
      <c r="L264" s="11"/>
      <c r="M264" s="11"/>
      <c r="N264" s="11"/>
      <c r="O264" s="11"/>
      <c r="P264" s="82"/>
    </row>
    <row r="265" spans="2:16" s="9" customFormat="1" x14ac:dyDescent="0.2">
      <c r="B265" s="10"/>
      <c r="C265" s="11"/>
      <c r="D265" s="63"/>
      <c r="E265" s="150"/>
      <c r="F265" s="65"/>
      <c r="G265" s="12"/>
      <c r="H265" s="41"/>
      <c r="I265" s="30"/>
      <c r="J265" s="30"/>
      <c r="K265" s="97"/>
      <c r="L265" s="11"/>
      <c r="M265" s="11"/>
      <c r="N265" s="11"/>
      <c r="O265" s="11"/>
      <c r="P265" s="82"/>
    </row>
    <row r="266" spans="2:16" s="9" customFormat="1" x14ac:dyDescent="0.2">
      <c r="B266" s="10"/>
      <c r="C266" s="11"/>
      <c r="D266" s="63"/>
      <c r="E266" s="150"/>
      <c r="F266" s="65"/>
      <c r="G266" s="12"/>
      <c r="H266" s="41"/>
      <c r="I266" s="30"/>
      <c r="J266" s="30"/>
      <c r="K266" s="97"/>
      <c r="L266" s="11"/>
      <c r="M266" s="11"/>
      <c r="N266" s="11"/>
      <c r="O266" s="11"/>
      <c r="P266" s="82"/>
    </row>
    <row r="267" spans="2:16" s="9" customFormat="1" x14ac:dyDescent="0.2">
      <c r="B267" s="10"/>
      <c r="C267" s="11"/>
      <c r="D267" s="63"/>
      <c r="E267" s="150"/>
      <c r="F267" s="65"/>
      <c r="G267" s="12"/>
      <c r="H267" s="41"/>
      <c r="I267" s="30"/>
      <c r="J267" s="30"/>
      <c r="K267" s="97"/>
      <c r="L267" s="11"/>
      <c r="M267" s="11"/>
      <c r="N267" s="11"/>
      <c r="O267" s="11"/>
      <c r="P267" s="82"/>
    </row>
    <row r="268" spans="2:16" s="9" customFormat="1" x14ac:dyDescent="0.2">
      <c r="B268" s="10"/>
      <c r="C268" s="11"/>
      <c r="D268" s="63"/>
      <c r="E268" s="150"/>
      <c r="F268" s="65"/>
      <c r="G268" s="12"/>
      <c r="H268" s="41"/>
      <c r="I268" s="30"/>
      <c r="J268" s="30"/>
      <c r="K268" s="97"/>
      <c r="L268" s="11"/>
      <c r="M268" s="11"/>
      <c r="N268" s="11"/>
      <c r="O268" s="11"/>
      <c r="P268" s="82"/>
    </row>
    <row r="269" spans="2:16" s="9" customFormat="1" x14ac:dyDescent="0.2">
      <c r="B269" s="10"/>
      <c r="C269" s="11"/>
      <c r="D269" s="63"/>
      <c r="E269" s="150"/>
      <c r="F269" s="65"/>
      <c r="G269" s="12"/>
      <c r="H269" s="41"/>
      <c r="I269" s="30"/>
      <c r="J269" s="30"/>
      <c r="K269" s="97"/>
      <c r="L269" s="11"/>
      <c r="M269" s="11"/>
      <c r="N269" s="11"/>
      <c r="O269" s="11"/>
      <c r="P269" s="82"/>
    </row>
    <row r="270" spans="2:16" s="9" customFormat="1" x14ac:dyDescent="0.2">
      <c r="B270" s="10"/>
      <c r="C270" s="11"/>
      <c r="D270" s="63"/>
      <c r="E270" s="150"/>
      <c r="F270" s="65"/>
      <c r="G270" s="12"/>
      <c r="H270" s="41"/>
      <c r="I270" s="30"/>
      <c r="J270" s="30"/>
      <c r="K270" s="97"/>
      <c r="L270" s="11"/>
      <c r="M270" s="11"/>
      <c r="N270" s="11"/>
      <c r="O270" s="11"/>
      <c r="P270" s="82"/>
    </row>
    <row r="271" spans="2:16" s="9" customFormat="1" x14ac:dyDescent="0.2">
      <c r="B271" s="10"/>
      <c r="C271" s="11"/>
      <c r="D271" s="63"/>
      <c r="E271" s="150"/>
      <c r="F271" s="65"/>
      <c r="G271" s="12"/>
      <c r="H271" s="41"/>
      <c r="I271" s="30"/>
      <c r="J271" s="30"/>
      <c r="K271" s="97"/>
      <c r="L271" s="11"/>
      <c r="M271" s="11"/>
      <c r="N271" s="11"/>
      <c r="O271" s="11"/>
      <c r="P271" s="82"/>
    </row>
    <row r="272" spans="2:16" s="9" customFormat="1" x14ac:dyDescent="0.2">
      <c r="B272" s="10"/>
      <c r="C272" s="11"/>
      <c r="D272" s="63"/>
      <c r="E272" s="150"/>
      <c r="F272" s="65"/>
      <c r="G272" s="12"/>
      <c r="H272" s="41"/>
      <c r="I272" s="30"/>
      <c r="J272" s="30"/>
      <c r="K272" s="97"/>
      <c r="L272" s="11"/>
      <c r="M272" s="11"/>
      <c r="N272" s="11"/>
      <c r="O272" s="11"/>
      <c r="P272" s="82"/>
    </row>
    <row r="273" spans="2:16" s="9" customFormat="1" x14ac:dyDescent="0.2">
      <c r="B273" s="10"/>
      <c r="C273" s="11"/>
      <c r="D273" s="63"/>
      <c r="E273" s="150"/>
      <c r="F273" s="65"/>
      <c r="G273" s="12"/>
      <c r="H273" s="41"/>
      <c r="I273" s="30"/>
      <c r="J273" s="30"/>
      <c r="K273" s="97"/>
      <c r="L273" s="11"/>
      <c r="M273" s="11"/>
      <c r="N273" s="11"/>
      <c r="O273" s="11"/>
      <c r="P273" s="82"/>
    </row>
    <row r="274" spans="2:16" s="9" customFormat="1" x14ac:dyDescent="0.2">
      <c r="B274" s="10"/>
      <c r="C274" s="11"/>
      <c r="D274" s="63"/>
      <c r="E274" s="150"/>
      <c r="F274" s="65"/>
      <c r="G274" s="12"/>
      <c r="H274" s="41"/>
      <c r="I274" s="30"/>
      <c r="J274" s="30"/>
      <c r="K274" s="97"/>
      <c r="L274" s="11"/>
      <c r="M274" s="11"/>
      <c r="N274" s="11"/>
      <c r="O274" s="11"/>
      <c r="P274" s="82"/>
    </row>
    <row r="275" spans="2:16" s="9" customFormat="1" x14ac:dyDescent="0.2">
      <c r="B275" s="10"/>
      <c r="C275" s="11"/>
      <c r="D275" s="63"/>
      <c r="E275" s="150"/>
      <c r="F275" s="65"/>
      <c r="G275" s="12"/>
      <c r="H275" s="41"/>
      <c r="I275" s="30"/>
      <c r="J275" s="30"/>
      <c r="K275" s="97"/>
      <c r="L275" s="11"/>
      <c r="M275" s="11"/>
      <c r="N275" s="11"/>
      <c r="O275" s="11"/>
      <c r="P275" s="82"/>
    </row>
    <row r="276" spans="2:16" s="9" customFormat="1" x14ac:dyDescent="0.2">
      <c r="B276" s="10"/>
      <c r="C276" s="11"/>
      <c r="D276" s="63"/>
      <c r="E276" s="150"/>
      <c r="F276" s="65"/>
      <c r="G276" s="12"/>
      <c r="H276" s="41"/>
      <c r="I276" s="30"/>
      <c r="J276" s="30"/>
      <c r="K276" s="97"/>
      <c r="L276" s="11"/>
      <c r="M276" s="11"/>
      <c r="N276" s="11"/>
      <c r="O276" s="11"/>
      <c r="P276" s="82"/>
    </row>
    <row r="277" spans="2:16" s="9" customFormat="1" x14ac:dyDescent="0.2">
      <c r="B277" s="10"/>
      <c r="C277" s="11"/>
      <c r="D277" s="63"/>
      <c r="E277" s="150"/>
      <c r="F277" s="65"/>
      <c r="G277" s="12"/>
      <c r="H277" s="41"/>
      <c r="I277" s="30"/>
      <c r="J277" s="30"/>
      <c r="K277" s="97"/>
      <c r="L277" s="11"/>
      <c r="M277" s="11"/>
      <c r="N277" s="11"/>
      <c r="O277" s="11"/>
      <c r="P277" s="82"/>
    </row>
    <row r="278" spans="2:16" s="9" customFormat="1" x14ac:dyDescent="0.2">
      <c r="B278" s="10"/>
      <c r="C278" s="11"/>
      <c r="D278" s="63"/>
      <c r="E278" s="150"/>
      <c r="F278" s="65"/>
      <c r="G278" s="12"/>
      <c r="H278" s="41"/>
      <c r="I278" s="30"/>
      <c r="J278" s="30"/>
      <c r="K278" s="97"/>
      <c r="L278" s="11"/>
      <c r="M278" s="11"/>
      <c r="N278" s="11"/>
      <c r="O278" s="11"/>
      <c r="P278" s="82"/>
    </row>
    <row r="279" spans="2:16" s="9" customFormat="1" x14ac:dyDescent="0.2">
      <c r="B279" s="10"/>
      <c r="C279" s="11"/>
      <c r="D279" s="63"/>
      <c r="E279" s="150"/>
      <c r="F279" s="65"/>
      <c r="G279" s="12"/>
      <c r="H279" s="41"/>
      <c r="I279" s="30"/>
      <c r="J279" s="30"/>
      <c r="K279" s="97"/>
      <c r="L279" s="11"/>
      <c r="M279" s="11"/>
      <c r="N279" s="11"/>
      <c r="O279" s="11"/>
      <c r="P279" s="82"/>
    </row>
    <row r="280" spans="2:16" s="9" customFormat="1" x14ac:dyDescent="0.2">
      <c r="B280" s="10"/>
      <c r="C280" s="11"/>
      <c r="D280" s="63"/>
      <c r="E280" s="150"/>
      <c r="F280" s="65"/>
      <c r="G280" s="12"/>
      <c r="H280" s="41"/>
      <c r="I280" s="30"/>
      <c r="J280" s="30"/>
      <c r="K280" s="97"/>
      <c r="L280" s="11"/>
      <c r="M280" s="11"/>
      <c r="N280" s="11"/>
      <c r="O280" s="11"/>
      <c r="P280" s="82"/>
    </row>
    <row r="281" spans="2:16" s="9" customFormat="1" x14ac:dyDescent="0.2">
      <c r="B281" s="10"/>
      <c r="C281" s="11"/>
      <c r="D281" s="63"/>
      <c r="E281" s="150"/>
      <c r="F281" s="65"/>
      <c r="G281" s="12"/>
      <c r="H281" s="41"/>
      <c r="I281" s="30"/>
      <c r="J281" s="30"/>
      <c r="K281" s="97"/>
      <c r="L281" s="11"/>
      <c r="M281" s="11"/>
      <c r="N281" s="11"/>
      <c r="O281" s="11"/>
      <c r="P281" s="82"/>
    </row>
    <row r="282" spans="2:16" s="9" customFormat="1" x14ac:dyDescent="0.2">
      <c r="B282" s="10"/>
      <c r="C282" s="11"/>
      <c r="D282" s="63"/>
      <c r="E282" s="150"/>
      <c r="F282" s="65"/>
      <c r="G282" s="12"/>
      <c r="H282" s="41"/>
      <c r="I282" s="30"/>
      <c r="J282" s="30"/>
      <c r="K282" s="97"/>
      <c r="L282" s="11"/>
      <c r="M282" s="11"/>
      <c r="N282" s="11"/>
      <c r="O282" s="11"/>
      <c r="P282" s="82"/>
    </row>
    <row r="283" spans="2:16" s="9" customFormat="1" x14ac:dyDescent="0.2">
      <c r="B283" s="10"/>
      <c r="C283" s="11"/>
      <c r="D283" s="63"/>
      <c r="E283" s="150"/>
      <c r="F283" s="65"/>
      <c r="G283" s="12"/>
      <c r="H283" s="41"/>
      <c r="I283" s="30"/>
      <c r="J283" s="30"/>
      <c r="K283" s="97"/>
      <c r="L283" s="11"/>
      <c r="M283" s="11"/>
      <c r="N283" s="11"/>
      <c r="O283" s="11"/>
      <c r="P283" s="82"/>
    </row>
    <row r="284" spans="2:16" s="9" customFormat="1" x14ac:dyDescent="0.2">
      <c r="B284" s="10"/>
      <c r="C284" s="11"/>
      <c r="D284" s="63"/>
      <c r="E284" s="150"/>
      <c r="F284" s="65"/>
      <c r="G284" s="12"/>
      <c r="H284" s="41"/>
      <c r="I284" s="30"/>
      <c r="J284" s="30"/>
      <c r="K284" s="97"/>
      <c r="L284" s="11"/>
      <c r="M284" s="11"/>
      <c r="N284" s="11"/>
      <c r="O284" s="11"/>
      <c r="P284" s="82"/>
    </row>
    <row r="285" spans="2:16" s="9" customFormat="1" x14ac:dyDescent="0.2">
      <c r="B285" s="10"/>
      <c r="C285" s="11"/>
      <c r="D285" s="63"/>
      <c r="E285" s="150"/>
      <c r="F285" s="65"/>
      <c r="G285" s="12"/>
      <c r="H285" s="41"/>
      <c r="I285" s="30"/>
      <c r="J285" s="30"/>
      <c r="K285" s="97"/>
      <c r="L285" s="11"/>
      <c r="M285" s="11"/>
      <c r="N285" s="11"/>
      <c r="O285" s="11"/>
      <c r="P285" s="82"/>
    </row>
    <row r="286" spans="2:16" s="9" customFormat="1" x14ac:dyDescent="0.2">
      <c r="B286" s="10"/>
      <c r="C286" s="11"/>
      <c r="D286" s="63"/>
      <c r="E286" s="150"/>
      <c r="F286" s="65"/>
      <c r="G286" s="12"/>
      <c r="H286" s="41"/>
      <c r="I286" s="30"/>
      <c r="J286" s="30"/>
      <c r="K286" s="97"/>
      <c r="L286" s="11"/>
      <c r="M286" s="11"/>
      <c r="N286" s="11"/>
      <c r="O286" s="11"/>
      <c r="P286" s="82"/>
    </row>
    <row r="287" spans="2:16" s="9" customFormat="1" x14ac:dyDescent="0.2">
      <c r="B287" s="10"/>
      <c r="C287" s="11"/>
      <c r="D287" s="63"/>
      <c r="E287" s="150"/>
      <c r="F287" s="65"/>
      <c r="G287" s="12"/>
      <c r="H287" s="41"/>
      <c r="I287" s="30"/>
      <c r="J287" s="30"/>
      <c r="K287" s="97"/>
      <c r="L287" s="11"/>
      <c r="M287" s="11"/>
      <c r="N287" s="11"/>
      <c r="O287" s="11"/>
      <c r="P287" s="82"/>
    </row>
    <row r="288" spans="2:16" s="9" customFormat="1" x14ac:dyDescent="0.2">
      <c r="B288" s="10"/>
      <c r="C288" s="11"/>
      <c r="D288" s="63"/>
      <c r="E288" s="150"/>
      <c r="F288" s="65"/>
      <c r="G288" s="12"/>
      <c r="H288" s="41"/>
      <c r="I288" s="30"/>
      <c r="J288" s="30"/>
      <c r="K288" s="97"/>
      <c r="L288" s="11"/>
      <c r="M288" s="11"/>
      <c r="N288" s="11"/>
      <c r="O288" s="11"/>
      <c r="P288" s="82"/>
    </row>
    <row r="289" spans="2:16" s="9" customFormat="1" x14ac:dyDescent="0.2">
      <c r="B289" s="10"/>
      <c r="C289" s="11"/>
      <c r="D289" s="63"/>
      <c r="E289" s="150"/>
      <c r="F289" s="65"/>
      <c r="G289" s="12"/>
      <c r="H289" s="41"/>
      <c r="I289" s="30"/>
      <c r="J289" s="30"/>
      <c r="K289" s="97"/>
      <c r="L289" s="11"/>
      <c r="M289" s="11"/>
      <c r="N289" s="11"/>
      <c r="O289" s="11"/>
      <c r="P289" s="82"/>
    </row>
    <row r="290" spans="2:16" s="9" customFormat="1" x14ac:dyDescent="0.2">
      <c r="B290" s="10"/>
      <c r="C290" s="11"/>
      <c r="D290" s="63"/>
      <c r="E290" s="150"/>
      <c r="F290" s="65"/>
      <c r="G290" s="12"/>
      <c r="H290" s="41"/>
      <c r="I290" s="30"/>
      <c r="J290" s="30"/>
      <c r="K290" s="97"/>
      <c r="L290" s="11"/>
      <c r="M290" s="11"/>
      <c r="N290" s="11"/>
      <c r="O290" s="11"/>
      <c r="P290" s="82"/>
    </row>
    <row r="291" spans="2:16" s="9" customFormat="1" x14ac:dyDescent="0.2">
      <c r="B291" s="10"/>
      <c r="C291" s="11"/>
      <c r="D291" s="63"/>
      <c r="E291" s="150"/>
      <c r="F291" s="65"/>
      <c r="G291" s="12"/>
      <c r="H291" s="41"/>
      <c r="I291" s="30"/>
      <c r="J291" s="30"/>
      <c r="K291" s="97"/>
      <c r="L291" s="11"/>
      <c r="M291" s="11"/>
      <c r="N291" s="11"/>
      <c r="O291" s="11"/>
      <c r="P291" s="82"/>
    </row>
    <row r="292" spans="2:16" s="9" customFormat="1" x14ac:dyDescent="0.2">
      <c r="B292" s="10"/>
      <c r="C292" s="11"/>
      <c r="D292" s="63"/>
      <c r="E292" s="150"/>
      <c r="F292" s="65"/>
      <c r="G292" s="12"/>
      <c r="H292" s="41"/>
      <c r="I292" s="30"/>
      <c r="J292" s="30"/>
      <c r="K292" s="97"/>
      <c r="L292" s="11"/>
      <c r="M292" s="11"/>
      <c r="N292" s="11"/>
      <c r="O292" s="11"/>
      <c r="P292" s="82"/>
    </row>
    <row r="293" spans="2:16" s="9" customFormat="1" x14ac:dyDescent="0.2">
      <c r="B293" s="10"/>
      <c r="C293" s="11"/>
      <c r="D293" s="63"/>
      <c r="E293" s="150"/>
      <c r="F293" s="65"/>
      <c r="G293" s="12"/>
      <c r="H293" s="41"/>
      <c r="I293" s="30"/>
      <c r="J293" s="30"/>
      <c r="K293" s="97"/>
      <c r="L293" s="11"/>
      <c r="M293" s="11"/>
      <c r="N293" s="11"/>
      <c r="O293" s="11"/>
      <c r="P293" s="82"/>
    </row>
    <row r="294" spans="2:16" s="9" customFormat="1" x14ac:dyDescent="0.2">
      <c r="B294" s="10"/>
      <c r="C294" s="11"/>
      <c r="D294" s="63"/>
      <c r="E294" s="150"/>
      <c r="F294" s="65"/>
      <c r="G294" s="12"/>
      <c r="H294" s="41"/>
      <c r="I294" s="30"/>
      <c r="J294" s="30"/>
      <c r="K294" s="97"/>
      <c r="L294" s="11"/>
      <c r="M294" s="11"/>
      <c r="N294" s="11"/>
      <c r="O294" s="11"/>
      <c r="P294" s="82"/>
    </row>
    <row r="295" spans="2:16" s="9" customFormat="1" x14ac:dyDescent="0.2">
      <c r="B295" s="10"/>
      <c r="C295" s="11"/>
      <c r="D295" s="63"/>
      <c r="E295" s="150"/>
      <c r="F295" s="65"/>
      <c r="G295" s="12"/>
      <c r="H295" s="41"/>
      <c r="I295" s="30"/>
      <c r="J295" s="30"/>
      <c r="K295" s="97"/>
      <c r="L295" s="11"/>
      <c r="M295" s="11"/>
      <c r="N295" s="11"/>
      <c r="O295" s="11"/>
      <c r="P295" s="82"/>
    </row>
    <row r="296" spans="2:16" s="9" customFormat="1" x14ac:dyDescent="0.2">
      <c r="B296" s="10"/>
      <c r="C296" s="11"/>
      <c r="D296" s="63"/>
      <c r="E296" s="150"/>
      <c r="F296" s="65"/>
      <c r="G296" s="12"/>
      <c r="H296" s="41"/>
      <c r="I296" s="30"/>
      <c r="J296" s="30"/>
      <c r="K296" s="97"/>
      <c r="L296" s="11"/>
      <c r="M296" s="11"/>
      <c r="N296" s="11"/>
      <c r="O296" s="11"/>
      <c r="P296" s="82"/>
    </row>
    <row r="297" spans="2:16" s="9" customFormat="1" x14ac:dyDescent="0.2">
      <c r="B297" s="10"/>
      <c r="C297" s="11"/>
      <c r="D297" s="63"/>
      <c r="E297" s="150"/>
      <c r="F297" s="65"/>
      <c r="G297" s="12"/>
      <c r="H297" s="41"/>
      <c r="I297" s="30"/>
      <c r="J297" s="30"/>
      <c r="K297" s="97"/>
      <c r="L297" s="11"/>
      <c r="M297" s="11"/>
      <c r="N297" s="11"/>
      <c r="O297" s="11"/>
      <c r="P297" s="82"/>
    </row>
    <row r="298" spans="2:16" s="9" customFormat="1" x14ac:dyDescent="0.2">
      <c r="B298" s="10"/>
      <c r="C298" s="11"/>
      <c r="D298" s="63"/>
      <c r="E298" s="150"/>
      <c r="F298" s="65"/>
      <c r="G298" s="12"/>
      <c r="H298" s="41"/>
      <c r="I298" s="30"/>
      <c r="J298" s="30"/>
      <c r="K298" s="97"/>
      <c r="L298" s="11"/>
      <c r="M298" s="11"/>
      <c r="N298" s="11"/>
      <c r="O298" s="11"/>
      <c r="P298" s="82"/>
    </row>
    <row r="299" spans="2:16" s="9" customFormat="1" x14ac:dyDescent="0.2">
      <c r="B299" s="10"/>
      <c r="C299" s="11"/>
      <c r="D299" s="63"/>
      <c r="E299" s="150"/>
      <c r="F299" s="65"/>
      <c r="G299" s="12"/>
      <c r="H299" s="41"/>
      <c r="I299" s="30"/>
      <c r="J299" s="30"/>
      <c r="K299" s="97"/>
      <c r="L299" s="11"/>
      <c r="M299" s="11"/>
      <c r="N299" s="11"/>
      <c r="O299" s="11"/>
      <c r="P299" s="82"/>
    </row>
    <row r="300" spans="2:16" s="9" customFormat="1" x14ac:dyDescent="0.2">
      <c r="B300" s="10"/>
      <c r="C300" s="11"/>
      <c r="D300" s="63"/>
      <c r="E300" s="150"/>
      <c r="F300" s="65"/>
      <c r="G300" s="12"/>
      <c r="H300" s="41"/>
      <c r="I300" s="30"/>
      <c r="J300" s="30"/>
      <c r="K300" s="97"/>
      <c r="L300" s="11"/>
      <c r="M300" s="11"/>
      <c r="N300" s="11"/>
      <c r="O300" s="11"/>
      <c r="P300" s="82"/>
    </row>
    <row r="301" spans="2:16" s="9" customFormat="1" x14ac:dyDescent="0.2">
      <c r="B301" s="10"/>
      <c r="C301" s="11"/>
      <c r="D301" s="63"/>
      <c r="E301" s="150"/>
      <c r="F301" s="65"/>
      <c r="G301" s="12"/>
      <c r="H301" s="41"/>
      <c r="I301" s="30"/>
      <c r="J301" s="30"/>
      <c r="K301" s="97"/>
      <c r="L301" s="11"/>
      <c r="M301" s="11"/>
      <c r="N301" s="11"/>
      <c r="O301" s="11"/>
      <c r="P301" s="82"/>
    </row>
    <row r="302" spans="2:16" s="9" customFormat="1" x14ac:dyDescent="0.2">
      <c r="B302" s="10"/>
      <c r="C302" s="11"/>
      <c r="D302" s="63"/>
      <c r="E302" s="150"/>
      <c r="F302" s="65"/>
      <c r="G302" s="12"/>
      <c r="H302" s="41"/>
      <c r="I302" s="30"/>
      <c r="J302" s="30"/>
      <c r="K302" s="97"/>
      <c r="L302" s="11"/>
      <c r="M302" s="11"/>
      <c r="N302" s="11"/>
      <c r="O302" s="11"/>
      <c r="P302" s="82"/>
    </row>
    <row r="303" spans="2:16" s="9" customFormat="1" x14ac:dyDescent="0.2">
      <c r="B303" s="10"/>
      <c r="C303" s="11"/>
      <c r="D303" s="63"/>
      <c r="E303" s="150"/>
      <c r="F303" s="65"/>
      <c r="G303" s="12"/>
      <c r="H303" s="41"/>
      <c r="I303" s="30"/>
      <c r="J303" s="30"/>
      <c r="K303" s="97"/>
      <c r="L303" s="11"/>
      <c r="M303" s="11"/>
      <c r="N303" s="11"/>
      <c r="O303" s="11"/>
      <c r="P303" s="82"/>
    </row>
    <row r="304" spans="2:16" s="9" customFormat="1" x14ac:dyDescent="0.2">
      <c r="B304" s="10"/>
      <c r="C304" s="11"/>
      <c r="D304" s="63"/>
      <c r="E304" s="150"/>
      <c r="F304" s="65"/>
      <c r="G304" s="12"/>
      <c r="H304" s="41"/>
      <c r="I304" s="30"/>
      <c r="J304" s="30"/>
      <c r="K304" s="97"/>
      <c r="L304" s="11"/>
      <c r="M304" s="11"/>
      <c r="N304" s="11"/>
      <c r="O304" s="11"/>
      <c r="P304" s="82"/>
    </row>
    <row r="305" spans="2:16" s="9" customFormat="1" x14ac:dyDescent="0.2">
      <c r="B305" s="10"/>
      <c r="C305" s="11"/>
      <c r="D305" s="63"/>
      <c r="E305" s="150"/>
      <c r="F305" s="65"/>
      <c r="G305" s="12"/>
      <c r="H305" s="41"/>
      <c r="I305" s="30"/>
      <c r="J305" s="30"/>
      <c r="K305" s="97"/>
      <c r="L305" s="11"/>
      <c r="M305" s="11"/>
      <c r="N305" s="11"/>
      <c r="O305" s="11"/>
      <c r="P305" s="82"/>
    </row>
    <row r="306" spans="2:16" s="9" customFormat="1" x14ac:dyDescent="0.2">
      <c r="B306" s="10"/>
      <c r="C306" s="11"/>
      <c r="D306" s="63"/>
      <c r="E306" s="150"/>
      <c r="F306" s="65"/>
      <c r="G306" s="12"/>
      <c r="H306" s="41"/>
      <c r="I306" s="30"/>
      <c r="J306" s="30"/>
      <c r="K306" s="97"/>
      <c r="L306" s="11"/>
      <c r="M306" s="11"/>
      <c r="N306" s="11"/>
      <c r="O306" s="11"/>
      <c r="P306" s="82"/>
    </row>
    <row r="307" spans="2:16" s="9" customFormat="1" x14ac:dyDescent="0.2">
      <c r="B307" s="10"/>
      <c r="C307" s="11"/>
      <c r="D307" s="63"/>
      <c r="E307" s="150"/>
      <c r="F307" s="65"/>
      <c r="G307" s="12"/>
      <c r="H307" s="41"/>
      <c r="I307" s="30"/>
      <c r="J307" s="30"/>
      <c r="K307" s="97"/>
      <c r="L307" s="11"/>
      <c r="M307" s="11"/>
      <c r="N307" s="11"/>
      <c r="O307" s="11"/>
      <c r="P307" s="82"/>
    </row>
    <row r="308" spans="2:16" s="9" customFormat="1" x14ac:dyDescent="0.2">
      <c r="B308" s="10"/>
      <c r="C308" s="11"/>
      <c r="D308" s="63"/>
      <c r="E308" s="150"/>
      <c r="F308" s="65"/>
      <c r="G308" s="12"/>
      <c r="H308" s="41"/>
      <c r="I308" s="30"/>
      <c r="J308" s="30"/>
      <c r="K308" s="97"/>
      <c r="L308" s="11"/>
      <c r="M308" s="11"/>
      <c r="N308" s="11"/>
      <c r="O308" s="11"/>
      <c r="P308" s="82"/>
    </row>
    <row r="309" spans="2:16" s="9" customFormat="1" x14ac:dyDescent="0.2">
      <c r="B309" s="10"/>
      <c r="C309" s="11"/>
      <c r="D309" s="63"/>
      <c r="E309" s="150"/>
      <c r="F309" s="65"/>
      <c r="G309" s="12"/>
      <c r="H309" s="41"/>
      <c r="I309" s="30"/>
      <c r="J309" s="30"/>
      <c r="K309" s="97"/>
      <c r="L309" s="11"/>
      <c r="M309" s="11"/>
      <c r="N309" s="11"/>
      <c r="O309" s="11"/>
      <c r="P309" s="82"/>
    </row>
    <row r="310" spans="2:16" s="9" customFormat="1" x14ac:dyDescent="0.2">
      <c r="B310" s="10"/>
      <c r="C310" s="11"/>
      <c r="D310" s="63"/>
      <c r="E310" s="150"/>
      <c r="F310" s="65"/>
      <c r="G310" s="12"/>
      <c r="H310" s="41"/>
      <c r="I310" s="30"/>
      <c r="J310" s="30"/>
      <c r="K310" s="97"/>
      <c r="L310" s="11"/>
      <c r="M310" s="11"/>
      <c r="N310" s="11"/>
      <c r="O310" s="11"/>
      <c r="P310" s="82"/>
    </row>
    <row r="311" spans="2:16" s="9" customFormat="1" x14ac:dyDescent="0.2">
      <c r="B311" s="10"/>
      <c r="C311" s="11"/>
      <c r="D311" s="63"/>
      <c r="E311" s="150"/>
      <c r="F311" s="65"/>
      <c r="G311" s="12"/>
      <c r="H311" s="41"/>
      <c r="I311" s="30"/>
      <c r="J311" s="30"/>
      <c r="K311" s="97"/>
      <c r="L311" s="11"/>
      <c r="M311" s="11"/>
      <c r="N311" s="11"/>
      <c r="O311" s="11"/>
      <c r="P311" s="82"/>
    </row>
    <row r="312" spans="2:16" s="9" customFormat="1" x14ac:dyDescent="0.2">
      <c r="B312" s="10"/>
      <c r="C312" s="11"/>
      <c r="D312" s="63"/>
      <c r="E312" s="150"/>
      <c r="F312" s="65"/>
      <c r="G312" s="12"/>
      <c r="H312" s="41"/>
      <c r="I312" s="30"/>
      <c r="J312" s="30"/>
      <c r="K312" s="97"/>
      <c r="L312" s="11"/>
      <c r="M312" s="11"/>
      <c r="N312" s="11"/>
      <c r="O312" s="11"/>
      <c r="P312" s="82"/>
    </row>
    <row r="313" spans="2:16" s="9" customFormat="1" x14ac:dyDescent="0.2">
      <c r="B313" s="10"/>
      <c r="C313" s="11"/>
      <c r="D313" s="63"/>
      <c r="E313" s="150"/>
      <c r="F313" s="65"/>
      <c r="G313" s="12"/>
      <c r="H313" s="41"/>
      <c r="I313" s="30"/>
      <c r="J313" s="30"/>
      <c r="K313" s="97"/>
      <c r="L313" s="11"/>
      <c r="M313" s="11"/>
      <c r="N313" s="11"/>
      <c r="O313" s="11"/>
      <c r="P313" s="82"/>
    </row>
    <row r="314" spans="2:16" s="9" customFormat="1" x14ac:dyDescent="0.2">
      <c r="B314" s="10"/>
      <c r="C314" s="11"/>
      <c r="D314" s="63"/>
      <c r="E314" s="150"/>
      <c r="F314" s="65"/>
      <c r="G314" s="12"/>
      <c r="H314" s="41"/>
      <c r="I314" s="30"/>
      <c r="J314" s="30"/>
      <c r="K314" s="97"/>
      <c r="L314" s="11"/>
      <c r="M314" s="11"/>
      <c r="N314" s="11"/>
      <c r="O314" s="11"/>
      <c r="P314" s="82"/>
    </row>
    <row r="315" spans="2:16" s="9" customFormat="1" x14ac:dyDescent="0.2">
      <c r="B315" s="10"/>
      <c r="C315" s="11"/>
      <c r="D315" s="63"/>
      <c r="E315" s="150"/>
      <c r="F315" s="65"/>
      <c r="G315" s="12"/>
      <c r="H315" s="41"/>
      <c r="I315" s="30"/>
      <c r="J315" s="30"/>
      <c r="K315" s="97"/>
      <c r="L315" s="11"/>
      <c r="M315" s="11"/>
      <c r="N315" s="11"/>
      <c r="O315" s="11"/>
      <c r="P315" s="82"/>
    </row>
    <row r="316" spans="2:16" s="9" customFormat="1" x14ac:dyDescent="0.2">
      <c r="B316" s="10"/>
      <c r="C316" s="11"/>
      <c r="D316" s="63"/>
      <c r="E316" s="150"/>
      <c r="F316" s="65"/>
      <c r="G316" s="12"/>
      <c r="H316" s="41"/>
      <c r="I316" s="30"/>
      <c r="J316" s="30"/>
      <c r="K316" s="97"/>
      <c r="L316" s="11"/>
      <c r="M316" s="11"/>
      <c r="N316" s="11"/>
      <c r="O316" s="11"/>
      <c r="P316" s="82"/>
    </row>
    <row r="317" spans="2:16" s="9" customFormat="1" x14ac:dyDescent="0.2">
      <c r="B317" s="10"/>
      <c r="C317" s="11"/>
      <c r="D317" s="63"/>
      <c r="E317" s="150"/>
      <c r="F317" s="65"/>
      <c r="G317" s="12"/>
      <c r="H317" s="41"/>
      <c r="I317" s="30"/>
      <c r="J317" s="30"/>
      <c r="K317" s="97"/>
      <c r="L317" s="11"/>
      <c r="M317" s="11"/>
      <c r="N317" s="11"/>
      <c r="O317" s="11"/>
      <c r="P317" s="82"/>
    </row>
    <row r="318" spans="2:16" s="9" customFormat="1" x14ac:dyDescent="0.2">
      <c r="B318" s="10"/>
      <c r="C318" s="11"/>
      <c r="D318" s="63"/>
      <c r="E318" s="150"/>
      <c r="F318" s="65"/>
      <c r="G318" s="12"/>
      <c r="H318" s="41"/>
      <c r="I318" s="30"/>
      <c r="J318" s="30"/>
      <c r="K318" s="97"/>
      <c r="L318" s="11"/>
      <c r="M318" s="11"/>
      <c r="N318" s="11"/>
      <c r="O318" s="11"/>
      <c r="P318" s="82"/>
    </row>
    <row r="319" spans="2:16" s="9" customFormat="1" x14ac:dyDescent="0.2">
      <c r="B319" s="10"/>
      <c r="C319" s="11"/>
      <c r="D319" s="63"/>
      <c r="E319" s="150"/>
      <c r="F319" s="65"/>
      <c r="G319" s="12"/>
      <c r="H319" s="41"/>
      <c r="I319" s="30"/>
      <c r="J319" s="30"/>
      <c r="K319" s="97"/>
      <c r="L319" s="11"/>
      <c r="M319" s="11"/>
      <c r="N319" s="11"/>
      <c r="O319" s="11"/>
      <c r="P319" s="82"/>
    </row>
    <row r="320" spans="2:16" s="9" customFormat="1" x14ac:dyDescent="0.2">
      <c r="B320" s="10"/>
      <c r="C320" s="11"/>
      <c r="D320" s="63"/>
      <c r="E320" s="150"/>
      <c r="F320" s="65"/>
      <c r="G320" s="12"/>
      <c r="H320" s="41"/>
      <c r="I320" s="30"/>
      <c r="J320" s="30"/>
      <c r="K320" s="97"/>
      <c r="L320" s="11"/>
      <c r="M320" s="11"/>
      <c r="N320" s="11"/>
      <c r="O320" s="11"/>
      <c r="P320" s="82"/>
    </row>
    <row r="321" spans="2:16" s="9" customFormat="1" x14ac:dyDescent="0.2">
      <c r="B321" s="10"/>
      <c r="C321" s="11"/>
      <c r="D321" s="63"/>
      <c r="E321" s="150"/>
      <c r="F321" s="65"/>
      <c r="G321" s="12"/>
      <c r="H321" s="41"/>
      <c r="I321" s="30"/>
      <c r="J321" s="30"/>
      <c r="K321" s="97"/>
      <c r="L321" s="11"/>
      <c r="M321" s="11"/>
      <c r="N321" s="11"/>
      <c r="O321" s="11"/>
      <c r="P321" s="82"/>
    </row>
    <row r="322" spans="2:16" s="9" customFormat="1" x14ac:dyDescent="0.2">
      <c r="B322" s="10"/>
      <c r="C322" s="11"/>
      <c r="D322" s="63"/>
      <c r="E322" s="150"/>
      <c r="F322" s="65"/>
      <c r="G322" s="12"/>
      <c r="H322" s="41"/>
      <c r="I322" s="30"/>
      <c r="J322" s="30"/>
      <c r="K322" s="97"/>
      <c r="L322" s="11"/>
      <c r="M322" s="11"/>
      <c r="N322" s="11"/>
      <c r="O322" s="11"/>
      <c r="P322" s="82"/>
    </row>
    <row r="323" spans="2:16" s="9" customFormat="1" x14ac:dyDescent="0.2">
      <c r="B323" s="10"/>
      <c r="C323" s="11"/>
      <c r="D323" s="63"/>
      <c r="E323" s="150"/>
      <c r="F323" s="65"/>
      <c r="G323" s="12"/>
      <c r="H323" s="41"/>
      <c r="I323" s="30"/>
      <c r="J323" s="30"/>
      <c r="K323" s="97"/>
      <c r="L323" s="11"/>
      <c r="M323" s="11"/>
      <c r="N323" s="11"/>
      <c r="O323" s="11"/>
      <c r="P323" s="82"/>
    </row>
    <row r="324" spans="2:16" s="9" customFormat="1" x14ac:dyDescent="0.2">
      <c r="B324" s="10"/>
      <c r="C324" s="11"/>
      <c r="D324" s="63"/>
      <c r="E324" s="150"/>
      <c r="F324" s="65"/>
      <c r="G324" s="12"/>
      <c r="H324" s="41"/>
      <c r="I324" s="30"/>
      <c r="J324" s="30"/>
      <c r="K324" s="97"/>
      <c r="L324" s="11"/>
      <c r="M324" s="11"/>
      <c r="N324" s="11"/>
      <c r="O324" s="11"/>
      <c r="P324" s="82"/>
    </row>
    <row r="325" spans="2:16" s="9" customFormat="1" x14ac:dyDescent="0.2">
      <c r="B325" s="10"/>
      <c r="C325" s="11"/>
      <c r="D325" s="63"/>
      <c r="E325" s="150"/>
      <c r="F325" s="65"/>
      <c r="G325" s="12"/>
      <c r="H325" s="41"/>
      <c r="I325" s="30"/>
      <c r="J325" s="30"/>
      <c r="K325" s="97"/>
      <c r="L325" s="11"/>
      <c r="M325" s="11"/>
      <c r="N325" s="11"/>
      <c r="O325" s="11"/>
      <c r="P325" s="82"/>
    </row>
    <row r="326" spans="2:16" s="9" customFormat="1" x14ac:dyDescent="0.2">
      <c r="B326" s="10"/>
      <c r="C326" s="11"/>
      <c r="D326" s="63"/>
      <c r="E326" s="150"/>
      <c r="F326" s="65"/>
      <c r="G326" s="12"/>
      <c r="H326" s="41"/>
      <c r="I326" s="30"/>
      <c r="J326" s="30"/>
      <c r="K326" s="97"/>
      <c r="L326" s="11"/>
      <c r="M326" s="11"/>
      <c r="N326" s="11"/>
      <c r="O326" s="11"/>
      <c r="P326" s="82"/>
    </row>
    <row r="327" spans="2:16" s="9" customFormat="1" x14ac:dyDescent="0.2">
      <c r="B327" s="10"/>
      <c r="C327" s="11"/>
      <c r="D327" s="63"/>
      <c r="E327" s="150"/>
      <c r="F327" s="65"/>
      <c r="G327" s="12"/>
      <c r="H327" s="41"/>
      <c r="I327" s="30"/>
      <c r="J327" s="30"/>
      <c r="K327" s="97"/>
      <c r="L327" s="11"/>
      <c r="M327" s="11"/>
      <c r="N327" s="11"/>
      <c r="O327" s="11"/>
      <c r="P327" s="82"/>
    </row>
    <row r="328" spans="2:16" s="9" customFormat="1" x14ac:dyDescent="0.2">
      <c r="B328" s="10"/>
      <c r="C328" s="11"/>
      <c r="D328" s="63"/>
      <c r="E328" s="150"/>
      <c r="F328" s="65"/>
      <c r="G328" s="12"/>
      <c r="H328" s="41"/>
      <c r="I328" s="30"/>
      <c r="J328" s="30"/>
      <c r="K328" s="97"/>
      <c r="L328" s="11"/>
      <c r="M328" s="11"/>
      <c r="N328" s="11"/>
      <c r="O328" s="11"/>
      <c r="P328" s="82"/>
    </row>
    <row r="329" spans="2:16" s="9" customFormat="1" x14ac:dyDescent="0.2">
      <c r="B329" s="10"/>
      <c r="C329" s="11"/>
      <c r="D329" s="63"/>
      <c r="E329" s="150"/>
      <c r="F329" s="65"/>
      <c r="G329" s="12"/>
      <c r="H329" s="41"/>
      <c r="I329" s="30"/>
      <c r="J329" s="30"/>
      <c r="K329" s="97"/>
      <c r="L329" s="11"/>
      <c r="M329" s="11"/>
      <c r="N329" s="11"/>
      <c r="O329" s="11"/>
      <c r="P329" s="82"/>
    </row>
    <row r="330" spans="2:16" s="9" customFormat="1" x14ac:dyDescent="0.2">
      <c r="B330" s="10"/>
      <c r="C330" s="11"/>
      <c r="D330" s="63"/>
      <c r="E330" s="150"/>
      <c r="F330" s="65"/>
      <c r="G330" s="12"/>
      <c r="H330" s="41"/>
      <c r="I330" s="30"/>
      <c r="J330" s="30"/>
      <c r="K330" s="97"/>
      <c r="L330" s="11"/>
      <c r="M330" s="11"/>
      <c r="N330" s="11"/>
      <c r="O330" s="11"/>
      <c r="P330" s="82"/>
    </row>
    <row r="331" spans="2:16" s="9" customFormat="1" x14ac:dyDescent="0.2">
      <c r="B331" s="10"/>
      <c r="C331" s="11"/>
      <c r="D331" s="63"/>
      <c r="E331" s="150"/>
      <c r="F331" s="65"/>
      <c r="G331" s="12"/>
      <c r="H331" s="41"/>
      <c r="I331" s="30"/>
      <c r="J331" s="30"/>
      <c r="K331" s="97"/>
      <c r="L331" s="11"/>
      <c r="M331" s="11"/>
      <c r="N331" s="11"/>
      <c r="O331" s="11"/>
      <c r="P331" s="82"/>
    </row>
    <row r="332" spans="2:16" s="9" customFormat="1" x14ac:dyDescent="0.2">
      <c r="B332" s="10"/>
      <c r="C332" s="11"/>
      <c r="D332" s="63"/>
      <c r="E332" s="150"/>
      <c r="F332" s="65"/>
      <c r="G332" s="12"/>
      <c r="H332" s="41"/>
      <c r="I332" s="30"/>
      <c r="J332" s="30"/>
      <c r="K332" s="97"/>
      <c r="L332" s="11"/>
      <c r="M332" s="11"/>
      <c r="N332" s="11"/>
      <c r="O332" s="11"/>
      <c r="P332" s="82"/>
    </row>
    <row r="333" spans="2:16" s="9" customFormat="1" x14ac:dyDescent="0.2">
      <c r="B333" s="10"/>
      <c r="C333" s="11"/>
      <c r="D333" s="63"/>
      <c r="E333" s="150"/>
      <c r="F333" s="65"/>
      <c r="G333" s="12"/>
      <c r="H333" s="41"/>
      <c r="I333" s="30"/>
      <c r="J333" s="30"/>
      <c r="K333" s="97"/>
      <c r="L333" s="11"/>
      <c r="M333" s="11"/>
      <c r="N333" s="11"/>
      <c r="O333" s="11"/>
      <c r="P333" s="82"/>
    </row>
    <row r="334" spans="2:16" s="9" customFormat="1" x14ac:dyDescent="0.2">
      <c r="B334" s="10"/>
      <c r="C334" s="11"/>
      <c r="D334" s="63"/>
      <c r="E334" s="150"/>
      <c r="F334" s="65"/>
      <c r="G334" s="12"/>
      <c r="H334" s="41"/>
      <c r="I334" s="30"/>
      <c r="J334" s="30"/>
      <c r="K334" s="97"/>
      <c r="L334" s="11"/>
      <c r="M334" s="11"/>
      <c r="N334" s="11"/>
      <c r="O334" s="11"/>
      <c r="P334" s="82"/>
    </row>
    <row r="335" spans="2:16" s="9" customFormat="1" x14ac:dyDescent="0.2">
      <c r="B335" s="10"/>
      <c r="C335" s="11"/>
      <c r="D335" s="63"/>
      <c r="E335" s="150"/>
      <c r="F335" s="65"/>
      <c r="G335" s="12"/>
      <c r="H335" s="41"/>
      <c r="I335" s="30"/>
      <c r="J335" s="30"/>
      <c r="K335" s="97"/>
      <c r="L335" s="11"/>
      <c r="M335" s="11"/>
      <c r="N335" s="11"/>
      <c r="O335" s="11"/>
      <c r="P335" s="82"/>
    </row>
    <row r="336" spans="2:16" s="9" customFormat="1" x14ac:dyDescent="0.2">
      <c r="B336" s="10"/>
      <c r="C336" s="11"/>
      <c r="D336" s="63"/>
      <c r="E336" s="150"/>
      <c r="F336" s="65"/>
      <c r="G336" s="12"/>
      <c r="H336" s="41"/>
      <c r="I336" s="30"/>
      <c r="J336" s="30"/>
      <c r="K336" s="97"/>
      <c r="L336" s="11"/>
      <c r="M336" s="11"/>
      <c r="N336" s="11"/>
      <c r="O336" s="11"/>
      <c r="P336" s="82"/>
    </row>
    <row r="337" spans="2:16" s="9" customFormat="1" x14ac:dyDescent="0.2">
      <c r="B337" s="10"/>
      <c r="C337" s="11"/>
      <c r="D337" s="63"/>
      <c r="E337" s="150"/>
      <c r="F337" s="65"/>
      <c r="G337" s="12"/>
      <c r="H337" s="41"/>
      <c r="I337" s="30"/>
      <c r="J337" s="30"/>
      <c r="K337" s="97"/>
      <c r="L337" s="11"/>
      <c r="M337" s="11"/>
      <c r="N337" s="11"/>
      <c r="O337" s="11"/>
      <c r="P337" s="82"/>
    </row>
    <row r="338" spans="2:16" s="9" customFormat="1" x14ac:dyDescent="0.2">
      <c r="B338" s="10"/>
      <c r="C338" s="11"/>
      <c r="D338" s="63"/>
      <c r="E338" s="150"/>
      <c r="F338" s="65"/>
      <c r="G338" s="12"/>
      <c r="H338" s="41"/>
      <c r="I338" s="30"/>
      <c r="J338" s="30"/>
      <c r="K338" s="97"/>
      <c r="L338" s="11"/>
      <c r="M338" s="11"/>
      <c r="N338" s="11"/>
      <c r="O338" s="11"/>
      <c r="P338" s="82"/>
    </row>
    <row r="339" spans="2:16" s="9" customFormat="1" x14ac:dyDescent="0.2">
      <c r="B339" s="10"/>
      <c r="C339" s="11"/>
      <c r="D339" s="63"/>
      <c r="E339" s="150"/>
      <c r="F339" s="65"/>
      <c r="G339" s="12"/>
      <c r="H339" s="41"/>
      <c r="I339" s="30"/>
      <c r="J339" s="30"/>
      <c r="K339" s="97"/>
      <c r="L339" s="11"/>
      <c r="M339" s="11"/>
      <c r="N339" s="11"/>
      <c r="O339" s="11"/>
      <c r="P339" s="82"/>
    </row>
    <row r="340" spans="2:16" s="9" customFormat="1" x14ac:dyDescent="0.2">
      <c r="B340" s="10"/>
      <c r="C340" s="11"/>
      <c r="D340" s="63"/>
      <c r="E340" s="150"/>
      <c r="F340" s="65"/>
      <c r="G340" s="12"/>
      <c r="H340" s="41"/>
      <c r="I340" s="30"/>
      <c r="J340" s="30"/>
      <c r="K340" s="97"/>
      <c r="L340" s="11"/>
      <c r="M340" s="11"/>
      <c r="N340" s="11"/>
      <c r="O340" s="11"/>
      <c r="P340" s="82"/>
    </row>
    <row r="341" spans="2:16" s="9" customFormat="1" x14ac:dyDescent="0.2">
      <c r="B341" s="10"/>
      <c r="C341" s="11"/>
      <c r="D341" s="63"/>
      <c r="E341" s="150"/>
      <c r="F341" s="65"/>
      <c r="G341" s="12"/>
      <c r="H341" s="41"/>
      <c r="I341" s="30"/>
      <c r="J341" s="30"/>
      <c r="K341" s="97"/>
      <c r="L341" s="11"/>
      <c r="M341" s="11"/>
      <c r="N341" s="11"/>
      <c r="O341" s="11"/>
      <c r="P341" s="82"/>
    </row>
    <row r="342" spans="2:16" s="9" customFormat="1" x14ac:dyDescent="0.2">
      <c r="B342" s="10"/>
      <c r="C342" s="11"/>
      <c r="D342" s="63"/>
      <c r="E342" s="150"/>
      <c r="F342" s="65"/>
      <c r="G342" s="12"/>
      <c r="H342" s="41"/>
      <c r="I342" s="30"/>
      <c r="J342" s="30"/>
      <c r="K342" s="97"/>
      <c r="L342" s="11"/>
      <c r="M342" s="11"/>
      <c r="N342" s="11"/>
      <c r="O342" s="11"/>
      <c r="P342" s="82"/>
    </row>
    <row r="343" spans="2:16" s="9" customFormat="1" x14ac:dyDescent="0.2">
      <c r="B343" s="10"/>
      <c r="C343" s="11"/>
      <c r="D343" s="63"/>
      <c r="E343" s="150"/>
      <c r="F343" s="65"/>
      <c r="G343" s="12"/>
      <c r="H343" s="41"/>
      <c r="I343" s="30"/>
      <c r="J343" s="30"/>
      <c r="K343" s="97"/>
      <c r="L343" s="11"/>
      <c r="M343" s="11"/>
      <c r="N343" s="11"/>
      <c r="O343" s="11"/>
      <c r="P343" s="82"/>
    </row>
    <row r="344" spans="2:16" s="9" customFormat="1" x14ac:dyDescent="0.2">
      <c r="B344" s="10"/>
      <c r="C344" s="11"/>
      <c r="D344" s="63"/>
      <c r="E344" s="150"/>
      <c r="F344" s="65"/>
      <c r="G344" s="12"/>
      <c r="H344" s="41"/>
      <c r="I344" s="30"/>
      <c r="J344" s="30"/>
      <c r="K344" s="97"/>
      <c r="L344" s="11"/>
      <c r="M344" s="11"/>
      <c r="N344" s="11"/>
      <c r="O344" s="11"/>
      <c r="P344" s="82"/>
    </row>
    <row r="345" spans="2:16" s="9" customFormat="1" x14ac:dyDescent="0.2">
      <c r="B345" s="10"/>
      <c r="C345" s="11"/>
      <c r="D345" s="63"/>
      <c r="E345" s="150"/>
      <c r="F345" s="65"/>
      <c r="G345" s="12"/>
      <c r="H345" s="41"/>
      <c r="I345" s="30"/>
      <c r="J345" s="30"/>
      <c r="K345" s="97"/>
      <c r="L345" s="11"/>
      <c r="M345" s="11"/>
      <c r="N345" s="11"/>
      <c r="O345" s="11"/>
      <c r="P345" s="82"/>
    </row>
    <row r="346" spans="2:16" s="9" customFormat="1" x14ac:dyDescent="0.2">
      <c r="B346" s="10"/>
      <c r="C346" s="11"/>
      <c r="D346" s="63"/>
      <c r="E346" s="150"/>
      <c r="F346" s="65"/>
      <c r="G346" s="12"/>
      <c r="H346" s="41"/>
      <c r="I346" s="30"/>
      <c r="J346" s="30"/>
      <c r="K346" s="97"/>
      <c r="L346" s="11"/>
      <c r="M346" s="11"/>
      <c r="N346" s="11"/>
      <c r="O346" s="11"/>
      <c r="P346" s="82"/>
    </row>
    <row r="347" spans="2:16" s="9" customFormat="1" x14ac:dyDescent="0.2">
      <c r="B347" s="10"/>
      <c r="C347" s="11"/>
      <c r="D347" s="63"/>
      <c r="E347" s="150"/>
      <c r="F347" s="65"/>
      <c r="G347" s="12"/>
      <c r="H347" s="41"/>
      <c r="I347" s="30"/>
      <c r="J347" s="30"/>
      <c r="K347" s="97"/>
      <c r="L347" s="11"/>
      <c r="M347" s="11"/>
      <c r="N347" s="11"/>
      <c r="O347" s="11"/>
      <c r="P347" s="82"/>
    </row>
    <row r="348" spans="2:16" s="9" customFormat="1" x14ac:dyDescent="0.2">
      <c r="B348" s="10"/>
      <c r="C348" s="11"/>
      <c r="D348" s="63"/>
      <c r="E348" s="150"/>
      <c r="F348" s="65"/>
      <c r="G348" s="12"/>
      <c r="H348" s="41"/>
      <c r="I348" s="30"/>
      <c r="J348" s="30"/>
      <c r="K348" s="97"/>
      <c r="L348" s="11"/>
      <c r="M348" s="11"/>
      <c r="N348" s="11"/>
      <c r="O348" s="11"/>
      <c r="P348" s="82"/>
    </row>
    <row r="349" spans="2:16" s="9" customFormat="1" x14ac:dyDescent="0.2">
      <c r="B349" s="10"/>
      <c r="C349" s="11"/>
      <c r="D349" s="63"/>
      <c r="E349" s="150"/>
      <c r="F349" s="65"/>
      <c r="G349" s="12"/>
      <c r="H349" s="41"/>
      <c r="I349" s="30"/>
      <c r="J349" s="30"/>
      <c r="K349" s="97"/>
      <c r="L349" s="11"/>
      <c r="M349" s="11"/>
      <c r="N349" s="11"/>
      <c r="O349" s="11"/>
      <c r="P349" s="82"/>
    </row>
    <row r="350" spans="2:16" s="9" customFormat="1" x14ac:dyDescent="0.2">
      <c r="B350" s="10"/>
      <c r="C350" s="11"/>
      <c r="D350" s="63"/>
      <c r="E350" s="150"/>
      <c r="F350" s="65"/>
      <c r="G350" s="12"/>
      <c r="H350" s="41"/>
      <c r="I350" s="30"/>
      <c r="J350" s="30"/>
      <c r="K350" s="97"/>
      <c r="L350" s="11"/>
      <c r="M350" s="11"/>
      <c r="N350" s="11"/>
      <c r="O350" s="11"/>
      <c r="P350" s="82"/>
    </row>
    <row r="351" spans="2:16" s="9" customFormat="1" x14ac:dyDescent="0.2">
      <c r="B351" s="10"/>
      <c r="C351" s="11"/>
      <c r="D351" s="63"/>
      <c r="E351" s="150"/>
      <c r="F351" s="65"/>
      <c r="G351" s="12"/>
      <c r="H351" s="41"/>
      <c r="I351" s="30"/>
      <c r="J351" s="30"/>
      <c r="K351" s="97"/>
      <c r="L351" s="11"/>
      <c r="M351" s="11"/>
      <c r="N351" s="11"/>
      <c r="O351" s="11"/>
      <c r="P351" s="82"/>
    </row>
    <row r="352" spans="2:16" s="9" customFormat="1" x14ac:dyDescent="0.2">
      <c r="B352" s="10"/>
      <c r="C352" s="11"/>
      <c r="D352" s="63"/>
      <c r="E352" s="150"/>
      <c r="F352" s="65"/>
      <c r="G352" s="12"/>
      <c r="H352" s="41"/>
      <c r="I352" s="30"/>
      <c r="J352" s="30"/>
      <c r="K352" s="97"/>
      <c r="L352" s="11"/>
      <c r="M352" s="11"/>
      <c r="N352" s="11"/>
      <c r="O352" s="11"/>
      <c r="P352" s="82"/>
    </row>
    <row r="353" spans="2:16" s="9" customFormat="1" x14ac:dyDescent="0.2">
      <c r="B353" s="10"/>
      <c r="C353" s="11"/>
      <c r="D353" s="63"/>
      <c r="E353" s="150"/>
      <c r="F353" s="65"/>
      <c r="G353" s="12"/>
      <c r="H353" s="41"/>
      <c r="I353" s="30"/>
      <c r="J353" s="30"/>
      <c r="K353" s="97"/>
      <c r="L353" s="11"/>
      <c r="M353" s="11"/>
      <c r="N353" s="11"/>
      <c r="O353" s="11"/>
      <c r="P353" s="82"/>
    </row>
    <row r="354" spans="2:16" s="9" customFormat="1" x14ac:dyDescent="0.2">
      <c r="B354" s="10"/>
      <c r="C354" s="11"/>
      <c r="D354" s="63"/>
      <c r="E354" s="150"/>
      <c r="F354" s="65"/>
      <c r="G354" s="12"/>
      <c r="H354" s="41"/>
      <c r="I354" s="30"/>
      <c r="J354" s="30"/>
      <c r="K354" s="97"/>
      <c r="L354" s="11"/>
      <c r="M354" s="11"/>
      <c r="N354" s="11"/>
      <c r="O354" s="11"/>
      <c r="P354" s="82"/>
    </row>
    <row r="355" spans="2:16" s="9" customFormat="1" x14ac:dyDescent="0.2">
      <c r="B355" s="10"/>
      <c r="C355" s="11"/>
      <c r="D355" s="63"/>
      <c r="E355" s="150"/>
      <c r="F355" s="65"/>
      <c r="G355" s="12"/>
      <c r="H355" s="41"/>
      <c r="I355" s="30"/>
      <c r="J355" s="30"/>
      <c r="K355" s="97"/>
      <c r="L355" s="11"/>
      <c r="M355" s="11"/>
      <c r="N355" s="11"/>
      <c r="O355" s="11"/>
      <c r="P355" s="82"/>
    </row>
    <row r="356" spans="2:16" s="9" customFormat="1" x14ac:dyDescent="0.2">
      <c r="B356" s="10"/>
      <c r="C356" s="11"/>
      <c r="D356" s="63"/>
      <c r="E356" s="150"/>
      <c r="F356" s="65"/>
      <c r="G356" s="12"/>
      <c r="H356" s="41"/>
      <c r="I356" s="30"/>
      <c r="J356" s="30"/>
      <c r="K356" s="97"/>
      <c r="L356" s="11"/>
      <c r="M356" s="11"/>
      <c r="N356" s="11"/>
      <c r="O356" s="11"/>
      <c r="P356" s="82"/>
    </row>
    <row r="357" spans="2:16" s="9" customFormat="1" x14ac:dyDescent="0.2">
      <c r="B357" s="10"/>
      <c r="C357" s="11"/>
      <c r="D357" s="63"/>
      <c r="E357" s="150"/>
      <c r="F357" s="65"/>
      <c r="G357" s="12"/>
      <c r="H357" s="41"/>
      <c r="I357" s="30"/>
      <c r="J357" s="30"/>
      <c r="K357" s="97"/>
      <c r="L357" s="11"/>
      <c r="M357" s="11"/>
      <c r="N357" s="11"/>
      <c r="O357" s="11"/>
      <c r="P357" s="82"/>
    </row>
    <row r="358" spans="2:16" s="9" customFormat="1" x14ac:dyDescent="0.2">
      <c r="B358" s="10"/>
      <c r="C358" s="11"/>
      <c r="D358" s="63"/>
      <c r="E358" s="150"/>
      <c r="F358" s="65"/>
      <c r="G358" s="12"/>
      <c r="H358" s="41"/>
      <c r="I358" s="30"/>
      <c r="J358" s="30"/>
      <c r="K358" s="97"/>
      <c r="L358" s="11"/>
      <c r="M358" s="11"/>
      <c r="N358" s="11"/>
      <c r="O358" s="11"/>
      <c r="P358" s="82"/>
    </row>
    <row r="359" spans="2:16" s="9" customFormat="1" x14ac:dyDescent="0.2">
      <c r="B359" s="10"/>
      <c r="C359" s="11"/>
      <c r="D359" s="63"/>
      <c r="E359" s="150"/>
      <c r="F359" s="65"/>
      <c r="G359" s="12"/>
      <c r="H359" s="41"/>
      <c r="I359" s="30"/>
      <c r="J359" s="30"/>
      <c r="K359" s="97"/>
      <c r="L359" s="11"/>
      <c r="M359" s="11"/>
      <c r="N359" s="11"/>
      <c r="O359" s="11"/>
      <c r="P359" s="82"/>
    </row>
    <row r="360" spans="2:16" s="9" customFormat="1" x14ac:dyDescent="0.2">
      <c r="B360" s="10"/>
      <c r="C360" s="11"/>
      <c r="D360" s="63"/>
      <c r="E360" s="150"/>
      <c r="F360" s="65"/>
      <c r="G360" s="12"/>
      <c r="H360" s="41"/>
      <c r="I360" s="30"/>
      <c r="J360" s="30"/>
      <c r="K360" s="97"/>
      <c r="L360" s="11"/>
      <c r="M360" s="11"/>
      <c r="N360" s="11"/>
      <c r="O360" s="11"/>
      <c r="P360" s="82"/>
    </row>
    <row r="361" spans="2:16" s="9" customFormat="1" x14ac:dyDescent="0.2">
      <c r="B361" s="10"/>
      <c r="C361" s="11"/>
      <c r="D361" s="63"/>
      <c r="E361" s="150"/>
      <c r="F361" s="65"/>
      <c r="G361" s="12"/>
      <c r="H361" s="41"/>
      <c r="I361" s="30"/>
      <c r="J361" s="30"/>
      <c r="K361" s="97"/>
      <c r="L361" s="11"/>
      <c r="M361" s="11"/>
      <c r="N361" s="11"/>
      <c r="O361" s="11"/>
      <c r="P361" s="82"/>
    </row>
    <row r="362" spans="2:16" s="9" customFormat="1" x14ac:dyDescent="0.2">
      <c r="B362" s="10"/>
      <c r="C362" s="11"/>
      <c r="D362" s="63"/>
      <c r="E362" s="150"/>
      <c r="F362" s="65"/>
      <c r="G362" s="12"/>
      <c r="H362" s="41"/>
      <c r="I362" s="30"/>
      <c r="J362" s="30"/>
      <c r="K362" s="97"/>
      <c r="L362" s="11"/>
      <c r="M362" s="11"/>
      <c r="N362" s="11"/>
      <c r="O362" s="11"/>
      <c r="P362" s="82"/>
    </row>
    <row r="363" spans="2:16" s="9" customFormat="1" x14ac:dyDescent="0.2">
      <c r="B363" s="10"/>
      <c r="C363" s="11"/>
      <c r="D363" s="63"/>
      <c r="E363" s="150"/>
      <c r="F363" s="65"/>
      <c r="G363" s="12"/>
      <c r="H363" s="41"/>
      <c r="I363" s="30"/>
      <c r="J363" s="30"/>
      <c r="K363" s="97"/>
      <c r="L363" s="11"/>
      <c r="M363" s="11"/>
      <c r="N363" s="11"/>
      <c r="O363" s="11"/>
      <c r="P363" s="82"/>
    </row>
    <row r="364" spans="2:16" s="9" customFormat="1" x14ac:dyDescent="0.2">
      <c r="B364" s="10"/>
      <c r="C364" s="11"/>
      <c r="D364" s="63"/>
      <c r="E364" s="150"/>
      <c r="F364" s="65"/>
      <c r="G364" s="12"/>
      <c r="H364" s="41"/>
      <c r="I364" s="30"/>
      <c r="J364" s="30"/>
      <c r="K364" s="97"/>
      <c r="L364" s="11"/>
      <c r="M364" s="11"/>
      <c r="N364" s="11"/>
      <c r="O364" s="11"/>
      <c r="P364" s="82"/>
    </row>
    <row r="365" spans="2:16" s="9" customFormat="1" x14ac:dyDescent="0.2">
      <c r="B365" s="10"/>
      <c r="C365" s="11"/>
      <c r="D365" s="63"/>
      <c r="E365" s="150"/>
      <c r="F365" s="65"/>
      <c r="G365" s="12"/>
      <c r="H365" s="41"/>
      <c r="I365" s="30"/>
      <c r="J365" s="30"/>
      <c r="K365" s="97"/>
      <c r="L365" s="11"/>
      <c r="M365" s="11"/>
      <c r="N365" s="11"/>
      <c r="O365" s="11"/>
      <c r="P365" s="82"/>
    </row>
    <row r="366" spans="2:16" s="9" customFormat="1" x14ac:dyDescent="0.2">
      <c r="B366" s="10"/>
      <c r="C366" s="11"/>
      <c r="D366" s="63"/>
      <c r="E366" s="150"/>
      <c r="F366" s="65"/>
      <c r="G366" s="12"/>
      <c r="H366" s="41"/>
      <c r="I366" s="30"/>
      <c r="J366" s="30"/>
      <c r="K366" s="97"/>
      <c r="L366" s="11"/>
      <c r="M366" s="11"/>
      <c r="N366" s="11"/>
      <c r="O366" s="11"/>
      <c r="P366" s="82"/>
    </row>
    <row r="367" spans="2:16" s="9" customFormat="1" x14ac:dyDescent="0.2">
      <c r="B367" s="10"/>
      <c r="C367" s="11"/>
      <c r="D367" s="63"/>
      <c r="E367" s="150"/>
      <c r="F367" s="65"/>
      <c r="G367" s="12"/>
      <c r="H367" s="41"/>
      <c r="I367" s="30"/>
      <c r="J367" s="30"/>
      <c r="K367" s="97"/>
      <c r="L367" s="11"/>
      <c r="M367" s="11"/>
      <c r="N367" s="11"/>
      <c r="O367" s="11"/>
      <c r="P367" s="82"/>
    </row>
    <row r="368" spans="2:16" s="9" customFormat="1" x14ac:dyDescent="0.2">
      <c r="B368" s="10"/>
      <c r="C368" s="11"/>
      <c r="D368" s="63"/>
      <c r="E368" s="150"/>
      <c r="F368" s="65"/>
      <c r="G368" s="12"/>
      <c r="H368" s="41"/>
      <c r="I368" s="30"/>
      <c r="J368" s="30"/>
      <c r="K368" s="97"/>
      <c r="L368" s="11"/>
      <c r="M368" s="11"/>
      <c r="N368" s="11"/>
      <c r="O368" s="11"/>
      <c r="P368" s="82"/>
    </row>
    <row r="369" spans="2:16" s="9" customFormat="1" x14ac:dyDescent="0.2">
      <c r="B369" s="10"/>
      <c r="C369" s="11"/>
      <c r="D369" s="63"/>
      <c r="E369" s="150"/>
      <c r="F369" s="65"/>
      <c r="G369" s="12"/>
      <c r="H369" s="41"/>
      <c r="I369" s="30"/>
      <c r="J369" s="30"/>
      <c r="K369" s="97"/>
      <c r="L369" s="11"/>
      <c r="M369" s="11"/>
      <c r="N369" s="11"/>
      <c r="O369" s="11"/>
      <c r="P369" s="82"/>
    </row>
    <row r="370" spans="2:16" s="9" customFormat="1" x14ac:dyDescent="0.2">
      <c r="B370" s="10"/>
      <c r="C370" s="11"/>
      <c r="D370" s="63"/>
      <c r="E370" s="150"/>
      <c r="F370" s="65"/>
      <c r="G370" s="12"/>
      <c r="H370" s="41"/>
      <c r="I370" s="30"/>
      <c r="J370" s="30"/>
      <c r="K370" s="97"/>
      <c r="L370" s="11"/>
      <c r="M370" s="11"/>
      <c r="N370" s="11"/>
      <c r="O370" s="11"/>
      <c r="P370" s="82"/>
    </row>
    <row r="371" spans="2:16" s="9" customFormat="1" x14ac:dyDescent="0.2">
      <c r="B371" s="10"/>
      <c r="C371" s="11"/>
      <c r="D371" s="63"/>
      <c r="E371" s="150"/>
      <c r="F371" s="65"/>
      <c r="G371" s="12"/>
      <c r="H371" s="41"/>
      <c r="I371" s="30"/>
      <c r="J371" s="30"/>
      <c r="K371" s="97"/>
      <c r="L371" s="11"/>
      <c r="M371" s="11"/>
      <c r="N371" s="11"/>
      <c r="O371" s="11"/>
      <c r="P371" s="82"/>
    </row>
    <row r="372" spans="2:16" s="9" customFormat="1" x14ac:dyDescent="0.2">
      <c r="B372" s="10"/>
      <c r="C372" s="11"/>
      <c r="D372" s="63"/>
      <c r="E372" s="150"/>
      <c r="F372" s="65"/>
      <c r="G372" s="12"/>
      <c r="H372" s="41"/>
      <c r="I372" s="30"/>
      <c r="J372" s="30"/>
      <c r="K372" s="97"/>
      <c r="L372" s="11"/>
      <c r="M372" s="11"/>
      <c r="N372" s="11"/>
      <c r="O372" s="11"/>
      <c r="P372" s="82"/>
    </row>
    <row r="373" spans="2:16" s="9" customFormat="1" x14ac:dyDescent="0.2">
      <c r="B373" s="10"/>
      <c r="C373" s="11"/>
      <c r="D373" s="63"/>
      <c r="E373" s="150"/>
      <c r="F373" s="65"/>
      <c r="G373" s="12"/>
      <c r="H373" s="41"/>
      <c r="I373" s="30"/>
      <c r="J373" s="30"/>
      <c r="K373" s="97"/>
      <c r="L373" s="11"/>
      <c r="M373" s="11"/>
      <c r="N373" s="11"/>
      <c r="O373" s="11"/>
      <c r="P373" s="82"/>
    </row>
    <row r="374" spans="2:16" s="9" customFormat="1" x14ac:dyDescent="0.2">
      <c r="B374" s="10"/>
      <c r="C374" s="11"/>
      <c r="D374" s="63"/>
      <c r="E374" s="150"/>
      <c r="F374" s="65"/>
      <c r="G374" s="12"/>
      <c r="H374" s="41"/>
      <c r="I374" s="30"/>
      <c r="J374" s="30"/>
      <c r="K374" s="97"/>
      <c r="L374" s="11"/>
      <c r="M374" s="11"/>
      <c r="N374" s="11"/>
      <c r="O374" s="11"/>
      <c r="P374" s="82"/>
    </row>
    <row r="375" spans="2:16" s="9" customFormat="1" x14ac:dyDescent="0.2">
      <c r="B375" s="10"/>
      <c r="C375" s="11"/>
      <c r="D375" s="63"/>
      <c r="E375" s="150"/>
      <c r="F375" s="65"/>
      <c r="G375" s="12"/>
      <c r="H375" s="41"/>
      <c r="I375" s="30"/>
      <c r="J375" s="30"/>
      <c r="K375" s="97"/>
      <c r="L375" s="11"/>
      <c r="M375" s="11"/>
      <c r="N375" s="11"/>
      <c r="O375" s="11"/>
      <c r="P375" s="82"/>
    </row>
    <row r="376" spans="2:16" s="9" customFormat="1" x14ac:dyDescent="0.2">
      <c r="B376" s="10"/>
      <c r="C376" s="11"/>
      <c r="D376" s="63"/>
      <c r="E376" s="150"/>
      <c r="F376" s="65"/>
      <c r="G376" s="12"/>
      <c r="H376" s="41"/>
      <c r="I376" s="30"/>
      <c r="J376" s="30"/>
      <c r="K376" s="97"/>
      <c r="L376" s="11"/>
      <c r="M376" s="11"/>
      <c r="N376" s="11"/>
      <c r="O376" s="11"/>
      <c r="P376" s="82"/>
    </row>
    <row r="377" spans="2:16" s="9" customFormat="1" x14ac:dyDescent="0.2">
      <c r="B377" s="10"/>
      <c r="C377" s="11"/>
      <c r="D377" s="63"/>
      <c r="E377" s="150"/>
      <c r="F377" s="65"/>
      <c r="G377" s="12"/>
      <c r="H377" s="41"/>
      <c r="I377" s="30"/>
      <c r="J377" s="30"/>
      <c r="K377" s="97"/>
      <c r="L377" s="11"/>
      <c r="M377" s="11"/>
      <c r="N377" s="11"/>
      <c r="O377" s="11"/>
      <c r="P377" s="82"/>
    </row>
    <row r="378" spans="2:16" s="9" customFormat="1" x14ac:dyDescent="0.2">
      <c r="B378" s="10"/>
      <c r="C378" s="11"/>
      <c r="D378" s="63"/>
      <c r="E378" s="150"/>
      <c r="F378" s="65"/>
      <c r="G378" s="12"/>
      <c r="H378" s="41"/>
      <c r="I378" s="30"/>
      <c r="J378" s="30"/>
      <c r="K378" s="97"/>
      <c r="L378" s="11"/>
      <c r="M378" s="11"/>
      <c r="N378" s="11"/>
      <c r="O378" s="11"/>
      <c r="P378" s="82"/>
    </row>
    <row r="379" spans="2:16" s="9" customFormat="1" x14ac:dyDescent="0.2">
      <c r="B379" s="10"/>
      <c r="C379" s="11"/>
      <c r="D379" s="63"/>
      <c r="E379" s="150"/>
      <c r="F379" s="65"/>
      <c r="G379" s="12"/>
      <c r="H379" s="41"/>
      <c r="I379" s="30"/>
      <c r="J379" s="30"/>
      <c r="K379" s="97"/>
      <c r="L379" s="11"/>
      <c r="M379" s="11"/>
      <c r="N379" s="11"/>
      <c r="O379" s="11"/>
      <c r="P379" s="82"/>
    </row>
    <row r="380" spans="2:16" s="9" customFormat="1" x14ac:dyDescent="0.2">
      <c r="B380" s="10"/>
      <c r="C380" s="11"/>
      <c r="D380" s="63"/>
      <c r="E380" s="150"/>
      <c r="F380" s="65"/>
      <c r="G380" s="12"/>
      <c r="H380" s="41"/>
      <c r="I380" s="30"/>
      <c r="J380" s="30"/>
      <c r="K380" s="97"/>
      <c r="L380" s="11"/>
      <c r="M380" s="11"/>
      <c r="N380" s="11"/>
      <c r="O380" s="11"/>
      <c r="P380" s="82"/>
    </row>
    <row r="381" spans="2:16" s="9" customFormat="1" x14ac:dyDescent="0.2">
      <c r="B381" s="10"/>
      <c r="C381" s="11"/>
      <c r="D381" s="63"/>
      <c r="E381" s="150"/>
      <c r="F381" s="65"/>
      <c r="G381" s="12"/>
      <c r="H381" s="41"/>
      <c r="I381" s="30"/>
      <c r="J381" s="30"/>
      <c r="K381" s="97"/>
      <c r="L381" s="11"/>
      <c r="M381" s="11"/>
      <c r="N381" s="11"/>
      <c r="O381" s="11"/>
      <c r="P381" s="82"/>
    </row>
    <row r="382" spans="2:16" s="9" customFormat="1" x14ac:dyDescent="0.2">
      <c r="B382" s="10"/>
      <c r="C382" s="11"/>
      <c r="D382" s="63"/>
      <c r="E382" s="150"/>
      <c r="F382" s="65"/>
      <c r="G382" s="12"/>
      <c r="H382" s="41"/>
      <c r="I382" s="30"/>
      <c r="J382" s="30"/>
      <c r="K382" s="97"/>
      <c r="L382" s="11"/>
      <c r="M382" s="11"/>
      <c r="N382" s="11"/>
      <c r="O382" s="11"/>
      <c r="P382" s="82"/>
    </row>
    <row r="383" spans="2:16" s="9" customFormat="1" x14ac:dyDescent="0.2">
      <c r="B383" s="10"/>
      <c r="C383" s="11"/>
      <c r="D383" s="63"/>
      <c r="E383" s="150"/>
      <c r="F383" s="65"/>
      <c r="G383" s="12"/>
      <c r="H383" s="41"/>
      <c r="I383" s="30"/>
      <c r="J383" s="30"/>
      <c r="K383" s="97"/>
      <c r="L383" s="11"/>
      <c r="M383" s="11"/>
      <c r="N383" s="11"/>
      <c r="O383" s="11"/>
      <c r="P383" s="82"/>
    </row>
    <row r="384" spans="2:16" s="9" customFormat="1" x14ac:dyDescent="0.2">
      <c r="B384" s="10"/>
      <c r="C384" s="11"/>
      <c r="D384" s="63"/>
      <c r="E384" s="150"/>
      <c r="F384" s="65"/>
      <c r="G384" s="12"/>
      <c r="H384" s="41"/>
      <c r="I384" s="30"/>
      <c r="J384" s="30"/>
      <c r="K384" s="97"/>
      <c r="L384" s="11"/>
      <c r="M384" s="11"/>
      <c r="N384" s="11"/>
      <c r="O384" s="11"/>
      <c r="P384" s="82"/>
    </row>
    <row r="385" spans="2:16" s="9" customFormat="1" x14ac:dyDescent="0.2">
      <c r="B385" s="10"/>
      <c r="C385" s="11"/>
      <c r="D385" s="63"/>
      <c r="E385" s="150"/>
      <c r="F385" s="65"/>
      <c r="G385" s="12"/>
      <c r="H385" s="41"/>
      <c r="I385" s="30"/>
      <c r="J385" s="30"/>
      <c r="K385" s="97"/>
      <c r="L385" s="11"/>
      <c r="M385" s="11"/>
      <c r="N385" s="11"/>
      <c r="O385" s="11"/>
      <c r="P385" s="82"/>
    </row>
    <row r="386" spans="2:16" s="9" customFormat="1" x14ac:dyDescent="0.2">
      <c r="B386" s="10"/>
      <c r="C386" s="11"/>
      <c r="D386" s="63"/>
      <c r="E386" s="150"/>
      <c r="F386" s="65"/>
      <c r="G386" s="12"/>
      <c r="H386" s="41"/>
      <c r="I386" s="30"/>
      <c r="J386" s="30"/>
      <c r="K386" s="97"/>
      <c r="L386" s="11"/>
      <c r="M386" s="11"/>
      <c r="N386" s="11"/>
      <c r="O386" s="11"/>
      <c r="P386" s="82"/>
    </row>
    <row r="387" spans="2:16" s="9" customFormat="1" x14ac:dyDescent="0.2">
      <c r="B387" s="10"/>
      <c r="C387" s="11"/>
      <c r="D387" s="63"/>
      <c r="E387" s="150"/>
      <c r="F387" s="65"/>
      <c r="G387" s="12"/>
      <c r="H387" s="41"/>
      <c r="I387" s="30"/>
      <c r="J387" s="30"/>
      <c r="K387" s="97"/>
      <c r="L387" s="11"/>
      <c r="M387" s="11"/>
      <c r="N387" s="11"/>
      <c r="O387" s="11"/>
      <c r="P387" s="82"/>
    </row>
    <row r="388" spans="2:16" s="9" customFormat="1" x14ac:dyDescent="0.2">
      <c r="B388" s="10"/>
      <c r="C388" s="11"/>
      <c r="D388" s="63"/>
      <c r="E388" s="150"/>
      <c r="F388" s="65"/>
      <c r="G388" s="12"/>
      <c r="H388" s="41"/>
      <c r="I388" s="30"/>
      <c r="J388" s="30"/>
      <c r="K388" s="97"/>
      <c r="L388" s="11"/>
      <c r="M388" s="11"/>
      <c r="N388" s="11"/>
      <c r="O388" s="11"/>
      <c r="P388" s="82"/>
    </row>
    <row r="389" spans="2:16" s="9" customFormat="1" x14ac:dyDescent="0.2">
      <c r="B389" s="10"/>
      <c r="C389" s="11"/>
      <c r="D389" s="63"/>
      <c r="E389" s="150"/>
      <c r="F389" s="65"/>
      <c r="G389" s="12"/>
      <c r="H389" s="41"/>
      <c r="I389" s="30"/>
      <c r="J389" s="30"/>
      <c r="K389" s="97"/>
      <c r="L389" s="11"/>
      <c r="M389" s="11"/>
      <c r="N389" s="11"/>
      <c r="O389" s="11"/>
      <c r="P389" s="82"/>
    </row>
    <row r="390" spans="2:16" s="9" customFormat="1" x14ac:dyDescent="0.2">
      <c r="B390" s="10"/>
      <c r="C390" s="11"/>
      <c r="D390" s="63"/>
      <c r="E390" s="150"/>
      <c r="F390" s="65"/>
      <c r="G390" s="12"/>
      <c r="H390" s="41"/>
      <c r="I390" s="30"/>
      <c r="J390" s="30"/>
      <c r="K390" s="97"/>
      <c r="L390" s="11"/>
      <c r="M390" s="11"/>
      <c r="N390" s="11"/>
      <c r="O390" s="11"/>
      <c r="P390" s="82"/>
    </row>
    <row r="391" spans="2:16" s="9" customFormat="1" x14ac:dyDescent="0.2">
      <c r="B391" s="10"/>
      <c r="C391" s="11"/>
      <c r="D391" s="63"/>
      <c r="E391" s="150"/>
      <c r="F391" s="65"/>
      <c r="G391" s="12"/>
      <c r="H391" s="41"/>
      <c r="I391" s="30"/>
      <c r="J391" s="30"/>
      <c r="K391" s="97"/>
      <c r="L391" s="11"/>
      <c r="M391" s="11"/>
      <c r="N391" s="11"/>
      <c r="O391" s="11"/>
      <c r="P391" s="82"/>
    </row>
    <row r="392" spans="2:16" s="9" customFormat="1" x14ac:dyDescent="0.2">
      <c r="B392" s="10"/>
      <c r="C392" s="11"/>
      <c r="D392" s="63"/>
      <c r="E392" s="150"/>
      <c r="F392" s="65"/>
      <c r="G392" s="12"/>
      <c r="H392" s="41"/>
      <c r="I392" s="30"/>
      <c r="J392" s="30"/>
      <c r="K392" s="97"/>
      <c r="L392" s="11"/>
      <c r="M392" s="11"/>
      <c r="N392" s="11"/>
      <c r="O392" s="11"/>
      <c r="P392" s="82"/>
    </row>
    <row r="393" spans="2:16" s="9" customFormat="1" x14ac:dyDescent="0.2">
      <c r="B393" s="10"/>
      <c r="C393" s="11"/>
      <c r="D393" s="63"/>
      <c r="E393" s="150"/>
      <c r="F393" s="65"/>
      <c r="G393" s="12"/>
      <c r="H393" s="41"/>
      <c r="I393" s="30"/>
      <c r="J393" s="30"/>
      <c r="K393" s="97"/>
      <c r="L393" s="11"/>
      <c r="M393" s="11"/>
      <c r="N393" s="11"/>
      <c r="O393" s="11"/>
      <c r="P393" s="82"/>
    </row>
    <row r="394" spans="2:16" s="9" customFormat="1" x14ac:dyDescent="0.2">
      <c r="B394" s="10"/>
      <c r="C394" s="11"/>
      <c r="D394" s="63"/>
      <c r="E394" s="150"/>
      <c r="F394" s="65"/>
      <c r="G394" s="12"/>
      <c r="H394" s="41"/>
      <c r="I394" s="30"/>
      <c r="J394" s="30"/>
      <c r="K394" s="97"/>
      <c r="L394" s="11"/>
      <c r="M394" s="11"/>
      <c r="N394" s="11"/>
      <c r="O394" s="11"/>
      <c r="P394" s="82"/>
    </row>
    <row r="395" spans="2:16" s="9" customFormat="1" x14ac:dyDescent="0.2">
      <c r="B395" s="10"/>
      <c r="C395" s="11"/>
      <c r="D395" s="63"/>
      <c r="E395" s="150"/>
      <c r="F395" s="65"/>
      <c r="G395" s="12"/>
      <c r="H395" s="41"/>
      <c r="I395" s="30"/>
      <c r="J395" s="30"/>
      <c r="K395" s="97"/>
      <c r="L395" s="11"/>
      <c r="M395" s="11"/>
      <c r="N395" s="11"/>
      <c r="O395" s="11"/>
      <c r="P395" s="82"/>
    </row>
    <row r="396" spans="2:16" s="9" customFormat="1" x14ac:dyDescent="0.2">
      <c r="B396" s="10"/>
      <c r="C396" s="11"/>
      <c r="D396" s="63"/>
      <c r="E396" s="150"/>
      <c r="F396" s="65"/>
      <c r="G396" s="12"/>
      <c r="H396" s="41"/>
      <c r="I396" s="30"/>
      <c r="J396" s="30"/>
      <c r="K396" s="97"/>
      <c r="L396" s="11"/>
      <c r="M396" s="11"/>
      <c r="N396" s="11"/>
      <c r="O396" s="11"/>
      <c r="P396" s="82"/>
    </row>
    <row r="397" spans="2:16" s="9" customFormat="1" x14ac:dyDescent="0.2">
      <c r="B397" s="10"/>
      <c r="C397" s="11"/>
      <c r="D397" s="63"/>
      <c r="E397" s="150"/>
      <c r="F397" s="65"/>
      <c r="G397" s="12"/>
      <c r="H397" s="41"/>
      <c r="I397" s="30"/>
      <c r="J397" s="30"/>
      <c r="K397" s="97"/>
      <c r="L397" s="11"/>
      <c r="M397" s="11"/>
      <c r="N397" s="11"/>
      <c r="O397" s="11"/>
      <c r="P397" s="82"/>
    </row>
    <row r="398" spans="2:16" s="9" customFormat="1" x14ac:dyDescent="0.2">
      <c r="B398" s="10"/>
      <c r="C398" s="11"/>
      <c r="D398" s="63"/>
      <c r="E398" s="150"/>
      <c r="F398" s="65"/>
      <c r="G398" s="12"/>
      <c r="H398" s="41"/>
      <c r="I398" s="30"/>
      <c r="J398" s="30"/>
      <c r="K398" s="97"/>
      <c r="L398" s="11"/>
      <c r="M398" s="11"/>
      <c r="N398" s="11"/>
      <c r="O398" s="11"/>
      <c r="P398" s="82"/>
    </row>
    <row r="399" spans="2:16" s="9" customFormat="1" x14ac:dyDescent="0.2">
      <c r="B399" s="10"/>
      <c r="C399" s="11"/>
      <c r="D399" s="63"/>
      <c r="E399" s="150"/>
      <c r="F399" s="65"/>
      <c r="G399" s="12"/>
      <c r="H399" s="41"/>
      <c r="I399" s="30"/>
      <c r="J399" s="30"/>
      <c r="K399" s="97"/>
      <c r="L399" s="11"/>
      <c r="M399" s="11"/>
      <c r="N399" s="11"/>
      <c r="O399" s="11"/>
      <c r="P399" s="82"/>
    </row>
    <row r="400" spans="2:16" s="9" customFormat="1" x14ac:dyDescent="0.2">
      <c r="B400" s="10"/>
      <c r="C400" s="11"/>
      <c r="D400" s="63"/>
      <c r="E400" s="150"/>
      <c r="F400" s="65"/>
      <c r="G400" s="12"/>
      <c r="H400" s="41"/>
      <c r="I400" s="30"/>
      <c r="J400" s="30"/>
      <c r="K400" s="97"/>
      <c r="L400" s="11"/>
      <c r="M400" s="11"/>
      <c r="N400" s="11"/>
      <c r="O400" s="11"/>
      <c r="P400" s="82"/>
    </row>
    <row r="401" spans="2:16" s="9" customFormat="1" x14ac:dyDescent="0.2">
      <c r="B401" s="10"/>
      <c r="C401" s="11"/>
      <c r="D401" s="63"/>
      <c r="E401" s="150"/>
      <c r="F401" s="65"/>
      <c r="G401" s="12"/>
      <c r="H401" s="41"/>
      <c r="I401" s="30"/>
      <c r="J401" s="30"/>
      <c r="K401" s="97"/>
      <c r="L401" s="11"/>
      <c r="M401" s="11"/>
      <c r="N401" s="11"/>
      <c r="O401" s="11"/>
      <c r="P401" s="82"/>
    </row>
    <row r="402" spans="2:16" s="9" customFormat="1" x14ac:dyDescent="0.2">
      <c r="B402" s="10"/>
      <c r="C402" s="11"/>
      <c r="D402" s="63"/>
      <c r="E402" s="150"/>
      <c r="F402" s="65"/>
      <c r="G402" s="12"/>
      <c r="H402" s="41"/>
      <c r="I402" s="30"/>
      <c r="J402" s="30"/>
      <c r="K402" s="97"/>
      <c r="L402" s="11"/>
      <c r="M402" s="11"/>
      <c r="N402" s="11"/>
      <c r="O402" s="11"/>
      <c r="P402" s="82"/>
    </row>
    <row r="403" spans="2:16" s="9" customFormat="1" x14ac:dyDescent="0.2">
      <c r="B403" s="10"/>
      <c r="C403" s="11"/>
      <c r="D403" s="63"/>
      <c r="E403" s="150"/>
      <c r="F403" s="65"/>
      <c r="G403" s="12"/>
      <c r="H403" s="41"/>
      <c r="I403" s="30"/>
      <c r="J403" s="30"/>
      <c r="K403" s="97"/>
      <c r="L403" s="11"/>
      <c r="M403" s="11"/>
      <c r="N403" s="11"/>
      <c r="O403" s="11"/>
      <c r="P403" s="82"/>
    </row>
    <row r="404" spans="2:16" s="9" customFormat="1" x14ac:dyDescent="0.2">
      <c r="B404" s="10"/>
      <c r="C404" s="11"/>
      <c r="D404" s="63"/>
      <c r="E404" s="150"/>
      <c r="F404" s="65"/>
      <c r="G404" s="12"/>
      <c r="H404" s="41"/>
      <c r="I404" s="30"/>
      <c r="J404" s="30"/>
      <c r="K404" s="97"/>
      <c r="L404" s="11"/>
      <c r="M404" s="11"/>
      <c r="N404" s="11"/>
      <c r="O404" s="11"/>
      <c r="P404" s="82"/>
    </row>
    <row r="405" spans="2:16" s="9" customFormat="1" x14ac:dyDescent="0.2">
      <c r="B405" s="10"/>
      <c r="C405" s="11"/>
      <c r="D405" s="63"/>
      <c r="E405" s="150"/>
      <c r="F405" s="65"/>
      <c r="G405" s="12"/>
      <c r="H405" s="41"/>
      <c r="I405" s="30"/>
      <c r="J405" s="30"/>
      <c r="K405" s="97"/>
      <c r="L405" s="11"/>
      <c r="M405" s="11"/>
      <c r="N405" s="11"/>
      <c r="O405" s="11"/>
      <c r="P405" s="82"/>
    </row>
    <row r="406" spans="2:16" s="9" customFormat="1" x14ac:dyDescent="0.2">
      <c r="B406" s="10"/>
      <c r="C406" s="11"/>
      <c r="D406" s="63"/>
      <c r="E406" s="150"/>
      <c r="F406" s="65"/>
      <c r="G406" s="12"/>
      <c r="H406" s="41"/>
      <c r="I406" s="30"/>
      <c r="J406" s="30"/>
      <c r="K406" s="97"/>
      <c r="L406" s="11"/>
      <c r="M406" s="11"/>
      <c r="N406" s="11"/>
      <c r="O406" s="11"/>
      <c r="P406" s="82"/>
    </row>
    <row r="407" spans="2:16" s="9" customFormat="1" x14ac:dyDescent="0.2">
      <c r="B407" s="10"/>
      <c r="C407" s="11"/>
      <c r="D407" s="63"/>
      <c r="E407" s="150"/>
      <c r="F407" s="65"/>
      <c r="G407" s="12"/>
      <c r="H407" s="41"/>
      <c r="I407" s="30"/>
      <c r="J407" s="30"/>
      <c r="K407" s="97"/>
      <c r="L407" s="11"/>
      <c r="M407" s="11"/>
      <c r="N407" s="11"/>
      <c r="O407" s="11"/>
      <c r="P407" s="82"/>
    </row>
    <row r="408" spans="2:16" s="9" customFormat="1" x14ac:dyDescent="0.2">
      <c r="B408" s="10"/>
      <c r="C408" s="11"/>
      <c r="D408" s="63"/>
      <c r="E408" s="150"/>
      <c r="F408" s="65"/>
      <c r="G408" s="12"/>
      <c r="H408" s="41"/>
      <c r="I408" s="30"/>
      <c r="J408" s="30"/>
      <c r="K408" s="97"/>
      <c r="L408" s="11"/>
      <c r="M408" s="11"/>
      <c r="N408" s="11"/>
      <c r="O408" s="11"/>
      <c r="P408" s="82"/>
    </row>
    <row r="409" spans="2:16" s="9" customFormat="1" x14ac:dyDescent="0.2">
      <c r="B409" s="10"/>
      <c r="C409" s="11"/>
      <c r="D409" s="63"/>
      <c r="E409" s="150"/>
      <c r="F409" s="65"/>
      <c r="G409" s="12"/>
      <c r="H409" s="41"/>
      <c r="I409" s="30"/>
      <c r="J409" s="30"/>
      <c r="K409" s="97"/>
      <c r="L409" s="11"/>
      <c r="M409" s="11"/>
      <c r="N409" s="11"/>
      <c r="O409" s="11"/>
      <c r="P409" s="82"/>
    </row>
    <row r="410" spans="2:16" s="9" customFormat="1" x14ac:dyDescent="0.2">
      <c r="B410" s="10"/>
      <c r="C410" s="11"/>
      <c r="D410" s="63"/>
      <c r="E410" s="150"/>
      <c r="F410" s="65"/>
      <c r="G410" s="12"/>
      <c r="H410" s="41"/>
      <c r="I410" s="30"/>
      <c r="J410" s="30"/>
      <c r="K410" s="97"/>
      <c r="L410" s="11"/>
      <c r="M410" s="11"/>
      <c r="N410" s="11"/>
      <c r="O410" s="11"/>
      <c r="P410" s="82"/>
    </row>
    <row r="411" spans="2:16" s="9" customFormat="1" x14ac:dyDescent="0.2">
      <c r="B411" s="10"/>
      <c r="C411" s="11"/>
      <c r="D411" s="63"/>
      <c r="E411" s="150"/>
      <c r="F411" s="65"/>
      <c r="G411" s="12"/>
      <c r="H411" s="41"/>
      <c r="I411" s="30"/>
      <c r="J411" s="30"/>
      <c r="K411" s="97"/>
      <c r="L411" s="11"/>
      <c r="M411" s="11"/>
      <c r="N411" s="11"/>
      <c r="O411" s="11"/>
      <c r="P411" s="82"/>
    </row>
    <row r="412" spans="2:16" s="9" customFormat="1" x14ac:dyDescent="0.2">
      <c r="B412" s="10"/>
      <c r="C412" s="11"/>
      <c r="D412" s="63"/>
      <c r="E412" s="150"/>
      <c r="F412" s="65"/>
      <c r="G412" s="12"/>
      <c r="H412" s="41"/>
      <c r="I412" s="30"/>
      <c r="J412" s="30"/>
      <c r="K412" s="97"/>
      <c r="L412" s="11"/>
      <c r="M412" s="11"/>
      <c r="N412" s="11"/>
      <c r="O412" s="11"/>
      <c r="P412" s="82"/>
    </row>
    <row r="413" spans="2:16" s="9" customFormat="1" x14ac:dyDescent="0.2">
      <c r="B413" s="10"/>
      <c r="C413" s="11"/>
      <c r="D413" s="63"/>
      <c r="E413" s="150"/>
      <c r="F413" s="65"/>
      <c r="G413" s="12"/>
      <c r="H413" s="41"/>
      <c r="I413" s="30"/>
      <c r="J413" s="30"/>
      <c r="K413" s="97"/>
      <c r="L413" s="11"/>
      <c r="M413" s="11"/>
      <c r="N413" s="11"/>
      <c r="O413" s="11"/>
      <c r="P413" s="82"/>
    </row>
    <row r="414" spans="2:16" s="9" customFormat="1" x14ac:dyDescent="0.2">
      <c r="B414" s="10"/>
      <c r="C414" s="11"/>
      <c r="D414" s="63"/>
      <c r="E414" s="150"/>
      <c r="F414" s="65"/>
      <c r="G414" s="12"/>
      <c r="H414" s="41"/>
      <c r="I414" s="30"/>
      <c r="J414" s="30"/>
      <c r="K414" s="97"/>
      <c r="L414" s="11"/>
      <c r="M414" s="11"/>
      <c r="N414" s="11"/>
      <c r="O414" s="11"/>
      <c r="P414" s="82"/>
    </row>
    <row r="415" spans="2:16" s="9" customFormat="1" x14ac:dyDescent="0.2">
      <c r="B415" s="10"/>
      <c r="C415" s="11"/>
      <c r="D415" s="63"/>
      <c r="E415" s="150"/>
      <c r="F415" s="65"/>
      <c r="G415" s="12"/>
      <c r="H415" s="41"/>
      <c r="I415" s="30"/>
      <c r="J415" s="30"/>
      <c r="K415" s="97"/>
      <c r="L415" s="11"/>
      <c r="M415" s="11"/>
      <c r="N415" s="11"/>
      <c r="O415" s="11"/>
      <c r="P415" s="82"/>
    </row>
    <row r="416" spans="2:16" s="9" customFormat="1" x14ac:dyDescent="0.2">
      <c r="B416" s="10"/>
      <c r="C416" s="11"/>
      <c r="D416" s="63"/>
      <c r="E416" s="150"/>
      <c r="F416" s="65"/>
      <c r="G416" s="12"/>
      <c r="H416" s="41"/>
      <c r="I416" s="30"/>
      <c r="J416" s="30"/>
      <c r="K416" s="97"/>
      <c r="L416" s="11"/>
      <c r="M416" s="11"/>
      <c r="N416" s="11"/>
      <c r="O416" s="11"/>
      <c r="P416" s="82"/>
    </row>
    <row r="417" spans="2:16" s="9" customFormat="1" x14ac:dyDescent="0.2">
      <c r="B417" s="10"/>
      <c r="C417" s="11"/>
      <c r="D417" s="63"/>
      <c r="E417" s="150"/>
      <c r="F417" s="65"/>
      <c r="G417" s="12"/>
      <c r="H417" s="41"/>
      <c r="I417" s="30"/>
      <c r="J417" s="30"/>
      <c r="K417" s="97"/>
      <c r="L417" s="11"/>
      <c r="M417" s="11"/>
      <c r="N417" s="11"/>
      <c r="O417" s="11"/>
      <c r="P417" s="82"/>
    </row>
    <row r="418" spans="2:16" s="9" customFormat="1" x14ac:dyDescent="0.2">
      <c r="B418" s="10"/>
      <c r="C418" s="11"/>
      <c r="D418" s="63"/>
      <c r="E418" s="150"/>
      <c r="F418" s="65"/>
      <c r="G418" s="12"/>
      <c r="H418" s="41"/>
      <c r="I418" s="30"/>
      <c r="J418" s="30"/>
      <c r="K418" s="97"/>
      <c r="L418" s="11"/>
      <c r="M418" s="11"/>
      <c r="N418" s="11"/>
      <c r="O418" s="11"/>
      <c r="P418" s="82"/>
    </row>
    <row r="419" spans="2:16" s="9" customFormat="1" x14ac:dyDescent="0.2">
      <c r="B419" s="10"/>
      <c r="C419" s="11"/>
      <c r="D419" s="63"/>
      <c r="E419" s="150"/>
      <c r="F419" s="65"/>
      <c r="G419" s="12"/>
      <c r="H419" s="41"/>
      <c r="I419" s="30"/>
      <c r="J419" s="30"/>
      <c r="K419" s="97"/>
      <c r="L419" s="11"/>
      <c r="M419" s="11"/>
      <c r="N419" s="11"/>
      <c r="O419" s="11"/>
      <c r="P419" s="82"/>
    </row>
    <row r="420" spans="2:16" s="9" customFormat="1" x14ac:dyDescent="0.2">
      <c r="B420" s="10"/>
      <c r="C420" s="11"/>
      <c r="D420" s="63"/>
      <c r="E420" s="150"/>
      <c r="F420" s="65"/>
      <c r="G420" s="12"/>
      <c r="H420" s="41"/>
      <c r="I420" s="30"/>
      <c r="J420" s="30"/>
      <c r="K420" s="97"/>
      <c r="L420" s="11"/>
      <c r="M420" s="11"/>
      <c r="N420" s="11"/>
      <c r="O420" s="11"/>
      <c r="P420" s="82"/>
    </row>
    <row r="421" spans="2:16" s="9" customFormat="1" x14ac:dyDescent="0.2">
      <c r="B421" s="10"/>
      <c r="C421" s="11"/>
      <c r="D421" s="63"/>
      <c r="E421" s="150"/>
      <c r="F421" s="65"/>
      <c r="G421" s="12"/>
      <c r="H421" s="41"/>
      <c r="I421" s="30"/>
      <c r="J421" s="30"/>
      <c r="K421" s="97"/>
      <c r="L421" s="11"/>
      <c r="M421" s="11"/>
      <c r="N421" s="11"/>
      <c r="O421" s="11"/>
      <c r="P421" s="82"/>
    </row>
    <row r="422" spans="2:16" s="9" customFormat="1" x14ac:dyDescent="0.2">
      <c r="B422" s="10"/>
      <c r="C422" s="11"/>
      <c r="D422" s="63"/>
      <c r="E422" s="150"/>
      <c r="F422" s="65"/>
      <c r="G422" s="12"/>
      <c r="H422" s="41"/>
      <c r="I422" s="30"/>
      <c r="J422" s="30"/>
      <c r="K422" s="97"/>
      <c r="L422" s="11"/>
      <c r="M422" s="11"/>
      <c r="N422" s="11"/>
      <c r="O422" s="11"/>
      <c r="P422" s="82"/>
    </row>
    <row r="423" spans="2:16" s="9" customFormat="1" x14ac:dyDescent="0.2">
      <c r="B423" s="10"/>
      <c r="C423" s="11"/>
      <c r="D423" s="63"/>
      <c r="E423" s="150"/>
      <c r="F423" s="65"/>
      <c r="G423" s="12"/>
      <c r="H423" s="41"/>
      <c r="I423" s="30"/>
      <c r="J423" s="30"/>
      <c r="K423" s="97"/>
      <c r="L423" s="11"/>
      <c r="M423" s="11"/>
      <c r="N423" s="11"/>
      <c r="O423" s="11"/>
      <c r="P423" s="82"/>
    </row>
    <row r="424" spans="2:16" s="9" customFormat="1" x14ac:dyDescent="0.2">
      <c r="B424" s="10"/>
      <c r="C424" s="11"/>
      <c r="D424" s="63"/>
      <c r="E424" s="150"/>
      <c r="F424" s="65"/>
      <c r="G424" s="12"/>
      <c r="H424" s="41"/>
      <c r="I424" s="30"/>
      <c r="J424" s="30"/>
      <c r="K424" s="97"/>
      <c r="L424" s="11"/>
      <c r="M424" s="11"/>
      <c r="N424" s="11"/>
      <c r="O424" s="11"/>
      <c r="P424" s="82"/>
    </row>
    <row r="425" spans="2:16" s="9" customFormat="1" x14ac:dyDescent="0.2">
      <c r="B425" s="10"/>
      <c r="C425" s="11"/>
      <c r="D425" s="63"/>
      <c r="E425" s="150"/>
      <c r="F425" s="65"/>
      <c r="G425" s="12"/>
      <c r="H425" s="41"/>
      <c r="I425" s="30"/>
      <c r="J425" s="30"/>
      <c r="K425" s="97"/>
      <c r="L425" s="11"/>
      <c r="M425" s="11"/>
      <c r="N425" s="11"/>
      <c r="O425" s="11"/>
      <c r="P425" s="82"/>
    </row>
    <row r="426" spans="2:16" s="9" customFormat="1" x14ac:dyDescent="0.2">
      <c r="B426" s="10"/>
      <c r="C426" s="11"/>
      <c r="D426" s="63"/>
      <c r="E426" s="150"/>
      <c r="F426" s="65"/>
      <c r="G426" s="12"/>
      <c r="H426" s="41"/>
      <c r="I426" s="30"/>
      <c r="J426" s="30"/>
      <c r="K426" s="97"/>
      <c r="L426" s="11"/>
      <c r="M426" s="11"/>
      <c r="N426" s="11"/>
      <c r="O426" s="11"/>
      <c r="P426" s="82"/>
    </row>
    <row r="427" spans="2:16" s="9" customFormat="1" x14ac:dyDescent="0.2">
      <c r="B427" s="10"/>
      <c r="C427" s="11"/>
      <c r="D427" s="63"/>
      <c r="E427" s="150"/>
      <c r="F427" s="65"/>
      <c r="G427" s="12"/>
      <c r="H427" s="41"/>
      <c r="I427" s="30"/>
      <c r="J427" s="30"/>
      <c r="K427" s="97"/>
      <c r="L427" s="11"/>
      <c r="M427" s="11"/>
      <c r="N427" s="11"/>
      <c r="O427" s="11"/>
      <c r="P427" s="82"/>
    </row>
    <row r="428" spans="2:16" s="9" customFormat="1" x14ac:dyDescent="0.2">
      <c r="B428" s="10"/>
      <c r="C428" s="11"/>
      <c r="D428" s="63"/>
      <c r="E428" s="150"/>
      <c r="F428" s="65"/>
      <c r="G428" s="12"/>
      <c r="H428" s="41"/>
      <c r="I428" s="30"/>
      <c r="J428" s="30"/>
      <c r="K428" s="97"/>
      <c r="L428" s="11"/>
      <c r="M428" s="11"/>
      <c r="N428" s="11"/>
      <c r="O428" s="11"/>
      <c r="P428" s="82"/>
    </row>
    <row r="429" spans="2:16" s="9" customFormat="1" x14ac:dyDescent="0.2">
      <c r="B429" s="10"/>
      <c r="C429" s="11"/>
      <c r="D429" s="63"/>
      <c r="E429" s="150"/>
      <c r="F429" s="65"/>
      <c r="G429" s="12"/>
      <c r="H429" s="41"/>
      <c r="I429" s="30"/>
      <c r="J429" s="30"/>
      <c r="K429" s="97"/>
      <c r="L429" s="11"/>
      <c r="M429" s="11"/>
      <c r="N429" s="11"/>
      <c r="O429" s="11"/>
      <c r="P429" s="82"/>
    </row>
    <row r="430" spans="2:16" s="9" customFormat="1" x14ac:dyDescent="0.2">
      <c r="B430" s="10"/>
      <c r="C430" s="11"/>
      <c r="D430" s="63"/>
      <c r="E430" s="150"/>
      <c r="F430" s="65"/>
      <c r="G430" s="12"/>
      <c r="H430" s="41"/>
      <c r="I430" s="30"/>
      <c r="J430" s="30"/>
      <c r="K430" s="97"/>
      <c r="L430" s="11"/>
      <c r="M430" s="11"/>
      <c r="N430" s="11"/>
      <c r="O430" s="11"/>
      <c r="P430" s="82"/>
    </row>
    <row r="431" spans="2:16" s="9" customFormat="1" x14ac:dyDescent="0.2">
      <c r="B431" s="10"/>
      <c r="C431" s="11"/>
      <c r="D431" s="63"/>
      <c r="E431" s="150"/>
      <c r="F431" s="65"/>
      <c r="G431" s="12"/>
      <c r="H431" s="41"/>
      <c r="I431" s="30"/>
      <c r="J431" s="30"/>
      <c r="K431" s="97"/>
      <c r="L431" s="11"/>
      <c r="M431" s="11"/>
      <c r="N431" s="11"/>
      <c r="O431" s="11"/>
      <c r="P431" s="82"/>
    </row>
    <row r="432" spans="2:16" s="9" customFormat="1" x14ac:dyDescent="0.2">
      <c r="B432" s="10"/>
      <c r="C432" s="11"/>
      <c r="D432" s="63"/>
      <c r="E432" s="150"/>
      <c r="F432" s="65"/>
      <c r="G432" s="12"/>
      <c r="H432" s="41"/>
      <c r="I432" s="30"/>
      <c r="J432" s="30"/>
      <c r="K432" s="97"/>
      <c r="L432" s="11"/>
      <c r="M432" s="11"/>
      <c r="N432" s="11"/>
      <c r="O432" s="11"/>
      <c r="P432" s="82"/>
    </row>
    <row r="433" spans="2:16" s="9" customFormat="1" x14ac:dyDescent="0.2">
      <c r="B433" s="10"/>
      <c r="C433" s="11"/>
      <c r="D433" s="63"/>
      <c r="E433" s="150"/>
      <c r="F433" s="65"/>
      <c r="G433" s="12"/>
      <c r="H433" s="41"/>
      <c r="I433" s="30"/>
      <c r="J433" s="30"/>
      <c r="K433" s="97"/>
      <c r="L433" s="11"/>
      <c r="M433" s="11"/>
      <c r="N433" s="11"/>
      <c r="O433" s="11"/>
      <c r="P433" s="82"/>
    </row>
    <row r="434" spans="2:16" s="9" customFormat="1" x14ac:dyDescent="0.2">
      <c r="B434" s="10"/>
      <c r="C434" s="11"/>
      <c r="D434" s="63"/>
      <c r="E434" s="150"/>
      <c r="F434" s="65"/>
      <c r="G434" s="12"/>
      <c r="H434" s="41"/>
      <c r="I434" s="30"/>
      <c r="J434" s="30"/>
      <c r="K434" s="97"/>
      <c r="L434" s="11"/>
      <c r="M434" s="11"/>
      <c r="N434" s="11"/>
      <c r="O434" s="11"/>
      <c r="P434" s="82"/>
    </row>
    <row r="435" spans="2:16" s="9" customFormat="1" x14ac:dyDescent="0.2">
      <c r="B435" s="10"/>
      <c r="C435" s="11"/>
      <c r="D435" s="63"/>
      <c r="E435" s="150"/>
      <c r="F435" s="65"/>
      <c r="G435" s="12"/>
      <c r="H435" s="41"/>
      <c r="I435" s="30"/>
      <c r="J435" s="30"/>
      <c r="K435" s="97"/>
      <c r="L435" s="11"/>
      <c r="M435" s="11"/>
      <c r="N435" s="11"/>
      <c r="O435" s="11"/>
      <c r="P435" s="82"/>
    </row>
    <row r="436" spans="2:16" s="9" customFormat="1" x14ac:dyDescent="0.2">
      <c r="B436" s="10"/>
      <c r="C436" s="11"/>
      <c r="D436" s="63"/>
      <c r="E436" s="150"/>
      <c r="F436" s="65"/>
      <c r="G436" s="12"/>
      <c r="H436" s="41"/>
      <c r="I436" s="30"/>
      <c r="J436" s="30"/>
      <c r="K436" s="97"/>
      <c r="L436" s="11"/>
      <c r="M436" s="11"/>
      <c r="N436" s="11"/>
      <c r="O436" s="11"/>
      <c r="P436" s="82"/>
    </row>
    <row r="437" spans="2:16" s="9" customFormat="1" x14ac:dyDescent="0.2">
      <c r="B437" s="10"/>
      <c r="C437" s="11"/>
      <c r="D437" s="63"/>
      <c r="E437" s="150"/>
      <c r="F437" s="65"/>
      <c r="G437" s="12"/>
      <c r="H437" s="41"/>
      <c r="I437" s="30"/>
      <c r="J437" s="30"/>
      <c r="K437" s="97"/>
      <c r="L437" s="11"/>
      <c r="M437" s="11"/>
      <c r="N437" s="11"/>
      <c r="O437" s="11"/>
      <c r="P437" s="82"/>
    </row>
    <row r="438" spans="2:16" s="9" customFormat="1" x14ac:dyDescent="0.2">
      <c r="B438" s="10"/>
      <c r="C438" s="11"/>
      <c r="D438" s="63"/>
      <c r="E438" s="150"/>
      <c r="F438" s="65"/>
      <c r="G438" s="12"/>
      <c r="H438" s="41"/>
      <c r="I438" s="30"/>
      <c r="J438" s="30"/>
      <c r="K438" s="97"/>
      <c r="L438" s="11"/>
      <c r="M438" s="11"/>
      <c r="N438" s="11"/>
      <c r="O438" s="11"/>
      <c r="P438" s="82"/>
    </row>
    <row r="439" spans="2:16" s="9" customFormat="1" x14ac:dyDescent="0.2">
      <c r="B439" s="10"/>
      <c r="C439" s="11"/>
      <c r="D439" s="63"/>
      <c r="E439" s="150"/>
      <c r="F439" s="65"/>
      <c r="G439" s="12"/>
      <c r="H439" s="41"/>
      <c r="I439" s="30"/>
      <c r="J439" s="30"/>
      <c r="K439" s="97"/>
      <c r="L439" s="11"/>
      <c r="M439" s="11"/>
      <c r="N439" s="11"/>
      <c r="O439" s="11"/>
      <c r="P439" s="82"/>
    </row>
    <row r="440" spans="2:16" s="9" customFormat="1" x14ac:dyDescent="0.2">
      <c r="B440" s="10"/>
      <c r="C440" s="11"/>
      <c r="D440" s="63"/>
      <c r="E440" s="150"/>
      <c r="F440" s="65"/>
      <c r="G440" s="12"/>
      <c r="H440" s="41"/>
      <c r="I440" s="30"/>
      <c r="J440" s="30"/>
      <c r="K440" s="97"/>
      <c r="L440" s="11"/>
      <c r="M440" s="11"/>
      <c r="N440" s="11"/>
      <c r="O440" s="11"/>
      <c r="P440" s="82"/>
    </row>
    <row r="441" spans="2:16" s="9" customFormat="1" x14ac:dyDescent="0.2">
      <c r="B441" s="10"/>
      <c r="C441" s="11"/>
      <c r="D441" s="63"/>
      <c r="E441" s="150"/>
      <c r="F441" s="65"/>
      <c r="G441" s="12"/>
      <c r="H441" s="41"/>
      <c r="I441" s="30"/>
      <c r="J441" s="30"/>
      <c r="K441" s="97"/>
      <c r="L441" s="11"/>
      <c r="M441" s="11"/>
      <c r="N441" s="11"/>
      <c r="O441" s="11"/>
      <c r="P441" s="82"/>
    </row>
    <row r="442" spans="2:16" s="9" customFormat="1" x14ac:dyDescent="0.2">
      <c r="B442" s="10"/>
      <c r="C442" s="11"/>
      <c r="D442" s="63"/>
      <c r="E442" s="150"/>
      <c r="F442" s="65"/>
      <c r="G442" s="12"/>
      <c r="H442" s="41"/>
      <c r="I442" s="30"/>
      <c r="J442" s="30"/>
      <c r="K442" s="97"/>
      <c r="L442" s="11"/>
      <c r="M442" s="11"/>
      <c r="N442" s="11"/>
      <c r="O442" s="11"/>
      <c r="P442" s="82"/>
    </row>
    <row r="443" spans="2:16" s="9" customFormat="1" x14ac:dyDescent="0.2">
      <c r="B443" s="10"/>
      <c r="C443" s="11"/>
      <c r="D443" s="63"/>
      <c r="E443" s="150"/>
      <c r="F443" s="65"/>
      <c r="G443" s="12"/>
      <c r="H443" s="41"/>
      <c r="I443" s="30"/>
      <c r="J443" s="30"/>
      <c r="K443" s="97"/>
      <c r="L443" s="11"/>
      <c r="M443" s="11"/>
      <c r="N443" s="11"/>
      <c r="O443" s="11"/>
      <c r="P443" s="82"/>
    </row>
    <row r="444" spans="2:16" s="9" customFormat="1" x14ac:dyDescent="0.2">
      <c r="B444" s="10"/>
      <c r="C444" s="11"/>
      <c r="D444" s="63"/>
      <c r="E444" s="150"/>
      <c r="F444" s="65"/>
      <c r="G444" s="12"/>
      <c r="H444" s="41"/>
      <c r="I444" s="30"/>
      <c r="J444" s="30"/>
      <c r="K444" s="97"/>
      <c r="L444" s="11"/>
      <c r="M444" s="11"/>
      <c r="N444" s="11"/>
      <c r="O444" s="11"/>
      <c r="P444" s="82"/>
    </row>
    <row r="445" spans="2:16" s="9" customFormat="1" x14ac:dyDescent="0.2">
      <c r="B445" s="10"/>
      <c r="C445" s="11"/>
      <c r="D445" s="63"/>
      <c r="E445" s="150"/>
      <c r="F445" s="65"/>
      <c r="G445" s="12"/>
      <c r="H445" s="41"/>
      <c r="I445" s="30"/>
      <c r="J445" s="30"/>
      <c r="K445" s="97"/>
      <c r="L445" s="11"/>
      <c r="M445" s="11"/>
      <c r="N445" s="11"/>
      <c r="O445" s="11"/>
      <c r="P445" s="82"/>
    </row>
    <row r="446" spans="2:16" s="9" customFormat="1" x14ac:dyDescent="0.2">
      <c r="B446" s="10"/>
      <c r="C446" s="11"/>
      <c r="D446" s="63"/>
      <c r="E446" s="150"/>
      <c r="F446" s="65"/>
      <c r="G446" s="12"/>
      <c r="H446" s="41"/>
      <c r="I446" s="30"/>
      <c r="J446" s="30"/>
      <c r="K446" s="97"/>
      <c r="L446" s="11"/>
      <c r="M446" s="11"/>
      <c r="N446" s="11"/>
      <c r="O446" s="11"/>
      <c r="P446" s="82"/>
    </row>
    <row r="447" spans="2:16" s="9" customFormat="1" x14ac:dyDescent="0.2">
      <c r="B447" s="10"/>
      <c r="C447" s="11"/>
      <c r="D447" s="63"/>
      <c r="E447" s="150"/>
      <c r="F447" s="65"/>
      <c r="G447" s="12"/>
      <c r="H447" s="41"/>
      <c r="I447" s="30"/>
      <c r="J447" s="30"/>
      <c r="K447" s="97"/>
      <c r="L447" s="11"/>
      <c r="M447" s="11"/>
      <c r="N447" s="11"/>
      <c r="O447" s="11"/>
      <c r="P447" s="82"/>
    </row>
    <row r="448" spans="2:16" s="9" customFormat="1" x14ac:dyDescent="0.2">
      <c r="B448" s="10"/>
      <c r="C448" s="11"/>
      <c r="D448" s="63"/>
      <c r="E448" s="150"/>
      <c r="F448" s="65"/>
      <c r="G448" s="12"/>
      <c r="H448" s="41"/>
      <c r="I448" s="30"/>
      <c r="J448" s="30"/>
      <c r="K448" s="97"/>
      <c r="L448" s="11"/>
      <c r="M448" s="11"/>
      <c r="N448" s="11"/>
      <c r="O448" s="11"/>
      <c r="P448" s="82"/>
    </row>
    <row r="449" spans="2:16" s="9" customFormat="1" x14ac:dyDescent="0.2">
      <c r="B449" s="10"/>
      <c r="C449" s="11"/>
      <c r="D449" s="63"/>
      <c r="E449" s="150"/>
      <c r="F449" s="65"/>
      <c r="G449" s="12"/>
      <c r="H449" s="41"/>
      <c r="I449" s="30"/>
      <c r="J449" s="30"/>
      <c r="K449" s="97"/>
      <c r="L449" s="11"/>
      <c r="M449" s="11"/>
      <c r="N449" s="11"/>
      <c r="O449" s="11"/>
      <c r="P449" s="82"/>
    </row>
    <row r="450" spans="2:16" s="9" customFormat="1" x14ac:dyDescent="0.2">
      <c r="B450" s="10"/>
      <c r="C450" s="11"/>
      <c r="D450" s="63"/>
      <c r="E450" s="150"/>
      <c r="F450" s="65"/>
      <c r="G450" s="12"/>
      <c r="H450" s="41"/>
      <c r="I450" s="30"/>
      <c r="J450" s="30"/>
      <c r="K450" s="97"/>
      <c r="L450" s="11"/>
      <c r="M450" s="11"/>
      <c r="N450" s="11"/>
      <c r="O450" s="11"/>
      <c r="P450" s="82"/>
    </row>
    <row r="451" spans="2:16" s="9" customFormat="1" x14ac:dyDescent="0.2">
      <c r="B451" s="10"/>
      <c r="C451" s="11"/>
      <c r="D451" s="63"/>
      <c r="E451" s="150"/>
      <c r="F451" s="65"/>
      <c r="G451" s="12"/>
      <c r="H451" s="41"/>
      <c r="I451" s="30"/>
      <c r="J451" s="30"/>
      <c r="K451" s="97"/>
      <c r="L451" s="11"/>
      <c r="M451" s="11"/>
      <c r="N451" s="11"/>
      <c r="O451" s="11"/>
      <c r="P451" s="82"/>
    </row>
    <row r="452" spans="2:16" s="9" customFormat="1" x14ac:dyDescent="0.2">
      <c r="B452" s="10"/>
      <c r="C452" s="11"/>
      <c r="D452" s="63"/>
      <c r="E452" s="150"/>
      <c r="F452" s="65"/>
      <c r="G452" s="12"/>
      <c r="H452" s="41"/>
      <c r="I452" s="30"/>
      <c r="J452" s="30"/>
      <c r="K452" s="97"/>
      <c r="L452" s="11"/>
      <c r="M452" s="11"/>
      <c r="N452" s="11"/>
      <c r="O452" s="11"/>
      <c r="P452" s="82"/>
    </row>
    <row r="453" spans="2:16" s="9" customFormat="1" x14ac:dyDescent="0.2">
      <c r="B453" s="10"/>
      <c r="C453" s="11"/>
      <c r="D453" s="63"/>
      <c r="E453" s="150"/>
      <c r="F453" s="65"/>
      <c r="G453" s="12"/>
      <c r="H453" s="41"/>
      <c r="I453" s="30"/>
      <c r="J453" s="30"/>
      <c r="K453" s="97"/>
      <c r="L453" s="11"/>
      <c r="M453" s="11"/>
      <c r="N453" s="11"/>
      <c r="O453" s="11"/>
      <c r="P453" s="82"/>
    </row>
    <row r="454" spans="2:16" s="9" customFormat="1" x14ac:dyDescent="0.2">
      <c r="B454" s="10"/>
      <c r="C454" s="11"/>
      <c r="D454" s="63"/>
      <c r="E454" s="150"/>
      <c r="F454" s="65"/>
      <c r="G454" s="12"/>
      <c r="H454" s="41"/>
      <c r="I454" s="30"/>
      <c r="J454" s="30"/>
      <c r="K454" s="97"/>
      <c r="L454" s="11"/>
      <c r="M454" s="11"/>
      <c r="N454" s="11"/>
      <c r="O454" s="11"/>
      <c r="P454" s="82"/>
    </row>
    <row r="455" spans="2:16" s="9" customFormat="1" x14ac:dyDescent="0.2">
      <c r="B455" s="10"/>
      <c r="C455" s="11"/>
      <c r="D455" s="63"/>
      <c r="E455" s="150"/>
      <c r="F455" s="65"/>
      <c r="G455" s="12"/>
      <c r="H455" s="41"/>
      <c r="I455" s="30"/>
      <c r="J455" s="30"/>
      <c r="K455" s="97"/>
      <c r="L455" s="11"/>
      <c r="M455" s="11"/>
      <c r="N455" s="11"/>
      <c r="O455" s="11"/>
      <c r="P455" s="82"/>
    </row>
    <row r="456" spans="2:16" s="9" customFormat="1" x14ac:dyDescent="0.2">
      <c r="B456" s="10"/>
      <c r="C456" s="11"/>
      <c r="D456" s="63"/>
      <c r="E456" s="150"/>
      <c r="F456" s="65"/>
      <c r="G456" s="12"/>
      <c r="H456" s="41"/>
      <c r="I456" s="30"/>
      <c r="J456" s="30"/>
      <c r="K456" s="97"/>
      <c r="L456" s="11"/>
      <c r="M456" s="11"/>
      <c r="N456" s="11"/>
      <c r="O456" s="11"/>
      <c r="P456" s="82"/>
    </row>
    <row r="457" spans="2:16" s="9" customFormat="1" x14ac:dyDescent="0.2">
      <c r="B457" s="10"/>
      <c r="C457" s="11"/>
      <c r="D457" s="63"/>
      <c r="E457" s="150"/>
      <c r="F457" s="65"/>
      <c r="G457" s="12"/>
      <c r="H457" s="41"/>
      <c r="I457" s="30"/>
      <c r="J457" s="30"/>
      <c r="K457" s="97"/>
      <c r="L457" s="11"/>
      <c r="M457" s="11"/>
      <c r="N457" s="11"/>
      <c r="O457" s="11"/>
      <c r="P457" s="82"/>
    </row>
    <row r="458" spans="2:16" s="9" customFormat="1" x14ac:dyDescent="0.2">
      <c r="B458" s="10"/>
      <c r="C458" s="11"/>
      <c r="D458" s="63"/>
      <c r="E458" s="150"/>
      <c r="F458" s="65"/>
      <c r="G458" s="12"/>
      <c r="H458" s="41"/>
      <c r="I458" s="30"/>
      <c r="J458" s="30"/>
      <c r="K458" s="97"/>
      <c r="L458" s="11"/>
      <c r="M458" s="11"/>
      <c r="N458" s="11"/>
      <c r="O458" s="11"/>
      <c r="P458" s="82"/>
    </row>
    <row r="459" spans="2:16" s="9" customFormat="1" x14ac:dyDescent="0.2">
      <c r="B459" s="10"/>
      <c r="C459" s="11"/>
      <c r="D459" s="63"/>
      <c r="E459" s="150"/>
      <c r="F459" s="65"/>
      <c r="G459" s="12"/>
      <c r="H459" s="41"/>
      <c r="I459" s="30"/>
      <c r="J459" s="30"/>
      <c r="K459" s="97"/>
      <c r="L459" s="11"/>
      <c r="M459" s="11"/>
      <c r="N459" s="11"/>
      <c r="O459" s="11"/>
      <c r="P459" s="82"/>
    </row>
    <row r="460" spans="2:16" s="9" customFormat="1" x14ac:dyDescent="0.2">
      <c r="B460" s="10"/>
      <c r="C460" s="11"/>
      <c r="D460" s="63"/>
      <c r="E460" s="150"/>
      <c r="F460" s="65"/>
      <c r="G460" s="12"/>
      <c r="H460" s="41"/>
      <c r="I460" s="30"/>
      <c r="J460" s="30"/>
      <c r="K460" s="97"/>
      <c r="L460" s="11"/>
      <c r="M460" s="11"/>
      <c r="N460" s="11"/>
      <c r="O460" s="11"/>
      <c r="P460" s="82"/>
    </row>
    <row r="461" spans="2:16" s="9" customFormat="1" x14ac:dyDescent="0.2">
      <c r="B461" s="10"/>
      <c r="C461" s="11"/>
      <c r="D461" s="63"/>
      <c r="E461" s="150"/>
      <c r="F461" s="65"/>
      <c r="G461" s="12"/>
      <c r="H461" s="41"/>
      <c r="I461" s="30"/>
      <c r="J461" s="30"/>
      <c r="K461" s="97"/>
      <c r="L461" s="11"/>
      <c r="M461" s="11"/>
      <c r="N461" s="11"/>
      <c r="O461" s="11"/>
      <c r="P461" s="82"/>
    </row>
    <row r="462" spans="2:16" s="9" customFormat="1" x14ac:dyDescent="0.2">
      <c r="B462" s="10"/>
      <c r="C462" s="11"/>
      <c r="D462" s="63"/>
      <c r="E462" s="150"/>
      <c r="F462" s="65"/>
      <c r="G462" s="12"/>
      <c r="H462" s="41"/>
      <c r="I462" s="30"/>
      <c r="J462" s="30"/>
      <c r="K462" s="97"/>
      <c r="L462" s="11"/>
      <c r="M462" s="11"/>
      <c r="N462" s="11"/>
      <c r="O462" s="11"/>
      <c r="P462" s="82"/>
    </row>
    <row r="463" spans="2:16" s="9" customFormat="1" x14ac:dyDescent="0.2">
      <c r="B463" s="10"/>
      <c r="C463" s="11"/>
      <c r="D463" s="63"/>
      <c r="E463" s="150"/>
      <c r="F463" s="65"/>
      <c r="G463" s="12"/>
      <c r="H463" s="41"/>
      <c r="I463" s="30"/>
      <c r="J463" s="30"/>
      <c r="K463" s="97"/>
      <c r="L463" s="11"/>
      <c r="M463" s="11"/>
      <c r="N463" s="11"/>
      <c r="O463" s="11"/>
      <c r="P463" s="82"/>
    </row>
    <row r="464" spans="2:16" s="9" customFormat="1" x14ac:dyDescent="0.2">
      <c r="B464" s="10"/>
      <c r="C464" s="11"/>
      <c r="D464" s="63"/>
      <c r="E464" s="150"/>
      <c r="F464" s="65"/>
      <c r="G464" s="12"/>
      <c r="H464" s="41"/>
      <c r="I464" s="30"/>
      <c r="J464" s="30"/>
      <c r="K464" s="97"/>
      <c r="L464" s="11"/>
      <c r="M464" s="11"/>
      <c r="N464" s="11"/>
      <c r="O464" s="11"/>
      <c r="P464" s="82"/>
    </row>
    <row r="465" spans="2:16" s="9" customFormat="1" x14ac:dyDescent="0.2">
      <c r="B465" s="10"/>
      <c r="C465" s="11"/>
      <c r="D465" s="63"/>
      <c r="E465" s="150"/>
      <c r="F465" s="65"/>
      <c r="G465" s="12"/>
      <c r="H465" s="41"/>
      <c r="I465" s="30"/>
      <c r="J465" s="30"/>
      <c r="K465" s="97"/>
      <c r="L465" s="11"/>
      <c r="M465" s="11"/>
      <c r="N465" s="11"/>
      <c r="O465" s="11"/>
      <c r="P465" s="82"/>
    </row>
    <row r="466" spans="2:16" s="9" customFormat="1" x14ac:dyDescent="0.2">
      <c r="B466" s="10"/>
      <c r="C466" s="11"/>
      <c r="D466" s="63"/>
      <c r="E466" s="150"/>
      <c r="F466" s="65"/>
      <c r="G466" s="12"/>
      <c r="H466" s="41"/>
      <c r="I466" s="30"/>
      <c r="J466" s="30"/>
      <c r="K466" s="97"/>
      <c r="L466" s="11"/>
      <c r="M466" s="11"/>
      <c r="N466" s="11"/>
      <c r="O466" s="11"/>
      <c r="P466" s="82"/>
    </row>
    <row r="467" spans="2:16" s="9" customFormat="1" x14ac:dyDescent="0.2">
      <c r="B467" s="10"/>
      <c r="C467" s="11"/>
      <c r="D467" s="63"/>
      <c r="E467" s="150"/>
      <c r="F467" s="65"/>
      <c r="G467" s="12"/>
      <c r="H467" s="41"/>
      <c r="I467" s="30"/>
      <c r="J467" s="30"/>
      <c r="K467" s="97"/>
      <c r="L467" s="11"/>
      <c r="M467" s="11"/>
      <c r="N467" s="11"/>
      <c r="O467" s="11"/>
      <c r="P467" s="82"/>
    </row>
    <row r="468" spans="2:16" s="9" customFormat="1" x14ac:dyDescent="0.2">
      <c r="B468" s="10"/>
      <c r="C468" s="11"/>
      <c r="D468" s="63"/>
      <c r="E468" s="150"/>
      <c r="F468" s="65"/>
      <c r="G468" s="12"/>
      <c r="H468" s="41"/>
      <c r="I468" s="30"/>
      <c r="J468" s="30"/>
      <c r="K468" s="97"/>
      <c r="L468" s="11"/>
      <c r="M468" s="11"/>
      <c r="N468" s="11"/>
      <c r="O468" s="11"/>
      <c r="P468" s="82"/>
    </row>
    <row r="469" spans="2:16" s="9" customFormat="1" x14ac:dyDescent="0.2">
      <c r="B469" s="10"/>
      <c r="C469" s="11"/>
      <c r="D469" s="63"/>
      <c r="E469" s="150"/>
      <c r="F469" s="65"/>
      <c r="G469" s="12"/>
      <c r="H469" s="41"/>
      <c r="I469" s="30"/>
      <c r="J469" s="30"/>
      <c r="K469" s="97"/>
      <c r="L469" s="11"/>
      <c r="M469" s="11"/>
      <c r="N469" s="11"/>
      <c r="O469" s="11"/>
      <c r="P469" s="82"/>
    </row>
    <row r="470" spans="2:16" s="9" customFormat="1" x14ac:dyDescent="0.2">
      <c r="B470" s="10"/>
      <c r="C470" s="11"/>
      <c r="D470" s="63"/>
      <c r="E470" s="150"/>
      <c r="F470" s="65"/>
      <c r="G470" s="12"/>
      <c r="H470" s="41"/>
      <c r="I470" s="30"/>
      <c r="J470" s="30"/>
      <c r="K470" s="97"/>
      <c r="L470" s="11"/>
      <c r="M470" s="11"/>
      <c r="N470" s="11"/>
      <c r="O470" s="11"/>
      <c r="P470" s="82"/>
    </row>
    <row r="471" spans="2:16" s="9" customFormat="1" x14ac:dyDescent="0.2">
      <c r="B471" s="10"/>
      <c r="C471" s="11"/>
      <c r="D471" s="63"/>
      <c r="E471" s="150"/>
      <c r="F471" s="65"/>
      <c r="G471" s="12"/>
      <c r="H471" s="41"/>
      <c r="I471" s="30"/>
      <c r="J471" s="30"/>
      <c r="K471" s="97"/>
      <c r="L471" s="11"/>
      <c r="M471" s="11"/>
      <c r="N471" s="11"/>
      <c r="O471" s="11"/>
      <c r="P471" s="82"/>
    </row>
    <row r="472" spans="2:16" s="9" customFormat="1" x14ac:dyDescent="0.2">
      <c r="B472" s="10"/>
      <c r="C472" s="11"/>
      <c r="D472" s="63"/>
      <c r="E472" s="150"/>
      <c r="F472" s="65"/>
      <c r="G472" s="12"/>
      <c r="H472" s="41"/>
      <c r="I472" s="30"/>
      <c r="J472" s="30"/>
      <c r="K472" s="97"/>
      <c r="L472" s="11"/>
      <c r="M472" s="11"/>
      <c r="N472" s="11"/>
      <c r="O472" s="11"/>
      <c r="P472" s="82"/>
    </row>
    <row r="473" spans="2:16" s="9" customFormat="1" x14ac:dyDescent="0.2">
      <c r="B473" s="10"/>
      <c r="C473" s="11"/>
      <c r="D473" s="63"/>
      <c r="E473" s="150"/>
      <c r="F473" s="65"/>
      <c r="G473" s="12"/>
      <c r="H473" s="41"/>
      <c r="I473" s="30"/>
      <c r="J473" s="30"/>
      <c r="K473" s="97"/>
      <c r="L473" s="11"/>
      <c r="M473" s="11"/>
      <c r="N473" s="11"/>
      <c r="O473" s="11"/>
      <c r="P473" s="82"/>
    </row>
    <row r="474" spans="2:16" s="9" customFormat="1" x14ac:dyDescent="0.2">
      <c r="B474" s="10"/>
      <c r="C474" s="11"/>
      <c r="D474" s="63"/>
      <c r="E474" s="150"/>
      <c r="F474" s="65"/>
      <c r="G474" s="12"/>
      <c r="H474" s="41"/>
      <c r="I474" s="30"/>
      <c r="J474" s="30"/>
      <c r="K474" s="97"/>
      <c r="L474" s="11"/>
      <c r="M474" s="11"/>
      <c r="N474" s="11"/>
      <c r="O474" s="11"/>
      <c r="P474" s="82"/>
    </row>
    <row r="475" spans="2:16" s="9" customFormat="1" x14ac:dyDescent="0.2">
      <c r="B475" s="10"/>
      <c r="C475" s="11"/>
      <c r="D475" s="63"/>
      <c r="E475" s="150"/>
      <c r="F475" s="65"/>
      <c r="G475" s="12"/>
      <c r="H475" s="41"/>
      <c r="I475" s="30"/>
      <c r="J475" s="30"/>
      <c r="K475" s="97"/>
      <c r="L475" s="11"/>
      <c r="M475" s="11"/>
      <c r="N475" s="11"/>
      <c r="O475" s="11"/>
      <c r="P475" s="82"/>
    </row>
    <row r="476" spans="2:16" s="9" customFormat="1" x14ac:dyDescent="0.2">
      <c r="B476" s="10"/>
      <c r="C476" s="11"/>
      <c r="D476" s="63"/>
      <c r="E476" s="150"/>
      <c r="F476" s="65"/>
      <c r="G476" s="12"/>
      <c r="H476" s="41"/>
      <c r="I476" s="30"/>
      <c r="J476" s="30"/>
      <c r="K476" s="97"/>
      <c r="L476" s="11"/>
      <c r="M476" s="11"/>
      <c r="N476" s="11"/>
      <c r="O476" s="11"/>
      <c r="P476" s="82"/>
    </row>
    <row r="477" spans="2:16" s="9" customFormat="1" x14ac:dyDescent="0.2">
      <c r="B477" s="10"/>
      <c r="C477" s="11"/>
      <c r="D477" s="63"/>
      <c r="E477" s="150"/>
      <c r="F477" s="65"/>
      <c r="G477" s="12"/>
      <c r="H477" s="41"/>
      <c r="I477" s="30"/>
      <c r="J477" s="30"/>
      <c r="K477" s="97"/>
      <c r="L477" s="11"/>
      <c r="M477" s="11"/>
      <c r="N477" s="11"/>
      <c r="O477" s="11"/>
      <c r="P477" s="82"/>
    </row>
    <row r="478" spans="2:16" s="9" customFormat="1" x14ac:dyDescent="0.2">
      <c r="B478" s="10"/>
      <c r="C478" s="11"/>
      <c r="D478" s="63"/>
      <c r="E478" s="150"/>
      <c r="F478" s="65"/>
      <c r="G478" s="12"/>
      <c r="H478" s="41"/>
      <c r="I478" s="30"/>
      <c r="J478" s="30"/>
      <c r="K478" s="97"/>
      <c r="L478" s="11"/>
      <c r="M478" s="11"/>
      <c r="N478" s="11"/>
      <c r="O478" s="11"/>
      <c r="P478" s="82"/>
    </row>
    <row r="479" spans="2:16" s="9" customFormat="1" x14ac:dyDescent="0.2">
      <c r="B479" s="10"/>
      <c r="C479" s="11"/>
      <c r="D479" s="63"/>
      <c r="E479" s="150"/>
      <c r="F479" s="65"/>
      <c r="G479" s="12"/>
      <c r="H479" s="41"/>
      <c r="I479" s="30"/>
      <c r="J479" s="30"/>
      <c r="K479" s="97"/>
      <c r="L479" s="11"/>
      <c r="M479" s="11"/>
      <c r="N479" s="11"/>
      <c r="O479" s="11"/>
      <c r="P479" s="82"/>
    </row>
    <row r="480" spans="2:16" s="9" customFormat="1" x14ac:dyDescent="0.2">
      <c r="B480" s="10"/>
      <c r="C480" s="11"/>
      <c r="D480" s="63"/>
      <c r="E480" s="150"/>
      <c r="F480" s="65"/>
      <c r="G480" s="12"/>
      <c r="H480" s="41"/>
      <c r="I480" s="30"/>
      <c r="J480" s="30"/>
      <c r="K480" s="97"/>
      <c r="L480" s="11"/>
      <c r="M480" s="11"/>
      <c r="N480" s="11"/>
      <c r="O480" s="11"/>
      <c r="P480" s="82"/>
    </row>
    <row r="481" spans="2:16" s="9" customFormat="1" x14ac:dyDescent="0.2">
      <c r="B481" s="10"/>
      <c r="C481" s="11"/>
      <c r="D481" s="63"/>
      <c r="E481" s="150"/>
      <c r="F481" s="65"/>
      <c r="G481" s="12"/>
      <c r="H481" s="41"/>
      <c r="I481" s="30"/>
      <c r="J481" s="30"/>
      <c r="K481" s="97"/>
      <c r="L481" s="11"/>
      <c r="M481" s="11"/>
      <c r="N481" s="11"/>
      <c r="O481" s="11"/>
      <c r="P481" s="82"/>
    </row>
    <row r="482" spans="2:16" s="9" customFormat="1" x14ac:dyDescent="0.2">
      <c r="B482" s="10"/>
      <c r="C482" s="11"/>
      <c r="D482" s="63"/>
      <c r="E482" s="150"/>
      <c r="F482" s="65"/>
      <c r="G482" s="12"/>
      <c r="H482" s="41"/>
      <c r="I482" s="30"/>
      <c r="J482" s="30"/>
      <c r="K482" s="97"/>
      <c r="L482" s="11"/>
      <c r="M482" s="11"/>
      <c r="N482" s="11"/>
      <c r="O482" s="11"/>
      <c r="P482" s="82"/>
    </row>
    <row r="483" spans="2:16" s="9" customFormat="1" x14ac:dyDescent="0.2">
      <c r="B483" s="10"/>
      <c r="C483" s="11"/>
      <c r="D483" s="63"/>
      <c r="E483" s="150"/>
      <c r="F483" s="65"/>
      <c r="G483" s="12"/>
      <c r="H483" s="41"/>
      <c r="I483" s="30"/>
      <c r="J483" s="30"/>
      <c r="K483" s="97"/>
      <c r="L483" s="11"/>
      <c r="M483" s="11"/>
      <c r="N483" s="11"/>
      <c r="O483" s="11"/>
      <c r="P483" s="82"/>
    </row>
    <row r="484" spans="2:16" s="9" customFormat="1" x14ac:dyDescent="0.2">
      <c r="B484" s="10"/>
      <c r="C484" s="11"/>
      <c r="D484" s="63"/>
      <c r="E484" s="150"/>
      <c r="F484" s="65"/>
      <c r="G484" s="12"/>
      <c r="H484" s="41"/>
      <c r="I484" s="30"/>
      <c r="J484" s="30"/>
      <c r="K484" s="97"/>
      <c r="L484" s="11"/>
      <c r="M484" s="11"/>
      <c r="N484" s="11"/>
      <c r="O484" s="11"/>
      <c r="P484" s="82"/>
    </row>
    <row r="485" spans="2:16" s="9" customFormat="1" x14ac:dyDescent="0.2">
      <c r="B485" s="10"/>
      <c r="C485" s="11"/>
      <c r="D485" s="63"/>
      <c r="E485" s="150"/>
      <c r="F485" s="65"/>
      <c r="G485" s="12"/>
      <c r="H485" s="41"/>
      <c r="I485" s="30"/>
      <c r="J485" s="30"/>
      <c r="K485" s="97"/>
      <c r="L485" s="11"/>
      <c r="M485" s="11"/>
      <c r="N485" s="11"/>
      <c r="O485" s="11"/>
      <c r="P485" s="82"/>
    </row>
    <row r="486" spans="2:16" s="9" customFormat="1" x14ac:dyDescent="0.2">
      <c r="B486" s="10"/>
      <c r="C486" s="11"/>
      <c r="D486" s="63"/>
      <c r="E486" s="150"/>
      <c r="F486" s="65"/>
      <c r="G486" s="12"/>
      <c r="H486" s="41"/>
      <c r="I486" s="30"/>
      <c r="J486" s="30"/>
      <c r="K486" s="97"/>
      <c r="L486" s="11"/>
      <c r="M486" s="11"/>
      <c r="N486" s="11"/>
      <c r="O486" s="11"/>
      <c r="P486" s="82"/>
    </row>
    <row r="487" spans="2:16" s="9" customFormat="1" x14ac:dyDescent="0.2">
      <c r="B487" s="10"/>
      <c r="C487" s="11"/>
      <c r="D487" s="63"/>
      <c r="E487" s="150"/>
      <c r="F487" s="65"/>
      <c r="G487" s="12"/>
      <c r="H487" s="41"/>
      <c r="I487" s="30"/>
      <c r="J487" s="30"/>
      <c r="K487" s="97"/>
      <c r="L487" s="11"/>
      <c r="M487" s="11"/>
      <c r="N487" s="11"/>
      <c r="O487" s="11"/>
      <c r="P487" s="82"/>
    </row>
    <row r="488" spans="2:16" s="9" customFormat="1" x14ac:dyDescent="0.2">
      <c r="B488" s="10"/>
      <c r="C488" s="11"/>
      <c r="D488" s="63"/>
      <c r="E488" s="150"/>
      <c r="F488" s="65"/>
      <c r="G488" s="12"/>
      <c r="H488" s="41"/>
      <c r="I488" s="30"/>
      <c r="J488" s="30"/>
      <c r="K488" s="97"/>
      <c r="L488" s="11"/>
      <c r="M488" s="11"/>
      <c r="N488" s="11"/>
      <c r="O488" s="11"/>
      <c r="P488" s="82"/>
    </row>
    <row r="489" spans="2:16" s="9" customFormat="1" x14ac:dyDescent="0.2">
      <c r="B489" s="10"/>
      <c r="C489" s="11"/>
      <c r="D489" s="63"/>
      <c r="E489" s="150"/>
      <c r="F489" s="65"/>
      <c r="G489" s="12"/>
      <c r="H489" s="41"/>
      <c r="I489" s="30"/>
      <c r="J489" s="30"/>
      <c r="K489" s="97"/>
      <c r="L489" s="11"/>
      <c r="M489" s="11"/>
      <c r="N489" s="11"/>
      <c r="O489" s="11"/>
      <c r="P489" s="82"/>
    </row>
    <row r="490" spans="2:16" s="9" customFormat="1" x14ac:dyDescent="0.2">
      <c r="B490" s="10"/>
      <c r="C490" s="11"/>
      <c r="D490" s="63"/>
      <c r="E490" s="150"/>
      <c r="F490" s="65"/>
      <c r="G490" s="12"/>
      <c r="H490" s="41"/>
      <c r="I490" s="30"/>
      <c r="J490" s="30"/>
      <c r="K490" s="97"/>
      <c r="L490" s="11"/>
      <c r="M490" s="11"/>
      <c r="N490" s="11"/>
      <c r="O490" s="11"/>
      <c r="P490" s="82"/>
    </row>
    <row r="491" spans="2:16" s="9" customFormat="1" x14ac:dyDescent="0.2">
      <c r="B491" s="10"/>
      <c r="C491" s="11"/>
      <c r="D491" s="63"/>
      <c r="E491" s="150"/>
      <c r="F491" s="65"/>
      <c r="G491" s="12"/>
      <c r="H491" s="41"/>
      <c r="I491" s="30"/>
      <c r="J491" s="30"/>
      <c r="K491" s="97"/>
      <c r="L491" s="11"/>
      <c r="M491" s="11"/>
      <c r="N491" s="11"/>
      <c r="O491" s="11"/>
      <c r="P491" s="82"/>
    </row>
    <row r="492" spans="2:16" s="9" customFormat="1" x14ac:dyDescent="0.2">
      <c r="B492" s="10"/>
      <c r="C492" s="11"/>
      <c r="D492" s="63"/>
      <c r="E492" s="150"/>
      <c r="F492" s="65"/>
      <c r="G492" s="12"/>
      <c r="H492" s="41"/>
      <c r="I492" s="30"/>
      <c r="J492" s="30"/>
      <c r="K492" s="97"/>
      <c r="L492" s="11"/>
      <c r="M492" s="11"/>
      <c r="N492" s="11"/>
      <c r="O492" s="11"/>
      <c r="P492" s="82"/>
    </row>
    <row r="493" spans="2:16" s="9" customFormat="1" x14ac:dyDescent="0.2">
      <c r="B493" s="10"/>
      <c r="C493" s="11"/>
      <c r="D493" s="63"/>
      <c r="E493" s="150"/>
      <c r="F493" s="65"/>
      <c r="G493" s="12"/>
      <c r="H493" s="41"/>
      <c r="I493" s="30"/>
      <c r="J493" s="30"/>
      <c r="K493" s="97"/>
      <c r="L493" s="11"/>
      <c r="M493" s="11"/>
      <c r="N493" s="11"/>
      <c r="O493" s="11"/>
      <c r="P493" s="82"/>
    </row>
    <row r="494" spans="2:16" s="9" customFormat="1" x14ac:dyDescent="0.2">
      <c r="B494" s="10"/>
      <c r="C494" s="11"/>
      <c r="D494" s="63"/>
      <c r="E494" s="150"/>
      <c r="F494" s="65"/>
      <c r="G494" s="12"/>
      <c r="H494" s="41"/>
      <c r="I494" s="30"/>
      <c r="J494" s="30"/>
      <c r="K494" s="97"/>
      <c r="L494" s="11"/>
      <c r="M494" s="11"/>
      <c r="N494" s="11"/>
      <c r="O494" s="11"/>
      <c r="P494" s="82"/>
    </row>
    <row r="495" spans="2:16" s="9" customFormat="1" x14ac:dyDescent="0.2">
      <c r="B495" s="10"/>
      <c r="C495" s="11"/>
      <c r="D495" s="63"/>
      <c r="E495" s="150"/>
      <c r="F495" s="65"/>
      <c r="G495" s="12"/>
      <c r="H495" s="41"/>
      <c r="I495" s="30"/>
      <c r="J495" s="30"/>
      <c r="K495" s="97"/>
      <c r="L495" s="11"/>
      <c r="M495" s="11"/>
      <c r="N495" s="11"/>
      <c r="O495" s="11"/>
      <c r="P495" s="82"/>
    </row>
    <row r="496" spans="2:16" s="9" customFormat="1" x14ac:dyDescent="0.2">
      <c r="B496" s="10"/>
      <c r="C496" s="11"/>
      <c r="D496" s="63"/>
      <c r="E496" s="150"/>
      <c r="F496" s="65"/>
      <c r="G496" s="12"/>
      <c r="H496" s="41"/>
      <c r="I496" s="30"/>
      <c r="J496" s="30"/>
      <c r="K496" s="97"/>
      <c r="L496" s="11"/>
      <c r="M496" s="11"/>
      <c r="N496" s="11"/>
      <c r="O496" s="11"/>
      <c r="P496" s="82"/>
    </row>
    <row r="497" spans="2:16" s="9" customFormat="1" x14ac:dyDescent="0.2">
      <c r="B497" s="10"/>
      <c r="C497" s="11"/>
      <c r="D497" s="63"/>
      <c r="E497" s="150"/>
      <c r="F497" s="65"/>
      <c r="G497" s="12"/>
      <c r="H497" s="41"/>
      <c r="I497" s="30"/>
      <c r="J497" s="30"/>
      <c r="K497" s="97"/>
      <c r="L497" s="11"/>
      <c r="M497" s="11"/>
      <c r="N497" s="11"/>
      <c r="O497" s="11"/>
      <c r="P497" s="82"/>
    </row>
    <row r="498" spans="2:16" s="9" customFormat="1" x14ac:dyDescent="0.2">
      <c r="B498" s="10"/>
      <c r="C498" s="11"/>
      <c r="D498" s="63"/>
      <c r="E498" s="150"/>
      <c r="F498" s="65"/>
      <c r="G498" s="12"/>
      <c r="H498" s="41"/>
      <c r="I498" s="30"/>
      <c r="J498" s="30"/>
      <c r="K498" s="97"/>
      <c r="L498" s="11"/>
      <c r="M498" s="11"/>
      <c r="N498" s="11"/>
      <c r="O498" s="11"/>
      <c r="P498" s="82"/>
    </row>
    <row r="499" spans="2:16" s="9" customFormat="1" x14ac:dyDescent="0.2">
      <c r="B499" s="10"/>
      <c r="C499" s="11"/>
      <c r="D499" s="63"/>
      <c r="E499" s="150"/>
      <c r="F499" s="65"/>
      <c r="G499" s="12"/>
      <c r="H499" s="41"/>
      <c r="I499" s="30"/>
      <c r="J499" s="30"/>
      <c r="K499" s="97"/>
      <c r="L499" s="11"/>
      <c r="M499" s="11"/>
      <c r="N499" s="11"/>
      <c r="O499" s="11"/>
      <c r="P499" s="82"/>
    </row>
    <row r="500" spans="2:16" s="9" customFormat="1" x14ac:dyDescent="0.2">
      <c r="B500" s="10"/>
      <c r="C500" s="11"/>
      <c r="D500" s="63"/>
      <c r="E500" s="150"/>
      <c r="F500" s="65"/>
      <c r="G500" s="12"/>
      <c r="H500" s="41"/>
      <c r="I500" s="30"/>
      <c r="J500" s="30"/>
      <c r="K500" s="97"/>
      <c r="L500" s="11"/>
      <c r="M500" s="11"/>
      <c r="N500" s="11"/>
      <c r="O500" s="11"/>
      <c r="P500" s="82"/>
    </row>
    <row r="501" spans="2:16" s="9" customFormat="1" x14ac:dyDescent="0.2">
      <c r="B501" s="10"/>
      <c r="C501" s="11"/>
      <c r="D501" s="63"/>
      <c r="E501" s="150"/>
      <c r="F501" s="65"/>
      <c r="G501" s="12"/>
      <c r="H501" s="41"/>
      <c r="I501" s="30"/>
      <c r="J501" s="30"/>
      <c r="K501" s="97"/>
      <c r="L501" s="11"/>
      <c r="M501" s="11"/>
      <c r="N501" s="11"/>
      <c r="O501" s="11"/>
      <c r="P501" s="82"/>
    </row>
    <row r="502" spans="2:16" s="9" customFormat="1" x14ac:dyDescent="0.2">
      <c r="B502" s="10"/>
      <c r="C502" s="11"/>
      <c r="D502" s="63"/>
      <c r="E502" s="150"/>
      <c r="F502" s="65"/>
      <c r="G502" s="12"/>
      <c r="H502" s="41"/>
      <c r="I502" s="30"/>
      <c r="J502" s="30"/>
      <c r="K502" s="97"/>
      <c r="L502" s="11"/>
      <c r="M502" s="11"/>
      <c r="N502" s="11"/>
      <c r="O502" s="11"/>
      <c r="P502" s="82"/>
    </row>
    <row r="503" spans="2:16" s="9" customFormat="1" x14ac:dyDescent="0.2">
      <c r="B503" s="10"/>
      <c r="C503" s="11"/>
      <c r="D503" s="63"/>
      <c r="E503" s="150"/>
      <c r="F503" s="65"/>
      <c r="G503" s="12"/>
      <c r="H503" s="41"/>
      <c r="I503" s="30"/>
      <c r="J503" s="30"/>
      <c r="K503" s="97"/>
      <c r="L503" s="11"/>
      <c r="M503" s="11"/>
      <c r="N503" s="11"/>
      <c r="O503" s="11"/>
      <c r="P503" s="82"/>
    </row>
    <row r="504" spans="2:16" s="9" customFormat="1" x14ac:dyDescent="0.2">
      <c r="B504" s="10"/>
      <c r="C504" s="11"/>
      <c r="D504" s="63"/>
      <c r="E504" s="150"/>
      <c r="F504" s="65"/>
      <c r="G504" s="12"/>
      <c r="H504" s="41"/>
      <c r="I504" s="30"/>
      <c r="J504" s="30"/>
      <c r="K504" s="97"/>
      <c r="L504" s="11"/>
      <c r="M504" s="11"/>
      <c r="N504" s="11"/>
      <c r="O504" s="11"/>
      <c r="P504" s="82"/>
    </row>
    <row r="505" spans="2:16" s="9" customFormat="1" x14ac:dyDescent="0.2">
      <c r="B505" s="10"/>
      <c r="C505" s="11"/>
      <c r="D505" s="63"/>
      <c r="E505" s="150"/>
      <c r="F505" s="65"/>
      <c r="G505" s="12"/>
      <c r="H505" s="41"/>
      <c r="I505" s="30"/>
      <c r="J505" s="30"/>
      <c r="K505" s="97"/>
      <c r="L505" s="11"/>
      <c r="M505" s="11"/>
      <c r="N505" s="11"/>
      <c r="O505" s="11"/>
      <c r="P505" s="82"/>
    </row>
    <row r="506" spans="2:16" s="9" customFormat="1" x14ac:dyDescent="0.2">
      <c r="B506" s="10"/>
      <c r="C506" s="11"/>
      <c r="D506" s="63"/>
      <c r="E506" s="150"/>
      <c r="F506" s="65"/>
      <c r="G506" s="12"/>
      <c r="H506" s="41"/>
      <c r="I506" s="30"/>
      <c r="J506" s="30"/>
      <c r="K506" s="97"/>
      <c r="L506" s="11"/>
      <c r="M506" s="11"/>
      <c r="N506" s="11"/>
      <c r="O506" s="11"/>
      <c r="P506" s="82"/>
    </row>
    <row r="507" spans="2:16" s="9" customFormat="1" x14ac:dyDescent="0.2">
      <c r="B507" s="10"/>
      <c r="C507" s="11"/>
      <c r="D507" s="63"/>
      <c r="E507" s="150"/>
      <c r="F507" s="65"/>
      <c r="G507" s="12"/>
      <c r="H507" s="41"/>
      <c r="I507" s="30"/>
      <c r="J507" s="30"/>
      <c r="K507" s="97"/>
      <c r="L507" s="11"/>
      <c r="M507" s="11"/>
      <c r="N507" s="11"/>
      <c r="O507" s="11"/>
      <c r="P507" s="82"/>
    </row>
    <row r="508" spans="2:16" s="9" customFormat="1" x14ac:dyDescent="0.2">
      <c r="B508" s="10"/>
      <c r="C508" s="11"/>
      <c r="D508" s="63"/>
      <c r="E508" s="150"/>
      <c r="F508" s="65"/>
      <c r="G508" s="12"/>
      <c r="H508" s="41"/>
      <c r="I508" s="30"/>
      <c r="J508" s="30"/>
      <c r="K508" s="97"/>
      <c r="L508" s="11"/>
      <c r="M508" s="11"/>
      <c r="N508" s="11"/>
      <c r="O508" s="11"/>
      <c r="P508" s="82"/>
    </row>
    <row r="509" spans="2:16" s="9" customFormat="1" x14ac:dyDescent="0.2">
      <c r="B509" s="10"/>
      <c r="C509" s="11"/>
      <c r="D509" s="63"/>
      <c r="E509" s="150"/>
      <c r="F509" s="65"/>
      <c r="G509" s="12"/>
      <c r="H509" s="41"/>
      <c r="I509" s="30"/>
      <c r="J509" s="30"/>
      <c r="K509" s="97"/>
      <c r="L509" s="11"/>
      <c r="M509" s="11"/>
      <c r="N509" s="11"/>
      <c r="O509" s="11"/>
      <c r="P509" s="82"/>
    </row>
    <row r="510" spans="2:16" s="9" customFormat="1" x14ac:dyDescent="0.2">
      <c r="B510" s="10"/>
      <c r="C510" s="11"/>
      <c r="D510" s="63"/>
      <c r="E510" s="150"/>
      <c r="F510" s="65"/>
      <c r="G510" s="12"/>
      <c r="H510" s="41"/>
      <c r="I510" s="30"/>
      <c r="J510" s="30"/>
      <c r="K510" s="97"/>
      <c r="L510" s="11"/>
      <c r="M510" s="11"/>
      <c r="N510" s="11"/>
      <c r="O510" s="11"/>
      <c r="P510" s="82"/>
    </row>
    <row r="511" spans="2:16" s="9" customFormat="1" x14ac:dyDescent="0.2">
      <c r="B511" s="10"/>
      <c r="C511" s="11"/>
      <c r="D511" s="63"/>
      <c r="E511" s="150"/>
      <c r="F511" s="65"/>
      <c r="G511" s="12"/>
      <c r="H511" s="41"/>
      <c r="I511" s="30"/>
      <c r="J511" s="30"/>
      <c r="K511" s="97"/>
      <c r="L511" s="11"/>
      <c r="M511" s="11"/>
      <c r="N511" s="11"/>
      <c r="O511" s="11"/>
      <c r="P511" s="82"/>
    </row>
    <row r="512" spans="2:16" s="9" customFormat="1" x14ac:dyDescent="0.2">
      <c r="B512" s="10"/>
      <c r="C512" s="11"/>
      <c r="D512" s="63"/>
      <c r="E512" s="150"/>
      <c r="F512" s="65"/>
      <c r="G512" s="12"/>
      <c r="H512" s="41"/>
      <c r="I512" s="30"/>
      <c r="J512" s="30"/>
      <c r="K512" s="97"/>
      <c r="L512" s="11"/>
      <c r="M512" s="11"/>
      <c r="N512" s="11"/>
      <c r="O512" s="11"/>
      <c r="P512" s="82"/>
    </row>
    <row r="513" spans="2:16" s="9" customFormat="1" x14ac:dyDescent="0.2">
      <c r="B513" s="10"/>
      <c r="C513" s="11"/>
      <c r="D513" s="63"/>
      <c r="E513" s="150"/>
      <c r="F513" s="65"/>
      <c r="G513" s="12"/>
      <c r="H513" s="41"/>
      <c r="I513" s="30"/>
      <c r="J513" s="30"/>
      <c r="K513" s="97"/>
      <c r="L513" s="11"/>
      <c r="M513" s="11"/>
      <c r="N513" s="11"/>
      <c r="O513" s="11"/>
      <c r="P513" s="82"/>
    </row>
    <row r="514" spans="2:16" s="9" customFormat="1" x14ac:dyDescent="0.2">
      <c r="B514" s="10"/>
      <c r="C514" s="11"/>
      <c r="D514" s="63"/>
      <c r="E514" s="150"/>
      <c r="F514" s="65"/>
      <c r="G514" s="12"/>
      <c r="H514" s="41"/>
      <c r="I514" s="30"/>
      <c r="J514" s="30"/>
      <c r="K514" s="97"/>
      <c r="L514" s="11"/>
      <c r="M514" s="11"/>
      <c r="N514" s="11"/>
      <c r="O514" s="11"/>
      <c r="P514" s="82"/>
    </row>
    <row r="515" spans="2:16" s="9" customFormat="1" x14ac:dyDescent="0.2">
      <c r="B515" s="10"/>
      <c r="C515" s="11"/>
      <c r="D515" s="63"/>
      <c r="E515" s="150"/>
      <c r="F515" s="65"/>
      <c r="G515" s="12"/>
      <c r="H515" s="41"/>
      <c r="I515" s="30"/>
      <c r="J515" s="30"/>
      <c r="K515" s="97"/>
      <c r="L515" s="11"/>
      <c r="M515" s="11"/>
      <c r="N515" s="11"/>
      <c r="O515" s="11"/>
      <c r="P515" s="82"/>
    </row>
    <row r="516" spans="2:16" s="9" customFormat="1" x14ac:dyDescent="0.2">
      <c r="B516" s="10"/>
      <c r="C516" s="11"/>
      <c r="D516" s="63"/>
      <c r="E516" s="150"/>
      <c r="F516" s="65"/>
      <c r="G516" s="12"/>
      <c r="H516" s="41"/>
      <c r="I516" s="30"/>
      <c r="J516" s="30"/>
      <c r="K516" s="97"/>
      <c r="L516" s="11"/>
      <c r="M516" s="11"/>
      <c r="N516" s="11"/>
      <c r="O516" s="11"/>
      <c r="P516" s="82"/>
    </row>
    <row r="517" spans="2:16" s="9" customFormat="1" x14ac:dyDescent="0.2">
      <c r="B517" s="10"/>
      <c r="C517" s="11"/>
      <c r="D517" s="63"/>
      <c r="E517" s="150"/>
      <c r="F517" s="65"/>
      <c r="G517" s="12"/>
      <c r="H517" s="41"/>
      <c r="I517" s="30"/>
      <c r="J517" s="30"/>
      <c r="K517" s="97"/>
      <c r="L517" s="11"/>
      <c r="M517" s="11"/>
      <c r="N517" s="11"/>
      <c r="O517" s="11"/>
      <c r="P517" s="82"/>
    </row>
    <row r="518" spans="2:16" s="9" customFormat="1" x14ac:dyDescent="0.2">
      <c r="B518" s="10"/>
      <c r="C518" s="11"/>
      <c r="D518" s="63"/>
      <c r="E518" s="150"/>
      <c r="F518" s="65"/>
      <c r="G518" s="12"/>
      <c r="H518" s="41"/>
      <c r="I518" s="30"/>
      <c r="J518" s="30"/>
      <c r="K518" s="97"/>
      <c r="L518" s="11"/>
      <c r="M518" s="11"/>
      <c r="N518" s="11"/>
      <c r="O518" s="11"/>
      <c r="P518" s="82"/>
    </row>
    <row r="519" spans="2:16" s="9" customFormat="1" x14ac:dyDescent="0.2">
      <c r="B519" s="10"/>
      <c r="C519" s="11"/>
      <c r="D519" s="63"/>
      <c r="E519" s="150"/>
      <c r="F519" s="65"/>
      <c r="G519" s="12"/>
      <c r="H519" s="41"/>
      <c r="I519" s="30"/>
      <c r="J519" s="30"/>
      <c r="K519" s="97"/>
      <c r="L519" s="11"/>
      <c r="M519" s="11"/>
      <c r="N519" s="11"/>
      <c r="O519" s="11"/>
      <c r="P519" s="82"/>
    </row>
    <row r="520" spans="2:16" s="9" customFormat="1" x14ac:dyDescent="0.2">
      <c r="B520" s="10"/>
      <c r="C520" s="11"/>
      <c r="D520" s="63"/>
      <c r="E520" s="150"/>
      <c r="F520" s="65"/>
      <c r="G520" s="12"/>
      <c r="H520" s="41"/>
      <c r="I520" s="30"/>
      <c r="J520" s="30"/>
      <c r="K520" s="97"/>
      <c r="L520" s="11"/>
      <c r="M520" s="11"/>
      <c r="N520" s="11"/>
      <c r="O520" s="11"/>
      <c r="P520" s="82"/>
    </row>
    <row r="521" spans="2:16" s="9" customFormat="1" x14ac:dyDescent="0.2">
      <c r="B521" s="10"/>
      <c r="C521" s="11"/>
      <c r="D521" s="63"/>
      <c r="E521" s="150"/>
      <c r="F521" s="65"/>
      <c r="G521" s="12"/>
      <c r="H521" s="41"/>
      <c r="I521" s="30"/>
      <c r="J521" s="30"/>
      <c r="K521" s="97"/>
      <c r="L521" s="11"/>
      <c r="M521" s="11"/>
      <c r="N521" s="11"/>
      <c r="O521" s="11"/>
      <c r="P521" s="82"/>
    </row>
    <row r="522" spans="2:16" s="9" customFormat="1" x14ac:dyDescent="0.2">
      <c r="B522" s="10"/>
      <c r="C522" s="11"/>
      <c r="D522" s="63"/>
      <c r="E522" s="150"/>
      <c r="F522" s="65"/>
      <c r="G522" s="12"/>
      <c r="H522" s="41"/>
      <c r="I522" s="30"/>
      <c r="J522" s="30"/>
      <c r="K522" s="97"/>
      <c r="L522" s="11"/>
      <c r="M522" s="11"/>
      <c r="N522" s="11"/>
      <c r="O522" s="11"/>
      <c r="P522" s="82"/>
    </row>
    <row r="523" spans="2:16" s="9" customFormat="1" x14ac:dyDescent="0.2">
      <c r="B523" s="10"/>
      <c r="C523" s="11"/>
      <c r="D523" s="63"/>
      <c r="E523" s="150"/>
      <c r="F523" s="65"/>
      <c r="G523" s="12"/>
      <c r="H523" s="41"/>
      <c r="I523" s="30"/>
      <c r="J523" s="30"/>
      <c r="K523" s="97"/>
      <c r="L523" s="11"/>
      <c r="M523" s="11"/>
      <c r="N523" s="11"/>
      <c r="O523" s="11"/>
      <c r="P523" s="82"/>
    </row>
    <row r="524" spans="2:16" s="9" customFormat="1" x14ac:dyDescent="0.2">
      <c r="B524" s="10"/>
      <c r="C524" s="11"/>
      <c r="D524" s="63"/>
      <c r="E524" s="150"/>
      <c r="F524" s="65"/>
      <c r="G524" s="12"/>
      <c r="H524" s="41"/>
      <c r="I524" s="30"/>
      <c r="J524" s="30"/>
      <c r="K524" s="97"/>
      <c r="L524" s="11"/>
      <c r="M524" s="11"/>
      <c r="N524" s="11"/>
      <c r="O524" s="11"/>
      <c r="P524" s="82"/>
    </row>
    <row r="525" spans="2:16" s="9" customFormat="1" x14ac:dyDescent="0.2">
      <c r="B525" s="10"/>
      <c r="C525" s="11"/>
      <c r="D525" s="63"/>
      <c r="E525" s="150"/>
      <c r="F525" s="65"/>
      <c r="G525" s="12"/>
      <c r="H525" s="41"/>
      <c r="I525" s="30"/>
      <c r="J525" s="30"/>
      <c r="K525" s="97"/>
      <c r="L525" s="11"/>
      <c r="M525" s="11"/>
      <c r="N525" s="11"/>
      <c r="O525" s="11"/>
      <c r="P525" s="82"/>
    </row>
    <row r="526" spans="2:16" s="9" customFormat="1" x14ac:dyDescent="0.2">
      <c r="B526" s="10"/>
      <c r="C526" s="11"/>
      <c r="D526" s="63"/>
      <c r="E526" s="150"/>
      <c r="F526" s="65"/>
      <c r="G526" s="12"/>
      <c r="H526" s="41"/>
      <c r="I526" s="30"/>
      <c r="J526" s="30"/>
      <c r="K526" s="97"/>
      <c r="L526" s="11"/>
      <c r="M526" s="11"/>
      <c r="N526" s="11"/>
      <c r="O526" s="11"/>
      <c r="P526" s="82"/>
    </row>
    <row r="527" spans="2:16" s="9" customFormat="1" x14ac:dyDescent="0.2">
      <c r="B527" s="10"/>
      <c r="C527" s="11"/>
      <c r="D527" s="63"/>
      <c r="E527" s="150"/>
      <c r="F527" s="65"/>
      <c r="G527" s="12"/>
      <c r="H527" s="41"/>
      <c r="I527" s="30"/>
      <c r="J527" s="30"/>
      <c r="K527" s="97"/>
      <c r="L527" s="11"/>
      <c r="M527" s="11"/>
      <c r="N527" s="11"/>
      <c r="O527" s="11"/>
      <c r="P527" s="82"/>
    </row>
    <row r="528" spans="2:16" s="9" customFormat="1" x14ac:dyDescent="0.2">
      <c r="B528" s="10"/>
      <c r="C528" s="11"/>
      <c r="D528" s="63"/>
      <c r="E528" s="150"/>
      <c r="F528" s="65"/>
      <c r="G528" s="12"/>
      <c r="H528" s="41"/>
      <c r="I528" s="30"/>
      <c r="J528" s="30"/>
      <c r="K528" s="97"/>
      <c r="L528" s="11"/>
      <c r="M528" s="11"/>
      <c r="N528" s="11"/>
      <c r="O528" s="11"/>
      <c r="P528" s="82"/>
    </row>
    <row r="529" spans="2:16" s="9" customFormat="1" x14ac:dyDescent="0.2">
      <c r="B529" s="10"/>
      <c r="C529" s="11"/>
      <c r="D529" s="63"/>
      <c r="E529" s="150"/>
      <c r="F529" s="65"/>
      <c r="G529" s="12"/>
      <c r="H529" s="41"/>
      <c r="I529" s="30"/>
      <c r="J529" s="30"/>
      <c r="K529" s="97"/>
      <c r="L529" s="11"/>
      <c r="M529" s="11"/>
      <c r="N529" s="11"/>
      <c r="O529" s="11"/>
      <c r="P529" s="82"/>
    </row>
    <row r="530" spans="2:16" s="9" customFormat="1" x14ac:dyDescent="0.2">
      <c r="B530" s="10"/>
      <c r="C530" s="11"/>
      <c r="D530" s="63"/>
      <c r="E530" s="150"/>
      <c r="F530" s="65"/>
      <c r="G530" s="12"/>
      <c r="H530" s="41"/>
      <c r="I530" s="30"/>
      <c r="J530" s="30"/>
      <c r="K530" s="97"/>
      <c r="L530" s="11"/>
      <c r="M530" s="11"/>
      <c r="N530" s="11"/>
      <c r="O530" s="11"/>
      <c r="P530" s="82"/>
    </row>
    <row r="531" spans="2:16" s="9" customFormat="1" x14ac:dyDescent="0.2">
      <c r="B531" s="10"/>
      <c r="C531" s="11"/>
      <c r="D531" s="63"/>
      <c r="E531" s="150"/>
      <c r="F531" s="65"/>
      <c r="G531" s="12"/>
      <c r="H531" s="41"/>
      <c r="I531" s="30"/>
      <c r="J531" s="30"/>
      <c r="K531" s="97"/>
      <c r="L531" s="11"/>
      <c r="M531" s="11"/>
      <c r="N531" s="11"/>
      <c r="O531" s="11"/>
      <c r="P531" s="82"/>
    </row>
    <row r="532" spans="2:16" s="9" customFormat="1" x14ac:dyDescent="0.2">
      <c r="B532" s="10"/>
      <c r="C532" s="11"/>
      <c r="D532" s="63"/>
      <c r="E532" s="150"/>
      <c r="F532" s="65"/>
      <c r="G532" s="12"/>
      <c r="H532" s="41"/>
      <c r="I532" s="30"/>
      <c r="J532" s="30"/>
      <c r="K532" s="97"/>
      <c r="L532" s="11"/>
      <c r="M532" s="11"/>
      <c r="N532" s="11"/>
      <c r="O532" s="11"/>
      <c r="P532" s="82"/>
    </row>
    <row r="533" spans="2:16" s="9" customFormat="1" x14ac:dyDescent="0.2">
      <c r="B533" s="10"/>
      <c r="C533" s="11"/>
      <c r="D533" s="63"/>
      <c r="E533" s="150"/>
      <c r="F533" s="65"/>
      <c r="G533" s="12"/>
      <c r="H533" s="41"/>
      <c r="I533" s="30"/>
      <c r="J533" s="30"/>
      <c r="K533" s="97"/>
      <c r="L533" s="11"/>
      <c r="M533" s="11"/>
      <c r="N533" s="11"/>
      <c r="O533" s="11"/>
      <c r="P533" s="82"/>
    </row>
    <row r="534" spans="2:16" s="9" customFormat="1" x14ac:dyDescent="0.2">
      <c r="B534" s="10"/>
      <c r="C534" s="11"/>
      <c r="D534" s="63"/>
      <c r="E534" s="150"/>
      <c r="F534" s="65"/>
      <c r="G534" s="12"/>
      <c r="H534" s="41"/>
      <c r="I534" s="30"/>
      <c r="J534" s="30"/>
      <c r="K534" s="97"/>
      <c r="L534" s="11"/>
      <c r="M534" s="11"/>
      <c r="N534" s="11"/>
      <c r="O534" s="11"/>
      <c r="P534" s="82"/>
    </row>
    <row r="535" spans="2:16" s="9" customFormat="1" x14ac:dyDescent="0.2">
      <c r="B535" s="10"/>
      <c r="C535" s="11"/>
      <c r="D535" s="63"/>
      <c r="E535" s="150"/>
      <c r="F535" s="65"/>
      <c r="G535" s="12"/>
      <c r="H535" s="41"/>
      <c r="I535" s="30"/>
      <c r="J535" s="30"/>
      <c r="K535" s="97"/>
      <c r="L535" s="11"/>
      <c r="M535" s="11"/>
      <c r="N535" s="11"/>
      <c r="O535" s="11"/>
      <c r="P535" s="82"/>
    </row>
    <row r="536" spans="2:16" s="9" customFormat="1" x14ac:dyDescent="0.2">
      <c r="B536" s="10"/>
      <c r="C536" s="11"/>
      <c r="D536" s="63"/>
      <c r="E536" s="150"/>
      <c r="F536" s="65"/>
      <c r="G536" s="12"/>
      <c r="H536" s="41"/>
      <c r="I536" s="30"/>
      <c r="J536" s="30"/>
      <c r="K536" s="97"/>
      <c r="L536" s="11"/>
      <c r="M536" s="11"/>
      <c r="N536" s="11"/>
      <c r="O536" s="11"/>
      <c r="P536" s="82"/>
    </row>
    <row r="537" spans="2:16" s="9" customFormat="1" x14ac:dyDescent="0.2">
      <c r="B537" s="10"/>
      <c r="C537" s="11"/>
      <c r="D537" s="63"/>
      <c r="E537" s="150"/>
      <c r="F537" s="65"/>
      <c r="G537" s="12"/>
      <c r="H537" s="41"/>
      <c r="I537" s="30"/>
      <c r="J537" s="30"/>
      <c r="K537" s="97"/>
      <c r="L537" s="11"/>
      <c r="M537" s="11"/>
      <c r="N537" s="11"/>
      <c r="O537" s="11"/>
      <c r="P537" s="82"/>
    </row>
    <row r="538" spans="2:16" s="9" customFormat="1" x14ac:dyDescent="0.2">
      <c r="B538" s="10"/>
      <c r="C538" s="11"/>
      <c r="D538" s="63"/>
      <c r="E538" s="150"/>
      <c r="F538" s="65"/>
      <c r="G538" s="12"/>
      <c r="H538" s="41"/>
      <c r="I538" s="30"/>
      <c r="J538" s="30"/>
      <c r="K538" s="97"/>
      <c r="L538" s="11"/>
      <c r="M538" s="11"/>
      <c r="N538" s="11"/>
      <c r="O538" s="11"/>
      <c r="P538" s="82"/>
    </row>
    <row r="539" spans="2:16" s="9" customFormat="1" x14ac:dyDescent="0.2">
      <c r="B539" s="10"/>
      <c r="C539" s="11"/>
      <c r="D539" s="63"/>
      <c r="E539" s="150"/>
      <c r="F539" s="65"/>
      <c r="G539" s="12"/>
      <c r="H539" s="41"/>
      <c r="I539" s="30"/>
      <c r="J539" s="30"/>
      <c r="K539" s="97"/>
      <c r="L539" s="11"/>
      <c r="M539" s="11"/>
      <c r="N539" s="11"/>
      <c r="O539" s="11"/>
      <c r="P539" s="82"/>
    </row>
    <row r="540" spans="2:16" s="9" customFormat="1" x14ac:dyDescent="0.2">
      <c r="B540" s="10"/>
      <c r="C540" s="11"/>
      <c r="D540" s="63"/>
      <c r="E540" s="150"/>
      <c r="F540" s="65"/>
      <c r="G540" s="12"/>
      <c r="H540" s="41"/>
      <c r="I540" s="30"/>
      <c r="J540" s="30"/>
      <c r="K540" s="97"/>
      <c r="L540" s="11"/>
      <c r="M540" s="11"/>
      <c r="N540" s="11"/>
      <c r="O540" s="11"/>
      <c r="P540" s="82"/>
    </row>
    <row r="541" spans="2:16" s="9" customFormat="1" x14ac:dyDescent="0.2">
      <c r="B541" s="10"/>
      <c r="C541" s="11"/>
      <c r="D541" s="63"/>
      <c r="E541" s="150"/>
      <c r="F541" s="65"/>
      <c r="G541" s="12"/>
      <c r="H541" s="41"/>
      <c r="I541" s="30"/>
      <c r="J541" s="30"/>
      <c r="K541" s="97"/>
      <c r="L541" s="11"/>
      <c r="M541" s="11"/>
      <c r="N541" s="11"/>
      <c r="O541" s="11"/>
      <c r="P541" s="82"/>
    </row>
    <row r="542" spans="2:16" s="9" customFormat="1" x14ac:dyDescent="0.2">
      <c r="B542" s="10"/>
      <c r="C542" s="11"/>
      <c r="D542" s="63"/>
      <c r="E542" s="150"/>
      <c r="F542" s="65"/>
      <c r="G542" s="12"/>
      <c r="H542" s="41"/>
      <c r="I542" s="30"/>
      <c r="J542" s="30"/>
      <c r="K542" s="97"/>
      <c r="L542" s="11"/>
      <c r="M542" s="11"/>
      <c r="N542" s="11"/>
      <c r="O542" s="11"/>
      <c r="P542" s="82"/>
    </row>
    <row r="543" spans="2:16" s="9" customFormat="1" x14ac:dyDescent="0.2">
      <c r="B543" s="10"/>
      <c r="C543" s="11"/>
      <c r="D543" s="63"/>
      <c r="E543" s="150"/>
      <c r="F543" s="65"/>
      <c r="G543" s="12"/>
      <c r="H543" s="41"/>
      <c r="I543" s="30"/>
      <c r="J543" s="30"/>
      <c r="K543" s="97"/>
      <c r="L543" s="11"/>
      <c r="M543" s="11"/>
      <c r="N543" s="11"/>
      <c r="O543" s="11"/>
      <c r="P543" s="82"/>
    </row>
    <row r="544" spans="2:16" s="9" customFormat="1" x14ac:dyDescent="0.2">
      <c r="B544" s="10"/>
      <c r="C544" s="11"/>
      <c r="D544" s="63"/>
      <c r="E544" s="150"/>
      <c r="F544" s="65"/>
      <c r="G544" s="12"/>
      <c r="H544" s="41"/>
      <c r="I544" s="30"/>
      <c r="J544" s="30"/>
      <c r="K544" s="97"/>
      <c r="L544" s="11"/>
      <c r="M544" s="11"/>
      <c r="N544" s="11"/>
      <c r="O544" s="11"/>
      <c r="P544" s="82"/>
    </row>
    <row r="545" spans="2:16" s="9" customFormat="1" x14ac:dyDescent="0.2">
      <c r="B545" s="10"/>
      <c r="C545" s="11"/>
      <c r="D545" s="63"/>
      <c r="E545" s="150"/>
      <c r="F545" s="65"/>
      <c r="G545" s="12"/>
      <c r="H545" s="41"/>
      <c r="I545" s="30"/>
      <c r="J545" s="30"/>
      <c r="K545" s="97"/>
      <c r="L545" s="11"/>
      <c r="M545" s="11"/>
      <c r="N545" s="11"/>
      <c r="O545" s="11"/>
      <c r="P545" s="82"/>
    </row>
    <row r="546" spans="2:16" s="9" customFormat="1" x14ac:dyDescent="0.2">
      <c r="B546" s="10"/>
      <c r="C546" s="11"/>
      <c r="D546" s="63"/>
      <c r="E546" s="150"/>
      <c r="F546" s="65"/>
      <c r="G546" s="12"/>
      <c r="H546" s="41"/>
      <c r="I546" s="30"/>
      <c r="J546" s="30"/>
      <c r="K546" s="97"/>
      <c r="L546" s="11"/>
      <c r="M546" s="11"/>
      <c r="N546" s="11"/>
      <c r="O546" s="11"/>
      <c r="P546" s="82"/>
    </row>
    <row r="547" spans="2:16" s="9" customFormat="1" x14ac:dyDescent="0.2">
      <c r="B547" s="10"/>
      <c r="C547" s="11"/>
      <c r="D547" s="63"/>
      <c r="E547" s="150"/>
      <c r="F547" s="65"/>
      <c r="G547" s="12"/>
      <c r="H547" s="41"/>
      <c r="I547" s="30"/>
      <c r="J547" s="30"/>
      <c r="K547" s="97"/>
      <c r="L547" s="11"/>
      <c r="M547" s="11"/>
      <c r="N547" s="11"/>
      <c r="O547" s="11"/>
      <c r="P547" s="82"/>
    </row>
    <row r="548" spans="2:16" s="9" customFormat="1" x14ac:dyDescent="0.2">
      <c r="B548" s="10"/>
      <c r="C548" s="11"/>
      <c r="D548" s="63"/>
      <c r="E548" s="150"/>
      <c r="F548" s="65"/>
      <c r="G548" s="12"/>
      <c r="H548" s="41"/>
      <c r="I548" s="30"/>
      <c r="J548" s="30"/>
      <c r="K548" s="97"/>
      <c r="L548" s="11"/>
      <c r="M548" s="11"/>
      <c r="N548" s="11"/>
      <c r="O548" s="11"/>
      <c r="P548" s="82"/>
    </row>
    <row r="549" spans="2:16" s="9" customFormat="1" x14ac:dyDescent="0.2">
      <c r="B549" s="10"/>
      <c r="C549" s="11"/>
      <c r="D549" s="63"/>
      <c r="E549" s="150"/>
      <c r="F549" s="65"/>
      <c r="G549" s="12"/>
      <c r="H549" s="41"/>
      <c r="I549" s="30"/>
      <c r="J549" s="30"/>
      <c r="K549" s="97"/>
      <c r="L549" s="11"/>
      <c r="M549" s="11"/>
      <c r="N549" s="11"/>
      <c r="O549" s="11"/>
      <c r="P549" s="82"/>
    </row>
    <row r="550" spans="2:16" s="9" customFormat="1" x14ac:dyDescent="0.2">
      <c r="B550" s="10"/>
      <c r="C550" s="11"/>
      <c r="D550" s="63"/>
      <c r="E550" s="150"/>
      <c r="F550" s="65"/>
      <c r="G550" s="12"/>
      <c r="H550" s="41"/>
      <c r="I550" s="30"/>
      <c r="J550" s="30"/>
      <c r="K550" s="97"/>
      <c r="L550" s="11"/>
      <c r="M550" s="11"/>
      <c r="N550" s="11"/>
      <c r="O550" s="11"/>
      <c r="P550" s="82"/>
    </row>
    <row r="551" spans="2:16" s="9" customFormat="1" x14ac:dyDescent="0.2">
      <c r="B551" s="10"/>
      <c r="C551" s="11"/>
      <c r="D551" s="63"/>
      <c r="E551" s="150"/>
      <c r="F551" s="65"/>
      <c r="G551" s="12"/>
      <c r="H551" s="41"/>
      <c r="I551" s="30"/>
      <c r="J551" s="30"/>
      <c r="K551" s="97"/>
      <c r="L551" s="11"/>
      <c r="M551" s="11"/>
      <c r="N551" s="11"/>
      <c r="O551" s="11"/>
      <c r="P551" s="82"/>
    </row>
    <row r="552" spans="2:16" s="9" customFormat="1" x14ac:dyDescent="0.2">
      <c r="B552" s="10"/>
      <c r="C552" s="11"/>
      <c r="D552" s="63"/>
      <c r="E552" s="150"/>
      <c r="F552" s="65"/>
      <c r="G552" s="12"/>
      <c r="H552" s="41"/>
      <c r="I552" s="30"/>
      <c r="J552" s="30"/>
      <c r="K552" s="97"/>
      <c r="L552" s="11"/>
      <c r="M552" s="11"/>
      <c r="N552" s="11"/>
      <c r="O552" s="11"/>
      <c r="P552" s="82"/>
    </row>
    <row r="553" spans="2:16" s="9" customFormat="1" x14ac:dyDescent="0.2">
      <c r="B553" s="10"/>
      <c r="C553" s="11"/>
      <c r="D553" s="63"/>
      <c r="E553" s="150"/>
      <c r="F553" s="65"/>
      <c r="G553" s="12"/>
      <c r="H553" s="41"/>
      <c r="I553" s="30"/>
      <c r="J553" s="30"/>
      <c r="K553" s="97"/>
      <c r="L553" s="11"/>
      <c r="M553" s="11"/>
      <c r="N553" s="11"/>
      <c r="O553" s="11"/>
      <c r="P553" s="82"/>
    </row>
    <row r="554" spans="2:16" s="9" customFormat="1" x14ac:dyDescent="0.2">
      <c r="B554" s="10"/>
      <c r="C554" s="11"/>
      <c r="D554" s="63"/>
      <c r="E554" s="150"/>
      <c r="F554" s="65"/>
      <c r="G554" s="12"/>
      <c r="H554" s="41"/>
      <c r="I554" s="30"/>
      <c r="J554" s="30"/>
      <c r="K554" s="97"/>
      <c r="L554" s="11"/>
      <c r="M554" s="11"/>
      <c r="N554" s="11"/>
      <c r="O554" s="11"/>
      <c r="P554" s="82"/>
    </row>
    <row r="555" spans="2:16" s="9" customFormat="1" x14ac:dyDescent="0.2">
      <c r="B555" s="10"/>
      <c r="C555" s="11"/>
      <c r="D555" s="63"/>
      <c r="E555" s="150"/>
      <c r="F555" s="65"/>
      <c r="G555" s="12"/>
      <c r="H555" s="41"/>
      <c r="I555" s="30"/>
      <c r="J555" s="30"/>
      <c r="K555" s="97"/>
      <c r="L555" s="11"/>
      <c r="M555" s="11"/>
      <c r="N555" s="11"/>
      <c r="O555" s="11"/>
      <c r="P555" s="82"/>
    </row>
    <row r="556" spans="2:16" s="9" customFormat="1" x14ac:dyDescent="0.2">
      <c r="B556" s="10"/>
      <c r="C556" s="11"/>
      <c r="D556" s="63"/>
      <c r="E556" s="150"/>
      <c r="F556" s="65"/>
      <c r="G556" s="12"/>
      <c r="H556" s="41"/>
      <c r="I556" s="30"/>
      <c r="J556" s="30"/>
      <c r="K556" s="97"/>
      <c r="L556" s="11"/>
      <c r="M556" s="11"/>
      <c r="N556" s="11"/>
      <c r="O556" s="11"/>
      <c r="P556" s="82"/>
    </row>
    <row r="557" spans="2:16" s="9" customFormat="1" x14ac:dyDescent="0.2">
      <c r="B557" s="10"/>
      <c r="C557" s="11"/>
      <c r="D557" s="63"/>
      <c r="E557" s="150"/>
      <c r="F557" s="65"/>
      <c r="G557" s="12"/>
      <c r="H557" s="41"/>
      <c r="I557" s="30"/>
      <c r="J557" s="30"/>
      <c r="K557" s="97"/>
      <c r="L557" s="11"/>
      <c r="M557" s="11"/>
      <c r="N557" s="11"/>
      <c r="O557" s="11"/>
      <c r="P557" s="82"/>
    </row>
    <row r="558" spans="2:16" s="9" customFormat="1" x14ac:dyDescent="0.2">
      <c r="B558" s="10"/>
      <c r="C558" s="11"/>
      <c r="D558" s="63"/>
      <c r="E558" s="150"/>
      <c r="F558" s="65"/>
      <c r="G558" s="12"/>
      <c r="H558" s="41"/>
      <c r="I558" s="30"/>
      <c r="J558" s="30"/>
      <c r="K558" s="97"/>
      <c r="L558" s="11"/>
      <c r="M558" s="11"/>
      <c r="N558" s="11"/>
      <c r="O558" s="11"/>
      <c r="P558" s="82"/>
    </row>
    <row r="559" spans="2:16" s="9" customFormat="1" x14ac:dyDescent="0.2">
      <c r="B559" s="10"/>
      <c r="C559" s="11"/>
      <c r="D559" s="63"/>
      <c r="E559" s="150"/>
      <c r="F559" s="65"/>
      <c r="G559" s="12"/>
      <c r="H559" s="41"/>
      <c r="I559" s="30"/>
      <c r="J559" s="30"/>
      <c r="K559" s="97"/>
      <c r="L559" s="11"/>
      <c r="M559" s="11"/>
      <c r="N559" s="11"/>
      <c r="O559" s="11"/>
      <c r="P559" s="82"/>
    </row>
    <row r="560" spans="2:16" s="9" customFormat="1" x14ac:dyDescent="0.2">
      <c r="B560" s="10"/>
      <c r="C560" s="11"/>
      <c r="D560" s="63"/>
      <c r="E560" s="150"/>
      <c r="F560" s="65"/>
      <c r="G560" s="12"/>
      <c r="H560" s="41"/>
      <c r="I560" s="30"/>
      <c r="J560" s="30"/>
      <c r="K560" s="97"/>
      <c r="L560" s="11"/>
      <c r="M560" s="11"/>
      <c r="N560" s="11"/>
      <c r="O560" s="11"/>
      <c r="P560" s="82"/>
    </row>
    <row r="561" spans="2:16" s="9" customFormat="1" x14ac:dyDescent="0.2">
      <c r="B561" s="10"/>
      <c r="C561" s="11"/>
      <c r="D561" s="63"/>
      <c r="E561" s="150"/>
      <c r="F561" s="65"/>
      <c r="G561" s="12"/>
      <c r="H561" s="41"/>
      <c r="I561" s="30"/>
      <c r="J561" s="30"/>
      <c r="K561" s="97"/>
      <c r="L561" s="11"/>
      <c r="M561" s="11"/>
      <c r="N561" s="11"/>
      <c r="O561" s="11"/>
      <c r="P561" s="82"/>
    </row>
    <row r="562" spans="2:16" s="9" customFormat="1" x14ac:dyDescent="0.2">
      <c r="B562" s="10"/>
      <c r="C562" s="11"/>
      <c r="D562" s="63"/>
      <c r="E562" s="150"/>
      <c r="F562" s="65"/>
      <c r="G562" s="12"/>
      <c r="H562" s="41"/>
      <c r="I562" s="30"/>
      <c r="J562" s="30"/>
      <c r="K562" s="97"/>
      <c r="L562" s="11"/>
      <c r="M562" s="11"/>
      <c r="N562" s="11"/>
      <c r="O562" s="11"/>
      <c r="P562" s="82"/>
    </row>
    <row r="563" spans="2:16" s="9" customFormat="1" x14ac:dyDescent="0.2">
      <c r="B563" s="10"/>
      <c r="C563" s="11"/>
      <c r="D563" s="63"/>
      <c r="E563" s="150"/>
      <c r="F563" s="65"/>
      <c r="G563" s="12"/>
      <c r="H563" s="41"/>
      <c r="I563" s="30"/>
      <c r="J563" s="30"/>
      <c r="K563" s="97"/>
      <c r="L563" s="11"/>
      <c r="M563" s="11"/>
      <c r="N563" s="11"/>
      <c r="O563" s="11"/>
      <c r="P563" s="82"/>
    </row>
    <row r="564" spans="2:16" s="9" customFormat="1" x14ac:dyDescent="0.2">
      <c r="B564" s="10"/>
      <c r="C564" s="11"/>
      <c r="D564" s="63"/>
      <c r="E564" s="150"/>
      <c r="F564" s="65"/>
      <c r="G564" s="12"/>
      <c r="H564" s="41"/>
      <c r="I564" s="30"/>
      <c r="J564" s="30"/>
      <c r="K564" s="97"/>
      <c r="L564" s="11"/>
      <c r="M564" s="11"/>
      <c r="N564" s="11"/>
      <c r="O564" s="11"/>
      <c r="P564" s="82"/>
    </row>
    <row r="565" spans="2:16" s="9" customFormat="1" x14ac:dyDescent="0.2">
      <c r="B565" s="10"/>
      <c r="C565" s="11"/>
      <c r="D565" s="63"/>
      <c r="E565" s="150"/>
      <c r="F565" s="65"/>
      <c r="G565" s="12"/>
      <c r="H565" s="41"/>
      <c r="I565" s="30"/>
      <c r="J565" s="30"/>
      <c r="K565" s="97"/>
      <c r="L565" s="11"/>
      <c r="M565" s="11"/>
      <c r="N565" s="11"/>
      <c r="O565" s="11"/>
      <c r="P565" s="82"/>
    </row>
    <row r="566" spans="2:16" s="9" customFormat="1" x14ac:dyDescent="0.2">
      <c r="B566" s="10"/>
      <c r="C566" s="11"/>
      <c r="D566" s="63"/>
      <c r="E566" s="150"/>
      <c r="F566" s="65"/>
      <c r="G566" s="12"/>
      <c r="H566" s="41"/>
      <c r="I566" s="30"/>
      <c r="J566" s="30"/>
      <c r="K566" s="97"/>
      <c r="L566" s="11"/>
      <c r="M566" s="11"/>
      <c r="N566" s="11"/>
      <c r="O566" s="11"/>
      <c r="P566" s="82"/>
    </row>
    <row r="567" spans="2:16" s="9" customFormat="1" x14ac:dyDescent="0.2">
      <c r="B567" s="10"/>
      <c r="C567" s="11"/>
      <c r="D567" s="63"/>
      <c r="E567" s="150"/>
      <c r="F567" s="65"/>
      <c r="G567" s="12"/>
      <c r="H567" s="41"/>
      <c r="I567" s="30"/>
      <c r="J567" s="30"/>
      <c r="K567" s="97"/>
      <c r="L567" s="11"/>
      <c r="M567" s="11"/>
      <c r="N567" s="11"/>
      <c r="O567" s="11"/>
      <c r="P567" s="82"/>
    </row>
    <row r="568" spans="2:16" s="9" customFormat="1" x14ac:dyDescent="0.2">
      <c r="B568" s="10"/>
      <c r="C568" s="11"/>
      <c r="D568" s="63"/>
      <c r="E568" s="150"/>
      <c r="F568" s="65"/>
      <c r="G568" s="12"/>
      <c r="H568" s="41"/>
      <c r="I568" s="30"/>
      <c r="J568" s="30"/>
      <c r="K568" s="97"/>
      <c r="L568" s="11"/>
      <c r="M568" s="11"/>
      <c r="N568" s="11"/>
      <c r="O568" s="11"/>
      <c r="P568" s="82"/>
    </row>
    <row r="569" spans="2:16" s="9" customFormat="1" x14ac:dyDescent="0.2">
      <c r="B569" s="10"/>
      <c r="C569" s="11"/>
      <c r="D569" s="63"/>
      <c r="E569" s="150"/>
      <c r="F569" s="65"/>
      <c r="G569" s="12"/>
      <c r="H569" s="41"/>
      <c r="I569" s="30"/>
      <c r="J569" s="30"/>
      <c r="K569" s="97"/>
      <c r="L569" s="11"/>
      <c r="M569" s="11"/>
      <c r="N569" s="11"/>
      <c r="O569" s="11"/>
      <c r="P569" s="82"/>
    </row>
    <row r="570" spans="2:16" s="9" customFormat="1" x14ac:dyDescent="0.2">
      <c r="B570" s="10"/>
      <c r="C570" s="11"/>
      <c r="D570" s="63"/>
      <c r="E570" s="150"/>
      <c r="F570" s="65"/>
      <c r="G570" s="12"/>
      <c r="H570" s="41"/>
      <c r="I570" s="30"/>
      <c r="J570" s="30"/>
      <c r="K570" s="97"/>
      <c r="L570" s="11"/>
      <c r="M570" s="11"/>
      <c r="N570" s="11"/>
      <c r="O570" s="11"/>
      <c r="P570" s="82"/>
    </row>
    <row r="571" spans="2:16" s="9" customFormat="1" x14ac:dyDescent="0.2">
      <c r="B571" s="10"/>
      <c r="C571" s="11"/>
      <c r="D571" s="63"/>
      <c r="E571" s="150"/>
      <c r="F571" s="65"/>
      <c r="G571" s="12"/>
      <c r="H571" s="41"/>
      <c r="I571" s="30"/>
      <c r="J571" s="30"/>
      <c r="K571" s="97"/>
      <c r="L571" s="11"/>
      <c r="M571" s="11"/>
      <c r="N571" s="11"/>
      <c r="O571" s="11"/>
      <c r="P571" s="82"/>
    </row>
    <row r="572" spans="2:16" s="9" customFormat="1" x14ac:dyDescent="0.2">
      <c r="B572" s="10"/>
      <c r="C572" s="11"/>
      <c r="D572" s="63"/>
      <c r="E572" s="150"/>
      <c r="F572" s="65"/>
      <c r="G572" s="12"/>
      <c r="H572" s="41"/>
      <c r="I572" s="30"/>
      <c r="J572" s="30"/>
      <c r="K572" s="97"/>
      <c r="L572" s="11"/>
      <c r="M572" s="11"/>
      <c r="N572" s="11"/>
      <c r="O572" s="11"/>
      <c r="P572" s="82"/>
    </row>
    <row r="573" spans="2:16" s="9" customFormat="1" x14ac:dyDescent="0.2">
      <c r="B573" s="10"/>
      <c r="C573" s="11"/>
      <c r="D573" s="63"/>
      <c r="E573" s="150"/>
      <c r="F573" s="65"/>
      <c r="G573" s="12"/>
      <c r="H573" s="41"/>
      <c r="I573" s="30"/>
      <c r="J573" s="30"/>
      <c r="K573" s="97"/>
      <c r="L573" s="11"/>
      <c r="M573" s="11"/>
      <c r="N573" s="11"/>
      <c r="O573" s="11"/>
      <c r="P573" s="82"/>
    </row>
    <row r="574" spans="2:16" s="9" customFormat="1" x14ac:dyDescent="0.2">
      <c r="B574" s="10"/>
      <c r="C574" s="11"/>
      <c r="D574" s="63"/>
      <c r="E574" s="150"/>
      <c r="F574" s="65"/>
      <c r="G574" s="12"/>
      <c r="H574" s="41"/>
      <c r="I574" s="30"/>
      <c r="J574" s="30"/>
      <c r="K574" s="97"/>
      <c r="L574" s="11"/>
      <c r="M574" s="11"/>
      <c r="N574" s="11"/>
      <c r="O574" s="11"/>
      <c r="P574" s="82"/>
    </row>
    <row r="575" spans="2:16" s="9" customFormat="1" x14ac:dyDescent="0.2">
      <c r="B575" s="10"/>
      <c r="C575" s="11"/>
      <c r="D575" s="63"/>
      <c r="E575" s="150"/>
      <c r="F575" s="65"/>
      <c r="G575" s="12"/>
      <c r="H575" s="41"/>
      <c r="I575" s="30"/>
      <c r="J575" s="30"/>
      <c r="K575" s="97"/>
      <c r="L575" s="11"/>
      <c r="M575" s="11"/>
      <c r="N575" s="11"/>
      <c r="O575" s="11"/>
      <c r="P575" s="82"/>
    </row>
    <row r="576" spans="2:16" s="9" customFormat="1" x14ac:dyDescent="0.2">
      <c r="B576" s="10"/>
      <c r="C576" s="11"/>
      <c r="D576" s="63"/>
      <c r="E576" s="150"/>
      <c r="F576" s="65"/>
      <c r="G576" s="12"/>
      <c r="H576" s="41"/>
      <c r="I576" s="30"/>
      <c r="J576" s="30"/>
      <c r="K576" s="97"/>
      <c r="L576" s="11"/>
      <c r="M576" s="11"/>
      <c r="N576" s="11"/>
      <c r="O576" s="11"/>
      <c r="P576" s="82"/>
    </row>
    <row r="577" spans="2:16" s="9" customFormat="1" x14ac:dyDescent="0.2">
      <c r="B577" s="10"/>
      <c r="C577" s="11"/>
      <c r="D577" s="63"/>
      <c r="E577" s="150"/>
      <c r="F577" s="65"/>
      <c r="G577" s="12"/>
      <c r="H577" s="41"/>
      <c r="I577" s="30"/>
      <c r="J577" s="30"/>
      <c r="K577" s="97"/>
      <c r="L577" s="11"/>
      <c r="M577" s="11"/>
      <c r="N577" s="11"/>
      <c r="O577" s="11"/>
      <c r="P577" s="82"/>
    </row>
    <row r="578" spans="2:16" s="9" customFormat="1" x14ac:dyDescent="0.2">
      <c r="B578" s="10"/>
      <c r="C578" s="11"/>
      <c r="D578" s="63"/>
      <c r="E578" s="150"/>
      <c r="F578" s="65"/>
      <c r="G578" s="12"/>
      <c r="H578" s="41"/>
      <c r="I578" s="30"/>
      <c r="J578" s="30"/>
      <c r="K578" s="97"/>
      <c r="L578" s="11"/>
      <c r="M578" s="11"/>
      <c r="N578" s="11"/>
      <c r="O578" s="11"/>
      <c r="P578" s="82"/>
    </row>
    <row r="579" spans="2:16" s="9" customFormat="1" x14ac:dyDescent="0.2">
      <c r="B579" s="10"/>
      <c r="C579" s="11"/>
      <c r="D579" s="63"/>
      <c r="E579" s="150"/>
      <c r="F579" s="65"/>
      <c r="G579" s="12"/>
      <c r="H579" s="41"/>
      <c r="I579" s="30"/>
      <c r="J579" s="30"/>
      <c r="K579" s="97"/>
      <c r="L579" s="11"/>
      <c r="M579" s="11"/>
      <c r="N579" s="11"/>
      <c r="O579" s="11"/>
      <c r="P579" s="82"/>
    </row>
    <row r="580" spans="2:16" s="9" customFormat="1" x14ac:dyDescent="0.2">
      <c r="B580" s="10"/>
      <c r="C580" s="11"/>
      <c r="D580" s="63"/>
      <c r="E580" s="150"/>
      <c r="F580" s="65"/>
      <c r="G580" s="12"/>
      <c r="H580" s="41"/>
      <c r="I580" s="30"/>
      <c r="J580" s="30"/>
      <c r="K580" s="97"/>
      <c r="L580" s="11"/>
      <c r="M580" s="11"/>
      <c r="N580" s="11"/>
      <c r="O580" s="11"/>
      <c r="P580" s="82"/>
    </row>
    <row r="581" spans="2:16" s="9" customFormat="1" x14ac:dyDescent="0.2">
      <c r="B581" s="10"/>
      <c r="C581" s="11"/>
      <c r="D581" s="63"/>
      <c r="E581" s="150"/>
      <c r="F581" s="65"/>
      <c r="G581" s="12"/>
      <c r="H581" s="41"/>
      <c r="I581" s="30"/>
      <c r="J581" s="30"/>
      <c r="K581" s="97"/>
      <c r="L581" s="11"/>
      <c r="M581" s="11"/>
      <c r="N581" s="11"/>
      <c r="O581" s="11"/>
      <c r="P581" s="82"/>
    </row>
    <row r="582" spans="2:16" s="9" customFormat="1" x14ac:dyDescent="0.2">
      <c r="B582" s="10"/>
      <c r="C582" s="11"/>
      <c r="D582" s="63"/>
      <c r="E582" s="150"/>
      <c r="F582" s="65"/>
      <c r="G582" s="12"/>
      <c r="H582" s="41"/>
      <c r="I582" s="30"/>
      <c r="J582" s="30"/>
      <c r="K582" s="97"/>
      <c r="L582" s="11"/>
      <c r="M582" s="11"/>
      <c r="N582" s="11"/>
      <c r="O582" s="11"/>
      <c r="P582" s="82"/>
    </row>
    <row r="583" spans="2:16" s="9" customFormat="1" x14ac:dyDescent="0.2">
      <c r="B583" s="10"/>
      <c r="C583" s="11"/>
      <c r="D583" s="63"/>
      <c r="E583" s="150"/>
      <c r="F583" s="65"/>
      <c r="G583" s="12"/>
      <c r="H583" s="41"/>
      <c r="I583" s="30"/>
      <c r="J583" s="30"/>
      <c r="K583" s="97"/>
      <c r="L583" s="11"/>
      <c r="M583" s="11"/>
      <c r="N583" s="11"/>
      <c r="O583" s="11"/>
      <c r="P583" s="82"/>
    </row>
    <row r="584" spans="2:16" s="9" customFormat="1" x14ac:dyDescent="0.2">
      <c r="B584" s="10"/>
      <c r="C584" s="11"/>
      <c r="D584" s="63"/>
      <c r="E584" s="150"/>
      <c r="F584" s="65"/>
      <c r="G584" s="12"/>
      <c r="H584" s="41"/>
      <c r="I584" s="30"/>
      <c r="J584" s="30"/>
      <c r="K584" s="97"/>
      <c r="L584" s="11"/>
      <c r="M584" s="11"/>
      <c r="N584" s="11"/>
      <c r="O584" s="11"/>
      <c r="P584" s="82"/>
    </row>
    <row r="585" spans="2:16" s="9" customFormat="1" x14ac:dyDescent="0.2">
      <c r="B585" s="10"/>
      <c r="C585" s="11"/>
      <c r="D585" s="63"/>
      <c r="E585" s="150"/>
      <c r="F585" s="65"/>
      <c r="G585" s="12"/>
      <c r="H585" s="41"/>
      <c r="I585" s="30"/>
      <c r="J585" s="30"/>
      <c r="K585" s="97"/>
      <c r="L585" s="11"/>
      <c r="M585" s="11"/>
      <c r="N585" s="11"/>
      <c r="O585" s="11"/>
      <c r="P585" s="82"/>
    </row>
    <row r="586" spans="2:16" s="9" customFormat="1" x14ac:dyDescent="0.2">
      <c r="B586" s="10"/>
      <c r="C586" s="11"/>
      <c r="D586" s="63"/>
      <c r="E586" s="150"/>
      <c r="F586" s="65"/>
      <c r="G586" s="12"/>
      <c r="H586" s="41"/>
      <c r="I586" s="30"/>
      <c r="J586" s="30"/>
      <c r="K586" s="97"/>
      <c r="L586" s="11"/>
      <c r="M586" s="11"/>
      <c r="N586" s="11"/>
      <c r="O586" s="11"/>
      <c r="P586" s="82"/>
    </row>
    <row r="587" spans="2:16" s="9" customFormat="1" x14ac:dyDescent="0.2">
      <c r="B587" s="10"/>
      <c r="C587" s="11"/>
      <c r="D587" s="63"/>
      <c r="E587" s="150"/>
      <c r="F587" s="65"/>
      <c r="G587" s="12"/>
      <c r="H587" s="41"/>
      <c r="I587" s="30"/>
      <c r="J587" s="30"/>
      <c r="K587" s="97"/>
      <c r="L587" s="11"/>
      <c r="M587" s="11"/>
      <c r="N587" s="11"/>
      <c r="O587" s="11"/>
      <c r="P587" s="82"/>
    </row>
    <row r="588" spans="2:16" s="9" customFormat="1" x14ac:dyDescent="0.2">
      <c r="B588" s="10"/>
      <c r="C588" s="11"/>
      <c r="D588" s="63"/>
      <c r="E588" s="150"/>
      <c r="F588" s="65"/>
      <c r="G588" s="12"/>
      <c r="H588" s="41"/>
      <c r="I588" s="30"/>
      <c r="J588" s="30"/>
      <c r="K588" s="97"/>
      <c r="L588" s="11"/>
      <c r="M588" s="11"/>
      <c r="N588" s="11"/>
      <c r="O588" s="11"/>
      <c r="P588" s="82"/>
    </row>
    <row r="589" spans="2:16" s="9" customFormat="1" x14ac:dyDescent="0.2">
      <c r="B589" s="10"/>
      <c r="C589" s="11"/>
      <c r="D589" s="63"/>
      <c r="E589" s="150"/>
      <c r="F589" s="65"/>
      <c r="G589" s="12"/>
      <c r="H589" s="41"/>
      <c r="I589" s="30"/>
      <c r="J589" s="30"/>
      <c r="K589" s="97"/>
      <c r="L589" s="11"/>
      <c r="M589" s="11"/>
      <c r="N589" s="11"/>
      <c r="O589" s="11"/>
      <c r="P589" s="82"/>
    </row>
    <row r="590" spans="2:16" s="9" customFormat="1" x14ac:dyDescent="0.2">
      <c r="B590" s="10"/>
      <c r="C590" s="11"/>
      <c r="D590" s="63"/>
      <c r="E590" s="150"/>
      <c r="F590" s="65"/>
      <c r="G590" s="12"/>
      <c r="H590" s="41"/>
      <c r="I590" s="30"/>
      <c r="J590" s="30"/>
      <c r="K590" s="97"/>
      <c r="L590" s="11"/>
      <c r="M590" s="11"/>
      <c r="N590" s="11"/>
      <c r="O590" s="11"/>
      <c r="P590" s="82"/>
    </row>
    <row r="591" spans="2:16" s="9" customFormat="1" x14ac:dyDescent="0.2">
      <c r="B591" s="10"/>
      <c r="C591" s="11"/>
      <c r="D591" s="63"/>
      <c r="E591" s="150"/>
      <c r="F591" s="65"/>
      <c r="G591" s="12"/>
      <c r="H591" s="41"/>
      <c r="I591" s="30"/>
      <c r="J591" s="30"/>
      <c r="K591" s="97"/>
      <c r="L591" s="11"/>
      <c r="M591" s="11"/>
      <c r="N591" s="11"/>
      <c r="O591" s="11"/>
      <c r="P591" s="82"/>
    </row>
    <row r="592" spans="2:16" s="9" customFormat="1" x14ac:dyDescent="0.2">
      <c r="B592" s="10"/>
      <c r="C592" s="11"/>
      <c r="D592" s="63"/>
      <c r="E592" s="150"/>
      <c r="F592" s="65"/>
      <c r="G592" s="12"/>
      <c r="H592" s="41"/>
      <c r="I592" s="30"/>
      <c r="J592" s="30"/>
      <c r="K592" s="97"/>
      <c r="L592" s="11"/>
      <c r="M592" s="11"/>
      <c r="N592" s="11"/>
      <c r="O592" s="11"/>
      <c r="P592" s="82"/>
    </row>
    <row r="593" spans="2:16" s="9" customFormat="1" x14ac:dyDescent="0.2">
      <c r="B593" s="10"/>
      <c r="C593" s="11"/>
      <c r="D593" s="63"/>
      <c r="E593" s="150"/>
      <c r="F593" s="65"/>
      <c r="G593" s="12"/>
      <c r="H593" s="41"/>
      <c r="I593" s="30"/>
      <c r="J593" s="30"/>
      <c r="K593" s="97"/>
      <c r="L593" s="11"/>
      <c r="M593" s="11"/>
      <c r="N593" s="11"/>
      <c r="O593" s="11"/>
      <c r="P593" s="82"/>
    </row>
    <row r="594" spans="2:16" s="9" customFormat="1" x14ac:dyDescent="0.2">
      <c r="B594" s="10"/>
      <c r="C594" s="11"/>
      <c r="D594" s="63"/>
      <c r="E594" s="150"/>
      <c r="F594" s="65"/>
      <c r="G594" s="12"/>
      <c r="H594" s="41"/>
      <c r="I594" s="30"/>
      <c r="J594" s="30"/>
      <c r="K594" s="97"/>
      <c r="L594" s="11"/>
      <c r="M594" s="11"/>
      <c r="N594" s="11"/>
      <c r="O594" s="11"/>
      <c r="P594" s="82"/>
    </row>
    <row r="595" spans="2:16" s="9" customFormat="1" x14ac:dyDescent="0.2">
      <c r="B595" s="10"/>
      <c r="C595" s="11"/>
      <c r="D595" s="63"/>
      <c r="E595" s="150"/>
      <c r="F595" s="65"/>
      <c r="G595" s="12"/>
      <c r="H595" s="41"/>
      <c r="I595" s="30"/>
      <c r="J595" s="30"/>
      <c r="K595" s="97"/>
      <c r="L595" s="11"/>
      <c r="M595" s="11"/>
      <c r="N595" s="11"/>
      <c r="O595" s="11"/>
      <c r="P595" s="82"/>
    </row>
    <row r="596" spans="2:16" s="9" customFormat="1" x14ac:dyDescent="0.2">
      <c r="B596" s="10"/>
      <c r="C596" s="11"/>
      <c r="D596" s="63"/>
      <c r="E596" s="150"/>
      <c r="F596" s="65"/>
      <c r="G596" s="12"/>
      <c r="H596" s="41"/>
      <c r="I596" s="30"/>
      <c r="J596" s="30"/>
      <c r="K596" s="97"/>
      <c r="L596" s="11"/>
      <c r="M596" s="11"/>
      <c r="N596" s="11"/>
      <c r="O596" s="11"/>
      <c r="P596" s="82"/>
    </row>
    <row r="597" spans="2:16" s="9" customFormat="1" x14ac:dyDescent="0.2">
      <c r="B597" s="10"/>
      <c r="C597" s="11"/>
      <c r="D597" s="63"/>
      <c r="E597" s="150"/>
      <c r="F597" s="65"/>
      <c r="G597" s="12"/>
      <c r="H597" s="41"/>
      <c r="I597" s="30"/>
      <c r="J597" s="30"/>
      <c r="K597" s="97"/>
      <c r="L597" s="11"/>
      <c r="M597" s="11"/>
      <c r="N597" s="11"/>
      <c r="O597" s="11"/>
      <c r="P597" s="82"/>
    </row>
    <row r="598" spans="2:16" s="9" customFormat="1" x14ac:dyDescent="0.2">
      <c r="B598" s="10"/>
      <c r="C598" s="11"/>
      <c r="D598" s="63"/>
      <c r="E598" s="150"/>
      <c r="F598" s="65"/>
      <c r="G598" s="12"/>
      <c r="H598" s="41"/>
      <c r="I598" s="30"/>
      <c r="J598" s="30"/>
      <c r="K598" s="97"/>
      <c r="L598" s="11"/>
      <c r="M598" s="11"/>
      <c r="N598" s="11"/>
      <c r="O598" s="11"/>
      <c r="P598" s="82"/>
    </row>
    <row r="599" spans="2:16" s="9" customFormat="1" x14ac:dyDescent="0.2">
      <c r="B599" s="10"/>
      <c r="C599" s="11"/>
      <c r="D599" s="63"/>
      <c r="E599" s="150"/>
      <c r="F599" s="65"/>
      <c r="G599" s="12"/>
      <c r="H599" s="41"/>
      <c r="I599" s="30"/>
      <c r="J599" s="30"/>
      <c r="K599" s="97"/>
      <c r="L599" s="11"/>
      <c r="M599" s="11"/>
      <c r="N599" s="11"/>
      <c r="O599" s="11"/>
      <c r="P599" s="82"/>
    </row>
    <row r="600" spans="2:16" s="9" customFormat="1" x14ac:dyDescent="0.2">
      <c r="B600" s="10"/>
      <c r="C600" s="11"/>
      <c r="D600" s="63"/>
      <c r="E600" s="150"/>
      <c r="F600" s="65"/>
      <c r="G600" s="12"/>
      <c r="H600" s="41"/>
      <c r="I600" s="30"/>
      <c r="J600" s="30"/>
      <c r="K600" s="97"/>
      <c r="L600" s="11"/>
      <c r="M600" s="11"/>
      <c r="N600" s="11"/>
      <c r="O600" s="11"/>
      <c r="P600" s="82"/>
    </row>
    <row r="601" spans="2:16" s="9" customFormat="1" x14ac:dyDescent="0.2">
      <c r="B601" s="10"/>
      <c r="C601" s="11"/>
      <c r="D601" s="63"/>
      <c r="E601" s="150"/>
      <c r="F601" s="65"/>
      <c r="G601" s="12"/>
      <c r="H601" s="41"/>
      <c r="I601" s="30"/>
      <c r="J601" s="30"/>
      <c r="K601" s="97"/>
      <c r="L601" s="11"/>
      <c r="M601" s="11"/>
      <c r="N601" s="11"/>
      <c r="O601" s="11"/>
      <c r="P601" s="82"/>
    </row>
    <row r="602" spans="2:16" s="9" customFormat="1" x14ac:dyDescent="0.2">
      <c r="B602" s="10"/>
      <c r="C602" s="11"/>
      <c r="D602" s="63"/>
      <c r="E602" s="150"/>
      <c r="F602" s="65"/>
      <c r="G602" s="12"/>
      <c r="H602" s="41"/>
      <c r="I602" s="30"/>
      <c r="J602" s="30"/>
      <c r="K602" s="97"/>
      <c r="L602" s="11"/>
      <c r="M602" s="11"/>
      <c r="N602" s="11"/>
      <c r="O602" s="11"/>
      <c r="P602" s="82"/>
    </row>
    <row r="603" spans="2:16" s="9" customFormat="1" x14ac:dyDescent="0.2">
      <c r="B603" s="10"/>
      <c r="C603" s="11"/>
      <c r="D603" s="63"/>
      <c r="E603" s="150"/>
      <c r="F603" s="65"/>
      <c r="G603" s="12"/>
      <c r="H603" s="41"/>
      <c r="I603" s="30"/>
      <c r="J603" s="30"/>
      <c r="K603" s="97"/>
      <c r="L603" s="11"/>
      <c r="M603" s="11"/>
      <c r="N603" s="11"/>
      <c r="O603" s="11"/>
      <c r="P603" s="82"/>
    </row>
    <row r="604" spans="2:16" s="9" customFormat="1" x14ac:dyDescent="0.2">
      <c r="B604" s="10"/>
      <c r="C604" s="11"/>
      <c r="D604" s="63"/>
      <c r="E604" s="150"/>
      <c r="F604" s="65"/>
      <c r="G604" s="12"/>
      <c r="H604" s="41"/>
      <c r="I604" s="30"/>
      <c r="J604" s="30"/>
      <c r="K604" s="97"/>
      <c r="L604" s="11"/>
      <c r="M604" s="11"/>
      <c r="N604" s="11"/>
      <c r="O604" s="11"/>
      <c r="P604" s="82"/>
    </row>
    <row r="605" spans="2:16" s="9" customFormat="1" x14ac:dyDescent="0.2">
      <c r="B605" s="10"/>
      <c r="C605" s="11"/>
      <c r="D605" s="63"/>
      <c r="E605" s="150"/>
      <c r="F605" s="65"/>
      <c r="G605" s="12"/>
      <c r="H605" s="41"/>
      <c r="I605" s="30"/>
      <c r="J605" s="30"/>
      <c r="K605" s="97"/>
      <c r="L605" s="11"/>
      <c r="M605" s="11"/>
      <c r="N605" s="11"/>
      <c r="O605" s="11"/>
      <c r="P605" s="82"/>
    </row>
    <row r="606" spans="2:16" s="9" customFormat="1" x14ac:dyDescent="0.2">
      <c r="B606" s="10"/>
      <c r="C606" s="11"/>
      <c r="D606" s="63"/>
      <c r="E606" s="150"/>
      <c r="F606" s="65"/>
      <c r="G606" s="12"/>
      <c r="H606" s="41"/>
      <c r="I606" s="30"/>
      <c r="J606" s="30"/>
      <c r="K606" s="97"/>
      <c r="L606" s="11"/>
      <c r="M606" s="11"/>
      <c r="N606" s="11"/>
      <c r="O606" s="11"/>
      <c r="P606" s="82"/>
    </row>
    <row r="607" spans="2:16" s="9" customFormat="1" x14ac:dyDescent="0.2">
      <c r="B607" s="10"/>
      <c r="C607" s="11"/>
      <c r="D607" s="63"/>
      <c r="E607" s="150"/>
      <c r="F607" s="65"/>
      <c r="G607" s="12"/>
      <c r="H607" s="41"/>
      <c r="I607" s="30"/>
      <c r="J607" s="30"/>
      <c r="K607" s="97"/>
      <c r="L607" s="11"/>
      <c r="M607" s="11"/>
      <c r="N607" s="11"/>
      <c r="O607" s="11"/>
      <c r="P607" s="82"/>
    </row>
    <row r="608" spans="2:16" s="9" customFormat="1" x14ac:dyDescent="0.2">
      <c r="B608" s="10"/>
      <c r="C608" s="11"/>
      <c r="D608" s="63"/>
      <c r="E608" s="150"/>
      <c r="F608" s="65"/>
      <c r="G608" s="12"/>
      <c r="H608" s="41"/>
      <c r="I608" s="30"/>
      <c r="J608" s="30"/>
      <c r="K608" s="97"/>
      <c r="L608" s="11"/>
      <c r="M608" s="11"/>
      <c r="N608" s="11"/>
      <c r="O608" s="11"/>
      <c r="P608" s="82"/>
    </row>
    <row r="609" spans="2:16" s="9" customFormat="1" x14ac:dyDescent="0.2">
      <c r="B609" s="10"/>
      <c r="C609" s="11"/>
      <c r="D609" s="63"/>
      <c r="E609" s="150"/>
      <c r="F609" s="65"/>
      <c r="G609" s="12"/>
      <c r="H609" s="41"/>
      <c r="I609" s="30"/>
      <c r="J609" s="30"/>
      <c r="K609" s="97"/>
      <c r="L609" s="11"/>
      <c r="M609" s="11"/>
      <c r="N609" s="11"/>
      <c r="O609" s="11"/>
      <c r="P609" s="82"/>
    </row>
    <row r="610" spans="2:16" s="9" customFormat="1" x14ac:dyDescent="0.2">
      <c r="B610" s="10"/>
      <c r="C610" s="11"/>
      <c r="D610" s="63"/>
      <c r="E610" s="150"/>
      <c r="F610" s="65"/>
      <c r="G610" s="12"/>
      <c r="H610" s="41"/>
      <c r="I610" s="30"/>
      <c r="J610" s="30"/>
      <c r="K610" s="97"/>
      <c r="L610" s="11"/>
      <c r="M610" s="11"/>
      <c r="N610" s="11"/>
      <c r="O610" s="11"/>
      <c r="P610" s="82"/>
    </row>
    <row r="611" spans="2:16" s="9" customFormat="1" x14ac:dyDescent="0.2">
      <c r="B611" s="10"/>
      <c r="C611" s="11"/>
      <c r="D611" s="63"/>
      <c r="E611" s="150"/>
      <c r="F611" s="65"/>
      <c r="G611" s="12"/>
      <c r="H611" s="41"/>
      <c r="I611" s="30"/>
      <c r="J611" s="30"/>
      <c r="K611" s="97"/>
      <c r="L611" s="11"/>
      <c r="M611" s="11"/>
      <c r="N611" s="11"/>
      <c r="O611" s="11"/>
      <c r="P611" s="82"/>
    </row>
    <row r="612" spans="2:16" s="9" customFormat="1" x14ac:dyDescent="0.2">
      <c r="B612" s="10"/>
      <c r="C612" s="11"/>
      <c r="D612" s="63"/>
      <c r="E612" s="150"/>
      <c r="F612" s="65"/>
      <c r="G612" s="12"/>
      <c r="H612" s="41"/>
      <c r="I612" s="30"/>
      <c r="J612" s="30"/>
      <c r="K612" s="97"/>
      <c r="L612" s="11"/>
      <c r="M612" s="11"/>
      <c r="N612" s="11"/>
      <c r="O612" s="11"/>
      <c r="P612" s="82"/>
    </row>
    <row r="613" spans="2:16" s="9" customFormat="1" x14ac:dyDescent="0.2">
      <c r="B613" s="10"/>
      <c r="C613" s="11"/>
      <c r="D613" s="63"/>
      <c r="E613" s="150"/>
      <c r="F613" s="65"/>
      <c r="G613" s="12"/>
      <c r="H613" s="41"/>
      <c r="I613" s="30"/>
      <c r="J613" s="30"/>
      <c r="K613" s="97"/>
      <c r="L613" s="11"/>
      <c r="M613" s="11"/>
      <c r="N613" s="11"/>
      <c r="O613" s="11"/>
      <c r="P613" s="82"/>
    </row>
    <row r="614" spans="2:16" s="9" customFormat="1" x14ac:dyDescent="0.2">
      <c r="B614" s="10"/>
      <c r="C614" s="11"/>
      <c r="D614" s="63"/>
      <c r="E614" s="150"/>
      <c r="F614" s="65"/>
      <c r="G614" s="12"/>
      <c r="H614" s="41"/>
      <c r="I614" s="30"/>
      <c r="J614" s="30"/>
      <c r="K614" s="97"/>
      <c r="L614" s="11"/>
      <c r="M614" s="11"/>
      <c r="N614" s="11"/>
      <c r="O614" s="11"/>
      <c r="P614" s="82"/>
    </row>
    <row r="615" spans="2:16" s="9" customFormat="1" x14ac:dyDescent="0.2">
      <c r="B615" s="10"/>
      <c r="C615" s="11"/>
      <c r="D615" s="63"/>
      <c r="E615" s="150"/>
      <c r="F615" s="65"/>
      <c r="G615" s="12"/>
      <c r="H615" s="41"/>
      <c r="I615" s="30"/>
      <c r="J615" s="30"/>
      <c r="K615" s="97"/>
      <c r="L615" s="11"/>
      <c r="M615" s="11"/>
      <c r="N615" s="11"/>
      <c r="O615" s="11"/>
      <c r="P615" s="82"/>
    </row>
    <row r="616" spans="2:16" s="9" customFormat="1" x14ac:dyDescent="0.2">
      <c r="B616" s="10"/>
      <c r="C616" s="11"/>
      <c r="D616" s="63"/>
      <c r="E616" s="150"/>
      <c r="F616" s="65"/>
      <c r="G616" s="12"/>
      <c r="H616" s="41"/>
      <c r="I616" s="30"/>
      <c r="J616" s="30"/>
      <c r="K616" s="97"/>
      <c r="L616" s="11"/>
      <c r="M616" s="11"/>
      <c r="N616" s="11"/>
      <c r="O616" s="11"/>
      <c r="P616" s="82"/>
    </row>
    <row r="617" spans="2:16" s="9" customFormat="1" x14ac:dyDescent="0.2">
      <c r="B617" s="10"/>
      <c r="C617" s="11"/>
      <c r="D617" s="63"/>
      <c r="E617" s="150"/>
      <c r="F617" s="65"/>
      <c r="G617" s="12"/>
      <c r="H617" s="41"/>
      <c r="I617" s="30"/>
      <c r="J617" s="30"/>
      <c r="K617" s="97"/>
      <c r="L617" s="11"/>
      <c r="M617" s="11"/>
      <c r="N617" s="11"/>
      <c r="O617" s="11"/>
      <c r="P617" s="82"/>
    </row>
    <row r="618" spans="2:16" s="9" customFormat="1" x14ac:dyDescent="0.2">
      <c r="B618" s="10"/>
      <c r="C618" s="11"/>
      <c r="D618" s="63"/>
      <c r="E618" s="150"/>
      <c r="F618" s="65"/>
      <c r="G618" s="12"/>
      <c r="H618" s="41"/>
      <c r="I618" s="30"/>
      <c r="J618" s="30"/>
      <c r="K618" s="97"/>
      <c r="L618" s="11"/>
      <c r="M618" s="11"/>
      <c r="N618" s="11"/>
      <c r="O618" s="11"/>
      <c r="P618" s="82"/>
    </row>
    <row r="619" spans="2:16" s="9" customFormat="1" x14ac:dyDescent="0.2">
      <c r="B619" s="10"/>
      <c r="C619" s="11"/>
      <c r="D619" s="63"/>
      <c r="E619" s="150"/>
      <c r="F619" s="65"/>
      <c r="G619" s="12"/>
      <c r="H619" s="41"/>
      <c r="I619" s="30"/>
      <c r="J619" s="30"/>
      <c r="K619" s="97"/>
      <c r="L619" s="11"/>
      <c r="M619" s="11"/>
      <c r="N619" s="11"/>
      <c r="O619" s="11"/>
      <c r="P619" s="82"/>
    </row>
    <row r="620" spans="2:16" s="9" customFormat="1" x14ac:dyDescent="0.2">
      <c r="B620" s="10"/>
      <c r="C620" s="11"/>
      <c r="D620" s="63"/>
      <c r="E620" s="150"/>
      <c r="F620" s="65"/>
      <c r="G620" s="12"/>
      <c r="H620" s="41"/>
      <c r="I620" s="30"/>
      <c r="J620" s="30"/>
      <c r="K620" s="97"/>
      <c r="L620" s="11"/>
      <c r="M620" s="11"/>
      <c r="N620" s="11"/>
      <c r="O620" s="11"/>
      <c r="P620" s="82"/>
    </row>
    <row r="621" spans="2:16" s="9" customFormat="1" x14ac:dyDescent="0.2">
      <c r="B621" s="10"/>
      <c r="C621" s="11"/>
      <c r="D621" s="63"/>
      <c r="E621" s="150"/>
      <c r="F621" s="65"/>
      <c r="G621" s="12"/>
      <c r="H621" s="41"/>
      <c r="I621" s="30"/>
      <c r="J621" s="30"/>
      <c r="K621" s="97"/>
      <c r="L621" s="11"/>
      <c r="M621" s="11"/>
      <c r="N621" s="11"/>
      <c r="O621" s="11"/>
      <c r="P621" s="82"/>
    </row>
    <row r="622" spans="2:16" s="9" customFormat="1" x14ac:dyDescent="0.2">
      <c r="B622" s="10"/>
      <c r="C622" s="11"/>
      <c r="D622" s="63"/>
      <c r="E622" s="150"/>
      <c r="F622" s="65"/>
      <c r="G622" s="12"/>
      <c r="H622" s="41"/>
      <c r="I622" s="30"/>
      <c r="J622" s="30"/>
      <c r="K622" s="97"/>
      <c r="L622" s="11"/>
      <c r="M622" s="11"/>
      <c r="N622" s="11"/>
      <c r="O622" s="11"/>
      <c r="P622" s="82"/>
    </row>
    <row r="623" spans="2:16" s="9" customFormat="1" x14ac:dyDescent="0.2">
      <c r="B623" s="10"/>
      <c r="C623" s="11"/>
      <c r="D623" s="63"/>
      <c r="E623" s="150"/>
      <c r="F623" s="65"/>
      <c r="G623" s="12"/>
      <c r="H623" s="41"/>
      <c r="I623" s="30"/>
      <c r="J623" s="30"/>
      <c r="K623" s="97"/>
      <c r="L623" s="11"/>
      <c r="M623" s="11"/>
      <c r="N623" s="11"/>
      <c r="O623" s="11"/>
      <c r="P623" s="82"/>
    </row>
    <row r="624" spans="2:16" s="9" customFormat="1" x14ac:dyDescent="0.2">
      <c r="B624" s="10"/>
      <c r="C624" s="11"/>
      <c r="D624" s="63"/>
      <c r="E624" s="150"/>
      <c r="F624" s="65"/>
      <c r="G624" s="12"/>
      <c r="H624" s="41"/>
      <c r="I624" s="30"/>
      <c r="J624" s="30"/>
      <c r="K624" s="97"/>
      <c r="L624" s="11"/>
      <c r="M624" s="11"/>
      <c r="N624" s="11"/>
      <c r="O624" s="11"/>
      <c r="P624" s="82"/>
    </row>
    <row r="625" spans="2:16" s="9" customFormat="1" x14ac:dyDescent="0.2">
      <c r="B625" s="10"/>
      <c r="C625" s="11"/>
      <c r="D625" s="63"/>
      <c r="E625" s="150"/>
      <c r="F625" s="65"/>
      <c r="G625" s="12"/>
      <c r="H625" s="41"/>
      <c r="I625" s="30"/>
      <c r="J625" s="30"/>
      <c r="K625" s="97"/>
      <c r="L625" s="11"/>
      <c r="M625" s="11"/>
      <c r="N625" s="11"/>
      <c r="O625" s="11"/>
      <c r="P625" s="82"/>
    </row>
    <row r="626" spans="2:16" s="9" customFormat="1" x14ac:dyDescent="0.2">
      <c r="B626" s="10"/>
      <c r="C626" s="11"/>
      <c r="D626" s="63"/>
      <c r="E626" s="150"/>
      <c r="F626" s="65"/>
      <c r="G626" s="12"/>
      <c r="H626" s="41"/>
      <c r="I626" s="30"/>
      <c r="J626" s="30"/>
      <c r="K626" s="97"/>
      <c r="L626" s="11"/>
      <c r="M626" s="11"/>
      <c r="N626" s="11"/>
      <c r="O626" s="11"/>
      <c r="P626" s="82"/>
    </row>
    <row r="627" spans="2:16" s="9" customFormat="1" x14ac:dyDescent="0.2">
      <c r="B627" s="10"/>
      <c r="C627" s="11"/>
      <c r="D627" s="63"/>
      <c r="E627" s="150"/>
      <c r="F627" s="65"/>
      <c r="G627" s="12"/>
      <c r="H627" s="41"/>
      <c r="I627" s="30"/>
      <c r="J627" s="30"/>
      <c r="K627" s="97"/>
      <c r="L627" s="11"/>
      <c r="M627" s="11"/>
      <c r="N627" s="11"/>
      <c r="O627" s="11"/>
      <c r="P627" s="82"/>
    </row>
    <row r="628" spans="2:16" s="9" customFormat="1" x14ac:dyDescent="0.2">
      <c r="B628" s="10"/>
      <c r="C628" s="11"/>
      <c r="D628" s="63"/>
      <c r="E628" s="150"/>
      <c r="F628" s="65"/>
      <c r="G628" s="12"/>
      <c r="H628" s="41"/>
      <c r="I628" s="30"/>
      <c r="J628" s="30"/>
      <c r="K628" s="97"/>
      <c r="L628" s="11"/>
      <c r="M628" s="11"/>
      <c r="N628" s="11"/>
      <c r="O628" s="11"/>
      <c r="P628" s="82"/>
    </row>
    <row r="629" spans="2:16" s="9" customFormat="1" x14ac:dyDescent="0.2">
      <c r="B629" s="10"/>
      <c r="C629" s="11"/>
      <c r="D629" s="63"/>
      <c r="E629" s="150"/>
      <c r="F629" s="65"/>
      <c r="G629" s="12"/>
      <c r="H629" s="41"/>
      <c r="I629" s="30"/>
      <c r="J629" s="30"/>
      <c r="K629" s="97"/>
      <c r="L629" s="11"/>
      <c r="M629" s="11"/>
      <c r="N629" s="11"/>
      <c r="O629" s="11"/>
      <c r="P629" s="82"/>
    </row>
    <row r="630" spans="2:16" s="9" customFormat="1" x14ac:dyDescent="0.2">
      <c r="B630" s="10"/>
      <c r="C630" s="11"/>
      <c r="D630" s="63"/>
      <c r="E630" s="150"/>
      <c r="F630" s="65"/>
      <c r="G630" s="12"/>
      <c r="H630" s="41"/>
      <c r="I630" s="30"/>
      <c r="J630" s="30"/>
      <c r="K630" s="97"/>
      <c r="L630" s="11"/>
      <c r="M630" s="11"/>
      <c r="N630" s="11"/>
      <c r="O630" s="11"/>
      <c r="P630" s="82"/>
    </row>
    <row r="631" spans="2:16" s="9" customFormat="1" x14ac:dyDescent="0.2">
      <c r="B631" s="10"/>
      <c r="C631" s="11"/>
      <c r="D631" s="63"/>
      <c r="E631" s="150"/>
      <c r="F631" s="65"/>
      <c r="G631" s="12"/>
      <c r="H631" s="41"/>
      <c r="I631" s="30"/>
      <c r="J631" s="30"/>
      <c r="K631" s="97"/>
      <c r="L631" s="11"/>
      <c r="M631" s="11"/>
      <c r="N631" s="11"/>
      <c r="O631" s="11"/>
      <c r="P631" s="82"/>
    </row>
    <row r="632" spans="2:16" s="9" customFormat="1" x14ac:dyDescent="0.2">
      <c r="B632" s="10"/>
      <c r="C632" s="11"/>
      <c r="D632" s="63"/>
      <c r="E632" s="150"/>
      <c r="F632" s="65"/>
      <c r="G632" s="12"/>
      <c r="H632" s="41"/>
      <c r="I632" s="30"/>
      <c r="J632" s="30"/>
      <c r="K632" s="97"/>
      <c r="L632" s="11"/>
      <c r="M632" s="11"/>
      <c r="N632" s="11"/>
      <c r="O632" s="11"/>
      <c r="P632" s="82"/>
    </row>
    <row r="633" spans="2:16" s="9" customFormat="1" x14ac:dyDescent="0.2">
      <c r="B633" s="10"/>
      <c r="C633" s="11"/>
      <c r="D633" s="63"/>
      <c r="E633" s="150"/>
      <c r="F633" s="65"/>
      <c r="G633" s="12"/>
      <c r="H633" s="41"/>
      <c r="I633" s="30"/>
      <c r="J633" s="30"/>
      <c r="K633" s="97"/>
      <c r="L633" s="11"/>
      <c r="M633" s="11"/>
      <c r="N633" s="11"/>
      <c r="O633" s="11"/>
      <c r="P633" s="82"/>
    </row>
    <row r="634" spans="2:16" s="9" customFormat="1" x14ac:dyDescent="0.2">
      <c r="B634" s="10"/>
      <c r="C634" s="11"/>
      <c r="D634" s="63"/>
      <c r="E634" s="150"/>
      <c r="F634" s="65"/>
      <c r="G634" s="12"/>
      <c r="H634" s="41"/>
      <c r="I634" s="30"/>
      <c r="J634" s="30"/>
      <c r="K634" s="97"/>
      <c r="L634" s="11"/>
      <c r="M634" s="11"/>
      <c r="N634" s="11"/>
      <c r="O634" s="11"/>
      <c r="P634" s="82"/>
    </row>
    <row r="635" spans="2:16" s="9" customFormat="1" x14ac:dyDescent="0.2">
      <c r="B635" s="10"/>
      <c r="C635" s="11"/>
      <c r="D635" s="63"/>
      <c r="E635" s="150"/>
      <c r="F635" s="65"/>
      <c r="G635" s="12"/>
      <c r="H635" s="41"/>
      <c r="I635" s="30"/>
      <c r="J635" s="30"/>
      <c r="K635" s="97"/>
      <c r="L635" s="11"/>
      <c r="M635" s="11"/>
      <c r="N635" s="11"/>
      <c r="O635" s="11"/>
      <c r="P635" s="82"/>
    </row>
    <row r="636" spans="2:16" s="9" customFormat="1" x14ac:dyDescent="0.2">
      <c r="B636" s="10"/>
      <c r="C636" s="11"/>
      <c r="D636" s="63"/>
      <c r="E636" s="150"/>
      <c r="F636" s="65"/>
      <c r="G636" s="12"/>
      <c r="H636" s="41"/>
      <c r="I636" s="30"/>
      <c r="J636" s="30"/>
      <c r="K636" s="97"/>
      <c r="L636" s="11"/>
      <c r="M636" s="11"/>
      <c r="N636" s="11"/>
      <c r="O636" s="11"/>
      <c r="P636" s="82"/>
    </row>
    <row r="637" spans="2:16" s="9" customFormat="1" x14ac:dyDescent="0.2">
      <c r="B637" s="10"/>
      <c r="C637" s="11"/>
      <c r="D637" s="63"/>
      <c r="E637" s="150"/>
      <c r="F637" s="65"/>
      <c r="G637" s="12"/>
      <c r="H637" s="41"/>
      <c r="I637" s="30"/>
      <c r="J637" s="30"/>
      <c r="K637" s="97"/>
      <c r="L637" s="11"/>
      <c r="M637" s="11"/>
      <c r="N637" s="11"/>
      <c r="O637" s="11"/>
      <c r="P637" s="82"/>
    </row>
    <row r="638" spans="2:16" s="9" customFormat="1" x14ac:dyDescent="0.2">
      <c r="B638" s="10"/>
      <c r="C638" s="11"/>
      <c r="D638" s="63"/>
      <c r="E638" s="150"/>
      <c r="F638" s="65"/>
      <c r="G638" s="12"/>
      <c r="H638" s="41"/>
      <c r="I638" s="30"/>
      <c r="J638" s="30"/>
      <c r="K638" s="97"/>
      <c r="L638" s="11"/>
      <c r="M638" s="11"/>
      <c r="N638" s="11"/>
      <c r="O638" s="11"/>
      <c r="P638" s="82"/>
    </row>
    <row r="639" spans="2:16" s="9" customFormat="1" x14ac:dyDescent="0.2">
      <c r="B639" s="10"/>
      <c r="C639" s="11"/>
      <c r="D639" s="63"/>
      <c r="E639" s="150"/>
      <c r="F639" s="65"/>
      <c r="G639" s="12"/>
      <c r="H639" s="41"/>
      <c r="I639" s="30"/>
      <c r="J639" s="30"/>
      <c r="K639" s="97"/>
      <c r="L639" s="11"/>
      <c r="M639" s="11"/>
      <c r="N639" s="11"/>
      <c r="O639" s="11"/>
      <c r="P639" s="82"/>
    </row>
    <row r="640" spans="2:16" s="9" customFormat="1" x14ac:dyDescent="0.2">
      <c r="B640" s="10"/>
      <c r="C640" s="11"/>
      <c r="D640" s="63"/>
      <c r="E640" s="150"/>
      <c r="F640" s="65"/>
      <c r="G640" s="12"/>
      <c r="H640" s="41"/>
      <c r="I640" s="30"/>
      <c r="J640" s="30"/>
      <c r="K640" s="97"/>
      <c r="L640" s="11"/>
      <c r="M640" s="11"/>
      <c r="N640" s="11"/>
      <c r="O640" s="11"/>
      <c r="P640" s="82"/>
    </row>
    <row r="641" spans="2:16" s="9" customFormat="1" x14ac:dyDescent="0.2">
      <c r="B641" s="10"/>
      <c r="C641" s="11"/>
      <c r="D641" s="63"/>
      <c r="E641" s="150"/>
      <c r="F641" s="65"/>
      <c r="G641" s="12"/>
      <c r="H641" s="41"/>
      <c r="I641" s="30"/>
      <c r="J641" s="30"/>
      <c r="K641" s="97"/>
      <c r="L641" s="11"/>
      <c r="M641" s="11"/>
      <c r="N641" s="11"/>
      <c r="O641" s="11"/>
      <c r="P641" s="82"/>
    </row>
    <row r="642" spans="2:16" s="9" customFormat="1" x14ac:dyDescent="0.2">
      <c r="B642" s="10"/>
      <c r="C642" s="11"/>
      <c r="D642" s="63"/>
      <c r="E642" s="150"/>
      <c r="F642" s="65"/>
      <c r="G642" s="12"/>
      <c r="H642" s="41"/>
      <c r="I642" s="30"/>
      <c r="J642" s="30"/>
      <c r="K642" s="97"/>
      <c r="L642" s="11"/>
      <c r="M642" s="11"/>
      <c r="N642" s="11"/>
      <c r="O642" s="11"/>
      <c r="P642" s="82"/>
    </row>
    <row r="643" spans="2:16" s="9" customFormat="1" x14ac:dyDescent="0.2">
      <c r="B643" s="10"/>
      <c r="C643" s="11"/>
      <c r="D643" s="63"/>
      <c r="E643" s="150"/>
      <c r="F643" s="65"/>
      <c r="G643" s="12"/>
      <c r="H643" s="41"/>
      <c r="I643" s="30"/>
      <c r="J643" s="30"/>
      <c r="K643" s="97"/>
      <c r="L643" s="11"/>
      <c r="M643" s="11"/>
      <c r="N643" s="11"/>
      <c r="O643" s="11"/>
      <c r="P643" s="82"/>
    </row>
    <row r="644" spans="2:16" s="9" customFormat="1" x14ac:dyDescent="0.2">
      <c r="B644" s="10"/>
      <c r="C644" s="11"/>
      <c r="D644" s="63"/>
      <c r="E644" s="150"/>
      <c r="F644" s="65"/>
      <c r="G644" s="12"/>
      <c r="H644" s="41"/>
      <c r="I644" s="30"/>
      <c r="J644" s="30"/>
      <c r="K644" s="97"/>
      <c r="L644" s="11"/>
      <c r="M644" s="11"/>
      <c r="N644" s="11"/>
      <c r="O644" s="11"/>
      <c r="P644" s="82"/>
    </row>
    <row r="645" spans="2:16" s="9" customFormat="1" x14ac:dyDescent="0.2">
      <c r="B645" s="10"/>
      <c r="C645" s="11"/>
      <c r="D645" s="63"/>
      <c r="E645" s="150"/>
      <c r="F645" s="65"/>
      <c r="G645" s="12"/>
      <c r="H645" s="41"/>
      <c r="I645" s="30"/>
      <c r="J645" s="30"/>
      <c r="K645" s="97"/>
      <c r="L645" s="11"/>
      <c r="M645" s="11"/>
      <c r="N645" s="11"/>
      <c r="O645" s="11"/>
      <c r="P645" s="82"/>
    </row>
    <row r="646" spans="2:16" s="9" customFormat="1" x14ac:dyDescent="0.2">
      <c r="B646" s="10"/>
      <c r="C646" s="11"/>
      <c r="D646" s="63"/>
      <c r="E646" s="150"/>
      <c r="F646" s="65"/>
      <c r="G646" s="12"/>
      <c r="H646" s="41"/>
      <c r="I646" s="30"/>
      <c r="J646" s="30"/>
      <c r="K646" s="97"/>
      <c r="L646" s="11"/>
      <c r="M646" s="11"/>
      <c r="N646" s="11"/>
      <c r="O646" s="11"/>
      <c r="P646" s="82"/>
    </row>
    <row r="647" spans="2:16" s="9" customFormat="1" x14ac:dyDescent="0.2">
      <c r="B647" s="10"/>
      <c r="C647" s="11"/>
      <c r="D647" s="63"/>
      <c r="E647" s="150"/>
      <c r="F647" s="65"/>
      <c r="G647" s="12"/>
      <c r="H647" s="41"/>
      <c r="I647" s="30"/>
      <c r="J647" s="30"/>
      <c r="K647" s="97"/>
      <c r="L647" s="11"/>
      <c r="M647" s="11"/>
      <c r="N647" s="11"/>
      <c r="O647" s="11"/>
      <c r="P647" s="82"/>
    </row>
    <row r="648" spans="2:16" s="9" customFormat="1" x14ac:dyDescent="0.2">
      <c r="B648" s="10"/>
      <c r="C648" s="11"/>
      <c r="D648" s="63"/>
      <c r="E648" s="150"/>
      <c r="F648" s="65"/>
      <c r="G648" s="12"/>
      <c r="H648" s="41"/>
      <c r="I648" s="30"/>
      <c r="J648" s="30"/>
      <c r="K648" s="97"/>
      <c r="L648" s="11"/>
      <c r="M648" s="11"/>
      <c r="N648" s="11"/>
      <c r="O648" s="11"/>
      <c r="P648" s="82"/>
    </row>
    <row r="649" spans="2:16" s="9" customFormat="1" x14ac:dyDescent="0.2">
      <c r="B649" s="10"/>
      <c r="C649" s="11"/>
      <c r="D649" s="63"/>
      <c r="E649" s="150"/>
      <c r="F649" s="65"/>
      <c r="G649" s="12"/>
      <c r="H649" s="41"/>
      <c r="I649" s="30"/>
      <c r="J649" s="30"/>
      <c r="K649" s="97"/>
      <c r="L649" s="11"/>
      <c r="M649" s="11"/>
      <c r="N649" s="11"/>
      <c r="O649" s="11"/>
      <c r="P649" s="82"/>
    </row>
    <row r="650" spans="2:16" s="9" customFormat="1" x14ac:dyDescent="0.2">
      <c r="B650" s="10"/>
      <c r="C650" s="11"/>
      <c r="D650" s="63"/>
      <c r="E650" s="150"/>
      <c r="F650" s="65"/>
      <c r="G650" s="12"/>
      <c r="H650" s="41"/>
      <c r="I650" s="30"/>
      <c r="J650" s="30"/>
      <c r="K650" s="97"/>
      <c r="L650" s="11"/>
      <c r="M650" s="11"/>
      <c r="N650" s="11"/>
      <c r="O650" s="11"/>
      <c r="P650" s="82"/>
    </row>
    <row r="651" spans="2:16" s="9" customFormat="1" x14ac:dyDescent="0.2">
      <c r="B651" s="10"/>
      <c r="C651" s="11"/>
      <c r="D651" s="63"/>
      <c r="E651" s="150"/>
      <c r="F651" s="65"/>
      <c r="G651" s="12"/>
      <c r="H651" s="41"/>
      <c r="I651" s="30"/>
      <c r="J651" s="30"/>
      <c r="K651" s="97"/>
      <c r="L651" s="11"/>
      <c r="M651" s="11"/>
      <c r="N651" s="11"/>
      <c r="O651" s="11"/>
      <c r="P651" s="82"/>
    </row>
    <row r="652" spans="2:16" s="9" customFormat="1" x14ac:dyDescent="0.2">
      <c r="B652" s="10"/>
      <c r="C652" s="11"/>
      <c r="D652" s="63"/>
      <c r="E652" s="150"/>
      <c r="F652" s="65"/>
      <c r="G652" s="12"/>
      <c r="H652" s="41"/>
      <c r="I652" s="30"/>
      <c r="J652" s="30"/>
      <c r="K652" s="97"/>
      <c r="L652" s="11"/>
      <c r="M652" s="11"/>
      <c r="N652" s="11"/>
      <c r="O652" s="11"/>
      <c r="P652" s="82"/>
    </row>
    <row r="653" spans="2:16" s="9" customFormat="1" x14ac:dyDescent="0.2">
      <c r="B653" s="10"/>
      <c r="C653" s="11"/>
      <c r="D653" s="63"/>
      <c r="E653" s="150"/>
      <c r="F653" s="65"/>
      <c r="G653" s="12"/>
      <c r="H653" s="41"/>
      <c r="I653" s="30"/>
      <c r="J653" s="30"/>
      <c r="K653" s="97"/>
      <c r="L653" s="11"/>
      <c r="M653" s="11"/>
      <c r="N653" s="11"/>
      <c r="O653" s="11"/>
      <c r="P653" s="82"/>
    </row>
    <row r="654" spans="2:16" s="9" customFormat="1" x14ac:dyDescent="0.2">
      <c r="B654" s="10"/>
      <c r="C654" s="11"/>
      <c r="D654" s="63"/>
      <c r="E654" s="150"/>
      <c r="F654" s="65"/>
      <c r="G654" s="12"/>
      <c r="H654" s="41"/>
      <c r="I654" s="30"/>
      <c r="J654" s="30"/>
      <c r="K654" s="97"/>
      <c r="L654" s="11"/>
      <c r="M654" s="11"/>
      <c r="N654" s="11"/>
      <c r="O654" s="11"/>
      <c r="P654" s="82"/>
    </row>
    <row r="655" spans="2:16" s="9" customFormat="1" x14ac:dyDescent="0.2">
      <c r="B655" s="10"/>
      <c r="C655" s="11"/>
      <c r="D655" s="63"/>
      <c r="E655" s="150"/>
      <c r="F655" s="65"/>
      <c r="G655" s="12"/>
      <c r="H655" s="41"/>
      <c r="I655" s="30"/>
      <c r="J655" s="30"/>
      <c r="K655" s="97"/>
      <c r="L655" s="11"/>
      <c r="M655" s="11"/>
      <c r="N655" s="11"/>
      <c r="O655" s="11"/>
      <c r="P655" s="82"/>
    </row>
    <row r="656" spans="2:16" s="9" customFormat="1" x14ac:dyDescent="0.2">
      <c r="B656" s="10"/>
      <c r="C656" s="11"/>
      <c r="D656" s="63"/>
      <c r="E656" s="150"/>
      <c r="F656" s="65"/>
      <c r="G656" s="12"/>
      <c r="H656" s="41"/>
      <c r="I656" s="30"/>
      <c r="J656" s="30"/>
      <c r="K656" s="97"/>
      <c r="L656" s="11"/>
      <c r="M656" s="11"/>
      <c r="N656" s="11"/>
      <c r="O656" s="11"/>
      <c r="P656" s="82"/>
    </row>
    <row r="657" spans="2:16" s="9" customFormat="1" x14ac:dyDescent="0.2">
      <c r="B657" s="10"/>
      <c r="C657" s="11"/>
      <c r="D657" s="63"/>
      <c r="E657" s="150"/>
      <c r="F657" s="65"/>
      <c r="G657" s="12"/>
      <c r="H657" s="41"/>
      <c r="I657" s="30"/>
      <c r="J657" s="30"/>
      <c r="K657" s="97"/>
      <c r="L657" s="11"/>
      <c r="M657" s="11"/>
      <c r="N657" s="11"/>
      <c r="O657" s="11"/>
      <c r="P657" s="82"/>
    </row>
    <row r="658" spans="2:16" s="9" customFormat="1" x14ac:dyDescent="0.2">
      <c r="B658" s="10"/>
      <c r="C658" s="11"/>
      <c r="D658" s="63"/>
      <c r="E658" s="150"/>
      <c r="F658" s="65"/>
      <c r="G658" s="12"/>
      <c r="H658" s="41"/>
      <c r="I658" s="30"/>
      <c r="J658" s="30"/>
      <c r="K658" s="97"/>
      <c r="L658" s="11"/>
      <c r="M658" s="11"/>
      <c r="N658" s="11"/>
      <c r="O658" s="11"/>
      <c r="P658" s="82"/>
    </row>
    <row r="659" spans="2:16" s="9" customFormat="1" x14ac:dyDescent="0.2">
      <c r="B659" s="10"/>
      <c r="C659" s="11"/>
      <c r="D659" s="63"/>
      <c r="E659" s="150"/>
      <c r="F659" s="65"/>
      <c r="G659" s="12"/>
      <c r="H659" s="41"/>
      <c r="I659" s="30"/>
      <c r="J659" s="30"/>
      <c r="K659" s="97"/>
      <c r="L659" s="11"/>
      <c r="M659" s="11"/>
      <c r="N659" s="11"/>
      <c r="O659" s="11"/>
      <c r="P659" s="82"/>
    </row>
    <row r="660" spans="2:16" s="9" customFormat="1" x14ac:dyDescent="0.2">
      <c r="B660" s="10"/>
      <c r="C660" s="11"/>
      <c r="D660" s="63"/>
      <c r="E660" s="150"/>
      <c r="F660" s="65"/>
      <c r="G660" s="12"/>
      <c r="H660" s="41"/>
      <c r="I660" s="30"/>
      <c r="J660" s="30"/>
      <c r="K660" s="97"/>
      <c r="L660" s="11"/>
      <c r="M660" s="11"/>
      <c r="N660" s="11"/>
      <c r="O660" s="11"/>
      <c r="P660" s="82"/>
    </row>
    <row r="661" spans="2:16" s="9" customFormat="1" x14ac:dyDescent="0.2">
      <c r="B661" s="10"/>
      <c r="C661" s="11"/>
      <c r="D661" s="63"/>
      <c r="E661" s="150"/>
      <c r="F661" s="65"/>
      <c r="G661" s="12"/>
      <c r="H661" s="41"/>
      <c r="I661" s="30"/>
      <c r="J661" s="30"/>
      <c r="K661" s="97"/>
      <c r="L661" s="11"/>
      <c r="M661" s="11"/>
      <c r="N661" s="11"/>
      <c r="O661" s="11"/>
      <c r="P661" s="82"/>
    </row>
    <row r="662" spans="2:16" s="9" customFormat="1" x14ac:dyDescent="0.2">
      <c r="B662" s="10"/>
      <c r="C662" s="11"/>
      <c r="D662" s="63"/>
      <c r="E662" s="150"/>
      <c r="F662" s="65"/>
      <c r="G662" s="12"/>
      <c r="H662" s="41"/>
      <c r="I662" s="30"/>
      <c r="J662" s="30"/>
      <c r="K662" s="97"/>
      <c r="L662" s="11"/>
      <c r="M662" s="11"/>
      <c r="N662" s="11"/>
      <c r="O662" s="11"/>
      <c r="P662" s="82"/>
    </row>
    <row r="663" spans="2:16" s="9" customFormat="1" x14ac:dyDescent="0.2">
      <c r="B663" s="10"/>
      <c r="C663" s="11"/>
      <c r="D663" s="63"/>
      <c r="E663" s="150"/>
      <c r="F663" s="65"/>
      <c r="G663" s="12"/>
      <c r="H663" s="41"/>
      <c r="I663" s="30"/>
      <c r="J663" s="30"/>
      <c r="K663" s="97"/>
      <c r="L663" s="11"/>
      <c r="M663" s="11"/>
      <c r="N663" s="11"/>
      <c r="O663" s="11"/>
      <c r="P663" s="82"/>
    </row>
    <row r="664" spans="2:16" s="9" customFormat="1" x14ac:dyDescent="0.2">
      <c r="B664" s="10"/>
      <c r="C664" s="11"/>
      <c r="D664" s="63"/>
      <c r="E664" s="150"/>
      <c r="F664" s="65"/>
      <c r="G664" s="12"/>
      <c r="H664" s="41"/>
      <c r="I664" s="30"/>
      <c r="J664" s="30"/>
      <c r="K664" s="97"/>
      <c r="L664" s="11"/>
      <c r="M664" s="11"/>
      <c r="N664" s="11"/>
      <c r="O664" s="11"/>
      <c r="P664" s="82"/>
    </row>
    <row r="665" spans="2:16" s="9" customFormat="1" x14ac:dyDescent="0.2">
      <c r="B665" s="10"/>
      <c r="C665" s="11"/>
      <c r="D665" s="63"/>
      <c r="E665" s="150"/>
      <c r="F665" s="65"/>
      <c r="G665" s="12"/>
      <c r="H665" s="41"/>
      <c r="I665" s="30"/>
      <c r="J665" s="30"/>
      <c r="K665" s="97"/>
      <c r="L665" s="11"/>
      <c r="M665" s="11"/>
      <c r="N665" s="11"/>
      <c r="O665" s="11"/>
      <c r="P665" s="82"/>
    </row>
    <row r="666" spans="2:16" s="9" customFormat="1" x14ac:dyDescent="0.2">
      <c r="B666" s="10"/>
      <c r="C666" s="11"/>
      <c r="D666" s="63"/>
      <c r="E666" s="150"/>
      <c r="F666" s="65"/>
      <c r="G666" s="12"/>
      <c r="H666" s="41"/>
      <c r="I666" s="30"/>
      <c r="J666" s="30"/>
      <c r="K666" s="97"/>
      <c r="L666" s="11"/>
      <c r="M666" s="11"/>
      <c r="N666" s="11"/>
      <c r="O666" s="11"/>
      <c r="P666" s="82"/>
    </row>
    <row r="667" spans="2:16" s="9" customFormat="1" x14ac:dyDescent="0.2">
      <c r="B667" s="10"/>
      <c r="C667" s="11"/>
      <c r="D667" s="63"/>
      <c r="E667" s="150"/>
      <c r="F667" s="65"/>
      <c r="G667" s="12"/>
      <c r="H667" s="41"/>
      <c r="I667" s="30"/>
      <c r="J667" s="30"/>
      <c r="K667" s="97"/>
      <c r="L667" s="11"/>
      <c r="M667" s="11"/>
      <c r="N667" s="11"/>
      <c r="O667" s="11"/>
      <c r="P667" s="82"/>
    </row>
    <row r="668" spans="2:16" s="9" customFormat="1" x14ac:dyDescent="0.2">
      <c r="B668" s="10"/>
      <c r="C668" s="11"/>
      <c r="D668" s="63"/>
      <c r="E668" s="150"/>
      <c r="F668" s="65"/>
      <c r="G668" s="12"/>
      <c r="H668" s="41"/>
      <c r="I668" s="30"/>
      <c r="J668" s="30"/>
      <c r="K668" s="97"/>
      <c r="L668" s="11"/>
      <c r="M668" s="11"/>
      <c r="N668" s="11"/>
      <c r="O668" s="11"/>
      <c r="P668" s="82"/>
    </row>
    <row r="669" spans="2:16" s="9" customFormat="1" x14ac:dyDescent="0.2">
      <c r="B669" s="10"/>
      <c r="C669" s="11"/>
      <c r="D669" s="63"/>
      <c r="E669" s="150"/>
      <c r="F669" s="65"/>
      <c r="G669" s="12"/>
      <c r="H669" s="41"/>
      <c r="I669" s="30"/>
      <c r="J669" s="30"/>
      <c r="K669" s="97"/>
      <c r="L669" s="11"/>
      <c r="M669" s="11"/>
      <c r="N669" s="11"/>
      <c r="O669" s="11"/>
      <c r="P669" s="82"/>
    </row>
    <row r="670" spans="2:16" s="9" customFormat="1" x14ac:dyDescent="0.2">
      <c r="B670" s="10"/>
      <c r="C670" s="11"/>
      <c r="D670" s="63"/>
      <c r="E670" s="150"/>
      <c r="F670" s="65"/>
      <c r="G670" s="12"/>
      <c r="H670" s="41"/>
      <c r="I670" s="30"/>
      <c r="J670" s="30"/>
      <c r="K670" s="97"/>
      <c r="L670" s="11"/>
      <c r="M670" s="11"/>
      <c r="N670" s="11"/>
      <c r="O670" s="11"/>
      <c r="P670" s="82"/>
    </row>
    <row r="671" spans="2:16" s="9" customFormat="1" x14ac:dyDescent="0.2">
      <c r="B671" s="10"/>
      <c r="C671" s="11"/>
      <c r="D671" s="63"/>
      <c r="E671" s="150"/>
      <c r="F671" s="65"/>
      <c r="G671" s="12"/>
      <c r="H671" s="41"/>
      <c r="I671" s="30"/>
      <c r="J671" s="30"/>
      <c r="K671" s="97"/>
      <c r="L671" s="11"/>
      <c r="M671" s="11"/>
      <c r="N671" s="11"/>
      <c r="O671" s="11"/>
      <c r="P671" s="82"/>
    </row>
    <row r="672" spans="2:16" s="9" customFormat="1" x14ac:dyDescent="0.2">
      <c r="B672" s="10"/>
      <c r="C672" s="11"/>
      <c r="D672" s="63"/>
      <c r="E672" s="150"/>
      <c r="F672" s="65"/>
      <c r="G672" s="12"/>
      <c r="H672" s="41"/>
      <c r="I672" s="30"/>
      <c r="J672" s="30"/>
      <c r="K672" s="97"/>
      <c r="L672" s="11"/>
      <c r="M672" s="11"/>
      <c r="N672" s="11"/>
      <c r="O672" s="11"/>
      <c r="P672" s="82"/>
    </row>
    <row r="673" spans="2:16" s="9" customFormat="1" x14ac:dyDescent="0.2">
      <c r="B673" s="10"/>
      <c r="C673" s="11"/>
      <c r="D673" s="63"/>
      <c r="E673" s="150"/>
      <c r="F673" s="65"/>
      <c r="G673" s="12"/>
      <c r="H673" s="41"/>
      <c r="I673" s="30"/>
      <c r="J673" s="30"/>
      <c r="K673" s="97"/>
      <c r="L673" s="11"/>
      <c r="M673" s="11"/>
      <c r="N673" s="11"/>
      <c r="O673" s="11"/>
      <c r="P673" s="82"/>
    </row>
    <row r="674" spans="2:16" s="9" customFormat="1" x14ac:dyDescent="0.2">
      <c r="B674" s="10"/>
      <c r="C674" s="11"/>
      <c r="D674" s="63"/>
      <c r="E674" s="150"/>
      <c r="F674" s="65"/>
      <c r="G674" s="12"/>
      <c r="H674" s="41"/>
      <c r="I674" s="30"/>
      <c r="J674" s="30"/>
      <c r="K674" s="97"/>
      <c r="L674" s="11"/>
      <c r="M674" s="11"/>
      <c r="N674" s="11"/>
      <c r="O674" s="11"/>
      <c r="P674" s="82"/>
    </row>
    <row r="675" spans="2:16" s="9" customFormat="1" x14ac:dyDescent="0.2">
      <c r="B675" s="10"/>
      <c r="C675" s="11"/>
      <c r="D675" s="63"/>
      <c r="E675" s="150"/>
      <c r="F675" s="65"/>
      <c r="G675" s="12"/>
      <c r="H675" s="41"/>
      <c r="I675" s="30"/>
      <c r="J675" s="30"/>
      <c r="K675" s="97"/>
      <c r="L675" s="11"/>
      <c r="M675" s="11"/>
      <c r="N675" s="11"/>
      <c r="O675" s="11"/>
      <c r="P675" s="82"/>
    </row>
    <row r="676" spans="2:16" s="9" customFormat="1" x14ac:dyDescent="0.2">
      <c r="B676" s="10"/>
      <c r="C676" s="11"/>
      <c r="D676" s="63"/>
      <c r="E676" s="150"/>
      <c r="F676" s="65"/>
      <c r="G676" s="12"/>
      <c r="H676" s="41"/>
      <c r="I676" s="30"/>
      <c r="J676" s="30"/>
      <c r="K676" s="97"/>
      <c r="L676" s="11"/>
      <c r="M676" s="11"/>
      <c r="N676" s="11"/>
      <c r="O676" s="11"/>
      <c r="P676" s="82"/>
    </row>
    <row r="677" spans="2:16" s="9" customFormat="1" x14ac:dyDescent="0.2">
      <c r="B677" s="10"/>
      <c r="C677" s="11"/>
      <c r="D677" s="63"/>
      <c r="E677" s="150"/>
      <c r="F677" s="65"/>
      <c r="G677" s="12"/>
      <c r="H677" s="41"/>
      <c r="I677" s="30"/>
      <c r="J677" s="30"/>
      <c r="K677" s="97"/>
      <c r="L677" s="11"/>
      <c r="M677" s="11"/>
      <c r="N677" s="11"/>
      <c r="O677" s="11"/>
      <c r="P677" s="82"/>
    </row>
    <row r="678" spans="2:16" s="9" customFormat="1" x14ac:dyDescent="0.2">
      <c r="B678" s="10"/>
      <c r="C678" s="11"/>
      <c r="D678" s="63"/>
      <c r="E678" s="150"/>
      <c r="F678" s="65"/>
      <c r="G678" s="12"/>
      <c r="H678" s="41"/>
      <c r="I678" s="30"/>
      <c r="J678" s="30"/>
      <c r="K678" s="97"/>
      <c r="L678" s="11"/>
      <c r="M678" s="11"/>
      <c r="N678" s="11"/>
      <c r="O678" s="11"/>
      <c r="P678" s="82"/>
    </row>
    <row r="679" spans="2:16" s="9" customFormat="1" x14ac:dyDescent="0.2">
      <c r="B679" s="10"/>
      <c r="C679" s="11"/>
      <c r="D679" s="63"/>
      <c r="E679" s="150"/>
      <c r="F679" s="65"/>
      <c r="G679" s="12"/>
      <c r="H679" s="41"/>
      <c r="I679" s="30"/>
      <c r="J679" s="30"/>
      <c r="K679" s="97"/>
      <c r="L679" s="11"/>
      <c r="M679" s="11"/>
      <c r="N679" s="11"/>
      <c r="O679" s="11"/>
      <c r="P679" s="82"/>
    </row>
    <row r="680" spans="2:16" s="9" customFormat="1" x14ac:dyDescent="0.2">
      <c r="B680" s="10"/>
      <c r="C680" s="11"/>
      <c r="D680" s="63"/>
      <c r="E680" s="150"/>
      <c r="F680" s="65"/>
      <c r="G680" s="12"/>
      <c r="H680" s="41"/>
      <c r="I680" s="30"/>
      <c r="J680" s="30"/>
      <c r="K680" s="97"/>
      <c r="L680" s="11"/>
      <c r="M680" s="11"/>
      <c r="N680" s="11"/>
      <c r="O680" s="11"/>
      <c r="P680" s="82"/>
    </row>
    <row r="681" spans="2:16" s="9" customFormat="1" x14ac:dyDescent="0.2">
      <c r="B681" s="10"/>
      <c r="C681" s="11"/>
      <c r="D681" s="63"/>
      <c r="E681" s="150"/>
      <c r="F681" s="65"/>
      <c r="G681" s="12"/>
      <c r="H681" s="41"/>
      <c r="I681" s="30"/>
      <c r="J681" s="30"/>
      <c r="K681" s="97"/>
      <c r="L681" s="11"/>
      <c r="M681" s="11"/>
      <c r="N681" s="11"/>
      <c r="O681" s="11"/>
      <c r="P681" s="82"/>
    </row>
    <row r="682" spans="2:16" s="9" customFormat="1" x14ac:dyDescent="0.2">
      <c r="B682" s="10"/>
      <c r="C682" s="11"/>
      <c r="D682" s="63"/>
      <c r="E682" s="150"/>
      <c r="F682" s="65"/>
      <c r="G682" s="12"/>
      <c r="H682" s="41"/>
      <c r="I682" s="30"/>
      <c r="J682" s="30"/>
      <c r="K682" s="97"/>
      <c r="L682" s="11"/>
      <c r="M682" s="11"/>
      <c r="N682" s="11"/>
      <c r="O682" s="11"/>
      <c r="P682" s="82"/>
    </row>
    <row r="683" spans="2:16" s="9" customFormat="1" x14ac:dyDescent="0.2">
      <c r="B683" s="10"/>
      <c r="C683" s="11"/>
      <c r="D683" s="63"/>
      <c r="E683" s="150"/>
      <c r="F683" s="65"/>
      <c r="G683" s="12"/>
      <c r="H683" s="41"/>
      <c r="I683" s="30"/>
      <c r="J683" s="30"/>
      <c r="K683" s="97"/>
      <c r="L683" s="11"/>
      <c r="M683" s="11"/>
      <c r="N683" s="11"/>
      <c r="O683" s="11"/>
      <c r="P683" s="82"/>
    </row>
    <row r="684" spans="2:16" s="9" customFormat="1" x14ac:dyDescent="0.2">
      <c r="B684" s="10"/>
      <c r="C684" s="11"/>
      <c r="D684" s="63"/>
      <c r="E684" s="150"/>
      <c r="F684" s="65"/>
      <c r="G684" s="12"/>
      <c r="H684" s="41"/>
      <c r="I684" s="30"/>
      <c r="J684" s="30"/>
      <c r="K684" s="97"/>
      <c r="L684" s="11"/>
      <c r="M684" s="11"/>
      <c r="N684" s="11"/>
      <c r="O684" s="11"/>
      <c r="P684" s="82"/>
    </row>
    <row r="685" spans="2:16" s="9" customFormat="1" x14ac:dyDescent="0.2">
      <c r="B685" s="10"/>
      <c r="C685" s="11"/>
      <c r="D685" s="63"/>
      <c r="E685" s="150"/>
      <c r="F685" s="65"/>
      <c r="G685" s="12"/>
      <c r="H685" s="41"/>
      <c r="I685" s="30"/>
      <c r="J685" s="30"/>
      <c r="K685" s="97"/>
      <c r="L685" s="11"/>
      <c r="M685" s="11"/>
      <c r="N685" s="11"/>
      <c r="O685" s="11"/>
      <c r="P685" s="82"/>
    </row>
    <row r="686" spans="2:16" s="9" customFormat="1" x14ac:dyDescent="0.2">
      <c r="B686" s="10"/>
      <c r="C686" s="11"/>
      <c r="D686" s="63"/>
      <c r="E686" s="150"/>
      <c r="F686" s="65"/>
      <c r="G686" s="12"/>
      <c r="H686" s="41"/>
      <c r="I686" s="30"/>
      <c r="J686" s="30"/>
      <c r="K686" s="97"/>
      <c r="L686" s="11"/>
      <c r="M686" s="11"/>
      <c r="N686" s="11"/>
      <c r="O686" s="11"/>
      <c r="P686" s="82"/>
    </row>
    <row r="687" spans="2:16" s="9" customFormat="1" x14ac:dyDescent="0.2">
      <c r="B687" s="10"/>
      <c r="C687" s="11"/>
      <c r="D687" s="63"/>
      <c r="E687" s="150"/>
      <c r="F687" s="65"/>
      <c r="G687" s="12"/>
      <c r="H687" s="41"/>
      <c r="I687" s="30"/>
      <c r="J687" s="30"/>
      <c r="K687" s="97"/>
      <c r="L687" s="11"/>
      <c r="M687" s="11"/>
      <c r="N687" s="11"/>
      <c r="O687" s="11"/>
      <c r="P687" s="82"/>
    </row>
    <row r="688" spans="2:16" s="9" customFormat="1" x14ac:dyDescent="0.2">
      <c r="B688" s="10"/>
      <c r="C688" s="11"/>
      <c r="D688" s="63"/>
      <c r="E688" s="150"/>
      <c r="F688" s="65"/>
      <c r="G688" s="12"/>
      <c r="H688" s="41"/>
      <c r="I688" s="30"/>
      <c r="J688" s="30"/>
      <c r="K688" s="97"/>
      <c r="L688" s="11"/>
      <c r="M688" s="11"/>
      <c r="N688" s="11"/>
      <c r="O688" s="11"/>
      <c r="P688" s="82"/>
    </row>
    <row r="689" spans="2:16" s="9" customFormat="1" x14ac:dyDescent="0.2">
      <c r="B689" s="10"/>
      <c r="C689" s="11"/>
      <c r="D689" s="63"/>
      <c r="E689" s="150"/>
      <c r="F689" s="65"/>
      <c r="G689" s="12"/>
      <c r="H689" s="41"/>
      <c r="I689" s="30"/>
      <c r="J689" s="30"/>
      <c r="K689" s="97"/>
      <c r="L689" s="11"/>
      <c r="M689" s="11"/>
      <c r="N689" s="11"/>
      <c r="O689" s="11"/>
      <c r="P689" s="82"/>
    </row>
    <row r="690" spans="2:16" s="9" customFormat="1" x14ac:dyDescent="0.2">
      <c r="B690" s="10"/>
      <c r="C690" s="11"/>
      <c r="D690" s="63"/>
      <c r="E690" s="150"/>
      <c r="F690" s="65"/>
      <c r="G690" s="12"/>
      <c r="H690" s="41"/>
      <c r="I690" s="30"/>
      <c r="J690" s="30"/>
      <c r="K690" s="97"/>
      <c r="L690" s="11"/>
      <c r="M690" s="11"/>
      <c r="N690" s="11"/>
      <c r="O690" s="11"/>
      <c r="P690" s="82"/>
    </row>
    <row r="691" spans="2:16" s="9" customFormat="1" x14ac:dyDescent="0.2">
      <c r="B691" s="10"/>
      <c r="C691" s="11"/>
      <c r="D691" s="63"/>
      <c r="E691" s="150"/>
      <c r="F691" s="65"/>
      <c r="G691" s="12"/>
      <c r="H691" s="41"/>
      <c r="I691" s="30"/>
      <c r="J691" s="30"/>
      <c r="K691" s="97"/>
      <c r="L691" s="11"/>
      <c r="M691" s="11"/>
      <c r="N691" s="11"/>
      <c r="O691" s="11"/>
      <c r="P691" s="82"/>
    </row>
    <row r="692" spans="2:16" s="9" customFormat="1" x14ac:dyDescent="0.2">
      <c r="B692" s="10"/>
      <c r="C692" s="11"/>
      <c r="D692" s="63"/>
      <c r="E692" s="150"/>
      <c r="F692" s="65"/>
      <c r="G692" s="12"/>
      <c r="H692" s="41"/>
      <c r="I692" s="30"/>
      <c r="J692" s="30"/>
      <c r="K692" s="97"/>
      <c r="L692" s="11"/>
      <c r="M692" s="11"/>
      <c r="N692" s="11"/>
      <c r="O692" s="11"/>
      <c r="P692" s="82"/>
    </row>
    <row r="693" spans="2:16" s="9" customFormat="1" x14ac:dyDescent="0.2">
      <c r="B693" s="10"/>
      <c r="C693" s="11"/>
      <c r="D693" s="63"/>
      <c r="E693" s="150"/>
      <c r="F693" s="65"/>
      <c r="G693" s="12"/>
      <c r="H693" s="41"/>
      <c r="I693" s="30"/>
      <c r="J693" s="30"/>
      <c r="K693" s="97"/>
      <c r="L693" s="11"/>
      <c r="M693" s="11"/>
      <c r="N693" s="11"/>
      <c r="O693" s="11"/>
      <c r="P693" s="82"/>
    </row>
    <row r="694" spans="2:16" s="9" customFormat="1" x14ac:dyDescent="0.2">
      <c r="B694" s="10"/>
      <c r="C694" s="11"/>
      <c r="D694" s="63"/>
      <c r="E694" s="150"/>
      <c r="F694" s="65"/>
      <c r="G694" s="12"/>
      <c r="H694" s="41"/>
      <c r="I694" s="30"/>
      <c r="J694" s="30"/>
      <c r="K694" s="97"/>
      <c r="L694" s="11"/>
      <c r="M694" s="11"/>
      <c r="N694" s="11"/>
      <c r="O694" s="11"/>
      <c r="P694" s="82"/>
    </row>
    <row r="695" spans="2:16" s="9" customFormat="1" x14ac:dyDescent="0.2">
      <c r="B695" s="10"/>
      <c r="C695" s="11"/>
      <c r="D695" s="63"/>
      <c r="E695" s="150"/>
      <c r="F695" s="65"/>
      <c r="G695" s="12"/>
      <c r="H695" s="41"/>
      <c r="I695" s="30"/>
      <c r="J695" s="30"/>
      <c r="K695" s="97"/>
      <c r="L695" s="11"/>
      <c r="M695" s="11"/>
      <c r="N695" s="11"/>
      <c r="O695" s="11"/>
      <c r="P695" s="82"/>
    </row>
    <row r="696" spans="2:16" s="9" customFormat="1" x14ac:dyDescent="0.2">
      <c r="B696" s="10"/>
      <c r="C696" s="11"/>
      <c r="D696" s="63"/>
      <c r="E696" s="150"/>
      <c r="F696" s="65"/>
      <c r="G696" s="12"/>
      <c r="H696" s="41"/>
      <c r="I696" s="30"/>
      <c r="J696" s="30"/>
      <c r="K696" s="97"/>
      <c r="L696" s="11"/>
      <c r="M696" s="11"/>
      <c r="N696" s="11"/>
      <c r="O696" s="11"/>
      <c r="P696" s="82"/>
    </row>
    <row r="697" spans="2:16" s="9" customFormat="1" x14ac:dyDescent="0.2">
      <c r="B697" s="10"/>
      <c r="C697" s="11"/>
      <c r="D697" s="63"/>
      <c r="E697" s="150"/>
      <c r="F697" s="65"/>
      <c r="G697" s="12"/>
      <c r="H697" s="41"/>
      <c r="I697" s="30"/>
      <c r="J697" s="30"/>
      <c r="K697" s="97"/>
      <c r="L697" s="11"/>
      <c r="M697" s="11"/>
      <c r="N697" s="11"/>
      <c r="O697" s="11"/>
      <c r="P697" s="82"/>
    </row>
    <row r="698" spans="2:16" s="9" customFormat="1" x14ac:dyDescent="0.2">
      <c r="B698" s="10"/>
      <c r="C698" s="11"/>
      <c r="D698" s="63"/>
      <c r="E698" s="150"/>
      <c r="F698" s="65"/>
      <c r="G698" s="12"/>
      <c r="H698" s="41"/>
      <c r="I698" s="30"/>
      <c r="J698" s="30"/>
      <c r="K698" s="97"/>
      <c r="L698" s="11"/>
      <c r="M698" s="11"/>
      <c r="N698" s="11"/>
      <c r="O698" s="11"/>
      <c r="P698" s="82"/>
    </row>
    <row r="699" spans="2:16" s="9" customFormat="1" x14ac:dyDescent="0.2">
      <c r="B699" s="10"/>
      <c r="C699" s="11"/>
      <c r="D699" s="63"/>
      <c r="E699" s="150"/>
      <c r="F699" s="65"/>
      <c r="G699" s="12"/>
      <c r="H699" s="41"/>
      <c r="I699" s="30"/>
      <c r="J699" s="30"/>
      <c r="K699" s="97"/>
      <c r="L699" s="11"/>
      <c r="M699" s="11"/>
      <c r="N699" s="11"/>
      <c r="O699" s="11"/>
      <c r="P699" s="82"/>
    </row>
    <row r="700" spans="2:16" s="9" customFormat="1" x14ac:dyDescent="0.2">
      <c r="B700" s="10"/>
      <c r="C700" s="11"/>
      <c r="D700" s="63"/>
      <c r="E700" s="150"/>
      <c r="F700" s="65"/>
      <c r="G700" s="12"/>
      <c r="H700" s="41"/>
      <c r="I700" s="30"/>
      <c r="J700" s="30"/>
      <c r="K700" s="97"/>
      <c r="L700" s="11"/>
      <c r="M700" s="11"/>
      <c r="N700" s="11"/>
      <c r="O700" s="11"/>
      <c r="P700" s="82"/>
    </row>
    <row r="701" spans="2:16" s="9" customFormat="1" x14ac:dyDescent="0.2">
      <c r="B701" s="10"/>
      <c r="C701" s="11"/>
      <c r="D701" s="63"/>
      <c r="E701" s="150"/>
      <c r="F701" s="65"/>
      <c r="G701" s="12"/>
      <c r="H701" s="41"/>
      <c r="I701" s="30"/>
      <c r="J701" s="30"/>
      <c r="K701" s="97"/>
      <c r="L701" s="11"/>
      <c r="M701" s="11"/>
      <c r="N701" s="11"/>
      <c r="O701" s="11"/>
      <c r="P701" s="82"/>
    </row>
    <row r="702" spans="2:16" s="9" customFormat="1" x14ac:dyDescent="0.2">
      <c r="B702" s="10"/>
      <c r="C702" s="11"/>
      <c r="D702" s="63"/>
      <c r="E702" s="150"/>
      <c r="F702" s="65"/>
      <c r="G702" s="12"/>
      <c r="H702" s="41"/>
      <c r="I702" s="30"/>
      <c r="J702" s="30"/>
      <c r="K702" s="97"/>
      <c r="L702" s="11"/>
      <c r="M702" s="11"/>
      <c r="N702" s="11"/>
      <c r="O702" s="11"/>
      <c r="P702" s="82"/>
    </row>
    <row r="703" spans="2:16" s="9" customFormat="1" x14ac:dyDescent="0.2">
      <c r="B703" s="10"/>
      <c r="C703" s="11"/>
      <c r="D703" s="63"/>
      <c r="E703" s="150"/>
      <c r="F703" s="65"/>
      <c r="G703" s="12"/>
      <c r="H703" s="41"/>
      <c r="I703" s="30"/>
      <c r="J703" s="30"/>
      <c r="K703" s="97"/>
      <c r="L703" s="11"/>
      <c r="M703" s="11"/>
      <c r="N703" s="11"/>
      <c r="O703" s="11"/>
      <c r="P703" s="82"/>
    </row>
    <row r="704" spans="2:16" s="9" customFormat="1" x14ac:dyDescent="0.2">
      <c r="B704" s="10"/>
      <c r="C704" s="11"/>
      <c r="D704" s="63"/>
      <c r="E704" s="150"/>
      <c r="F704" s="65"/>
      <c r="G704" s="12"/>
      <c r="H704" s="41"/>
      <c r="I704" s="30"/>
      <c r="J704" s="30"/>
      <c r="K704" s="97"/>
      <c r="L704" s="11"/>
      <c r="M704" s="11"/>
      <c r="N704" s="11"/>
      <c r="O704" s="11"/>
      <c r="P704" s="82"/>
    </row>
    <row r="705" spans="2:16" s="9" customFormat="1" x14ac:dyDescent="0.2">
      <c r="B705" s="10"/>
      <c r="C705" s="11"/>
      <c r="D705" s="63"/>
      <c r="E705" s="150"/>
      <c r="F705" s="65"/>
      <c r="G705" s="12"/>
      <c r="H705" s="41"/>
      <c r="I705" s="30"/>
      <c r="J705" s="30"/>
      <c r="K705" s="97"/>
      <c r="L705" s="11"/>
      <c r="M705" s="11"/>
      <c r="N705" s="11"/>
      <c r="O705" s="11"/>
      <c r="P705" s="82"/>
    </row>
    <row r="706" spans="2:16" s="9" customFormat="1" x14ac:dyDescent="0.2">
      <c r="B706" s="10"/>
      <c r="C706" s="11"/>
      <c r="D706" s="63"/>
      <c r="E706" s="150"/>
      <c r="F706" s="65"/>
      <c r="G706" s="12"/>
      <c r="H706" s="41"/>
      <c r="I706" s="30"/>
      <c r="J706" s="30"/>
      <c r="K706" s="97"/>
      <c r="L706" s="11"/>
      <c r="M706" s="11"/>
      <c r="N706" s="11"/>
      <c r="O706" s="11"/>
      <c r="P706" s="82"/>
    </row>
    <row r="707" spans="2:16" s="9" customFormat="1" x14ac:dyDescent="0.2">
      <c r="B707" s="10"/>
      <c r="C707" s="11"/>
      <c r="D707" s="63"/>
      <c r="E707" s="150"/>
      <c r="F707" s="65"/>
      <c r="G707" s="12"/>
      <c r="H707" s="41"/>
      <c r="I707" s="30"/>
      <c r="J707" s="30"/>
      <c r="K707" s="97"/>
      <c r="L707" s="11"/>
      <c r="M707" s="11"/>
      <c r="N707" s="11"/>
      <c r="O707" s="11"/>
      <c r="P707" s="82"/>
    </row>
    <row r="708" spans="2:16" s="9" customFormat="1" x14ac:dyDescent="0.2">
      <c r="B708" s="10"/>
      <c r="C708" s="11"/>
      <c r="D708" s="63"/>
      <c r="E708" s="150"/>
      <c r="F708" s="65"/>
      <c r="G708" s="12"/>
      <c r="H708" s="41"/>
      <c r="I708" s="30"/>
      <c r="J708" s="30"/>
      <c r="K708" s="97"/>
      <c r="L708" s="11"/>
      <c r="M708" s="11"/>
      <c r="N708" s="11"/>
      <c r="O708" s="11"/>
      <c r="P708" s="82"/>
    </row>
    <row r="709" spans="2:16" s="9" customFormat="1" x14ac:dyDescent="0.2">
      <c r="B709" s="10"/>
      <c r="C709" s="11"/>
      <c r="D709" s="63"/>
      <c r="E709" s="150"/>
      <c r="F709" s="65"/>
      <c r="G709" s="12"/>
      <c r="H709" s="41"/>
      <c r="I709" s="30"/>
      <c r="J709" s="30"/>
      <c r="K709" s="97"/>
      <c r="L709" s="11"/>
      <c r="M709" s="11"/>
      <c r="N709" s="11"/>
      <c r="O709" s="11"/>
      <c r="P709" s="82"/>
    </row>
    <row r="710" spans="2:16" s="9" customFormat="1" x14ac:dyDescent="0.2">
      <c r="B710" s="10"/>
      <c r="C710" s="11"/>
      <c r="D710" s="63"/>
      <c r="E710" s="150"/>
      <c r="F710" s="65"/>
      <c r="G710" s="12"/>
      <c r="H710" s="41"/>
      <c r="I710" s="30"/>
      <c r="J710" s="30"/>
      <c r="K710" s="97"/>
      <c r="L710" s="11"/>
      <c r="M710" s="11"/>
      <c r="N710" s="11"/>
      <c r="O710" s="11"/>
      <c r="P710" s="82"/>
    </row>
    <row r="711" spans="2:16" s="9" customFormat="1" x14ac:dyDescent="0.2">
      <c r="B711" s="10"/>
      <c r="C711" s="11"/>
      <c r="D711" s="63"/>
      <c r="E711" s="150"/>
      <c r="F711" s="65"/>
      <c r="G711" s="12"/>
      <c r="H711" s="41"/>
      <c r="I711" s="30"/>
      <c r="J711" s="30"/>
      <c r="K711" s="97"/>
      <c r="L711" s="11"/>
      <c r="M711" s="11"/>
      <c r="N711" s="11"/>
      <c r="O711" s="11"/>
      <c r="P711" s="82"/>
    </row>
    <row r="712" spans="2:16" s="9" customFormat="1" x14ac:dyDescent="0.2">
      <c r="B712" s="10"/>
      <c r="C712" s="11"/>
      <c r="D712" s="63"/>
      <c r="E712" s="150"/>
      <c r="F712" s="65"/>
      <c r="G712" s="12"/>
      <c r="H712" s="41"/>
      <c r="I712" s="30"/>
      <c r="J712" s="30"/>
      <c r="K712" s="97"/>
      <c r="L712" s="11"/>
      <c r="M712" s="11"/>
      <c r="N712" s="11"/>
      <c r="O712" s="11"/>
      <c r="P712" s="82"/>
    </row>
    <row r="713" spans="2:16" s="9" customFormat="1" x14ac:dyDescent="0.2">
      <c r="B713" s="10"/>
      <c r="C713" s="11"/>
      <c r="D713" s="63"/>
      <c r="E713" s="150"/>
      <c r="F713" s="65"/>
      <c r="G713" s="12"/>
      <c r="H713" s="41"/>
      <c r="I713" s="30"/>
      <c r="J713" s="30"/>
      <c r="K713" s="97"/>
      <c r="L713" s="11"/>
      <c r="M713" s="11"/>
      <c r="N713" s="11"/>
      <c r="O713" s="11"/>
      <c r="P713" s="82"/>
    </row>
    <row r="714" spans="2:16" s="9" customFormat="1" x14ac:dyDescent="0.2">
      <c r="B714" s="10"/>
      <c r="C714" s="11"/>
      <c r="D714" s="63"/>
      <c r="E714" s="150"/>
      <c r="F714" s="65"/>
      <c r="G714" s="12"/>
      <c r="H714" s="41"/>
      <c r="I714" s="30"/>
      <c r="J714" s="30"/>
      <c r="K714" s="97"/>
      <c r="L714" s="11"/>
      <c r="M714" s="11"/>
      <c r="N714" s="11"/>
      <c r="O714" s="11"/>
      <c r="P714" s="82"/>
    </row>
    <row r="715" spans="2:16" s="9" customFormat="1" x14ac:dyDescent="0.2">
      <c r="B715" s="10"/>
      <c r="C715" s="11"/>
      <c r="D715" s="63"/>
      <c r="E715" s="150"/>
      <c r="F715" s="65"/>
      <c r="G715" s="12"/>
      <c r="H715" s="41"/>
      <c r="I715" s="30"/>
      <c r="J715" s="30"/>
      <c r="K715" s="97"/>
      <c r="L715" s="11"/>
      <c r="M715" s="11"/>
      <c r="N715" s="11"/>
      <c r="O715" s="11"/>
      <c r="P715" s="82"/>
    </row>
    <row r="716" spans="2:16" s="9" customFormat="1" x14ac:dyDescent="0.2">
      <c r="B716" s="10"/>
      <c r="C716" s="11"/>
      <c r="D716" s="63"/>
      <c r="E716" s="150"/>
      <c r="F716" s="65"/>
      <c r="G716" s="12"/>
      <c r="H716" s="41"/>
      <c r="I716" s="30"/>
      <c r="J716" s="30"/>
      <c r="K716" s="97"/>
      <c r="L716" s="11"/>
      <c r="M716" s="11"/>
      <c r="N716" s="11"/>
      <c r="O716" s="11"/>
      <c r="P716" s="82"/>
    </row>
    <row r="717" spans="2:16" s="9" customFormat="1" x14ac:dyDescent="0.2">
      <c r="B717" s="10"/>
      <c r="C717" s="11"/>
      <c r="D717" s="63"/>
      <c r="E717" s="150"/>
      <c r="F717" s="65"/>
      <c r="G717" s="12"/>
      <c r="H717" s="41"/>
      <c r="I717" s="30"/>
      <c r="J717" s="30"/>
      <c r="K717" s="97"/>
      <c r="L717" s="11"/>
      <c r="M717" s="11"/>
      <c r="N717" s="11"/>
      <c r="O717" s="11"/>
      <c r="P717" s="82"/>
    </row>
    <row r="718" spans="2:16" s="9" customFormat="1" x14ac:dyDescent="0.2">
      <c r="B718" s="10"/>
      <c r="C718" s="11"/>
      <c r="D718" s="63"/>
      <c r="E718" s="150"/>
      <c r="F718" s="65"/>
      <c r="G718" s="12"/>
      <c r="H718" s="41"/>
      <c r="I718" s="30"/>
      <c r="J718" s="30"/>
      <c r="K718" s="97"/>
      <c r="L718" s="11"/>
      <c r="M718" s="11"/>
      <c r="N718" s="11"/>
      <c r="O718" s="11"/>
      <c r="P718" s="82"/>
    </row>
    <row r="719" spans="2:16" s="9" customFormat="1" x14ac:dyDescent="0.2">
      <c r="B719" s="10"/>
      <c r="C719" s="11"/>
      <c r="D719" s="63"/>
      <c r="E719" s="150"/>
      <c r="F719" s="65"/>
      <c r="G719" s="12"/>
      <c r="H719" s="41"/>
      <c r="I719" s="30"/>
      <c r="J719" s="30"/>
      <c r="K719" s="97"/>
      <c r="L719" s="11"/>
      <c r="M719" s="11"/>
      <c r="N719" s="11"/>
      <c r="O719" s="11"/>
      <c r="P719" s="82"/>
    </row>
    <row r="720" spans="2:16" s="9" customFormat="1" x14ac:dyDescent="0.2">
      <c r="B720" s="10"/>
      <c r="C720" s="11"/>
      <c r="D720" s="63"/>
      <c r="E720" s="150"/>
      <c r="F720" s="65"/>
      <c r="G720" s="12"/>
      <c r="H720" s="41"/>
      <c r="I720" s="30"/>
      <c r="J720" s="30"/>
      <c r="K720" s="97"/>
      <c r="L720" s="11"/>
      <c r="M720" s="11"/>
      <c r="N720" s="11"/>
      <c r="O720" s="11"/>
      <c r="P720" s="82"/>
    </row>
    <row r="721" spans="2:16" s="9" customFormat="1" x14ac:dyDescent="0.2">
      <c r="B721" s="10"/>
      <c r="C721" s="11"/>
      <c r="D721" s="63"/>
      <c r="E721" s="150"/>
      <c r="F721" s="65"/>
      <c r="G721" s="12"/>
      <c r="H721" s="41"/>
      <c r="I721" s="30"/>
      <c r="J721" s="30"/>
      <c r="K721" s="97"/>
      <c r="L721" s="11"/>
      <c r="M721" s="11"/>
      <c r="N721" s="11"/>
      <c r="O721" s="11"/>
      <c r="P721" s="82"/>
    </row>
    <row r="722" spans="2:16" s="9" customFormat="1" x14ac:dyDescent="0.2">
      <c r="B722" s="10"/>
      <c r="C722" s="11"/>
      <c r="D722" s="63"/>
      <c r="E722" s="150"/>
      <c r="F722" s="65"/>
      <c r="G722" s="12"/>
      <c r="H722" s="41"/>
      <c r="I722" s="30"/>
      <c r="J722" s="30"/>
      <c r="K722" s="97"/>
      <c r="L722" s="11"/>
      <c r="M722" s="11"/>
      <c r="N722" s="11"/>
      <c r="O722" s="11"/>
      <c r="P722" s="82"/>
    </row>
    <row r="723" spans="2:16" s="9" customFormat="1" x14ac:dyDescent="0.2">
      <c r="B723" s="10"/>
      <c r="C723" s="11"/>
      <c r="D723" s="63"/>
      <c r="E723" s="150"/>
      <c r="F723" s="65"/>
      <c r="G723" s="12"/>
      <c r="H723" s="41"/>
      <c r="I723" s="30"/>
      <c r="J723" s="30"/>
      <c r="K723" s="97"/>
      <c r="L723" s="11"/>
      <c r="M723" s="11"/>
      <c r="N723" s="11"/>
      <c r="O723" s="11"/>
      <c r="P723" s="82"/>
    </row>
    <row r="724" spans="2:16" s="9" customFormat="1" x14ac:dyDescent="0.2">
      <c r="B724" s="10"/>
      <c r="C724" s="11"/>
      <c r="D724" s="63"/>
      <c r="E724" s="150"/>
      <c r="F724" s="65"/>
      <c r="G724" s="12"/>
      <c r="H724" s="41"/>
      <c r="I724" s="30"/>
      <c r="J724" s="30"/>
      <c r="K724" s="97"/>
      <c r="L724" s="11"/>
      <c r="M724" s="11"/>
      <c r="N724" s="11"/>
      <c r="O724" s="11"/>
      <c r="P724" s="82"/>
    </row>
    <row r="725" spans="2:16" s="9" customFormat="1" x14ac:dyDescent="0.2">
      <c r="B725" s="10"/>
      <c r="C725" s="11"/>
      <c r="D725" s="63"/>
      <c r="E725" s="150"/>
      <c r="F725" s="65"/>
      <c r="G725" s="12"/>
      <c r="H725" s="41"/>
      <c r="I725" s="30"/>
      <c r="J725" s="30"/>
      <c r="K725" s="97"/>
      <c r="L725" s="11"/>
      <c r="M725" s="11"/>
      <c r="N725" s="11"/>
      <c r="O725" s="11"/>
      <c r="P725" s="82"/>
    </row>
    <row r="726" spans="2:16" s="9" customFormat="1" x14ac:dyDescent="0.2">
      <c r="B726" s="10"/>
      <c r="C726" s="11"/>
      <c r="D726" s="63"/>
      <c r="E726" s="150"/>
      <c r="F726" s="65"/>
      <c r="G726" s="12"/>
      <c r="H726" s="41"/>
      <c r="I726" s="30"/>
      <c r="J726" s="30"/>
      <c r="K726" s="97"/>
      <c r="L726" s="11"/>
      <c r="M726" s="11"/>
      <c r="N726" s="11"/>
      <c r="O726" s="11"/>
      <c r="P726" s="82"/>
    </row>
    <row r="727" spans="2:16" s="9" customFormat="1" x14ac:dyDescent="0.2">
      <c r="B727" s="10"/>
      <c r="C727" s="11"/>
      <c r="D727" s="63"/>
      <c r="E727" s="150"/>
      <c r="F727" s="65"/>
      <c r="G727" s="12"/>
      <c r="H727" s="41"/>
      <c r="I727" s="30"/>
      <c r="J727" s="30"/>
      <c r="K727" s="97"/>
      <c r="L727" s="11"/>
      <c r="M727" s="11"/>
      <c r="N727" s="11"/>
      <c r="O727" s="11"/>
      <c r="P727" s="82"/>
    </row>
    <row r="728" spans="2:16" s="9" customFormat="1" x14ac:dyDescent="0.2">
      <c r="B728" s="10"/>
      <c r="C728" s="11"/>
      <c r="D728" s="63"/>
      <c r="E728" s="150"/>
      <c r="F728" s="65"/>
      <c r="G728" s="12"/>
      <c r="H728" s="41"/>
      <c r="I728" s="30"/>
      <c r="J728" s="30"/>
      <c r="K728" s="97"/>
      <c r="L728" s="11"/>
      <c r="M728" s="11"/>
      <c r="N728" s="11"/>
      <c r="O728" s="11"/>
      <c r="P728" s="82"/>
    </row>
    <row r="729" spans="2:16" s="9" customFormat="1" x14ac:dyDescent="0.2">
      <c r="B729" s="10"/>
      <c r="C729" s="11"/>
      <c r="D729" s="63"/>
      <c r="E729" s="150"/>
      <c r="F729" s="65"/>
      <c r="G729" s="12"/>
      <c r="H729" s="41"/>
      <c r="I729" s="30"/>
      <c r="J729" s="30"/>
      <c r="K729" s="97"/>
      <c r="L729" s="11"/>
      <c r="M729" s="11"/>
      <c r="N729" s="11"/>
      <c r="O729" s="11"/>
      <c r="P729" s="82"/>
    </row>
    <row r="730" spans="2:16" s="9" customFormat="1" x14ac:dyDescent="0.2">
      <c r="B730" s="10"/>
      <c r="C730" s="11"/>
      <c r="D730" s="63"/>
      <c r="E730" s="150"/>
      <c r="F730" s="65"/>
      <c r="G730" s="12"/>
      <c r="H730" s="41"/>
      <c r="I730" s="30"/>
      <c r="J730" s="30"/>
      <c r="K730" s="97"/>
      <c r="L730" s="11"/>
      <c r="M730" s="11"/>
      <c r="N730" s="11"/>
      <c r="O730" s="11"/>
      <c r="P730" s="82"/>
    </row>
    <row r="731" spans="2:16" s="9" customFormat="1" x14ac:dyDescent="0.2">
      <c r="B731" s="10"/>
      <c r="C731" s="11"/>
      <c r="D731" s="63"/>
      <c r="E731" s="150"/>
      <c r="F731" s="65"/>
      <c r="G731" s="12"/>
      <c r="H731" s="41"/>
      <c r="I731" s="30"/>
      <c r="J731" s="30"/>
      <c r="K731" s="97"/>
      <c r="L731" s="11"/>
      <c r="M731" s="11"/>
      <c r="N731" s="11"/>
      <c r="O731" s="11"/>
      <c r="P731" s="82"/>
    </row>
    <row r="732" spans="2:16" s="9" customFormat="1" x14ac:dyDescent="0.2">
      <c r="B732" s="10"/>
      <c r="C732" s="11"/>
      <c r="D732" s="63"/>
      <c r="E732" s="150"/>
      <c r="F732" s="65"/>
      <c r="G732" s="12"/>
      <c r="H732" s="41"/>
      <c r="I732" s="30"/>
      <c r="J732" s="30"/>
      <c r="K732" s="97"/>
      <c r="L732" s="11"/>
      <c r="M732" s="11"/>
      <c r="N732" s="11"/>
      <c r="O732" s="11"/>
      <c r="P732" s="82"/>
    </row>
    <row r="733" spans="2:16" s="9" customFormat="1" x14ac:dyDescent="0.2">
      <c r="B733" s="10"/>
      <c r="C733" s="11"/>
      <c r="D733" s="63"/>
      <c r="E733" s="150"/>
      <c r="F733" s="65"/>
      <c r="G733" s="12"/>
      <c r="H733" s="41"/>
      <c r="I733" s="30"/>
      <c r="J733" s="30"/>
      <c r="K733" s="97"/>
      <c r="L733" s="11"/>
      <c r="M733" s="11"/>
      <c r="N733" s="11"/>
      <c r="O733" s="11"/>
      <c r="P733" s="82"/>
    </row>
    <row r="734" spans="2:16" s="9" customFormat="1" x14ac:dyDescent="0.2">
      <c r="B734" s="10"/>
      <c r="C734" s="11"/>
      <c r="D734" s="63"/>
      <c r="E734" s="150"/>
      <c r="F734" s="65"/>
      <c r="G734" s="12"/>
      <c r="H734" s="41"/>
      <c r="I734" s="30"/>
      <c r="J734" s="30"/>
      <c r="K734" s="97"/>
      <c r="L734" s="11"/>
      <c r="M734" s="11"/>
      <c r="N734" s="11"/>
      <c r="O734" s="11"/>
      <c r="P734" s="82"/>
    </row>
    <row r="735" spans="2:16" s="9" customFormat="1" x14ac:dyDescent="0.2">
      <c r="B735" s="10"/>
      <c r="C735" s="11"/>
      <c r="D735" s="63"/>
      <c r="E735" s="150"/>
      <c r="F735" s="65"/>
      <c r="G735" s="12"/>
      <c r="H735" s="41"/>
      <c r="I735" s="30"/>
      <c r="J735" s="30"/>
      <c r="K735" s="97"/>
      <c r="L735" s="11"/>
      <c r="M735" s="11"/>
      <c r="N735" s="11"/>
      <c r="O735" s="11"/>
      <c r="P735" s="82"/>
    </row>
    <row r="736" spans="2:16" s="9" customFormat="1" x14ac:dyDescent="0.2">
      <c r="B736" s="10"/>
      <c r="C736" s="11"/>
      <c r="D736" s="63"/>
      <c r="E736" s="150"/>
      <c r="F736" s="65"/>
      <c r="G736" s="12"/>
      <c r="H736" s="41"/>
      <c r="I736" s="30"/>
      <c r="J736" s="30"/>
      <c r="K736" s="97"/>
      <c r="L736" s="11"/>
      <c r="M736" s="11"/>
      <c r="N736" s="11"/>
      <c r="O736" s="11"/>
      <c r="P736" s="82"/>
    </row>
    <row r="737" spans="2:16" s="9" customFormat="1" x14ac:dyDescent="0.2">
      <c r="B737" s="10"/>
      <c r="C737" s="11"/>
      <c r="D737" s="63"/>
      <c r="E737" s="150"/>
      <c r="F737" s="65"/>
      <c r="G737" s="12"/>
      <c r="H737" s="41"/>
      <c r="I737" s="30"/>
      <c r="J737" s="30"/>
      <c r="K737" s="97"/>
      <c r="L737" s="11"/>
      <c r="M737" s="11"/>
      <c r="N737" s="11"/>
      <c r="O737" s="11"/>
      <c r="P737" s="82"/>
    </row>
    <row r="738" spans="2:16" s="9" customFormat="1" x14ac:dyDescent="0.2">
      <c r="B738" s="10"/>
      <c r="C738" s="11"/>
      <c r="D738" s="63"/>
      <c r="E738" s="150"/>
      <c r="F738" s="65"/>
      <c r="G738" s="12"/>
      <c r="H738" s="41"/>
      <c r="I738" s="30"/>
      <c r="J738" s="30"/>
      <c r="K738" s="97"/>
      <c r="L738" s="11"/>
      <c r="M738" s="11"/>
      <c r="N738" s="11"/>
      <c r="O738" s="11"/>
      <c r="P738" s="82"/>
    </row>
    <row r="739" spans="2:16" s="9" customFormat="1" x14ac:dyDescent="0.2">
      <c r="B739" s="10"/>
      <c r="C739" s="11"/>
      <c r="D739" s="63"/>
      <c r="E739" s="150"/>
      <c r="F739" s="65"/>
      <c r="G739" s="12"/>
      <c r="H739" s="41"/>
      <c r="I739" s="30"/>
      <c r="J739" s="30"/>
      <c r="K739" s="97"/>
      <c r="L739" s="11"/>
      <c r="M739" s="11"/>
      <c r="N739" s="11"/>
      <c r="O739" s="11"/>
      <c r="P739" s="82"/>
    </row>
    <row r="740" spans="2:16" s="9" customFormat="1" x14ac:dyDescent="0.2">
      <c r="B740" s="10"/>
      <c r="C740" s="11"/>
      <c r="D740" s="63"/>
      <c r="E740" s="150"/>
      <c r="F740" s="65"/>
      <c r="G740" s="12"/>
      <c r="H740" s="41"/>
      <c r="I740" s="30"/>
      <c r="J740" s="30"/>
      <c r="K740" s="97"/>
      <c r="L740" s="11"/>
      <c r="M740" s="11"/>
      <c r="N740" s="11"/>
      <c r="O740" s="11"/>
      <c r="P740" s="82"/>
    </row>
    <row r="741" spans="2:16" s="9" customFormat="1" x14ac:dyDescent="0.2">
      <c r="B741" s="10"/>
      <c r="C741" s="11"/>
      <c r="D741" s="63"/>
      <c r="E741" s="150"/>
      <c r="F741" s="65"/>
      <c r="G741" s="12"/>
      <c r="H741" s="41"/>
      <c r="I741" s="30"/>
      <c r="J741" s="30"/>
      <c r="K741" s="97"/>
      <c r="L741" s="11"/>
      <c r="M741" s="11"/>
      <c r="N741" s="11"/>
      <c r="O741" s="11"/>
      <c r="P741" s="82"/>
    </row>
    <row r="742" spans="2:16" s="9" customFormat="1" x14ac:dyDescent="0.2">
      <c r="B742" s="10"/>
      <c r="C742" s="11"/>
      <c r="D742" s="63"/>
      <c r="E742" s="150"/>
      <c r="F742" s="65"/>
      <c r="G742" s="12"/>
      <c r="H742" s="41"/>
      <c r="I742" s="30"/>
      <c r="J742" s="30"/>
      <c r="K742" s="97"/>
      <c r="L742" s="11"/>
      <c r="M742" s="11"/>
      <c r="N742" s="11"/>
      <c r="O742" s="11"/>
      <c r="P742" s="82"/>
    </row>
    <row r="743" spans="2:16" s="9" customFormat="1" x14ac:dyDescent="0.2">
      <c r="B743" s="10"/>
      <c r="C743" s="11"/>
      <c r="D743" s="63"/>
      <c r="E743" s="150"/>
      <c r="F743" s="65"/>
      <c r="G743" s="12"/>
      <c r="H743" s="41"/>
      <c r="I743" s="30"/>
      <c r="J743" s="30"/>
      <c r="K743" s="97"/>
      <c r="L743" s="11"/>
      <c r="M743" s="11"/>
      <c r="N743" s="11"/>
      <c r="O743" s="11"/>
      <c r="P743" s="82"/>
    </row>
    <row r="744" spans="2:16" s="9" customFormat="1" x14ac:dyDescent="0.2">
      <c r="B744" s="10"/>
      <c r="C744" s="11"/>
      <c r="D744" s="63"/>
      <c r="E744" s="150"/>
      <c r="F744" s="65"/>
      <c r="G744" s="12"/>
      <c r="H744" s="41"/>
      <c r="I744" s="30"/>
      <c r="J744" s="30"/>
      <c r="K744" s="97"/>
      <c r="L744" s="11"/>
      <c r="M744" s="11"/>
      <c r="N744" s="11"/>
      <c r="O744" s="11"/>
      <c r="P744" s="82"/>
    </row>
    <row r="745" spans="2:16" s="9" customFormat="1" x14ac:dyDescent="0.2">
      <c r="B745" s="10"/>
      <c r="C745" s="11"/>
      <c r="D745" s="63"/>
      <c r="E745" s="150"/>
      <c r="F745" s="65"/>
      <c r="G745" s="12"/>
      <c r="H745" s="41"/>
      <c r="I745" s="30"/>
      <c r="J745" s="30"/>
      <c r="K745" s="97"/>
      <c r="L745" s="11"/>
      <c r="M745" s="11"/>
      <c r="N745" s="11"/>
      <c r="O745" s="11"/>
      <c r="P745" s="82"/>
    </row>
    <row r="746" spans="2:16" s="9" customFormat="1" x14ac:dyDescent="0.2">
      <c r="B746" s="10"/>
      <c r="C746" s="11"/>
      <c r="D746" s="63"/>
      <c r="E746" s="150"/>
      <c r="F746" s="65"/>
      <c r="G746" s="12"/>
      <c r="H746" s="41"/>
      <c r="I746" s="30"/>
      <c r="J746" s="30"/>
      <c r="K746" s="97"/>
      <c r="L746" s="11"/>
      <c r="M746" s="11"/>
      <c r="N746" s="11"/>
      <c r="O746" s="11"/>
      <c r="P746" s="82"/>
    </row>
    <row r="747" spans="2:16" s="9" customFormat="1" x14ac:dyDescent="0.2">
      <c r="B747" s="10"/>
      <c r="C747" s="11"/>
      <c r="D747" s="63"/>
      <c r="E747" s="150"/>
      <c r="F747" s="65"/>
      <c r="G747" s="12"/>
      <c r="H747" s="41"/>
      <c r="I747" s="30"/>
      <c r="J747" s="30"/>
      <c r="K747" s="97"/>
      <c r="L747" s="11"/>
      <c r="M747" s="11"/>
      <c r="N747" s="11"/>
      <c r="O747" s="11"/>
      <c r="P747" s="82"/>
    </row>
    <row r="748" spans="2:16" s="9" customFormat="1" x14ac:dyDescent="0.2">
      <c r="B748" s="10"/>
      <c r="C748" s="11"/>
      <c r="D748" s="63"/>
      <c r="E748" s="150"/>
      <c r="F748" s="65"/>
      <c r="G748" s="12"/>
      <c r="H748" s="41"/>
      <c r="I748" s="30"/>
      <c r="J748" s="30"/>
      <c r="K748" s="97"/>
      <c r="L748" s="11"/>
      <c r="M748" s="11"/>
      <c r="N748" s="11"/>
      <c r="O748" s="11"/>
      <c r="P748" s="82"/>
    </row>
    <row r="749" spans="2:16" s="9" customFormat="1" x14ac:dyDescent="0.2">
      <c r="B749" s="10"/>
      <c r="C749" s="11"/>
      <c r="D749" s="63"/>
      <c r="E749" s="150"/>
      <c r="F749" s="65"/>
      <c r="G749" s="12"/>
      <c r="H749" s="41"/>
      <c r="I749" s="30"/>
      <c r="J749" s="30"/>
      <c r="K749" s="97"/>
      <c r="L749" s="11"/>
      <c r="M749" s="11"/>
      <c r="N749" s="11"/>
      <c r="O749" s="11"/>
      <c r="P749" s="82"/>
    </row>
    <row r="750" spans="2:16" s="9" customFormat="1" x14ac:dyDescent="0.2">
      <c r="B750" s="10"/>
      <c r="C750" s="11"/>
      <c r="D750" s="63"/>
      <c r="E750" s="150"/>
      <c r="F750" s="65"/>
      <c r="G750" s="12"/>
      <c r="H750" s="41"/>
      <c r="I750" s="30"/>
      <c r="J750" s="30"/>
      <c r="K750" s="97"/>
      <c r="L750" s="11"/>
      <c r="M750" s="11"/>
      <c r="N750" s="11"/>
      <c r="O750" s="11"/>
      <c r="P750" s="82"/>
    </row>
    <row r="751" spans="2:16" s="9" customFormat="1" x14ac:dyDescent="0.2">
      <c r="B751" s="10"/>
      <c r="C751" s="11"/>
      <c r="D751" s="63"/>
      <c r="E751" s="150"/>
      <c r="F751" s="65"/>
      <c r="G751" s="12"/>
      <c r="H751" s="41"/>
      <c r="I751" s="30"/>
      <c r="J751" s="30"/>
      <c r="K751" s="97"/>
      <c r="L751" s="11"/>
      <c r="M751" s="11"/>
      <c r="N751" s="11"/>
      <c r="O751" s="11"/>
      <c r="P751" s="82"/>
    </row>
    <row r="752" spans="2:16" s="9" customFormat="1" x14ac:dyDescent="0.2">
      <c r="B752" s="10"/>
      <c r="C752" s="11"/>
      <c r="D752" s="63"/>
      <c r="E752" s="150"/>
      <c r="F752" s="65"/>
      <c r="G752" s="12"/>
      <c r="H752" s="41"/>
      <c r="I752" s="30"/>
      <c r="J752" s="30"/>
      <c r="K752" s="97"/>
      <c r="L752" s="11"/>
      <c r="M752" s="11"/>
      <c r="N752" s="11"/>
      <c r="O752" s="11"/>
      <c r="P752" s="82"/>
    </row>
    <row r="753" spans="2:16" s="9" customFormat="1" x14ac:dyDescent="0.2">
      <c r="B753" s="10"/>
      <c r="C753" s="11"/>
      <c r="D753" s="63"/>
      <c r="E753" s="150"/>
      <c r="F753" s="65"/>
      <c r="G753" s="12"/>
      <c r="H753" s="41"/>
      <c r="I753" s="30"/>
      <c r="J753" s="30"/>
      <c r="K753" s="97"/>
      <c r="L753" s="11"/>
      <c r="M753" s="11"/>
      <c r="N753" s="11"/>
      <c r="O753" s="11"/>
      <c r="P753" s="82"/>
    </row>
    <row r="754" spans="2:16" s="9" customFormat="1" x14ac:dyDescent="0.2">
      <c r="B754" s="10"/>
      <c r="C754" s="11"/>
      <c r="D754" s="63"/>
      <c r="E754" s="150"/>
      <c r="F754" s="65"/>
      <c r="G754" s="12"/>
      <c r="H754" s="41"/>
      <c r="I754" s="30"/>
      <c r="J754" s="30"/>
      <c r="K754" s="97"/>
      <c r="L754" s="11"/>
      <c r="M754" s="11"/>
      <c r="N754" s="11"/>
      <c r="O754" s="11"/>
      <c r="P754" s="82"/>
    </row>
    <row r="755" spans="2:16" s="9" customFormat="1" x14ac:dyDescent="0.2">
      <c r="B755" s="10"/>
      <c r="C755" s="11"/>
      <c r="D755" s="63"/>
      <c r="E755" s="150"/>
      <c r="F755" s="65"/>
      <c r="G755" s="12"/>
      <c r="H755" s="41"/>
      <c r="I755" s="30"/>
      <c r="J755" s="30"/>
      <c r="K755" s="97"/>
      <c r="L755" s="11"/>
      <c r="M755" s="11"/>
      <c r="N755" s="11"/>
      <c r="O755" s="11"/>
      <c r="P755" s="82"/>
    </row>
    <row r="756" spans="2:16" s="9" customFormat="1" x14ac:dyDescent="0.2">
      <c r="B756" s="10"/>
      <c r="C756" s="11"/>
      <c r="D756" s="63"/>
      <c r="E756" s="150"/>
      <c r="F756" s="65"/>
      <c r="G756" s="12"/>
      <c r="H756" s="41"/>
      <c r="I756" s="30"/>
      <c r="J756" s="30"/>
      <c r="K756" s="97"/>
      <c r="L756" s="11"/>
      <c r="M756" s="11"/>
      <c r="N756" s="11"/>
      <c r="O756" s="11"/>
      <c r="P756" s="82"/>
    </row>
    <row r="757" spans="2:16" s="9" customFormat="1" x14ac:dyDescent="0.2">
      <c r="B757" s="10"/>
      <c r="C757" s="11"/>
      <c r="D757" s="63"/>
      <c r="E757" s="150"/>
      <c r="F757" s="65"/>
      <c r="G757" s="12"/>
      <c r="H757" s="41"/>
      <c r="I757" s="30"/>
      <c r="J757" s="30"/>
      <c r="K757" s="97"/>
      <c r="L757" s="11"/>
      <c r="M757" s="11"/>
      <c r="N757" s="11"/>
      <c r="O757" s="11"/>
      <c r="P757" s="82"/>
    </row>
    <row r="758" spans="2:16" s="9" customFormat="1" x14ac:dyDescent="0.2">
      <c r="B758" s="10"/>
      <c r="C758" s="11"/>
      <c r="D758" s="63"/>
      <c r="E758" s="150"/>
      <c r="F758" s="65"/>
      <c r="G758" s="12"/>
      <c r="H758" s="41"/>
      <c r="I758" s="30"/>
      <c r="J758" s="30"/>
      <c r="K758" s="97"/>
      <c r="L758" s="11"/>
      <c r="M758" s="11"/>
      <c r="N758" s="11"/>
      <c r="O758" s="11"/>
      <c r="P758" s="82"/>
    </row>
    <row r="759" spans="2:16" s="9" customFormat="1" x14ac:dyDescent="0.2">
      <c r="B759" s="10"/>
      <c r="C759" s="11"/>
      <c r="D759" s="63"/>
      <c r="E759" s="150"/>
      <c r="F759" s="65"/>
      <c r="G759" s="12"/>
      <c r="H759" s="41"/>
      <c r="I759" s="30"/>
      <c r="J759" s="30"/>
      <c r="K759" s="97"/>
      <c r="L759" s="11"/>
      <c r="M759" s="11"/>
      <c r="N759" s="11"/>
      <c r="O759" s="11"/>
      <c r="P759" s="82"/>
    </row>
    <row r="760" spans="2:16" s="9" customFormat="1" x14ac:dyDescent="0.2">
      <c r="B760" s="10"/>
      <c r="C760" s="11"/>
      <c r="D760" s="63"/>
      <c r="E760" s="150"/>
      <c r="F760" s="65"/>
      <c r="G760" s="12"/>
      <c r="H760" s="41"/>
      <c r="I760" s="30"/>
      <c r="J760" s="30"/>
      <c r="K760" s="97"/>
      <c r="L760" s="11"/>
      <c r="M760" s="11"/>
      <c r="N760" s="11"/>
      <c r="O760" s="11"/>
      <c r="P760" s="82"/>
    </row>
    <row r="761" spans="2:16" s="9" customFormat="1" x14ac:dyDescent="0.2">
      <c r="B761" s="10"/>
      <c r="C761" s="11"/>
      <c r="D761" s="63"/>
      <c r="E761" s="150"/>
      <c r="F761" s="65"/>
      <c r="G761" s="12"/>
      <c r="H761" s="41"/>
      <c r="I761" s="30"/>
      <c r="J761" s="30"/>
      <c r="K761" s="97"/>
      <c r="L761" s="11"/>
      <c r="M761" s="11"/>
      <c r="N761" s="11"/>
      <c r="O761" s="11"/>
      <c r="P761" s="82"/>
    </row>
    <row r="762" spans="2:16" s="9" customFormat="1" x14ac:dyDescent="0.2">
      <c r="B762" s="10"/>
      <c r="C762" s="11"/>
      <c r="D762" s="63"/>
      <c r="E762" s="150"/>
      <c r="F762" s="65"/>
      <c r="G762" s="12"/>
      <c r="H762" s="41"/>
      <c r="I762" s="30"/>
      <c r="J762" s="30"/>
      <c r="K762" s="97"/>
      <c r="L762" s="11"/>
      <c r="M762" s="11"/>
      <c r="N762" s="11"/>
      <c r="O762" s="11"/>
      <c r="P762" s="82"/>
    </row>
    <row r="763" spans="2:16" s="9" customFormat="1" x14ac:dyDescent="0.2">
      <c r="B763" s="10"/>
      <c r="C763" s="11"/>
      <c r="D763" s="63"/>
      <c r="E763" s="150"/>
      <c r="F763" s="65"/>
      <c r="G763" s="12"/>
      <c r="H763" s="41"/>
      <c r="I763" s="30"/>
      <c r="J763" s="30"/>
      <c r="K763" s="97"/>
      <c r="L763" s="11"/>
      <c r="M763" s="11"/>
      <c r="N763" s="11"/>
      <c r="O763" s="11"/>
      <c r="P763" s="82"/>
    </row>
    <row r="764" spans="2:16" s="9" customFormat="1" x14ac:dyDescent="0.2">
      <c r="B764" s="10"/>
      <c r="C764" s="11"/>
      <c r="D764" s="63"/>
      <c r="E764" s="150"/>
      <c r="F764" s="65"/>
      <c r="G764" s="12"/>
      <c r="H764" s="41"/>
      <c r="I764" s="30"/>
      <c r="J764" s="30"/>
      <c r="K764" s="97"/>
      <c r="L764" s="11"/>
      <c r="M764" s="11"/>
      <c r="N764" s="11"/>
      <c r="O764" s="11"/>
      <c r="P764" s="82"/>
    </row>
    <row r="765" spans="2:16" s="9" customFormat="1" x14ac:dyDescent="0.2">
      <c r="B765" s="10"/>
      <c r="C765" s="11"/>
      <c r="D765" s="63"/>
      <c r="E765" s="150"/>
      <c r="F765" s="65"/>
      <c r="G765" s="12"/>
      <c r="H765" s="41"/>
      <c r="I765" s="30"/>
      <c r="J765" s="30"/>
      <c r="K765" s="97"/>
      <c r="L765" s="11"/>
      <c r="M765" s="11"/>
      <c r="N765" s="11"/>
      <c r="O765" s="11"/>
      <c r="P765" s="82"/>
    </row>
    <row r="766" spans="2:16" s="9" customFormat="1" x14ac:dyDescent="0.2">
      <c r="B766" s="10"/>
      <c r="C766" s="11"/>
      <c r="D766" s="63"/>
      <c r="E766" s="150"/>
      <c r="F766" s="65"/>
      <c r="G766" s="12"/>
      <c r="H766" s="41"/>
      <c r="I766" s="30"/>
      <c r="J766" s="30"/>
      <c r="K766" s="97"/>
      <c r="L766" s="11"/>
      <c r="M766" s="11"/>
      <c r="N766" s="11"/>
      <c r="O766" s="11"/>
      <c r="P766" s="82"/>
    </row>
    <row r="767" spans="2:16" s="9" customFormat="1" x14ac:dyDescent="0.2">
      <c r="B767" s="10"/>
      <c r="C767" s="11"/>
      <c r="D767" s="63"/>
      <c r="E767" s="150"/>
      <c r="F767" s="65"/>
      <c r="G767" s="12"/>
      <c r="H767" s="41"/>
      <c r="I767" s="30"/>
      <c r="J767" s="30"/>
      <c r="K767" s="97"/>
      <c r="L767" s="11"/>
      <c r="M767" s="11"/>
      <c r="N767" s="11"/>
      <c r="O767" s="11"/>
      <c r="P767" s="82"/>
    </row>
    <row r="768" spans="2:16" s="9" customFormat="1" x14ac:dyDescent="0.2">
      <c r="B768" s="10"/>
      <c r="C768" s="11"/>
      <c r="D768" s="63"/>
      <c r="E768" s="150"/>
      <c r="F768" s="65"/>
      <c r="G768" s="12"/>
      <c r="H768" s="41"/>
      <c r="I768" s="30"/>
      <c r="J768" s="30"/>
      <c r="K768" s="97"/>
      <c r="L768" s="11"/>
      <c r="M768" s="11"/>
      <c r="N768" s="11"/>
      <c r="O768" s="11"/>
      <c r="P768" s="82"/>
    </row>
    <row r="769" spans="2:16" s="9" customFormat="1" x14ac:dyDescent="0.2">
      <c r="B769" s="10"/>
      <c r="C769" s="11"/>
      <c r="D769" s="63"/>
      <c r="E769" s="150"/>
      <c r="F769" s="65"/>
      <c r="G769" s="12"/>
      <c r="H769" s="41"/>
      <c r="I769" s="30"/>
      <c r="J769" s="30"/>
      <c r="K769" s="97"/>
      <c r="L769" s="11"/>
      <c r="M769" s="11"/>
      <c r="N769" s="11"/>
      <c r="O769" s="11"/>
      <c r="P769" s="82"/>
    </row>
    <row r="770" spans="2:16" s="9" customFormat="1" x14ac:dyDescent="0.2">
      <c r="B770" s="10"/>
      <c r="C770" s="11"/>
      <c r="D770" s="63"/>
      <c r="E770" s="150"/>
      <c r="F770" s="65"/>
      <c r="G770" s="12"/>
      <c r="H770" s="41"/>
      <c r="I770" s="30"/>
      <c r="J770" s="30"/>
      <c r="K770" s="97"/>
      <c r="L770" s="11"/>
      <c r="M770" s="11"/>
      <c r="N770" s="11"/>
      <c r="O770" s="11"/>
      <c r="P770" s="82"/>
    </row>
    <row r="771" spans="2:16" s="9" customFormat="1" x14ac:dyDescent="0.2">
      <c r="B771" s="10"/>
      <c r="C771" s="11"/>
      <c r="D771" s="63"/>
      <c r="E771" s="150"/>
      <c r="F771" s="65"/>
      <c r="G771" s="12"/>
      <c r="H771" s="41"/>
      <c r="I771" s="30"/>
      <c r="J771" s="30"/>
      <c r="K771" s="97"/>
      <c r="L771" s="11"/>
      <c r="M771" s="11"/>
      <c r="N771" s="11"/>
      <c r="O771" s="11"/>
      <c r="P771" s="82"/>
    </row>
    <row r="772" spans="2:16" s="9" customFormat="1" x14ac:dyDescent="0.2">
      <c r="B772" s="10"/>
      <c r="C772" s="11"/>
      <c r="D772" s="63"/>
      <c r="E772" s="150"/>
      <c r="F772" s="65"/>
      <c r="G772" s="12"/>
      <c r="H772" s="41"/>
      <c r="I772" s="30"/>
      <c r="J772" s="30"/>
      <c r="K772" s="97"/>
      <c r="L772" s="11"/>
      <c r="M772" s="11"/>
      <c r="N772" s="11"/>
      <c r="O772" s="11"/>
      <c r="P772" s="82"/>
    </row>
    <row r="773" spans="2:16" s="9" customFormat="1" x14ac:dyDescent="0.2">
      <c r="B773" s="10"/>
      <c r="C773" s="11"/>
      <c r="D773" s="63"/>
      <c r="E773" s="150"/>
      <c r="F773" s="65"/>
      <c r="G773" s="12"/>
      <c r="H773" s="41"/>
      <c r="I773" s="30"/>
      <c r="J773" s="30"/>
      <c r="K773" s="97"/>
      <c r="L773" s="11"/>
      <c r="M773" s="11"/>
      <c r="N773" s="11"/>
      <c r="O773" s="11"/>
      <c r="P773" s="82"/>
    </row>
    <row r="774" spans="2:16" s="9" customFormat="1" x14ac:dyDescent="0.2">
      <c r="B774" s="10"/>
      <c r="C774" s="11"/>
      <c r="D774" s="63"/>
      <c r="E774" s="150"/>
      <c r="F774" s="65"/>
      <c r="G774" s="12"/>
      <c r="H774" s="41"/>
      <c r="I774" s="30"/>
      <c r="J774" s="30"/>
      <c r="K774" s="97"/>
      <c r="L774" s="11"/>
      <c r="M774" s="11"/>
      <c r="N774" s="11"/>
      <c r="O774" s="11"/>
      <c r="P774" s="82"/>
    </row>
    <row r="775" spans="2:16" s="9" customFormat="1" x14ac:dyDescent="0.2">
      <c r="B775" s="10"/>
      <c r="C775" s="11"/>
      <c r="D775" s="63"/>
      <c r="E775" s="150"/>
      <c r="F775" s="65"/>
      <c r="G775" s="12"/>
      <c r="H775" s="41"/>
      <c r="I775" s="30"/>
      <c r="J775" s="30"/>
      <c r="K775" s="97"/>
      <c r="L775" s="11"/>
      <c r="M775" s="11"/>
      <c r="N775" s="11"/>
      <c r="O775" s="11"/>
      <c r="P775" s="82"/>
    </row>
    <row r="776" spans="2:16" s="9" customFormat="1" x14ac:dyDescent="0.2">
      <c r="B776" s="10"/>
      <c r="C776" s="11"/>
      <c r="D776" s="63"/>
      <c r="E776" s="150"/>
      <c r="F776" s="65"/>
      <c r="G776" s="12"/>
      <c r="H776" s="41"/>
      <c r="I776" s="30"/>
      <c r="J776" s="30"/>
      <c r="K776" s="97"/>
      <c r="L776" s="11"/>
      <c r="M776" s="11"/>
      <c r="N776" s="11"/>
      <c r="O776" s="11"/>
      <c r="P776" s="82"/>
    </row>
    <row r="777" spans="2:16" s="9" customFormat="1" x14ac:dyDescent="0.2">
      <c r="B777" s="10"/>
      <c r="C777" s="11"/>
      <c r="D777" s="63"/>
      <c r="E777" s="150"/>
      <c r="F777" s="65"/>
      <c r="G777" s="12"/>
      <c r="H777" s="41"/>
      <c r="I777" s="30"/>
      <c r="J777" s="30"/>
      <c r="K777" s="97"/>
      <c r="L777" s="11"/>
      <c r="M777" s="11"/>
      <c r="N777" s="11"/>
      <c r="O777" s="11"/>
      <c r="P777" s="82"/>
    </row>
    <row r="778" spans="2:16" s="9" customFormat="1" x14ac:dyDescent="0.2">
      <c r="B778" s="10"/>
      <c r="C778" s="11"/>
      <c r="D778" s="63"/>
      <c r="E778" s="150"/>
      <c r="F778" s="65"/>
      <c r="G778" s="12"/>
      <c r="H778" s="41"/>
      <c r="I778" s="30"/>
      <c r="J778" s="30"/>
      <c r="K778" s="97"/>
      <c r="L778" s="11"/>
      <c r="M778" s="11"/>
      <c r="N778" s="11"/>
      <c r="O778" s="11"/>
      <c r="P778" s="82"/>
    </row>
    <row r="779" spans="2:16" s="9" customFormat="1" x14ac:dyDescent="0.2">
      <c r="B779" s="10"/>
      <c r="C779" s="11"/>
      <c r="D779" s="63"/>
      <c r="E779" s="150"/>
      <c r="F779" s="65"/>
      <c r="G779" s="12"/>
      <c r="H779" s="41"/>
      <c r="I779" s="30"/>
      <c r="J779" s="30"/>
      <c r="K779" s="97"/>
      <c r="L779" s="11"/>
      <c r="M779" s="11"/>
      <c r="N779" s="11"/>
      <c r="O779" s="11"/>
      <c r="P779" s="82"/>
    </row>
    <row r="780" spans="2:16" s="9" customFormat="1" x14ac:dyDescent="0.2">
      <c r="B780" s="10"/>
      <c r="C780" s="11"/>
      <c r="D780" s="63"/>
      <c r="E780" s="150"/>
      <c r="F780" s="65"/>
      <c r="G780" s="12"/>
      <c r="H780" s="41"/>
      <c r="I780" s="30"/>
      <c r="J780" s="30"/>
      <c r="K780" s="97"/>
      <c r="L780" s="11"/>
      <c r="M780" s="11"/>
      <c r="N780" s="11"/>
      <c r="O780" s="11"/>
      <c r="P780" s="82"/>
    </row>
    <row r="781" spans="2:16" s="9" customFormat="1" x14ac:dyDescent="0.2">
      <c r="B781" s="10"/>
      <c r="C781" s="11"/>
      <c r="D781" s="63"/>
      <c r="E781" s="150"/>
      <c r="F781" s="65"/>
      <c r="G781" s="12"/>
      <c r="H781" s="41"/>
      <c r="I781" s="30"/>
      <c r="J781" s="30"/>
      <c r="K781" s="97"/>
      <c r="L781" s="11"/>
      <c r="M781" s="11"/>
      <c r="N781" s="11"/>
      <c r="O781" s="11"/>
      <c r="P781" s="82"/>
    </row>
    <row r="782" spans="2:16" s="9" customFormat="1" x14ac:dyDescent="0.2">
      <c r="B782" s="10"/>
      <c r="C782" s="11"/>
      <c r="D782" s="63"/>
      <c r="E782" s="150"/>
      <c r="F782" s="65"/>
      <c r="G782" s="12"/>
      <c r="H782" s="41"/>
      <c r="I782" s="30"/>
      <c r="J782" s="30"/>
      <c r="K782" s="97"/>
      <c r="L782" s="11"/>
      <c r="M782" s="11"/>
      <c r="N782" s="11"/>
      <c r="O782" s="11"/>
      <c r="P782" s="82"/>
    </row>
    <row r="783" spans="2:16" s="9" customFormat="1" x14ac:dyDescent="0.2">
      <c r="B783" s="10"/>
      <c r="C783" s="11"/>
      <c r="D783" s="63"/>
      <c r="E783" s="150"/>
      <c r="F783" s="65"/>
      <c r="G783" s="12"/>
      <c r="H783" s="41"/>
      <c r="I783" s="30"/>
      <c r="J783" s="30"/>
      <c r="K783" s="97"/>
      <c r="L783" s="11"/>
      <c r="M783" s="11"/>
      <c r="N783" s="11"/>
      <c r="O783" s="11"/>
      <c r="P783" s="82"/>
    </row>
    <row r="784" spans="2:16" s="9" customFormat="1" x14ac:dyDescent="0.2">
      <c r="B784" s="10"/>
      <c r="C784" s="11"/>
      <c r="D784" s="63"/>
      <c r="E784" s="150"/>
      <c r="F784" s="65"/>
      <c r="G784" s="12"/>
      <c r="H784" s="41"/>
      <c r="I784" s="30"/>
      <c r="J784" s="30"/>
      <c r="K784" s="97"/>
      <c r="L784" s="11"/>
      <c r="M784" s="11"/>
      <c r="N784" s="11"/>
      <c r="O784" s="11"/>
      <c r="P784" s="82"/>
    </row>
    <row r="785" spans="2:16" s="9" customFormat="1" x14ac:dyDescent="0.2">
      <c r="B785" s="10"/>
      <c r="C785" s="11"/>
      <c r="D785" s="63"/>
      <c r="E785" s="150"/>
      <c r="F785" s="65"/>
      <c r="G785" s="12"/>
      <c r="H785" s="41"/>
      <c r="I785" s="30"/>
      <c r="J785" s="30"/>
      <c r="K785" s="97"/>
      <c r="L785" s="11"/>
      <c r="M785" s="11"/>
      <c r="N785" s="11"/>
      <c r="O785" s="11"/>
      <c r="P785" s="82"/>
    </row>
    <row r="786" spans="2:16" s="9" customFormat="1" x14ac:dyDescent="0.2">
      <c r="B786" s="10"/>
      <c r="C786" s="11"/>
      <c r="D786" s="63"/>
      <c r="E786" s="150"/>
      <c r="F786" s="65"/>
      <c r="G786" s="12"/>
      <c r="H786" s="41"/>
      <c r="I786" s="30"/>
      <c r="J786" s="30"/>
      <c r="K786" s="97"/>
      <c r="L786" s="11"/>
      <c r="M786" s="11"/>
      <c r="N786" s="11"/>
      <c r="O786" s="11"/>
      <c r="P786" s="82"/>
    </row>
    <row r="787" spans="2:16" s="9" customFormat="1" x14ac:dyDescent="0.2">
      <c r="B787" s="10"/>
      <c r="C787" s="11"/>
      <c r="D787" s="63"/>
      <c r="E787" s="150"/>
      <c r="F787" s="65"/>
      <c r="G787" s="12"/>
      <c r="H787" s="41"/>
      <c r="I787" s="30"/>
      <c r="J787" s="30"/>
      <c r="K787" s="97"/>
      <c r="L787" s="11"/>
      <c r="M787" s="11"/>
      <c r="N787" s="11"/>
      <c r="O787" s="11"/>
      <c r="P787" s="82"/>
    </row>
    <row r="788" spans="2:16" s="9" customFormat="1" x14ac:dyDescent="0.2">
      <c r="B788" s="10"/>
      <c r="C788" s="11"/>
      <c r="D788" s="63"/>
      <c r="E788" s="150"/>
      <c r="F788" s="65"/>
      <c r="G788" s="12"/>
      <c r="H788" s="41"/>
      <c r="I788" s="30"/>
      <c r="J788" s="30"/>
      <c r="K788" s="97"/>
      <c r="L788" s="11"/>
      <c r="M788" s="11"/>
      <c r="N788" s="11"/>
      <c r="O788" s="11"/>
      <c r="P788" s="82"/>
    </row>
    <row r="789" spans="2:16" s="9" customFormat="1" x14ac:dyDescent="0.2">
      <c r="B789" s="10"/>
      <c r="C789" s="11"/>
      <c r="D789" s="63"/>
      <c r="E789" s="150"/>
      <c r="F789" s="65"/>
      <c r="G789" s="12"/>
      <c r="H789" s="41"/>
      <c r="I789" s="30"/>
      <c r="J789" s="30"/>
      <c r="K789" s="97"/>
      <c r="L789" s="11"/>
      <c r="M789" s="11"/>
      <c r="N789" s="11"/>
      <c r="O789" s="11"/>
      <c r="P789" s="82"/>
    </row>
    <row r="790" spans="2:16" s="9" customFormat="1" x14ac:dyDescent="0.2">
      <c r="B790" s="10"/>
      <c r="C790" s="11"/>
      <c r="D790" s="63"/>
      <c r="E790" s="150"/>
      <c r="F790" s="65"/>
      <c r="G790" s="12"/>
      <c r="H790" s="41"/>
      <c r="I790" s="30"/>
      <c r="J790" s="30"/>
      <c r="K790" s="97"/>
      <c r="L790" s="11"/>
      <c r="M790" s="11"/>
      <c r="N790" s="11"/>
      <c r="O790" s="11"/>
      <c r="P790" s="82"/>
    </row>
    <row r="791" spans="2:16" s="9" customFormat="1" x14ac:dyDescent="0.2">
      <c r="B791" s="10"/>
      <c r="C791" s="11"/>
      <c r="D791" s="63"/>
      <c r="E791" s="150"/>
      <c r="F791" s="65"/>
      <c r="G791" s="12"/>
      <c r="H791" s="41"/>
      <c r="I791" s="30"/>
      <c r="J791" s="30"/>
      <c r="K791" s="97"/>
      <c r="L791" s="11"/>
      <c r="M791" s="11"/>
      <c r="N791" s="11"/>
      <c r="O791" s="11"/>
      <c r="P791" s="82"/>
    </row>
    <row r="792" spans="2:16" s="9" customFormat="1" x14ac:dyDescent="0.2">
      <c r="B792" s="10"/>
      <c r="C792" s="11"/>
      <c r="D792" s="63"/>
      <c r="E792" s="150"/>
      <c r="F792" s="65"/>
      <c r="G792" s="12"/>
      <c r="H792" s="41"/>
      <c r="I792" s="30"/>
      <c r="J792" s="30"/>
      <c r="K792" s="97"/>
      <c r="L792" s="11"/>
      <c r="M792" s="11"/>
      <c r="N792" s="11"/>
      <c r="O792" s="11"/>
      <c r="P792" s="82"/>
    </row>
    <row r="793" spans="2:16" s="9" customFormat="1" x14ac:dyDescent="0.2">
      <c r="B793" s="10"/>
      <c r="C793" s="11"/>
      <c r="D793" s="63"/>
      <c r="E793" s="150"/>
      <c r="F793" s="65"/>
      <c r="G793" s="12"/>
      <c r="H793" s="41"/>
      <c r="I793" s="30"/>
      <c r="J793" s="30"/>
      <c r="K793" s="97"/>
      <c r="L793" s="11"/>
      <c r="M793" s="11"/>
      <c r="N793" s="11"/>
      <c r="O793" s="11"/>
      <c r="P793" s="82"/>
    </row>
    <row r="794" spans="2:16" s="9" customFormat="1" x14ac:dyDescent="0.2">
      <c r="B794" s="10"/>
      <c r="C794" s="11"/>
      <c r="D794" s="63"/>
      <c r="E794" s="150"/>
      <c r="F794" s="65"/>
      <c r="G794" s="12"/>
      <c r="H794" s="41"/>
      <c r="I794" s="30"/>
      <c r="J794" s="30"/>
      <c r="K794" s="97"/>
      <c r="L794" s="11"/>
      <c r="M794" s="11"/>
      <c r="N794" s="11"/>
      <c r="O794" s="11"/>
      <c r="P794" s="82"/>
    </row>
    <row r="795" spans="2:16" s="9" customFormat="1" x14ac:dyDescent="0.2">
      <c r="B795" s="10"/>
      <c r="C795" s="11"/>
      <c r="D795" s="63"/>
      <c r="E795" s="150"/>
      <c r="F795" s="65"/>
      <c r="G795" s="12"/>
      <c r="H795" s="41"/>
      <c r="I795" s="30"/>
      <c r="J795" s="30"/>
      <c r="K795" s="97"/>
      <c r="L795" s="11"/>
      <c r="M795" s="11"/>
      <c r="N795" s="11"/>
      <c r="O795" s="11"/>
      <c r="P795" s="82"/>
    </row>
    <row r="796" spans="2:16" s="9" customFormat="1" x14ac:dyDescent="0.2">
      <c r="B796" s="10"/>
      <c r="C796" s="11"/>
      <c r="D796" s="63"/>
      <c r="E796" s="150"/>
      <c r="F796" s="65"/>
      <c r="G796" s="12"/>
      <c r="H796" s="41"/>
      <c r="I796" s="30"/>
      <c r="J796" s="30"/>
      <c r="K796" s="97"/>
      <c r="L796" s="11"/>
      <c r="M796" s="11"/>
      <c r="N796" s="11"/>
      <c r="O796" s="11"/>
      <c r="P796" s="82"/>
    </row>
    <row r="797" spans="2:16" s="9" customFormat="1" x14ac:dyDescent="0.2">
      <c r="B797" s="10"/>
      <c r="C797" s="11"/>
      <c r="D797" s="63"/>
      <c r="E797" s="150"/>
      <c r="F797" s="65"/>
      <c r="G797" s="12"/>
      <c r="H797" s="41"/>
      <c r="I797" s="30"/>
      <c r="J797" s="30"/>
      <c r="K797" s="97"/>
      <c r="L797" s="11"/>
      <c r="M797" s="11"/>
      <c r="N797" s="11"/>
      <c r="O797" s="11"/>
      <c r="P797" s="82"/>
    </row>
    <row r="798" spans="2:16" s="9" customFormat="1" x14ac:dyDescent="0.2">
      <c r="B798" s="10"/>
      <c r="C798" s="11"/>
      <c r="D798" s="63"/>
      <c r="E798" s="150"/>
      <c r="F798" s="65"/>
      <c r="G798" s="12"/>
      <c r="H798" s="41"/>
      <c r="I798" s="30"/>
      <c r="J798" s="30"/>
      <c r="K798" s="97"/>
      <c r="L798" s="11"/>
      <c r="M798" s="11"/>
      <c r="N798" s="11"/>
      <c r="O798" s="11"/>
      <c r="P798" s="82"/>
    </row>
    <row r="799" spans="2:16" s="9" customFormat="1" x14ac:dyDescent="0.2">
      <c r="B799" s="10"/>
      <c r="C799" s="11"/>
      <c r="D799" s="63"/>
      <c r="E799" s="150"/>
      <c r="F799" s="65"/>
      <c r="G799" s="12"/>
      <c r="H799" s="41"/>
      <c r="I799" s="30"/>
      <c r="J799" s="30"/>
      <c r="K799" s="97"/>
      <c r="L799" s="11"/>
      <c r="M799" s="11"/>
      <c r="N799" s="11"/>
      <c r="O799" s="11"/>
      <c r="P799" s="82"/>
    </row>
    <row r="800" spans="2:16" s="9" customFormat="1" x14ac:dyDescent="0.2">
      <c r="B800" s="10"/>
      <c r="C800" s="11"/>
      <c r="D800" s="63"/>
      <c r="E800" s="150"/>
      <c r="F800" s="65"/>
      <c r="G800" s="12"/>
      <c r="H800" s="41"/>
      <c r="I800" s="30"/>
      <c r="J800" s="30"/>
      <c r="K800" s="97"/>
      <c r="L800" s="11"/>
      <c r="M800" s="11"/>
      <c r="N800" s="11"/>
      <c r="O800" s="11"/>
      <c r="P800" s="82"/>
    </row>
    <row r="801" spans="2:16" s="9" customFormat="1" x14ac:dyDescent="0.2">
      <c r="B801" s="10"/>
      <c r="C801" s="11"/>
      <c r="D801" s="63"/>
      <c r="E801" s="150"/>
      <c r="F801" s="65"/>
      <c r="G801" s="12"/>
      <c r="H801" s="41"/>
      <c r="I801" s="30"/>
      <c r="J801" s="30"/>
      <c r="K801" s="97"/>
      <c r="L801" s="11"/>
      <c r="M801" s="11"/>
      <c r="N801" s="11"/>
      <c r="O801" s="11"/>
      <c r="P801" s="82"/>
    </row>
    <row r="802" spans="2:16" s="9" customFormat="1" x14ac:dyDescent="0.2">
      <c r="B802" s="10"/>
      <c r="C802" s="11"/>
      <c r="D802" s="63"/>
      <c r="E802" s="150"/>
      <c r="F802" s="65"/>
      <c r="G802" s="12"/>
      <c r="H802" s="41"/>
      <c r="I802" s="30"/>
      <c r="J802" s="30"/>
      <c r="K802" s="97"/>
      <c r="L802" s="11"/>
      <c r="M802" s="11"/>
      <c r="N802" s="11"/>
      <c r="O802" s="11"/>
      <c r="P802" s="82"/>
    </row>
    <row r="803" spans="2:16" s="9" customFormat="1" x14ac:dyDescent="0.2">
      <c r="B803" s="10"/>
      <c r="C803" s="11"/>
      <c r="D803" s="63"/>
      <c r="E803" s="150"/>
      <c r="F803" s="65"/>
      <c r="G803" s="12"/>
      <c r="H803" s="41"/>
      <c r="I803" s="30"/>
      <c r="J803" s="30"/>
      <c r="K803" s="97"/>
      <c r="L803" s="11"/>
      <c r="M803" s="11"/>
      <c r="N803" s="11"/>
      <c r="O803" s="11"/>
      <c r="P803" s="82"/>
    </row>
    <row r="804" spans="2:16" s="9" customFormat="1" x14ac:dyDescent="0.2">
      <c r="B804" s="10"/>
      <c r="C804" s="11"/>
      <c r="D804" s="63"/>
      <c r="E804" s="150"/>
      <c r="F804" s="65"/>
      <c r="G804" s="12"/>
      <c r="H804" s="41"/>
      <c r="I804" s="30"/>
      <c r="J804" s="30"/>
      <c r="K804" s="97"/>
      <c r="L804" s="11"/>
      <c r="M804" s="11"/>
      <c r="N804" s="11"/>
      <c r="O804" s="11"/>
      <c r="P804" s="82"/>
    </row>
    <row r="805" spans="2:16" s="9" customFormat="1" x14ac:dyDescent="0.2">
      <c r="B805" s="10"/>
      <c r="C805" s="11"/>
      <c r="D805" s="63"/>
      <c r="E805" s="150"/>
      <c r="F805" s="65"/>
      <c r="G805" s="12"/>
      <c r="H805" s="41"/>
      <c r="I805" s="30"/>
      <c r="J805" s="30"/>
      <c r="K805" s="97"/>
      <c r="L805" s="11"/>
      <c r="M805" s="11"/>
      <c r="N805" s="11"/>
      <c r="O805" s="11"/>
      <c r="P805" s="82"/>
    </row>
    <row r="806" spans="2:16" s="9" customFormat="1" x14ac:dyDescent="0.2">
      <c r="B806" s="10"/>
      <c r="C806" s="11"/>
      <c r="D806" s="63"/>
      <c r="E806" s="150"/>
      <c r="F806" s="65"/>
      <c r="G806" s="12"/>
      <c r="H806" s="41"/>
      <c r="I806" s="30"/>
      <c r="J806" s="30"/>
      <c r="K806" s="97"/>
      <c r="L806" s="11"/>
      <c r="M806" s="11"/>
      <c r="N806" s="11"/>
      <c r="O806" s="11"/>
      <c r="P806" s="82"/>
    </row>
    <row r="807" spans="2:16" s="9" customFormat="1" x14ac:dyDescent="0.2">
      <c r="B807" s="10"/>
      <c r="C807" s="11"/>
      <c r="D807" s="63"/>
      <c r="E807" s="150"/>
      <c r="F807" s="65"/>
      <c r="G807" s="12"/>
      <c r="H807" s="41"/>
      <c r="I807" s="30"/>
      <c r="J807" s="30"/>
      <c r="K807" s="97"/>
      <c r="L807" s="11"/>
      <c r="M807" s="11"/>
      <c r="N807" s="11"/>
      <c r="O807" s="11"/>
      <c r="P807" s="82"/>
    </row>
    <row r="808" spans="2:16" s="9" customFormat="1" x14ac:dyDescent="0.2">
      <c r="B808" s="10"/>
      <c r="C808" s="11"/>
      <c r="D808" s="63"/>
      <c r="E808" s="150"/>
      <c r="F808" s="65"/>
      <c r="G808" s="12"/>
      <c r="H808" s="41"/>
      <c r="I808" s="30"/>
      <c r="J808" s="30"/>
      <c r="K808" s="97"/>
      <c r="L808" s="11"/>
      <c r="M808" s="11"/>
      <c r="N808" s="11"/>
      <c r="O808" s="11"/>
      <c r="P808" s="82"/>
    </row>
    <row r="809" spans="2:16" s="9" customFormat="1" x14ac:dyDescent="0.2">
      <c r="B809" s="10"/>
      <c r="C809" s="11"/>
      <c r="D809" s="63"/>
      <c r="E809" s="150"/>
      <c r="F809" s="65"/>
      <c r="G809" s="12"/>
      <c r="H809" s="41"/>
      <c r="I809" s="30"/>
      <c r="J809" s="30"/>
      <c r="K809" s="97"/>
      <c r="L809" s="11"/>
      <c r="M809" s="11"/>
      <c r="N809" s="11"/>
      <c r="O809" s="11"/>
      <c r="P809" s="82"/>
    </row>
    <row r="810" spans="2:16" s="9" customFormat="1" x14ac:dyDescent="0.2">
      <c r="B810" s="10"/>
      <c r="C810" s="11"/>
      <c r="D810" s="63"/>
      <c r="E810" s="150"/>
      <c r="F810" s="65"/>
      <c r="G810" s="12"/>
      <c r="H810" s="41"/>
      <c r="I810" s="30"/>
      <c r="J810" s="30"/>
      <c r="K810" s="97"/>
      <c r="L810" s="11"/>
      <c r="M810" s="11"/>
      <c r="N810" s="11"/>
      <c r="O810" s="11"/>
      <c r="P810" s="82"/>
    </row>
    <row r="811" spans="2:16" s="9" customFormat="1" x14ac:dyDescent="0.2">
      <c r="B811" s="10"/>
      <c r="C811" s="11"/>
      <c r="D811" s="63"/>
      <c r="E811" s="150"/>
      <c r="F811" s="65"/>
      <c r="G811" s="12"/>
      <c r="H811" s="41"/>
      <c r="I811" s="30"/>
      <c r="J811" s="30"/>
      <c r="K811" s="97"/>
      <c r="L811" s="11"/>
      <c r="M811" s="11"/>
      <c r="N811" s="11"/>
      <c r="O811" s="11"/>
      <c r="P811" s="82"/>
    </row>
    <row r="812" spans="2:16" s="9" customFormat="1" x14ac:dyDescent="0.2">
      <c r="B812" s="10"/>
      <c r="C812" s="11"/>
      <c r="D812" s="63"/>
      <c r="E812" s="150"/>
      <c r="F812" s="65"/>
      <c r="G812" s="12"/>
      <c r="H812" s="41"/>
      <c r="I812" s="30"/>
      <c r="J812" s="30"/>
      <c r="K812" s="97"/>
      <c r="L812" s="11"/>
      <c r="M812" s="11"/>
      <c r="N812" s="11"/>
      <c r="O812" s="11"/>
      <c r="P812" s="82"/>
    </row>
    <row r="813" spans="2:16" s="9" customFormat="1" x14ac:dyDescent="0.2">
      <c r="B813" s="10"/>
      <c r="C813" s="11"/>
      <c r="D813" s="63"/>
      <c r="E813" s="150"/>
      <c r="F813" s="65"/>
      <c r="G813" s="12"/>
      <c r="H813" s="41"/>
      <c r="I813" s="30"/>
      <c r="J813" s="30"/>
      <c r="K813" s="97"/>
      <c r="L813" s="11"/>
      <c r="M813" s="11"/>
      <c r="N813" s="11"/>
      <c r="O813" s="11"/>
      <c r="P813" s="82"/>
    </row>
    <row r="814" spans="2:16" s="9" customFormat="1" x14ac:dyDescent="0.2">
      <c r="B814" s="10"/>
      <c r="C814" s="11"/>
      <c r="D814" s="63"/>
      <c r="E814" s="150"/>
      <c r="F814" s="65"/>
      <c r="G814" s="12"/>
      <c r="H814" s="41"/>
      <c r="I814" s="30"/>
      <c r="J814" s="30"/>
      <c r="K814" s="97"/>
      <c r="L814" s="11"/>
      <c r="M814" s="11"/>
      <c r="N814" s="11"/>
      <c r="O814" s="11"/>
      <c r="P814" s="82"/>
    </row>
    <row r="815" spans="2:16" s="9" customFormat="1" x14ac:dyDescent="0.2">
      <c r="B815" s="10"/>
      <c r="C815" s="11"/>
      <c r="D815" s="63"/>
      <c r="E815" s="150"/>
      <c r="F815" s="65"/>
      <c r="G815" s="12"/>
      <c r="H815" s="41"/>
      <c r="I815" s="30"/>
      <c r="J815" s="30"/>
      <c r="K815" s="97"/>
      <c r="L815" s="11"/>
      <c r="M815" s="11"/>
      <c r="N815" s="11"/>
      <c r="O815" s="11"/>
      <c r="P815" s="82"/>
    </row>
    <row r="816" spans="2:16" s="9" customFormat="1" x14ac:dyDescent="0.2">
      <c r="B816" s="10"/>
      <c r="C816" s="11"/>
      <c r="D816" s="63"/>
      <c r="E816" s="150"/>
      <c r="F816" s="65"/>
      <c r="G816" s="12"/>
      <c r="H816" s="41"/>
      <c r="I816" s="30"/>
      <c r="J816" s="30"/>
      <c r="K816" s="97"/>
      <c r="L816" s="11"/>
      <c r="M816" s="11"/>
      <c r="N816" s="11"/>
      <c r="O816" s="11"/>
      <c r="P816" s="82"/>
    </row>
    <row r="817" spans="2:16" s="9" customFormat="1" x14ac:dyDescent="0.2">
      <c r="B817" s="10"/>
      <c r="C817" s="11"/>
      <c r="D817" s="63"/>
      <c r="E817" s="150"/>
      <c r="F817" s="65"/>
      <c r="G817" s="12"/>
      <c r="H817" s="41"/>
      <c r="I817" s="30"/>
      <c r="J817" s="30"/>
      <c r="K817" s="97"/>
      <c r="L817" s="11"/>
      <c r="M817" s="11"/>
      <c r="N817" s="11"/>
      <c r="O817" s="11"/>
      <c r="P817" s="82"/>
    </row>
    <row r="818" spans="2:16" s="9" customFormat="1" x14ac:dyDescent="0.2">
      <c r="B818" s="10"/>
      <c r="C818" s="11"/>
      <c r="D818" s="63"/>
      <c r="E818" s="150"/>
      <c r="F818" s="65"/>
      <c r="G818" s="12"/>
      <c r="H818" s="41"/>
      <c r="I818" s="30"/>
      <c r="J818" s="30"/>
      <c r="K818" s="97"/>
      <c r="L818" s="11"/>
      <c r="M818" s="11"/>
      <c r="N818" s="11"/>
      <c r="O818" s="11"/>
      <c r="P818" s="82"/>
    </row>
    <row r="819" spans="2:16" s="9" customFormat="1" x14ac:dyDescent="0.2">
      <c r="B819" s="10"/>
      <c r="C819" s="11"/>
      <c r="D819" s="63"/>
      <c r="E819" s="150"/>
      <c r="F819" s="65"/>
      <c r="G819" s="12"/>
      <c r="H819" s="41"/>
      <c r="I819" s="30"/>
      <c r="J819" s="30"/>
      <c r="K819" s="97"/>
      <c r="L819" s="11"/>
      <c r="M819" s="11"/>
      <c r="N819" s="11"/>
      <c r="O819" s="11"/>
      <c r="P819" s="82"/>
    </row>
    <row r="820" spans="2:16" s="9" customFormat="1" x14ac:dyDescent="0.2">
      <c r="B820" s="10"/>
      <c r="C820" s="11"/>
      <c r="D820" s="63"/>
      <c r="E820" s="150"/>
      <c r="F820" s="65"/>
      <c r="G820" s="12"/>
      <c r="H820" s="41"/>
      <c r="I820" s="30"/>
      <c r="J820" s="30"/>
      <c r="K820" s="97"/>
      <c r="L820" s="11"/>
      <c r="M820" s="11"/>
      <c r="N820" s="11"/>
      <c r="O820" s="11"/>
      <c r="P820" s="82"/>
    </row>
    <row r="821" spans="2:16" s="9" customFormat="1" x14ac:dyDescent="0.2">
      <c r="B821" s="10"/>
      <c r="C821" s="11"/>
      <c r="D821" s="63"/>
      <c r="E821" s="150"/>
      <c r="F821" s="65"/>
      <c r="G821" s="12"/>
      <c r="H821" s="41"/>
      <c r="I821" s="30"/>
      <c r="J821" s="30"/>
      <c r="K821" s="97"/>
      <c r="L821" s="11"/>
      <c r="M821" s="11"/>
      <c r="N821" s="11"/>
      <c r="O821" s="11"/>
      <c r="P821" s="82"/>
    </row>
    <row r="822" spans="2:16" s="9" customFormat="1" x14ac:dyDescent="0.2">
      <c r="B822" s="10"/>
      <c r="C822" s="11"/>
      <c r="D822" s="63"/>
      <c r="E822" s="150"/>
      <c r="F822" s="65"/>
      <c r="G822" s="12"/>
      <c r="H822" s="41"/>
      <c r="I822" s="30"/>
      <c r="J822" s="30"/>
      <c r="K822" s="97"/>
      <c r="L822" s="11"/>
      <c r="M822" s="11"/>
      <c r="N822" s="11"/>
      <c r="O822" s="11"/>
      <c r="P822" s="82"/>
    </row>
    <row r="823" spans="2:16" s="9" customFormat="1" x14ac:dyDescent="0.2">
      <c r="B823" s="10"/>
      <c r="C823" s="11"/>
      <c r="D823" s="63"/>
      <c r="E823" s="150"/>
      <c r="F823" s="65"/>
      <c r="G823" s="12"/>
      <c r="H823" s="41"/>
      <c r="I823" s="30"/>
      <c r="J823" s="30"/>
      <c r="K823" s="97"/>
      <c r="L823" s="11"/>
      <c r="M823" s="11"/>
      <c r="N823" s="11"/>
      <c r="O823" s="11"/>
      <c r="P823" s="82"/>
    </row>
    <row r="824" spans="2:16" s="9" customFormat="1" x14ac:dyDescent="0.2">
      <c r="B824" s="10"/>
      <c r="C824" s="11"/>
      <c r="D824" s="63"/>
      <c r="E824" s="150"/>
      <c r="F824" s="65"/>
      <c r="G824" s="12"/>
      <c r="H824" s="41"/>
      <c r="I824" s="30"/>
      <c r="J824" s="30"/>
      <c r="K824" s="97"/>
      <c r="L824" s="11"/>
      <c r="M824" s="11"/>
      <c r="N824" s="11"/>
      <c r="O824" s="11"/>
      <c r="P824" s="82"/>
    </row>
    <row r="825" spans="2:16" s="9" customFormat="1" x14ac:dyDescent="0.2">
      <c r="B825" s="10"/>
      <c r="C825" s="11"/>
      <c r="D825" s="63"/>
      <c r="E825" s="150"/>
      <c r="F825" s="65"/>
      <c r="G825" s="12"/>
      <c r="H825" s="41"/>
      <c r="I825" s="30"/>
      <c r="J825" s="30"/>
      <c r="K825" s="97"/>
      <c r="L825" s="11"/>
      <c r="M825" s="11"/>
      <c r="N825" s="11"/>
      <c r="O825" s="11"/>
      <c r="P825" s="82"/>
    </row>
    <row r="826" spans="2:16" s="9" customFormat="1" x14ac:dyDescent="0.2">
      <c r="B826" s="10"/>
      <c r="C826" s="11"/>
      <c r="D826" s="63"/>
      <c r="E826" s="150"/>
      <c r="F826" s="65"/>
      <c r="G826" s="12"/>
      <c r="H826" s="41"/>
      <c r="I826" s="30"/>
      <c r="J826" s="30"/>
      <c r="K826" s="97"/>
      <c r="L826" s="11"/>
      <c r="M826" s="11"/>
      <c r="N826" s="11"/>
      <c r="O826" s="11"/>
      <c r="P826" s="82"/>
    </row>
    <row r="827" spans="2:16" s="9" customFormat="1" x14ac:dyDescent="0.2">
      <c r="B827" s="10"/>
      <c r="C827" s="11"/>
      <c r="D827" s="63"/>
      <c r="E827" s="150"/>
      <c r="F827" s="65"/>
      <c r="G827" s="12"/>
      <c r="H827" s="41"/>
      <c r="I827" s="30"/>
      <c r="J827" s="30"/>
      <c r="K827" s="97"/>
      <c r="L827" s="11"/>
      <c r="M827" s="11"/>
      <c r="N827" s="11"/>
      <c r="O827" s="11"/>
      <c r="P827" s="82"/>
    </row>
    <row r="828" spans="2:16" s="9" customFormat="1" x14ac:dyDescent="0.2">
      <c r="B828" s="10"/>
      <c r="C828" s="11"/>
      <c r="D828" s="63"/>
      <c r="E828" s="150"/>
      <c r="F828" s="65"/>
      <c r="G828" s="12"/>
      <c r="H828" s="41"/>
      <c r="I828" s="30"/>
      <c r="J828" s="30"/>
      <c r="K828" s="97"/>
      <c r="L828" s="11"/>
      <c r="M828" s="11"/>
      <c r="N828" s="11"/>
      <c r="O828" s="11"/>
      <c r="P828" s="82"/>
    </row>
    <row r="829" spans="2:16" s="9" customFormat="1" x14ac:dyDescent="0.2">
      <c r="B829" s="10"/>
      <c r="C829" s="11"/>
      <c r="D829" s="63"/>
      <c r="E829" s="150"/>
      <c r="F829" s="65"/>
      <c r="G829" s="12"/>
      <c r="H829" s="41"/>
      <c r="I829" s="30"/>
      <c r="J829" s="30"/>
      <c r="K829" s="97"/>
      <c r="L829" s="11"/>
      <c r="M829" s="11"/>
      <c r="N829" s="11"/>
      <c r="O829" s="11"/>
      <c r="P829" s="82"/>
    </row>
    <row r="830" spans="2:16" s="9" customFormat="1" x14ac:dyDescent="0.2">
      <c r="B830" s="10"/>
      <c r="C830" s="11"/>
      <c r="D830" s="63"/>
      <c r="E830" s="150"/>
      <c r="F830" s="65"/>
      <c r="G830" s="12"/>
      <c r="H830" s="41"/>
      <c r="I830" s="30"/>
      <c r="J830" s="30"/>
      <c r="K830" s="97"/>
      <c r="L830" s="11"/>
      <c r="M830" s="11"/>
      <c r="N830" s="11"/>
      <c r="O830" s="11"/>
      <c r="P830" s="82"/>
    </row>
    <row r="831" spans="2:16" s="9" customFormat="1" x14ac:dyDescent="0.2">
      <c r="B831" s="10"/>
      <c r="C831" s="11"/>
      <c r="D831" s="63"/>
      <c r="E831" s="150"/>
      <c r="F831" s="65"/>
      <c r="G831" s="12"/>
      <c r="H831" s="41"/>
      <c r="I831" s="30"/>
      <c r="J831" s="30"/>
      <c r="K831" s="97"/>
      <c r="L831" s="11"/>
      <c r="M831" s="11"/>
      <c r="N831" s="11"/>
      <c r="O831" s="11"/>
      <c r="P831" s="82"/>
    </row>
    <row r="832" spans="2:16" s="9" customFormat="1" x14ac:dyDescent="0.2">
      <c r="B832" s="10"/>
      <c r="C832" s="11"/>
      <c r="D832" s="63"/>
      <c r="E832" s="150"/>
      <c r="F832" s="65"/>
      <c r="G832" s="12"/>
      <c r="H832" s="41"/>
      <c r="I832" s="30"/>
      <c r="J832" s="30"/>
      <c r="K832" s="97"/>
      <c r="L832" s="11"/>
      <c r="M832" s="11"/>
      <c r="N832" s="11"/>
      <c r="O832" s="11"/>
      <c r="P832" s="82"/>
    </row>
    <row r="833" spans="2:16" s="9" customFormat="1" x14ac:dyDescent="0.2">
      <c r="B833" s="10"/>
      <c r="C833" s="11"/>
      <c r="D833" s="63"/>
      <c r="E833" s="150"/>
      <c r="F833" s="65"/>
      <c r="G833" s="12"/>
      <c r="H833" s="41"/>
      <c r="I833" s="30"/>
      <c r="J833" s="30"/>
      <c r="K833" s="97"/>
      <c r="L833" s="11"/>
      <c r="M833" s="11"/>
      <c r="N833" s="11"/>
      <c r="O833" s="11"/>
      <c r="P833" s="82"/>
    </row>
    <row r="834" spans="2:16" s="9" customFormat="1" x14ac:dyDescent="0.2">
      <c r="B834" s="10"/>
      <c r="C834" s="11"/>
      <c r="D834" s="63"/>
      <c r="E834" s="150"/>
      <c r="F834" s="65"/>
      <c r="G834" s="12"/>
      <c r="H834" s="41"/>
      <c r="I834" s="30"/>
      <c r="J834" s="30"/>
      <c r="K834" s="97"/>
      <c r="L834" s="11"/>
      <c r="M834" s="11"/>
      <c r="N834" s="11"/>
      <c r="O834" s="11"/>
      <c r="P834" s="82"/>
    </row>
    <row r="835" spans="2:16" s="9" customFormat="1" x14ac:dyDescent="0.2">
      <c r="B835" s="10"/>
      <c r="C835" s="11"/>
      <c r="D835" s="63"/>
      <c r="E835" s="150"/>
      <c r="F835" s="65"/>
      <c r="G835" s="12"/>
      <c r="H835" s="41"/>
      <c r="I835" s="30"/>
      <c r="J835" s="30"/>
      <c r="K835" s="97"/>
      <c r="L835" s="11"/>
      <c r="M835" s="11"/>
      <c r="N835" s="11"/>
      <c r="O835" s="11"/>
      <c r="P835" s="82"/>
    </row>
    <row r="836" spans="2:16" s="9" customFormat="1" x14ac:dyDescent="0.2">
      <c r="B836" s="10"/>
      <c r="C836" s="11"/>
      <c r="D836" s="63"/>
      <c r="E836" s="150"/>
      <c r="F836" s="65"/>
      <c r="G836" s="12"/>
      <c r="H836" s="41"/>
      <c r="I836" s="30"/>
      <c r="J836" s="30"/>
      <c r="K836" s="97"/>
      <c r="L836" s="11"/>
      <c r="M836" s="11"/>
      <c r="N836" s="11"/>
      <c r="O836" s="11"/>
      <c r="P836" s="82"/>
    </row>
    <row r="837" spans="2:16" s="9" customFormat="1" x14ac:dyDescent="0.2">
      <c r="B837" s="10"/>
      <c r="C837" s="11"/>
      <c r="D837" s="63"/>
      <c r="E837" s="150"/>
      <c r="F837" s="65"/>
      <c r="G837" s="12"/>
      <c r="H837" s="41"/>
      <c r="I837" s="30"/>
      <c r="J837" s="30"/>
      <c r="K837" s="97"/>
      <c r="L837" s="11"/>
      <c r="M837" s="11"/>
      <c r="N837" s="11"/>
      <c r="O837" s="11"/>
      <c r="P837" s="82"/>
    </row>
    <row r="838" spans="2:16" s="9" customFormat="1" x14ac:dyDescent="0.2">
      <c r="B838" s="10"/>
      <c r="C838" s="11"/>
      <c r="D838" s="63"/>
      <c r="E838" s="150"/>
      <c r="F838" s="65"/>
      <c r="G838" s="12"/>
      <c r="H838" s="41"/>
      <c r="I838" s="30"/>
      <c r="J838" s="30"/>
      <c r="K838" s="97"/>
      <c r="L838" s="11"/>
      <c r="M838" s="11"/>
      <c r="N838" s="11"/>
      <c r="O838" s="11"/>
      <c r="P838" s="82"/>
    </row>
    <row r="839" spans="2:16" s="9" customFormat="1" x14ac:dyDescent="0.2">
      <c r="B839" s="10"/>
      <c r="C839" s="11"/>
      <c r="D839" s="63"/>
      <c r="E839" s="150"/>
      <c r="F839" s="65"/>
      <c r="G839" s="12"/>
      <c r="H839" s="41"/>
      <c r="I839" s="30"/>
      <c r="J839" s="30"/>
      <c r="K839" s="97"/>
      <c r="L839" s="11"/>
      <c r="M839" s="11"/>
      <c r="N839" s="11"/>
      <c r="O839" s="11"/>
      <c r="P839" s="82"/>
    </row>
    <row r="840" spans="2:16" s="9" customFormat="1" x14ac:dyDescent="0.2">
      <c r="B840" s="10"/>
      <c r="C840" s="11"/>
      <c r="D840" s="63"/>
      <c r="E840" s="150"/>
      <c r="F840" s="65"/>
      <c r="G840" s="12"/>
      <c r="H840" s="41"/>
      <c r="I840" s="30"/>
      <c r="J840" s="30"/>
      <c r="K840" s="97"/>
      <c r="L840" s="11"/>
      <c r="M840" s="11"/>
      <c r="N840" s="11"/>
      <c r="O840" s="11"/>
      <c r="P840" s="82"/>
    </row>
    <row r="841" spans="2:16" s="9" customFormat="1" x14ac:dyDescent="0.2">
      <c r="B841" s="10"/>
      <c r="C841" s="11"/>
      <c r="D841" s="63"/>
      <c r="E841" s="150"/>
      <c r="F841" s="65"/>
      <c r="G841" s="12"/>
      <c r="H841" s="41"/>
      <c r="I841" s="30"/>
      <c r="J841" s="30"/>
      <c r="K841" s="97"/>
      <c r="L841" s="11"/>
      <c r="M841" s="11"/>
      <c r="N841" s="11"/>
      <c r="O841" s="11"/>
      <c r="P841" s="82"/>
    </row>
    <row r="842" spans="2:16" s="9" customFormat="1" x14ac:dyDescent="0.2">
      <c r="B842" s="10"/>
      <c r="C842" s="11"/>
      <c r="D842" s="63"/>
      <c r="E842" s="150"/>
      <c r="F842" s="65"/>
      <c r="G842" s="12"/>
      <c r="H842" s="41"/>
      <c r="I842" s="30"/>
      <c r="J842" s="30"/>
      <c r="K842" s="97"/>
      <c r="L842" s="11"/>
      <c r="M842" s="11"/>
      <c r="N842" s="11"/>
      <c r="O842" s="11"/>
      <c r="P842" s="82"/>
    </row>
    <row r="843" spans="2:16" s="9" customFormat="1" x14ac:dyDescent="0.2">
      <c r="B843" s="10"/>
      <c r="C843" s="11"/>
      <c r="D843" s="63"/>
      <c r="E843" s="150"/>
      <c r="F843" s="65"/>
      <c r="G843" s="12"/>
      <c r="H843" s="41"/>
      <c r="I843" s="30"/>
      <c r="J843" s="30"/>
      <c r="K843" s="97"/>
      <c r="L843" s="11"/>
      <c r="M843" s="11"/>
      <c r="N843" s="11"/>
      <c r="O843" s="11"/>
      <c r="P843" s="82"/>
    </row>
    <row r="844" spans="2:16" s="9" customFormat="1" x14ac:dyDescent="0.2">
      <c r="B844" s="10"/>
      <c r="C844" s="11"/>
      <c r="D844" s="63"/>
      <c r="E844" s="150"/>
      <c r="F844" s="65"/>
      <c r="G844" s="12"/>
      <c r="H844" s="41"/>
      <c r="I844" s="30"/>
      <c r="J844" s="30"/>
      <c r="K844" s="97"/>
      <c r="L844" s="11"/>
      <c r="M844" s="11"/>
      <c r="N844" s="11"/>
      <c r="O844" s="11"/>
      <c r="P844" s="82"/>
    </row>
    <row r="845" spans="2:16" s="9" customFormat="1" x14ac:dyDescent="0.2">
      <c r="B845" s="10"/>
      <c r="C845" s="11"/>
      <c r="D845" s="63"/>
      <c r="E845" s="150"/>
      <c r="F845" s="65"/>
      <c r="G845" s="12"/>
      <c r="H845" s="41"/>
      <c r="I845" s="30"/>
      <c r="J845" s="30"/>
      <c r="K845" s="97"/>
      <c r="L845" s="11"/>
      <c r="M845" s="11"/>
      <c r="N845" s="11"/>
      <c r="O845" s="11"/>
      <c r="P845" s="82"/>
    </row>
    <row r="846" spans="2:16" s="9" customFormat="1" x14ac:dyDescent="0.2">
      <c r="B846" s="10"/>
      <c r="C846" s="11"/>
      <c r="D846" s="63"/>
      <c r="E846" s="150"/>
      <c r="F846" s="65"/>
      <c r="G846" s="12"/>
      <c r="H846" s="41"/>
      <c r="I846" s="30"/>
      <c r="J846" s="30"/>
      <c r="K846" s="97"/>
      <c r="L846" s="11"/>
      <c r="M846" s="11"/>
      <c r="N846" s="11"/>
      <c r="O846" s="11"/>
      <c r="P846" s="82"/>
    </row>
    <row r="847" spans="2:16" s="9" customFormat="1" x14ac:dyDescent="0.2">
      <c r="B847" s="10"/>
      <c r="C847" s="11"/>
      <c r="D847" s="63"/>
      <c r="E847" s="150"/>
      <c r="F847" s="65"/>
      <c r="G847" s="12"/>
      <c r="H847" s="41"/>
      <c r="I847" s="30"/>
      <c r="J847" s="30"/>
      <c r="K847" s="97"/>
      <c r="L847" s="11"/>
      <c r="M847" s="11"/>
      <c r="N847" s="11"/>
      <c r="O847" s="11"/>
      <c r="P847" s="82"/>
    </row>
    <row r="848" spans="2:16" s="9" customFormat="1" x14ac:dyDescent="0.2">
      <c r="B848" s="10"/>
      <c r="C848" s="11"/>
      <c r="D848" s="63"/>
      <c r="E848" s="150"/>
      <c r="F848" s="65"/>
      <c r="G848" s="12"/>
      <c r="H848" s="41"/>
      <c r="I848" s="30"/>
      <c r="J848" s="30"/>
      <c r="K848" s="97"/>
      <c r="L848" s="11"/>
      <c r="M848" s="11"/>
      <c r="N848" s="11"/>
      <c r="O848" s="11"/>
      <c r="P848" s="82"/>
    </row>
    <row r="849" spans="2:16" s="9" customFormat="1" x14ac:dyDescent="0.2">
      <c r="B849" s="10"/>
      <c r="C849" s="11"/>
      <c r="D849" s="63"/>
      <c r="E849" s="150"/>
      <c r="F849" s="65"/>
      <c r="G849" s="12"/>
      <c r="H849" s="41"/>
      <c r="I849" s="30"/>
      <c r="J849" s="30"/>
      <c r="K849" s="97"/>
      <c r="L849" s="11"/>
      <c r="M849" s="11"/>
      <c r="N849" s="11"/>
      <c r="O849" s="11"/>
      <c r="P849" s="82"/>
    </row>
    <row r="850" spans="2:16" s="9" customFormat="1" x14ac:dyDescent="0.2">
      <c r="B850" s="10"/>
      <c r="C850" s="11"/>
      <c r="D850" s="63"/>
      <c r="E850" s="150"/>
      <c r="F850" s="65"/>
      <c r="G850" s="12"/>
      <c r="H850" s="41"/>
      <c r="I850" s="30"/>
      <c r="J850" s="30"/>
      <c r="K850" s="97"/>
      <c r="L850" s="11"/>
      <c r="M850" s="11"/>
      <c r="N850" s="11"/>
      <c r="O850" s="11"/>
      <c r="P850" s="82"/>
    </row>
    <row r="851" spans="2:16" s="9" customFormat="1" x14ac:dyDescent="0.2">
      <c r="B851" s="10"/>
      <c r="C851" s="11"/>
      <c r="D851" s="63"/>
      <c r="E851" s="150"/>
      <c r="F851" s="65"/>
      <c r="G851" s="12"/>
      <c r="H851" s="41"/>
      <c r="I851" s="30"/>
      <c r="J851" s="30"/>
      <c r="K851" s="97"/>
      <c r="L851" s="11"/>
      <c r="M851" s="11"/>
      <c r="N851" s="11"/>
      <c r="O851" s="11"/>
      <c r="P851" s="82"/>
    </row>
    <row r="852" spans="2:16" s="9" customFormat="1" x14ac:dyDescent="0.2">
      <c r="B852" s="10"/>
      <c r="C852" s="11"/>
      <c r="D852" s="63"/>
      <c r="E852" s="150"/>
      <c r="F852" s="65"/>
      <c r="G852" s="12"/>
      <c r="H852" s="41"/>
      <c r="I852" s="30"/>
      <c r="J852" s="30"/>
      <c r="K852" s="97"/>
      <c r="L852" s="11"/>
      <c r="M852" s="11"/>
      <c r="N852" s="11"/>
      <c r="O852" s="11"/>
      <c r="P852" s="82"/>
    </row>
    <row r="853" spans="2:16" s="9" customFormat="1" x14ac:dyDescent="0.2">
      <c r="B853" s="10"/>
      <c r="C853" s="11"/>
      <c r="D853" s="63"/>
      <c r="E853" s="150"/>
      <c r="F853" s="65"/>
      <c r="G853" s="12"/>
      <c r="H853" s="41"/>
      <c r="I853" s="30"/>
      <c r="J853" s="30"/>
      <c r="K853" s="97"/>
      <c r="L853" s="11"/>
      <c r="M853" s="11"/>
      <c r="N853" s="11"/>
      <c r="O853" s="11"/>
      <c r="P853" s="82"/>
    </row>
    <row r="854" spans="2:16" s="9" customFormat="1" x14ac:dyDescent="0.2">
      <c r="B854" s="10"/>
      <c r="C854" s="11"/>
      <c r="D854" s="63"/>
      <c r="E854" s="150"/>
      <c r="F854" s="65"/>
      <c r="G854" s="12"/>
      <c r="H854" s="41"/>
      <c r="I854" s="30"/>
      <c r="J854" s="30"/>
      <c r="K854" s="97"/>
      <c r="L854" s="11"/>
      <c r="M854" s="11"/>
      <c r="N854" s="11"/>
      <c r="O854" s="11"/>
      <c r="P854" s="82"/>
    </row>
    <row r="855" spans="2:16" s="9" customFormat="1" x14ac:dyDescent="0.2">
      <c r="B855" s="10"/>
      <c r="C855" s="11"/>
      <c r="D855" s="63"/>
      <c r="E855" s="150"/>
      <c r="F855" s="65"/>
      <c r="G855" s="12"/>
      <c r="H855" s="41"/>
      <c r="I855" s="30"/>
      <c r="J855" s="30"/>
      <c r="K855" s="97"/>
      <c r="L855" s="11"/>
      <c r="M855" s="11"/>
      <c r="N855" s="11"/>
      <c r="O855" s="11"/>
      <c r="P855" s="82"/>
    </row>
    <row r="856" spans="2:16" s="9" customFormat="1" x14ac:dyDescent="0.2">
      <c r="B856" s="10"/>
      <c r="C856" s="11"/>
      <c r="D856" s="63"/>
      <c r="E856" s="150"/>
      <c r="F856" s="65"/>
      <c r="G856" s="12"/>
      <c r="H856" s="41"/>
      <c r="I856" s="30"/>
      <c r="J856" s="30"/>
      <c r="K856" s="97"/>
      <c r="L856" s="11"/>
      <c r="M856" s="11"/>
      <c r="N856" s="11"/>
      <c r="O856" s="11"/>
      <c r="P856" s="82"/>
    </row>
    <row r="857" spans="2:16" s="9" customFormat="1" x14ac:dyDescent="0.2">
      <c r="B857" s="10"/>
      <c r="C857" s="11"/>
      <c r="D857" s="63"/>
      <c r="E857" s="150"/>
      <c r="F857" s="65"/>
      <c r="G857" s="12"/>
      <c r="H857" s="41"/>
      <c r="I857" s="30"/>
      <c r="J857" s="30"/>
      <c r="K857" s="97"/>
      <c r="L857" s="11"/>
      <c r="M857" s="11"/>
      <c r="N857" s="11"/>
      <c r="O857" s="11"/>
      <c r="P857" s="82"/>
    </row>
    <row r="858" spans="2:16" s="9" customFormat="1" x14ac:dyDescent="0.2">
      <c r="B858" s="10"/>
      <c r="C858" s="11"/>
      <c r="D858" s="63"/>
      <c r="E858" s="150"/>
      <c r="F858" s="65"/>
      <c r="G858" s="12"/>
      <c r="H858" s="41"/>
      <c r="I858" s="30"/>
      <c r="J858" s="30"/>
      <c r="K858" s="97"/>
      <c r="L858" s="11"/>
      <c r="M858" s="11"/>
      <c r="N858" s="11"/>
      <c r="O858" s="11"/>
      <c r="P858" s="82"/>
    </row>
    <row r="859" spans="2:16" s="9" customFormat="1" x14ac:dyDescent="0.2">
      <c r="B859" s="10"/>
      <c r="C859" s="11"/>
      <c r="D859" s="63"/>
      <c r="E859" s="150"/>
      <c r="F859" s="65"/>
      <c r="G859" s="12"/>
      <c r="H859" s="41"/>
      <c r="I859" s="30"/>
      <c r="J859" s="30"/>
      <c r="K859" s="97"/>
      <c r="L859" s="11"/>
      <c r="M859" s="11"/>
      <c r="N859" s="11"/>
      <c r="O859" s="11"/>
      <c r="P859" s="82"/>
    </row>
    <row r="860" spans="2:16" s="9" customFormat="1" x14ac:dyDescent="0.2">
      <c r="B860" s="10"/>
      <c r="C860" s="11"/>
      <c r="D860" s="63"/>
      <c r="E860" s="150"/>
      <c r="F860" s="65"/>
      <c r="G860" s="12"/>
      <c r="H860" s="41"/>
      <c r="I860" s="30"/>
      <c r="J860" s="30"/>
      <c r="K860" s="97"/>
      <c r="L860" s="11"/>
      <c r="M860" s="11"/>
      <c r="N860" s="11"/>
      <c r="O860" s="11"/>
      <c r="P860" s="82"/>
    </row>
    <row r="861" spans="2:16" s="9" customFormat="1" x14ac:dyDescent="0.2">
      <c r="B861" s="10"/>
      <c r="C861" s="11"/>
      <c r="D861" s="63"/>
      <c r="E861" s="150"/>
      <c r="F861" s="65"/>
      <c r="G861" s="12"/>
      <c r="H861" s="41"/>
      <c r="I861" s="30"/>
      <c r="J861" s="30"/>
      <c r="K861" s="97"/>
      <c r="L861" s="11"/>
      <c r="M861" s="11"/>
      <c r="N861" s="11"/>
      <c r="O861" s="11"/>
      <c r="P861" s="82"/>
    </row>
    <row r="862" spans="2:16" s="9" customFormat="1" x14ac:dyDescent="0.2">
      <c r="B862" s="10"/>
      <c r="C862" s="11"/>
      <c r="D862" s="63"/>
      <c r="E862" s="150"/>
      <c r="F862" s="65"/>
      <c r="G862" s="12"/>
      <c r="H862" s="41"/>
      <c r="I862" s="30"/>
      <c r="J862" s="30"/>
      <c r="K862" s="97"/>
      <c r="L862" s="11"/>
      <c r="M862" s="11"/>
      <c r="N862" s="11"/>
      <c r="O862" s="11"/>
      <c r="P862" s="82"/>
    </row>
    <row r="863" spans="2:16" s="9" customFormat="1" x14ac:dyDescent="0.2">
      <c r="B863" s="10"/>
      <c r="C863" s="11"/>
      <c r="D863" s="63"/>
      <c r="E863" s="150"/>
      <c r="F863" s="65"/>
      <c r="G863" s="12"/>
      <c r="H863" s="41"/>
      <c r="I863" s="30"/>
      <c r="J863" s="30"/>
      <c r="K863" s="97"/>
      <c r="L863" s="11"/>
      <c r="M863" s="11"/>
      <c r="N863" s="11"/>
      <c r="O863" s="11"/>
      <c r="P863" s="82"/>
    </row>
    <row r="864" spans="2:16" s="9" customFormat="1" x14ac:dyDescent="0.2">
      <c r="B864" s="10"/>
      <c r="C864" s="11"/>
      <c r="D864" s="63"/>
      <c r="E864" s="150"/>
      <c r="F864" s="65"/>
      <c r="G864" s="12"/>
      <c r="H864" s="41"/>
      <c r="I864" s="30"/>
      <c r="J864" s="30"/>
      <c r="K864" s="97"/>
      <c r="L864" s="11"/>
      <c r="M864" s="11"/>
      <c r="N864" s="11"/>
      <c r="O864" s="11"/>
      <c r="P864" s="82"/>
    </row>
    <row r="865" spans="2:16" s="9" customFormat="1" x14ac:dyDescent="0.2">
      <c r="B865" s="10"/>
      <c r="C865" s="11"/>
      <c r="D865" s="63"/>
      <c r="E865" s="150"/>
      <c r="F865" s="65"/>
      <c r="G865" s="12"/>
      <c r="H865" s="41"/>
      <c r="I865" s="30"/>
      <c r="J865" s="30"/>
      <c r="K865" s="97"/>
      <c r="L865" s="11"/>
      <c r="M865" s="11"/>
      <c r="N865" s="11"/>
      <c r="O865" s="11"/>
      <c r="P865" s="82"/>
    </row>
    <row r="866" spans="2:16" s="9" customFormat="1" x14ac:dyDescent="0.2">
      <c r="B866" s="10"/>
      <c r="C866" s="11"/>
      <c r="D866" s="63"/>
      <c r="E866" s="150"/>
      <c r="F866" s="65"/>
      <c r="G866" s="12"/>
      <c r="H866" s="41"/>
      <c r="I866" s="30"/>
      <c r="J866" s="30"/>
      <c r="K866" s="97"/>
      <c r="L866" s="11"/>
      <c r="M866" s="11"/>
      <c r="N866" s="11"/>
      <c r="O866" s="11"/>
      <c r="P866" s="82"/>
    </row>
    <row r="867" spans="2:16" s="9" customFormat="1" x14ac:dyDescent="0.2">
      <c r="B867" s="10"/>
      <c r="C867" s="11"/>
      <c r="D867" s="63"/>
      <c r="E867" s="150"/>
      <c r="F867" s="65"/>
      <c r="G867" s="12"/>
      <c r="H867" s="41"/>
      <c r="I867" s="30"/>
      <c r="J867" s="30"/>
      <c r="K867" s="97"/>
      <c r="L867" s="11"/>
      <c r="M867" s="11"/>
      <c r="N867" s="11"/>
      <c r="O867" s="11"/>
      <c r="P867" s="82"/>
    </row>
    <row r="868" spans="2:16" s="9" customFormat="1" x14ac:dyDescent="0.2">
      <c r="B868" s="10"/>
      <c r="C868" s="11"/>
      <c r="D868" s="63"/>
      <c r="E868" s="150"/>
      <c r="F868" s="65"/>
      <c r="G868" s="12"/>
      <c r="H868" s="41"/>
      <c r="I868" s="30"/>
      <c r="J868" s="30"/>
      <c r="K868" s="97"/>
      <c r="L868" s="11"/>
      <c r="M868" s="11"/>
      <c r="N868" s="11"/>
      <c r="O868" s="11"/>
      <c r="P868" s="82"/>
    </row>
    <row r="869" spans="2:16" s="9" customFormat="1" x14ac:dyDescent="0.2">
      <c r="B869" s="10"/>
      <c r="C869" s="11"/>
      <c r="D869" s="63"/>
      <c r="E869" s="150"/>
      <c r="F869" s="65"/>
      <c r="G869" s="12"/>
      <c r="H869" s="41"/>
      <c r="I869" s="30"/>
      <c r="J869" s="30"/>
      <c r="K869" s="97"/>
      <c r="L869" s="11"/>
      <c r="M869" s="11"/>
      <c r="N869" s="11"/>
      <c r="O869" s="11"/>
      <c r="P869" s="82"/>
    </row>
    <row r="870" spans="2:16" s="9" customFormat="1" x14ac:dyDescent="0.2">
      <c r="B870" s="10"/>
      <c r="C870" s="11"/>
      <c r="D870" s="63"/>
      <c r="E870" s="150"/>
      <c r="F870" s="65"/>
      <c r="G870" s="12"/>
      <c r="H870" s="41"/>
      <c r="I870" s="30"/>
      <c r="J870" s="30"/>
      <c r="K870" s="97"/>
      <c r="L870" s="11"/>
      <c r="M870" s="11"/>
      <c r="N870" s="11"/>
      <c r="O870" s="11"/>
      <c r="P870" s="82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allgemein!$B$3:$B$11</xm:f>
          </x14:formula1>
          <xm:sqref>L3:L143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B7" sqref="B7"/>
    </sheetView>
  </sheetViews>
  <sheetFormatPr baseColWidth="10" defaultRowHeight="12.75" x14ac:dyDescent="0.2"/>
  <sheetData>
    <row r="2" spans="2:3" x14ac:dyDescent="0.2">
      <c r="B2" s="76" t="s">
        <v>687</v>
      </c>
      <c r="C2" s="76" t="s">
        <v>688</v>
      </c>
    </row>
    <row r="3" spans="2:3" x14ac:dyDescent="0.2">
      <c r="B3" s="76" t="s">
        <v>328</v>
      </c>
      <c r="C3">
        <v>1</v>
      </c>
    </row>
    <row r="4" spans="2:3" x14ac:dyDescent="0.2">
      <c r="B4" s="76" t="s">
        <v>323</v>
      </c>
      <c r="C4">
        <v>2</v>
      </c>
    </row>
    <row r="5" spans="2:3" x14ac:dyDescent="0.2">
      <c r="B5" s="76" t="s">
        <v>335</v>
      </c>
      <c r="C5">
        <v>3</v>
      </c>
    </row>
    <row r="6" spans="2:3" x14ac:dyDescent="0.2">
      <c r="B6" s="76" t="s">
        <v>682</v>
      </c>
      <c r="C6">
        <v>12</v>
      </c>
    </row>
    <row r="7" spans="2:3" x14ac:dyDescent="0.2">
      <c r="B7" s="76" t="s">
        <v>728</v>
      </c>
      <c r="C7">
        <v>1</v>
      </c>
    </row>
    <row r="8" spans="2:3" x14ac:dyDescent="0.2">
      <c r="B8" s="76" t="s">
        <v>731</v>
      </c>
      <c r="C8">
        <v>1</v>
      </c>
    </row>
    <row r="9" spans="2:3" x14ac:dyDescent="0.2">
      <c r="B9" s="76" t="s">
        <v>732</v>
      </c>
      <c r="C9">
        <v>1</v>
      </c>
    </row>
    <row r="10" spans="2:3" x14ac:dyDescent="0.2">
      <c r="B10" s="76" t="s">
        <v>729</v>
      </c>
      <c r="C10">
        <v>1</v>
      </c>
    </row>
    <row r="11" spans="2:3" x14ac:dyDescent="0.2">
      <c r="B11" s="76" t="s">
        <v>730</v>
      </c>
      <c r="C1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allgemein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Priska</dc:creator>
  <cp:lastModifiedBy>Zellenmontage</cp:lastModifiedBy>
  <cp:lastPrinted>2017-03-02T13:42:28Z</cp:lastPrinted>
  <dcterms:created xsi:type="dcterms:W3CDTF">2003-04-09T11:54:39Z</dcterms:created>
  <dcterms:modified xsi:type="dcterms:W3CDTF">2024-02-28T12:01:54Z</dcterms:modified>
</cp:coreProperties>
</file>